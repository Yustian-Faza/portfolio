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tianfaza/Documents/PROJECT/EXCEL/"/>
    </mc:Choice>
  </mc:AlternateContent>
  <xr:revisionPtr revIDLastSave="0" documentId="13_ncr:1_{666ACA50-B892-5146-881A-B13362F79F4E}" xr6:coauthVersionLast="47" xr6:coauthVersionMax="47" xr10:uidLastSave="{00000000-0000-0000-0000-000000000000}"/>
  <bookViews>
    <workbookView xWindow="0" yWindow="500" windowWidth="28800" windowHeight="17500" xr2:uid="{156B8BA9-84C4-4448-A83D-33332F1C0DBC}"/>
  </bookViews>
  <sheets>
    <sheet name="RAW" sheetId="4" r:id="rId1"/>
    <sheet name="raw_stack" sheetId="9" r:id="rId2"/>
    <sheet name="filter_per_bulan" sheetId="11" r:id="rId3"/>
    <sheet name="data_anomali" sheetId="13" r:id="rId4"/>
    <sheet name="data_master" sheetId="10" r:id="rId5"/>
    <sheet name="MONITORING" sheetId="5" r:id="rId6"/>
    <sheet name="DASHBOARD" sheetId="7" r:id="rId7"/>
    <sheet name="Helper" sheetId="12" state="hidden" r:id="rId8"/>
  </sheets>
  <definedNames>
    <definedName name="_xlnm._FilterDatabase" localSheetId="6" hidden="1">DASHBOARD!$D$15:$L$50</definedName>
    <definedName name="_xlnm._FilterDatabase" localSheetId="3" hidden="1">data_anomali!$A$2:$I$13</definedName>
    <definedName name="_xlnm._FilterDatabase" localSheetId="4" hidden="1">data_master!$A$1:$AH$335</definedName>
    <definedName name="_xlnm._FilterDatabase" localSheetId="2" hidden="1">filter_per_bulan!$A$2:$I$122</definedName>
    <definedName name="_xlnm._FilterDatabase" localSheetId="5" hidden="1">MONITORING!$A$2:$J$369</definedName>
    <definedName name="_xlnm._FilterDatabase" localSheetId="1" hidden="1">raw_stack!$A$1:$H$2882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" i="5"/>
  <c r="C3" i="5" a="1"/>
  <c r="C3" i="5" s="1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2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" i="10"/>
  <c r="AB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7" i="10"/>
  <c r="Z268" i="10"/>
  <c r="Z269" i="10"/>
  <c r="Z270" i="10"/>
  <c r="Z271" i="10"/>
  <c r="Z272" i="10"/>
  <c r="Z273" i="10"/>
  <c r="Z274" i="10"/>
  <c r="Z275" i="10"/>
  <c r="Z276" i="10"/>
  <c r="Z277" i="10"/>
  <c r="Z278" i="10"/>
  <c r="Z279" i="10"/>
  <c r="Z280" i="10"/>
  <c r="Z281" i="10"/>
  <c r="Z282" i="10"/>
  <c r="Z283" i="10"/>
  <c r="Z284" i="10"/>
  <c r="Z285" i="10"/>
  <c r="Z286" i="10"/>
  <c r="Z287" i="10"/>
  <c r="Z288" i="10"/>
  <c r="Z289" i="10"/>
  <c r="Z290" i="10"/>
  <c r="Z291" i="10"/>
  <c r="Z292" i="10"/>
  <c r="Z293" i="10"/>
  <c r="Z294" i="10"/>
  <c r="Z295" i="10"/>
  <c r="Z296" i="10"/>
  <c r="Z297" i="10"/>
  <c r="Z298" i="10"/>
  <c r="Z299" i="10"/>
  <c r="Z300" i="10"/>
  <c r="Z301" i="10"/>
  <c r="Z302" i="10"/>
  <c r="Z303" i="10"/>
  <c r="Z304" i="10"/>
  <c r="Z305" i="10"/>
  <c r="Z306" i="10"/>
  <c r="Z307" i="10"/>
  <c r="Z308" i="10"/>
  <c r="Z309" i="10"/>
  <c r="Z310" i="10"/>
  <c r="Z311" i="10"/>
  <c r="Z312" i="10"/>
  <c r="Z313" i="10"/>
  <c r="Z314" i="10"/>
  <c r="Z315" i="10"/>
  <c r="Z316" i="10"/>
  <c r="Z317" i="10"/>
  <c r="Z318" i="10"/>
  <c r="Z319" i="10"/>
  <c r="Z320" i="10"/>
  <c r="Z321" i="10"/>
  <c r="Z322" i="10"/>
  <c r="Z323" i="10"/>
  <c r="Z324" i="10"/>
  <c r="Z325" i="10"/>
  <c r="Z326" i="10"/>
  <c r="Z327" i="10"/>
  <c r="Z328" i="10"/>
  <c r="Z329" i="10"/>
  <c r="Z330" i="10"/>
  <c r="Z331" i="10"/>
  <c r="Z332" i="10"/>
  <c r="Z333" i="10"/>
  <c r="Z334" i="10"/>
  <c r="Z335" i="10"/>
  <c r="Z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2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AF2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2" i="10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W320" i="10"/>
  <c r="W321" i="10"/>
  <c r="W322" i="10"/>
  <c r="W323" i="10"/>
  <c r="W324" i="10"/>
  <c r="W325" i="10"/>
  <c r="W326" i="10"/>
  <c r="W327" i="10"/>
  <c r="W328" i="10"/>
  <c r="W329" i="10"/>
  <c r="W330" i="10"/>
  <c r="W331" i="10"/>
  <c r="W332" i="10"/>
  <c r="W333" i="10"/>
  <c r="W334" i="10"/>
  <c r="W335" i="10"/>
  <c r="W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AH335" i="10"/>
  <c r="AG335" i="10"/>
  <c r="AF335" i="10"/>
  <c r="AE335" i="10"/>
  <c r="AH334" i="10"/>
  <c r="AG334" i="10"/>
  <c r="AF334" i="10"/>
  <c r="AE334" i="10"/>
  <c r="AH333" i="10"/>
  <c r="AG333" i="10"/>
  <c r="AF333" i="10"/>
  <c r="AE333" i="10"/>
  <c r="AH332" i="10"/>
  <c r="AG332" i="10"/>
  <c r="AF332" i="10"/>
  <c r="AE332" i="10"/>
  <c r="AH331" i="10"/>
  <c r="AG331" i="10"/>
  <c r="AF331" i="10"/>
  <c r="AE331" i="10"/>
  <c r="AH330" i="10"/>
  <c r="AG330" i="10"/>
  <c r="AF330" i="10"/>
  <c r="AE330" i="10"/>
  <c r="AH329" i="10"/>
  <c r="AG329" i="10"/>
  <c r="AF329" i="10"/>
  <c r="AE329" i="10"/>
  <c r="AH328" i="10"/>
  <c r="AG328" i="10"/>
  <c r="AF328" i="10"/>
  <c r="AE328" i="10"/>
  <c r="AH327" i="10"/>
  <c r="AG327" i="10"/>
  <c r="AF327" i="10"/>
  <c r="AE327" i="10"/>
  <c r="AH326" i="10"/>
  <c r="AG326" i="10"/>
  <c r="AF326" i="10"/>
  <c r="AE326" i="10"/>
  <c r="AH325" i="10"/>
  <c r="AG325" i="10"/>
  <c r="AF325" i="10"/>
  <c r="AE325" i="10"/>
  <c r="AH324" i="10"/>
  <c r="AG324" i="10"/>
  <c r="AF324" i="10"/>
  <c r="AE324" i="10"/>
  <c r="AH323" i="10"/>
  <c r="AG323" i="10"/>
  <c r="AF323" i="10"/>
  <c r="AE323" i="10"/>
  <c r="AH322" i="10"/>
  <c r="AG322" i="10"/>
  <c r="AF322" i="10"/>
  <c r="AE322" i="10"/>
  <c r="AH321" i="10"/>
  <c r="AG321" i="10"/>
  <c r="AF321" i="10"/>
  <c r="AE321" i="10"/>
  <c r="AH320" i="10"/>
  <c r="AG320" i="10"/>
  <c r="AF320" i="10"/>
  <c r="AE320" i="10"/>
  <c r="AH319" i="10"/>
  <c r="AG319" i="10"/>
  <c r="AF319" i="10"/>
  <c r="AE319" i="10"/>
  <c r="AH318" i="10"/>
  <c r="AG318" i="10"/>
  <c r="AF318" i="10"/>
  <c r="AE318" i="10"/>
  <c r="AH317" i="10"/>
  <c r="AG317" i="10"/>
  <c r="AF317" i="10"/>
  <c r="AE317" i="10"/>
  <c r="AH316" i="10"/>
  <c r="AG316" i="10"/>
  <c r="AF316" i="10"/>
  <c r="AE316" i="10"/>
  <c r="AH315" i="10"/>
  <c r="AG315" i="10"/>
  <c r="AF315" i="10"/>
  <c r="AE315" i="10"/>
  <c r="AH314" i="10"/>
  <c r="AG314" i="10"/>
  <c r="AF314" i="10"/>
  <c r="AE314" i="10"/>
  <c r="AH313" i="10"/>
  <c r="AG313" i="10"/>
  <c r="AF313" i="10"/>
  <c r="AE313" i="10"/>
  <c r="AH312" i="10"/>
  <c r="AG312" i="10"/>
  <c r="AF312" i="10"/>
  <c r="AE312" i="10"/>
  <c r="AH311" i="10"/>
  <c r="AG311" i="10"/>
  <c r="AF311" i="10"/>
  <c r="AE311" i="10"/>
  <c r="AH310" i="10"/>
  <c r="AG310" i="10"/>
  <c r="AF310" i="10"/>
  <c r="AE310" i="10"/>
  <c r="AH309" i="10"/>
  <c r="AG309" i="10"/>
  <c r="AF309" i="10"/>
  <c r="AE309" i="10"/>
  <c r="AH308" i="10"/>
  <c r="AG308" i="10"/>
  <c r="AF308" i="10"/>
  <c r="AE308" i="10"/>
  <c r="AH307" i="10"/>
  <c r="AG307" i="10"/>
  <c r="AF307" i="10"/>
  <c r="AE307" i="10"/>
  <c r="AH306" i="10"/>
  <c r="AG306" i="10"/>
  <c r="AF306" i="10"/>
  <c r="AE306" i="10"/>
  <c r="AH305" i="10"/>
  <c r="AG305" i="10"/>
  <c r="AF305" i="10"/>
  <c r="AE305" i="10"/>
  <c r="AH304" i="10"/>
  <c r="AG304" i="10"/>
  <c r="AF304" i="10"/>
  <c r="AE304" i="10"/>
  <c r="AH303" i="10"/>
  <c r="AG303" i="10"/>
  <c r="AF303" i="10"/>
  <c r="AE303" i="10"/>
  <c r="AH302" i="10"/>
  <c r="AG302" i="10"/>
  <c r="AF302" i="10"/>
  <c r="AE302" i="10"/>
  <c r="AH301" i="10"/>
  <c r="AG301" i="10"/>
  <c r="AF301" i="10"/>
  <c r="AE301" i="10"/>
  <c r="AH300" i="10"/>
  <c r="AG300" i="10"/>
  <c r="AF300" i="10"/>
  <c r="AE300" i="10"/>
  <c r="AH299" i="10"/>
  <c r="AG299" i="10"/>
  <c r="AF299" i="10"/>
  <c r="AE299" i="10"/>
  <c r="AH298" i="10"/>
  <c r="AG298" i="10"/>
  <c r="AF298" i="10"/>
  <c r="AE298" i="10"/>
  <c r="AH297" i="10"/>
  <c r="AG297" i="10"/>
  <c r="AF297" i="10"/>
  <c r="AE297" i="10"/>
  <c r="AH296" i="10"/>
  <c r="AG296" i="10"/>
  <c r="AF296" i="10"/>
  <c r="AE296" i="10"/>
  <c r="AH295" i="10"/>
  <c r="AG295" i="10"/>
  <c r="AF295" i="10"/>
  <c r="AE295" i="10"/>
  <c r="AH294" i="10"/>
  <c r="AG294" i="10"/>
  <c r="AF294" i="10"/>
  <c r="AE294" i="10"/>
  <c r="AH293" i="10"/>
  <c r="AG293" i="10"/>
  <c r="AF293" i="10"/>
  <c r="AE293" i="10"/>
  <c r="AH292" i="10"/>
  <c r="AG292" i="10"/>
  <c r="AF292" i="10"/>
  <c r="AE292" i="10"/>
  <c r="AH291" i="10"/>
  <c r="AG291" i="10"/>
  <c r="AF291" i="10"/>
  <c r="AE291" i="10"/>
  <c r="AH290" i="10"/>
  <c r="AG290" i="10"/>
  <c r="AF290" i="10"/>
  <c r="AE290" i="10"/>
  <c r="AH289" i="10"/>
  <c r="AG289" i="10"/>
  <c r="AF289" i="10"/>
  <c r="AE289" i="10"/>
  <c r="AH288" i="10"/>
  <c r="AG288" i="10"/>
  <c r="AF288" i="10"/>
  <c r="AE288" i="10"/>
  <c r="AH287" i="10"/>
  <c r="AG287" i="10"/>
  <c r="AF287" i="10"/>
  <c r="AE287" i="10"/>
  <c r="AH286" i="10"/>
  <c r="AG286" i="10"/>
  <c r="AF286" i="10"/>
  <c r="AE286" i="10"/>
  <c r="AH285" i="10"/>
  <c r="AG285" i="10"/>
  <c r="AF285" i="10"/>
  <c r="AE285" i="10"/>
  <c r="AH284" i="10"/>
  <c r="AG284" i="10"/>
  <c r="AF284" i="10"/>
  <c r="AE284" i="10"/>
  <c r="AH283" i="10"/>
  <c r="AG283" i="10"/>
  <c r="AF283" i="10"/>
  <c r="AE283" i="10"/>
  <c r="AH282" i="10"/>
  <c r="AG282" i="10"/>
  <c r="AF282" i="10"/>
  <c r="AE282" i="10"/>
  <c r="AH281" i="10"/>
  <c r="AG281" i="10"/>
  <c r="AF281" i="10"/>
  <c r="AE281" i="10"/>
  <c r="AH280" i="10"/>
  <c r="AG280" i="10"/>
  <c r="AF280" i="10"/>
  <c r="AE280" i="10"/>
  <c r="AH279" i="10"/>
  <c r="AG279" i="10"/>
  <c r="AF279" i="10"/>
  <c r="AE279" i="10"/>
  <c r="AH278" i="10"/>
  <c r="AG278" i="10"/>
  <c r="AF278" i="10"/>
  <c r="AE278" i="10"/>
  <c r="AH277" i="10"/>
  <c r="AG277" i="10"/>
  <c r="AF277" i="10"/>
  <c r="AE277" i="10"/>
  <c r="AH276" i="10"/>
  <c r="AG276" i="10"/>
  <c r="AF276" i="10"/>
  <c r="AE276" i="10"/>
  <c r="AH275" i="10"/>
  <c r="AG275" i="10"/>
  <c r="AF275" i="10"/>
  <c r="AE275" i="10"/>
  <c r="AH274" i="10"/>
  <c r="AG274" i="10"/>
  <c r="AF274" i="10"/>
  <c r="AE274" i="10"/>
  <c r="AH273" i="10"/>
  <c r="AG273" i="10"/>
  <c r="AF273" i="10"/>
  <c r="AE273" i="10"/>
  <c r="AH272" i="10"/>
  <c r="AG272" i="10"/>
  <c r="AF272" i="10"/>
  <c r="AE272" i="10"/>
  <c r="AH271" i="10"/>
  <c r="AG271" i="10"/>
  <c r="AF271" i="10"/>
  <c r="AE271" i="10"/>
  <c r="AH270" i="10"/>
  <c r="AG270" i="10"/>
  <c r="AF270" i="10"/>
  <c r="AE270" i="10"/>
  <c r="AH269" i="10"/>
  <c r="AG269" i="10"/>
  <c r="AF269" i="10"/>
  <c r="AE269" i="10"/>
  <c r="AH268" i="10"/>
  <c r="AG268" i="10"/>
  <c r="AF268" i="10"/>
  <c r="AE268" i="10"/>
  <c r="AH267" i="10"/>
  <c r="AG267" i="10"/>
  <c r="AF267" i="10"/>
  <c r="AE267" i="10"/>
  <c r="AH266" i="10"/>
  <c r="AG266" i="10"/>
  <c r="AF266" i="10"/>
  <c r="AE266" i="10"/>
  <c r="AH265" i="10"/>
  <c r="AG265" i="10"/>
  <c r="AF265" i="10"/>
  <c r="AE265" i="10"/>
  <c r="AH264" i="10"/>
  <c r="AG264" i="10"/>
  <c r="AF264" i="10"/>
  <c r="AE264" i="10"/>
  <c r="AH263" i="10"/>
  <c r="AG263" i="10"/>
  <c r="AF263" i="10"/>
  <c r="AE263" i="10"/>
  <c r="AH262" i="10"/>
  <c r="AG262" i="10"/>
  <c r="AF262" i="10"/>
  <c r="AE262" i="10"/>
  <c r="AH261" i="10"/>
  <c r="AG261" i="10"/>
  <c r="AF261" i="10"/>
  <c r="AE261" i="10"/>
  <c r="AH260" i="10"/>
  <c r="AG260" i="10"/>
  <c r="AF260" i="10"/>
  <c r="AE260" i="10"/>
  <c r="AH259" i="10"/>
  <c r="AG259" i="10"/>
  <c r="AF259" i="10"/>
  <c r="AE259" i="10"/>
  <c r="AH258" i="10"/>
  <c r="AG258" i="10"/>
  <c r="AF258" i="10"/>
  <c r="AE258" i="10"/>
  <c r="AH257" i="10"/>
  <c r="AG257" i="10"/>
  <c r="AF257" i="10"/>
  <c r="AE257" i="10"/>
  <c r="AH256" i="10"/>
  <c r="AG256" i="10"/>
  <c r="AF256" i="10"/>
  <c r="AE256" i="10"/>
  <c r="AH255" i="10"/>
  <c r="AG255" i="10"/>
  <c r="AF255" i="10"/>
  <c r="AE255" i="10"/>
  <c r="AH254" i="10"/>
  <c r="AG254" i="10"/>
  <c r="AF254" i="10"/>
  <c r="AE254" i="10"/>
  <c r="AH253" i="10"/>
  <c r="AG253" i="10"/>
  <c r="AF253" i="10"/>
  <c r="AE253" i="10"/>
  <c r="AH252" i="10"/>
  <c r="AG252" i="10"/>
  <c r="AF252" i="10"/>
  <c r="AE252" i="10"/>
  <c r="AH251" i="10"/>
  <c r="AG251" i="10"/>
  <c r="AF251" i="10"/>
  <c r="AE251" i="10"/>
  <c r="AH250" i="10"/>
  <c r="AG250" i="10"/>
  <c r="AF250" i="10"/>
  <c r="AE250" i="10"/>
  <c r="AH249" i="10"/>
  <c r="AG249" i="10"/>
  <c r="AF249" i="10"/>
  <c r="AE249" i="10"/>
  <c r="AH248" i="10"/>
  <c r="AG248" i="10"/>
  <c r="AF248" i="10"/>
  <c r="AE248" i="10"/>
  <c r="AH247" i="10"/>
  <c r="AG247" i="10"/>
  <c r="AF247" i="10"/>
  <c r="AE247" i="10"/>
  <c r="AH246" i="10"/>
  <c r="AG246" i="10"/>
  <c r="AF246" i="10"/>
  <c r="AE246" i="10"/>
  <c r="AH245" i="10"/>
  <c r="AG245" i="10"/>
  <c r="AF245" i="10"/>
  <c r="AE245" i="10"/>
  <c r="AH244" i="10"/>
  <c r="AG244" i="10"/>
  <c r="AF244" i="10"/>
  <c r="AE244" i="10"/>
  <c r="AH243" i="10"/>
  <c r="AG243" i="10"/>
  <c r="AF243" i="10"/>
  <c r="AE243" i="10"/>
  <c r="AH242" i="10"/>
  <c r="AG242" i="10"/>
  <c r="AF242" i="10"/>
  <c r="AE242" i="10"/>
  <c r="AH241" i="10"/>
  <c r="AG241" i="10"/>
  <c r="AF241" i="10"/>
  <c r="AE241" i="10"/>
  <c r="AH240" i="10"/>
  <c r="AG240" i="10"/>
  <c r="AF240" i="10"/>
  <c r="AE240" i="10"/>
  <c r="AH239" i="10"/>
  <c r="AG239" i="10"/>
  <c r="AF239" i="10"/>
  <c r="AE239" i="10"/>
  <c r="AH238" i="10"/>
  <c r="AG238" i="10"/>
  <c r="AF238" i="10"/>
  <c r="AE238" i="10"/>
  <c r="AH237" i="10"/>
  <c r="AG237" i="10"/>
  <c r="AF237" i="10"/>
  <c r="AE237" i="10"/>
  <c r="AH236" i="10"/>
  <c r="AG236" i="10"/>
  <c r="AF236" i="10"/>
  <c r="AE236" i="10"/>
  <c r="AH235" i="10"/>
  <c r="AG235" i="10"/>
  <c r="AF235" i="10"/>
  <c r="AE235" i="10"/>
  <c r="AH234" i="10"/>
  <c r="AG234" i="10"/>
  <c r="AF234" i="10"/>
  <c r="AE234" i="10"/>
  <c r="AH233" i="10"/>
  <c r="AG233" i="10"/>
  <c r="AF233" i="10"/>
  <c r="AE233" i="10"/>
  <c r="AH232" i="10"/>
  <c r="AG232" i="10"/>
  <c r="AF232" i="10"/>
  <c r="AE232" i="10"/>
  <c r="AH231" i="10"/>
  <c r="AG231" i="10"/>
  <c r="AF231" i="10"/>
  <c r="AE231" i="10"/>
  <c r="AH230" i="10"/>
  <c r="AG230" i="10"/>
  <c r="AF230" i="10"/>
  <c r="AE230" i="10"/>
  <c r="AH229" i="10"/>
  <c r="AG229" i="10"/>
  <c r="AF229" i="10"/>
  <c r="AE229" i="10"/>
  <c r="AH228" i="10"/>
  <c r="AG228" i="10"/>
  <c r="AF228" i="10"/>
  <c r="AE228" i="10"/>
  <c r="AH227" i="10"/>
  <c r="AG227" i="10"/>
  <c r="AF227" i="10"/>
  <c r="AE227" i="10"/>
  <c r="AH226" i="10"/>
  <c r="AG226" i="10"/>
  <c r="AF226" i="10"/>
  <c r="AE226" i="10"/>
  <c r="AH225" i="10"/>
  <c r="AG225" i="10"/>
  <c r="AF225" i="10"/>
  <c r="AE225" i="10"/>
  <c r="AH224" i="10"/>
  <c r="AG224" i="10"/>
  <c r="AF224" i="10"/>
  <c r="AE224" i="10"/>
  <c r="AH223" i="10"/>
  <c r="AG223" i="10"/>
  <c r="AF223" i="10"/>
  <c r="AE223" i="10"/>
  <c r="AH222" i="10"/>
  <c r="AG222" i="10"/>
  <c r="AF222" i="10"/>
  <c r="AE222" i="10"/>
  <c r="AH221" i="10"/>
  <c r="AG221" i="10"/>
  <c r="AF221" i="10"/>
  <c r="AE221" i="10"/>
  <c r="AH220" i="10"/>
  <c r="AG220" i="10"/>
  <c r="AF220" i="10"/>
  <c r="AE220" i="10"/>
  <c r="AH219" i="10"/>
  <c r="AG219" i="10"/>
  <c r="AF219" i="10"/>
  <c r="AE219" i="10"/>
  <c r="AH218" i="10"/>
  <c r="AG218" i="10"/>
  <c r="AF218" i="10"/>
  <c r="AE218" i="10"/>
  <c r="AH217" i="10"/>
  <c r="AG217" i="10"/>
  <c r="AF217" i="10"/>
  <c r="AE217" i="10"/>
  <c r="AH216" i="10"/>
  <c r="AG216" i="10"/>
  <c r="AF216" i="10"/>
  <c r="AE216" i="10"/>
  <c r="AH215" i="10"/>
  <c r="AG215" i="10"/>
  <c r="AF215" i="10"/>
  <c r="AE215" i="10"/>
  <c r="AH214" i="10"/>
  <c r="AG214" i="10"/>
  <c r="AF214" i="10"/>
  <c r="AE214" i="10"/>
  <c r="AH213" i="10"/>
  <c r="AG213" i="10"/>
  <c r="AF213" i="10"/>
  <c r="AE213" i="10"/>
  <c r="AH212" i="10"/>
  <c r="AG212" i="10"/>
  <c r="AF212" i="10"/>
  <c r="AE212" i="10"/>
  <c r="AH211" i="10"/>
  <c r="AG211" i="10"/>
  <c r="AF211" i="10"/>
  <c r="AE211" i="10"/>
  <c r="AH210" i="10"/>
  <c r="AG210" i="10"/>
  <c r="AF210" i="10"/>
  <c r="AE210" i="10"/>
  <c r="AH209" i="10"/>
  <c r="AG209" i="10"/>
  <c r="AF209" i="10"/>
  <c r="AE209" i="10"/>
  <c r="AH208" i="10"/>
  <c r="AG208" i="10"/>
  <c r="AF208" i="10"/>
  <c r="AE208" i="10"/>
  <c r="AH207" i="10"/>
  <c r="AG207" i="10"/>
  <c r="AF207" i="10"/>
  <c r="AE207" i="10"/>
  <c r="AH206" i="10"/>
  <c r="AG206" i="10"/>
  <c r="AF206" i="10"/>
  <c r="AE206" i="10"/>
  <c r="AH205" i="10"/>
  <c r="AG205" i="10"/>
  <c r="AF205" i="10"/>
  <c r="AE205" i="10"/>
  <c r="AH204" i="10"/>
  <c r="AG204" i="10"/>
  <c r="AF204" i="10"/>
  <c r="AE204" i="10"/>
  <c r="AH203" i="10"/>
  <c r="AG203" i="10"/>
  <c r="AF203" i="10"/>
  <c r="AE203" i="10"/>
  <c r="AH202" i="10"/>
  <c r="AG202" i="10"/>
  <c r="AF202" i="10"/>
  <c r="AE202" i="10"/>
  <c r="AH201" i="10"/>
  <c r="AG201" i="10"/>
  <c r="AF201" i="10"/>
  <c r="AE201" i="10"/>
  <c r="AH200" i="10"/>
  <c r="AG200" i="10"/>
  <c r="AF200" i="10"/>
  <c r="AE200" i="10"/>
  <c r="AH199" i="10"/>
  <c r="AG199" i="10"/>
  <c r="AF199" i="10"/>
  <c r="AE199" i="10"/>
  <c r="AH198" i="10"/>
  <c r="AG198" i="10"/>
  <c r="AF198" i="10"/>
  <c r="AE198" i="10"/>
  <c r="AH197" i="10"/>
  <c r="AG197" i="10"/>
  <c r="AF197" i="10"/>
  <c r="AE197" i="10"/>
  <c r="AH196" i="10"/>
  <c r="AG196" i="10"/>
  <c r="AF196" i="10"/>
  <c r="AE196" i="10"/>
  <c r="AH195" i="10"/>
  <c r="AG195" i="10"/>
  <c r="AF195" i="10"/>
  <c r="AE195" i="10"/>
  <c r="AH194" i="10"/>
  <c r="AG194" i="10"/>
  <c r="AF194" i="10"/>
  <c r="AE194" i="10"/>
  <c r="AH193" i="10"/>
  <c r="AG193" i="10"/>
  <c r="AF193" i="10"/>
  <c r="AE193" i="10"/>
  <c r="AH192" i="10"/>
  <c r="AG192" i="10"/>
  <c r="AF192" i="10"/>
  <c r="AE192" i="10"/>
  <c r="AH191" i="10"/>
  <c r="AG191" i="10"/>
  <c r="AF191" i="10"/>
  <c r="AE191" i="10"/>
  <c r="AH190" i="10"/>
  <c r="AG190" i="10"/>
  <c r="AF190" i="10"/>
  <c r="AE190" i="10"/>
  <c r="AH189" i="10"/>
  <c r="AG189" i="10"/>
  <c r="AF189" i="10"/>
  <c r="AE189" i="10"/>
  <c r="AH188" i="10"/>
  <c r="AG188" i="10"/>
  <c r="AF188" i="10"/>
  <c r="AE188" i="10"/>
  <c r="AH187" i="10"/>
  <c r="AG187" i="10"/>
  <c r="AF187" i="10"/>
  <c r="AE187" i="10"/>
  <c r="AH186" i="10"/>
  <c r="AG186" i="10"/>
  <c r="AF186" i="10"/>
  <c r="AE186" i="10"/>
  <c r="AH185" i="10"/>
  <c r="AG185" i="10"/>
  <c r="AF185" i="10"/>
  <c r="AE185" i="10"/>
  <c r="AH184" i="10"/>
  <c r="AG184" i="10"/>
  <c r="AF184" i="10"/>
  <c r="AE184" i="10"/>
  <c r="AH183" i="10"/>
  <c r="AG183" i="10"/>
  <c r="AF183" i="10"/>
  <c r="AE183" i="10"/>
  <c r="AH182" i="10"/>
  <c r="AG182" i="10"/>
  <c r="AF182" i="10"/>
  <c r="AE182" i="10"/>
  <c r="AH181" i="10"/>
  <c r="AG181" i="10"/>
  <c r="AF181" i="10"/>
  <c r="AE181" i="10"/>
  <c r="AH180" i="10"/>
  <c r="AG180" i="10"/>
  <c r="AF180" i="10"/>
  <c r="AE180" i="10"/>
  <c r="AH179" i="10"/>
  <c r="AG179" i="10"/>
  <c r="AF179" i="10"/>
  <c r="AE179" i="10"/>
  <c r="AH178" i="10"/>
  <c r="AG178" i="10"/>
  <c r="AF178" i="10"/>
  <c r="AE178" i="10"/>
  <c r="AH177" i="10"/>
  <c r="AG177" i="10"/>
  <c r="AF177" i="10"/>
  <c r="AE177" i="10"/>
  <c r="AH176" i="10"/>
  <c r="AG176" i="10"/>
  <c r="AF176" i="10"/>
  <c r="AE176" i="10"/>
  <c r="AH175" i="10"/>
  <c r="AG175" i="10"/>
  <c r="AF175" i="10"/>
  <c r="AE175" i="10"/>
  <c r="AH174" i="10"/>
  <c r="AG174" i="10"/>
  <c r="AF174" i="10"/>
  <c r="AE174" i="10"/>
  <c r="AH173" i="10"/>
  <c r="AG173" i="10"/>
  <c r="AF173" i="10"/>
  <c r="AE173" i="10"/>
  <c r="AH172" i="10"/>
  <c r="AG172" i="10"/>
  <c r="AF172" i="10"/>
  <c r="AE172" i="10"/>
  <c r="AH171" i="10"/>
  <c r="AG171" i="10"/>
  <c r="AF171" i="10"/>
  <c r="AE171" i="10"/>
  <c r="AH170" i="10"/>
  <c r="AG170" i="10"/>
  <c r="AF170" i="10"/>
  <c r="AE170" i="10"/>
  <c r="AH169" i="10"/>
  <c r="AG169" i="10"/>
  <c r="AF169" i="10"/>
  <c r="AE169" i="10"/>
  <c r="AH168" i="10"/>
  <c r="AG168" i="10"/>
  <c r="AF168" i="10"/>
  <c r="AE168" i="10"/>
  <c r="AH167" i="10"/>
  <c r="AG167" i="10"/>
  <c r="AF167" i="10"/>
  <c r="AE167" i="10"/>
  <c r="AH166" i="10"/>
  <c r="AG166" i="10"/>
  <c r="AF166" i="10"/>
  <c r="AE166" i="10"/>
  <c r="AH165" i="10"/>
  <c r="AG165" i="10"/>
  <c r="AF165" i="10"/>
  <c r="AE165" i="10"/>
  <c r="AH164" i="10"/>
  <c r="AG164" i="10"/>
  <c r="AF164" i="10"/>
  <c r="AE164" i="10"/>
  <c r="AH163" i="10"/>
  <c r="AG163" i="10"/>
  <c r="AF163" i="10"/>
  <c r="AE163" i="10"/>
  <c r="AH162" i="10"/>
  <c r="AG162" i="10"/>
  <c r="AF162" i="10"/>
  <c r="AE162" i="10"/>
  <c r="AH161" i="10"/>
  <c r="AG161" i="10"/>
  <c r="AF161" i="10"/>
  <c r="AE161" i="10"/>
  <c r="AH160" i="10"/>
  <c r="AG160" i="10"/>
  <c r="AF160" i="10"/>
  <c r="AE160" i="10"/>
  <c r="AH159" i="10"/>
  <c r="AG159" i="10"/>
  <c r="AF159" i="10"/>
  <c r="AE159" i="10"/>
  <c r="AH158" i="10"/>
  <c r="AG158" i="10"/>
  <c r="AF158" i="10"/>
  <c r="AE158" i="10"/>
  <c r="AH157" i="10"/>
  <c r="AG157" i="10"/>
  <c r="AF157" i="10"/>
  <c r="AE157" i="10"/>
  <c r="AH156" i="10"/>
  <c r="AG156" i="10"/>
  <c r="AF156" i="10"/>
  <c r="AE156" i="10"/>
  <c r="AH155" i="10"/>
  <c r="AG155" i="10"/>
  <c r="AF155" i="10"/>
  <c r="AE155" i="10"/>
  <c r="AH154" i="10"/>
  <c r="AG154" i="10"/>
  <c r="AF154" i="10"/>
  <c r="AE154" i="10"/>
  <c r="AH153" i="10"/>
  <c r="AG153" i="10"/>
  <c r="AF153" i="10"/>
  <c r="AE153" i="10"/>
  <c r="AH152" i="10"/>
  <c r="AG152" i="10"/>
  <c r="AF152" i="10"/>
  <c r="AE152" i="10"/>
  <c r="AH151" i="10"/>
  <c r="AG151" i="10"/>
  <c r="AF151" i="10"/>
  <c r="AE151" i="10"/>
  <c r="AH150" i="10"/>
  <c r="AG150" i="10"/>
  <c r="AF150" i="10"/>
  <c r="AE150" i="10"/>
  <c r="AH149" i="10"/>
  <c r="AG149" i="10"/>
  <c r="AF149" i="10"/>
  <c r="AE149" i="10"/>
  <c r="AH148" i="10"/>
  <c r="AG148" i="10"/>
  <c r="AF148" i="10"/>
  <c r="AE148" i="10"/>
  <c r="AH147" i="10"/>
  <c r="AG147" i="10"/>
  <c r="AF147" i="10"/>
  <c r="AE147" i="10"/>
  <c r="AH146" i="10"/>
  <c r="AG146" i="10"/>
  <c r="AF146" i="10"/>
  <c r="AE146" i="10"/>
  <c r="AH145" i="10"/>
  <c r="AG145" i="10"/>
  <c r="AF145" i="10"/>
  <c r="AE145" i="10"/>
  <c r="AH144" i="10"/>
  <c r="AG144" i="10"/>
  <c r="AF144" i="10"/>
  <c r="AE144" i="10"/>
  <c r="AH143" i="10"/>
  <c r="AG143" i="10"/>
  <c r="AF143" i="10"/>
  <c r="AE143" i="10"/>
  <c r="AH142" i="10"/>
  <c r="AG142" i="10"/>
  <c r="AF142" i="10"/>
  <c r="AE142" i="10"/>
  <c r="AH141" i="10"/>
  <c r="AG141" i="10"/>
  <c r="AF141" i="10"/>
  <c r="AE141" i="10"/>
  <c r="AH140" i="10"/>
  <c r="AG140" i="10"/>
  <c r="AF140" i="10"/>
  <c r="AE140" i="10"/>
  <c r="AH139" i="10"/>
  <c r="AG139" i="10"/>
  <c r="AF139" i="10"/>
  <c r="AE139" i="10"/>
  <c r="AH138" i="10"/>
  <c r="AG138" i="10"/>
  <c r="AF138" i="10"/>
  <c r="AE138" i="10"/>
  <c r="AH137" i="10"/>
  <c r="AG137" i="10"/>
  <c r="AF137" i="10"/>
  <c r="AE137" i="10"/>
  <c r="AH136" i="10"/>
  <c r="AG136" i="10"/>
  <c r="AF136" i="10"/>
  <c r="AE136" i="10"/>
  <c r="AH135" i="10"/>
  <c r="AG135" i="10"/>
  <c r="AF135" i="10"/>
  <c r="AE135" i="10"/>
  <c r="AH134" i="10"/>
  <c r="AG134" i="10"/>
  <c r="AF134" i="10"/>
  <c r="AE134" i="10"/>
  <c r="AH133" i="10"/>
  <c r="AG133" i="10"/>
  <c r="AF133" i="10"/>
  <c r="AE133" i="10"/>
  <c r="AH132" i="10"/>
  <c r="AG132" i="10"/>
  <c r="AF132" i="10"/>
  <c r="AE132" i="10"/>
  <c r="AH131" i="10"/>
  <c r="AG131" i="10"/>
  <c r="AF131" i="10"/>
  <c r="AE131" i="10"/>
  <c r="AH130" i="10"/>
  <c r="AG130" i="10"/>
  <c r="AF130" i="10"/>
  <c r="AE130" i="10"/>
  <c r="AH129" i="10"/>
  <c r="AG129" i="10"/>
  <c r="AF129" i="10"/>
  <c r="AE129" i="10"/>
  <c r="AH128" i="10"/>
  <c r="AG128" i="10"/>
  <c r="AF128" i="10"/>
  <c r="AE128" i="10"/>
  <c r="AH127" i="10"/>
  <c r="AG127" i="10"/>
  <c r="AF127" i="10"/>
  <c r="AE127" i="10"/>
  <c r="AH126" i="10"/>
  <c r="AG126" i="10"/>
  <c r="AF126" i="10"/>
  <c r="AE126" i="10"/>
  <c r="AH125" i="10"/>
  <c r="AG125" i="10"/>
  <c r="AF125" i="10"/>
  <c r="AE125" i="10"/>
  <c r="AH124" i="10"/>
  <c r="AG124" i="10"/>
  <c r="AF124" i="10"/>
  <c r="AE124" i="10"/>
  <c r="AH123" i="10"/>
  <c r="AG123" i="10"/>
  <c r="AF123" i="10"/>
  <c r="AE123" i="10"/>
  <c r="AH122" i="10"/>
  <c r="AG122" i="10"/>
  <c r="AF122" i="10"/>
  <c r="AE122" i="10"/>
  <c r="AH121" i="10"/>
  <c r="AG121" i="10"/>
  <c r="AF121" i="10"/>
  <c r="AE121" i="10"/>
  <c r="AH120" i="10"/>
  <c r="AG120" i="10"/>
  <c r="AF120" i="10"/>
  <c r="AE120" i="10"/>
  <c r="AH119" i="10"/>
  <c r="AG119" i="10"/>
  <c r="AF119" i="10"/>
  <c r="AE119" i="10"/>
  <c r="AH118" i="10"/>
  <c r="AG118" i="10"/>
  <c r="AF118" i="10"/>
  <c r="AE118" i="10"/>
  <c r="AH117" i="10"/>
  <c r="AG117" i="10"/>
  <c r="AF117" i="10"/>
  <c r="AE117" i="10"/>
  <c r="AH116" i="10"/>
  <c r="AG116" i="10"/>
  <c r="AF116" i="10"/>
  <c r="AE116" i="10"/>
  <c r="AH115" i="10"/>
  <c r="AG115" i="10"/>
  <c r="AF115" i="10"/>
  <c r="AE115" i="10"/>
  <c r="AH114" i="10"/>
  <c r="AG114" i="10"/>
  <c r="AF114" i="10"/>
  <c r="AE114" i="10"/>
  <c r="AH113" i="10"/>
  <c r="AG113" i="10"/>
  <c r="AF113" i="10"/>
  <c r="AE113" i="10"/>
  <c r="AH112" i="10"/>
  <c r="AG112" i="10"/>
  <c r="AF112" i="10"/>
  <c r="AE112" i="10"/>
  <c r="AH111" i="10"/>
  <c r="AG111" i="10"/>
  <c r="AF111" i="10"/>
  <c r="AE111" i="10"/>
  <c r="AH110" i="10"/>
  <c r="AG110" i="10"/>
  <c r="AF110" i="10"/>
  <c r="AE110" i="10"/>
  <c r="AH109" i="10"/>
  <c r="AG109" i="10"/>
  <c r="AF109" i="10"/>
  <c r="AE109" i="10"/>
  <c r="AH108" i="10"/>
  <c r="AG108" i="10"/>
  <c r="AF108" i="10"/>
  <c r="AE108" i="10"/>
  <c r="AH107" i="10"/>
  <c r="AG107" i="10"/>
  <c r="AF107" i="10"/>
  <c r="AE107" i="10"/>
  <c r="AH106" i="10"/>
  <c r="AG106" i="10"/>
  <c r="AF106" i="10"/>
  <c r="AE106" i="10"/>
  <c r="AH105" i="10"/>
  <c r="AG105" i="10"/>
  <c r="AF105" i="10"/>
  <c r="AE105" i="10"/>
  <c r="AH104" i="10"/>
  <c r="AG104" i="10"/>
  <c r="AF104" i="10"/>
  <c r="AE104" i="10"/>
  <c r="AH103" i="10"/>
  <c r="AG103" i="10"/>
  <c r="AF103" i="10"/>
  <c r="AE103" i="10"/>
  <c r="AH102" i="10"/>
  <c r="AG102" i="10"/>
  <c r="AF102" i="10"/>
  <c r="AE102" i="10"/>
  <c r="AH101" i="10"/>
  <c r="AG101" i="10"/>
  <c r="AF101" i="10"/>
  <c r="AE101" i="10"/>
  <c r="AH100" i="10"/>
  <c r="AG100" i="10"/>
  <c r="AF100" i="10"/>
  <c r="AE100" i="10"/>
  <c r="AH99" i="10"/>
  <c r="AG99" i="10"/>
  <c r="AF99" i="10"/>
  <c r="AE99" i="10"/>
  <c r="AH98" i="10"/>
  <c r="AG98" i="10"/>
  <c r="AF98" i="10"/>
  <c r="AE98" i="10"/>
  <c r="AH97" i="10"/>
  <c r="AG97" i="10"/>
  <c r="AF97" i="10"/>
  <c r="AE97" i="10"/>
  <c r="AH96" i="10"/>
  <c r="AG96" i="10"/>
  <c r="AF96" i="10"/>
  <c r="AE96" i="10"/>
  <c r="AH95" i="10"/>
  <c r="AG95" i="10"/>
  <c r="AF95" i="10"/>
  <c r="AE95" i="10"/>
  <c r="AH94" i="10"/>
  <c r="AG94" i="10"/>
  <c r="AF94" i="10"/>
  <c r="AE94" i="10"/>
  <c r="AH93" i="10"/>
  <c r="AG93" i="10"/>
  <c r="AF93" i="10"/>
  <c r="AE93" i="10"/>
  <c r="AH92" i="10"/>
  <c r="AG92" i="10"/>
  <c r="AF92" i="10"/>
  <c r="AE92" i="10"/>
  <c r="AH91" i="10"/>
  <c r="AG91" i="10"/>
  <c r="AF91" i="10"/>
  <c r="AE91" i="10"/>
  <c r="AH90" i="10"/>
  <c r="AG90" i="10"/>
  <c r="AF90" i="10"/>
  <c r="AE90" i="10"/>
  <c r="AH89" i="10"/>
  <c r="AG89" i="10"/>
  <c r="AF89" i="10"/>
  <c r="AE89" i="10"/>
  <c r="AH88" i="10"/>
  <c r="AG88" i="10"/>
  <c r="AF88" i="10"/>
  <c r="AE88" i="10"/>
  <c r="AH87" i="10"/>
  <c r="AG87" i="10"/>
  <c r="AF87" i="10"/>
  <c r="AE87" i="10"/>
  <c r="AH86" i="10"/>
  <c r="AG86" i="10"/>
  <c r="AF86" i="10"/>
  <c r="AE86" i="10"/>
  <c r="AH85" i="10"/>
  <c r="AG85" i="10"/>
  <c r="AF85" i="10"/>
  <c r="AE85" i="10"/>
  <c r="AH84" i="10"/>
  <c r="AG84" i="10"/>
  <c r="AF84" i="10"/>
  <c r="AE84" i="10"/>
  <c r="AH83" i="10"/>
  <c r="AG83" i="10"/>
  <c r="AF83" i="10"/>
  <c r="AE83" i="10"/>
  <c r="AH82" i="10"/>
  <c r="AG82" i="10"/>
  <c r="AF82" i="10"/>
  <c r="AE82" i="10"/>
  <c r="AH81" i="10"/>
  <c r="AG81" i="10"/>
  <c r="AF81" i="10"/>
  <c r="AE81" i="10"/>
  <c r="AH80" i="10"/>
  <c r="AG80" i="10"/>
  <c r="AF80" i="10"/>
  <c r="AE80" i="10"/>
  <c r="AH79" i="10"/>
  <c r="AG79" i="10"/>
  <c r="AF79" i="10"/>
  <c r="AE79" i="10"/>
  <c r="AH78" i="10"/>
  <c r="AG78" i="10"/>
  <c r="AF78" i="10"/>
  <c r="AE78" i="10"/>
  <c r="AH77" i="10"/>
  <c r="AG77" i="10"/>
  <c r="AF77" i="10"/>
  <c r="AE77" i="10"/>
  <c r="AH76" i="10"/>
  <c r="AG76" i="10"/>
  <c r="AF76" i="10"/>
  <c r="AE76" i="10"/>
  <c r="AH75" i="10"/>
  <c r="AG75" i="10"/>
  <c r="AF75" i="10"/>
  <c r="AE75" i="10"/>
  <c r="AH74" i="10"/>
  <c r="AG74" i="10"/>
  <c r="AF74" i="10"/>
  <c r="AE74" i="10"/>
  <c r="AH73" i="10"/>
  <c r="AG73" i="10"/>
  <c r="AF73" i="10"/>
  <c r="AE73" i="10"/>
  <c r="AH72" i="10"/>
  <c r="AG72" i="10"/>
  <c r="AF72" i="10"/>
  <c r="AE72" i="10"/>
  <c r="AH71" i="10"/>
  <c r="AG71" i="10"/>
  <c r="AF71" i="10"/>
  <c r="AE71" i="10"/>
  <c r="AH70" i="10"/>
  <c r="AG70" i="10"/>
  <c r="AF70" i="10"/>
  <c r="AE70" i="10"/>
  <c r="AH69" i="10"/>
  <c r="AG69" i="10"/>
  <c r="AF69" i="10"/>
  <c r="AE69" i="10"/>
  <c r="AH68" i="10"/>
  <c r="AG68" i="10"/>
  <c r="AF68" i="10"/>
  <c r="AE68" i="10"/>
  <c r="AH67" i="10"/>
  <c r="AG67" i="10"/>
  <c r="AF67" i="10"/>
  <c r="AE67" i="10"/>
  <c r="AH66" i="10"/>
  <c r="AG66" i="10"/>
  <c r="AF66" i="10"/>
  <c r="AE66" i="10"/>
  <c r="AH65" i="10"/>
  <c r="AG65" i="10"/>
  <c r="AF65" i="10"/>
  <c r="AE65" i="10"/>
  <c r="AH64" i="10"/>
  <c r="AG64" i="10"/>
  <c r="AF64" i="10"/>
  <c r="AE64" i="10"/>
  <c r="AH63" i="10"/>
  <c r="AG63" i="10"/>
  <c r="AF63" i="10"/>
  <c r="AE63" i="10"/>
  <c r="AH62" i="10"/>
  <c r="AG62" i="10"/>
  <c r="AF62" i="10"/>
  <c r="AE62" i="10"/>
  <c r="AH61" i="10"/>
  <c r="AG61" i="10"/>
  <c r="AF61" i="10"/>
  <c r="AE61" i="10"/>
  <c r="AH60" i="10"/>
  <c r="AG60" i="10"/>
  <c r="AF60" i="10"/>
  <c r="AE60" i="10"/>
  <c r="AH59" i="10"/>
  <c r="AG59" i="10"/>
  <c r="AF59" i="10"/>
  <c r="AE59" i="10"/>
  <c r="AH58" i="10"/>
  <c r="AG58" i="10"/>
  <c r="AF58" i="10"/>
  <c r="AE58" i="10"/>
  <c r="AH57" i="10"/>
  <c r="AG57" i="10"/>
  <c r="AF57" i="10"/>
  <c r="AE57" i="10"/>
  <c r="AH56" i="10"/>
  <c r="AG56" i="10"/>
  <c r="AF56" i="10"/>
  <c r="AE56" i="10"/>
  <c r="AH55" i="10"/>
  <c r="AG55" i="10"/>
  <c r="AF55" i="10"/>
  <c r="AE55" i="10"/>
  <c r="AH54" i="10"/>
  <c r="AG54" i="10"/>
  <c r="AF54" i="10"/>
  <c r="AE54" i="10"/>
  <c r="AH53" i="10"/>
  <c r="AG53" i="10"/>
  <c r="AF53" i="10"/>
  <c r="AE53" i="10"/>
  <c r="AH52" i="10"/>
  <c r="AG52" i="10"/>
  <c r="AF52" i="10"/>
  <c r="AE52" i="10"/>
  <c r="AH51" i="10"/>
  <c r="AG51" i="10"/>
  <c r="AF51" i="10"/>
  <c r="AE51" i="10"/>
  <c r="AH50" i="10"/>
  <c r="AG50" i="10"/>
  <c r="AF50" i="10"/>
  <c r="AE50" i="10"/>
  <c r="AH49" i="10"/>
  <c r="AG49" i="10"/>
  <c r="AF49" i="10"/>
  <c r="AE49" i="10"/>
  <c r="AH48" i="10"/>
  <c r="AG48" i="10"/>
  <c r="AF48" i="10"/>
  <c r="AE48" i="10"/>
  <c r="AH47" i="10"/>
  <c r="AG47" i="10"/>
  <c r="AF47" i="10"/>
  <c r="AE47" i="10"/>
  <c r="AH46" i="10"/>
  <c r="AG46" i="10"/>
  <c r="AF46" i="10"/>
  <c r="AE46" i="10"/>
  <c r="AH45" i="10"/>
  <c r="AG45" i="10"/>
  <c r="AF45" i="10"/>
  <c r="AE45" i="10"/>
  <c r="AH44" i="10"/>
  <c r="AG44" i="10"/>
  <c r="AF44" i="10"/>
  <c r="AE44" i="10"/>
  <c r="AH43" i="10"/>
  <c r="AG43" i="10"/>
  <c r="AF43" i="10"/>
  <c r="AE43" i="10"/>
  <c r="AH42" i="10"/>
  <c r="AG42" i="10"/>
  <c r="AF42" i="10"/>
  <c r="AE42" i="10"/>
  <c r="AH41" i="10"/>
  <c r="AG41" i="10"/>
  <c r="AF41" i="10"/>
  <c r="AE41" i="10"/>
  <c r="AH40" i="10"/>
  <c r="AG40" i="10"/>
  <c r="AF40" i="10"/>
  <c r="AE40" i="10"/>
  <c r="AH39" i="10"/>
  <c r="AG39" i="10"/>
  <c r="AF39" i="10"/>
  <c r="AE39" i="10"/>
  <c r="AH38" i="10"/>
  <c r="AG38" i="10"/>
  <c r="AF38" i="10"/>
  <c r="AE38" i="10"/>
  <c r="AH37" i="10"/>
  <c r="AG37" i="10"/>
  <c r="AF37" i="10"/>
  <c r="AE37" i="10"/>
  <c r="AH36" i="10"/>
  <c r="AG36" i="10"/>
  <c r="AF36" i="10"/>
  <c r="AE36" i="10"/>
  <c r="AH35" i="10"/>
  <c r="AG35" i="10"/>
  <c r="AF35" i="10"/>
  <c r="AE35" i="10"/>
  <c r="AH34" i="10"/>
  <c r="AG34" i="10"/>
  <c r="AF34" i="10"/>
  <c r="AE34" i="10"/>
  <c r="AH33" i="10"/>
  <c r="AG33" i="10"/>
  <c r="AF33" i="10"/>
  <c r="AE33" i="10"/>
  <c r="AH32" i="10"/>
  <c r="AG32" i="10"/>
  <c r="AF32" i="10"/>
  <c r="AE32" i="10"/>
  <c r="AH31" i="10"/>
  <c r="AG31" i="10"/>
  <c r="AF31" i="10"/>
  <c r="AE31" i="10"/>
  <c r="AH30" i="10"/>
  <c r="AG30" i="10"/>
  <c r="AF30" i="10"/>
  <c r="AE30" i="10"/>
  <c r="AH29" i="10"/>
  <c r="AG29" i="10"/>
  <c r="AF29" i="10"/>
  <c r="AE29" i="10"/>
  <c r="AH28" i="10"/>
  <c r="AG28" i="10"/>
  <c r="AF28" i="10"/>
  <c r="AE28" i="10"/>
  <c r="AH27" i="10"/>
  <c r="AG27" i="10"/>
  <c r="AF27" i="10"/>
  <c r="AE27" i="10"/>
  <c r="AH26" i="10"/>
  <c r="AG26" i="10"/>
  <c r="AF26" i="10"/>
  <c r="AE26" i="10"/>
  <c r="AH25" i="10"/>
  <c r="AG25" i="10"/>
  <c r="AF25" i="10"/>
  <c r="AE25" i="10"/>
  <c r="AH24" i="10"/>
  <c r="AG24" i="10"/>
  <c r="AF24" i="10"/>
  <c r="AE24" i="10"/>
  <c r="AH23" i="10"/>
  <c r="AG23" i="10"/>
  <c r="AF23" i="10"/>
  <c r="AE23" i="10"/>
  <c r="AH22" i="10"/>
  <c r="AG22" i="10"/>
  <c r="AF22" i="10"/>
  <c r="AE22" i="10"/>
  <c r="AH21" i="10"/>
  <c r="AG21" i="10"/>
  <c r="AF21" i="10"/>
  <c r="AE21" i="10"/>
  <c r="AH20" i="10"/>
  <c r="AG20" i="10"/>
  <c r="AF20" i="10"/>
  <c r="AE20" i="10"/>
  <c r="AH19" i="10"/>
  <c r="AG19" i="10"/>
  <c r="AF19" i="10"/>
  <c r="AE19" i="10"/>
  <c r="AH18" i="10"/>
  <c r="AG18" i="10"/>
  <c r="AF18" i="10"/>
  <c r="AE18" i="10"/>
  <c r="AH17" i="10"/>
  <c r="AG17" i="10"/>
  <c r="AF17" i="10"/>
  <c r="AE17" i="10"/>
  <c r="AH16" i="10"/>
  <c r="AG16" i="10"/>
  <c r="AF16" i="10"/>
  <c r="AE16" i="10"/>
  <c r="AH15" i="10"/>
  <c r="AG15" i="10"/>
  <c r="AF15" i="10"/>
  <c r="AE15" i="10"/>
  <c r="AH14" i="10"/>
  <c r="AG14" i="10"/>
  <c r="AF14" i="10"/>
  <c r="AE14" i="10"/>
  <c r="AH13" i="10"/>
  <c r="AG13" i="10"/>
  <c r="AF13" i="10"/>
  <c r="AE13" i="10"/>
  <c r="AH12" i="10"/>
  <c r="AG12" i="10"/>
  <c r="AF12" i="10"/>
  <c r="AE12" i="10"/>
  <c r="AH11" i="10"/>
  <c r="AG11" i="10"/>
  <c r="AF11" i="10"/>
  <c r="AE11" i="10"/>
  <c r="AH10" i="10"/>
  <c r="AG10" i="10"/>
  <c r="AF10" i="10"/>
  <c r="AE10" i="10"/>
  <c r="AH9" i="10"/>
  <c r="AG9" i="10"/>
  <c r="AF9" i="10"/>
  <c r="AE9" i="10"/>
  <c r="AH8" i="10"/>
  <c r="AG8" i="10"/>
  <c r="AF8" i="10"/>
  <c r="AE8" i="10"/>
  <c r="AH7" i="10"/>
  <c r="AG7" i="10"/>
  <c r="AF7" i="10"/>
  <c r="AE7" i="10"/>
  <c r="AH6" i="10"/>
  <c r="AG6" i="10"/>
  <c r="AF6" i="10"/>
  <c r="AE6" i="10"/>
  <c r="AH5" i="10"/>
  <c r="AG5" i="10"/>
  <c r="AF5" i="10"/>
  <c r="AE5" i="10"/>
  <c r="AH4" i="10"/>
  <c r="AG4" i="10"/>
  <c r="AF4" i="10"/>
  <c r="AE4" i="10"/>
  <c r="AH3" i="10"/>
  <c r="AG3" i="10"/>
  <c r="AF3" i="10"/>
  <c r="AE3" i="10"/>
  <c r="AH2" i="10"/>
  <c r="AG2" i="10"/>
  <c r="AE2" i="10"/>
  <c r="O2" i="10"/>
  <c r="A3" i="13" a="1"/>
  <c r="A3" i="13" s="1"/>
  <c r="A3" i="11" a="1"/>
  <c r="A3" i="11" s="1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2" i="10"/>
  <c r="B2" i="9" l="1" a="1"/>
  <c r="B2" i="9" s="1"/>
  <c r="A2" i="9" l="1" a="1"/>
  <c r="A2" i="9" s="1"/>
  <c r="D5" i="5" l="1"/>
  <c r="H5" i="5" s="1"/>
  <c r="D292" i="5"/>
  <c r="H292" i="5" s="1"/>
  <c r="D244" i="5"/>
  <c r="H244" i="5" s="1"/>
  <c r="D180" i="5"/>
  <c r="H180" i="5" s="1"/>
  <c r="D164" i="5"/>
  <c r="H164" i="5" s="1"/>
  <c r="D116" i="5"/>
  <c r="H116" i="5" s="1"/>
  <c r="D100" i="5"/>
  <c r="H100" i="5" s="1"/>
  <c r="D52" i="5"/>
  <c r="H52" i="5" s="1"/>
  <c r="D36" i="5"/>
  <c r="H36" i="5" s="1"/>
  <c r="D28" i="5"/>
  <c r="H28" i="5" s="1"/>
  <c r="D4" i="5"/>
  <c r="H4" i="5" s="1"/>
  <c r="D109" i="5"/>
  <c r="H109" i="5" s="1"/>
  <c r="D45" i="5"/>
  <c r="H45" i="5" s="1"/>
  <c r="D291" i="5"/>
  <c r="H291" i="5" s="1"/>
  <c r="D227" i="5"/>
  <c r="H227" i="5" s="1"/>
  <c r="D211" i="5"/>
  <c r="H211" i="5" s="1"/>
  <c r="D187" i="5"/>
  <c r="H187" i="5" s="1"/>
  <c r="D179" i="5"/>
  <c r="H179" i="5" s="1"/>
  <c r="D163" i="5"/>
  <c r="H163" i="5" s="1"/>
  <c r="D131" i="5"/>
  <c r="H131" i="5" s="1"/>
  <c r="D123" i="5"/>
  <c r="H123" i="5" s="1"/>
  <c r="D115" i="5"/>
  <c r="H115" i="5" s="1"/>
  <c r="D99" i="5"/>
  <c r="H99" i="5" s="1"/>
  <c r="D91" i="5"/>
  <c r="H91" i="5" s="1"/>
  <c r="D83" i="5"/>
  <c r="H83" i="5" s="1"/>
  <c r="D75" i="5"/>
  <c r="H75" i="5" s="1"/>
  <c r="D59" i="5"/>
  <c r="H59" i="5" s="1"/>
  <c r="D51" i="5"/>
  <c r="H51" i="5" s="1"/>
  <c r="D35" i="5"/>
  <c r="H35" i="5" s="1"/>
  <c r="D19" i="5"/>
  <c r="H19" i="5" s="1"/>
  <c r="D90" i="5"/>
  <c r="H90" i="5" s="1"/>
  <c r="D42" i="5"/>
  <c r="H42" i="5" s="1"/>
  <c r="D34" i="5"/>
  <c r="H34" i="5" s="1"/>
  <c r="D10" i="5"/>
  <c r="H10" i="5" s="1"/>
  <c r="D242" i="5"/>
  <c r="H242" i="5" s="1"/>
  <c r="D202" i="5"/>
  <c r="H202" i="5" s="1"/>
  <c r="D178" i="5"/>
  <c r="H178" i="5" s="1"/>
  <c r="D138" i="5"/>
  <c r="H138" i="5" s="1"/>
  <c r="D114" i="5"/>
  <c r="H114" i="5" s="1"/>
  <c r="D98" i="5"/>
  <c r="H98" i="5" s="1"/>
  <c r="D82" i="5"/>
  <c r="H82" i="5" s="1"/>
  <c r="D66" i="5"/>
  <c r="H66" i="5" s="1"/>
  <c r="D58" i="5"/>
  <c r="H58" i="5" s="1"/>
  <c r="D50" i="5"/>
  <c r="H50" i="5" s="1"/>
  <c r="D26" i="5"/>
  <c r="H26" i="5" s="1"/>
  <c r="D329" i="5"/>
  <c r="H329" i="5" s="1"/>
  <c r="D313" i="5"/>
  <c r="H313" i="5" s="1"/>
  <c r="D297" i="5"/>
  <c r="H297" i="5" s="1"/>
  <c r="D273" i="5"/>
  <c r="H273" i="5" s="1"/>
  <c r="D265" i="5"/>
  <c r="H265" i="5" s="1"/>
  <c r="D209" i="5"/>
  <c r="H209" i="5" s="1"/>
  <c r="D201" i="5"/>
  <c r="H201" i="5" s="1"/>
  <c r="D185" i="5"/>
  <c r="H185" i="5" s="1"/>
  <c r="D145" i="5"/>
  <c r="H145" i="5" s="1"/>
  <c r="D137" i="5"/>
  <c r="H137" i="5" s="1"/>
  <c r="D121" i="5"/>
  <c r="H121" i="5" s="1"/>
  <c r="D97" i="5"/>
  <c r="H97" i="5" s="1"/>
  <c r="D81" i="5"/>
  <c r="H81" i="5" s="1"/>
  <c r="D57" i="5"/>
  <c r="H57" i="5" s="1"/>
  <c r="D41" i="5"/>
  <c r="H41" i="5" s="1"/>
  <c r="D33" i="5"/>
  <c r="H33" i="5" s="1"/>
  <c r="D17" i="5"/>
  <c r="H17" i="5" s="1"/>
  <c r="D320" i="5"/>
  <c r="H320" i="5" s="1"/>
  <c r="D296" i="5"/>
  <c r="H296" i="5" s="1"/>
  <c r="D280" i="5"/>
  <c r="H280" i="5" s="1"/>
  <c r="D264" i="5"/>
  <c r="H264" i="5" s="1"/>
  <c r="D232" i="5"/>
  <c r="H232" i="5" s="1"/>
  <c r="D216" i="5"/>
  <c r="H216" i="5" s="1"/>
  <c r="D208" i="5"/>
  <c r="H208" i="5" s="1"/>
  <c r="D192" i="5"/>
  <c r="H192" i="5" s="1"/>
  <c r="D168" i="5"/>
  <c r="H168" i="5" s="1"/>
  <c r="D152" i="5"/>
  <c r="H152" i="5" s="1"/>
  <c r="D128" i="5"/>
  <c r="H128" i="5" s="1"/>
  <c r="D104" i="5"/>
  <c r="H104" i="5" s="1"/>
  <c r="D88" i="5"/>
  <c r="H88" i="5" s="1"/>
  <c r="D64" i="5"/>
  <c r="H64" i="5" s="1"/>
  <c r="D24" i="5"/>
  <c r="H24" i="5" s="1"/>
  <c r="D16" i="5"/>
  <c r="H16" i="5" s="1"/>
  <c r="D319" i="5"/>
  <c r="H319" i="5" s="1"/>
  <c r="D303" i="5"/>
  <c r="H303" i="5" s="1"/>
  <c r="D295" i="5"/>
  <c r="H295" i="5" s="1"/>
  <c r="D255" i="5"/>
  <c r="H255" i="5" s="1"/>
  <c r="D231" i="5"/>
  <c r="H231" i="5" s="1"/>
  <c r="D207" i="5"/>
  <c r="H207" i="5" s="1"/>
  <c r="D191" i="5"/>
  <c r="H191" i="5" s="1"/>
  <c r="D167" i="5"/>
  <c r="H167" i="5" s="1"/>
  <c r="D151" i="5"/>
  <c r="H151" i="5" s="1"/>
  <c r="D143" i="5"/>
  <c r="H143" i="5" s="1"/>
  <c r="D127" i="5"/>
  <c r="H127" i="5" s="1"/>
  <c r="D103" i="5"/>
  <c r="H103" i="5" s="1"/>
  <c r="D79" i="5"/>
  <c r="H79" i="5" s="1"/>
  <c r="D63" i="5"/>
  <c r="H63" i="5" s="1"/>
  <c r="D47" i="5"/>
  <c r="H47" i="5" s="1"/>
  <c r="D39" i="5"/>
  <c r="H39" i="5" s="1"/>
  <c r="D15" i="5"/>
  <c r="H15" i="5" s="1"/>
  <c r="D18" i="5"/>
  <c r="H18" i="5" s="1"/>
  <c r="D74" i="5"/>
  <c r="H74" i="5" s="1"/>
  <c r="D11" i="5"/>
  <c r="H11" i="5" s="1"/>
  <c r="D27" i="5"/>
  <c r="H27" i="5" s="1"/>
  <c r="D43" i="5"/>
  <c r="H43" i="5" s="1"/>
  <c r="D67" i="5"/>
  <c r="H67" i="5" s="1"/>
  <c r="D107" i="5"/>
  <c r="H107" i="5" s="1"/>
  <c r="D139" i="5"/>
  <c r="H139" i="5" s="1"/>
  <c r="D147" i="5"/>
  <c r="H147" i="5" s="1"/>
  <c r="D155" i="5"/>
  <c r="H155" i="5" s="1"/>
  <c r="D171" i="5"/>
  <c r="H171" i="5" s="1"/>
  <c r="D195" i="5"/>
  <c r="H195" i="5" s="1"/>
  <c r="D203" i="5"/>
  <c r="H203" i="5" s="1"/>
  <c r="D219" i="5"/>
  <c r="H219" i="5" s="1"/>
  <c r="D12" i="5"/>
  <c r="H12" i="5" s="1"/>
  <c r="D20" i="5"/>
  <c r="H20" i="5" s="1"/>
  <c r="D44" i="5"/>
  <c r="H44" i="5" s="1"/>
  <c r="D60" i="5"/>
  <c r="H60" i="5" s="1"/>
  <c r="D68" i="5"/>
  <c r="H68" i="5" s="1"/>
  <c r="D76" i="5"/>
  <c r="H76" i="5" s="1"/>
  <c r="D84" i="5"/>
  <c r="H84" i="5" s="1"/>
  <c r="D92" i="5"/>
  <c r="H92" i="5" s="1"/>
  <c r="D108" i="5"/>
  <c r="H108" i="5" s="1"/>
  <c r="D124" i="5"/>
  <c r="H124" i="5" s="1"/>
  <c r="D132" i="5"/>
  <c r="H132" i="5" s="1"/>
  <c r="D140" i="5"/>
  <c r="H140" i="5" s="1"/>
  <c r="D148" i="5"/>
  <c r="H148" i="5" s="1"/>
  <c r="D156" i="5"/>
  <c r="H156" i="5" s="1"/>
  <c r="D172" i="5"/>
  <c r="H172" i="5" s="1"/>
  <c r="D188" i="5"/>
  <c r="H188" i="5" s="1"/>
  <c r="D196" i="5"/>
  <c r="H196" i="5" s="1"/>
  <c r="D204" i="5"/>
  <c r="H204" i="5" s="1"/>
  <c r="D212" i="5"/>
  <c r="H212" i="5" s="1"/>
  <c r="D220" i="5"/>
  <c r="H220" i="5" s="1"/>
  <c r="D228" i="5"/>
  <c r="H228" i="5" s="1"/>
  <c r="D236" i="5"/>
  <c r="H236" i="5" s="1"/>
  <c r="D252" i="5"/>
  <c r="H252" i="5" s="1"/>
  <c r="D260" i="5"/>
  <c r="H260" i="5" s="1"/>
  <c r="D268" i="5"/>
  <c r="H268" i="5" s="1"/>
  <c r="D276" i="5"/>
  <c r="H276" i="5" s="1"/>
  <c r="D284" i="5"/>
  <c r="H284" i="5" s="1"/>
  <c r="D13" i="5"/>
  <c r="H13" i="5" s="1"/>
  <c r="D21" i="5"/>
  <c r="H21" i="5" s="1"/>
  <c r="D29" i="5"/>
  <c r="H29" i="5" s="1"/>
  <c r="D37" i="5"/>
  <c r="H37" i="5" s="1"/>
  <c r="D53" i="5"/>
  <c r="H53" i="5" s="1"/>
  <c r="D61" i="5"/>
  <c r="H61" i="5" s="1"/>
  <c r="D69" i="5"/>
  <c r="H69" i="5" s="1"/>
  <c r="D77" i="5"/>
  <c r="H77" i="5" s="1"/>
  <c r="D85" i="5"/>
  <c r="H85" i="5" s="1"/>
  <c r="D93" i="5"/>
  <c r="H93" i="5" s="1"/>
  <c r="D101" i="5"/>
  <c r="H101" i="5" s="1"/>
  <c r="D117" i="5"/>
  <c r="H117" i="5" s="1"/>
  <c r="D6" i="5"/>
  <c r="H6" i="5" s="1"/>
  <c r="D14" i="5"/>
  <c r="H14" i="5" s="1"/>
  <c r="D22" i="5"/>
  <c r="H22" i="5" s="1"/>
  <c r="D30" i="5"/>
  <c r="H30" i="5" s="1"/>
  <c r="D38" i="5"/>
  <c r="H38" i="5" s="1"/>
  <c r="D46" i="5"/>
  <c r="H46" i="5" s="1"/>
  <c r="D54" i="5"/>
  <c r="H54" i="5" s="1"/>
  <c r="D62" i="5"/>
  <c r="H62" i="5" s="1"/>
  <c r="D70" i="5"/>
  <c r="H70" i="5" s="1"/>
  <c r="D78" i="5"/>
  <c r="H78" i="5" s="1"/>
  <c r="D86" i="5"/>
  <c r="H86" i="5" s="1"/>
  <c r="D94" i="5"/>
  <c r="H94" i="5" s="1"/>
  <c r="D102" i="5"/>
  <c r="H102" i="5" s="1"/>
  <c r="D110" i="5"/>
  <c r="H110" i="5" s="1"/>
  <c r="D118" i="5"/>
  <c r="H118" i="5" s="1"/>
  <c r="D126" i="5"/>
  <c r="H126" i="5" s="1"/>
  <c r="D134" i="5"/>
  <c r="H134" i="5" s="1"/>
  <c r="D142" i="5"/>
  <c r="H142" i="5" s="1"/>
  <c r="D150" i="5"/>
  <c r="H150" i="5" s="1"/>
  <c r="D158" i="5"/>
  <c r="H158" i="5" s="1"/>
  <c r="D166" i="5"/>
  <c r="H166" i="5" s="1"/>
  <c r="D174" i="5"/>
  <c r="H174" i="5" s="1"/>
  <c r="D182" i="5"/>
  <c r="H182" i="5" s="1"/>
  <c r="D190" i="5"/>
  <c r="H190" i="5" s="1"/>
  <c r="D198" i="5"/>
  <c r="H198" i="5" s="1"/>
  <c r="D206" i="5"/>
  <c r="H206" i="5" s="1"/>
  <c r="D214" i="5"/>
  <c r="H214" i="5" s="1"/>
  <c r="D222" i="5"/>
  <c r="H222" i="5" s="1"/>
  <c r="D230" i="5"/>
  <c r="H230" i="5" s="1"/>
  <c r="D238" i="5"/>
  <c r="H238" i="5" s="1"/>
  <c r="D246" i="5"/>
  <c r="H246" i="5" s="1"/>
  <c r="D254" i="5"/>
  <c r="H254" i="5" s="1"/>
  <c r="D262" i="5"/>
  <c r="H262" i="5" s="1"/>
  <c r="D270" i="5"/>
  <c r="H270" i="5" s="1"/>
  <c r="D278" i="5"/>
  <c r="H278" i="5" s="1"/>
  <c r="D286" i="5"/>
  <c r="H286" i="5" s="1"/>
  <c r="D294" i="5"/>
  <c r="H294" i="5" s="1"/>
  <c r="D7" i="5"/>
  <c r="H7" i="5" s="1"/>
  <c r="D23" i="5"/>
  <c r="H23" i="5" s="1"/>
  <c r="D31" i="5"/>
  <c r="H31" i="5" s="1"/>
  <c r="D55" i="5"/>
  <c r="H55" i="5" s="1"/>
  <c r="D71" i="5"/>
  <c r="H71" i="5" s="1"/>
  <c r="D87" i="5"/>
  <c r="H87" i="5" s="1"/>
  <c r="D95" i="5"/>
  <c r="H95" i="5" s="1"/>
  <c r="D111" i="5"/>
  <c r="H111" i="5" s="1"/>
  <c r="D119" i="5"/>
  <c r="H119" i="5" s="1"/>
  <c r="D135" i="5"/>
  <c r="H135" i="5" s="1"/>
  <c r="D159" i="5"/>
  <c r="H159" i="5" s="1"/>
  <c r="D175" i="5"/>
  <c r="H175" i="5" s="1"/>
  <c r="D8" i="5"/>
  <c r="H8" i="5" s="1"/>
  <c r="D32" i="5"/>
  <c r="H32" i="5" s="1"/>
  <c r="D40" i="5"/>
  <c r="H40" i="5" s="1"/>
  <c r="D48" i="5"/>
  <c r="H48" i="5" s="1"/>
  <c r="D56" i="5"/>
  <c r="H56" i="5" s="1"/>
  <c r="D72" i="5"/>
  <c r="H72" i="5" s="1"/>
  <c r="D80" i="5"/>
  <c r="H80" i="5" s="1"/>
  <c r="D96" i="5"/>
  <c r="H96" i="5" s="1"/>
  <c r="D112" i="5"/>
  <c r="H112" i="5" s="1"/>
  <c r="D9" i="5"/>
  <c r="H9" i="5" s="1"/>
  <c r="D25" i="5"/>
  <c r="H25" i="5" s="1"/>
  <c r="D49" i="5"/>
  <c r="H49" i="5" s="1"/>
  <c r="D65" i="5"/>
  <c r="H65" i="5" s="1"/>
  <c r="D73" i="5"/>
  <c r="H73" i="5" s="1"/>
  <c r="D89" i="5"/>
  <c r="H89" i="5" s="1"/>
  <c r="D105" i="5"/>
  <c r="H105" i="5" s="1"/>
  <c r="D113" i="5"/>
  <c r="H113" i="5" s="1"/>
  <c r="D129" i="5"/>
  <c r="H129" i="5" s="1"/>
  <c r="D153" i="5"/>
  <c r="H153" i="5" s="1"/>
  <c r="D161" i="5"/>
  <c r="H161" i="5" s="1"/>
  <c r="D169" i="5"/>
  <c r="H169" i="5" s="1"/>
  <c r="D177" i="5"/>
  <c r="H177" i="5" s="1"/>
  <c r="D106" i="5"/>
  <c r="H106" i="5" s="1"/>
  <c r="D136" i="5"/>
  <c r="H136" i="5" s="1"/>
  <c r="D157" i="5"/>
  <c r="H157" i="5" s="1"/>
  <c r="D205" i="5"/>
  <c r="H205" i="5" s="1"/>
  <c r="D217" i="5"/>
  <c r="H217" i="5" s="1"/>
  <c r="D229" i="5"/>
  <c r="H229" i="5" s="1"/>
  <c r="D240" i="5"/>
  <c r="H240" i="5" s="1"/>
  <c r="D250" i="5"/>
  <c r="H250" i="5" s="1"/>
  <c r="D310" i="5"/>
  <c r="H310" i="5" s="1"/>
  <c r="D160" i="5"/>
  <c r="H160" i="5" s="1"/>
  <c r="D181" i="5"/>
  <c r="H181" i="5" s="1"/>
  <c r="D193" i="5"/>
  <c r="H193" i="5" s="1"/>
  <c r="D218" i="5"/>
  <c r="H218" i="5" s="1"/>
  <c r="D241" i="5"/>
  <c r="H241" i="5" s="1"/>
  <c r="D251" i="5"/>
  <c r="H251" i="5" s="1"/>
  <c r="D263" i="5"/>
  <c r="H263" i="5" s="1"/>
  <c r="D283" i="5"/>
  <c r="H283" i="5" s="1"/>
  <c r="D311" i="5"/>
  <c r="H311" i="5" s="1"/>
  <c r="D327" i="5"/>
  <c r="H327" i="5" s="1"/>
  <c r="D335" i="5"/>
  <c r="H335" i="5" s="1"/>
  <c r="D275" i="5"/>
  <c r="H275" i="5" s="1"/>
  <c r="D321" i="5"/>
  <c r="H321" i="5" s="1"/>
  <c r="D298" i="5"/>
  <c r="H298" i="5" s="1"/>
  <c r="D322" i="5"/>
  <c r="H322" i="5" s="1"/>
  <c r="D120" i="5"/>
  <c r="H120" i="5" s="1"/>
  <c r="D141" i="5"/>
  <c r="H141" i="5" s="1"/>
  <c r="D162" i="5"/>
  <c r="H162" i="5" s="1"/>
  <c r="D183" i="5"/>
  <c r="H183" i="5" s="1"/>
  <c r="D194" i="5"/>
  <c r="H194" i="5" s="1"/>
  <c r="D221" i="5"/>
  <c r="H221" i="5" s="1"/>
  <c r="D253" i="5"/>
  <c r="H253" i="5" s="1"/>
  <c r="D274" i="5"/>
  <c r="H274" i="5" s="1"/>
  <c r="D285" i="5"/>
  <c r="H285" i="5" s="1"/>
  <c r="D304" i="5"/>
  <c r="H304" i="5" s="1"/>
  <c r="D312" i="5"/>
  <c r="H312" i="5" s="1"/>
  <c r="D328" i="5"/>
  <c r="H328" i="5" s="1"/>
  <c r="D336" i="5"/>
  <c r="H336" i="5" s="1"/>
  <c r="D233" i="5"/>
  <c r="H233" i="5" s="1"/>
  <c r="D243" i="5"/>
  <c r="H243" i="5" s="1"/>
  <c r="D287" i="5"/>
  <c r="H287" i="5" s="1"/>
  <c r="D305" i="5"/>
  <c r="H305" i="5" s="1"/>
  <c r="D277" i="5"/>
  <c r="H277" i="5" s="1"/>
  <c r="D288" i="5"/>
  <c r="H288" i="5" s="1"/>
  <c r="D314" i="5"/>
  <c r="H314" i="5" s="1"/>
  <c r="D122" i="5"/>
  <c r="H122" i="5" s="1"/>
  <c r="D144" i="5"/>
  <c r="H144" i="5" s="1"/>
  <c r="D165" i="5"/>
  <c r="H165" i="5" s="1"/>
  <c r="D184" i="5"/>
  <c r="H184" i="5" s="1"/>
  <c r="D197" i="5"/>
  <c r="H197" i="5" s="1"/>
  <c r="D223" i="5"/>
  <c r="H223" i="5" s="1"/>
  <c r="D125" i="5"/>
  <c r="H125" i="5" s="1"/>
  <c r="D146" i="5"/>
  <c r="H146" i="5" s="1"/>
  <c r="D199" i="5"/>
  <c r="H199" i="5" s="1"/>
  <c r="D210" i="5"/>
  <c r="H210" i="5" s="1"/>
  <c r="D224" i="5"/>
  <c r="H224" i="5" s="1"/>
  <c r="D234" i="5"/>
  <c r="H234" i="5" s="1"/>
  <c r="D245" i="5"/>
  <c r="H245" i="5" s="1"/>
  <c r="D256" i="5"/>
  <c r="H256" i="5" s="1"/>
  <c r="D266" i="5"/>
  <c r="H266" i="5" s="1"/>
  <c r="D306" i="5"/>
  <c r="H306" i="5" s="1"/>
  <c r="D149" i="5"/>
  <c r="H149" i="5" s="1"/>
  <c r="D170" i="5"/>
  <c r="H170" i="5" s="1"/>
  <c r="D186" i="5"/>
  <c r="H186" i="5" s="1"/>
  <c r="D200" i="5"/>
  <c r="H200" i="5" s="1"/>
  <c r="D213" i="5"/>
  <c r="H213" i="5" s="1"/>
  <c r="D225" i="5"/>
  <c r="H225" i="5" s="1"/>
  <c r="D235" i="5"/>
  <c r="H235" i="5" s="1"/>
  <c r="D247" i="5"/>
  <c r="H247" i="5" s="1"/>
  <c r="D257" i="5"/>
  <c r="H257" i="5" s="1"/>
  <c r="D267" i="5"/>
  <c r="H267" i="5" s="1"/>
  <c r="D279" i="5"/>
  <c r="H279" i="5" s="1"/>
  <c r="D289" i="5"/>
  <c r="H289" i="5" s="1"/>
  <c r="D299" i="5"/>
  <c r="H299" i="5" s="1"/>
  <c r="D307" i="5"/>
  <c r="H307" i="5" s="1"/>
  <c r="D315" i="5"/>
  <c r="H315" i="5" s="1"/>
  <c r="D323" i="5"/>
  <c r="H323" i="5" s="1"/>
  <c r="D331" i="5"/>
  <c r="H331" i="5" s="1"/>
  <c r="D3" i="5"/>
  <c r="H3" i="5" s="1"/>
  <c r="D258" i="5"/>
  <c r="H258" i="5" s="1"/>
  <c r="D290" i="5"/>
  <c r="H290" i="5" s="1"/>
  <c r="D300" i="5"/>
  <c r="H300" i="5" s="1"/>
  <c r="D308" i="5"/>
  <c r="H308" i="5" s="1"/>
  <c r="D324" i="5"/>
  <c r="H324" i="5" s="1"/>
  <c r="D130" i="5"/>
  <c r="H130" i="5" s="1"/>
  <c r="D173" i="5"/>
  <c r="H173" i="5" s="1"/>
  <c r="D189" i="5"/>
  <c r="H189" i="5" s="1"/>
  <c r="D215" i="5"/>
  <c r="H215" i="5" s="1"/>
  <c r="D226" i="5"/>
  <c r="H226" i="5" s="1"/>
  <c r="D237" i="5"/>
  <c r="H237" i="5" s="1"/>
  <c r="D248" i="5"/>
  <c r="H248" i="5" s="1"/>
  <c r="D269" i="5"/>
  <c r="H269" i="5" s="1"/>
  <c r="D316" i="5"/>
  <c r="H316" i="5" s="1"/>
  <c r="D332" i="5"/>
  <c r="H332" i="5" s="1"/>
  <c r="D133" i="5"/>
  <c r="H133" i="5" s="1"/>
  <c r="D154" i="5"/>
  <c r="H154" i="5" s="1"/>
  <c r="D176" i="5"/>
  <c r="H176" i="5" s="1"/>
  <c r="D239" i="5"/>
  <c r="H239" i="5" s="1"/>
  <c r="D249" i="5"/>
  <c r="H249" i="5" s="1"/>
  <c r="D259" i="5"/>
  <c r="H259" i="5" s="1"/>
  <c r="D271" i="5"/>
  <c r="H271" i="5" s="1"/>
  <c r="D281" i="5"/>
  <c r="H281" i="5" s="1"/>
  <c r="D301" i="5"/>
  <c r="H301" i="5" s="1"/>
  <c r="D309" i="5"/>
  <c r="H309" i="5" s="1"/>
  <c r="D317" i="5"/>
  <c r="H317" i="5" s="1"/>
  <c r="D325" i="5"/>
  <c r="H325" i="5" s="1"/>
  <c r="D333" i="5"/>
  <c r="H333" i="5" s="1"/>
  <c r="D261" i="5"/>
  <c r="H261" i="5" s="1"/>
  <c r="D272" i="5"/>
  <c r="H272" i="5" s="1"/>
  <c r="D282" i="5"/>
  <c r="H282" i="5" s="1"/>
  <c r="D293" i="5"/>
  <c r="H293" i="5" s="1"/>
  <c r="D302" i="5"/>
  <c r="H302" i="5" s="1"/>
  <c r="D318" i="5"/>
  <c r="H318" i="5" s="1"/>
  <c r="D326" i="5"/>
  <c r="H326" i="5" s="1"/>
  <c r="D334" i="5"/>
  <c r="H334" i="5" s="1"/>
  <c r="D330" i="5"/>
  <c r="H330" i="5" s="1"/>
  <c r="F1" i="12" l="1"/>
  <c r="G146" i="5"/>
  <c r="F146" i="5"/>
  <c r="F194" i="5"/>
  <c r="G194" i="5"/>
  <c r="G303" i="5"/>
  <c r="F303" i="5"/>
  <c r="G271" i="5"/>
  <c r="F271" i="5"/>
  <c r="G125" i="5"/>
  <c r="F125" i="5"/>
  <c r="G285" i="5"/>
  <c r="F285" i="5"/>
  <c r="G295" i="5"/>
  <c r="F295" i="5"/>
  <c r="F121" i="5"/>
  <c r="G121" i="5"/>
  <c r="G151" i="5"/>
  <c r="F151" i="5"/>
  <c r="G190" i="5"/>
  <c r="F190" i="5"/>
  <c r="G61" i="5"/>
  <c r="F61" i="5"/>
  <c r="G108" i="5"/>
  <c r="F108" i="5"/>
  <c r="G59" i="5"/>
  <c r="F59" i="5"/>
  <c r="G293" i="5"/>
  <c r="F293" i="5"/>
  <c r="G215" i="5"/>
  <c r="F215" i="5"/>
  <c r="F170" i="5"/>
  <c r="G170" i="5"/>
  <c r="G305" i="5"/>
  <c r="F305" i="5"/>
  <c r="G240" i="5"/>
  <c r="F240" i="5"/>
  <c r="G88" i="5"/>
  <c r="F88" i="5"/>
  <c r="F54" i="5"/>
  <c r="G54" i="5"/>
  <c r="G236" i="5"/>
  <c r="F236" i="5"/>
  <c r="G195" i="5"/>
  <c r="F195" i="5"/>
  <c r="G317" i="5"/>
  <c r="F317" i="5"/>
  <c r="G189" i="5"/>
  <c r="F189" i="5"/>
  <c r="G247" i="5"/>
  <c r="F247" i="5"/>
  <c r="G197" i="5"/>
  <c r="F197" i="5"/>
  <c r="F328" i="5"/>
  <c r="G328" i="5"/>
  <c r="F321" i="5"/>
  <c r="G321" i="5"/>
  <c r="G160" i="5"/>
  <c r="F160" i="5"/>
  <c r="G97" i="5"/>
  <c r="F97" i="5"/>
  <c r="G8" i="5"/>
  <c r="F8" i="5"/>
  <c r="F294" i="5"/>
  <c r="G294" i="5"/>
  <c r="G102" i="5"/>
  <c r="F102" i="5"/>
  <c r="G37" i="5"/>
  <c r="F37" i="5"/>
  <c r="G148" i="5"/>
  <c r="F148" i="5"/>
  <c r="G179" i="5"/>
  <c r="F179" i="5"/>
  <c r="F74" i="5"/>
  <c r="G74" i="5"/>
  <c r="G334" i="5"/>
  <c r="F334" i="5"/>
  <c r="G301" i="5"/>
  <c r="F301" i="5"/>
  <c r="F216" i="5"/>
  <c r="G216" i="5"/>
  <c r="G269" i="5"/>
  <c r="F269" i="5"/>
  <c r="F152" i="5"/>
  <c r="G152" i="5"/>
  <c r="F258" i="5"/>
  <c r="G258" i="5"/>
  <c r="G307" i="5"/>
  <c r="F307" i="5"/>
  <c r="G225" i="5"/>
  <c r="F225" i="5"/>
  <c r="G306" i="5"/>
  <c r="F306" i="5"/>
  <c r="F185" i="5"/>
  <c r="G185" i="5"/>
  <c r="G165" i="5"/>
  <c r="F165" i="5"/>
  <c r="G277" i="5"/>
  <c r="F277" i="5"/>
  <c r="F233" i="5"/>
  <c r="G233" i="5"/>
  <c r="F312" i="5"/>
  <c r="G312" i="5"/>
  <c r="G221" i="5"/>
  <c r="F221" i="5"/>
  <c r="F297" i="5"/>
  <c r="G297" i="5"/>
  <c r="G319" i="5"/>
  <c r="F319" i="5"/>
  <c r="G241" i="5"/>
  <c r="F241" i="5"/>
  <c r="G192" i="5"/>
  <c r="F192" i="5"/>
  <c r="F153" i="5"/>
  <c r="G153" i="5"/>
  <c r="F73" i="5"/>
  <c r="G73" i="5"/>
  <c r="F56" i="5"/>
  <c r="G56" i="5"/>
  <c r="G175" i="5"/>
  <c r="F175" i="5"/>
  <c r="G103" i="5"/>
  <c r="F103" i="5"/>
  <c r="G31" i="5"/>
  <c r="F31" i="5"/>
  <c r="G278" i="5"/>
  <c r="F278" i="5"/>
  <c r="G214" i="5"/>
  <c r="F214" i="5"/>
  <c r="G150" i="5"/>
  <c r="F150" i="5"/>
  <c r="G86" i="5"/>
  <c r="F86" i="5"/>
  <c r="G22" i="5"/>
  <c r="F22" i="5"/>
  <c r="G85" i="5"/>
  <c r="F85" i="5"/>
  <c r="G21" i="5"/>
  <c r="F21" i="5"/>
  <c r="G268" i="5"/>
  <c r="F268" i="5"/>
  <c r="G204" i="5"/>
  <c r="F204" i="5"/>
  <c r="G132" i="5"/>
  <c r="F132" i="5"/>
  <c r="G60" i="5"/>
  <c r="F60" i="5"/>
  <c r="G155" i="5"/>
  <c r="F155" i="5"/>
  <c r="G83" i="5"/>
  <c r="F83" i="5"/>
  <c r="G11" i="5"/>
  <c r="F11" i="5"/>
  <c r="G50" i="5"/>
  <c r="F50" i="5"/>
  <c r="G291" i="5"/>
  <c r="F291" i="5"/>
  <c r="F202" i="5"/>
  <c r="G202" i="5"/>
  <c r="F248" i="5"/>
  <c r="G248" i="5"/>
  <c r="F130" i="5"/>
  <c r="G130" i="5"/>
  <c r="G3" i="5"/>
  <c r="F3" i="5"/>
  <c r="G299" i="5"/>
  <c r="F299" i="5"/>
  <c r="G213" i="5"/>
  <c r="F213" i="5"/>
  <c r="F266" i="5"/>
  <c r="G266" i="5"/>
  <c r="F168" i="5"/>
  <c r="G168" i="5"/>
  <c r="G144" i="5"/>
  <c r="F144" i="5"/>
  <c r="G304" i="5"/>
  <c r="F304" i="5"/>
  <c r="G208" i="5"/>
  <c r="F208" i="5"/>
  <c r="F322" i="5"/>
  <c r="G322" i="5"/>
  <c r="G275" i="5"/>
  <c r="F275" i="5"/>
  <c r="G311" i="5"/>
  <c r="F311" i="5"/>
  <c r="G231" i="5"/>
  <c r="F231" i="5"/>
  <c r="G178" i="5"/>
  <c r="F178" i="5"/>
  <c r="F137" i="5"/>
  <c r="G137" i="5"/>
  <c r="F65" i="5"/>
  <c r="G65" i="5"/>
  <c r="G112" i="5"/>
  <c r="F112" i="5"/>
  <c r="G48" i="5"/>
  <c r="F48" i="5"/>
  <c r="G167" i="5"/>
  <c r="F167" i="5"/>
  <c r="G95" i="5"/>
  <c r="F95" i="5"/>
  <c r="G23" i="5"/>
  <c r="F23" i="5"/>
  <c r="G270" i="5"/>
  <c r="F270" i="5"/>
  <c r="G206" i="5"/>
  <c r="F206" i="5"/>
  <c r="G142" i="5"/>
  <c r="F142" i="5"/>
  <c r="G78" i="5"/>
  <c r="F78" i="5"/>
  <c r="G14" i="5"/>
  <c r="F14" i="5"/>
  <c r="G77" i="5"/>
  <c r="F77" i="5"/>
  <c r="G13" i="5"/>
  <c r="F13" i="5"/>
  <c r="G260" i="5"/>
  <c r="F260" i="5"/>
  <c r="G196" i="5"/>
  <c r="F196" i="5"/>
  <c r="G124" i="5"/>
  <c r="F124" i="5"/>
  <c r="G52" i="5"/>
  <c r="F52" i="5"/>
  <c r="G219" i="5"/>
  <c r="F219" i="5"/>
  <c r="G147" i="5"/>
  <c r="F147" i="5"/>
  <c r="G75" i="5"/>
  <c r="F75" i="5"/>
  <c r="F42" i="5"/>
  <c r="G42" i="5"/>
  <c r="G237" i="5"/>
  <c r="F237" i="5"/>
  <c r="F296" i="5"/>
  <c r="G296" i="5"/>
  <c r="F218" i="5"/>
  <c r="G218" i="5"/>
  <c r="G310" i="5"/>
  <c r="F310" i="5"/>
  <c r="G157" i="5"/>
  <c r="F157" i="5"/>
  <c r="F129" i="5"/>
  <c r="G129" i="5"/>
  <c r="F57" i="5"/>
  <c r="G57" i="5"/>
  <c r="F104" i="5"/>
  <c r="G104" i="5"/>
  <c r="F40" i="5"/>
  <c r="G40" i="5"/>
  <c r="G159" i="5"/>
  <c r="F159" i="5"/>
  <c r="G87" i="5"/>
  <c r="F87" i="5"/>
  <c r="G15" i="5"/>
  <c r="F15" i="5"/>
  <c r="F262" i="5"/>
  <c r="G262" i="5"/>
  <c r="F198" i="5"/>
  <c r="G198" i="5"/>
  <c r="F134" i="5"/>
  <c r="G134" i="5"/>
  <c r="F70" i="5"/>
  <c r="G70" i="5"/>
  <c r="G6" i="5"/>
  <c r="F6" i="5"/>
  <c r="G69" i="5"/>
  <c r="F69" i="5"/>
  <c r="G5" i="5"/>
  <c r="F5" i="5"/>
  <c r="G252" i="5"/>
  <c r="F252" i="5"/>
  <c r="G188" i="5"/>
  <c r="F188" i="5"/>
  <c r="G116" i="5"/>
  <c r="F116" i="5"/>
  <c r="G44" i="5"/>
  <c r="F44" i="5"/>
  <c r="G211" i="5"/>
  <c r="F211" i="5"/>
  <c r="G139" i="5"/>
  <c r="F139" i="5"/>
  <c r="G67" i="5"/>
  <c r="F67" i="5"/>
  <c r="G34" i="5"/>
  <c r="F34" i="5"/>
  <c r="G242" i="5"/>
  <c r="F242" i="5"/>
  <c r="G318" i="5"/>
  <c r="F318" i="5"/>
  <c r="G256" i="5"/>
  <c r="F256" i="5"/>
  <c r="G176" i="5"/>
  <c r="F176" i="5"/>
  <c r="G279" i="5"/>
  <c r="F279" i="5"/>
  <c r="G183" i="5"/>
  <c r="F183" i="5"/>
  <c r="G207" i="5"/>
  <c r="F207" i="5"/>
  <c r="G96" i="5"/>
  <c r="F96" i="5"/>
  <c r="G7" i="5"/>
  <c r="F7" i="5"/>
  <c r="G126" i="5"/>
  <c r="F126" i="5"/>
  <c r="G244" i="5"/>
  <c r="F244" i="5"/>
  <c r="G203" i="5"/>
  <c r="F203" i="5"/>
  <c r="G18" i="5"/>
  <c r="F18" i="5"/>
  <c r="G259" i="5"/>
  <c r="F259" i="5"/>
  <c r="G223" i="5"/>
  <c r="F223" i="5"/>
  <c r="F162" i="5"/>
  <c r="G162" i="5"/>
  <c r="G193" i="5"/>
  <c r="F193" i="5"/>
  <c r="F41" i="5"/>
  <c r="G41" i="5"/>
  <c r="G71" i="5"/>
  <c r="F71" i="5"/>
  <c r="F118" i="5"/>
  <c r="G118" i="5"/>
  <c r="G20" i="5"/>
  <c r="F20" i="5"/>
  <c r="F90" i="5"/>
  <c r="G90" i="5"/>
  <c r="F282" i="5"/>
  <c r="G282" i="5"/>
  <c r="G325" i="5"/>
  <c r="F325" i="5"/>
  <c r="F249" i="5"/>
  <c r="G249" i="5"/>
  <c r="G133" i="5"/>
  <c r="F133" i="5"/>
  <c r="F201" i="5"/>
  <c r="G201" i="5"/>
  <c r="G300" i="5"/>
  <c r="F300" i="5"/>
  <c r="G331" i="5"/>
  <c r="F331" i="5"/>
  <c r="G257" i="5"/>
  <c r="F257" i="5"/>
  <c r="G149" i="5"/>
  <c r="F149" i="5"/>
  <c r="G224" i="5"/>
  <c r="F224" i="5"/>
  <c r="G209" i="5"/>
  <c r="F209" i="5"/>
  <c r="G287" i="5"/>
  <c r="F287" i="5"/>
  <c r="F336" i="5"/>
  <c r="G336" i="5"/>
  <c r="F264" i="5"/>
  <c r="G264" i="5"/>
  <c r="G141" i="5"/>
  <c r="F141" i="5"/>
  <c r="G273" i="5"/>
  <c r="F273" i="5"/>
  <c r="G181" i="5"/>
  <c r="F181" i="5"/>
  <c r="G229" i="5"/>
  <c r="F229" i="5"/>
  <c r="G177" i="5"/>
  <c r="F177" i="5"/>
  <c r="F105" i="5"/>
  <c r="G105" i="5"/>
  <c r="G33" i="5"/>
  <c r="F33" i="5"/>
  <c r="G80" i="5"/>
  <c r="F80" i="5"/>
  <c r="G16" i="5"/>
  <c r="F16" i="5"/>
  <c r="G135" i="5"/>
  <c r="F135" i="5"/>
  <c r="G55" i="5"/>
  <c r="F55" i="5"/>
  <c r="G238" i="5"/>
  <c r="F238" i="5"/>
  <c r="G174" i="5"/>
  <c r="F174" i="5"/>
  <c r="G110" i="5"/>
  <c r="F110" i="5"/>
  <c r="G46" i="5"/>
  <c r="F46" i="5"/>
  <c r="G117" i="5"/>
  <c r="F117" i="5"/>
  <c r="G45" i="5"/>
  <c r="F45" i="5"/>
  <c r="G292" i="5"/>
  <c r="F292" i="5"/>
  <c r="G228" i="5"/>
  <c r="F228" i="5"/>
  <c r="G156" i="5"/>
  <c r="F156" i="5"/>
  <c r="G84" i="5"/>
  <c r="F84" i="5"/>
  <c r="G12" i="5"/>
  <c r="F12" i="5"/>
  <c r="G187" i="5"/>
  <c r="F187" i="5"/>
  <c r="G115" i="5"/>
  <c r="F115" i="5"/>
  <c r="G43" i="5"/>
  <c r="F43" i="5"/>
  <c r="G82" i="5"/>
  <c r="F82" i="5"/>
  <c r="F281" i="5"/>
  <c r="G281" i="5"/>
  <c r="G289" i="5"/>
  <c r="F289" i="5"/>
  <c r="F122" i="5"/>
  <c r="G122" i="5"/>
  <c r="F298" i="5"/>
  <c r="G298" i="5"/>
  <c r="G302" i="5"/>
  <c r="F302" i="5"/>
  <c r="F226" i="5"/>
  <c r="G226" i="5"/>
  <c r="F186" i="5"/>
  <c r="G186" i="5"/>
  <c r="F329" i="5"/>
  <c r="G329" i="5"/>
  <c r="F250" i="5"/>
  <c r="G250" i="5"/>
  <c r="G49" i="5"/>
  <c r="F49" i="5"/>
  <c r="G79" i="5"/>
  <c r="F79" i="5"/>
  <c r="G62" i="5"/>
  <c r="F62" i="5"/>
  <c r="G28" i="5"/>
  <c r="F28" i="5"/>
  <c r="G98" i="5"/>
  <c r="F98" i="5"/>
  <c r="F26" i="5"/>
  <c r="G26" i="5"/>
  <c r="F330" i="5"/>
  <c r="G330" i="5"/>
  <c r="F154" i="5"/>
  <c r="G154" i="5"/>
  <c r="G267" i="5"/>
  <c r="F267" i="5"/>
  <c r="F106" i="5"/>
  <c r="G106" i="5"/>
  <c r="G143" i="5"/>
  <c r="F143" i="5"/>
  <c r="G182" i="5"/>
  <c r="F182" i="5"/>
  <c r="G53" i="5"/>
  <c r="F53" i="5"/>
  <c r="G92" i="5"/>
  <c r="F92" i="5"/>
  <c r="G51" i="5"/>
  <c r="F51" i="5"/>
  <c r="G272" i="5"/>
  <c r="F272" i="5"/>
  <c r="G332" i="5"/>
  <c r="F332" i="5"/>
  <c r="G323" i="5"/>
  <c r="F323" i="5"/>
  <c r="G128" i="5"/>
  <c r="F128" i="5"/>
  <c r="F265" i="5"/>
  <c r="G265" i="5"/>
  <c r="F120" i="5"/>
  <c r="G120" i="5"/>
  <c r="G263" i="5"/>
  <c r="F263" i="5"/>
  <c r="F169" i="5"/>
  <c r="G169" i="5"/>
  <c r="F72" i="5"/>
  <c r="G72" i="5"/>
  <c r="G47" i="5"/>
  <c r="F47" i="5"/>
  <c r="F230" i="5"/>
  <c r="G230" i="5"/>
  <c r="G38" i="5"/>
  <c r="F38" i="5"/>
  <c r="G284" i="5"/>
  <c r="F284" i="5"/>
  <c r="G76" i="5"/>
  <c r="F76" i="5"/>
  <c r="G107" i="5"/>
  <c r="F107" i="5"/>
  <c r="G63" i="5"/>
  <c r="F63" i="5"/>
  <c r="G127" i="5"/>
  <c r="F127" i="5"/>
  <c r="G255" i="5"/>
  <c r="F255" i="5"/>
  <c r="G17" i="5"/>
  <c r="F17" i="5"/>
  <c r="G81" i="5"/>
  <c r="F81" i="5"/>
  <c r="G145" i="5"/>
  <c r="F145" i="5"/>
  <c r="F66" i="5"/>
  <c r="G66" i="5"/>
  <c r="F138" i="5"/>
  <c r="G138" i="5"/>
  <c r="G10" i="5"/>
  <c r="F10" i="5"/>
  <c r="G35" i="5"/>
  <c r="F35" i="5"/>
  <c r="G99" i="5"/>
  <c r="F99" i="5"/>
  <c r="G163" i="5"/>
  <c r="F163" i="5"/>
  <c r="G109" i="5"/>
  <c r="F109" i="5"/>
  <c r="G36" i="5"/>
  <c r="F36" i="5"/>
  <c r="G100" i="5"/>
  <c r="F100" i="5"/>
  <c r="G164" i="5"/>
  <c r="F164" i="5"/>
  <c r="G326" i="5"/>
  <c r="F326" i="5"/>
  <c r="G191" i="5"/>
  <c r="F191" i="5"/>
  <c r="F200" i="5"/>
  <c r="G200" i="5"/>
  <c r="G324" i="5"/>
  <c r="F324" i="5"/>
  <c r="G245" i="5"/>
  <c r="F245" i="5"/>
  <c r="F136" i="5"/>
  <c r="G136" i="5"/>
  <c r="G32" i="5"/>
  <c r="F32" i="5"/>
  <c r="G254" i="5"/>
  <c r="F254" i="5"/>
  <c r="G180" i="5"/>
  <c r="F180" i="5"/>
  <c r="G131" i="5"/>
  <c r="F131" i="5"/>
  <c r="G333" i="5"/>
  <c r="F333" i="5"/>
  <c r="G308" i="5"/>
  <c r="F308" i="5"/>
  <c r="F234" i="5"/>
  <c r="G234" i="5"/>
  <c r="G274" i="5"/>
  <c r="F274" i="5"/>
  <c r="G283" i="5"/>
  <c r="F283" i="5"/>
  <c r="G113" i="5"/>
  <c r="F113" i="5"/>
  <c r="G24" i="5"/>
  <c r="F24" i="5"/>
  <c r="G246" i="5"/>
  <c r="F246" i="5"/>
  <c r="G172" i="5"/>
  <c r="F172" i="5"/>
  <c r="G123" i="5"/>
  <c r="F123" i="5"/>
  <c r="G239" i="5"/>
  <c r="F239" i="5"/>
  <c r="F290" i="5"/>
  <c r="G290" i="5"/>
  <c r="G210" i="5"/>
  <c r="F210" i="5"/>
  <c r="F314" i="5"/>
  <c r="G314" i="5"/>
  <c r="G253" i="5"/>
  <c r="F253" i="5"/>
  <c r="G335" i="5"/>
  <c r="F335" i="5"/>
  <c r="F217" i="5"/>
  <c r="G217" i="5"/>
  <c r="G25" i="5"/>
  <c r="F25" i="5"/>
  <c r="G119" i="5"/>
  <c r="F119" i="5"/>
  <c r="F166" i="5"/>
  <c r="G166" i="5"/>
  <c r="G101" i="5"/>
  <c r="F101" i="5"/>
  <c r="G220" i="5"/>
  <c r="F220" i="5"/>
  <c r="G4" i="5"/>
  <c r="F4" i="5"/>
  <c r="G27" i="5"/>
  <c r="F27" i="5"/>
  <c r="G261" i="5"/>
  <c r="F261" i="5"/>
  <c r="G309" i="5"/>
  <c r="F309" i="5"/>
  <c r="G227" i="5"/>
  <c r="F227" i="5"/>
  <c r="G316" i="5"/>
  <c r="F316" i="5"/>
  <c r="G173" i="5"/>
  <c r="F173" i="5"/>
  <c r="F280" i="5"/>
  <c r="G280" i="5"/>
  <c r="G315" i="5"/>
  <c r="F315" i="5"/>
  <c r="G235" i="5"/>
  <c r="F235" i="5"/>
  <c r="G199" i="5"/>
  <c r="F199" i="5"/>
  <c r="F184" i="5"/>
  <c r="G184" i="5"/>
  <c r="G288" i="5"/>
  <c r="F288" i="5"/>
  <c r="G243" i="5"/>
  <c r="F243" i="5"/>
  <c r="F320" i="5"/>
  <c r="G320" i="5"/>
  <c r="F232" i="5"/>
  <c r="G232" i="5"/>
  <c r="F313" i="5"/>
  <c r="G313" i="5"/>
  <c r="G327" i="5"/>
  <c r="F327" i="5"/>
  <c r="G251" i="5"/>
  <c r="F251" i="5"/>
  <c r="G114" i="5"/>
  <c r="F114" i="5"/>
  <c r="G205" i="5"/>
  <c r="F205" i="5"/>
  <c r="G161" i="5"/>
  <c r="F161" i="5"/>
  <c r="G89" i="5"/>
  <c r="F89" i="5"/>
  <c r="G9" i="5"/>
  <c r="F9" i="5"/>
  <c r="G64" i="5"/>
  <c r="F64" i="5"/>
  <c r="G111" i="5"/>
  <c r="F111" i="5"/>
  <c r="G39" i="5"/>
  <c r="F39" i="5"/>
  <c r="G286" i="5"/>
  <c r="F286" i="5"/>
  <c r="G222" i="5"/>
  <c r="F222" i="5"/>
  <c r="G158" i="5"/>
  <c r="F158" i="5"/>
  <c r="G94" i="5"/>
  <c r="F94" i="5"/>
  <c r="G30" i="5"/>
  <c r="F30" i="5"/>
  <c r="G93" i="5"/>
  <c r="F93" i="5"/>
  <c r="G29" i="5"/>
  <c r="F29" i="5"/>
  <c r="G276" i="5"/>
  <c r="F276" i="5"/>
  <c r="G212" i="5"/>
  <c r="F212" i="5"/>
  <c r="G140" i="5"/>
  <c r="F140" i="5"/>
  <c r="G68" i="5"/>
  <c r="F68" i="5"/>
  <c r="G171" i="5"/>
  <c r="F171" i="5"/>
  <c r="G91" i="5"/>
  <c r="F91" i="5"/>
  <c r="G19" i="5"/>
  <c r="F19" i="5"/>
  <c r="F58" i="5"/>
  <c r="G58" i="5"/>
  <c r="E316" i="5"/>
  <c r="E247" i="5"/>
  <c r="E336" i="5"/>
  <c r="E283" i="5"/>
  <c r="E129" i="5"/>
  <c r="E47" i="5"/>
  <c r="E102" i="5"/>
  <c r="E164" i="5"/>
  <c r="E211" i="5"/>
  <c r="E19" i="5"/>
  <c r="E334" i="5"/>
  <c r="E216" i="5"/>
  <c r="E265" i="5"/>
  <c r="E106" i="5"/>
  <c r="E48" i="5"/>
  <c r="E222" i="5"/>
  <c r="E30" i="5"/>
  <c r="E220" i="5"/>
  <c r="E139" i="5"/>
  <c r="E291" i="5"/>
  <c r="E307" i="5"/>
  <c r="E306" i="5"/>
  <c r="E243" i="5"/>
  <c r="E242" i="5"/>
  <c r="E321" i="5"/>
  <c r="E160" i="5"/>
  <c r="E229" i="5"/>
  <c r="E49" i="5"/>
  <c r="E104" i="5"/>
  <c r="E40" i="5"/>
  <c r="E159" i="5"/>
  <c r="E31" i="5"/>
  <c r="E278" i="5"/>
  <c r="E214" i="5"/>
  <c r="E150" i="5"/>
  <c r="E86" i="5"/>
  <c r="E22" i="5"/>
  <c r="E93" i="5"/>
  <c r="E29" i="5"/>
  <c r="E276" i="5"/>
  <c r="E212" i="5"/>
  <c r="E148" i="5"/>
  <c r="E84" i="5"/>
  <c r="E20" i="5"/>
  <c r="E195" i="5"/>
  <c r="E131" i="5"/>
  <c r="E67" i="5"/>
  <c r="E50" i="5"/>
  <c r="E318" i="5"/>
  <c r="E281" i="5"/>
  <c r="E191" i="5"/>
  <c r="E237" i="5"/>
  <c r="E299" i="5"/>
  <c r="E213" i="5"/>
  <c r="E266" i="5"/>
  <c r="E168" i="5"/>
  <c r="E165" i="5"/>
  <c r="E277" i="5"/>
  <c r="E233" i="5"/>
  <c r="E312" i="5"/>
  <c r="E232" i="5"/>
  <c r="E313" i="5"/>
  <c r="E327" i="5"/>
  <c r="E251" i="5"/>
  <c r="E138" i="5"/>
  <c r="E217" i="5"/>
  <c r="E169" i="5"/>
  <c r="E105" i="5"/>
  <c r="E41" i="5"/>
  <c r="E96" i="5"/>
  <c r="E32" i="5"/>
  <c r="E151" i="5"/>
  <c r="E87" i="5"/>
  <c r="E23" i="5"/>
  <c r="E270" i="5"/>
  <c r="E206" i="5"/>
  <c r="E142" i="5"/>
  <c r="E78" i="5"/>
  <c r="E14" i="5"/>
  <c r="E85" i="5"/>
  <c r="E21" i="5"/>
  <c r="E268" i="5"/>
  <c r="E204" i="5"/>
  <c r="E140" i="5"/>
  <c r="E76" i="5"/>
  <c r="E12" i="5"/>
  <c r="E187" i="5"/>
  <c r="E123" i="5"/>
  <c r="E59" i="5"/>
  <c r="E42" i="5"/>
  <c r="E65" i="5"/>
  <c r="E292" i="5"/>
  <c r="E152" i="5"/>
  <c r="E253" i="5"/>
  <c r="E112" i="5"/>
  <c r="E101" i="5"/>
  <c r="E58" i="5"/>
  <c r="E288" i="5"/>
  <c r="E176" i="5"/>
  <c r="E146" i="5"/>
  <c r="E221" i="5"/>
  <c r="E241" i="5"/>
  <c r="E15" i="5"/>
  <c r="E70" i="5"/>
  <c r="E13" i="5"/>
  <c r="E4" i="5"/>
  <c r="E98" i="5"/>
  <c r="E280" i="5"/>
  <c r="E210" i="5"/>
  <c r="E162" i="5"/>
  <c r="E250" i="5"/>
  <c r="E175" i="5"/>
  <c r="E166" i="5"/>
  <c r="E45" i="5"/>
  <c r="E36" i="5"/>
  <c r="E83" i="5"/>
  <c r="E301" i="5"/>
  <c r="E258" i="5"/>
  <c r="E197" i="5"/>
  <c r="E328" i="5"/>
  <c r="E181" i="5"/>
  <c r="E121" i="5"/>
  <c r="E39" i="5"/>
  <c r="E158" i="5"/>
  <c r="E37" i="5"/>
  <c r="E28" i="5"/>
  <c r="E75" i="5"/>
  <c r="E326" i="5"/>
  <c r="E202" i="5"/>
  <c r="E225" i="5"/>
  <c r="E185" i="5"/>
  <c r="E320" i="5"/>
  <c r="E120" i="5"/>
  <c r="E335" i="5"/>
  <c r="E177" i="5"/>
  <c r="E302" i="5"/>
  <c r="E271" i="5"/>
  <c r="E226" i="5"/>
  <c r="E324" i="5"/>
  <c r="E289" i="5"/>
  <c r="E200" i="5"/>
  <c r="E256" i="5"/>
  <c r="E144" i="5"/>
  <c r="E304" i="5"/>
  <c r="E297" i="5"/>
  <c r="E319" i="5"/>
  <c r="E114" i="5"/>
  <c r="E205" i="5"/>
  <c r="E161" i="5"/>
  <c r="E97" i="5"/>
  <c r="E33" i="5"/>
  <c r="E88" i="5"/>
  <c r="E24" i="5"/>
  <c r="E143" i="5"/>
  <c r="E79" i="5"/>
  <c r="E262" i="5"/>
  <c r="E198" i="5"/>
  <c r="E134" i="5"/>
  <c r="E6" i="5"/>
  <c r="E77" i="5"/>
  <c r="E260" i="5"/>
  <c r="E196" i="5"/>
  <c r="E132" i="5"/>
  <c r="E68" i="5"/>
  <c r="E179" i="5"/>
  <c r="E115" i="5"/>
  <c r="E51" i="5"/>
  <c r="E34" i="5"/>
  <c r="E330" i="5"/>
  <c r="E293" i="5"/>
  <c r="E333" i="5"/>
  <c r="E259" i="5"/>
  <c r="E154" i="5"/>
  <c r="E215" i="5"/>
  <c r="E308" i="5"/>
  <c r="E279" i="5"/>
  <c r="E186" i="5"/>
  <c r="E245" i="5"/>
  <c r="E125" i="5"/>
  <c r="E122" i="5"/>
  <c r="E296" i="5"/>
  <c r="E208" i="5"/>
  <c r="E322" i="5"/>
  <c r="E275" i="5"/>
  <c r="E311" i="5"/>
  <c r="E231" i="5"/>
  <c r="E192" i="5"/>
  <c r="E153" i="5"/>
  <c r="E89" i="5"/>
  <c r="E25" i="5"/>
  <c r="E80" i="5"/>
  <c r="E16" i="5"/>
  <c r="E135" i="5"/>
  <c r="E71" i="5"/>
  <c r="E7" i="5"/>
  <c r="E254" i="5"/>
  <c r="E190" i="5"/>
  <c r="E126" i="5"/>
  <c r="E62" i="5"/>
  <c r="E69" i="5"/>
  <c r="E5" i="5"/>
  <c r="E252" i="5"/>
  <c r="E188" i="5"/>
  <c r="E124" i="5"/>
  <c r="E60" i="5"/>
  <c r="E171" i="5"/>
  <c r="E107" i="5"/>
  <c r="E43" i="5"/>
  <c r="E90" i="5"/>
  <c r="E26" i="5"/>
  <c r="E261" i="5"/>
  <c r="E287" i="5"/>
  <c r="E56" i="5"/>
  <c r="E228" i="5"/>
  <c r="E66" i="5"/>
  <c r="E269" i="5"/>
  <c r="E199" i="5"/>
  <c r="E314" i="5"/>
  <c r="E141" i="5"/>
  <c r="E240" i="5"/>
  <c r="E57" i="5"/>
  <c r="E286" i="5"/>
  <c r="E94" i="5"/>
  <c r="E284" i="5"/>
  <c r="E203" i="5"/>
  <c r="E11" i="5"/>
  <c r="E130" i="5"/>
  <c r="E249" i="5"/>
  <c r="E300" i="5"/>
  <c r="E234" i="5"/>
  <c r="E18" i="5"/>
  <c r="E227" i="5"/>
  <c r="E235" i="5"/>
  <c r="E103" i="5"/>
  <c r="E156" i="5"/>
  <c r="E3" i="5"/>
  <c r="E282" i="5"/>
  <c r="E325" i="5"/>
  <c r="E133" i="5"/>
  <c r="E201" i="5"/>
  <c r="E267" i="5"/>
  <c r="E170" i="5"/>
  <c r="E255" i="5"/>
  <c r="E329" i="5"/>
  <c r="E285" i="5"/>
  <c r="E194" i="5"/>
  <c r="E298" i="5"/>
  <c r="E303" i="5"/>
  <c r="E218" i="5"/>
  <c r="E178" i="5"/>
  <c r="E145" i="5"/>
  <c r="E81" i="5"/>
  <c r="E17" i="5"/>
  <c r="E72" i="5"/>
  <c r="E8" i="5"/>
  <c r="E127" i="5"/>
  <c r="E63" i="5"/>
  <c r="E246" i="5"/>
  <c r="E182" i="5"/>
  <c r="E118" i="5"/>
  <c r="E54" i="5"/>
  <c r="E61" i="5"/>
  <c r="E244" i="5"/>
  <c r="E180" i="5"/>
  <c r="E116" i="5"/>
  <c r="E52" i="5"/>
  <c r="E163" i="5"/>
  <c r="E99" i="5"/>
  <c r="E35" i="5"/>
  <c r="E82" i="5"/>
  <c r="E272" i="5"/>
  <c r="E317" i="5"/>
  <c r="E239" i="5"/>
  <c r="E332" i="5"/>
  <c r="E189" i="5"/>
  <c r="E290" i="5"/>
  <c r="E331" i="5"/>
  <c r="E257" i="5"/>
  <c r="E149" i="5"/>
  <c r="E224" i="5"/>
  <c r="E223" i="5"/>
  <c r="E305" i="5"/>
  <c r="E274" i="5"/>
  <c r="E183" i="5"/>
  <c r="E295" i="5"/>
  <c r="E207" i="5"/>
  <c r="E310" i="5"/>
  <c r="E157" i="5"/>
  <c r="E137" i="5"/>
  <c r="E73" i="5"/>
  <c r="E9" i="5"/>
  <c r="E64" i="5"/>
  <c r="E119" i="5"/>
  <c r="E55" i="5"/>
  <c r="E238" i="5"/>
  <c r="E174" i="5"/>
  <c r="E110" i="5"/>
  <c r="E46" i="5"/>
  <c r="E117" i="5"/>
  <c r="E53" i="5"/>
  <c r="E236" i="5"/>
  <c r="E172" i="5"/>
  <c r="E108" i="5"/>
  <c r="E44" i="5"/>
  <c r="E219" i="5"/>
  <c r="E155" i="5"/>
  <c r="E91" i="5"/>
  <c r="E27" i="5"/>
  <c r="E74" i="5"/>
  <c r="E10" i="5"/>
  <c r="E173" i="5"/>
  <c r="E128" i="5"/>
  <c r="E264" i="5"/>
  <c r="E193" i="5"/>
  <c r="E294" i="5"/>
  <c r="E38" i="5"/>
  <c r="E100" i="5"/>
  <c r="E147" i="5"/>
  <c r="E309" i="5"/>
  <c r="E323" i="5"/>
  <c r="E209" i="5"/>
  <c r="E136" i="5"/>
  <c r="E111" i="5"/>
  <c r="E230" i="5"/>
  <c r="E109" i="5"/>
  <c r="E315" i="5"/>
  <c r="E273" i="5"/>
  <c r="E167" i="5"/>
  <c r="E92" i="5"/>
  <c r="E248" i="5"/>
  <c r="E184" i="5"/>
  <c r="E263" i="5"/>
  <c r="E113" i="5"/>
  <c r="E95" i="5"/>
  <c r="I175" i="5" l="1"/>
  <c r="I280" i="5"/>
  <c r="I272" i="5"/>
  <c r="J272" i="5" s="1"/>
  <c r="I287" i="5"/>
  <c r="I41" i="5"/>
  <c r="J41" i="5" s="1"/>
  <c r="I169" i="5"/>
  <c r="J169" i="5" s="1"/>
  <c r="I138" i="5"/>
  <c r="J138" i="5" s="1"/>
  <c r="I242" i="5"/>
  <c r="J242" i="5" s="1"/>
  <c r="I306" i="5"/>
  <c r="I291" i="5"/>
  <c r="I297" i="5"/>
  <c r="J297" i="5" s="1"/>
  <c r="I304" i="5"/>
  <c r="J304" i="5" s="1"/>
  <c r="I204" i="5"/>
  <c r="J204" i="5" s="1"/>
  <c r="I142" i="5"/>
  <c r="J142" i="5" s="1"/>
  <c r="I270" i="5"/>
  <c r="J270" i="5" s="1"/>
  <c r="I152" i="5"/>
  <c r="J152" i="5" s="1"/>
  <c r="I211" i="5"/>
  <c r="J211" i="5" s="1"/>
  <c r="I165" i="5"/>
  <c r="J165" i="5" s="1"/>
  <c r="I266" i="5"/>
  <c r="I67" i="5"/>
  <c r="J67" i="5" s="1"/>
  <c r="I195" i="5"/>
  <c r="J195" i="5" s="1"/>
  <c r="I150" i="5"/>
  <c r="J150" i="5" s="1"/>
  <c r="I71" i="5"/>
  <c r="J71" i="5" s="1"/>
  <c r="I16" i="5"/>
  <c r="J16" i="5" s="1"/>
  <c r="I293" i="5"/>
  <c r="I4" i="5"/>
  <c r="J4" i="5" s="1"/>
  <c r="I70" i="5"/>
  <c r="J70" i="5" s="1"/>
  <c r="I303" i="5"/>
  <c r="J303" i="5" s="1"/>
  <c r="I66" i="5"/>
  <c r="J66" i="5" s="1"/>
  <c r="I261" i="5"/>
  <c r="J261" i="5" s="1"/>
  <c r="I89" i="5"/>
  <c r="J89" i="5" s="1"/>
  <c r="I193" i="5"/>
  <c r="J193" i="5" s="1"/>
  <c r="I46" i="5"/>
  <c r="J46" i="5" s="1"/>
  <c r="I73" i="5"/>
  <c r="J73" i="5" s="1"/>
  <c r="I149" i="5"/>
  <c r="J149" i="5" s="1"/>
  <c r="I189" i="5"/>
  <c r="J189" i="5" s="1"/>
  <c r="I133" i="5"/>
  <c r="J133" i="5" s="1"/>
  <c r="I282" i="5"/>
  <c r="J282" i="5" s="1"/>
  <c r="I308" i="5"/>
  <c r="J308" i="5" s="1"/>
  <c r="I51" i="5"/>
  <c r="J51" i="5" s="1"/>
  <c r="I179" i="5"/>
  <c r="I6" i="5"/>
  <c r="J6" i="5" s="1"/>
  <c r="I140" i="5"/>
  <c r="J140" i="5" s="1"/>
  <c r="I102" i="5"/>
  <c r="J102" i="5" s="1"/>
  <c r="I300" i="5"/>
  <c r="J300" i="5" s="1"/>
  <c r="I130" i="5"/>
  <c r="J130" i="5" s="1"/>
  <c r="I203" i="5"/>
  <c r="J203" i="5" s="1"/>
  <c r="I57" i="5"/>
  <c r="J57" i="5" s="1"/>
  <c r="I141" i="5"/>
  <c r="J141" i="5" s="1"/>
  <c r="I183" i="5"/>
  <c r="J183" i="5" s="1"/>
  <c r="I25" i="5"/>
  <c r="J25" i="5" s="1"/>
  <c r="I153" i="5"/>
  <c r="J153" i="5" s="1"/>
  <c r="I302" i="5"/>
  <c r="J302" i="5" s="1"/>
  <c r="I177" i="5"/>
  <c r="J177" i="5" s="1"/>
  <c r="I232" i="5"/>
  <c r="J179" i="5"/>
  <c r="I210" i="5"/>
  <c r="J210" i="5" s="1"/>
  <c r="I29" i="5"/>
  <c r="I159" i="5"/>
  <c r="J159" i="5" s="1"/>
  <c r="I104" i="5"/>
  <c r="J104" i="5" s="1"/>
  <c r="I106" i="5"/>
  <c r="J106" i="5" s="1"/>
  <c r="I294" i="5"/>
  <c r="J294" i="5" s="1"/>
  <c r="I117" i="5"/>
  <c r="J117" i="5" s="1"/>
  <c r="I110" i="5"/>
  <c r="J110" i="5" s="1"/>
  <c r="I238" i="5"/>
  <c r="J238" i="5" s="1"/>
  <c r="I9" i="5"/>
  <c r="J9" i="5" s="1"/>
  <c r="I137" i="5"/>
  <c r="J137" i="5" s="1"/>
  <c r="I310" i="5"/>
  <c r="J310" i="5" s="1"/>
  <c r="I332" i="5"/>
  <c r="J332" i="5" s="1"/>
  <c r="I317" i="5"/>
  <c r="J317" i="5" s="1"/>
  <c r="I163" i="5"/>
  <c r="J163" i="5" s="1"/>
  <c r="I116" i="5"/>
  <c r="J116" i="5" s="1"/>
  <c r="I329" i="5"/>
  <c r="J329" i="5" s="1"/>
  <c r="I255" i="5"/>
  <c r="J255" i="5" s="1"/>
  <c r="I267" i="5"/>
  <c r="J267" i="5" s="1"/>
  <c r="I215" i="5"/>
  <c r="J215" i="5" s="1"/>
  <c r="I259" i="5"/>
  <c r="J259" i="5" s="1"/>
  <c r="I34" i="5"/>
  <c r="J34" i="5" s="1"/>
  <c r="I115" i="5"/>
  <c r="J115" i="5" s="1"/>
  <c r="I68" i="5"/>
  <c r="J68" i="5" s="1"/>
  <c r="I196" i="5"/>
  <c r="J196" i="5" s="1"/>
  <c r="I77" i="5"/>
  <c r="J77" i="5" s="1"/>
  <c r="I134" i="5"/>
  <c r="J134" i="5" s="1"/>
  <c r="J287" i="5"/>
  <c r="I292" i="5"/>
  <c r="J292" i="5" s="1"/>
  <c r="I113" i="5"/>
  <c r="J113" i="5" s="1"/>
  <c r="I92" i="5"/>
  <c r="J92" i="5" s="1"/>
  <c r="I249" i="5"/>
  <c r="J249" i="5" s="1"/>
  <c r="I240" i="5"/>
  <c r="J240" i="5" s="1"/>
  <c r="I122" i="5"/>
  <c r="J122" i="5" s="1"/>
  <c r="I312" i="5"/>
  <c r="J312" i="5" s="1"/>
  <c r="I277" i="5"/>
  <c r="J277" i="5" s="1"/>
  <c r="I213" i="5"/>
  <c r="J213" i="5" s="1"/>
  <c r="I50" i="5"/>
  <c r="J50" i="5" s="1"/>
  <c r="I131" i="5"/>
  <c r="J131" i="5" s="1"/>
  <c r="I7" i="5"/>
  <c r="J7" i="5" s="1"/>
  <c r="I135" i="5"/>
  <c r="J135" i="5" s="1"/>
  <c r="I333" i="5"/>
  <c r="J333" i="5" s="1"/>
  <c r="I330" i="5"/>
  <c r="J330" i="5" s="1"/>
  <c r="I98" i="5"/>
  <c r="J98" i="5" s="1"/>
  <c r="I13" i="5"/>
  <c r="J13" i="5" s="1"/>
  <c r="I31" i="5"/>
  <c r="J31" i="5" s="1"/>
  <c r="I40" i="5"/>
  <c r="J40" i="5" s="1"/>
  <c r="I139" i="5"/>
  <c r="J139" i="5" s="1"/>
  <c r="I209" i="5"/>
  <c r="J209" i="5" s="1"/>
  <c r="I309" i="5"/>
  <c r="J309" i="5" s="1"/>
  <c r="I128" i="5"/>
  <c r="J128" i="5" s="1"/>
  <c r="I10" i="5"/>
  <c r="J10" i="5" s="1"/>
  <c r="C29" i="7" s="1" a="1"/>
  <c r="C29" i="7" s="1"/>
  <c r="I274" i="5"/>
  <c r="J274" i="5" s="1"/>
  <c r="I182" i="5"/>
  <c r="J182" i="5" s="1"/>
  <c r="I8" i="5"/>
  <c r="J8" i="5" s="1"/>
  <c r="I17" i="5"/>
  <c r="J17" i="5" s="1"/>
  <c r="I145" i="5"/>
  <c r="J145" i="5" s="1"/>
  <c r="I103" i="5"/>
  <c r="J103" i="5" s="1"/>
  <c r="I235" i="5"/>
  <c r="J235" i="5" s="1"/>
  <c r="I227" i="5"/>
  <c r="J227" i="5" s="1"/>
  <c r="I94" i="5"/>
  <c r="J94" i="5" s="1"/>
  <c r="I199" i="5"/>
  <c r="J199" i="5" s="1"/>
  <c r="I90" i="5"/>
  <c r="J90" i="5" s="1"/>
  <c r="I322" i="5"/>
  <c r="J322" i="5" s="1"/>
  <c r="I296" i="5"/>
  <c r="J296" i="5" s="1"/>
  <c r="I125" i="5"/>
  <c r="J125" i="5" s="1"/>
  <c r="I186" i="5"/>
  <c r="J186" i="5" s="1"/>
  <c r="I132" i="5"/>
  <c r="J132" i="5" s="1"/>
  <c r="I260" i="5"/>
  <c r="J260" i="5" s="1"/>
  <c r="I198" i="5"/>
  <c r="J198" i="5" s="1"/>
  <c r="I33" i="5"/>
  <c r="J33" i="5" s="1"/>
  <c r="I161" i="5"/>
  <c r="I114" i="5"/>
  <c r="J114" i="5" s="1"/>
  <c r="I200" i="5"/>
  <c r="J200" i="5" s="1"/>
  <c r="I226" i="5"/>
  <c r="J226" i="5" s="1"/>
  <c r="I335" i="5"/>
  <c r="J335" i="5" s="1"/>
  <c r="I320" i="5"/>
  <c r="J320" i="5" s="1"/>
  <c r="I326" i="5"/>
  <c r="I28" i="5"/>
  <c r="J28" i="5" s="1"/>
  <c r="I158" i="5"/>
  <c r="J158" i="5" s="1"/>
  <c r="I241" i="5"/>
  <c r="J241" i="5" s="1"/>
  <c r="I146" i="5"/>
  <c r="J146" i="5" s="1"/>
  <c r="I268" i="5"/>
  <c r="J268" i="5" s="1"/>
  <c r="I85" i="5"/>
  <c r="J85" i="5" s="1"/>
  <c r="I78" i="5"/>
  <c r="J78" i="5" s="1"/>
  <c r="I206" i="5"/>
  <c r="J206" i="5" s="1"/>
  <c r="I105" i="5"/>
  <c r="I168" i="5"/>
  <c r="J168" i="5" s="1"/>
  <c r="I20" i="5"/>
  <c r="J20" i="5" s="1"/>
  <c r="I148" i="5"/>
  <c r="J148" i="5" s="1"/>
  <c r="I321" i="5"/>
  <c r="J321" i="5" s="1"/>
  <c r="I100" i="5"/>
  <c r="I27" i="5"/>
  <c r="J27" i="5" s="1"/>
  <c r="I155" i="5"/>
  <c r="J155" i="5" s="1"/>
  <c r="I44" i="5"/>
  <c r="J44" i="5" s="1"/>
  <c r="I172" i="5"/>
  <c r="J172" i="5" s="1"/>
  <c r="I53" i="5"/>
  <c r="J53" i="5" s="1"/>
  <c r="I305" i="5"/>
  <c r="J305" i="5" s="1"/>
  <c r="I244" i="5"/>
  <c r="J244" i="5" s="1"/>
  <c r="I54" i="5"/>
  <c r="I63" i="5"/>
  <c r="J63" i="5" s="1"/>
  <c r="I194" i="5"/>
  <c r="J194" i="5" s="1"/>
  <c r="I201" i="5"/>
  <c r="J201" i="5" s="1"/>
  <c r="I325" i="5"/>
  <c r="J325" i="5" s="1"/>
  <c r="I3" i="5"/>
  <c r="J3" i="5" s="1"/>
  <c r="I107" i="5"/>
  <c r="J107" i="5" s="1"/>
  <c r="I60" i="5"/>
  <c r="J60" i="5" s="1"/>
  <c r="I188" i="5"/>
  <c r="J188" i="5" s="1"/>
  <c r="I5" i="5"/>
  <c r="J5" i="5" s="1"/>
  <c r="I62" i="5"/>
  <c r="J62" i="5" s="1"/>
  <c r="I190" i="5"/>
  <c r="J190" i="5" s="1"/>
  <c r="I79" i="5"/>
  <c r="J79" i="5" s="1"/>
  <c r="I24" i="5"/>
  <c r="J24" i="5" s="1"/>
  <c r="I225" i="5"/>
  <c r="J225" i="5" s="1"/>
  <c r="I121" i="5"/>
  <c r="J121" i="5" s="1"/>
  <c r="I83" i="5"/>
  <c r="J83" i="5" s="1"/>
  <c r="I23" i="5"/>
  <c r="J23" i="5" s="1"/>
  <c r="I151" i="5"/>
  <c r="J151" i="5" s="1"/>
  <c r="I96" i="5"/>
  <c r="J96" i="5" s="1"/>
  <c r="I217" i="5"/>
  <c r="J217" i="5" s="1"/>
  <c r="I251" i="5"/>
  <c r="J251" i="5" s="1"/>
  <c r="I237" i="5"/>
  <c r="J237" i="5" s="1"/>
  <c r="I276" i="5"/>
  <c r="J276" i="5" s="1"/>
  <c r="I93" i="5"/>
  <c r="J93" i="5" s="1"/>
  <c r="I86" i="5"/>
  <c r="J86" i="5" s="1"/>
  <c r="I243" i="5"/>
  <c r="J243" i="5" s="1"/>
  <c r="I307" i="5"/>
  <c r="J307" i="5" s="1"/>
  <c r="I220" i="5"/>
  <c r="J220" i="5" s="1"/>
  <c r="I334" i="5"/>
  <c r="J334" i="5" s="1"/>
  <c r="I283" i="5"/>
  <c r="J283" i="5" s="1"/>
  <c r="I247" i="5"/>
  <c r="J247" i="5" s="1"/>
  <c r="I184" i="5"/>
  <c r="J184" i="5" s="1"/>
  <c r="I328" i="5"/>
  <c r="J328" i="5" s="1"/>
  <c r="I258" i="5"/>
  <c r="J258" i="5" s="1"/>
  <c r="I45" i="5"/>
  <c r="J45" i="5" s="1"/>
  <c r="I162" i="5"/>
  <c r="J162" i="5" s="1"/>
  <c r="I288" i="5"/>
  <c r="J288" i="5" s="1"/>
  <c r="I101" i="5"/>
  <c r="J101" i="5" s="1"/>
  <c r="I253" i="5"/>
  <c r="J253" i="5" s="1"/>
  <c r="I59" i="5"/>
  <c r="J59" i="5" s="1"/>
  <c r="I187" i="5"/>
  <c r="J187" i="5" s="1"/>
  <c r="I76" i="5"/>
  <c r="J76" i="5" s="1"/>
  <c r="I313" i="5"/>
  <c r="J313" i="5" s="1"/>
  <c r="I281" i="5"/>
  <c r="J281" i="5" s="1"/>
  <c r="I318" i="5"/>
  <c r="J318" i="5" s="1"/>
  <c r="I214" i="5"/>
  <c r="J214" i="5" s="1"/>
  <c r="I49" i="5"/>
  <c r="J49" i="5" s="1"/>
  <c r="I160" i="5"/>
  <c r="J160" i="5" s="1"/>
  <c r="I222" i="5"/>
  <c r="J222" i="5" s="1"/>
  <c r="I263" i="5"/>
  <c r="J263" i="5" s="1"/>
  <c r="I167" i="5"/>
  <c r="J167" i="5" s="1"/>
  <c r="I273" i="5"/>
  <c r="J273" i="5" s="1"/>
  <c r="I109" i="5"/>
  <c r="J109" i="5" s="1"/>
  <c r="I111" i="5"/>
  <c r="J111" i="5" s="1"/>
  <c r="I264" i="5"/>
  <c r="J264" i="5" s="1"/>
  <c r="I173" i="5"/>
  <c r="J173" i="5" s="1"/>
  <c r="I174" i="5"/>
  <c r="J174" i="5" s="1"/>
  <c r="I55" i="5"/>
  <c r="J55" i="5" s="1"/>
  <c r="I64" i="5"/>
  <c r="J64" i="5" s="1"/>
  <c r="I157" i="5"/>
  <c r="J157" i="5" s="1"/>
  <c r="I207" i="5"/>
  <c r="J207" i="5" s="1"/>
  <c r="I223" i="5"/>
  <c r="J223" i="5" s="1"/>
  <c r="I331" i="5"/>
  <c r="J331" i="5" s="1"/>
  <c r="I239" i="5"/>
  <c r="J239" i="5" s="1"/>
  <c r="I82" i="5"/>
  <c r="J82" i="5" s="1"/>
  <c r="I99" i="5"/>
  <c r="J99" i="5" s="1"/>
  <c r="I52" i="5"/>
  <c r="J52" i="5" s="1"/>
  <c r="J54" i="5"/>
  <c r="I298" i="5"/>
  <c r="J298" i="5" s="1"/>
  <c r="I156" i="5"/>
  <c r="J156" i="5" s="1"/>
  <c r="I18" i="5"/>
  <c r="J18" i="5" s="1"/>
  <c r="I234" i="5"/>
  <c r="J234" i="5" s="1"/>
  <c r="I11" i="5"/>
  <c r="J11" i="5" s="1"/>
  <c r="I284" i="5"/>
  <c r="J284" i="5" s="1"/>
  <c r="I286" i="5"/>
  <c r="J286" i="5" s="1"/>
  <c r="I314" i="5"/>
  <c r="J314" i="5" s="1"/>
  <c r="I228" i="5"/>
  <c r="J228" i="5" s="1"/>
  <c r="I80" i="5"/>
  <c r="J80" i="5" s="1"/>
  <c r="I192" i="5"/>
  <c r="J192" i="5" s="1"/>
  <c r="I231" i="5"/>
  <c r="J231" i="5" s="1"/>
  <c r="J161" i="5"/>
  <c r="I256" i="5"/>
  <c r="J256" i="5" s="1"/>
  <c r="J326" i="5"/>
  <c r="J105" i="5"/>
  <c r="I129" i="5"/>
  <c r="J129" i="5" s="1"/>
  <c r="I323" i="5"/>
  <c r="J323" i="5" s="1"/>
  <c r="J100" i="5"/>
  <c r="I180" i="5"/>
  <c r="J180" i="5" s="1"/>
  <c r="I61" i="5"/>
  <c r="J61" i="5" s="1"/>
  <c r="I246" i="5"/>
  <c r="J246" i="5" s="1"/>
  <c r="I72" i="5"/>
  <c r="J72" i="5" s="1"/>
  <c r="I81" i="5"/>
  <c r="J81" i="5" s="1"/>
  <c r="I269" i="5"/>
  <c r="J269" i="5" s="1"/>
  <c r="I26" i="5"/>
  <c r="J26" i="5" s="1"/>
  <c r="I43" i="5"/>
  <c r="J43" i="5" s="1"/>
  <c r="I275" i="5"/>
  <c r="J275" i="5" s="1"/>
  <c r="I208" i="5"/>
  <c r="J208" i="5" s="1"/>
  <c r="I245" i="5"/>
  <c r="J245" i="5" s="1"/>
  <c r="I262" i="5"/>
  <c r="J262" i="5" s="1"/>
  <c r="I97" i="5"/>
  <c r="J97" i="5" s="1"/>
  <c r="I205" i="5"/>
  <c r="J205" i="5" s="1"/>
  <c r="I289" i="5"/>
  <c r="J289" i="5" s="1"/>
  <c r="I324" i="5"/>
  <c r="J324" i="5" s="1"/>
  <c r="I271" i="5"/>
  <c r="J271" i="5" s="1"/>
  <c r="I120" i="5"/>
  <c r="J120" i="5" s="1"/>
  <c r="I185" i="5"/>
  <c r="J185" i="5" s="1"/>
  <c r="I202" i="5"/>
  <c r="J202" i="5" s="1"/>
  <c r="I75" i="5"/>
  <c r="J75" i="5" s="1"/>
  <c r="I37" i="5"/>
  <c r="J37" i="5" s="1"/>
  <c r="I15" i="5"/>
  <c r="J15" i="5" s="1"/>
  <c r="I221" i="5"/>
  <c r="J221" i="5" s="1"/>
  <c r="I21" i="5"/>
  <c r="J21" i="5" s="1"/>
  <c r="I14" i="5"/>
  <c r="J14" i="5" s="1"/>
  <c r="I233" i="5"/>
  <c r="J233" i="5" s="1"/>
  <c r="I299" i="5"/>
  <c r="J299" i="5" s="1"/>
  <c r="I84" i="5"/>
  <c r="J84" i="5" s="1"/>
  <c r="I212" i="5"/>
  <c r="J212" i="5" s="1"/>
  <c r="I22" i="5"/>
  <c r="J22" i="5" s="1"/>
  <c r="I316" i="5"/>
  <c r="J316" i="5" s="1"/>
  <c r="I147" i="5"/>
  <c r="J147" i="5" s="1"/>
  <c r="I38" i="5"/>
  <c r="J38" i="5" s="1"/>
  <c r="I74" i="5"/>
  <c r="J74" i="5" s="1"/>
  <c r="I91" i="5"/>
  <c r="J91" i="5" s="1"/>
  <c r="I219" i="5"/>
  <c r="J219" i="5" s="1"/>
  <c r="I108" i="5"/>
  <c r="J108" i="5" s="1"/>
  <c r="I236" i="5"/>
  <c r="J236" i="5" s="1"/>
  <c r="I118" i="5"/>
  <c r="J118" i="5" s="1"/>
  <c r="I127" i="5"/>
  <c r="J127" i="5" s="1"/>
  <c r="I178" i="5"/>
  <c r="J178" i="5" s="1"/>
  <c r="I218" i="5"/>
  <c r="J218" i="5" s="1"/>
  <c r="I285" i="5"/>
  <c r="J285" i="5" s="1"/>
  <c r="I170" i="5"/>
  <c r="J170" i="5" s="1"/>
  <c r="I171" i="5"/>
  <c r="J171" i="5" s="1"/>
  <c r="I124" i="5"/>
  <c r="J124" i="5" s="1"/>
  <c r="I252" i="5"/>
  <c r="J252" i="5" s="1"/>
  <c r="I69" i="5"/>
  <c r="J69" i="5" s="1"/>
  <c r="I126" i="5"/>
  <c r="J126" i="5" s="1"/>
  <c r="I254" i="5"/>
  <c r="J254" i="5" s="1"/>
  <c r="I279" i="5"/>
  <c r="J279" i="5" s="1"/>
  <c r="I154" i="5"/>
  <c r="J154" i="5" s="1"/>
  <c r="J293" i="5"/>
  <c r="I143" i="5"/>
  <c r="J143" i="5" s="1"/>
  <c r="I88" i="5"/>
  <c r="J88" i="5" s="1"/>
  <c r="I319" i="5"/>
  <c r="J319" i="5" s="1"/>
  <c r="I39" i="5"/>
  <c r="J39" i="5" s="1"/>
  <c r="I181" i="5"/>
  <c r="J181" i="5" s="1"/>
  <c r="I197" i="5"/>
  <c r="J197" i="5" s="1"/>
  <c r="I301" i="5"/>
  <c r="J301" i="5" s="1"/>
  <c r="I36" i="5"/>
  <c r="J36" i="5" s="1"/>
  <c r="J175" i="5"/>
  <c r="J280" i="5"/>
  <c r="I58" i="5"/>
  <c r="J58" i="5" s="1"/>
  <c r="I87" i="5"/>
  <c r="J87" i="5" s="1"/>
  <c r="I32" i="5"/>
  <c r="J32" i="5" s="1"/>
  <c r="I327" i="5"/>
  <c r="J327" i="5" s="1"/>
  <c r="J232" i="5"/>
  <c r="I19" i="5"/>
  <c r="J19" i="5" s="1"/>
  <c r="I336" i="5"/>
  <c r="J336" i="5" s="1"/>
  <c r="I250" i="5"/>
  <c r="J250" i="5" s="1"/>
  <c r="I176" i="5"/>
  <c r="J176" i="5" s="1"/>
  <c r="I112" i="5"/>
  <c r="J112" i="5" s="1"/>
  <c r="I65" i="5"/>
  <c r="J65" i="5" s="1"/>
  <c r="I42" i="5"/>
  <c r="J42" i="5" s="1"/>
  <c r="I123" i="5"/>
  <c r="J123" i="5" s="1"/>
  <c r="I12" i="5"/>
  <c r="J12" i="5" s="1"/>
  <c r="J266" i="5"/>
  <c r="I191" i="5"/>
  <c r="J191" i="5" s="1"/>
  <c r="I278" i="5"/>
  <c r="J278" i="5" s="1"/>
  <c r="I229" i="5"/>
  <c r="J229" i="5" s="1"/>
  <c r="I30" i="5"/>
  <c r="J30" i="5" s="1"/>
  <c r="I48" i="5"/>
  <c r="J48" i="5" s="1"/>
  <c r="I265" i="5"/>
  <c r="J265" i="5" s="1"/>
  <c r="I216" i="5"/>
  <c r="J216" i="5" s="1"/>
  <c r="I164" i="5"/>
  <c r="J164" i="5" s="1"/>
  <c r="I95" i="5"/>
  <c r="J95" i="5" s="1"/>
  <c r="I248" i="5"/>
  <c r="J248" i="5" s="1"/>
  <c r="I315" i="5"/>
  <c r="J315" i="5" s="1"/>
  <c r="I230" i="5"/>
  <c r="J230" i="5" s="1"/>
  <c r="I136" i="5"/>
  <c r="J136" i="5" s="1"/>
  <c r="I119" i="5"/>
  <c r="J119" i="5" s="1"/>
  <c r="I295" i="5"/>
  <c r="J295" i="5" s="1"/>
  <c r="I224" i="5"/>
  <c r="J224" i="5" s="1"/>
  <c r="I257" i="5"/>
  <c r="J257" i="5" s="1"/>
  <c r="I290" i="5"/>
  <c r="J290" i="5" s="1"/>
  <c r="I35" i="5"/>
  <c r="J35" i="5" s="1"/>
  <c r="I56" i="5"/>
  <c r="J56" i="5" s="1"/>
  <c r="I311" i="5"/>
  <c r="J311" i="5" s="1"/>
  <c r="I144" i="5"/>
  <c r="J144" i="5" s="1"/>
  <c r="I166" i="5"/>
  <c r="J166" i="5" s="1"/>
  <c r="J29" i="5"/>
  <c r="J306" i="5"/>
  <c r="J291" i="5"/>
  <c r="I47" i="5"/>
  <c r="J47" i="5" s="1"/>
  <c r="F4" i="12" l="1"/>
  <c r="F2" i="12"/>
  <c r="F3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<sst xmlns="http://schemas.openxmlformats.org/spreadsheetml/2006/main" count="19232" uniqueCount="6080">
  <si>
    <t>Nopol</t>
  </si>
  <si>
    <t>PIC</t>
  </si>
  <si>
    <t>ID</t>
  </si>
  <si>
    <t>Tanggal Servis</t>
  </si>
  <si>
    <t>KM Servis</t>
  </si>
  <si>
    <t>No</t>
  </si>
  <si>
    <t>Tanggal Input</t>
  </si>
  <si>
    <t>Start time</t>
  </si>
  <si>
    <t>Completion time</t>
  </si>
  <si>
    <t>Email</t>
  </si>
  <si>
    <t>Name</t>
  </si>
  <si>
    <t>Last modified time</t>
  </si>
  <si>
    <t>Sebutkan kode Cabang/Network Anda</t>
  </si>
  <si>
    <t>Berapa jumlah Kendaraan Operasional (Bukan OCOP) yang Ada di Cabang/Network Anda?</t>
  </si>
  <si>
    <t>Upload Bukti KM (kilometer) Terakhir Kendaraan Cabang Anda!</t>
  </si>
  <si>
    <t>Upload Bukti Service (SPK/Kartu Service) Network Anda pada Bulan Desember!</t>
  </si>
  <si>
    <t>Upload Bukti KM (kilometer) Terakhir Kendaraan Cabang Anda!2</t>
  </si>
  <si>
    <t>Upload Bukti Service (SPK/Kartu Service) Network Anda pada Bulan Desember!2</t>
  </si>
  <si>
    <t>Upload Bukti KM (kilometer) Terakhir Kendaraan Cabang Anda!3</t>
  </si>
  <si>
    <t>Upload Bukti Service (SPK/Kartu Service) Network Anda pada Bulan Desember!3</t>
  </si>
  <si>
    <t>PICK UP TRAGA 2.5 4X2 MT D M/T</t>
  </si>
  <si>
    <t>DAIHATSU GRANMAX PU AC PS 1.5 M/T</t>
  </si>
  <si>
    <t>Daihatsu Xenia (Badan)</t>
  </si>
  <si>
    <t>Nopol1</t>
  </si>
  <si>
    <t>Tanggal Service1</t>
  </si>
  <si>
    <t>Nopol2</t>
  </si>
  <si>
    <t>Tanggal Service2</t>
  </si>
  <si>
    <t>Nopol3</t>
  </si>
  <si>
    <t>Tanggal Service3</t>
  </si>
  <si>
    <t>Tanggal Servis Terakhir</t>
  </si>
  <si>
    <t>KM Service Terakhir</t>
  </si>
  <si>
    <t>Selisih Hari</t>
  </si>
  <si>
    <t>Selisih KM</t>
  </si>
  <si>
    <t>Status</t>
  </si>
  <si>
    <t>KM Berjalan</t>
  </si>
  <si>
    <t>NO</t>
  </si>
  <si>
    <t>KODE</t>
  </si>
  <si>
    <t xml:space="preserve"> RENTAL TYPE CODE </t>
  </si>
  <si>
    <t xml:space="preserve"> ITEM TYPE</t>
  </si>
  <si>
    <t xml:space="preserve"> RENTAL TYPE</t>
  </si>
  <si>
    <t>NO POLISI</t>
  </si>
  <si>
    <t>UNIT PRICE</t>
  </si>
  <si>
    <t>RENTAL START DATE</t>
  </si>
  <si>
    <t>RENTAL END DATE</t>
  </si>
  <si>
    <t>LAST INVOICED END DATE</t>
  </si>
  <si>
    <t>STATUS</t>
  </si>
  <si>
    <t xml:space="preserve"> Vehicle Rent</t>
  </si>
  <si>
    <t xml:space="preserve"> Daihatsu Xenia (Badan)</t>
  </si>
  <si>
    <t>OPR</t>
  </si>
  <si>
    <t>MINIBUS</t>
  </si>
  <si>
    <t>ACTIVE</t>
  </si>
  <si>
    <t xml:space="preserve"> Gran Max Pick Up (TRAC)</t>
  </si>
  <si>
    <t>PICKUP</t>
  </si>
  <si>
    <t xml:space="preserve"> Gran Max Pick Up (Badan)</t>
  </si>
  <si>
    <t xml:space="preserve"> PICK UP TRAGA 2.5 4X2 MT D</t>
  </si>
  <si>
    <t xml:space="preserve"> Daihatsu Grand Max (Badan)</t>
  </si>
  <si>
    <t xml:space="preserve"> ISUZU TRAGA 2.5 4X2 MT D PICK UP</t>
  </si>
  <si>
    <t xml:space="preserve"> Daihatsu Xenia (TRAC)</t>
  </si>
  <si>
    <t xml:space="preserve">Total Kendaraan </t>
  </si>
  <si>
    <t>Kendaraan Overdue</t>
  </si>
  <si>
    <t>Jadwal Servis Berikutnya</t>
  </si>
  <si>
    <t>Iya</t>
  </si>
  <si>
    <t>Tidak</t>
  </si>
  <si>
    <t>Apakah Servis?</t>
  </si>
  <si>
    <t>Apakah Servis?2</t>
  </si>
  <si>
    <t>Tipe Kendaraan1</t>
  </si>
  <si>
    <t>Tipe Kendaraan2</t>
  </si>
  <si>
    <t>Tipe Kendaraan3</t>
  </si>
  <si>
    <t>Apakah Servis?1</t>
  </si>
  <si>
    <t>Apakah Servis?3</t>
  </si>
  <si>
    <t>KM Berjalan3</t>
  </si>
  <si>
    <t>KM Servis3</t>
  </si>
  <si>
    <t>KM Servis2</t>
  </si>
  <si>
    <t>KM Berjalan2</t>
  </si>
  <si>
    <t>KM Servis1</t>
  </si>
  <si>
    <t>KM Berjalan1</t>
  </si>
  <si>
    <t>Tipe Kendaraan</t>
  </si>
  <si>
    <t>CABANG</t>
  </si>
  <si>
    <t>JENIS</t>
  </si>
  <si>
    <t>KM SERVICE</t>
  </si>
  <si>
    <t>SERVICE JUL  2025</t>
  </si>
  <si>
    <t>SERVICE AUG  2025</t>
  </si>
  <si>
    <t>SERVICE SEP  2025</t>
  </si>
  <si>
    <t>SERVICE OKT 2025</t>
  </si>
  <si>
    <t>SERVICE NOV 2025</t>
  </si>
  <si>
    <t>SERVICE DEC 2025</t>
  </si>
  <si>
    <t>SERVICE JAN 2026</t>
  </si>
  <si>
    <t>SERVICE FEB 2026</t>
  </si>
  <si>
    <t>SERVICE MAR 2026</t>
  </si>
  <si>
    <t>SERVICE APR 2026</t>
  </si>
  <si>
    <t>Ada/Tidak di Master</t>
  </si>
  <si>
    <t>Belum Servis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</si>
  <si>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</si>
  <si>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</si>
  <si>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</si>
  <si>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</si>
  <si>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</si>
  <si>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</si>
  <si>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</si>
  <si>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</si>
  <si>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</si>
  <si>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</si>
  <si>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</si>
  <si>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</si>
  <si>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Bulan:</t>
  </si>
  <si>
    <t>Tahun:</t>
  </si>
  <si>
    <t>BULAN:</t>
  </si>
  <si>
    <t>TAHUN:</t>
  </si>
  <si>
    <t>FILTER DATA SERVIS KENDARAAN BERDASARKAN BULAN &amp; TAHUN</t>
  </si>
  <si>
    <t>MONITORING SERVIS KENDARAAN</t>
  </si>
  <si>
    <t>DATA ANOMALI</t>
  </si>
  <si>
    <t>Keterangan</t>
  </si>
  <si>
    <t>MONITORING</t>
  </si>
  <si>
    <t>Aman</t>
  </si>
  <si>
    <t>Daftar Kendaraan Perlu Servis Berdasarkan Bulan</t>
  </si>
  <si>
    <t>Kode Cabang</t>
  </si>
  <si>
    <t>Cabang</t>
  </si>
  <si>
    <t xml:space="preserve"> Sewa kendaraan operasional </t>
  </si>
  <si>
    <t>B4474RVI</t>
  </si>
  <si>
    <t>B8269XJ</t>
  </si>
  <si>
    <t>B9912VG</t>
  </si>
  <si>
    <t>DD1709SU</t>
  </si>
  <si>
    <t>B3079BPJ</t>
  </si>
  <si>
    <t>B3485RG</t>
  </si>
  <si>
    <t>B8132XW</t>
  </si>
  <si>
    <t>B5572LYP</t>
  </si>
  <si>
    <t>B2325IRM</t>
  </si>
  <si>
    <t>B7960GK</t>
  </si>
  <si>
    <t>B5541LZ</t>
  </si>
  <si>
    <t>B8182EB</t>
  </si>
  <si>
    <t>B8659VBE</t>
  </si>
  <si>
    <t>B6557JW</t>
  </si>
  <si>
    <t>B9653KV</t>
  </si>
  <si>
    <t>B2743VJK</t>
  </si>
  <si>
    <t>B1960LKY</t>
  </si>
  <si>
    <t>B4547RRN</t>
  </si>
  <si>
    <t>B6191JQ</t>
  </si>
  <si>
    <t>D8668TS</t>
  </si>
  <si>
    <t>B9936AP</t>
  </si>
  <si>
    <t>B5918LZ</t>
  </si>
  <si>
    <t>B9409VZ</t>
  </si>
  <si>
    <t>B3345RM</t>
  </si>
  <si>
    <t>B5388UQ</t>
  </si>
  <si>
    <t>B2784YG</t>
  </si>
  <si>
    <t>B7707TH</t>
  </si>
  <si>
    <t>B7223XEX</t>
  </si>
  <si>
    <t>B6882KT</t>
  </si>
  <si>
    <t>B9274GSS</t>
  </si>
  <si>
    <t>B7584BN</t>
  </si>
  <si>
    <t>B5843ME</t>
  </si>
  <si>
    <t>B4790UR</t>
  </si>
  <si>
    <t>B3271BYK</t>
  </si>
  <si>
    <t>B8342NSJ</t>
  </si>
  <si>
    <t>B3540VF</t>
  </si>
  <si>
    <t>B7390TQ</t>
  </si>
  <si>
    <t>B3245IGH</t>
  </si>
  <si>
    <t>B5790CM</t>
  </si>
  <si>
    <t>B2710QMZ</t>
  </si>
  <si>
    <t>B6512QGG</t>
  </si>
  <si>
    <t>B4356XF</t>
  </si>
  <si>
    <t>B2404HI</t>
  </si>
  <si>
    <t>B8589XJW</t>
  </si>
  <si>
    <t>B5067LZ</t>
  </si>
  <si>
    <t>B6633GLS</t>
  </si>
  <si>
    <t>D3684CE</t>
  </si>
  <si>
    <t>B9091PM</t>
  </si>
  <si>
    <t>B9897TAZ</t>
  </si>
  <si>
    <t>B8732XP</t>
  </si>
  <si>
    <t>B5009UN</t>
  </si>
  <si>
    <t>B7591HAI</t>
  </si>
  <si>
    <t>KB7221ZEE</t>
  </si>
  <si>
    <t>B4784VXS</t>
  </si>
  <si>
    <t>B4196MS</t>
  </si>
  <si>
    <t>D2758PP</t>
  </si>
  <si>
    <t>B2118PQK</t>
  </si>
  <si>
    <t>B7035JK</t>
  </si>
  <si>
    <t>BP6297BR</t>
  </si>
  <si>
    <t>B1075RA</t>
  </si>
  <si>
    <t>B2146GK</t>
  </si>
  <si>
    <t>B6137XG</t>
  </si>
  <si>
    <t>B6341YY</t>
  </si>
  <si>
    <t>B4242KSP</t>
  </si>
  <si>
    <t>B1356KE</t>
  </si>
  <si>
    <t>B7915GBS</t>
  </si>
  <si>
    <t>B2960MA</t>
  </si>
  <si>
    <t>B8891JP</t>
  </si>
  <si>
    <t>B4764SNX</t>
  </si>
  <si>
    <t>B1035ITY</t>
  </si>
  <si>
    <t>B8613WYE</t>
  </si>
  <si>
    <t>B6598EX</t>
  </si>
  <si>
    <t>DD1071FI</t>
  </si>
  <si>
    <t>B1377ZP</t>
  </si>
  <si>
    <t>B8069JR</t>
  </si>
  <si>
    <t>B7986SF</t>
  </si>
  <si>
    <t>B2401EI</t>
  </si>
  <si>
    <t>B2652NS</t>
  </si>
  <si>
    <t>B2997NJ</t>
  </si>
  <si>
    <t>B8230YP</t>
  </si>
  <si>
    <t>B9347LJ</t>
  </si>
  <si>
    <t>AB1281PCR</t>
  </si>
  <si>
    <t>B2034KCH</t>
  </si>
  <si>
    <t>B6874UZA</t>
  </si>
  <si>
    <t>D2702MC</t>
  </si>
  <si>
    <t>BE6556LIU</t>
  </si>
  <si>
    <t>B3472IIU</t>
  </si>
  <si>
    <t>DD1053PKN</t>
  </si>
  <si>
    <t>B8753SMF</t>
  </si>
  <si>
    <t>DD5905FD</t>
  </si>
  <si>
    <t>B3406ZUA</t>
  </si>
  <si>
    <t>B7991PSS</t>
  </si>
  <si>
    <t>DD9729YV</t>
  </si>
  <si>
    <t>B3553JC</t>
  </si>
  <si>
    <t>B5879BX</t>
  </si>
  <si>
    <t>B5277IQ</t>
  </si>
  <si>
    <t>KT4675WB</t>
  </si>
  <si>
    <t>B4175FW</t>
  </si>
  <si>
    <t>B8803CF</t>
  </si>
  <si>
    <t>B2823MF</t>
  </si>
  <si>
    <t>B8704TJL</t>
  </si>
  <si>
    <t>B2503BE</t>
  </si>
  <si>
    <t>B3507YER</t>
  </si>
  <si>
    <t>B2543AR</t>
  </si>
  <si>
    <t>B8528UFK</t>
  </si>
  <si>
    <t>B2966HE</t>
  </si>
  <si>
    <t>B8137WEW</t>
  </si>
  <si>
    <t>B5062PCK</t>
  </si>
  <si>
    <t>B2834CX</t>
  </si>
  <si>
    <t>B6374AY</t>
  </si>
  <si>
    <t>B2924KX</t>
  </si>
  <si>
    <t>B3412LI</t>
  </si>
  <si>
    <t>B9735KKV</t>
  </si>
  <si>
    <t>B4767TPQ</t>
  </si>
  <si>
    <t>B8763MP</t>
  </si>
  <si>
    <t>KT5059PV</t>
  </si>
  <si>
    <t>B8659RLN</t>
  </si>
  <si>
    <t>B8491EZ</t>
  </si>
  <si>
    <t>B9679AL</t>
  </si>
  <si>
    <t>B2047SQ</t>
  </si>
  <si>
    <t>D9393MC</t>
  </si>
  <si>
    <t>B2184PF</t>
  </si>
  <si>
    <t>B6013WGR</t>
  </si>
  <si>
    <t>B1995JFG</t>
  </si>
  <si>
    <t>B1711ZJR</t>
  </si>
  <si>
    <t>KB4153HK</t>
  </si>
  <si>
    <t>B1204ZZ</t>
  </si>
  <si>
    <t>B2925QZ</t>
  </si>
  <si>
    <t>B4034IWU</t>
  </si>
  <si>
    <t>B6876VS</t>
  </si>
  <si>
    <t>B7983KQ</t>
  </si>
  <si>
    <t>B7135IN</t>
  </si>
  <si>
    <t>B6193SD</t>
  </si>
  <si>
    <t>KT6033ET</t>
  </si>
  <si>
    <t>B9529CGF</t>
  </si>
  <si>
    <t>B5612UFW</t>
  </si>
  <si>
    <t>B6680XJ</t>
  </si>
  <si>
    <t>B1923MMD</t>
  </si>
  <si>
    <t>KT2986WG</t>
  </si>
  <si>
    <t>B4952MY</t>
  </si>
  <si>
    <t>B5038CSC</t>
  </si>
  <si>
    <t>B6704WT</t>
  </si>
  <si>
    <t>B7832GQD</t>
  </si>
  <si>
    <t>B9946LF</t>
  </si>
  <si>
    <t>B8740PD</t>
  </si>
  <si>
    <t>B3306HX</t>
  </si>
  <si>
    <t>B2306NS</t>
  </si>
  <si>
    <t>H8376YB</t>
  </si>
  <si>
    <t>B4900WYS</t>
  </si>
  <si>
    <t>B7949TY</t>
  </si>
  <si>
    <t>B8160PCQ</t>
  </si>
  <si>
    <t>B6999PZ</t>
  </si>
  <si>
    <t>B9006FL</t>
  </si>
  <si>
    <t>B3087ASI</t>
  </si>
  <si>
    <t>B8474IXR</t>
  </si>
  <si>
    <t>B3367HD</t>
  </si>
  <si>
    <t>B5205ZM</t>
  </si>
  <si>
    <t>B2705EA</t>
  </si>
  <si>
    <t>KT2370AGQ</t>
  </si>
  <si>
    <t>B8054VY</t>
  </si>
  <si>
    <t>B2758UU</t>
  </si>
  <si>
    <t>B3889CE</t>
  </si>
  <si>
    <t>DD2694FT</t>
  </si>
  <si>
    <t>DA9877GL</t>
  </si>
  <si>
    <t>H6818GV</t>
  </si>
  <si>
    <t>D8603EG</t>
  </si>
  <si>
    <t>H9434HIK</t>
  </si>
  <si>
    <t>B4786BT</t>
  </si>
  <si>
    <t>B7069IU</t>
  </si>
  <si>
    <t>B3473LI</t>
  </si>
  <si>
    <t>B2342QW</t>
  </si>
  <si>
    <t>B5783FB</t>
  </si>
  <si>
    <t>B1229TQ</t>
  </si>
  <si>
    <t>B1455JPZ</t>
  </si>
  <si>
    <t>AB8116PCJ</t>
  </si>
  <si>
    <t>B1827DA</t>
  </si>
  <si>
    <t>B8385EAN</t>
  </si>
  <si>
    <t>H6446RTB</t>
  </si>
  <si>
    <t>B9244VW</t>
  </si>
  <si>
    <t>B4121AL</t>
  </si>
  <si>
    <t>B8721DW</t>
  </si>
  <si>
    <t>B3590QLB</t>
  </si>
  <si>
    <t>L1356IF</t>
  </si>
  <si>
    <t>DA3899XS</t>
  </si>
  <si>
    <t>B2637VB</t>
  </si>
  <si>
    <t>AB9418SNR</t>
  </si>
  <si>
    <t>AB6497MM</t>
  </si>
  <si>
    <t>B3431HDZ</t>
  </si>
  <si>
    <t>B8389IA</t>
  </si>
  <si>
    <t>B7326IW</t>
  </si>
  <si>
    <t>B7274AH</t>
  </si>
  <si>
    <t>B3561NJ</t>
  </si>
  <si>
    <t>B7692UCT</t>
  </si>
  <si>
    <t>B2396IX</t>
  </si>
  <si>
    <t>B5628US</t>
  </si>
  <si>
    <t>B2514HCV</t>
  </si>
  <si>
    <t>DD8835VA</t>
  </si>
  <si>
    <t>L6517DP</t>
  </si>
  <si>
    <t>B1513KJ</t>
  </si>
  <si>
    <t>B7723FZ</t>
  </si>
  <si>
    <t>B7170IN</t>
  </si>
  <si>
    <t>KB9990JIF</t>
  </si>
  <si>
    <t>B6441NR</t>
  </si>
  <si>
    <t>B3545GSF</t>
  </si>
  <si>
    <t>B6592JN</t>
  </si>
  <si>
    <t>B7991VB</t>
  </si>
  <si>
    <t>H3815DXD</t>
  </si>
  <si>
    <t>B2886XC</t>
  </si>
  <si>
    <t>B1167YL</t>
  </si>
  <si>
    <t>B2772EK</t>
  </si>
  <si>
    <t>B3699EI</t>
  </si>
  <si>
    <t>B5798XLR</t>
  </si>
  <si>
    <t>B9442AC</t>
  </si>
  <si>
    <t>B8144GH</t>
  </si>
  <si>
    <t>H9293ZLM</t>
  </si>
  <si>
    <t>B1080SUL</t>
  </si>
  <si>
    <t>B3355VB</t>
  </si>
  <si>
    <t>B7659CZ</t>
  </si>
  <si>
    <t>B6871DFH</t>
  </si>
  <si>
    <t>KT5836DY</t>
  </si>
  <si>
    <t>B6806LA</t>
  </si>
  <si>
    <t>KT8120IVX</t>
  </si>
  <si>
    <t>B4755HT</t>
  </si>
  <si>
    <t>KB6393GN</t>
  </si>
  <si>
    <t>B2544NP</t>
  </si>
  <si>
    <t>B7187TX</t>
  </si>
  <si>
    <t>B7162IV</t>
  </si>
  <si>
    <t>B6936PI</t>
  </si>
  <si>
    <t>B8457UZ</t>
  </si>
  <si>
    <t>B2639ZDE</t>
  </si>
  <si>
    <t>B6224AT</t>
  </si>
  <si>
    <t>B5066SRV</t>
  </si>
  <si>
    <t>B3553ILD</t>
  </si>
  <si>
    <t>B9558JSZ</t>
  </si>
  <si>
    <t>B6257GSZ</t>
  </si>
  <si>
    <t>B9877USW</t>
  </si>
  <si>
    <t>B2965LW</t>
  </si>
  <si>
    <t>D9851QY</t>
  </si>
  <si>
    <t>KB6883QY</t>
  </si>
  <si>
    <t>B8599SQ</t>
  </si>
  <si>
    <t>B3556KY</t>
  </si>
  <si>
    <t>B1901ZW</t>
  </si>
  <si>
    <t>KB9985GGA</t>
  </si>
  <si>
    <t>B4665UI</t>
  </si>
  <si>
    <t>B9910CL</t>
  </si>
  <si>
    <t>B6076VM</t>
  </si>
  <si>
    <t>B6642GE</t>
  </si>
  <si>
    <t>B1181GU</t>
  </si>
  <si>
    <t>B5948HU</t>
  </si>
  <si>
    <t>B2092CXG</t>
  </si>
  <si>
    <t>B6817ZM</t>
  </si>
  <si>
    <t>B3797RA</t>
  </si>
  <si>
    <t>B4001FJ</t>
  </si>
  <si>
    <t>B9244CQQ</t>
  </si>
  <si>
    <t>B9587WL</t>
  </si>
  <si>
    <t>B7690JA</t>
  </si>
  <si>
    <t>B2687VC</t>
  </si>
  <si>
    <t>B4036RJ</t>
  </si>
  <si>
    <t>B1733TDE</t>
  </si>
  <si>
    <t>B8895WT</t>
  </si>
  <si>
    <t>B2293BCX</t>
  </si>
  <si>
    <t>B8857PYD</t>
  </si>
  <si>
    <t>D9140HC</t>
  </si>
  <si>
    <t>B4124TR</t>
  </si>
  <si>
    <t>B6905PX</t>
  </si>
  <si>
    <t>B8324WSJ</t>
  </si>
  <si>
    <t>B7752SX</t>
  </si>
  <si>
    <t>B8249PLF</t>
  </si>
  <si>
    <t>B6049PM</t>
  </si>
  <si>
    <t>B8827JSD</t>
  </si>
  <si>
    <t>B3178QV</t>
  </si>
  <si>
    <t>B1292DPE</t>
  </si>
  <si>
    <t>KB8049QJT</t>
  </si>
  <si>
    <t>B6337MTM</t>
  </si>
  <si>
    <t>B7759RV</t>
  </si>
  <si>
    <t>H3059ZKJ</t>
  </si>
  <si>
    <t>B1265LKJ</t>
  </si>
  <si>
    <t>B6912CV</t>
  </si>
  <si>
    <t>B6483WV</t>
  </si>
  <si>
    <t>B9072QEG</t>
  </si>
  <si>
    <t>B1578YGJ</t>
  </si>
  <si>
    <t>KT4620NQ</t>
  </si>
  <si>
    <t>B5623MA</t>
  </si>
  <si>
    <t>B6851IH</t>
  </si>
  <si>
    <t>B5945BC</t>
  </si>
  <si>
    <t>B3007PX</t>
  </si>
  <si>
    <t>B9525TPH</t>
  </si>
  <si>
    <t>DM5212DL</t>
  </si>
  <si>
    <t>B1799MW</t>
  </si>
  <si>
    <t>B4162QMK</t>
  </si>
  <si>
    <t>L9051XTF</t>
  </si>
  <si>
    <t>B1827XS</t>
  </si>
  <si>
    <t>B9580AP</t>
  </si>
  <si>
    <t>B4658KI</t>
  </si>
  <si>
    <t>B6449IA</t>
  </si>
  <si>
    <t>B6964WP</t>
  </si>
  <si>
    <t>B8467CLJ</t>
  </si>
  <si>
    <t>B8878HRL</t>
  </si>
  <si>
    <t>B7165PWG</t>
  </si>
  <si>
    <t>KT1997VYG</t>
  </si>
  <si>
    <t>B5151RYU</t>
  </si>
  <si>
    <t>B4884HS</t>
  </si>
  <si>
    <t>B2341ZVF</t>
  </si>
  <si>
    <t>D5342SJ</t>
  </si>
  <si>
    <t>B3401BGT</t>
  </si>
  <si>
    <t>B9488RA</t>
  </si>
  <si>
    <t>B5518KS</t>
  </si>
  <si>
    <t>B7655IV</t>
  </si>
  <si>
    <t>B2020TJ</t>
  </si>
  <si>
    <t>B9052XK</t>
  </si>
  <si>
    <t>B6407IG</t>
  </si>
  <si>
    <t>B3294INW</t>
  </si>
  <si>
    <t>B6095UP</t>
  </si>
  <si>
    <t>D8044XW</t>
  </si>
  <si>
    <t>B5566BY</t>
  </si>
  <si>
    <t>B7129LP</t>
  </si>
  <si>
    <t>B1073IH</t>
  </si>
  <si>
    <t>B1444ZS</t>
  </si>
  <si>
    <t>B4950DFS</t>
  </si>
  <si>
    <t>B8311EZ</t>
  </si>
  <si>
    <t>B5032XGL</t>
  </si>
  <si>
    <t>KT5909WFN</t>
  </si>
  <si>
    <t>B2755MF</t>
  </si>
  <si>
    <t>B8955IB</t>
  </si>
  <si>
    <t>B8393NG</t>
  </si>
  <si>
    <t>B8430ECN</t>
  </si>
  <si>
    <t>B1809LPG</t>
  </si>
  <si>
    <t>B7187UV</t>
  </si>
  <si>
    <t>B1144MW</t>
  </si>
  <si>
    <t>DA1719BR</t>
  </si>
  <si>
    <t>B7465WU</t>
  </si>
  <si>
    <t>L6237GJR</t>
  </si>
  <si>
    <t>B9738SL</t>
  </si>
  <si>
    <t>B3294MFT</t>
  </si>
  <si>
    <t>48431 SAMPANG UNIT</t>
  </si>
  <si>
    <t>69968 BALIKPAPAN</t>
  </si>
  <si>
    <t>23209 SUBANG POS</t>
  </si>
  <si>
    <t>89677 MAKASSAR</t>
  </si>
  <si>
    <t>89828 NAMLEA</t>
  </si>
  <si>
    <t>42609 LOMBOK TIMUR</t>
  </si>
  <si>
    <t>26773 RAHA POS</t>
  </si>
  <si>
    <t>55926 KOTAMOBAGU</t>
  </si>
  <si>
    <t>91919 BATULICIN 2</t>
  </si>
  <si>
    <t>62853 PURBALINGGA</t>
  </si>
  <si>
    <t>70597 AMUNTAI</t>
  </si>
  <si>
    <t>17645 KEBUMEN</t>
  </si>
  <si>
    <t>11037 JEMBER POS</t>
  </si>
  <si>
    <t>52285 PEKANBARU</t>
  </si>
  <si>
    <t>72540 MUNTOK 2</t>
  </si>
  <si>
    <t>90392 NUNUKAN UNIT</t>
  </si>
  <si>
    <t>44007 BANDA ACEH</t>
  </si>
  <si>
    <t>29110 INDRAGIRI HILIR</t>
  </si>
  <si>
    <t>52103 BATAM 2</t>
  </si>
  <si>
    <t>92412 MALANG POS</t>
  </si>
  <si>
    <t>40555 MANNA</t>
  </si>
  <si>
    <t>78077 METRO 2</t>
  </si>
  <si>
    <t>47591 LABUAN BAJO BRANCH</t>
  </si>
  <si>
    <t>39371 SAMPIT 2</t>
  </si>
  <si>
    <t>42998 SERUI 2</t>
  </si>
  <si>
    <t>81962 MEDAN 2</t>
  </si>
  <si>
    <t>53715 SALATIGA POS</t>
  </si>
  <si>
    <t>56875 TULANG BAWANG</t>
  </si>
  <si>
    <t>64137 WAINGAPU</t>
  </si>
  <si>
    <t>96224 LHOKSEUMAWE</t>
  </si>
  <si>
    <t>82746 SURABAYA 2</t>
  </si>
  <si>
    <t>70524 PADANG 2</t>
  </si>
  <si>
    <t>60924 CILACAP</t>
  </si>
  <si>
    <t>23316 TEGAL BRANCH</t>
  </si>
  <si>
    <t>55318 PAMEKASAN</t>
  </si>
  <si>
    <t>24647 SIBOLGA 2</t>
  </si>
  <si>
    <t>19910 KARANGASEM BRANCH</t>
  </si>
  <si>
    <t>67081 MAROS</t>
  </si>
  <si>
    <t>99068 ROKAN HULU</t>
  </si>
  <si>
    <t>95337 BLORA POS</t>
  </si>
  <si>
    <t>14214 DENPASAR BRANCH</t>
  </si>
  <si>
    <t>95425 MOJOKERTO 2</t>
  </si>
  <si>
    <t>14028 POSO BRANCH</t>
  </si>
  <si>
    <t>88046 SITUBONDO 2</t>
  </si>
  <si>
    <t>83865 PELALAWAN 2</t>
  </si>
  <si>
    <t>87006 TANJUNG PANDAN</t>
  </si>
  <si>
    <t>27458 SANGATTA 2</t>
  </si>
  <si>
    <t>75394 KUNINGAN</t>
  </si>
  <si>
    <t>84357 BENGKALIS UNIT</t>
  </si>
  <si>
    <t>39196 LANGSA</t>
  </si>
  <si>
    <t>35756 CIMAHI</t>
  </si>
  <si>
    <t>31566 BINJAI BRANCH</t>
  </si>
  <si>
    <t>25152 PARIGI POS</t>
  </si>
  <si>
    <t>20624 MAGELANG UNIT</t>
  </si>
  <si>
    <t>14599 MATARAM</t>
  </si>
  <si>
    <t>13032 TASIKMALAYA UNIT</t>
  </si>
  <si>
    <t>46643 SINGKAWANG</t>
  </si>
  <si>
    <t>66198 NATUNA</t>
  </si>
  <si>
    <t>31340 SEMARANG</t>
  </si>
  <si>
    <t>10915 KEDIRI BRANCH</t>
  </si>
  <si>
    <t>54360 RUTENG</t>
  </si>
  <si>
    <t>25052 JAKARTA UTARA</t>
  </si>
  <si>
    <t>95987 TOLI TOLI</t>
  </si>
  <si>
    <t>71063 MADIUN</t>
  </si>
  <si>
    <t>24232 MINAHASA 2</t>
  </si>
  <si>
    <t>61828 KALIANDA 2</t>
  </si>
  <si>
    <t>91251 JAKARTA PUSAT</t>
  </si>
  <si>
    <t>98608 TUBAN BRANCH</t>
  </si>
  <si>
    <t>69055 KARAWANG UNIT</t>
  </si>
  <si>
    <t>11165 LEBAK</t>
  </si>
  <si>
    <t>60455 KARO POS</t>
  </si>
  <si>
    <t>43172 KULON PROGO POS</t>
  </si>
  <si>
    <t>38577 JAYAPURA BRANCH</t>
  </si>
  <si>
    <t>10597 NABIRE UNIT</t>
  </si>
  <si>
    <t>44362 JEMBRANA</t>
  </si>
  <si>
    <t>40259 UNAAHA</t>
  </si>
  <si>
    <t>27693 BADUNG POS</t>
  </si>
  <si>
    <t>72402 JEPARA 2</t>
  </si>
  <si>
    <t>36094 PALANGKARAYA</t>
  </si>
  <si>
    <t>20958 SIAK</t>
  </si>
  <si>
    <t>29309 NGANJUK</t>
  </si>
  <si>
    <t>66880 SUMBAWA</t>
  </si>
  <si>
    <t>92015 DUMAI BRANCH</t>
  </si>
  <si>
    <t>23490 INDRAMAYU BRANCH</t>
  </si>
  <si>
    <t>66820 MEMPAWAH UNIT</t>
  </si>
  <si>
    <t>20314 SINTANG BRANCH</t>
  </si>
  <si>
    <t>63313 TEMANGGUNG</t>
  </si>
  <si>
    <t>38816 MEULABOH BRANCH</t>
  </si>
  <si>
    <t>35309 SERANG 2</t>
  </si>
  <si>
    <t>12292 SIGLI UNIT</t>
  </si>
  <si>
    <t>17741 BONE</t>
  </si>
  <si>
    <t>90846 TAPANULI UTARA 2</t>
  </si>
  <si>
    <t>72707 PASURUAN BRANCH</t>
  </si>
  <si>
    <t>91047 SLEMAN</t>
  </si>
  <si>
    <t>85927 TENGGARONG BRANCH</t>
  </si>
  <si>
    <t>56251 WONOSOBO</t>
  </si>
  <si>
    <t>10814 MASOHI POS</t>
  </si>
  <si>
    <t>16903 BONTANG</t>
  </si>
  <si>
    <t>50324 ROKAN HILIR POS</t>
  </si>
  <si>
    <t>46702 GORONTALO</t>
  </si>
  <si>
    <t>50047 BANJARNEGARA</t>
  </si>
  <si>
    <t>18303 TIDORE</t>
  </si>
  <si>
    <t>45875 PEMATANG SIANTAR</t>
  </si>
  <si>
    <t>37568 BANJAR</t>
  </si>
  <si>
    <t>38580 SIMALUNGUN BRANCH</t>
  </si>
  <si>
    <t>19704 BARABAI BRANCH</t>
  </si>
  <si>
    <t>64842 SUKOHARJO</t>
  </si>
  <si>
    <t>50579 CIREBON 2</t>
  </si>
  <si>
    <t>85231 PRINGSEWU</t>
  </si>
  <si>
    <t>95009 KOLAKA</t>
  </si>
  <si>
    <t>23031 BANGKO</t>
  </si>
  <si>
    <t>66668 WAMENA</t>
  </si>
  <si>
    <t>99918 KAYU AGUNG UNIT</t>
  </si>
  <si>
    <t>38998 SIDOARJO 2</t>
  </si>
  <si>
    <t>82123 SINJAI</t>
  </si>
  <si>
    <t>23188 PAREPARE POS</t>
  </si>
  <si>
    <t>75534 SAMBAS BRANCH</t>
  </si>
  <si>
    <t>24300 PACITAN POS</t>
  </si>
  <si>
    <t>42537 BLITAR UNIT</t>
  </si>
  <si>
    <t>94865 KARANGANYAR POS</t>
  </si>
  <si>
    <t>13597 GRESIK</t>
  </si>
  <si>
    <t>51407 ARGA MAKMUR</t>
  </si>
  <si>
    <t>16508 SURAKARTA UNIT</t>
  </si>
  <si>
    <t>42577 BANGLI BRANCH</t>
  </si>
  <si>
    <t>34107 PURWOREJO 2</t>
  </si>
  <si>
    <t>50548 TERNATE BRANCH</t>
  </si>
  <si>
    <t>76061 PANGKEP</t>
  </si>
  <si>
    <t>49313 SOLOK</t>
  </si>
  <si>
    <t>51924 BIAK</t>
  </si>
  <si>
    <t>19573 PARIAMAN POS</t>
  </si>
  <si>
    <t>81258 JAKARTA SELATAN</t>
  </si>
  <si>
    <t>82706 TARAKAN</t>
  </si>
  <si>
    <t>95679 PADANG SIDEMPUAN</t>
  </si>
  <si>
    <t>82654 TEMBILAHAN BRANCH</t>
  </si>
  <si>
    <t>50468 TANAH GROGOT BRANCH</t>
  </si>
  <si>
    <t>59642 BONDOWOSO 2</t>
  </si>
  <si>
    <t>30411 LABUHAN BATU UNIT</t>
  </si>
  <si>
    <t>26079 KLATEN</t>
  </si>
  <si>
    <t>31508 SAROLANGUN</t>
  </si>
  <si>
    <t>30688 TANJUNG SELOR BRANCH</t>
  </si>
  <si>
    <t>95840 SANGGAU</t>
  </si>
  <si>
    <t>86850 BATANG</t>
  </si>
  <si>
    <t>43676 DEPOK BRANCH</t>
  </si>
  <si>
    <t>52628 LAMONGAN</t>
  </si>
  <si>
    <t>92523 LIMBOTO BRANCH</t>
  </si>
  <si>
    <t>24740 ASAHAN</t>
  </si>
  <si>
    <t>85297 BANGKALAN POS</t>
  </si>
  <si>
    <t>60059 PALU BRANCH</t>
  </si>
  <si>
    <t>87789 TANGERANG</t>
  </si>
  <si>
    <t>44488 ENDE BRANCH</t>
  </si>
  <si>
    <t>88733 PANDEGLANG</t>
  </si>
  <si>
    <t>97493 MANOKWARI</t>
  </si>
  <si>
    <t>42127 INDRAGIRI HULU</t>
  </si>
  <si>
    <t>58537 REMBANG</t>
  </si>
  <si>
    <t>98751 MARTAPURA 2</t>
  </si>
  <si>
    <t>51266 SAMARINDA</t>
  </si>
  <si>
    <t>83955 KENDARI BRANCH</t>
  </si>
  <si>
    <t>32882 ATAMBUA</t>
  </si>
  <si>
    <t>16805 LUMAJANG UNIT</t>
  </si>
  <si>
    <t>34570 MAGETAN 2</t>
  </si>
  <si>
    <t>57858 BANTUL UNIT</t>
  </si>
  <si>
    <t>36674 GROBOGAN</t>
  </si>
  <si>
    <t>98337 BIMA POS</t>
  </si>
  <si>
    <t>89191 JOMBANG 2</t>
  </si>
  <si>
    <t>98106 GARUT BRANCH</t>
  </si>
  <si>
    <t>90494 DONGGALA UNIT</t>
  </si>
  <si>
    <t>17822 BANDUNG</t>
  </si>
  <si>
    <t>86545 SUNGAILIAT</t>
  </si>
  <si>
    <t>83880 BITUNG BRANCH</t>
  </si>
  <si>
    <t>71141 BANTAENG</t>
  </si>
  <si>
    <t>97904 SENTANI</t>
  </si>
  <si>
    <t>49939 MUARA BULIAN 2</t>
  </si>
  <si>
    <t>92767 KENDAL</t>
  </si>
  <si>
    <t>64805 PAGAR ALAM</t>
  </si>
  <si>
    <t>38695 BANDAR LAMPUNG POS</t>
  </si>
  <si>
    <t>15893 MAJALENGKA</t>
  </si>
  <si>
    <t>91028 PURWAKARTA</t>
  </si>
  <si>
    <t>24204 TIMIKA</t>
  </si>
  <si>
    <t>23842 DHARMASRAYA</t>
  </si>
  <si>
    <t>88350 SOFIFI</t>
  </si>
  <si>
    <t>62353 LUWUK</t>
  </si>
  <si>
    <t>25264 NGAWI POS</t>
  </si>
  <si>
    <t>56143 TAKENGON POS</t>
  </si>
  <si>
    <t>19260 JAMBI</t>
  </si>
  <si>
    <t>36596 SUMEDANG UNIT</t>
  </si>
  <si>
    <t>25566 BOJONEGORO</t>
  </si>
  <si>
    <t>63604 PRABUMULIH</t>
  </si>
  <si>
    <t>50697 KUALA KAPUAS</t>
  </si>
  <si>
    <t>44914 TAKALAR POS</t>
  </si>
  <si>
    <t>65003 DAIRI</t>
  </si>
  <si>
    <t>40571 DOMPU BRANCH</t>
  </si>
  <si>
    <t>24242 TEBO</t>
  </si>
  <si>
    <t>71985 LOMBOK TENGAH BRANCH</t>
  </si>
  <si>
    <t>40804 BOGOR BRANCH</t>
  </si>
  <si>
    <t>26358 CURUP</t>
  </si>
  <si>
    <t>11749 BREBES POS</t>
  </si>
  <si>
    <t>85365 JAKARTA BARAT</t>
  </si>
  <si>
    <t>46658 PANGKALAN BUN 2</t>
  </si>
  <si>
    <t>30352 BANYUMAS</t>
  </si>
  <si>
    <t>29563 DELI SERDANG</t>
  </si>
  <si>
    <t>59397 KARIMUN BRANCH</t>
  </si>
  <si>
    <t>16172 KERINCI</t>
  </si>
  <si>
    <t>44723 KUDUS UNIT</t>
  </si>
  <si>
    <t>70300 KUPANG POS</t>
  </si>
  <si>
    <t>44991 TUAL</t>
  </si>
  <si>
    <t>59355 GOWA POS</t>
  </si>
  <si>
    <t>19725 BULELENG POS</t>
  </si>
  <si>
    <t>96613 TOMOHON BRANCH</t>
  </si>
  <si>
    <t>40281 MUARA TEWEH</t>
  </si>
  <si>
    <t>48634 PAYAKUMBUH UNIT</t>
  </si>
  <si>
    <t>89357 TEBING TINGGI</t>
  </si>
  <si>
    <t>85067 PROBOLINGGO</t>
  </si>
  <si>
    <t>48899 PEKALONGAN</t>
  </si>
  <si>
    <t>92631 SAWAHLUNTO UNIT</t>
  </si>
  <si>
    <t>78751 PALEMBANG BRANCH</t>
  </si>
  <si>
    <t>91088 CIANJUR</t>
  </si>
  <si>
    <t>49562 TRENGGALEK BRANCH</t>
  </si>
  <si>
    <t>40644 BIREUEN POS</t>
  </si>
  <si>
    <t>10613 BINTAN</t>
  </si>
  <si>
    <t>30396 PUTUSSIBAU</t>
  </si>
  <si>
    <t>24879 MUARA BUNGO</t>
  </si>
  <si>
    <t>54161 BATU POS</t>
  </si>
  <si>
    <t>77414 CIAMIS</t>
  </si>
  <si>
    <t>19625 SENGKANG</t>
  </si>
  <si>
    <t>78696 KANDANGAN 2</t>
  </si>
  <si>
    <t>16491 JAKARTA TIMUR</t>
  </si>
  <si>
    <t>30408 BANJARBARU UNIT</t>
  </si>
  <si>
    <t>71532 BUKITTINGGI UNIT</t>
  </si>
  <si>
    <t>97088 BAU BAU</t>
  </si>
  <si>
    <t>38989 PATI</t>
  </si>
  <si>
    <t>86431 KLUNGKUNG</t>
  </si>
  <si>
    <t>12328 BEKASI BRANCH</t>
  </si>
  <si>
    <t>26802 BANJARMASIN</t>
  </si>
  <si>
    <t>28292 WONOGIRI POS</t>
  </si>
  <si>
    <t>27732 KETAPANG</t>
  </si>
  <si>
    <t>21310 KOTABUMI BRANCH</t>
  </si>
  <si>
    <t>77247 JENEPONTO 2</t>
  </si>
  <si>
    <t>15721 GUNUNG KIDUL</t>
  </si>
  <si>
    <t>84546 LUBUK LINGGAU 2</t>
  </si>
  <si>
    <t>19849 BANYUWANGI POS</t>
  </si>
  <si>
    <t>87716 RANTAU PRAPAT</t>
  </si>
  <si>
    <t>63557 PONTIANAK</t>
  </si>
  <si>
    <t>79735 BANDAR JAYA BRANCH</t>
  </si>
  <si>
    <t>91588 SUKABUMI 2</t>
  </si>
  <si>
    <t>67728 SORONG</t>
  </si>
  <si>
    <t>34328 KAMPAR</t>
  </si>
  <si>
    <t>84165 MUARA ENIM BRANCH</t>
  </si>
  <si>
    <t>71786 TANJUNG PINANG BRANCH</t>
  </si>
  <si>
    <t>88546 MANADO BRANCH</t>
  </si>
  <si>
    <t>51793 LOMBOK BARAT UNIT</t>
  </si>
  <si>
    <t>47339 BENGKULU</t>
  </si>
  <si>
    <t>64983 DEMAK</t>
  </si>
  <si>
    <t>32542 GIANYAR</t>
  </si>
  <si>
    <t>24770 AMBON</t>
  </si>
  <si>
    <t>72992 PALOPO BRANCH</t>
  </si>
  <si>
    <t>88035 BULUKUMBA</t>
  </si>
  <si>
    <t>60601 MERAUKE</t>
  </si>
  <si>
    <t>79200 CILEGON 2</t>
  </si>
  <si>
    <t>21546 SEKAYU UNIT</t>
  </si>
  <si>
    <t>41662 YOGYAKARTA 2</t>
  </si>
  <si>
    <t>58804 BOYOLALI</t>
  </si>
  <si>
    <t>89414 PANGKAL PINANG POS</t>
  </si>
  <si>
    <t>10942 PEMALANG BRANCH</t>
  </si>
  <si>
    <t>23223 PONOROGO</t>
  </si>
  <si>
    <t>14924 PASAMAN BRANCH</t>
  </si>
  <si>
    <t>98372 TABANAN 2</t>
  </si>
  <si>
    <t>88185 TANJUNG UNIT</t>
  </si>
  <si>
    <t>63873 MAUMERE BRANCH</t>
  </si>
  <si>
    <t>51945 BATURAJA POS</t>
  </si>
  <si>
    <t>54229 SRAGEN BRANCH</t>
  </si>
  <si>
    <t>29592@armadanusantara.co.id</t>
  </si>
  <si>
    <t>Taufik Utama</t>
  </si>
  <si>
    <t>https://files.armadanusantara.co.id/bukti/e66afb2aa719.jpeg</t>
  </si>
  <si>
    <t>https://files.armadanusantara.co.id/bukti/670101dbdc3d.jpg</t>
  </si>
  <si>
    <t>38466@armadanusantara.co.id</t>
  </si>
  <si>
    <t>Raka Halim</t>
  </si>
  <si>
    <t>https://files.armadanusantara.co.id/bukti/3fa4161eca13.pdf</t>
  </si>
  <si>
    <t>https://files.armadanusantara.co.id/bukti/54caa6a6f665.pdf</t>
  </si>
  <si>
    <t>15826@armadanusantara.co.id</t>
  </si>
  <si>
    <t>Budi Iskandar</t>
  </si>
  <si>
    <t>https://files.armadanusantara.co.id/bukti/4fa5bcf8083d.jpg</t>
  </si>
  <si>
    <t>https://files.armadanusantara.co.id/bukti/95d5789aced8.png</t>
  </si>
  <si>
    <t>81569@armadanusantara.co.id</t>
  </si>
  <si>
    <t>Eka Hidayat</t>
  </si>
  <si>
    <t>B4597RJ</t>
  </si>
  <si>
    <t>https://files.armadanusantara.co.id/bukti/d104fafe826e.jpeg</t>
  </si>
  <si>
    <t>https://files.armadanusantara.co.id/bukti/6c87c120d449.jpeg</t>
  </si>
  <si>
    <t>64039@armadanusantara.co.id</t>
  </si>
  <si>
    <t>Irfan Maulana</t>
  </si>
  <si>
    <t>AB7714BG</t>
  </si>
  <si>
    <t>https://files.armadanusantara.co.id/bukti/f594c653e469.jpg</t>
  </si>
  <si>
    <t>https://files.armadanusantara.co.id/bukti/038938b96cf3.jpg</t>
  </si>
  <si>
    <t>26694@armadanusantara.co.id</t>
  </si>
  <si>
    <t>Novi Saputra</t>
  </si>
  <si>
    <t>https://files.armadanusantara.co.id/bukti/074f3a96f5eb.jpeg</t>
  </si>
  <si>
    <t>https://files.armadanusantara.co.id/bukti/92036338f10d.png</t>
  </si>
  <si>
    <t>40080@armadanusantara.co.id</t>
  </si>
  <si>
    <t>Arif Zulkarnain</t>
  </si>
  <si>
    <t>https://files.armadanusantara.co.id/bukti/9eb4560249c3.jpg</t>
  </si>
  <si>
    <t>https://files.armadanusantara.co.id/bukti/a54dc485e7be.png</t>
  </si>
  <si>
    <t>KB3403JE</t>
  </si>
  <si>
    <t>https://files.armadanusantara.co.id/bukti/e69675f2755f.pdf</t>
  </si>
  <si>
    <t>https://files.armadanusantara.co.id/bukti/d54361ed1b00.jpeg</t>
  </si>
  <si>
    <t>14791@armadanusantara.co.id</t>
  </si>
  <si>
    <t>Dimas Lubis</t>
  </si>
  <si>
    <t>https://files.armadanusantara.co.id/bukti/f45617881544.jpg</t>
  </si>
  <si>
    <t>https://files.armadanusantara.co.id/bukti/6af75781bdb6.jpg</t>
  </si>
  <si>
    <t>https://files.armadanusantara.co.id/bukti/cb72298a29ab.png</t>
  </si>
  <si>
    <t>https://files.armadanusantara.co.id/bukti/b1180d111352.png</t>
  </si>
  <si>
    <t>57650@armadanusantara.co.id</t>
  </si>
  <si>
    <t>Agus Maulana</t>
  </si>
  <si>
    <t>https://files.armadanusantara.co.id/bukti/c41255a4241c.jpg</t>
  </si>
  <si>
    <t>https://files.armadanusantara.co.id/bukti/5c274cb753a2.pdf</t>
  </si>
  <si>
    <t>44278@armadanusantara.co.id</t>
  </si>
  <si>
    <t>Dinda Harahap</t>
  </si>
  <si>
    <t>https://files.armadanusantara.co.id/bukti/45529312ec27.jpeg</t>
  </si>
  <si>
    <t>https://files.armadanusantara.co.id/bukti/0afc665d91c2.jpg</t>
  </si>
  <si>
    <t>66284@armadanusantara.co.id</t>
  </si>
  <si>
    <t>Ratna Pratama</t>
  </si>
  <si>
    <t>https://files.armadanusantara.co.id/bukti/97a356d063ba.jpg</t>
  </si>
  <si>
    <t>https://files.armadanusantara.co.id/bukti/e4bac0cb0c07.png</t>
  </si>
  <si>
    <t>45424@armadanusantara.co.id</t>
  </si>
  <si>
    <t>Joko Darmadi</t>
  </si>
  <si>
    <t>https://files.armadanusantara.co.id/bukti/68f0108c1f45.jpeg</t>
  </si>
  <si>
    <t>https://files.armadanusantara.co.id/bukti/09b9ccdac79c.jpg</t>
  </si>
  <si>
    <t>94839@armadanusantara.co.id</t>
  </si>
  <si>
    <t>Intan Simatupang</t>
  </si>
  <si>
    <t>B1377MKN</t>
  </si>
  <si>
    <t>https://files.armadanusantara.co.id/bukti/f72cdda35657.png</t>
  </si>
  <si>
    <t>https://files.armadanusantara.co.id/bukti/2509ac79e475.pdf</t>
  </si>
  <si>
    <t>62138@armadanusantara.co.id</t>
  </si>
  <si>
    <t>Zahra Waluyo</t>
  </si>
  <si>
    <t>B6987KLG</t>
  </si>
  <si>
    <t>https://files.armadanusantara.co.id/bukti/39e0dc7a20da.pdf</t>
  </si>
  <si>
    <t>https://files.armadanusantara.co.id/bukti/6bd71b7d06cf.jpeg</t>
  </si>
  <si>
    <t>59473@armadanusantara.co.id</t>
  </si>
  <si>
    <t>Mahendra Lubis</t>
  </si>
  <si>
    <t>B9410TZ</t>
  </si>
  <si>
    <t>https://files.armadanusantara.co.id/bukti/a94fe30b93dc.png</t>
  </si>
  <si>
    <t>https://files.armadanusantara.co.id/bukti/3db4042fb296.pdf</t>
  </si>
  <si>
    <t>42105@armadanusantara.co.id</t>
  </si>
  <si>
    <t>Hadi Efendi</t>
  </si>
  <si>
    <t>https://files.armadanusantara.co.id/bukti/e1cae3e97b13.png</t>
  </si>
  <si>
    <t>https://files.armadanusantara.co.id/bukti/b6b2e36f6f09.pdf</t>
  </si>
  <si>
    <t>B9442MAL</t>
  </si>
  <si>
    <t>https://files.armadanusantara.co.id/bukti/7e6f4ec80652.jpeg</t>
  </si>
  <si>
    <t>https://files.armadanusantara.co.id/bukti/676768ad5586.pdf</t>
  </si>
  <si>
    <t>31371@armadanusantara.co.id</t>
  </si>
  <si>
    <t>Nadia Hutabarat</t>
  </si>
  <si>
    <t>https://files.armadanusantara.co.id/bukti/2f1ef9294e62.jpg</t>
  </si>
  <si>
    <t>https://files.armadanusantara.co.id/bukti/d685295c60b4.pdf</t>
  </si>
  <si>
    <t>https://files.armadanusantara.co.id/bukti/a526204ca72a.png</t>
  </si>
  <si>
    <t>https://files.armadanusantara.co.id/bukti/8e6da00f2af8.jpg</t>
  </si>
  <si>
    <t>35326@armadanusantara.co.id</t>
  </si>
  <si>
    <t>Guntur Mahendra</t>
  </si>
  <si>
    <t>https://files.armadanusantara.co.id/bukti/f955d538792d.jpeg</t>
  </si>
  <si>
    <t>https://files.armadanusantara.co.id/bukti/f365861e77aa.png</t>
  </si>
  <si>
    <t>46129@armadanusantara.co.id</t>
  </si>
  <si>
    <t>Rani Simatupang</t>
  </si>
  <si>
    <t>https://files.armadanusantara.co.id/bukti/5335dceaeab2.pdf</t>
  </si>
  <si>
    <t>https://files.armadanusantara.co.id/bukti/550fb612ef72.pdf</t>
  </si>
  <si>
    <t>47770@armadanusantara.co.id</t>
  </si>
  <si>
    <t>Sigit Handoko</t>
  </si>
  <si>
    <t>https://files.armadanusantara.co.id/bukti/01f7a0034f20.jpeg</t>
  </si>
  <si>
    <t>https://files.armadanusantara.co.id/bukti/02f4b482d6ef.jpg</t>
  </si>
  <si>
    <t>86051@armadanusantara.co.id</t>
  </si>
  <si>
    <t>Novi Baskoro</t>
  </si>
  <si>
    <t>B5795ED</t>
  </si>
  <si>
    <t>https://files.armadanusantara.co.id/bukti/be3b8b8839db.pdf</t>
  </si>
  <si>
    <t>https://files.armadanusantara.co.id/bukti/6c710568b330.jpeg</t>
  </si>
  <si>
    <t>22045@armadanusantara.co.id</t>
  </si>
  <si>
    <t>Zaki Utomo</t>
  </si>
  <si>
    <t>B3050XRL</t>
  </si>
  <si>
    <t>https://files.armadanusantara.co.id/bukti/b9458ec9f058.pdf</t>
  </si>
  <si>
    <t>https://files.armadanusantara.co.id/bukti/60ebe80e65c0.pdf</t>
  </si>
  <si>
    <t>21206@armadanusantara.co.id</t>
  </si>
  <si>
    <t>Indah Situmorang</t>
  </si>
  <si>
    <t>https://files.armadanusantara.co.id/bukti/371a46753979.jpeg</t>
  </si>
  <si>
    <t>https://files.armadanusantara.co.id/bukti/8744446852d8.jpeg</t>
  </si>
  <si>
    <t>https://files.armadanusantara.co.id/bukti/970c58c785cb.png</t>
  </si>
  <si>
    <t>https://files.armadanusantara.co.id/bukti/f9eac42c55d7.jpeg</t>
  </si>
  <si>
    <t>B2840UE</t>
  </si>
  <si>
    <t>https://files.armadanusantara.co.id/bukti/3ba9a93bd8c8.jpeg</t>
  </si>
  <si>
    <t>https://files.armadanusantara.co.id/bukti/555959b23058.jpg</t>
  </si>
  <si>
    <t>15433@armadanusantara.co.id</t>
  </si>
  <si>
    <t>Budi Handoko</t>
  </si>
  <si>
    <t>https://files.armadanusantara.co.id/bukti/7a75717e8902.pdf</t>
  </si>
  <si>
    <t>https://files.armadanusantara.co.id/bukti/bb5718021bbe.png</t>
  </si>
  <si>
    <t>70076@armadanusantara.co.id</t>
  </si>
  <si>
    <t>Dani Firmansyah</t>
  </si>
  <si>
    <t>https://files.armadanusantara.co.id/bukti/76c76e7ec592.jpeg</t>
  </si>
  <si>
    <t>https://files.armadanusantara.co.id/bukti/a0d98cb1733a.png</t>
  </si>
  <si>
    <t>66077@armadanusantara.co.id</t>
  </si>
  <si>
    <t>Farid Utomo</t>
  </si>
  <si>
    <t>B1444CKJ</t>
  </si>
  <si>
    <t>https://files.armadanusantara.co.id/bukti/e8b874630752.pdf</t>
  </si>
  <si>
    <t>https://files.armadanusantara.co.id/bukti/d96678784880.jpeg</t>
  </si>
  <si>
    <t>47341@armadanusantara.co.id</t>
  </si>
  <si>
    <t>Wahyu Waluyo</t>
  </si>
  <si>
    <t>https://files.armadanusantara.co.id/bukti/b2fca95308e2.jpg</t>
  </si>
  <si>
    <t>https://files.armadanusantara.co.id/bukti/bb2245920c92.pdf</t>
  </si>
  <si>
    <t>60085@armadanusantara.co.id</t>
  </si>
  <si>
    <t>Indra Suryana</t>
  </si>
  <si>
    <t>https://files.armadanusantara.co.id/bukti/0c55e0426a0e.pdf</t>
  </si>
  <si>
    <t>https://files.armadanusantara.co.id/bukti/c32b712235dc.jpeg</t>
  </si>
  <si>
    <t>11104@armadanusantara.co.id</t>
  </si>
  <si>
    <t>Ari Tampubolon</t>
  </si>
  <si>
    <t>B6236MZW</t>
  </si>
  <si>
    <t>https://files.armadanusantara.co.id/bukti/d7a947e08a7f.pdf</t>
  </si>
  <si>
    <t>https://files.armadanusantara.co.id/bukti/764e669f5da1.png</t>
  </si>
  <si>
    <t>89394@armadanusantara.co.id</t>
  </si>
  <si>
    <t>Yusuf Sihombing</t>
  </si>
  <si>
    <t>https://files.armadanusantara.co.id/bukti/94ae6f439546.pdf</t>
  </si>
  <si>
    <t>https://files.armadanusantara.co.id/bukti/ffa7d64a524e.pdf</t>
  </si>
  <si>
    <t>11780@armadanusantara.co.id</t>
  </si>
  <si>
    <t>Nur Suryana</t>
  </si>
  <si>
    <t>https://files.armadanusantara.co.id/bukti/fa9f8320e404.jpeg</t>
  </si>
  <si>
    <t>https://files.armadanusantara.co.id/bukti/e85a90c38efd.pdf</t>
  </si>
  <si>
    <t>https://files.armadanusantara.co.id/bukti/5ba88c243f43.pdf</t>
  </si>
  <si>
    <t>https://files.armadanusantara.co.id/bukti/6c7fa551bb55.jpeg</t>
  </si>
  <si>
    <t>99119@armadanusantara.co.id</t>
  </si>
  <si>
    <t>Ilham Mahendra</t>
  </si>
  <si>
    <t>B1190TVJ</t>
  </si>
  <si>
    <t>https://files.armadanusantara.co.id/bukti/cd80d18e44fc.jpeg</t>
  </si>
  <si>
    <t>https://files.armadanusantara.co.id/bukti/5ba6a4104ea5.jpeg</t>
  </si>
  <si>
    <t>21884@armadanusantara.co.id</t>
  </si>
  <si>
    <t>Septian Saputra</t>
  </si>
  <si>
    <t>B9848XJ</t>
  </si>
  <si>
    <t>https://files.armadanusantara.co.id/bukti/8458902ad7fa.jpeg</t>
  </si>
  <si>
    <t>https://files.armadanusantara.co.id/bukti/859b34efc5bd.jpg</t>
  </si>
  <si>
    <t>21162@armadanusantara.co.id</t>
  </si>
  <si>
    <t>Dimas Adiputra</t>
  </si>
  <si>
    <t>https://files.armadanusantara.co.id/bukti/393593213919.pdf</t>
  </si>
  <si>
    <t>https://files.armadanusantara.co.id/bukti/d2c0b4f90bc1.png</t>
  </si>
  <si>
    <t>B8645QN</t>
  </si>
  <si>
    <t>https://files.armadanusantara.co.id/bukti/6831e9366a29.png</t>
  </si>
  <si>
    <t>https://files.armadanusantara.co.id/bukti/2a339840370b.pdf</t>
  </si>
  <si>
    <t>57557@armadanusantara.co.id</t>
  </si>
  <si>
    <t>Bambang Permana</t>
  </si>
  <si>
    <t>https://files.armadanusantara.co.id/bukti/2c36c340e2bc.jpeg</t>
  </si>
  <si>
    <t>https://files.armadanusantara.co.id/bukti/8ce43ffed7dc.pdf</t>
  </si>
  <si>
    <t>94975@armadanusantara.co.id</t>
  </si>
  <si>
    <t>Yudi Utomo</t>
  </si>
  <si>
    <t>https://files.armadanusantara.co.id/bukti/a5d8453ccd65.png</t>
  </si>
  <si>
    <t>https://files.armadanusantara.co.id/bukti/d0c6de3e75b9.png</t>
  </si>
  <si>
    <t>35309@armadanusantara.co.id</t>
  </si>
  <si>
    <t>Dwi Winata</t>
  </si>
  <si>
    <t>B7154RP</t>
  </si>
  <si>
    <t>https://files.armadanusantara.co.id/bukti/e7e87e8e99f8.jpeg</t>
  </si>
  <si>
    <t>https://files.armadanusantara.co.id/bukti/fac39515755d.jpg</t>
  </si>
  <si>
    <t>B7875XVS</t>
  </si>
  <si>
    <t>https://files.armadanusantara.co.id/bukti/c3bf132c9698.jpeg</t>
  </si>
  <si>
    <t>https://files.armadanusantara.co.id/bukti/94bb41cd175f.png</t>
  </si>
  <si>
    <t>82127@armadanusantara.co.id</t>
  </si>
  <si>
    <t>Hendra Siregar</t>
  </si>
  <si>
    <t>https://files.armadanusantara.co.id/bukti/93f06cab2f8d.pdf</t>
  </si>
  <si>
    <t>https://files.armadanusantara.co.id/bukti/b45cf74815be.png</t>
  </si>
  <si>
    <t>23723@armadanusantara.co.id</t>
  </si>
  <si>
    <t>Sari Zulkarnain</t>
  </si>
  <si>
    <t>B7351RH</t>
  </si>
  <si>
    <t>https://files.armadanusantara.co.id/bukti/86a86116822e.jpg</t>
  </si>
  <si>
    <t>https://files.armadanusantara.co.id/bukti/ccb89aaa9107.pdf</t>
  </si>
  <si>
    <t>28945@armadanusantara.co.id</t>
  </si>
  <si>
    <t>Citra Gunawan</t>
  </si>
  <si>
    <t>https://files.armadanusantara.co.id/bukti/9057fa860773.jpeg</t>
  </si>
  <si>
    <t>https://files.armadanusantara.co.id/bukti/946045c9017e.jpg</t>
  </si>
  <si>
    <t>67567@armadanusantara.co.id</t>
  </si>
  <si>
    <t>Ferry Nasution</t>
  </si>
  <si>
    <t>KT1884DR</t>
  </si>
  <si>
    <t>https://files.armadanusantara.co.id/bukti/617902f14ca9.jpg</t>
  </si>
  <si>
    <t>https://files.armadanusantara.co.id/bukti/ccbbed7317f8.jpg</t>
  </si>
  <si>
    <t>https://files.armadanusantara.co.id/bukti/a4445e1dc4ba.png</t>
  </si>
  <si>
    <t>https://files.armadanusantara.co.id/bukti/9816721e485e.png</t>
  </si>
  <si>
    <t>50480@armadanusantara.co.id</t>
  </si>
  <si>
    <t>Erwin Mahendra</t>
  </si>
  <si>
    <t>B4222XM</t>
  </si>
  <si>
    <t>https://files.armadanusantara.co.id/bukti/ca25a9ba3047.png</t>
  </si>
  <si>
    <t>https://files.armadanusantara.co.id/bukti/b44a5e5160f3.jpeg</t>
  </si>
  <si>
    <t>76560@armadanusantara.co.id</t>
  </si>
  <si>
    <t>Sandi Manurung</t>
  </si>
  <si>
    <t>https://files.armadanusantara.co.id/bukti/8831065ee3e3.jpeg</t>
  </si>
  <si>
    <t>https://files.armadanusantara.co.id/bukti/68624c916f2d.jpeg</t>
  </si>
  <si>
    <t>https://files.armadanusantara.co.id/bukti/0e83d47d6806.pdf</t>
  </si>
  <si>
    <t>https://files.armadanusantara.co.id/bukti/624eb4826493.pdf</t>
  </si>
  <si>
    <t>14145@armadanusantara.co.id</t>
  </si>
  <si>
    <t>Indra Adiputra</t>
  </si>
  <si>
    <t>https://files.armadanusantara.co.id/bukti/452b392feb5d.pdf</t>
  </si>
  <si>
    <t>https://files.armadanusantara.co.id/bukti/32c1c3e93054.pdf</t>
  </si>
  <si>
    <t>79061@armadanusantara.co.id</t>
  </si>
  <si>
    <t>Joko Marpaung</t>
  </si>
  <si>
    <t>B3705JT</t>
  </si>
  <si>
    <t>https://files.armadanusantara.co.id/bukti/d9dd2f8b87e5.jpg</t>
  </si>
  <si>
    <t>https://files.armadanusantara.co.id/bukti/426cdc9e5111.pdf</t>
  </si>
  <si>
    <t>B6957DH</t>
  </si>
  <si>
    <t>https://files.armadanusantara.co.id/bukti/a1cc6906de9f.pdf</t>
  </si>
  <si>
    <t>https://files.armadanusantara.co.id/bukti/4e568bf4ae33.png</t>
  </si>
  <si>
    <t>72071@armadanusantara.co.id</t>
  </si>
  <si>
    <t>Anton Pratama</t>
  </si>
  <si>
    <t>https://files.armadanusantara.co.id/bukti/8a84ccdf82b9.pdf</t>
  </si>
  <si>
    <t>https://files.armadanusantara.co.id/bukti/dfe144e8e0aa.pdf</t>
  </si>
  <si>
    <t>60299@armadanusantara.co.id</t>
  </si>
  <si>
    <t>Iwan Santoso</t>
  </si>
  <si>
    <t>https://files.armadanusantara.co.id/bukti/ecd42162bc34.jpg</t>
  </si>
  <si>
    <t>https://files.armadanusantara.co.id/bukti/8aece85d7059.pdf</t>
  </si>
  <si>
    <t>34691@armadanusantara.co.id</t>
  </si>
  <si>
    <t>Wulan Utama</t>
  </si>
  <si>
    <t>B9187TB</t>
  </si>
  <si>
    <t>https://files.armadanusantara.co.id/bukti/8a97cab0b0cc.jpeg</t>
  </si>
  <si>
    <t>https://files.armadanusantara.co.id/bukti/a89f7929a15e.pdf</t>
  </si>
  <si>
    <t>37910@armadanusantara.co.id</t>
  </si>
  <si>
    <t>Anisa Hakim</t>
  </si>
  <si>
    <t>B6065WA</t>
  </si>
  <si>
    <t>https://files.armadanusantara.co.id/bukti/3e803d86bd2f.png</t>
  </si>
  <si>
    <t>https://files.armadanusantara.co.id/bukti/1ca61f76a087.jpeg</t>
  </si>
  <si>
    <t>67991@armadanusantara.co.id</t>
  </si>
  <si>
    <t>Wawan Marpaung</t>
  </si>
  <si>
    <t>https://files.armadanusantara.co.id/bukti/c77d14ab5078.png</t>
  </si>
  <si>
    <t>https://files.armadanusantara.co.id/bukti/3c236ee5c2b1.jpg</t>
  </si>
  <si>
    <t>43704@armadanusantara.co.id</t>
  </si>
  <si>
    <t>Dwi Oktavian</t>
  </si>
  <si>
    <t>https://files.armadanusantara.co.id/bukti/3f66cf34c303.pdf</t>
  </si>
  <si>
    <t>https://files.armadanusantara.co.id/bukti/7fdd7bee6b63.jpeg</t>
  </si>
  <si>
    <t>13226@armadanusantara.co.id</t>
  </si>
  <si>
    <t>Aldi Wibowo</t>
  </si>
  <si>
    <t>https://files.armadanusantara.co.id/bukti/4d25d76c5fd7.jpg</t>
  </si>
  <si>
    <t>https://files.armadanusantara.co.id/bukti/e5a4a69433ee.jpg</t>
  </si>
  <si>
    <t>KT3681HUC</t>
  </si>
  <si>
    <t>https://files.armadanusantara.co.id/bukti/bc2cc7e14e03.jpg</t>
  </si>
  <si>
    <t>https://files.armadanusantara.co.id/bukti/c156f7381ac4.pdf</t>
  </si>
  <si>
    <t>17982@armadanusantara.co.id</t>
  </si>
  <si>
    <t>Anisa Handoko</t>
  </si>
  <si>
    <t>https://files.armadanusantara.co.id/bukti/1b736bd73535.png</t>
  </si>
  <si>
    <t>https://files.armadanusantara.co.id/bukti/b1cca78d013e.jpeg</t>
  </si>
  <si>
    <t>19816@armadanusantara.co.id</t>
  </si>
  <si>
    <t>Cahya Suryana</t>
  </si>
  <si>
    <t>B6551IKH</t>
  </si>
  <si>
    <t>https://files.armadanusantara.co.id/bukti/90a3017cac5f.png</t>
  </si>
  <si>
    <t>https://files.armadanusantara.co.id/bukti/182e69a9ced1.png</t>
  </si>
  <si>
    <t>79324@armadanusantara.co.id</t>
  </si>
  <si>
    <t>Aldi Susanto</t>
  </si>
  <si>
    <t>https://files.armadanusantara.co.id/bukti/b88c96a38483.jpg</t>
  </si>
  <si>
    <t>https://files.armadanusantara.co.id/bukti/73436c50b735.png</t>
  </si>
  <si>
    <t>26591@armadanusantara.co.id</t>
  </si>
  <si>
    <t>Erwin Lubis</t>
  </si>
  <si>
    <t>B2491RA</t>
  </si>
  <si>
    <t>https://files.armadanusantara.co.id/bukti/7ea67f04dd9a.jpg</t>
  </si>
  <si>
    <t>https://files.armadanusantara.co.id/bukti/8121c64b7e52.pdf</t>
  </si>
  <si>
    <t>80419@armadanusantara.co.id</t>
  </si>
  <si>
    <t>Citra Darmadi</t>
  </si>
  <si>
    <t>https://files.armadanusantara.co.id/bukti/8777f2752b0f.jpeg</t>
  </si>
  <si>
    <t>https://files.armadanusantara.co.id/bukti/f4478f360caf.jpeg</t>
  </si>
  <si>
    <t>71798@armadanusantara.co.id</t>
  </si>
  <si>
    <t>Indah Wibowo</t>
  </si>
  <si>
    <t>https://files.armadanusantara.co.id/bukti/40b8ca1780fe.png</t>
  </si>
  <si>
    <t>https://files.armadanusantara.co.id/bukti/aa41e68e59b8.pdf</t>
  </si>
  <si>
    <t>52341@armadanusantara.co.id</t>
  </si>
  <si>
    <t>Miftah Ginting</t>
  </si>
  <si>
    <t>https://files.armadanusantara.co.id/bukti/6ba6996d1d39.jpg</t>
  </si>
  <si>
    <t>https://files.armadanusantara.co.id/bukti/616bf3fcff86.png</t>
  </si>
  <si>
    <t>B4234ME</t>
  </si>
  <si>
    <t>https://files.armadanusantara.co.id/bukti/4458f390ecf3.png</t>
  </si>
  <si>
    <t>https://files.armadanusantara.co.id/bukti/98c4dee419de.pdf</t>
  </si>
  <si>
    <t>74979@armadanusantara.co.id</t>
  </si>
  <si>
    <t>Ayu Utomo</t>
  </si>
  <si>
    <t>https://files.armadanusantara.co.id/bukti/8a09638e813b.png</t>
  </si>
  <si>
    <t>https://files.armadanusantara.co.id/bukti/891c43f83cd0.pdf</t>
  </si>
  <si>
    <t>22665@armadanusantara.co.id</t>
  </si>
  <si>
    <t>Sri Oktavian</t>
  </si>
  <si>
    <t>https://files.armadanusantara.co.id/bukti/57cb6f2a2c12.jpg</t>
  </si>
  <si>
    <t>https://files.armadanusantara.co.id/bukti/3399621ea51a.jpg</t>
  </si>
  <si>
    <t>97044@armadanusantara.co.id</t>
  </si>
  <si>
    <t>Wawan Permana</t>
  </si>
  <si>
    <t>https://files.armadanusantara.co.id/bukti/cfd44db03169.jpg</t>
  </si>
  <si>
    <t>https://files.armadanusantara.co.id/bukti/15b2943ae877.jpg</t>
  </si>
  <si>
    <t>17385@armadanusantara.co.id</t>
  </si>
  <si>
    <t>Alif Lubis</t>
  </si>
  <si>
    <t>https://files.armadanusantara.co.id/bukti/44d5ea4a28d1.pdf</t>
  </si>
  <si>
    <t>https://files.armadanusantara.co.id/bukti/2462e35fb10e.jpg</t>
  </si>
  <si>
    <t>52569@armadanusantara.co.id</t>
  </si>
  <si>
    <t>Darmawan Cahyono</t>
  </si>
  <si>
    <t>B6505HTV</t>
  </si>
  <si>
    <t>https://files.armadanusantara.co.id/bukti/13ce1d74b023.jpeg</t>
  </si>
  <si>
    <t>https://files.armadanusantara.co.id/bukti/12a958f32995.png</t>
  </si>
  <si>
    <t>19402@armadanusantara.co.id</t>
  </si>
  <si>
    <t>Aldi Fadillah</t>
  </si>
  <si>
    <t>B4411YL</t>
  </si>
  <si>
    <t>https://files.armadanusantara.co.id/bukti/dbce157d5d55.jpg</t>
  </si>
  <si>
    <t>https://files.armadanusantara.co.id/bukti/b3bb1119e605.jpeg</t>
  </si>
  <si>
    <t>25532@armadanusantara.co.id</t>
  </si>
  <si>
    <t>Taufik Cahyono</t>
  </si>
  <si>
    <t>B5592QL</t>
  </si>
  <si>
    <t>https://files.armadanusantara.co.id/bukti/b31d146459ed.pdf</t>
  </si>
  <si>
    <t>https://files.armadanusantara.co.id/bukti/38365a744078.png</t>
  </si>
  <si>
    <t>47789@armadanusantara.co.id</t>
  </si>
  <si>
    <t>Rina Maulana</t>
  </si>
  <si>
    <t>B7713QE</t>
  </si>
  <si>
    <t>https://files.armadanusantara.co.id/bukti/cb16d5bf1dd3.png</t>
  </si>
  <si>
    <t>https://files.armadanusantara.co.id/bukti/fd0a3c4629cb.png</t>
  </si>
  <si>
    <t>34614@armadanusantara.co.id</t>
  </si>
  <si>
    <t>Bambang Setiawan</t>
  </si>
  <si>
    <t>B2820TR</t>
  </si>
  <si>
    <t>https://files.armadanusantara.co.id/bukti/4372103f1071.png</t>
  </si>
  <si>
    <t>https://files.armadanusantara.co.id/bukti/e9823f75bd3f.pdf</t>
  </si>
  <si>
    <t>DD8059VC</t>
  </si>
  <si>
    <t>https://files.armadanusantara.co.id/bukti/b6a40c624b7f.pdf</t>
  </si>
  <si>
    <t>https://files.armadanusantara.co.id/bukti/6cb0d101fb1c.pdf</t>
  </si>
  <si>
    <t>52011@armadanusantara.co.id</t>
  </si>
  <si>
    <t>Imam Nainggolan</t>
  </si>
  <si>
    <t>https://files.armadanusantara.co.id/bukti/cae6e81726f5.png</t>
  </si>
  <si>
    <t>https://files.armadanusantara.co.id/bukti/4600fbe13399.pdf</t>
  </si>
  <si>
    <t>https://files.armadanusantara.co.id/bukti/3aa56cf2277c.pdf</t>
  </si>
  <si>
    <t>https://files.armadanusantara.co.id/bukti/2803c4f9f62e.pdf</t>
  </si>
  <si>
    <t>94887@armadanusantara.co.id</t>
  </si>
  <si>
    <t>Nanda Iskandar</t>
  </si>
  <si>
    <t>https://files.armadanusantara.co.id/bukti/07f44f133ab0.jpeg</t>
  </si>
  <si>
    <t>https://files.armadanusantara.co.id/bukti/b75ee8e0fec0.pdf</t>
  </si>
  <si>
    <t>96590@armadanusantara.co.id</t>
  </si>
  <si>
    <t>Hana Wibowo</t>
  </si>
  <si>
    <t>https://files.armadanusantara.co.id/bukti/98f72cf7c62b.jpg</t>
  </si>
  <si>
    <t>https://files.armadanusantara.co.id/bukti/ba167b9df959.jpg</t>
  </si>
  <si>
    <t>B2888ALH</t>
  </si>
  <si>
    <t>https://files.armadanusantara.co.id/bukti/07b8a7693da1.png</t>
  </si>
  <si>
    <t>https://files.armadanusantara.co.id/bukti/3b15394b224c.png</t>
  </si>
  <si>
    <t>B8258SPN</t>
  </si>
  <si>
    <t>https://files.armadanusantara.co.id/bukti/165e1ec471d4.pdf</t>
  </si>
  <si>
    <t>https://files.armadanusantara.co.id/bukti/c6b2fbf14632.jpeg</t>
  </si>
  <si>
    <t>65188@armadanusantara.co.id</t>
  </si>
  <si>
    <t>Ari Saputra</t>
  </si>
  <si>
    <t>https://files.armadanusantara.co.id/bukti/d3bf3859309b.jpeg</t>
  </si>
  <si>
    <t>https://files.armadanusantara.co.id/bukti/b4dcc3234ac3.png</t>
  </si>
  <si>
    <t>https://files.armadanusantara.co.id/bukti/09c1b1f79d85.pdf</t>
  </si>
  <si>
    <t>https://files.armadanusantara.co.id/bukti/18854af941bf.png</t>
  </si>
  <si>
    <t>83992@armadanusantara.co.id</t>
  </si>
  <si>
    <t>Rizki Kusuma</t>
  </si>
  <si>
    <t>https://files.armadanusantara.co.id/bukti/c1442490aced.jpeg</t>
  </si>
  <si>
    <t>https://files.armadanusantara.co.id/bukti/64122d82125a.pdf</t>
  </si>
  <si>
    <t>B6989QE</t>
  </si>
  <si>
    <t>https://files.armadanusantara.co.id/bukti/b5279b1e640d.pdf</t>
  </si>
  <si>
    <t>https://files.armadanusantara.co.id/bukti/6d6b6ec55142.jpeg</t>
  </si>
  <si>
    <t>https://files.armadanusantara.co.id/bukti/38c7a4fe6d4e.pdf</t>
  </si>
  <si>
    <t>https://files.armadanusantara.co.id/bukti/c81afb461ed9.pdf</t>
  </si>
  <si>
    <t>98285@armadanusantara.co.id</t>
  </si>
  <si>
    <t>Dian Rahmawan</t>
  </si>
  <si>
    <t>https://files.armadanusantara.co.id/bukti/7bcf2b9338ce.png</t>
  </si>
  <si>
    <t>https://files.armadanusantara.co.id/bukti/e0c80c19b910.png</t>
  </si>
  <si>
    <t>61979@armadanusantara.co.id</t>
  </si>
  <si>
    <t>Nanda Cahyono</t>
  </si>
  <si>
    <t>https://files.armadanusantara.co.id/bukti/1d059382b402.pdf</t>
  </si>
  <si>
    <t>https://files.armadanusantara.co.id/bukti/760552beb4b8.pdf</t>
  </si>
  <si>
    <t>51286@armadanusantara.co.id</t>
  </si>
  <si>
    <t>Yoga Panjaitan</t>
  </si>
  <si>
    <t>https://files.armadanusantara.co.id/bukti/b7399dbb1464.jpg</t>
  </si>
  <si>
    <t>https://files.armadanusantara.co.id/bukti/0a8fa26306d7.pdf</t>
  </si>
  <si>
    <t>34801@armadanusantara.co.id</t>
  </si>
  <si>
    <t>Dian Hutabarat</t>
  </si>
  <si>
    <t>https://files.armadanusantara.co.id/bukti/02bc09503121.jpg</t>
  </si>
  <si>
    <t>https://files.armadanusantara.co.id/bukti/5a53ef97d7ac.jpeg</t>
  </si>
  <si>
    <t>17089@armadanusantara.co.id</t>
  </si>
  <si>
    <t>Yuni Jayadi</t>
  </si>
  <si>
    <t>B6757PSW</t>
  </si>
  <si>
    <t>https://files.armadanusantara.co.id/bukti/e7500f4bb865.png</t>
  </si>
  <si>
    <t>https://files.armadanusantara.co.id/bukti/5b6e07bffaca.jpg</t>
  </si>
  <si>
    <t>91988@armadanusantara.co.id</t>
  </si>
  <si>
    <t>Anisa Hutabarat</t>
  </si>
  <si>
    <t>https://files.armadanusantara.co.id/bukti/3e65889a2934.jpg</t>
  </si>
  <si>
    <t>https://files.armadanusantara.co.id/bukti/aff1a3e24228.pdf</t>
  </si>
  <si>
    <t>https://files.armadanusantara.co.id/bukti/72627115f5f6.jpg</t>
  </si>
  <si>
    <t>https://files.armadanusantara.co.id/bukti/ef2abbfed232.jpeg</t>
  </si>
  <si>
    <t>59933@armadanusantara.co.id</t>
  </si>
  <si>
    <t>Intan Nasution</t>
  </si>
  <si>
    <t>B1654RAU</t>
  </si>
  <si>
    <t>https://files.armadanusantara.co.id/bukti/ba98c5dd505c.jpg</t>
  </si>
  <si>
    <t>https://files.armadanusantara.co.id/bukti/5e5a8a58d408.jpg</t>
  </si>
  <si>
    <t>https://files.armadanusantara.co.id/bukti/c3e1d5ed53f0.pdf</t>
  </si>
  <si>
    <t>https://files.armadanusantara.co.id/bukti/42f73c495d17.pdf</t>
  </si>
  <si>
    <t>21181@armadanusantara.co.id</t>
  </si>
  <si>
    <t>Arif Harahap</t>
  </si>
  <si>
    <t>https://files.armadanusantara.co.id/bukti/2ed05c4b8d01.pdf</t>
  </si>
  <si>
    <t>https://files.armadanusantara.co.id/bukti/4b64abfdb8ed.jpg</t>
  </si>
  <si>
    <t>64649@armadanusantara.co.id</t>
  </si>
  <si>
    <t>Erwin Nainggolan</t>
  </si>
  <si>
    <t>https://files.armadanusantara.co.id/bukti/550bff74b633.jpg</t>
  </si>
  <si>
    <t>https://files.armadanusantara.co.id/bukti/db281c6f3c01.png</t>
  </si>
  <si>
    <t>80294@armadanusantara.co.id</t>
  </si>
  <si>
    <t>Septian Hakim</t>
  </si>
  <si>
    <t>https://files.armadanusantara.co.id/bukti/58cb595f6053.jpeg</t>
  </si>
  <si>
    <t>https://files.armadanusantara.co.id/bukti/97e98b0ddb8e.jpg</t>
  </si>
  <si>
    <t>54832@armadanusantara.co.id</t>
  </si>
  <si>
    <t>Putra Kusuma</t>
  </si>
  <si>
    <t>https://files.armadanusantara.co.id/bukti/e64a23f1482f.jpg</t>
  </si>
  <si>
    <t>https://files.armadanusantara.co.id/bukti/820e87b2fa24.jpeg</t>
  </si>
  <si>
    <t>19798@armadanusantara.co.id</t>
  </si>
  <si>
    <t>Sari Yulianto</t>
  </si>
  <si>
    <t>B6986NB</t>
  </si>
  <si>
    <t>https://files.armadanusantara.co.id/bukti/603a3620a396.pdf</t>
  </si>
  <si>
    <t>https://files.armadanusantara.co.id/bukti/b34d0c56ce4b.jpeg</t>
  </si>
  <si>
    <t>59449@armadanusantara.co.id</t>
  </si>
  <si>
    <t>Roni Wijaya</t>
  </si>
  <si>
    <t>B9303TI</t>
  </si>
  <si>
    <t>https://files.armadanusantara.co.id/bukti/f73156ab7545.jpg</t>
  </si>
  <si>
    <t>https://files.armadanusantara.co.id/bukti/1aacfe458480.png</t>
  </si>
  <si>
    <t>https://files.armadanusantara.co.id/bukti/e624d34e1c64.jpg</t>
  </si>
  <si>
    <t>https://files.armadanusantara.co.id/bukti/7bb989e45195.pdf</t>
  </si>
  <si>
    <t>98519@armadanusantara.co.id</t>
  </si>
  <si>
    <t>Ayu Winata</t>
  </si>
  <si>
    <t>https://files.armadanusantara.co.id/bukti/bc07cd0184ce.jpeg</t>
  </si>
  <si>
    <t>https://files.armadanusantara.co.id/bukti/45516e6d4472.png</t>
  </si>
  <si>
    <t>57609@armadanusantara.co.id</t>
  </si>
  <si>
    <t>Bambang Waluyo</t>
  </si>
  <si>
    <t>https://files.armadanusantara.co.id/bukti/6a175f81136a.jpg</t>
  </si>
  <si>
    <t>https://files.armadanusantara.co.id/bukti/6d18665fde42.pdf</t>
  </si>
  <si>
    <t>75190@armadanusantara.co.id</t>
  </si>
  <si>
    <t>Putri Utama</t>
  </si>
  <si>
    <t>https://files.armadanusantara.co.id/bukti/f940a52b5c34.png</t>
  </si>
  <si>
    <t>https://files.armadanusantara.co.id/bukti/51308979f66e.pdf</t>
  </si>
  <si>
    <t>https://files.armadanusantara.co.id/bukti/a58b67a04991.jpg</t>
  </si>
  <si>
    <t>https://files.armadanusantara.co.id/bukti/fed77c3cd279.jpg</t>
  </si>
  <si>
    <t>69953@armadanusantara.co.id</t>
  </si>
  <si>
    <t>Taufik Baskoro</t>
  </si>
  <si>
    <t>https://files.armadanusantara.co.id/bukti/bb9f4cf0f553.jpeg</t>
  </si>
  <si>
    <t>https://files.armadanusantara.co.id/bukti/72793821d9be.png</t>
  </si>
  <si>
    <t>69282@armadanusantara.co.id</t>
  </si>
  <si>
    <t>Eka Rahmawan</t>
  </si>
  <si>
    <t>https://files.armadanusantara.co.id/bukti/7f2ecf5e808b.png</t>
  </si>
  <si>
    <t>https://files.armadanusantara.co.id/bukti/90a2df47b306.pdf</t>
  </si>
  <si>
    <t>69411@armadanusantara.co.id</t>
  </si>
  <si>
    <t>Ridho Pratama</t>
  </si>
  <si>
    <t>https://files.armadanusantara.co.id/bukti/c687599b8f0a.png</t>
  </si>
  <si>
    <t>https://files.armadanusantara.co.id/bukti/55de5f2d3d73.jpeg</t>
  </si>
  <si>
    <t>37320@armadanusantara.co.id</t>
  </si>
  <si>
    <t>Bambang Efendi</t>
  </si>
  <si>
    <t>https://files.armadanusantara.co.id/bukti/bf4efbef6d6e.pdf</t>
  </si>
  <si>
    <t>https://files.armadanusantara.co.id/bukti/44fd71ed422b.jpg</t>
  </si>
  <si>
    <t>https://files.armadanusantara.co.id/bukti/d99776079a1e.jpg</t>
  </si>
  <si>
    <t>https://files.armadanusantara.co.id/bukti/19442ee46c44.jpeg</t>
  </si>
  <si>
    <t>98317@armadanusantara.co.id</t>
  </si>
  <si>
    <t>Miftah Baskoro</t>
  </si>
  <si>
    <t>https://files.armadanusantara.co.id/bukti/eefea043714b.jpeg</t>
  </si>
  <si>
    <t>https://files.armadanusantara.co.id/bukti/0546c663fa36.jpg</t>
  </si>
  <si>
    <t>https://files.armadanusantara.co.id/bukti/9ea4fd1b81a8.pdf</t>
  </si>
  <si>
    <t>https://files.armadanusantara.co.id/bukti/4f7e7dfd2d50.jpg</t>
  </si>
  <si>
    <t>51963@armadanusantara.co.id</t>
  </si>
  <si>
    <t>Ari Kusuma</t>
  </si>
  <si>
    <t>B1884ZSB</t>
  </si>
  <si>
    <t>https://files.armadanusantara.co.id/bukti/fe5f992686f5.pdf</t>
  </si>
  <si>
    <t>https://files.armadanusantara.co.id/bukti/d8a1586d8258.jpeg</t>
  </si>
  <si>
    <t>57109@armadanusantara.co.id</t>
  </si>
  <si>
    <t>Miftah Sitorus</t>
  </si>
  <si>
    <t>B4516ER</t>
  </si>
  <si>
    <t>https://files.armadanusantara.co.id/bukti/f4470d250ecf.png</t>
  </si>
  <si>
    <t>https://files.armadanusantara.co.id/bukti/36c2efc809cf.pdf</t>
  </si>
  <si>
    <t>https://files.armadanusantara.co.id/bukti/f64724ad3891.jpg</t>
  </si>
  <si>
    <t>https://files.armadanusantara.co.id/bukti/6a6920c729cf.jpg</t>
  </si>
  <si>
    <t>62435@armadanusantara.co.id</t>
  </si>
  <si>
    <t>Iwan Tampubolon</t>
  </si>
  <si>
    <t>https://files.armadanusantara.co.id/bukti/90e71286a0fa.jpg</t>
  </si>
  <si>
    <t>https://files.armadanusantara.co.id/bukti/674e8262bb79.jpeg</t>
  </si>
  <si>
    <t>90520@armadanusantara.co.id</t>
  </si>
  <si>
    <t>Darmawan Oktavian</t>
  </si>
  <si>
    <t>AB4770WL</t>
  </si>
  <si>
    <t>https://files.armadanusantara.co.id/bukti/1f8a1db2989a.pdf</t>
  </si>
  <si>
    <t>https://files.armadanusantara.co.id/bukti/dc7b0c0b5443.jpg</t>
  </si>
  <si>
    <t>https://files.armadanusantara.co.id/bukti/33cc086eccec.jpg</t>
  </si>
  <si>
    <t>https://files.armadanusantara.co.id/bukti/53b733b40b9b.jpg</t>
  </si>
  <si>
    <t>76170@armadanusantara.co.id</t>
  </si>
  <si>
    <t>Raka Permana</t>
  </si>
  <si>
    <t>https://files.armadanusantara.co.id/bukti/bbec886230fd.pdf</t>
  </si>
  <si>
    <t>https://files.armadanusantara.co.id/bukti/8f322bd601fc.png</t>
  </si>
  <si>
    <t>B4899EX</t>
  </si>
  <si>
    <t>https://files.armadanusantara.co.id/bukti/c5653b512bc6.jpeg</t>
  </si>
  <si>
    <t>https://files.armadanusantara.co.id/bukti/9da10efc0fb0.jpeg</t>
  </si>
  <si>
    <t>D8314WE</t>
  </si>
  <si>
    <t>https://files.armadanusantara.co.id/bukti/6dc7f1f206e3.jpg</t>
  </si>
  <si>
    <t>https://files.armadanusantara.co.id/bukti/9284db44e097.jpg</t>
  </si>
  <si>
    <t>80046@armadanusantara.co.id</t>
  </si>
  <si>
    <t>Eka Hakim</t>
  </si>
  <si>
    <t>https://files.armadanusantara.co.id/bukti/b6ab3d49eed3.jpeg</t>
  </si>
  <si>
    <t>https://files.armadanusantara.co.id/bukti/b6f2d84e7f51.jpeg</t>
  </si>
  <si>
    <t>https://files.armadanusantara.co.id/bukti/f2d8b4c70e98.pdf</t>
  </si>
  <si>
    <t>https://files.armadanusantara.co.id/bukti/56a509cc3a3d.jpg</t>
  </si>
  <si>
    <t>85376@armadanusantara.co.id</t>
  </si>
  <si>
    <t>Rahmat Lubis</t>
  </si>
  <si>
    <t>B1693MX</t>
  </si>
  <si>
    <t>https://files.armadanusantara.co.id/bukti/5249e67acf96.jpg</t>
  </si>
  <si>
    <t>https://files.armadanusantara.co.id/bukti/5fd81ac971d0.png</t>
  </si>
  <si>
    <t>55816@armadanusantara.co.id</t>
  </si>
  <si>
    <t>Nanda Rahmawan</t>
  </si>
  <si>
    <t>B5472JN</t>
  </si>
  <si>
    <t>https://files.armadanusantara.co.id/bukti/1114bc561569.jpeg</t>
  </si>
  <si>
    <t>https://files.armadanusantara.co.id/bukti/6a9e44721799.pdf</t>
  </si>
  <si>
    <t>https://files.armadanusantara.co.id/bukti/eeb921677b0f.jpeg</t>
  </si>
  <si>
    <t>https://files.armadanusantara.co.id/bukti/28bd2e6fc747.pdf</t>
  </si>
  <si>
    <t>71059@armadanusantara.co.id</t>
  </si>
  <si>
    <t>Agus Saputra</t>
  </si>
  <si>
    <t>DA2223FX</t>
  </si>
  <si>
    <t>https://files.armadanusantara.co.id/bukti/6fb094ddd4e7.png</t>
  </si>
  <si>
    <t>https://files.armadanusantara.co.id/bukti/d4ffdb65e7ab.jpeg</t>
  </si>
  <si>
    <t>59235@armadanusantara.co.id</t>
  </si>
  <si>
    <t>Nur Hakim</t>
  </si>
  <si>
    <t>B9624HE</t>
  </si>
  <si>
    <t>https://files.armadanusantara.co.id/bukti/d209abd82378.jpeg</t>
  </si>
  <si>
    <t>https://files.armadanusantara.co.id/bukti/e0b802b34f13.jpg</t>
  </si>
  <si>
    <t>https://files.armadanusantara.co.id/bukti/a79292de24c3.jpg</t>
  </si>
  <si>
    <t>https://files.armadanusantara.co.id/bukti/ee9060491786.jpeg</t>
  </si>
  <si>
    <t>96409@armadanusantara.co.id</t>
  </si>
  <si>
    <t>Budi Hidayat</t>
  </si>
  <si>
    <t>https://files.armadanusantara.co.id/bukti/d5403959015e.jpeg</t>
  </si>
  <si>
    <t>https://files.armadanusantara.co.id/bukti/24e36912b65a.pdf</t>
  </si>
  <si>
    <t>88975@armadanusantara.co.id</t>
  </si>
  <si>
    <t>Erwin Efendi</t>
  </si>
  <si>
    <t>https://files.armadanusantara.co.id/bukti/6517f9c93a77.jpg</t>
  </si>
  <si>
    <t>https://files.armadanusantara.co.id/bukti/6a0b4aebff13.jpg</t>
  </si>
  <si>
    <t>33998 MARISA</t>
  </si>
  <si>
    <t>B9856AGQ</t>
  </si>
  <si>
    <t>https://files.armadanusantara.co.id/bukti/4e22c61ee521.pdf</t>
  </si>
  <si>
    <t>https://files.armadanusantara.co.id/bukti/0cdadc1cbe65.jpg</t>
  </si>
  <si>
    <t>76009@armadanusantara.co.id</t>
  </si>
  <si>
    <t>Hadi Utama</t>
  </si>
  <si>
    <t>https://files.armadanusantara.co.id/bukti/53fae43d87d2.jpg</t>
  </si>
  <si>
    <t>https://files.armadanusantara.co.id/bukti/2987c15c0fa1.jpg</t>
  </si>
  <si>
    <t>27802@armadanusantara.co.id</t>
  </si>
  <si>
    <t>Roni Cahyono</t>
  </si>
  <si>
    <t>https://files.armadanusantara.co.id/bukti/3b758cc541b3.pdf</t>
  </si>
  <si>
    <t>https://files.armadanusantara.co.id/bukti/d27ef3dbadef.jpg</t>
  </si>
  <si>
    <t>55310@armadanusantara.co.id</t>
  </si>
  <si>
    <t>Adi Mahendra</t>
  </si>
  <si>
    <t>https://files.armadanusantara.co.id/bukti/89bfc5356405.png</t>
  </si>
  <si>
    <t>https://files.armadanusantara.co.id/bukti/9fd3bba9f768.pdf</t>
  </si>
  <si>
    <t>B3144SJ</t>
  </si>
  <si>
    <t>https://files.armadanusantara.co.id/bukti/f9e224b48c9b.png</t>
  </si>
  <si>
    <t>https://files.armadanusantara.co.id/bukti/717ec3539d4c.jpg</t>
  </si>
  <si>
    <t>59109@armadanusantara.co.id</t>
  </si>
  <si>
    <t>Novan Kurniawan</t>
  </si>
  <si>
    <t>https://files.armadanusantara.co.id/bukti/2b4f56aea20e.jpg</t>
  </si>
  <si>
    <t>https://files.armadanusantara.co.id/bukti/92c1a9a2f33d.jpeg</t>
  </si>
  <si>
    <t>https://files.armadanusantara.co.id/bukti/6bde6cc44ef0.jpg</t>
  </si>
  <si>
    <t>https://files.armadanusantara.co.id/bukti/34e431d40ccc.png</t>
  </si>
  <si>
    <t>32396@armadanusantara.co.id</t>
  </si>
  <si>
    <t>Vina Tampubolon</t>
  </si>
  <si>
    <t>B2344IM</t>
  </si>
  <si>
    <t>https://files.armadanusantara.co.id/bukti/90b9f9bb27f7.jpeg</t>
  </si>
  <si>
    <t>https://files.armadanusantara.co.id/bukti/d60ca42489c9.jpg</t>
  </si>
  <si>
    <t>https://files.armadanusantara.co.id/bukti/e6276e5169b0.jpeg</t>
  </si>
  <si>
    <t>https://files.armadanusantara.co.id/bukti/a9dd1d6e2f0e.pdf</t>
  </si>
  <si>
    <t>71383@armadanusantara.co.id</t>
  </si>
  <si>
    <t>Purnomo Ramadhan</t>
  </si>
  <si>
    <t>https://files.armadanusantara.co.id/bukti/e34fa8b7168a.pdf</t>
  </si>
  <si>
    <t>https://files.armadanusantara.co.id/bukti/9be4b0f916c2.pdf</t>
  </si>
  <si>
    <t>B3365TAQ</t>
  </si>
  <si>
    <t>https://files.armadanusantara.co.id/bukti/2b482e7a7e98.png</t>
  </si>
  <si>
    <t>https://files.armadanusantara.co.id/bukti/e529560d8451.pdf</t>
  </si>
  <si>
    <t>41621@armadanusantara.co.id</t>
  </si>
  <si>
    <t>Sandi Simatupang</t>
  </si>
  <si>
    <t>https://files.armadanusantara.co.id/bukti/d5148979ad87.pdf</t>
  </si>
  <si>
    <t>https://files.armadanusantara.co.id/bukti/0563fda7528a.jpg</t>
  </si>
  <si>
    <t>https://files.armadanusantara.co.id/bukti/21371aee11c7.pdf</t>
  </si>
  <si>
    <t>https://files.armadanusantara.co.id/bukti/a74a15d01b03.pdf</t>
  </si>
  <si>
    <t>61976@armadanusantara.co.id</t>
  </si>
  <si>
    <t>Deni Iskandar</t>
  </si>
  <si>
    <t>https://files.armadanusantara.co.id/bukti/336546122e32.png</t>
  </si>
  <si>
    <t>https://files.armadanusantara.co.id/bukti/98c992ea1f18.jpeg</t>
  </si>
  <si>
    <t>https://files.armadanusantara.co.id/bukti/599490fce276.jpg</t>
  </si>
  <si>
    <t>https://files.armadanusantara.co.id/bukti/be7733dfada9.pdf</t>
  </si>
  <si>
    <t>B4361MD</t>
  </si>
  <si>
    <t>https://files.armadanusantara.co.id/bukti/c51c3da2b498.jpg</t>
  </si>
  <si>
    <t>https://files.armadanusantara.co.id/bukti/b691ae48fefb.pdf</t>
  </si>
  <si>
    <t>18739@armadanusantara.co.id</t>
  </si>
  <si>
    <t>Firman Baskoro</t>
  </si>
  <si>
    <t>https://files.armadanusantara.co.id/bukti/d047ea4e718c.png</t>
  </si>
  <si>
    <t>https://files.armadanusantara.co.id/bukti/37455716399c.png</t>
  </si>
  <si>
    <t>71304@armadanusantara.co.id</t>
  </si>
  <si>
    <t>Dinda Ginting</t>
  </si>
  <si>
    <t>https://files.armadanusantara.co.id/bukti/05ceae0e7b21.png</t>
  </si>
  <si>
    <t>https://files.armadanusantara.co.id/bukti/8dc80c423571.jpeg</t>
  </si>
  <si>
    <t>51402@armadanusantara.co.id</t>
  </si>
  <si>
    <t>Putra Tanjung</t>
  </si>
  <si>
    <t>B3111BU</t>
  </si>
  <si>
    <t>https://files.armadanusantara.co.id/bukti/968c4ca2fa15.pdf</t>
  </si>
  <si>
    <t>https://files.armadanusantara.co.id/bukti/ccd58e9a66bd.jpeg</t>
  </si>
  <si>
    <t>https://files.armadanusantara.co.id/bukti/4f9169811165.jpeg</t>
  </si>
  <si>
    <t>https://files.armadanusantara.co.id/bukti/8c7d4fa38699.jpeg</t>
  </si>
  <si>
    <t>77434@armadanusantara.co.id</t>
  </si>
  <si>
    <t>Taufik Wibowo</t>
  </si>
  <si>
    <t>https://files.armadanusantara.co.id/bukti/b746500878fd.png</t>
  </si>
  <si>
    <t>https://files.armadanusantara.co.id/bukti/8c291065f668.pdf</t>
  </si>
  <si>
    <t>31195@armadanusantara.co.id</t>
  </si>
  <si>
    <t>Ilham Oktavian</t>
  </si>
  <si>
    <t>AB5434PRX</t>
  </si>
  <si>
    <t>https://files.armadanusantara.co.id/bukti/ea1abb3b5947.pdf</t>
  </si>
  <si>
    <t>https://files.armadanusantara.co.id/bukti/9398c9fd4a68.jpeg</t>
  </si>
  <si>
    <t>61283@armadanusantara.co.id</t>
  </si>
  <si>
    <t>Kartika Manurung</t>
  </si>
  <si>
    <t>https://files.armadanusantara.co.id/bukti/d2ce88fc1288.pdf</t>
  </si>
  <si>
    <t>https://files.armadanusantara.co.id/bukti/bb7cf1498aab.pdf</t>
  </si>
  <si>
    <t>B2357HT</t>
  </si>
  <si>
    <t>https://files.armadanusantara.co.id/bukti/1dc31ccecdea.jpeg</t>
  </si>
  <si>
    <t>https://files.armadanusantara.co.id/bukti/1ba64b194db0.png</t>
  </si>
  <si>
    <t>https://files.armadanusantara.co.id/bukti/165fb0d5edad.jpg</t>
  </si>
  <si>
    <t>https://files.armadanusantara.co.id/bukti/0117a11500e8.jpeg</t>
  </si>
  <si>
    <t>13463@armadanusantara.co.id</t>
  </si>
  <si>
    <t>Sigit Jayadi</t>
  </si>
  <si>
    <t>DA2696LV</t>
  </si>
  <si>
    <t>https://files.armadanusantara.co.id/bukti/65a60ba31cdc.png</t>
  </si>
  <si>
    <t>https://files.armadanusantara.co.id/bukti/498ccd78d2c4.jpeg</t>
  </si>
  <si>
    <t>31749@armadanusantara.co.id</t>
  </si>
  <si>
    <t>Hadi Tampubolon</t>
  </si>
  <si>
    <t>B8742VP</t>
  </si>
  <si>
    <t>https://files.armadanusantara.co.id/bukti/cba875dc51b2.pdf</t>
  </si>
  <si>
    <t>https://files.armadanusantara.co.id/bukti/6f5888129c11.jpeg</t>
  </si>
  <si>
    <t>73277@armadanusantara.co.id</t>
  </si>
  <si>
    <t>Sofyan Fadillah</t>
  </si>
  <si>
    <t>https://files.armadanusantara.co.id/bukti/ac0c955dced6.jpeg</t>
  </si>
  <si>
    <t>https://files.armadanusantara.co.id/bukti/9e97d65553bb.jpg</t>
  </si>
  <si>
    <t>80208@armadanusantara.co.id</t>
  </si>
  <si>
    <t>Anisa Tanjung</t>
  </si>
  <si>
    <t>https://files.armadanusantara.co.id/bukti/ad84f4b9a5bc.png</t>
  </si>
  <si>
    <t>https://files.armadanusantara.co.id/bukti/9e5f30d21c0b.png</t>
  </si>
  <si>
    <t>https://files.armadanusantara.co.id/bukti/6bda04db4cf2.jpg</t>
  </si>
  <si>
    <t>https://files.armadanusantara.co.id/bukti/619961c0f80a.pdf</t>
  </si>
  <si>
    <t>57744@armadanusantara.co.id</t>
  </si>
  <si>
    <t>Eka Panjaitan</t>
  </si>
  <si>
    <t>https://files.armadanusantara.co.id/bukti/f35b676783dc.pdf</t>
  </si>
  <si>
    <t>https://files.armadanusantara.co.id/bukti/96f6fc6e9395.jpeg</t>
  </si>
  <si>
    <t>96281@armadanusantara.co.id</t>
  </si>
  <si>
    <t>Randi Purnama</t>
  </si>
  <si>
    <t>https://files.armadanusantara.co.id/bukti/64ec61c38f92.png</t>
  </si>
  <si>
    <t>https://files.armadanusantara.co.id/bukti/dcca0ab70817.jpg</t>
  </si>
  <si>
    <t>93190@armadanusantara.co.id</t>
  </si>
  <si>
    <t>Tri Cahyono</t>
  </si>
  <si>
    <t>https://files.armadanusantara.co.id/bukti/85d35920042b.jpg</t>
  </si>
  <si>
    <t>https://files.armadanusantara.co.id/bukti/7962316e4485.pdf</t>
  </si>
  <si>
    <t>61135@armadanusantara.co.id</t>
  </si>
  <si>
    <t>Farid Jayadi</t>
  </si>
  <si>
    <t>https://files.armadanusantara.co.id/bukti/7792988a31fa.png</t>
  </si>
  <si>
    <t>https://files.armadanusantara.co.id/bukti/524889e4a347.png</t>
  </si>
  <si>
    <t>65472@armadanusantara.co.id</t>
  </si>
  <si>
    <t>Anisa Winata</t>
  </si>
  <si>
    <t>https://files.armadanusantara.co.id/bukti/b9570797d5e3.jpeg</t>
  </si>
  <si>
    <t>https://files.armadanusantara.co.id/bukti/fe2e8addc201.jpg</t>
  </si>
  <si>
    <t>56072@armadanusantara.co.id</t>
  </si>
  <si>
    <t>Nugroho Firmansyah</t>
  </si>
  <si>
    <t>B7247BU</t>
  </si>
  <si>
    <t>https://files.armadanusantara.co.id/bukti/cd947e5fb361.pdf</t>
  </si>
  <si>
    <t>https://files.armadanusantara.co.id/bukti/f769ec93fb71.pdf</t>
  </si>
  <si>
    <t>https://files.armadanusantara.co.id/bukti/79ea59d53e0a.pdf</t>
  </si>
  <si>
    <t>https://files.armadanusantara.co.id/bukti/56835ccb5c5f.jpg</t>
  </si>
  <si>
    <t>https://files.armadanusantara.co.id/bukti/2507edec9617.jpeg</t>
  </si>
  <si>
    <t>https://files.armadanusantara.co.id/bukti/e5eba2e850dc.png</t>
  </si>
  <si>
    <t>https://files.armadanusantara.co.id/bukti/3ca2893fc68b.jpeg</t>
  </si>
  <si>
    <t>https://files.armadanusantara.co.id/bukti/62c38b0a593b.pdf</t>
  </si>
  <si>
    <t>82074@armadanusantara.co.id</t>
  </si>
  <si>
    <t>Ari Prabowo</t>
  </si>
  <si>
    <t>https://files.armadanusantara.co.id/bukti/3c318f642889.jpg</t>
  </si>
  <si>
    <t>https://files.armadanusantara.co.id/bukti/2031c0c58ddb.jpeg</t>
  </si>
  <si>
    <t>42347@armadanusantara.co.id</t>
  </si>
  <si>
    <t>Guntur Gunawan</t>
  </si>
  <si>
    <t>https://files.armadanusantara.co.id/bukti/3378e7bd8cf7.jpg</t>
  </si>
  <si>
    <t>https://files.armadanusantara.co.id/bukti/0f71b98e7590.jpg</t>
  </si>
  <si>
    <t>38833@armadanusantara.co.id</t>
  </si>
  <si>
    <t>Lestari Harahap</t>
  </si>
  <si>
    <t>https://files.armadanusantara.co.id/bukti/8c1b964f4d46.jpeg</t>
  </si>
  <si>
    <t>https://files.armadanusantara.co.id/bukti/21bea6830751.png</t>
  </si>
  <si>
    <t>27888@armadanusantara.co.id</t>
  </si>
  <si>
    <t>Wawan Setiawan</t>
  </si>
  <si>
    <t>AB8251AD</t>
  </si>
  <si>
    <t>https://files.armadanusantara.co.id/bukti/a15fe91a89e1.jpeg</t>
  </si>
  <si>
    <t>https://files.armadanusantara.co.id/bukti/650cc6b0a4f1.png</t>
  </si>
  <si>
    <t>25785@armadanusantara.co.id</t>
  </si>
  <si>
    <t>Putri Nasution</t>
  </si>
  <si>
    <t>https://files.armadanusantara.co.id/bukti/8b4e740bad18.jpg</t>
  </si>
  <si>
    <t>https://files.armadanusantara.co.id/bukti/68a5832b409a.pdf</t>
  </si>
  <si>
    <t>https://files.armadanusantara.co.id/bukti/7ccbb7645aad.jpeg</t>
  </si>
  <si>
    <t>https://files.armadanusantara.co.id/bukti/4afac152b2cd.jpeg</t>
  </si>
  <si>
    <t>28547@armadanusantara.co.id</t>
  </si>
  <si>
    <t>Citra Ginting</t>
  </si>
  <si>
    <t>B1419NV</t>
  </si>
  <si>
    <t>https://files.armadanusantara.co.id/bukti/4783d07ce592.pdf</t>
  </si>
  <si>
    <t>https://files.armadanusantara.co.id/bukti/17d4a58c57dd.jpeg</t>
  </si>
  <si>
    <t>13136@armadanusantara.co.id</t>
  </si>
  <si>
    <t>Prasetyo Sihombing</t>
  </si>
  <si>
    <t>https://files.armadanusantara.co.id/bukti/6c2f1eaa8571.pdf</t>
  </si>
  <si>
    <t>https://files.armadanusantara.co.id/bukti/9fb6c9dcdd11.pdf</t>
  </si>
  <si>
    <t>86318@armadanusantara.co.id</t>
  </si>
  <si>
    <t>Imam Ramadhan</t>
  </si>
  <si>
    <t>B7495IAS</t>
  </si>
  <si>
    <t>https://files.armadanusantara.co.id/bukti/76b2cb2509b9.pdf</t>
  </si>
  <si>
    <t>https://files.armadanusantara.co.id/bukti/844291418155.jpg</t>
  </si>
  <si>
    <t>https://files.armadanusantara.co.id/bukti/b4ad8e344367.jpg</t>
  </si>
  <si>
    <t>https://files.armadanusantara.co.id/bukti/32a5c5201495.jpg</t>
  </si>
  <si>
    <t>https://files.armadanusantara.co.id/bukti/5ee0f46e37e9.png</t>
  </si>
  <si>
    <t>https://files.armadanusantara.co.id/bukti/a9c0ec04bb69.pdf</t>
  </si>
  <si>
    <t>https://files.armadanusantara.co.id/bukti/0b4878942663.pdf</t>
  </si>
  <si>
    <t>https://files.armadanusantara.co.id/bukti/b84ae44d13fe.pdf</t>
  </si>
  <si>
    <t>26233@armadanusantara.co.id</t>
  </si>
  <si>
    <t>Adi Suryana</t>
  </si>
  <si>
    <t>B8191BIM</t>
  </si>
  <si>
    <t>https://files.armadanusantara.co.id/bukti/0e67172cc01f.pdf</t>
  </si>
  <si>
    <t>https://files.armadanusantara.co.id/bukti/8658bf625570.jpeg</t>
  </si>
  <si>
    <t>https://files.armadanusantara.co.id/bukti/72d1281bc5c4.jpg</t>
  </si>
  <si>
    <t>https://files.armadanusantara.co.id/bukti/f3f57812e863.pdf</t>
  </si>
  <si>
    <t>99700@armadanusantara.co.id</t>
  </si>
  <si>
    <t>Nanda Ginting</t>
  </si>
  <si>
    <t>https://files.armadanusantara.co.id/bukti/27f350c93a66.pdf</t>
  </si>
  <si>
    <t>https://files.armadanusantara.co.id/bukti/8f2c8b35335f.pdf</t>
  </si>
  <si>
    <t>34768@armadanusantara.co.id</t>
  </si>
  <si>
    <t>Oki Mahendra</t>
  </si>
  <si>
    <t>https://files.armadanusantara.co.id/bukti/7e0fdd925bc0.jpeg</t>
  </si>
  <si>
    <t>https://files.armadanusantara.co.id/bukti/7b133305f149.jpg</t>
  </si>
  <si>
    <t>B9487WI</t>
  </si>
  <si>
    <t>https://files.armadanusantara.co.id/bukti/82120fe37eff.jpg</t>
  </si>
  <si>
    <t>https://files.armadanusantara.co.id/bukti/02c197f15395.png</t>
  </si>
  <si>
    <t>87583@armadanusantara.co.id</t>
  </si>
  <si>
    <t>Bambang Firmansyah</t>
  </si>
  <si>
    <t>https://files.armadanusantara.co.id/bukti/2698fe3f4c8a.png</t>
  </si>
  <si>
    <t>https://files.armadanusantara.co.id/bukti/6383fe1e7274.pdf</t>
  </si>
  <si>
    <t>https://files.armadanusantara.co.id/bukti/c9498f3185fb.jpg</t>
  </si>
  <si>
    <t>https://files.armadanusantara.co.id/bukti/98b3acdc0e8b.jpg</t>
  </si>
  <si>
    <t>73147@armadanusantara.co.id</t>
  </si>
  <si>
    <t>Heri Waluyo</t>
  </si>
  <si>
    <t>https://files.armadanusantara.co.id/bukti/2f140d4ac09e.jpeg</t>
  </si>
  <si>
    <t>https://files.armadanusantara.co.id/bukti/b2eb87321280.jpg</t>
  </si>
  <si>
    <t>59314@armadanusantara.co.id</t>
  </si>
  <si>
    <t>Novan Anggara</t>
  </si>
  <si>
    <t>https://files.armadanusantara.co.id/bukti/50125683348f.jpg</t>
  </si>
  <si>
    <t>https://files.armadanusantara.co.id/bukti/7239dc2efa44.png</t>
  </si>
  <si>
    <t>B4656ZVZ</t>
  </si>
  <si>
    <t>https://files.armadanusantara.co.id/bukti/2f0fae055b97.png</t>
  </si>
  <si>
    <t>https://files.armadanusantara.co.id/bukti/7f724ca7383f.jpeg</t>
  </si>
  <si>
    <t>54845@armadanusantara.co.id</t>
  </si>
  <si>
    <t>Yusuf Mahendra</t>
  </si>
  <si>
    <t>H4950GZ</t>
  </si>
  <si>
    <t>https://files.armadanusantara.co.id/bukti/2f16e7422194.jpeg</t>
  </si>
  <si>
    <t>https://files.armadanusantara.co.id/bukti/34405377f747.png</t>
  </si>
  <si>
    <t>40681@armadanusantara.co.id</t>
  </si>
  <si>
    <t>Vina Jayadi</t>
  </si>
  <si>
    <t>https://files.armadanusantara.co.id/bukti/fae2d003cde3.pdf</t>
  </si>
  <si>
    <t>https://files.armadanusantara.co.id/bukti/00f8d81da1eb.pdf</t>
  </si>
  <si>
    <t>42383@armadanusantara.co.id</t>
  </si>
  <si>
    <t>Zaki Jayadi</t>
  </si>
  <si>
    <t>https://files.armadanusantara.co.id/bukti/6e57ce25bba5.pdf</t>
  </si>
  <si>
    <t>https://files.armadanusantara.co.id/bukti/a279addba290.pdf</t>
  </si>
  <si>
    <t>54742@armadanusantara.co.id</t>
  </si>
  <si>
    <t>Prasetyo Tanjung</t>
  </si>
  <si>
    <t>B4667XM</t>
  </si>
  <si>
    <t>https://files.armadanusantara.co.id/bukti/e7a20ccc8462.png</t>
  </si>
  <si>
    <t>https://files.armadanusantara.co.id/bukti/7c9b3a2768c7.jpg</t>
  </si>
  <si>
    <t>13694@armadanusantara.co.id</t>
  </si>
  <si>
    <t>Sri Cahyono</t>
  </si>
  <si>
    <t>https://files.armadanusantara.co.id/bukti/054a4fa20946.jpeg</t>
  </si>
  <si>
    <t>https://files.armadanusantara.co.id/bukti/b0b60fb01472.pdf</t>
  </si>
  <si>
    <t>85457@armadanusantara.co.id</t>
  </si>
  <si>
    <t>Wahyu Jayadi</t>
  </si>
  <si>
    <t>https://files.armadanusantara.co.id/bukti/ca9ad29a4ccb.jpg</t>
  </si>
  <si>
    <t>https://files.armadanusantara.co.id/bukti/b93b388dd1c5.pdf</t>
  </si>
  <si>
    <t>41500@armadanusantara.co.id</t>
  </si>
  <si>
    <t>Purnomo Nainggolan</t>
  </si>
  <si>
    <t>https://files.armadanusantara.co.id/bukti/063609a31b51.jpeg</t>
  </si>
  <si>
    <t>https://files.armadanusantara.co.id/bukti/39010f5151f0.jpg</t>
  </si>
  <si>
    <t>38983@armadanusantara.co.id</t>
  </si>
  <si>
    <t>Agus Anggara</t>
  </si>
  <si>
    <t>https://files.armadanusantara.co.id/bukti/8d8a7aee3cf4.png</t>
  </si>
  <si>
    <t>https://files.armadanusantara.co.id/bukti/8223b4a03388.jpg</t>
  </si>
  <si>
    <t>AB3137TU</t>
  </si>
  <si>
    <t>https://files.armadanusantara.co.id/bukti/733d2639693c.pdf</t>
  </si>
  <si>
    <t>https://files.armadanusantara.co.id/bukti/5c9a98a563c9.pdf</t>
  </si>
  <si>
    <t>80833@armadanusantara.co.id</t>
  </si>
  <si>
    <t>Yusuf Manurung</t>
  </si>
  <si>
    <t>KB3547AT</t>
  </si>
  <si>
    <t>https://files.armadanusantara.co.id/bukti/68544fc162ff.pdf</t>
  </si>
  <si>
    <t>https://files.armadanusantara.co.id/bukti/dc887aee38ea.pdf</t>
  </si>
  <si>
    <t>82009@armadanusantara.co.id</t>
  </si>
  <si>
    <t>Cahya Utama</t>
  </si>
  <si>
    <t>B4293EW</t>
  </si>
  <si>
    <t>https://files.armadanusantara.co.id/bukti/04fccb17304a.png</t>
  </si>
  <si>
    <t>https://files.armadanusantara.co.id/bukti/c181549c1158.png</t>
  </si>
  <si>
    <t>88182@armadanusantara.co.id</t>
  </si>
  <si>
    <t>Alif Wijaya</t>
  </si>
  <si>
    <t>https://files.armadanusantara.co.id/bukti/1e374e5bafb7.jpg</t>
  </si>
  <si>
    <t>https://files.armadanusantara.co.id/bukti/bd771d725b4d.jpg</t>
  </si>
  <si>
    <t>B9269SB</t>
  </si>
  <si>
    <t>https://files.armadanusantara.co.id/bukti/26389d6a63db.pdf</t>
  </si>
  <si>
    <t>https://files.armadanusantara.co.id/bukti/a1878fa72475.jpg</t>
  </si>
  <si>
    <t>https://files.armadanusantara.co.id/bukti/0a4df43a7aff.jpg</t>
  </si>
  <si>
    <t>https://files.armadanusantara.co.id/bukti/7dfa0a62e97f.pdf</t>
  </si>
  <si>
    <t>74121@armadanusantara.co.id</t>
  </si>
  <si>
    <t>Bayu Hakim</t>
  </si>
  <si>
    <t>https://files.armadanusantara.co.id/bukti/08a580695b4d.jpg</t>
  </si>
  <si>
    <t>https://files.armadanusantara.co.id/bukti/8b104836e718.pdf</t>
  </si>
  <si>
    <t>https://files.armadanusantara.co.id/bukti/b8feb0935b8e.jpg</t>
  </si>
  <si>
    <t>https://files.armadanusantara.co.id/bukti/0545e9c5e84b.pdf</t>
  </si>
  <si>
    <t>34723@armadanusantara.co.id</t>
  </si>
  <si>
    <t>Yusuf Wibowo</t>
  </si>
  <si>
    <t>B2542RG</t>
  </si>
  <si>
    <t>https://files.armadanusantara.co.id/bukti/b3509bd4392a.png</t>
  </si>
  <si>
    <t>https://files.armadanusantara.co.id/bukti/838d19e3fb02.jpeg</t>
  </si>
  <si>
    <t>10025@armadanusantara.co.id</t>
  </si>
  <si>
    <t>Rizki Permana</t>
  </si>
  <si>
    <t>https://files.armadanusantara.co.id/bukti/401935d5f9a0.pdf</t>
  </si>
  <si>
    <t>https://files.armadanusantara.co.id/bukti/b6dc3437facf.jpg</t>
  </si>
  <si>
    <t>63717@armadanusantara.co.id</t>
  </si>
  <si>
    <t>Arif Waluyo</t>
  </si>
  <si>
    <t>https://files.armadanusantara.co.id/bukti/da0f7c8eaab2.pdf</t>
  </si>
  <si>
    <t>https://files.armadanusantara.co.id/bukti/fbfea7e7dcc1.jpeg</t>
  </si>
  <si>
    <t>https://files.armadanusantara.co.id/bukti/dc0fe23fba0d.jpg</t>
  </si>
  <si>
    <t>https://files.armadanusantara.co.id/bukti/e2bd2c81369a.jpeg</t>
  </si>
  <si>
    <t>92801@armadanusantara.co.id</t>
  </si>
  <si>
    <t>Farid Nasution</t>
  </si>
  <si>
    <t>https://files.armadanusantara.co.id/bukti/7a7a828a3bac.jpg</t>
  </si>
  <si>
    <t>https://files.armadanusantara.co.id/bukti/d1387c829bff.jpeg</t>
  </si>
  <si>
    <t>81449@armadanusantara.co.id</t>
  </si>
  <si>
    <t>Gita Hidayat</t>
  </si>
  <si>
    <t>https://files.armadanusantara.co.id/bukti/7fb59b929a83.pdf</t>
  </si>
  <si>
    <t>https://files.armadanusantara.co.id/bukti/b751485b5c66.pdf</t>
  </si>
  <si>
    <t>D3219FF</t>
  </si>
  <si>
    <t>https://files.armadanusantara.co.id/bukti/f4cd62513061.pdf</t>
  </si>
  <si>
    <t>https://files.armadanusantara.co.id/bukti/c3cdc4bf2637.png</t>
  </si>
  <si>
    <t>37616@armadanusantara.co.id</t>
  </si>
  <si>
    <t>Selvi Ramadhan</t>
  </si>
  <si>
    <t>https://files.armadanusantara.co.id/bukti/d8d6efc37a83.jpg</t>
  </si>
  <si>
    <t>https://files.armadanusantara.co.id/bukti/f497598dedb3.png</t>
  </si>
  <si>
    <t>71428@armadanusantara.co.id</t>
  </si>
  <si>
    <t>Tri Tanjung</t>
  </si>
  <si>
    <t>https://files.armadanusantara.co.id/bukti/28680d30d814.pdf</t>
  </si>
  <si>
    <t>https://files.armadanusantara.co.id/bukti/bae99716c302.jpeg</t>
  </si>
  <si>
    <t>87007@armadanusantara.co.id</t>
  </si>
  <si>
    <t>Lukman Harahap</t>
  </si>
  <si>
    <t>B3279EV</t>
  </si>
  <si>
    <t>https://files.armadanusantara.co.id/bukti/97f1253cb726.jpg</t>
  </si>
  <si>
    <t>https://files.armadanusantara.co.id/bukti/841d646c1705.png</t>
  </si>
  <si>
    <t>https://files.armadanusantara.co.id/bukti/ef0eea2529db.png</t>
  </si>
  <si>
    <t>https://files.armadanusantara.co.id/bukti/428d351c8d5b.pdf</t>
  </si>
  <si>
    <t>82806@armadanusantara.co.id</t>
  </si>
  <si>
    <t>Firman Handoko</t>
  </si>
  <si>
    <t>https://files.armadanusantara.co.id/bukti/f34b4b64ea0b.jpg</t>
  </si>
  <si>
    <t>https://files.armadanusantara.co.id/bukti/036b97ced716.jpg</t>
  </si>
  <si>
    <t>B9614KS</t>
  </si>
  <si>
    <t>https://files.armadanusantara.co.id/bukti/86dae2817881.jpg</t>
  </si>
  <si>
    <t>https://files.armadanusantara.co.id/bukti/93269535ab6c.jpg</t>
  </si>
  <si>
    <t>12076@armadanusantara.co.id</t>
  </si>
  <si>
    <t>Cahya Sitorus</t>
  </si>
  <si>
    <t>https://files.armadanusantara.co.id/bukti/0e23f416d9bf.png</t>
  </si>
  <si>
    <t>https://files.armadanusantara.co.id/bukti/170c8fac239d.pdf</t>
  </si>
  <si>
    <t>59491@armadanusantara.co.id</t>
  </si>
  <si>
    <t>Ilham Purnama</t>
  </si>
  <si>
    <t>https://files.armadanusantara.co.id/bukti/2fe35bc1f462.pdf</t>
  </si>
  <si>
    <t>https://files.armadanusantara.co.id/bukti/9e5ea742e5c8.jpeg</t>
  </si>
  <si>
    <t>16799@armadanusantara.co.id</t>
  </si>
  <si>
    <t>Sofyan Santoso</t>
  </si>
  <si>
    <t>KB5129KHN</t>
  </si>
  <si>
    <t>https://files.armadanusantara.co.id/bukti/0baaa879898b.png</t>
  </si>
  <si>
    <t>https://files.armadanusantara.co.id/bukti/4f061391c6cc.jpg</t>
  </si>
  <si>
    <t>60720@armadanusantara.co.id</t>
  </si>
  <si>
    <t>Tri Anggara</t>
  </si>
  <si>
    <t>https://files.armadanusantara.co.id/bukti/d0b287d2f78f.pdf</t>
  </si>
  <si>
    <t>https://files.armadanusantara.co.id/bukti/98dac4aa62c9.png</t>
  </si>
  <si>
    <t>63938@armadanusantara.co.id</t>
  </si>
  <si>
    <t>Fajar Jayadi</t>
  </si>
  <si>
    <t>B6840ZH</t>
  </si>
  <si>
    <t>https://files.armadanusantara.co.id/bukti/a64716c0e987.jpg</t>
  </si>
  <si>
    <t>https://files.armadanusantara.co.id/bukti/7c1ac3af8aa9.jpeg</t>
  </si>
  <si>
    <t>48597@armadanusantara.co.id</t>
  </si>
  <si>
    <t>Joko Kurniawan</t>
  </si>
  <si>
    <t>B5659TK</t>
  </si>
  <si>
    <t>https://files.armadanusantara.co.id/bukti/91f5ec449aaa.png</t>
  </si>
  <si>
    <t>https://files.armadanusantara.co.id/bukti/38625b8729ce.jpeg</t>
  </si>
  <si>
    <t>31875@armadanusantara.co.id</t>
  </si>
  <si>
    <t>Sigit Firmansyah</t>
  </si>
  <si>
    <t>H6631HJ</t>
  </si>
  <si>
    <t>https://files.armadanusantara.co.id/bukti/5e68c4fad02c.jpg</t>
  </si>
  <si>
    <t>https://files.armadanusantara.co.id/bukti/1ae6ab30883a.jpeg</t>
  </si>
  <si>
    <t>https://files.armadanusantara.co.id/bukti/754b8d32d30e.jpeg</t>
  </si>
  <si>
    <t>https://files.armadanusantara.co.id/bukti/cd9767b42aaa.pdf</t>
  </si>
  <si>
    <t>95806@armadanusantara.co.id</t>
  </si>
  <si>
    <t>Citra Prabowo</t>
  </si>
  <si>
    <t>https://files.armadanusantara.co.id/bukti/d357fc5418c2.jpg</t>
  </si>
  <si>
    <t>https://files.armadanusantara.co.id/bukti/2e2c3e3490dd.jpeg</t>
  </si>
  <si>
    <t>29288@armadanusantara.co.id</t>
  </si>
  <si>
    <t>Surya Winata</t>
  </si>
  <si>
    <t>B4262RU</t>
  </si>
  <si>
    <t>https://files.armadanusantara.co.id/bukti/6b21a3435ac4.pdf</t>
  </si>
  <si>
    <t>https://files.armadanusantara.co.id/bukti/78c0b15c331e.jpeg</t>
  </si>
  <si>
    <t>43785@armadanusantara.co.id</t>
  </si>
  <si>
    <t>Yoga Kusuma</t>
  </si>
  <si>
    <t>B9502WHJ</t>
  </si>
  <si>
    <t>https://files.armadanusantara.co.id/bukti/1c627ab34de7.pdf</t>
  </si>
  <si>
    <t>https://files.armadanusantara.co.id/bukti/9b0273965b69.png</t>
  </si>
  <si>
    <t>74313@armadanusantara.co.id</t>
  </si>
  <si>
    <t>Cahya Purnama</t>
  </si>
  <si>
    <t>https://files.armadanusantara.co.id/bukti/ca45f8ad9637.png</t>
  </si>
  <si>
    <t>https://files.armadanusantara.co.id/bukti/0c58886b7423.png</t>
  </si>
  <si>
    <t>https://files.armadanusantara.co.id/bukti/8dce37fe52e2.png</t>
  </si>
  <si>
    <t>https://files.armadanusantara.co.id/bukti/6790a6a9936c.pdf</t>
  </si>
  <si>
    <t>23090@armadanusantara.co.id</t>
  </si>
  <si>
    <t>Zaki Halim</t>
  </si>
  <si>
    <t>https://files.armadanusantara.co.id/bukti/dd10c256f771.jpeg</t>
  </si>
  <si>
    <t>https://files.armadanusantara.co.id/bukti/2c3e9fe6ed3b.png</t>
  </si>
  <si>
    <t>19852@armadanusantara.co.id</t>
  </si>
  <si>
    <t>Roni Setiawan</t>
  </si>
  <si>
    <t>B1416VGW</t>
  </si>
  <si>
    <t>https://files.armadanusantara.co.id/bukti/a79c52e4d319.pdf</t>
  </si>
  <si>
    <t>https://files.armadanusantara.co.id/bukti/7a0725d63f2f.jpg</t>
  </si>
  <si>
    <t>https://files.armadanusantara.co.id/bukti/aac0fe967364.jpg</t>
  </si>
  <si>
    <t>https://files.armadanusantara.co.id/bukti/95b3d553883e.jpg</t>
  </si>
  <si>
    <t>54065@armadanusantara.co.id</t>
  </si>
  <si>
    <t>Adi Ramadhan</t>
  </si>
  <si>
    <t>https://files.armadanusantara.co.id/bukti/cab26d93ca18.jpeg</t>
  </si>
  <si>
    <t>https://files.armadanusantara.co.id/bukti/8ea81bff1ab3.png</t>
  </si>
  <si>
    <t>https://files.armadanusantara.co.id/bukti/a219264ca934.pdf</t>
  </si>
  <si>
    <t>https://files.armadanusantara.co.id/bukti/5fb59d5f175c.png</t>
  </si>
  <si>
    <t>25939@armadanusantara.co.id</t>
  </si>
  <si>
    <t>Sandi Santoso</t>
  </si>
  <si>
    <t>https://files.armadanusantara.co.id/bukti/847b8731be41.png</t>
  </si>
  <si>
    <t>https://files.armadanusantara.co.id/bukti/7221c7e6dac3.jpg</t>
  </si>
  <si>
    <t>B4068JNS</t>
  </si>
  <si>
    <t>https://files.armadanusantara.co.id/bukti/4bc31aa1c85d.pdf</t>
  </si>
  <si>
    <t>https://files.armadanusantara.co.id/bukti/6b206c6b5d51.pdf</t>
  </si>
  <si>
    <t>35768@armadanusantara.co.id</t>
  </si>
  <si>
    <t>Reza Marpaung</t>
  </si>
  <si>
    <t>https://files.armadanusantara.co.id/bukti/1488f05a7a54.jpeg</t>
  </si>
  <si>
    <t>https://files.armadanusantara.co.id/bukti/612a2f937cd0.png</t>
  </si>
  <si>
    <t>https://files.armadanusantara.co.id/bukti/57dffde3f0ff.pdf</t>
  </si>
  <si>
    <t>https://files.armadanusantara.co.id/bukti/14fd91fbfa93.jpg</t>
  </si>
  <si>
    <t>35261@armadanusantara.co.id</t>
  </si>
  <si>
    <t>Dinda Saputra</t>
  </si>
  <si>
    <t>https://files.armadanusantara.co.id/bukti/f561beca04b0.pdf</t>
  </si>
  <si>
    <t>https://files.armadanusantara.co.id/bukti/45cbf431d02c.pdf</t>
  </si>
  <si>
    <t>21619@armadanusantara.co.id</t>
  </si>
  <si>
    <t>Selvi Simatupang</t>
  </si>
  <si>
    <t>https://files.armadanusantara.co.id/bukti/6e096e199b89.jpg</t>
  </si>
  <si>
    <t>https://files.armadanusantara.co.id/bukti/17487a86344b.jpg</t>
  </si>
  <si>
    <t>34561@armadanusantara.co.id</t>
  </si>
  <si>
    <t>Deni Pratama</t>
  </si>
  <si>
    <t>B8699GN</t>
  </si>
  <si>
    <t>https://files.armadanusantara.co.id/bukti/b0693bfa28e0.jpg</t>
  </si>
  <si>
    <t>https://files.armadanusantara.co.id/bukti/0413e232e266.pdf</t>
  </si>
  <si>
    <t>https://files.armadanusantara.co.id/bukti/da0089b3cd49.jpg</t>
  </si>
  <si>
    <t>https://files.armadanusantara.co.id/bukti/3c96a27df097.jpg</t>
  </si>
  <si>
    <t>https://files.armadanusantara.co.id/bukti/2a81c484dae6.pdf</t>
  </si>
  <si>
    <t>https://files.armadanusantara.co.id/bukti/86e12ab1e8de.pdf</t>
  </si>
  <si>
    <t>45364@armadanusantara.co.id</t>
  </si>
  <si>
    <t>Reza Situmorang</t>
  </si>
  <si>
    <t>L4298GD</t>
  </si>
  <si>
    <t>https://files.armadanusantara.co.id/bukti/635cb0a6b50a.png</t>
  </si>
  <si>
    <t>https://files.armadanusantara.co.id/bukti/f98769668460.pdf</t>
  </si>
  <si>
    <t>https://files.armadanusantara.co.id/bukti/753e6d2b3af7.png</t>
  </si>
  <si>
    <t>https://files.armadanusantara.co.id/bukti/a4ffb3c26c7d.pdf</t>
  </si>
  <si>
    <t>23565@armadanusantara.co.id</t>
  </si>
  <si>
    <t>Roni Panjaitan</t>
  </si>
  <si>
    <t>B5022SN</t>
  </si>
  <si>
    <t>https://files.armadanusantara.co.id/bukti/d1d645811799.jpg</t>
  </si>
  <si>
    <t>https://files.armadanusantara.co.id/bukti/217e3d0af489.pdf</t>
  </si>
  <si>
    <t>91492@armadanusantara.co.id</t>
  </si>
  <si>
    <t>Maya Hutabarat</t>
  </si>
  <si>
    <t>https://files.armadanusantara.co.id/bukti/f2d584957676.jpeg</t>
  </si>
  <si>
    <t>https://files.armadanusantara.co.id/bukti/dc9aaad96a2f.png</t>
  </si>
  <si>
    <t>https://files.armadanusantara.co.id/bukti/4178a54b8a02.jpg</t>
  </si>
  <si>
    <t>https://files.armadanusantara.co.id/bukti/72702df2fa5a.png</t>
  </si>
  <si>
    <t>66577@armadanusantara.co.id</t>
  </si>
  <si>
    <t>Tri Mahendra</t>
  </si>
  <si>
    <t>https://files.armadanusantara.co.id/bukti/70ffe01c1902.jpeg</t>
  </si>
  <si>
    <t>https://files.armadanusantara.co.id/bukti/3ce69aee9aa2.jpeg</t>
  </si>
  <si>
    <t>67648@armadanusantara.co.id</t>
  </si>
  <si>
    <t>Satria Halim</t>
  </si>
  <si>
    <t>https://files.armadanusantara.co.id/bukti/c7eefe558a71.png</t>
  </si>
  <si>
    <t>https://files.armadanusantara.co.id/bukti/d49da946612d.jpg</t>
  </si>
  <si>
    <t>58005@armadanusantara.co.id</t>
  </si>
  <si>
    <t>Citra Panjaitan</t>
  </si>
  <si>
    <t>https://files.armadanusantara.co.id/bukti/a7e6de7a357b.jpg</t>
  </si>
  <si>
    <t>https://files.armadanusantara.co.id/bukti/83583c2dce77.jpeg</t>
  </si>
  <si>
    <t>https://files.armadanusantara.co.id/bukti/91db2ec42b15.jpg</t>
  </si>
  <si>
    <t>https://files.armadanusantara.co.id/bukti/0ae527ad8c08.jpeg</t>
  </si>
  <si>
    <t>66093@armadanusantara.co.id</t>
  </si>
  <si>
    <t>Surya Hidayat</t>
  </si>
  <si>
    <t>B3918PT</t>
  </si>
  <si>
    <t>https://files.armadanusantara.co.id/bukti/06f63e524902.jpeg</t>
  </si>
  <si>
    <t>https://files.armadanusantara.co.id/bukti/1f78a220bcec.pdf</t>
  </si>
  <si>
    <t>52997@armadanusantara.co.id</t>
  </si>
  <si>
    <t>Erwin Winata</t>
  </si>
  <si>
    <t>https://files.armadanusantara.co.id/bukti/ac1ad07c58e9.jpeg</t>
  </si>
  <si>
    <t>https://files.armadanusantara.co.id/bukti/c39d995d568f.jpeg</t>
  </si>
  <si>
    <t>B4849EVK</t>
  </si>
  <si>
    <t>https://files.armadanusantara.co.id/bukti/e77703185b5a.png</t>
  </si>
  <si>
    <t>https://files.armadanusantara.co.id/bukti/834a21b8d4d5.pdf</t>
  </si>
  <si>
    <t>55354@armadanusantara.co.id</t>
  </si>
  <si>
    <t>Raka Santoso</t>
  </si>
  <si>
    <t>https://files.armadanusantara.co.id/bukti/7f54cee26c47.jpeg</t>
  </si>
  <si>
    <t>https://files.armadanusantara.co.id/bukti/0dede65e7e8b.pdf</t>
  </si>
  <si>
    <t>https://files.armadanusantara.co.id/bukti/a95e7df0ca86.jpeg</t>
  </si>
  <si>
    <t>https://files.armadanusantara.co.id/bukti/48b43be5a50c.pdf</t>
  </si>
  <si>
    <t>18691@armadanusantara.co.id</t>
  </si>
  <si>
    <t>Nugroho Nugraha</t>
  </si>
  <si>
    <t>https://files.armadanusantara.co.id/bukti/8ea1cb452723.pdf</t>
  </si>
  <si>
    <t>https://files.armadanusantara.co.id/bukti/ab11ed0c0efb.jpg</t>
  </si>
  <si>
    <t>98618@armadanusantara.co.id</t>
  </si>
  <si>
    <t>Erwin Hakim</t>
  </si>
  <si>
    <t>B9145RF</t>
  </si>
  <si>
    <t>https://files.armadanusantara.co.id/bukti/663d6052269c.pdf</t>
  </si>
  <si>
    <t>https://files.armadanusantara.co.id/bukti/f29aa216833a.png</t>
  </si>
  <si>
    <t>27755@armadanusantara.co.id</t>
  </si>
  <si>
    <t>Ferry Baskoro</t>
  </si>
  <si>
    <t>https://files.armadanusantara.co.id/bukti/f869f8c16196.jpeg</t>
  </si>
  <si>
    <t>https://files.armadanusantara.co.id/bukti/ac4100cca21a.jpg</t>
  </si>
  <si>
    <t>38319@armadanusantara.co.id</t>
  </si>
  <si>
    <t>Kurnia Hakim</t>
  </si>
  <si>
    <t>https://files.armadanusantara.co.id/bukti/78b959d2d7b5.jpg</t>
  </si>
  <si>
    <t>https://files.armadanusantara.co.id/bukti/e85a2127948e.png</t>
  </si>
  <si>
    <t>https://files.armadanusantara.co.id/bukti/1ee51f2a2331.png</t>
  </si>
  <si>
    <t>https://files.armadanusantara.co.id/bukti/d1d92cb8e6c5.jpg</t>
  </si>
  <si>
    <t>34375@armadanusantara.co.id</t>
  </si>
  <si>
    <t>Darmawan Waluyo</t>
  </si>
  <si>
    <t>DM7010BJ</t>
  </si>
  <si>
    <t>https://files.armadanusantara.co.id/bukti/3f5624ea2862.png</t>
  </si>
  <si>
    <t>https://files.armadanusantara.co.id/bukti/801749861c59.jpg</t>
  </si>
  <si>
    <t>https://files.armadanusantara.co.id/bukti/96b94ca1d8de.jpg</t>
  </si>
  <si>
    <t>https://files.armadanusantara.co.id/bukti/3cb6c0b7284e.jpeg</t>
  </si>
  <si>
    <t>21282@armadanusantara.co.id</t>
  </si>
  <si>
    <t>Darmawan Kusuma</t>
  </si>
  <si>
    <t>https://files.armadanusantara.co.id/bukti/a1fa8aab1cd1.pdf</t>
  </si>
  <si>
    <t>https://files.armadanusantara.co.id/bukti/e6eaac2fd9bc.pdf</t>
  </si>
  <si>
    <t>https://files.armadanusantara.co.id/bukti/c12336011288.jpg</t>
  </si>
  <si>
    <t>https://files.armadanusantara.co.id/bukti/f16c4d4a5492.jpg</t>
  </si>
  <si>
    <t>45125@armadanusantara.co.id</t>
  </si>
  <si>
    <t>Risma Sihombing</t>
  </si>
  <si>
    <t>DD5533EI</t>
  </si>
  <si>
    <t>https://files.armadanusantara.co.id/bukti/cc05eea20751.jpeg</t>
  </si>
  <si>
    <t>https://files.armadanusantara.co.id/bukti/2ba6bcd2dc94.jpeg</t>
  </si>
  <si>
    <t>https://files.armadanusantara.co.id/bukti/5b38572fc146.jpeg</t>
  </si>
  <si>
    <t>https://files.armadanusantara.co.id/bukti/2fcee5c2fd9b.pdf</t>
  </si>
  <si>
    <t>82254@armadanusantara.co.id</t>
  </si>
  <si>
    <t>Agus Ramadhan</t>
  </si>
  <si>
    <t>B5280HWW</t>
  </si>
  <si>
    <t>https://files.armadanusantara.co.id/bukti/8bb6c9b3bb56.pdf</t>
  </si>
  <si>
    <t>https://files.armadanusantara.co.id/bukti/019640b57cc3.jpeg</t>
  </si>
  <si>
    <t>https://files.armadanusantara.co.id/bukti/1da28a618047.jpg</t>
  </si>
  <si>
    <t>https://files.armadanusantara.co.id/bukti/ca1a7fba8dcf.pdf</t>
  </si>
  <si>
    <t>97066@armadanusantara.co.id</t>
  </si>
  <si>
    <t>Miftah Suryana</t>
  </si>
  <si>
    <t>https://files.armadanusantara.co.id/bukti/e20dd6536f07.pdf</t>
  </si>
  <si>
    <t>https://files.armadanusantara.co.id/bukti/34cc0e1d8e4f.jpeg</t>
  </si>
  <si>
    <t>51042@armadanusantara.co.id</t>
  </si>
  <si>
    <t>Taufik Oktavian</t>
  </si>
  <si>
    <t>https://files.armadanusantara.co.id/bukti/3f6ab3388ab5.png</t>
  </si>
  <si>
    <t>https://files.armadanusantara.co.id/bukti/66f82dd4d0c3.jpeg</t>
  </si>
  <si>
    <t>73681@armadanusantara.co.id</t>
  </si>
  <si>
    <t>Eka Santoso</t>
  </si>
  <si>
    <t>DB3636AJ</t>
  </si>
  <si>
    <t>https://files.armadanusantara.co.id/bukti/371781f3e440.jpeg</t>
  </si>
  <si>
    <t>https://files.armadanusantara.co.id/bukti/19bd866458e8.jpeg</t>
  </si>
  <si>
    <t>https://files.armadanusantara.co.id/bukti/78b19b87c2c6.jpeg</t>
  </si>
  <si>
    <t>https://files.armadanusantara.co.id/bukti/5d2d695ecaee.jpg</t>
  </si>
  <si>
    <t>73972@armadanusantara.co.id</t>
  </si>
  <si>
    <t>Reza Mahendra</t>
  </si>
  <si>
    <t>https://files.armadanusantara.co.id/bukti/b47f1fe47a96.jpg</t>
  </si>
  <si>
    <t>https://files.armadanusantara.co.id/bukti/8535b57a95b1.jpg</t>
  </si>
  <si>
    <t>https://files.armadanusantara.co.id/bukti/134325cd33c3.jpeg</t>
  </si>
  <si>
    <t>https://files.armadanusantara.co.id/bukti/5cad6c8fce50.jpg</t>
  </si>
  <si>
    <t>https://files.armadanusantara.co.id/bukti/eaa3d56b9140.jpg</t>
  </si>
  <si>
    <t>https://files.armadanusantara.co.id/bukti/635115215944.pdf</t>
  </si>
  <si>
    <t>https://files.armadanusantara.co.id/bukti/3f5bb1788734.png</t>
  </si>
  <si>
    <t>https://files.armadanusantara.co.id/bukti/18aeff668292.jpg</t>
  </si>
  <si>
    <t>https://files.armadanusantara.co.id/bukti/28ade538c50d.png</t>
  </si>
  <si>
    <t>https://files.armadanusantara.co.id/bukti/a9cc38e49dae.png</t>
  </si>
  <si>
    <t>59441@armadanusantara.co.id</t>
  </si>
  <si>
    <t>Intan Halim</t>
  </si>
  <si>
    <t>https://files.armadanusantara.co.id/bukti/aa7ddac2033c.pdf</t>
  </si>
  <si>
    <t>https://files.armadanusantara.co.id/bukti/18237aed1d53.pdf</t>
  </si>
  <si>
    <t>https://files.armadanusantara.co.id/bukti/bf9952cafa86.jpeg</t>
  </si>
  <si>
    <t>https://files.armadanusantara.co.id/bukti/8824cfeed75e.pdf</t>
  </si>
  <si>
    <t>45828@armadanusantara.co.id</t>
  </si>
  <si>
    <t>Raka Purnama</t>
  </si>
  <si>
    <t>https://files.armadanusantara.co.id/bukti/62907070073a.png</t>
  </si>
  <si>
    <t>https://files.armadanusantara.co.id/bukti/3aae52fe96df.png</t>
  </si>
  <si>
    <t>https://files.armadanusantara.co.id/bukti/e2333d132822.png</t>
  </si>
  <si>
    <t>https://files.armadanusantara.co.id/bukti/ee3c2213bb10.jpg</t>
  </si>
  <si>
    <t>https://files.armadanusantara.co.id/bukti/cdfad3838ba9.jpeg</t>
  </si>
  <si>
    <t>https://files.armadanusantara.co.id/bukti/904996227c99.pdf</t>
  </si>
  <si>
    <t>https://files.armadanusantara.co.id/bukti/b956b26604e5.jpg</t>
  </si>
  <si>
    <t>https://files.armadanusantara.co.id/bukti/5066644f7379.jpg</t>
  </si>
  <si>
    <t>39129@armadanusantara.co.id</t>
  </si>
  <si>
    <t>Agus Situmorang</t>
  </si>
  <si>
    <t>B4985JZY</t>
  </si>
  <si>
    <t>https://files.armadanusantara.co.id/bukti/a12b520ff623.png</t>
  </si>
  <si>
    <t>https://files.armadanusantara.co.id/bukti/238dcc647649.png</t>
  </si>
  <si>
    <t>https://files.armadanusantara.co.id/bukti/9e2402f063eb.jpg</t>
  </si>
  <si>
    <t>https://files.armadanusantara.co.id/bukti/78678669076e.jpeg</t>
  </si>
  <si>
    <t>https://files.armadanusantara.co.id/bukti/9b6bc8c3c85f.jpeg</t>
  </si>
  <si>
    <t>https://files.armadanusantara.co.id/bukti/12c89c0d9f4e.pdf</t>
  </si>
  <si>
    <t>https://files.armadanusantara.co.id/bukti/9cf162972464.jpg</t>
  </si>
  <si>
    <t>https://files.armadanusantara.co.id/bukti/2fab48123c48.jpeg</t>
  </si>
  <si>
    <t>https://files.armadanusantara.co.id/bukti/ccdd2e082f75.jpeg</t>
  </si>
  <si>
    <t>https://files.armadanusantara.co.id/bukti/5919774672f6.jpeg</t>
  </si>
  <si>
    <t>https://files.armadanusantara.co.id/bukti/6c340e4351ab.jpeg</t>
  </si>
  <si>
    <t>https://files.armadanusantara.co.id/bukti/fdc17637869f.jpeg</t>
  </si>
  <si>
    <t>https://files.armadanusantara.co.id/bukti/9d91bcde7719.png</t>
  </si>
  <si>
    <t>https://files.armadanusantara.co.id/bukti/b0bbbea11578.jpg</t>
  </si>
  <si>
    <t>https://files.armadanusantara.co.id/bukti/b61e6f341da7.jpeg</t>
  </si>
  <si>
    <t>https://files.armadanusantara.co.id/bukti/9561d33a16d3.png</t>
  </si>
  <si>
    <t>https://files.armadanusantara.co.id/bukti/b898a9fc8252.jpeg</t>
  </si>
  <si>
    <t>https://files.armadanusantara.co.id/bukti/4dac7c981ede.png</t>
  </si>
  <si>
    <t>https://files.armadanusantara.co.id/bukti/6737c3d80b28.jpeg</t>
  </si>
  <si>
    <t>https://files.armadanusantara.co.id/bukti/7549b3ab68d5.jpg</t>
  </si>
  <si>
    <t>https://files.armadanusantara.co.id/bukti/e63c051b7d5e.jpg</t>
  </si>
  <si>
    <t>https://files.armadanusantara.co.id/bukti/10a82fbec28b.jpg</t>
  </si>
  <si>
    <t>https://files.armadanusantara.co.id/bukti/349d1d0537e8.jpeg</t>
  </si>
  <si>
    <t>https://files.armadanusantara.co.id/bukti/d0e81d854a0e.pdf</t>
  </si>
  <si>
    <t>https://files.armadanusantara.co.id/bukti/fada9e55ebbd.png</t>
  </si>
  <si>
    <t>https://files.armadanusantara.co.id/bukti/a3c79c087119.jpg</t>
  </si>
  <si>
    <t>https://files.armadanusantara.co.id/bukti/9b775317b39a.pdf</t>
  </si>
  <si>
    <t>https://files.armadanusantara.co.id/bukti/5af7736fabf7.pdf</t>
  </si>
  <si>
    <t>https://files.armadanusantara.co.id/bukti/aa78f7e6805f.pdf</t>
  </si>
  <si>
    <t>https://files.armadanusantara.co.id/bukti/af9f7e88ed09.jpg</t>
  </si>
  <si>
    <t>https://files.armadanusantara.co.id/bukti/735aecf6469e.png</t>
  </si>
  <si>
    <t>https://files.armadanusantara.co.id/bukti/9c422c3c1d57.jpg</t>
  </si>
  <si>
    <t>https://files.armadanusantara.co.id/bukti/233417ae692d.jpeg</t>
  </si>
  <si>
    <t>https://files.armadanusantara.co.id/bukti/7101e418bedf.jpeg</t>
  </si>
  <si>
    <t>https://files.armadanusantara.co.id/bukti/f046d8b8cb71.png</t>
  </si>
  <si>
    <t>https://files.armadanusantara.co.id/bukti/9bc68d0f1335.jpeg</t>
  </si>
  <si>
    <t>https://files.armadanusantara.co.id/bukti/d0de4ae915f4.png</t>
  </si>
  <si>
    <t>https://files.armadanusantara.co.id/bukti/92bec6073eb1.jpg</t>
  </si>
  <si>
    <t>https://files.armadanusantara.co.id/bukti/e3436c7fd63b.pdf</t>
  </si>
  <si>
    <t>https://files.armadanusantara.co.id/bukti/640f631ea440.jpeg</t>
  </si>
  <si>
    <t>https://files.armadanusantara.co.id/bukti/1b0594af74dc.png</t>
  </si>
  <si>
    <t>https://files.armadanusantara.co.id/bukti/7bc37cda40f8.png</t>
  </si>
  <si>
    <t>https://files.armadanusantara.co.id/bukti/bb144f7789cf.png</t>
  </si>
  <si>
    <t>https://files.armadanusantara.co.id/bukti/8e7cd3999d16.pdf</t>
  </si>
  <si>
    <t>https://files.armadanusantara.co.id/bukti/4e04cf53fa9e.jpeg</t>
  </si>
  <si>
    <t>https://files.armadanusantara.co.id/bukti/d393b3b2bb11.png</t>
  </si>
  <si>
    <t>https://files.armadanusantara.co.id/bukti/5e2aaf22e521.jpeg</t>
  </si>
  <si>
    <t>https://files.armadanusantara.co.id/bukti/014e2f55c50e.pdf</t>
  </si>
  <si>
    <t>https://files.armadanusantara.co.id/bukti/aca5281e52e8.pdf</t>
  </si>
  <si>
    <t>https://files.armadanusantara.co.id/bukti/7a7a56aaf08c.pdf</t>
  </si>
  <si>
    <t>https://files.armadanusantara.co.id/bukti/fdfc8e427328.pdf</t>
  </si>
  <si>
    <t>https://files.armadanusantara.co.id/bukti/b71177183345.jpeg</t>
  </si>
  <si>
    <t>61832@armadanusantara.co.id</t>
  </si>
  <si>
    <t>Zaki Wibowo</t>
  </si>
  <si>
    <t>https://files.armadanusantara.co.id/bukti/f652256e8173.jpeg</t>
  </si>
  <si>
    <t>https://files.armadanusantara.co.id/bukti/8311bb38665a.png</t>
  </si>
  <si>
    <t>B2742DP</t>
  </si>
  <si>
    <t>https://files.armadanusantara.co.id/bukti/ec2429e5e748.png</t>
  </si>
  <si>
    <t>https://files.armadanusantara.co.id/bukti/bcfc58190571.pdf</t>
  </si>
  <si>
    <t>https://files.armadanusantara.co.id/bukti/1a33bbb25baf.pdf</t>
  </si>
  <si>
    <t>https://files.armadanusantara.co.id/bukti/02a671c44fba.pdf</t>
  </si>
  <si>
    <t>https://files.armadanusantara.co.id/bukti/fed15eaf4547.jpg</t>
  </si>
  <si>
    <t>https://files.armadanusantara.co.id/bukti/2c7ada46eb34.jpg</t>
  </si>
  <si>
    <t>https://files.armadanusantara.co.id/bukti/cf2d8ab81a13.png</t>
  </si>
  <si>
    <t>https://files.armadanusantara.co.id/bukti/5bc4581409e8.png</t>
  </si>
  <si>
    <t>https://files.armadanusantara.co.id/bukti/c35fc31d7fa5.jpeg</t>
  </si>
  <si>
    <t>https://files.armadanusantara.co.id/bukti/722dd6ef7ce6.png</t>
  </si>
  <si>
    <t>https://files.armadanusantara.co.id/bukti/296c8a9455a6.jpg</t>
  </si>
  <si>
    <t>https://files.armadanusantara.co.id/bukti/e96bffdd8731.png</t>
  </si>
  <si>
    <t>https://files.armadanusantara.co.id/bukti/d22a53d9fc72.jpg</t>
  </si>
  <si>
    <t>https://files.armadanusantara.co.id/bukti/4f1dbf5e1887.pdf</t>
  </si>
  <si>
    <t>https://files.armadanusantara.co.id/bukti/5ac413007a3b.jpg</t>
  </si>
  <si>
    <t>https://files.armadanusantara.co.id/bukti/be13b2b43cc7.jpeg</t>
  </si>
  <si>
    <t>https://files.armadanusantara.co.id/bukti/bac42099cc40.jpeg</t>
  </si>
  <si>
    <t>https://files.armadanusantara.co.id/bukti/dac2cab69f74.jpeg</t>
  </si>
  <si>
    <t>https://files.armadanusantara.co.id/bukti/5abafab2f2f3.jpeg</t>
  </si>
  <si>
    <t>https://files.armadanusantara.co.id/bukti/710b8a1ee2b6.jpg</t>
  </si>
  <si>
    <t>https://files.armadanusantara.co.id/bukti/3b9e2f70a322.jpg</t>
  </si>
  <si>
    <t>https://files.armadanusantara.co.id/bukti/946557addcb5.pdf</t>
  </si>
  <si>
    <t>https://files.armadanusantara.co.id/bukti/c7cbc714d4fd.pdf</t>
  </si>
  <si>
    <t>https://files.armadanusantara.co.id/bukti/dfbe2bb51464.pdf</t>
  </si>
  <si>
    <t>https://files.armadanusantara.co.id/bukti/5004b901cfc9.pdf</t>
  </si>
  <si>
    <t>https://files.armadanusantara.co.id/bukti/d7554dbdc017.jpg</t>
  </si>
  <si>
    <t>https://files.armadanusantara.co.id/bukti/8a1691a6d0ae.jpeg</t>
  </si>
  <si>
    <t>https://files.armadanusantara.co.id/bukti/f217fad5a2ea.jpeg</t>
  </si>
  <si>
    <t>https://files.armadanusantara.co.id/bukti/e7e89d662427.png</t>
  </si>
  <si>
    <t>https://files.armadanusantara.co.id/bukti/ed98e2437bd8.jpg</t>
  </si>
  <si>
    <t>https://files.armadanusantara.co.id/bukti/41fbf40345a1.jpg</t>
  </si>
  <si>
    <t>https://files.armadanusantara.co.id/bukti/a37179869c8d.jpg</t>
  </si>
  <si>
    <t>https://files.armadanusantara.co.id/bukti/c39e92f05108.jpeg</t>
  </si>
  <si>
    <t>https://files.armadanusantara.co.id/bukti/719147bce855.png</t>
  </si>
  <si>
    <t>AB5933RIW</t>
  </si>
  <si>
    <t>https://files.armadanusantara.co.id/bukti/da020a9bfc27.png</t>
  </si>
  <si>
    <t>https://files.armadanusantara.co.id/bukti/2c1c7d991488.pdf</t>
  </si>
  <si>
    <t>32612@armadanusantara.co.id</t>
  </si>
  <si>
    <t>Agus Permana</t>
  </si>
  <si>
    <t>https://files.armadanusantara.co.id/bukti/48df511e3f32.pdf</t>
  </si>
  <si>
    <t>https://files.armadanusantara.co.id/bukti/b6e6629e288a.jpeg</t>
  </si>
  <si>
    <t>35949@armadanusantara.co.id</t>
  </si>
  <si>
    <t>Candra Anggara</t>
  </si>
  <si>
    <t>https://files.armadanusantara.co.id/bukti/b46afa97e6a5.pdf</t>
  </si>
  <si>
    <t>https://files.armadanusantara.co.id/bukti/9e9c036da325.png</t>
  </si>
  <si>
    <t>https://files.armadanusantara.co.id/bukti/770d19d91b10.jpg</t>
  </si>
  <si>
    <t>https://files.armadanusantara.co.id/bukti/05e43089d061.png</t>
  </si>
  <si>
    <t>https://files.armadanusantara.co.id/bukti/4bc8a519020a.pdf</t>
  </si>
  <si>
    <t>https://files.armadanusantara.co.id/bukti/e35fd2a37856.pdf</t>
  </si>
  <si>
    <t>https://files.armadanusantara.co.id/bukti/b5d8adafbc77.jpeg</t>
  </si>
  <si>
    <t>https://files.armadanusantara.co.id/bukti/5b8f7a632999.jpeg</t>
  </si>
  <si>
    <t>https://files.armadanusantara.co.id/bukti/acfd1cf241dc.jpg</t>
  </si>
  <si>
    <t>https://files.armadanusantara.co.id/bukti/fd971e55c4b3.pdf</t>
  </si>
  <si>
    <t>https://files.armadanusantara.co.id/bukti/5e1f77320147.pdf</t>
  </si>
  <si>
    <t>https://files.armadanusantara.co.id/bukti/cd9c4e326eb8.jpg</t>
  </si>
  <si>
    <t>https://files.armadanusantara.co.id/bukti/3431c372e2e6.jpeg</t>
  </si>
  <si>
    <t>https://files.armadanusantara.co.id/bukti/c3ce73ac4ad3.jpeg</t>
  </si>
  <si>
    <t>https://files.armadanusantara.co.id/bukti/bfd9c10d4a59.jpg</t>
  </si>
  <si>
    <t>https://files.armadanusantara.co.id/bukti/addacd794c22.jpeg</t>
  </si>
  <si>
    <t>https://files.armadanusantara.co.id/bukti/457c12b4f0ec.pdf</t>
  </si>
  <si>
    <t>https://files.armadanusantara.co.id/bukti/613859efee89.pdf</t>
  </si>
  <si>
    <t>https://files.armadanusantara.co.id/bukti/fcab3e77af9d.png</t>
  </si>
  <si>
    <t>https://files.armadanusantara.co.id/bukti/0620abfc2ad4.jpeg</t>
  </si>
  <si>
    <t>B3968XFF</t>
  </si>
  <si>
    <t>https://files.armadanusantara.co.id/bukti/1529fdd60793.pdf</t>
  </si>
  <si>
    <t>https://files.armadanusantara.co.id/bukti/61867b6f99fd.jpeg</t>
  </si>
  <si>
    <t>AB4872CQP</t>
  </si>
  <si>
    <t>https://files.armadanusantara.co.id/bukti/03e4b8706d6f.jpeg</t>
  </si>
  <si>
    <t>https://files.armadanusantara.co.id/bukti/bc81041e8228.pdf</t>
  </si>
  <si>
    <t>https://files.armadanusantara.co.id/bukti/229e984a1f10.jpg</t>
  </si>
  <si>
    <t>https://files.armadanusantara.co.id/bukti/c9b88d1fdfc5.pdf</t>
  </si>
  <si>
    <t>https://files.armadanusantara.co.id/bukti/bb631602e523.jpg</t>
  </si>
  <si>
    <t>https://files.armadanusantara.co.id/bukti/a6786e505625.jpeg</t>
  </si>
  <si>
    <t>https://files.armadanusantara.co.id/bukti/383926778e15.jpg</t>
  </si>
  <si>
    <t>https://files.armadanusantara.co.id/bukti/805f2f4f902d.pdf</t>
  </si>
  <si>
    <t>https://files.armadanusantara.co.id/bukti/b63be7794388.pdf</t>
  </si>
  <si>
    <t>https://files.armadanusantara.co.id/bukti/695cde024c50.png</t>
  </si>
  <si>
    <t>https://files.armadanusantara.co.id/bukti/9ec7902e108a.png</t>
  </si>
  <si>
    <t>https://files.armadanusantara.co.id/bukti/5356ee3d0658.jpeg</t>
  </si>
  <si>
    <t>https://files.armadanusantara.co.id/bukti/11f244ac4c08.jpg</t>
  </si>
  <si>
    <t>https://files.armadanusantara.co.id/bukti/b85e0407c4ec.jpeg</t>
  </si>
  <si>
    <t>https://files.armadanusantara.co.id/bukti/6e3b866943b7.jpg</t>
  </si>
  <si>
    <t>https://files.armadanusantara.co.id/bukti/2f203c29ff0d.png</t>
  </si>
  <si>
    <t>https://files.armadanusantara.co.id/bukti/142c61c4c813.pdf</t>
  </si>
  <si>
    <t>https://files.armadanusantara.co.id/bukti/cc1152f84bf5.pdf</t>
  </si>
  <si>
    <t>https://files.armadanusantara.co.id/bukti/6a2935db150d.jpg</t>
  </si>
  <si>
    <t>https://files.armadanusantara.co.id/bukti/bfc53989a881.png</t>
  </si>
  <si>
    <t>https://files.armadanusantara.co.id/bukti/ecbdc7354305.jpg</t>
  </si>
  <si>
    <t>https://files.armadanusantara.co.id/bukti/921e69297636.jpeg</t>
  </si>
  <si>
    <t>https://files.armadanusantara.co.id/bukti/b7f1f2f90e36.jpg</t>
  </si>
  <si>
    <t>https://files.armadanusantara.co.id/bukti/32b99a08a896.png</t>
  </si>
  <si>
    <t>https://files.armadanusantara.co.id/bukti/7ddb8fbc94d6.pdf</t>
  </si>
  <si>
    <t>https://files.armadanusantara.co.id/bukti/e78a26ed5a0f.jpeg</t>
  </si>
  <si>
    <t>https://files.armadanusantara.co.id/bukti/f0fb06a674db.pdf</t>
  </si>
  <si>
    <t>https://files.armadanusantara.co.id/bukti/b2eb93952760.jpg</t>
  </si>
  <si>
    <t>https://files.armadanusantara.co.id/bukti/ecae6cabc5cd.png</t>
  </si>
  <si>
    <t>https://files.armadanusantara.co.id/bukti/dd8e17ad9775.jpeg</t>
  </si>
  <si>
    <t>B5226AVT</t>
  </si>
  <si>
    <t>https://files.armadanusantara.co.id/bukti/bde94bf9b339.jpeg</t>
  </si>
  <si>
    <t>https://files.armadanusantara.co.id/bukti/9cc0042ca249.jpg</t>
  </si>
  <si>
    <t>https://files.armadanusantara.co.id/bukti/7d8d0fa47866.jpg</t>
  </si>
  <si>
    <t>https://files.armadanusantara.co.id/bukti/929789532159.png</t>
  </si>
  <si>
    <t>https://files.armadanusantara.co.id/bukti/e1d58eb0f845.png</t>
  </si>
  <si>
    <t>https://files.armadanusantara.co.id/bukti/179279c96ed1.jpg</t>
  </si>
  <si>
    <t>https://files.armadanusantara.co.id/bukti/006586fcf6b3.png</t>
  </si>
  <si>
    <t>https://files.armadanusantara.co.id/bukti/75011eb31631.jpeg</t>
  </si>
  <si>
    <t>https://files.armadanusantara.co.id/bukti/53ea74b77e53.png</t>
  </si>
  <si>
    <t>https://files.armadanusantara.co.id/bukti/41a8a3c751f6.jpg</t>
  </si>
  <si>
    <t>https://files.armadanusantara.co.id/bukti/e6f9d726ff6a.png</t>
  </si>
  <si>
    <t>https://files.armadanusantara.co.id/bukti/9925aca356e8.jpg</t>
  </si>
  <si>
    <t>https://files.armadanusantara.co.id/bukti/b8e53b3e189b.jpeg</t>
  </si>
  <si>
    <t>https://files.armadanusantara.co.id/bukti/0b8cfd9c61f3.jpg</t>
  </si>
  <si>
    <t>42533@armadanusantara.co.id</t>
  </si>
  <si>
    <t>Surya Iskandar</t>
  </si>
  <si>
    <t>https://files.armadanusantara.co.id/bukti/5198e52a3543.jpg</t>
  </si>
  <si>
    <t>https://files.armadanusantara.co.id/bukti/80ed3d6b6beb.png</t>
  </si>
  <si>
    <t>38475@armadanusantara.co.id</t>
  </si>
  <si>
    <t>Ilham Simatupang</t>
  </si>
  <si>
    <t>AB2665QJP</t>
  </si>
  <si>
    <t>https://files.armadanusantara.co.id/bukti/9d36809d6a2b.jpeg</t>
  </si>
  <si>
    <t>https://files.armadanusantara.co.id/bukti/e54f08269c01.png</t>
  </si>
  <si>
    <t>https://files.armadanusantara.co.id/bukti/df18671f18b9.pdf</t>
  </si>
  <si>
    <t>https://files.armadanusantara.co.id/bukti/14668581ecca.pdf</t>
  </si>
  <si>
    <t>B7562JW</t>
  </si>
  <si>
    <t>https://files.armadanusantara.co.id/bukti/831d273b5a6d.png</t>
  </si>
  <si>
    <t>https://files.armadanusantara.co.id/bukti/5edce4fa125d.png</t>
  </si>
  <si>
    <t>18949@armadanusantara.co.id</t>
  </si>
  <si>
    <t>Reza Lubis</t>
  </si>
  <si>
    <t>https://files.armadanusantara.co.id/bukti/4ada09424f99.png</t>
  </si>
  <si>
    <t>https://files.armadanusantara.co.id/bukti/0c8ab3e28ddb.jpeg</t>
  </si>
  <si>
    <t>https://files.armadanusantara.co.id/bukti/72de26a6cf7d.png</t>
  </si>
  <si>
    <t>https://files.armadanusantara.co.id/bukti/4962d808bb35.jpg</t>
  </si>
  <si>
    <t>https://files.armadanusantara.co.id/bukti/11911cdaf2c0.jpeg</t>
  </si>
  <si>
    <t>https://files.armadanusantara.co.id/bukti/f8725fd4bd58.pdf</t>
  </si>
  <si>
    <t>https://files.armadanusantara.co.id/bukti/881dafca424f.jpeg</t>
  </si>
  <si>
    <t>https://files.armadanusantara.co.id/bukti/a41a3e3fb1ff.jpeg</t>
  </si>
  <si>
    <t>55094@armadanusantara.co.id</t>
  </si>
  <si>
    <t>Gita Zulkarnain</t>
  </si>
  <si>
    <t>https://files.armadanusantara.co.id/bukti/bc8e0955f354.png</t>
  </si>
  <si>
    <t>https://files.armadanusantara.co.id/bukti/2ffe79adc4c8.jpeg</t>
  </si>
  <si>
    <t>https://files.armadanusantara.co.id/bukti/ec249afa68c4.pdf</t>
  </si>
  <si>
    <t>https://files.armadanusantara.co.id/bukti/4c10f045ce28.png</t>
  </si>
  <si>
    <t>https://files.armadanusantara.co.id/bukti/c1b9e352542b.pdf</t>
  </si>
  <si>
    <t>https://files.armadanusantara.co.id/bukti/647cfdb74e23.png</t>
  </si>
  <si>
    <t>https://files.armadanusantara.co.id/bukti/62f0b5d531b8.png</t>
  </si>
  <si>
    <t>https://files.armadanusantara.co.id/bukti/417422adb36b.png</t>
  </si>
  <si>
    <t>79747@armadanusantara.co.id</t>
  </si>
  <si>
    <t>Eka Suryana</t>
  </si>
  <si>
    <t>https://files.armadanusantara.co.id/bukti/badf1fcaf27d.png</t>
  </si>
  <si>
    <t>https://files.armadanusantara.co.id/bukti/42f670b4455b.png</t>
  </si>
  <si>
    <t>66463@armadanusantara.co.id</t>
  </si>
  <si>
    <t>Zaki Situmorang</t>
  </si>
  <si>
    <t>https://files.armadanusantara.co.id/bukti/ec47dffdbce4.jpg</t>
  </si>
  <si>
    <t>https://files.armadanusantara.co.id/bukti/6265da76bfb8.jpeg</t>
  </si>
  <si>
    <t>B5750IQ</t>
  </si>
  <si>
    <t>https://files.armadanusantara.co.id/bukti/c3e6f708110f.pdf</t>
  </si>
  <si>
    <t>https://files.armadanusantara.co.id/bukti/242e5ad97202.jpeg</t>
  </si>
  <si>
    <t>B5773GMW</t>
  </si>
  <si>
    <t>https://files.armadanusantara.co.id/bukti/b6db50430ce0.png</t>
  </si>
  <si>
    <t>https://files.armadanusantara.co.id/bukti/9a51ca4e0a18.jpg</t>
  </si>
  <si>
    <t>https://files.armadanusantara.co.id/bukti/52bfa41d24eb.png</t>
  </si>
  <si>
    <t>https://files.armadanusantara.co.id/bukti/0ae2f786c6a0.pdf</t>
  </si>
  <si>
    <t>https://files.armadanusantara.co.id/bukti/87a55b7520f3.pdf</t>
  </si>
  <si>
    <t>https://files.armadanusantara.co.id/bukti/e8ea84d6298a.jpeg</t>
  </si>
  <si>
    <t>https://files.armadanusantara.co.id/bukti/e119293c05f9.jpg</t>
  </si>
  <si>
    <t>https://files.armadanusantara.co.id/bukti/b7a8e316e7b4.png</t>
  </si>
  <si>
    <t>https://files.armadanusantara.co.id/bukti/39605bc5f5f6.jpeg</t>
  </si>
  <si>
    <t>https://files.armadanusantara.co.id/bukti/4c32c7b7dac1.png</t>
  </si>
  <si>
    <t>https://files.armadanusantara.co.id/bukti/cb60958258f9.jpg</t>
  </si>
  <si>
    <t>https://files.armadanusantara.co.id/bukti/95c930bbe0aa.png</t>
  </si>
  <si>
    <t>https://files.armadanusantara.co.id/bukti/8f7629a6ed0b.pdf</t>
  </si>
  <si>
    <t>https://files.armadanusantara.co.id/bukti/8465abe4a13d.jpg</t>
  </si>
  <si>
    <t>https://files.armadanusantara.co.id/bukti/8cbbd71917d3.jpeg</t>
  </si>
  <si>
    <t>https://files.armadanusantara.co.id/bukti/3e5df05187c1.pdf</t>
  </si>
  <si>
    <t>https://files.armadanusantara.co.id/bukti/2e0256b72c94.jpeg</t>
  </si>
  <si>
    <t>https://files.armadanusantara.co.id/bukti/7e8fdb28b738.jpeg</t>
  </si>
  <si>
    <t>https://files.armadanusantara.co.id/bukti/47d12c8b772b.pdf</t>
  </si>
  <si>
    <t>https://files.armadanusantara.co.id/bukti/ec083769b173.jpg</t>
  </si>
  <si>
    <t>40944@armadanusantara.co.id</t>
  </si>
  <si>
    <t>Nur Nugraha</t>
  </si>
  <si>
    <t>https://files.armadanusantara.co.id/bukti/723a64b1fbca.jpeg</t>
  </si>
  <si>
    <t>https://files.armadanusantara.co.id/bukti/4751325c333b.png</t>
  </si>
  <si>
    <t>https://files.armadanusantara.co.id/bukti/171626f202f1.jpg</t>
  </si>
  <si>
    <t>https://files.armadanusantara.co.id/bukti/feadbc4b08c3.jpg</t>
  </si>
  <si>
    <t>https://files.armadanusantara.co.id/bukti/31ad047ae088.png</t>
  </si>
  <si>
    <t>https://files.armadanusantara.co.id/bukti/392ba53521b5.png</t>
  </si>
  <si>
    <t>https://files.armadanusantara.co.id/bukti/86d31cec93e0.pdf</t>
  </si>
  <si>
    <t>https://files.armadanusantara.co.id/bukti/2d1421ac03ec.pdf</t>
  </si>
  <si>
    <t>21831@armadanusantara.co.id</t>
  </si>
  <si>
    <t>Agus Santoso</t>
  </si>
  <si>
    <t>https://files.armadanusantara.co.id/bukti/1d00192a19fd.png</t>
  </si>
  <si>
    <t>https://files.armadanusantara.co.id/bukti/1dc8fe6cc804.jpg</t>
  </si>
  <si>
    <t>https://files.armadanusantara.co.id/bukti/eab8ac311cec.pdf</t>
  </si>
  <si>
    <t>https://files.armadanusantara.co.id/bukti/018f421244a1.png</t>
  </si>
  <si>
    <t>https://files.armadanusantara.co.id/bukti/9f4447a3f4d8.png</t>
  </si>
  <si>
    <t>https://files.armadanusantara.co.id/bukti/ea08cb15bc98.jpeg</t>
  </si>
  <si>
    <t>https://files.armadanusantara.co.id/bukti/4f117237149c.pdf</t>
  </si>
  <si>
    <t>https://files.armadanusantara.co.id/bukti/daa8354002fa.jpeg</t>
  </si>
  <si>
    <t>35152@armadanusantara.co.id</t>
  </si>
  <si>
    <t>Yusuf Prabowo</t>
  </si>
  <si>
    <t>B9272ZF</t>
  </si>
  <si>
    <t>https://files.armadanusantara.co.id/bukti/ef0eec2c02ab.jpg</t>
  </si>
  <si>
    <t>https://files.armadanusantara.co.id/bukti/80d9a01a3e18.jpeg</t>
  </si>
  <si>
    <t>https://files.armadanusantara.co.id/bukti/e4173835ae9a.pdf</t>
  </si>
  <si>
    <t>https://files.armadanusantara.co.id/bukti/178928f5c7d3.jpeg</t>
  </si>
  <si>
    <t>https://files.armadanusantara.co.id/bukti/306df881bed9.png</t>
  </si>
  <si>
    <t>https://files.armadanusantara.co.id/bukti/5ebd2a18ad55.png</t>
  </si>
  <si>
    <t>https://files.armadanusantara.co.id/bukti/e8be1123c80a.pdf</t>
  </si>
  <si>
    <t>https://files.armadanusantara.co.id/bukti/d5d59c244c10.pdf</t>
  </si>
  <si>
    <t>https://files.armadanusantara.co.id/bukti/d65dd78ca408.png</t>
  </si>
  <si>
    <t>https://files.armadanusantara.co.id/bukti/84fc58ecf871.jpeg</t>
  </si>
  <si>
    <t>https://files.armadanusantara.co.id/bukti/5b9c4474d655.jpeg</t>
  </si>
  <si>
    <t>https://files.armadanusantara.co.id/bukti/c3a108475318.jpeg</t>
  </si>
  <si>
    <t>https://files.armadanusantara.co.id/bukti/846691539856.pdf</t>
  </si>
  <si>
    <t>https://files.armadanusantara.co.id/bukti/1627168908c0.pdf</t>
  </si>
  <si>
    <t>https://files.armadanusantara.co.id/bukti/45aec02db856.jpg</t>
  </si>
  <si>
    <t>https://files.armadanusantara.co.id/bukti/9d0cf991402e.pdf</t>
  </si>
  <si>
    <t>https://files.armadanusantara.co.id/bukti/6ecaab7c869c.jpg</t>
  </si>
  <si>
    <t>https://files.armadanusantara.co.id/bukti/84c27cafc178.jpg</t>
  </si>
  <si>
    <t>20814@armadanusantara.co.id</t>
  </si>
  <si>
    <t>Dwi Tanjung</t>
  </si>
  <si>
    <t>B2766FHW</t>
  </si>
  <si>
    <t>https://files.armadanusantara.co.id/bukti/3780c3893750.png</t>
  </si>
  <si>
    <t>https://files.armadanusantara.co.id/bukti/217665f3c002.png</t>
  </si>
  <si>
    <t>https://files.armadanusantara.co.id/bukti/874cc20733d8.png</t>
  </si>
  <si>
    <t>https://files.armadanusantara.co.id/bukti/c60f8df924b5.pdf</t>
  </si>
  <si>
    <t>https://files.armadanusantara.co.id/bukti/f85a22b8fecc.jpeg</t>
  </si>
  <si>
    <t>https://files.armadanusantara.co.id/bukti/8ddd923d9bbb.png</t>
  </si>
  <si>
    <t>https://files.armadanusantara.co.id/bukti/ce791692af98.jpeg</t>
  </si>
  <si>
    <t>https://files.armadanusantara.co.id/bukti/294eee090340.png</t>
  </si>
  <si>
    <t>B3806AFA</t>
  </si>
  <si>
    <t>https://files.armadanusantara.co.id/bukti/300ad7492e86.jpeg</t>
  </si>
  <si>
    <t>https://files.armadanusantara.co.id/bukti/74fc9dd2833c.png</t>
  </si>
  <si>
    <t>https://files.armadanusantara.co.id/bukti/2c28d3a6ca25.jpg</t>
  </si>
  <si>
    <t>https://files.armadanusantara.co.id/bukti/458e0ab4270a.png</t>
  </si>
  <si>
    <t>https://files.armadanusantara.co.id/bukti/6ebf97832a83.png</t>
  </si>
  <si>
    <t>https://files.armadanusantara.co.id/bukti/29247b707f80.jpg</t>
  </si>
  <si>
    <t>https://files.armadanusantara.co.id/bukti/b412d68c9f0d.jpeg</t>
  </si>
  <si>
    <t>https://files.armadanusantara.co.id/bukti/01769c945fbf.jpeg</t>
  </si>
  <si>
    <t>https://files.armadanusantara.co.id/bukti/a1d5f0bfe4c7.jpeg</t>
  </si>
  <si>
    <t>https://files.armadanusantara.co.id/bukti/18d2aa8dd527.png</t>
  </si>
  <si>
    <t>12487@armadanusantara.co.id</t>
  </si>
  <si>
    <t>Yusuf Saputra</t>
  </si>
  <si>
    <t>https://files.armadanusantara.co.id/bukti/88fa7da5a581.pdf</t>
  </si>
  <si>
    <t>https://files.armadanusantara.co.id/bukti/9fc2ede8f8dc.png</t>
  </si>
  <si>
    <t>B9712CQ</t>
  </si>
  <si>
    <t>https://files.armadanusantara.co.id/bukti/22b056a9f507.jpeg</t>
  </si>
  <si>
    <t>https://files.armadanusantara.co.id/bukti/48122d16835f.pdf</t>
  </si>
  <si>
    <t>https://files.armadanusantara.co.id/bukti/dece33a89bc1.jpeg</t>
  </si>
  <si>
    <t>https://files.armadanusantara.co.id/bukti/0b448f65d411.jpeg</t>
  </si>
  <si>
    <t>https://files.armadanusantara.co.id/bukti/385f636dd846.jpeg</t>
  </si>
  <si>
    <t>https://files.armadanusantara.co.id/bukti/1c583f2a15dd.jpg</t>
  </si>
  <si>
    <t>KT4872SA</t>
  </si>
  <si>
    <t>https://files.armadanusantara.co.id/bukti/17c0932da2c0.jpeg</t>
  </si>
  <si>
    <t>https://files.armadanusantara.co.id/bukti/039fc6f4e4eb.png</t>
  </si>
  <si>
    <t>https://files.armadanusantara.co.id/bukti/a200757f799a.pdf</t>
  </si>
  <si>
    <t>https://files.armadanusantara.co.id/bukti/86061bfbd45c.pdf</t>
  </si>
  <si>
    <t>https://files.armadanusantara.co.id/bukti/6caf6786eebd.jpeg</t>
  </si>
  <si>
    <t>https://files.armadanusantara.co.id/bukti/67cedd627684.jpeg</t>
  </si>
  <si>
    <t>https://files.armadanusantara.co.id/bukti/03becc68c2af.pdf</t>
  </si>
  <si>
    <t>https://files.armadanusantara.co.id/bukti/732eb7c5bf26.png</t>
  </si>
  <si>
    <t>24963@armadanusantara.co.id</t>
  </si>
  <si>
    <t>Deni Waluyo</t>
  </si>
  <si>
    <t>B2198SM</t>
  </si>
  <si>
    <t>https://files.armadanusantara.co.id/bukti/c0f1ddb9653b.png</t>
  </si>
  <si>
    <t>https://files.armadanusantara.co.id/bukti/c6c2b96c99c8.pdf</t>
  </si>
  <si>
    <t>B4337KK</t>
  </si>
  <si>
    <t>https://files.armadanusantara.co.id/bukti/e92eff7915ba.png</t>
  </si>
  <si>
    <t>https://files.armadanusantara.co.id/bukti/a304f44becbb.pdf</t>
  </si>
  <si>
    <t>https://files.armadanusantara.co.id/bukti/bcd4ea24fc0e.pdf</t>
  </si>
  <si>
    <t>https://files.armadanusantara.co.id/bukti/a324ce1e7231.png</t>
  </si>
  <si>
    <t>https://files.armadanusantara.co.id/bukti/2787eb222b92.jpg</t>
  </si>
  <si>
    <t>https://files.armadanusantara.co.id/bukti/a6ee0ae9211e.jpg</t>
  </si>
  <si>
    <t>47006@armadanusantara.co.id</t>
  </si>
  <si>
    <t>Prasetyo Oktavian</t>
  </si>
  <si>
    <t>AB8086XV</t>
  </si>
  <si>
    <t>https://files.armadanusantara.co.id/bukti/1aa2a110f94c.jpeg</t>
  </si>
  <si>
    <t>https://files.armadanusantara.co.id/bukti/4647ce896b29.png</t>
  </si>
  <si>
    <t>https://files.armadanusantara.co.id/bukti/ae7302b2ca8e.jpeg</t>
  </si>
  <si>
    <t>https://files.armadanusantara.co.id/bukti/6137f014c466.pdf</t>
  </si>
  <si>
    <t>https://files.armadanusantara.co.id/bukti/f8c69655ef71.jpeg</t>
  </si>
  <si>
    <t>https://files.armadanusantara.co.id/bukti/6b426819f965.jpeg</t>
  </si>
  <si>
    <t>83977@armadanusantara.co.id</t>
  </si>
  <si>
    <t>Purnomo Purnama</t>
  </si>
  <si>
    <t>https://files.armadanusantara.co.id/bukti/8b02d5db572b.pdf</t>
  </si>
  <si>
    <t>https://files.armadanusantara.co.id/bukti/4b912aabab80.jpeg</t>
  </si>
  <si>
    <t>https://files.armadanusantara.co.id/bukti/98aac0378e9c.jpg</t>
  </si>
  <si>
    <t>https://files.armadanusantara.co.id/bukti/e7d192aa0a6a.jpg</t>
  </si>
  <si>
    <t>https://files.armadanusantara.co.id/bukti/2ac8392cb31d.jpeg</t>
  </si>
  <si>
    <t>https://files.armadanusantara.co.id/bukti/a1eb0f146045.png</t>
  </si>
  <si>
    <t>64036@armadanusantara.co.id</t>
  </si>
  <si>
    <t>Hendra Adiputra</t>
  </si>
  <si>
    <t>https://files.armadanusantara.co.id/bukti/f50d06bdbfc1.pdf</t>
  </si>
  <si>
    <t>https://files.armadanusantara.co.id/bukti/747257da53bc.pdf</t>
  </si>
  <si>
    <t>https://files.armadanusantara.co.id/bukti/49e35c8fa298.png</t>
  </si>
  <si>
    <t>https://files.armadanusantara.co.id/bukti/62778d481a8b.jpg</t>
  </si>
  <si>
    <t>https://files.armadanusantara.co.id/bukti/af3fbd4adb97.png</t>
  </si>
  <si>
    <t>https://files.armadanusantara.co.id/bukti/dc52a094dba2.png</t>
  </si>
  <si>
    <t>35883@armadanusantara.co.id</t>
  </si>
  <si>
    <t>Ferry Utomo</t>
  </si>
  <si>
    <t>B4924CM</t>
  </si>
  <si>
    <t>https://files.armadanusantara.co.id/bukti/212cd753e91c.jpeg</t>
  </si>
  <si>
    <t>https://files.armadanusantara.co.id/bukti/1a967400758f.jpeg</t>
  </si>
  <si>
    <t>DA8288KC</t>
  </si>
  <si>
    <t>https://files.armadanusantara.co.id/bukti/ee3201d81020.pdf</t>
  </si>
  <si>
    <t>https://files.armadanusantara.co.id/bukti/2ac2365a8ff8.jpeg</t>
  </si>
  <si>
    <t>https://files.armadanusantara.co.id/bukti/ad484074ad52.jpg</t>
  </si>
  <si>
    <t>https://files.armadanusantara.co.id/bukti/0b5675a566a2.jpeg</t>
  </si>
  <si>
    <t>https://files.armadanusantara.co.id/bukti/3429325aca06.png</t>
  </si>
  <si>
    <t>https://files.armadanusantara.co.id/bukti/abda07e415c6.png</t>
  </si>
  <si>
    <t>https://files.armadanusantara.co.id/bukti/15c898d8cf2c.pdf</t>
  </si>
  <si>
    <t>https://files.armadanusantara.co.id/bukti/1459509b1c32.pdf</t>
  </si>
  <si>
    <t>https://files.armadanusantara.co.id/bukti/27fd6ed82933.jpg</t>
  </si>
  <si>
    <t>https://files.armadanusantara.co.id/bukti/66f63dcae0a8.png</t>
  </si>
  <si>
    <t>https://files.armadanusantara.co.id/bukti/ff37d2effec1.png</t>
  </si>
  <si>
    <t>https://files.armadanusantara.co.id/bukti/c5561ab001a5.png</t>
  </si>
  <si>
    <t>https://files.armadanusantara.co.id/bukti/32626d2fe516.pdf</t>
  </si>
  <si>
    <t>https://files.armadanusantara.co.id/bukti/5e3d995b1256.pdf</t>
  </si>
  <si>
    <t>https://files.armadanusantara.co.id/bukti/1dd7e0b4c581.jpg</t>
  </si>
  <si>
    <t>https://files.armadanusantara.co.id/bukti/0fa7cb586b3b.pdf</t>
  </si>
  <si>
    <t>https://files.armadanusantara.co.id/bukti/1d24011520ed.pdf</t>
  </si>
  <si>
    <t>https://files.armadanusantara.co.id/bukti/23ae94b4dc22.jpeg</t>
  </si>
  <si>
    <t>10330@armadanusantara.co.id</t>
  </si>
  <si>
    <t>Iwan Permana</t>
  </si>
  <si>
    <t>B7036XU</t>
  </si>
  <si>
    <t>https://files.armadanusantara.co.id/bukti/29e43a916211.png</t>
  </si>
  <si>
    <t>https://files.armadanusantara.co.id/bukti/62df1b1041d8.jpg</t>
  </si>
  <si>
    <t>70612@armadanusantara.co.id</t>
  </si>
  <si>
    <t>Novi Nainggolan</t>
  </si>
  <si>
    <t>https://files.armadanusantara.co.id/bukti/51f65829c3af.png</t>
  </si>
  <si>
    <t>https://files.armadanusantara.co.id/bukti/6a6f64430645.pdf</t>
  </si>
  <si>
    <t>https://files.armadanusantara.co.id/bukti/9e572efbb4fc.pdf</t>
  </si>
  <si>
    <t>https://files.armadanusantara.co.id/bukti/5ce0ca14ef48.jpg</t>
  </si>
  <si>
    <t>https://files.armadanusantara.co.id/bukti/1d53ef4155e3.jpeg</t>
  </si>
  <si>
    <t>https://files.armadanusantara.co.id/bukti/af0f90d5048c.jpeg</t>
  </si>
  <si>
    <t>B2919XQ</t>
  </si>
  <si>
    <t>https://files.armadanusantara.co.id/bukti/7d7d25bbccc3.jpeg</t>
  </si>
  <si>
    <t>https://files.armadanusantara.co.id/bukti/35e13c2d0039.jpg</t>
  </si>
  <si>
    <t>https://files.armadanusantara.co.id/bukti/98ae8e74aab1.jpeg</t>
  </si>
  <si>
    <t>https://files.armadanusantara.co.id/bukti/5f3efa6f8d8a.jpeg</t>
  </si>
  <si>
    <t>https://files.armadanusantara.co.id/bukti/b589ebdd27e0.pdf</t>
  </si>
  <si>
    <t>https://files.armadanusantara.co.id/bukti/3194e52fb115.jpeg</t>
  </si>
  <si>
    <t>51216@armadanusantara.co.id</t>
  </si>
  <si>
    <t>Adi Waluyo</t>
  </si>
  <si>
    <t>https://files.armadanusantara.co.id/bukti/a1a3a0ea2850.pdf</t>
  </si>
  <si>
    <t>https://files.armadanusantara.co.id/bukti/f7f2fb861d9a.pdf</t>
  </si>
  <si>
    <t>https://files.armadanusantara.co.id/bukti/ac78d3497491.pdf</t>
  </si>
  <si>
    <t>https://files.armadanusantara.co.id/bukti/8e4bfcb3f7ec.pdf</t>
  </si>
  <si>
    <t>55182@armadanusantara.co.id</t>
  </si>
  <si>
    <t>Fajar Kurniawan</t>
  </si>
  <si>
    <t>https://files.armadanusantara.co.id/bukti/9f5f5f23581c.jpeg</t>
  </si>
  <si>
    <t>https://files.armadanusantara.co.id/bukti/162c479f7950.pdf</t>
  </si>
  <si>
    <t>B5303SL</t>
  </si>
  <si>
    <t>https://files.armadanusantara.co.id/bukti/969ce8474dd8.png</t>
  </si>
  <si>
    <t>https://files.armadanusantara.co.id/bukti/76d60114c071.jpeg</t>
  </si>
  <si>
    <t>https://files.armadanusantara.co.id/bukti/628bcfb1d772.jpeg</t>
  </si>
  <si>
    <t>https://files.armadanusantara.co.id/bukti/5a55aabc0fb9.pdf</t>
  </si>
  <si>
    <t>https://files.armadanusantara.co.id/bukti/3915afbc102a.jpg</t>
  </si>
  <si>
    <t>https://files.armadanusantara.co.id/bukti/e76d719836d4.png</t>
  </si>
  <si>
    <t>https://files.armadanusantara.co.id/bukti/15a206a97bbf.png</t>
  </si>
  <si>
    <t>https://files.armadanusantara.co.id/bukti/2c2a89bf5df3.pdf</t>
  </si>
  <si>
    <t>https://files.armadanusantara.co.id/bukti/d9bd1824dc40.jpg</t>
  </si>
  <si>
    <t>https://files.armadanusantara.co.id/bukti/3e7d4215775e.jpeg</t>
  </si>
  <si>
    <t>https://files.armadanusantara.co.id/bukti/8b905a3cbe34.jpg</t>
  </si>
  <si>
    <t>https://files.armadanusantara.co.id/bukti/43f7edf9e1d1.png</t>
  </si>
  <si>
    <t>https://files.armadanusantara.co.id/bukti/358bd0bad83b.jpg</t>
  </si>
  <si>
    <t>https://files.armadanusantara.co.id/bukti/c25abcae6688.png</t>
  </si>
  <si>
    <t>https://files.armadanusantara.co.id/bukti/7af8ce967949.pdf</t>
  </si>
  <si>
    <t>https://files.armadanusantara.co.id/bukti/04b5a80b9b49.pdf</t>
  </si>
  <si>
    <t>https://files.armadanusantara.co.id/bukti/166d63f85869.pdf</t>
  </si>
  <si>
    <t>https://files.armadanusantara.co.id/bukti/2032008305c6.jpeg</t>
  </si>
  <si>
    <t>https://files.armadanusantara.co.id/bukti/701e4eee8969.pdf</t>
  </si>
  <si>
    <t>https://files.armadanusantara.co.id/bukti/4595dd0e03e4.pdf</t>
  </si>
  <si>
    <t>52790@armadanusantara.co.id</t>
  </si>
  <si>
    <t>Agus Yulianto</t>
  </si>
  <si>
    <t>https://files.armadanusantara.co.id/bukti/28e1fe30a77a.png</t>
  </si>
  <si>
    <t>https://files.armadanusantara.co.id/bukti/d78112ddadbd.jpg</t>
  </si>
  <si>
    <t>55609@armadanusantara.co.id</t>
  </si>
  <si>
    <t>Imam Ginting</t>
  </si>
  <si>
    <t>https://files.armadanusantara.co.id/bukti/e2a81c89356e.jpeg</t>
  </si>
  <si>
    <t>https://files.armadanusantara.co.id/bukti/a938513583a0.jpeg</t>
  </si>
  <si>
    <t>https://files.armadanusantara.co.id/bukti/e1d460a6cadd.jpg</t>
  </si>
  <si>
    <t>https://files.armadanusantara.co.id/bukti/afe80d2fe02e.png</t>
  </si>
  <si>
    <t>B5818SHZ</t>
  </si>
  <si>
    <t>https://files.armadanusantara.co.id/bukti/bb6cab0d5cd6.jpeg</t>
  </si>
  <si>
    <t>https://files.armadanusantara.co.id/bukti/a9f7a661db98.png</t>
  </si>
  <si>
    <t>https://files.armadanusantara.co.id/bukti/d882f76d0910.png</t>
  </si>
  <si>
    <t>https://files.armadanusantara.co.id/bukti/d61101b2d4d3.png</t>
  </si>
  <si>
    <t>https://files.armadanusantara.co.id/bukti/cabc70e47275.pdf</t>
  </si>
  <si>
    <t>https://files.armadanusantara.co.id/bukti/3821b6a0b01d.png</t>
  </si>
  <si>
    <t>https://files.armadanusantara.co.id/bukti/a377285750b5.jpg</t>
  </si>
  <si>
    <t>https://files.armadanusantara.co.id/bukti/67e7f597479b.jpg</t>
  </si>
  <si>
    <t>https://files.armadanusantara.co.id/bukti/445446107c0c.pdf</t>
  </si>
  <si>
    <t>https://files.armadanusantara.co.id/bukti/b0658eae8414.jpeg</t>
  </si>
  <si>
    <t>https://files.armadanusantara.co.id/bukti/e723046cdaec.jpeg</t>
  </si>
  <si>
    <t>https://files.armadanusantara.co.id/bukti/929c4cc17589.png</t>
  </si>
  <si>
    <t>https://files.armadanusantara.co.id/bukti/f5210b4a058f.png</t>
  </si>
  <si>
    <t>https://files.armadanusantara.co.id/bukti/756c52e1f082.jpeg</t>
  </si>
  <si>
    <t>https://files.armadanusantara.co.id/bukti/7d3c3a98f6bf.jpeg</t>
  </si>
  <si>
    <t>https://files.armadanusantara.co.id/bukti/fedd24525bee.pdf</t>
  </si>
  <si>
    <t>https://files.armadanusantara.co.id/bukti/db9dfd359745.pdf</t>
  </si>
  <si>
    <t>https://files.armadanusantara.co.id/bukti/0abd9de1c04a.jpg</t>
  </si>
  <si>
    <t>https://files.armadanusantara.co.id/bukti/213c765f5913.pdf</t>
  </si>
  <si>
    <t>https://files.armadanusantara.co.id/bukti/e1e7fe25df7e.png</t>
  </si>
  <si>
    <t>https://files.armadanusantara.co.id/bukti/948ba25b3a59.png</t>
  </si>
  <si>
    <t>https://files.armadanusantara.co.id/bukti/cc84bfb00f8f.png</t>
  </si>
  <si>
    <t>https://files.armadanusantara.co.id/bukti/443c6fd4ce1a.jpg</t>
  </si>
  <si>
    <t>https://files.armadanusantara.co.id/bukti/99cbaef66bca.png</t>
  </si>
  <si>
    <t>https://files.armadanusantara.co.id/bukti/76c32fc64b6d.jpg</t>
  </si>
  <si>
    <t>https://files.armadanusantara.co.id/bukti/397d86271bf1.jpeg</t>
  </si>
  <si>
    <t>https://files.armadanusantara.co.id/bukti/0ee2832ab68c.jpg</t>
  </si>
  <si>
    <t>https://files.armadanusantara.co.id/bukti/a3939535a8df.jpeg</t>
  </si>
  <si>
    <t>https://files.armadanusantara.co.id/bukti/47d35f5d6de8.jpg</t>
  </si>
  <si>
    <t>https://files.armadanusantara.co.id/bukti/34ac31996217.png</t>
  </si>
  <si>
    <t>https://files.armadanusantara.co.id/bukti/d9da114cbe07.jpg</t>
  </si>
  <si>
    <t>https://files.armadanusantara.co.id/bukti/8517e87a22ba.pdf</t>
  </si>
  <si>
    <t>https://files.armadanusantara.co.id/bukti/9c67865707ea.jpeg</t>
  </si>
  <si>
    <t>https://files.armadanusantara.co.id/bukti/715ba0aebbb9.jpg</t>
  </si>
  <si>
    <t>https://files.armadanusantara.co.id/bukti/f9b6b97e2bc2.pdf</t>
  </si>
  <si>
    <t>https://files.armadanusantara.co.id/bukti/891a338ca97a.pdf</t>
  </si>
  <si>
    <t>B5912QZ</t>
  </si>
  <si>
    <t>https://files.armadanusantara.co.id/bukti/395bd0ef386b.jpeg</t>
  </si>
  <si>
    <t>https://files.armadanusantara.co.id/bukti/21bff8a756a7.pdf</t>
  </si>
  <si>
    <t>https://files.armadanusantara.co.id/bukti/ab2851cd1503.png</t>
  </si>
  <si>
    <t>https://files.armadanusantara.co.id/bukti/166393403d77.jpg</t>
  </si>
  <si>
    <t>https://files.armadanusantara.co.id/bukti/c661a662bbfd.pdf</t>
  </si>
  <si>
    <t>https://files.armadanusantara.co.id/bukti/5bca4008a9eb.pdf</t>
  </si>
  <si>
    <t>https://files.armadanusantara.co.id/bukti/348b5d6d0dfe.png</t>
  </si>
  <si>
    <t>https://files.armadanusantara.co.id/bukti/b4b564a79fdf.png</t>
  </si>
  <si>
    <t>https://files.armadanusantara.co.id/bukti/4ce3a66379be.jpeg</t>
  </si>
  <si>
    <t>https://files.armadanusantara.co.id/bukti/b85429486dc9.png</t>
  </si>
  <si>
    <t>B9694MVN</t>
  </si>
  <si>
    <t>https://files.armadanusantara.co.id/bukti/d6cb539ebc45.jpg</t>
  </si>
  <si>
    <t>https://files.armadanusantara.co.id/bukti/3490d209ab6c.pdf</t>
  </si>
  <si>
    <t>70595@armadanusantara.co.id</t>
  </si>
  <si>
    <t>Nanda Hutabarat</t>
  </si>
  <si>
    <t>35866 SUBULUSSALAM</t>
  </si>
  <si>
    <t>B7320ZZ</t>
  </si>
  <si>
    <t>https://files.armadanusantara.co.id/bukti/61f82b87e882.pdf</t>
  </si>
  <si>
    <t>https://files.armadanusantara.co.id/bukti/30665b5b3018.jpg</t>
  </si>
  <si>
    <t>https://files.armadanusantara.co.id/bukti/12ee7218cfe0.jpg</t>
  </si>
  <si>
    <t>https://files.armadanusantara.co.id/bukti/3c12bacf837f.jpg</t>
  </si>
  <si>
    <t>https://files.armadanusantara.co.id/bukti/4c7a30b0853e.pdf</t>
  </si>
  <si>
    <t>https://files.armadanusantara.co.id/bukti/eaf418890ed8.jpeg</t>
  </si>
  <si>
    <t>73992@armadanusantara.co.id</t>
  </si>
  <si>
    <t>Slamet Sihombing</t>
  </si>
  <si>
    <t>https://files.armadanusantara.co.id/bukti/a57a2afa2db5.pdf</t>
  </si>
  <si>
    <t>https://files.armadanusantara.co.id/bukti/0bbfe4d062e5.jpeg</t>
  </si>
  <si>
    <t>https://files.armadanusantara.co.id/bukti/fccdceef7c57.jpg</t>
  </si>
  <si>
    <t>https://files.armadanusantara.co.id/bukti/5176821d5d0a.jpg</t>
  </si>
  <si>
    <t>https://files.armadanusantara.co.id/bukti/7d4720022939.png</t>
  </si>
  <si>
    <t>https://files.armadanusantara.co.id/bukti/6045a14d1abe.jpg</t>
  </si>
  <si>
    <t>https://files.armadanusantara.co.id/bukti/353aee608d5a.jpeg</t>
  </si>
  <si>
    <t>https://files.armadanusantara.co.id/bukti/a6dff5c34d2b.png</t>
  </si>
  <si>
    <t>https://files.armadanusantara.co.id/bukti/ae29cf355563.jpeg</t>
  </si>
  <si>
    <t>https://files.armadanusantara.co.id/bukti/86e607b2a502.pdf</t>
  </si>
  <si>
    <t>https://files.armadanusantara.co.id/bukti/4e26a59dbc4d.jpg</t>
  </si>
  <si>
    <t>https://files.armadanusantara.co.id/bukti/a62ff1044a77.jpeg</t>
  </si>
  <si>
    <t>https://files.armadanusantara.co.id/bukti/ab2830cf5e48.png</t>
  </si>
  <si>
    <t>https://files.armadanusantara.co.id/bukti/b6b801ac9468.pdf</t>
  </si>
  <si>
    <t>64125@armadanusantara.co.id</t>
  </si>
  <si>
    <t>Prasetyo Hutabarat</t>
  </si>
  <si>
    <t>B3519TA</t>
  </si>
  <si>
    <t>https://files.armadanusantara.co.id/bukti/2229765fdfd1.png</t>
  </si>
  <si>
    <t>https://files.armadanusantara.co.id/bukti/2fa1b792222f.png</t>
  </si>
  <si>
    <t>https://files.armadanusantara.co.id/bukti/498e37293b4b.jpeg</t>
  </si>
  <si>
    <t>https://files.armadanusantara.co.id/bukti/e5b67770790e.pdf</t>
  </si>
  <si>
    <t>DH5825NG</t>
  </si>
  <si>
    <t>https://files.armadanusantara.co.id/bukti/a454dd5e5b2f.jpg</t>
  </si>
  <si>
    <t>https://files.armadanusantara.co.id/bukti/80157e19e94b.jpeg</t>
  </si>
  <si>
    <t>https://files.armadanusantara.co.id/bukti/ac1eef1c3bce.jpeg</t>
  </si>
  <si>
    <t>https://files.armadanusantara.co.id/bukti/0956291d0548.pdf</t>
  </si>
  <si>
    <t>https://files.armadanusantara.co.id/bukti/7fc70e1adc1c.jpg</t>
  </si>
  <si>
    <t>https://files.armadanusantara.co.id/bukti/766edce6ff5d.pdf</t>
  </si>
  <si>
    <t>https://files.armadanusantara.co.id/bukti/d35d7a33e7ac.png</t>
  </si>
  <si>
    <t>https://files.armadanusantara.co.id/bukti/99afa023d65e.png</t>
  </si>
  <si>
    <t>31344@armadanusantara.co.id</t>
  </si>
  <si>
    <t>Nur Situmorang</t>
  </si>
  <si>
    <t>https://files.armadanusantara.co.id/bukti/36402ac5cc22.jpeg</t>
  </si>
  <si>
    <t>https://files.armadanusantara.co.id/bukti/5bb4476fd596.png</t>
  </si>
  <si>
    <t>https://files.armadanusantara.co.id/bukti/dc05c4f275cd.pdf</t>
  </si>
  <si>
    <t>https://files.armadanusantara.co.id/bukti/7adf14836ec5.jpg</t>
  </si>
  <si>
    <t>22669@armadanusantara.co.id</t>
  </si>
  <si>
    <t>Mega Utama</t>
  </si>
  <si>
    <t>https://files.armadanusantara.co.id/bukti/0bfac50a9ca2.jpeg</t>
  </si>
  <si>
    <t>https://files.armadanusantara.co.id/bukti/dbb6af7673c2.jpg</t>
  </si>
  <si>
    <t>https://files.armadanusantara.co.id/bukti/3481065c2f0e.pdf</t>
  </si>
  <si>
    <t>https://files.armadanusantara.co.id/bukti/f5e3d141033c.jpeg</t>
  </si>
  <si>
    <t>47279@armadanusantara.co.id</t>
  </si>
  <si>
    <t>Candra Maulana</t>
  </si>
  <si>
    <t>https://files.armadanusantara.co.id/bukti/0cdc65fdd64e.pdf</t>
  </si>
  <si>
    <t>https://files.armadanusantara.co.id/bukti/e995edee76a3.jpg</t>
  </si>
  <si>
    <t>b6633gls</t>
  </si>
  <si>
    <t>https://files.armadanusantara.co.id/bukti/09ad8b37229d.jpg</t>
  </si>
  <si>
    <t>https://files.armadanusantara.co.id/bukti/258cde0aeb43.jpeg</t>
  </si>
  <si>
    <t>https://files.armadanusantara.co.id/bukti/3c225ec4835c.pdf</t>
  </si>
  <si>
    <t>https://files.armadanusantara.co.id/bukti/f0c62b4b3f5d.png</t>
  </si>
  <si>
    <t>https://files.armadanusantara.co.id/bukti/88cb248beedb.jpg</t>
  </si>
  <si>
    <t>https://files.armadanusantara.co.id/bukti/231b08f9e0fe.png</t>
  </si>
  <si>
    <t>https://files.armadanusantara.co.id/bukti/b5732525bb5e.jpg</t>
  </si>
  <si>
    <t>https://files.armadanusantara.co.id/bukti/b79a8573f242.jpg</t>
  </si>
  <si>
    <t>92257@armadanusantara.co.id</t>
  </si>
  <si>
    <t>Raka Hakim</t>
  </si>
  <si>
    <t>https://files.armadanusantara.co.id/bukti/a28fdc6c3bf2.jpeg</t>
  </si>
  <si>
    <t>https://files.armadanusantara.co.id/bukti/c0d2964d4eec.pdf</t>
  </si>
  <si>
    <t>16173@armadanusantara.co.id</t>
  </si>
  <si>
    <t>Andi Oktavian</t>
  </si>
  <si>
    <t>https://files.armadanusantara.co.id/bukti/4ec62c84c95e.jpg</t>
  </si>
  <si>
    <t>https://files.armadanusantara.co.id/bukti/a0ce8bea6a39.pdf</t>
  </si>
  <si>
    <t>https://files.armadanusantara.co.id/bukti/26ac3ec2e016.jpg</t>
  </si>
  <si>
    <t>https://files.armadanusantara.co.id/bukti/2720118c1ae9.png</t>
  </si>
  <si>
    <t>https://files.armadanusantara.co.id/bukti/fef830eeb03e.jpg</t>
  </si>
  <si>
    <t>https://files.armadanusantara.co.id/bukti/1b99e53a439d.png</t>
  </si>
  <si>
    <t>https://files.armadanusantara.co.id/bukti/77fce0a99a70.jpg</t>
  </si>
  <si>
    <t>https://files.armadanusantara.co.id/bukti/c16312958ec9.png</t>
  </si>
  <si>
    <t>https://files.armadanusantara.co.id/bukti/cc077c25d45d.png</t>
  </si>
  <si>
    <t>https://files.armadanusantara.co.id/bukti/bcecc733032b.png</t>
  </si>
  <si>
    <t>76652@armadanusantara.co.id</t>
  </si>
  <si>
    <t>Endra Purnama</t>
  </si>
  <si>
    <t>B6816FH</t>
  </si>
  <si>
    <t>https://files.armadanusantara.co.id/bukti/9807f532c1aa.png</t>
  </si>
  <si>
    <t>https://files.armadanusantara.co.id/bukti/e3f43960dae4.jpg</t>
  </si>
  <si>
    <t>N8661BC</t>
  </si>
  <si>
    <t>https://files.armadanusantara.co.id/bukti/63f8efdaa62d.jpg</t>
  </si>
  <si>
    <t>https://files.armadanusantara.co.id/bukti/d1e624680a2e.png</t>
  </si>
  <si>
    <t>https://files.armadanusantara.co.id/bukti/d4520f9def86.jpeg</t>
  </si>
  <si>
    <t>https://files.armadanusantara.co.id/bukti/0b44d3f638af.pdf</t>
  </si>
  <si>
    <t>B1177MX</t>
  </si>
  <si>
    <t>https://files.armadanusantara.co.id/bukti/b21b844f21b4.jpg</t>
  </si>
  <si>
    <t>https://files.armadanusantara.co.id/bukti/d99d0c27a80c.png</t>
  </si>
  <si>
    <t>57964@armadanusantara.co.id</t>
  </si>
  <si>
    <t>Guntur Wibowo</t>
  </si>
  <si>
    <t>https://files.armadanusantara.co.id/bukti/f60d1e9e97cf.png</t>
  </si>
  <si>
    <t>https://files.armadanusantara.co.id/bukti/d24180c4da31.png</t>
  </si>
  <si>
    <t>https://files.armadanusantara.co.id/bukti/73e5aae11c0d.pdf</t>
  </si>
  <si>
    <t>https://files.armadanusantara.co.id/bukti/9c7f2177d840.jpg</t>
  </si>
  <si>
    <t>https://files.armadanusantara.co.id/bukti/8bb3b1eb3edf.png</t>
  </si>
  <si>
    <t>https://files.armadanusantara.co.id/bukti/cc20e286827f.pdf</t>
  </si>
  <si>
    <t>https://files.armadanusantara.co.id/bukti/d2cd75d50102.png</t>
  </si>
  <si>
    <t>https://files.armadanusantara.co.id/bukti/f413e2b1366b.pdf</t>
  </si>
  <si>
    <t>https://files.armadanusantara.co.id/bukti/07abc2c526fd.png</t>
  </si>
  <si>
    <t>https://files.armadanusantara.co.id/bukti/6fae2b106fa8.png</t>
  </si>
  <si>
    <t>94571@armadanusantara.co.id</t>
  </si>
  <si>
    <t>Fitri Lubis</t>
  </si>
  <si>
    <t>21962 LAHAT</t>
  </si>
  <si>
    <t>B7482LG</t>
  </si>
  <si>
    <t>https://files.armadanusantara.co.id/bukti/df8e151db22d.jpeg</t>
  </si>
  <si>
    <t>https://files.armadanusantara.co.id/bukti/a72691227e41.jpeg</t>
  </si>
  <si>
    <t>https://files.armadanusantara.co.id/bukti/37981dd3bb7f.jpg</t>
  </si>
  <si>
    <t>https://files.armadanusantara.co.id/bukti/51b78ec9ff28.pdf</t>
  </si>
  <si>
    <t>14394@armadanusantara.co.id</t>
  </si>
  <si>
    <t>Ridho Kurniawan</t>
  </si>
  <si>
    <t>https://files.armadanusantara.co.id/bukti/818278827d41.png</t>
  </si>
  <si>
    <t>https://files.armadanusantara.co.id/bukti/bbfbf1eb37a4.pdf</t>
  </si>
  <si>
    <t>93716@armadanusantara.co.id</t>
  </si>
  <si>
    <t>Surya Halim</t>
  </si>
  <si>
    <t>https://files.armadanusantara.co.id/bukti/ccd8909a6627.png</t>
  </si>
  <si>
    <t>https://files.armadanusantara.co.id/bukti/40304fbf7d08.jpg</t>
  </si>
  <si>
    <t>https://files.armadanusantara.co.id/bukti/4565c72574c8.jpeg</t>
  </si>
  <si>
    <t>https://files.armadanusantara.co.id/bukti/80217731b427.png</t>
  </si>
  <si>
    <t>https://files.armadanusantara.co.id/bukti/acd5210059ec.png</t>
  </si>
  <si>
    <t>https://files.armadanusantara.co.id/bukti/8c46424c46b7.jpeg</t>
  </si>
  <si>
    <t>51549@armadanusantara.co.id</t>
  </si>
  <si>
    <t>Dian Tanjung</t>
  </si>
  <si>
    <t>B3848WJ</t>
  </si>
  <si>
    <t>https://files.armadanusantara.co.id/bukti/17bd9845dcd0.jpg</t>
  </si>
  <si>
    <t>https://files.armadanusantara.co.id/bukti/9ea93ca3e4f6.pdf</t>
  </si>
  <si>
    <t>https://files.armadanusantara.co.id/bukti/9177c01d6f55.jpg</t>
  </si>
  <si>
    <t>https://files.armadanusantara.co.id/bukti/136b97759554.jpeg</t>
  </si>
  <si>
    <t>https://files.armadanusantara.co.id/bukti/b713fd46c296.jpg</t>
  </si>
  <si>
    <t>https://files.armadanusantara.co.id/bukti/36c596b708e3.pdf</t>
  </si>
  <si>
    <t>https://files.armadanusantara.co.id/bukti/b9a82dcb6642.pdf</t>
  </si>
  <si>
    <t>https://files.armadanusantara.co.id/bukti/bd65a018d0b3.png</t>
  </si>
  <si>
    <t>https://files.armadanusantara.co.id/bukti/f7fba399c6b7.jpeg</t>
  </si>
  <si>
    <t>https://files.armadanusantara.co.id/bukti/51e1e5edc471.jpg</t>
  </si>
  <si>
    <t>https://files.armadanusantara.co.id/bukti/6e8ec0ec4b62.png</t>
  </si>
  <si>
    <t>https://files.armadanusantara.co.id/bukti/5f4e39ed7267.pdf</t>
  </si>
  <si>
    <t>33498@armadanusantara.co.id</t>
  </si>
  <si>
    <t>Dedi Oktavian</t>
  </si>
  <si>
    <t>https://files.armadanusantara.co.id/bukti/e1569fb07f60.jpeg</t>
  </si>
  <si>
    <t>https://files.armadanusantara.co.id/bukti/1de75c038806.png</t>
  </si>
  <si>
    <t>https://files.armadanusantara.co.id/bukti/c525d2159795.jpeg</t>
  </si>
  <si>
    <t>https://files.armadanusantara.co.id/bukti/5f6dd907cea1.png</t>
  </si>
  <si>
    <t>https://files.armadanusantara.co.id/bukti/3b2b2cadda77.png</t>
  </si>
  <si>
    <t>https://files.armadanusantara.co.id/bukti/e3572686e083.pdf</t>
  </si>
  <si>
    <t>https://files.armadanusantara.co.id/bukti/9b735f4b082f.pdf</t>
  </si>
  <si>
    <t>https://files.armadanusantara.co.id/bukti/a9a29267f832.jpeg</t>
  </si>
  <si>
    <t>41042@armadanusantara.co.id</t>
  </si>
  <si>
    <t>Indah Winata</t>
  </si>
  <si>
    <t>https://files.armadanusantara.co.id/bukti/38e215ab913e.jpeg</t>
  </si>
  <si>
    <t>https://files.armadanusantara.co.id/bukti/e112e0877be4.jpg</t>
  </si>
  <si>
    <t>34584@armadanusantara.co.id</t>
  </si>
  <si>
    <t>Anton Zulkarnain</t>
  </si>
  <si>
    <t>https://files.armadanusantara.co.id/bukti/16df70b0c202.png</t>
  </si>
  <si>
    <t>https://files.armadanusantara.co.id/bukti/0495390d423d.png</t>
  </si>
  <si>
    <t>https://files.armadanusantara.co.id/bukti/369c0396d7f2.jpeg</t>
  </si>
  <si>
    <t>https://files.armadanusantara.co.id/bukti/e58c30a3cc85.pdf</t>
  </si>
  <si>
    <t>https://files.armadanusantara.co.id/bukti/916f479f5628.jpeg</t>
  </si>
  <si>
    <t>https://files.armadanusantara.co.id/bukti/b3f4bfa7c04c.png</t>
  </si>
  <si>
    <t>AB9641IJ</t>
  </si>
  <si>
    <t>https://files.armadanusantara.co.id/bukti/4b66062f00b7.pdf</t>
  </si>
  <si>
    <t>https://files.armadanusantara.co.id/bukti/aab544e483fa.pdf</t>
  </si>
  <si>
    <t>https://files.armadanusantara.co.id/bukti/51908a7352ed.png</t>
  </si>
  <si>
    <t>https://files.armadanusantara.co.id/bukti/0aa62d956642.jpeg</t>
  </si>
  <si>
    <t>35637@armadanusantara.co.id</t>
  </si>
  <si>
    <t>Maulana Efendi</t>
  </si>
  <si>
    <t>https://files.armadanusantara.co.id/bukti/a5a67a8be6a8.png</t>
  </si>
  <si>
    <t>https://files.armadanusantara.co.id/bukti/79e41e16ce16.png</t>
  </si>
  <si>
    <t>https://files.armadanusantara.co.id/bukti/f3abd0dd82ca.jpeg</t>
  </si>
  <si>
    <t>https://files.armadanusantara.co.id/bukti/d39f909360a8.jpg</t>
  </si>
  <si>
    <t>https://files.armadanusantara.co.id/bukti/0ad9077cc1e5.jpg</t>
  </si>
  <si>
    <t>https://files.armadanusantara.co.id/bukti/6939de8a67c8.pdf</t>
  </si>
  <si>
    <t>https://files.armadanusantara.co.id/bukti/ab160a8afb88.jpg</t>
  </si>
  <si>
    <t>https://files.armadanusantara.co.id/bukti/8c8b58da46ab.jpg</t>
  </si>
  <si>
    <t>https://files.armadanusantara.co.id/bukti/756d6d35a07f.jpeg</t>
  </si>
  <si>
    <t>https://files.armadanusantara.co.id/bukti/f1ae8edffadb.jpg</t>
  </si>
  <si>
    <t>https://files.armadanusantara.co.id/bukti/b13c9ac4dd54.jpg</t>
  </si>
  <si>
    <t>https://files.armadanusantara.co.id/bukti/1f0c82fb7819.pdf</t>
  </si>
  <si>
    <t>16771@armadanusantara.co.id</t>
  </si>
  <si>
    <t>Panji Cahyono</t>
  </si>
  <si>
    <t>https://files.armadanusantara.co.id/bukti/e95142382014.png</t>
  </si>
  <si>
    <t>https://files.armadanusantara.co.id/bukti/35d2b79b0982.pdf</t>
  </si>
  <si>
    <t>https://files.armadanusantara.co.id/bukti/5f7c8bd8f61f.png</t>
  </si>
  <si>
    <t>https://files.armadanusantara.co.id/bukti/016bf5880c23.png</t>
  </si>
  <si>
    <t>https://files.armadanusantara.co.id/bukti/13b61f4e77ea.pdf</t>
  </si>
  <si>
    <t>https://files.armadanusantara.co.id/bukti/a981d99f6209.jpg</t>
  </si>
  <si>
    <t>https://files.armadanusantara.co.id/bukti/6d398387f365.jpg</t>
  </si>
  <si>
    <t>https://files.armadanusantara.co.id/bukti/ea08dccba700.jpeg</t>
  </si>
  <si>
    <t>https://files.armadanusantara.co.id/bukti/012cd0b1acd4.pdf</t>
  </si>
  <si>
    <t>https://files.armadanusantara.co.id/bukti/9681cd87dade.png</t>
  </si>
  <si>
    <t>https://files.armadanusantara.co.id/bukti/214470daa8a0.jpg</t>
  </si>
  <si>
    <t>https://files.armadanusantara.co.id/bukti/30526b17d649.jpg</t>
  </si>
  <si>
    <t>60026@armadanusantara.co.id</t>
  </si>
  <si>
    <t>Wawan Nugraha</t>
  </si>
  <si>
    <t>b8182eb</t>
  </si>
  <si>
    <t>https://files.armadanusantara.co.id/bukti/628da8594cf0.jpg</t>
  </si>
  <si>
    <t>https://files.armadanusantara.co.id/bukti/8495f8be4efa.jpg</t>
  </si>
  <si>
    <t>b2342qw</t>
  </si>
  <si>
    <t>https://files.armadanusantara.co.id/bukti/ed8c70fa38f0.jpeg</t>
  </si>
  <si>
    <t>https://files.armadanusantara.co.id/bukti/b5bb9c22d19f.jpeg</t>
  </si>
  <si>
    <t>47773@armadanusantara.co.id</t>
  </si>
  <si>
    <t>Wawan Iskandar</t>
  </si>
  <si>
    <t>https://files.armadanusantara.co.id/bukti/eb2d423b7197.jpg</t>
  </si>
  <si>
    <t>https://files.armadanusantara.co.id/bukti/027ba64aacc7.jpg</t>
  </si>
  <si>
    <t>https://files.armadanusantara.co.id/bukti/234c824ae28a.png</t>
  </si>
  <si>
    <t>https://files.armadanusantara.co.id/bukti/4bc49ce7d028.jpg</t>
  </si>
  <si>
    <t>https://files.armadanusantara.co.id/bukti/f76c51878dff.png</t>
  </si>
  <si>
    <t>https://files.armadanusantara.co.id/bukti/ae2b3063c9ee.jpg</t>
  </si>
  <si>
    <t>https://files.armadanusantara.co.id/bukti/c254e4f0358f.png</t>
  </si>
  <si>
    <t>https://files.armadanusantara.co.id/bukti/15b8042f9b27.png</t>
  </si>
  <si>
    <t>https://files.armadanusantara.co.id/bukti/d02951bf72dd.jpeg</t>
  </si>
  <si>
    <t>https://files.armadanusantara.co.id/bukti/e535a3f9c035.pdf</t>
  </si>
  <si>
    <t>24212@armadanusantara.co.id</t>
  </si>
  <si>
    <t>Intan Iskandar</t>
  </si>
  <si>
    <t>https://files.armadanusantara.co.id/bukti/4dd70eef062b.png</t>
  </si>
  <si>
    <t>https://files.armadanusantara.co.id/bukti/a5630626c11f.jpeg</t>
  </si>
  <si>
    <t>B4021PX</t>
  </si>
  <si>
    <t>https://files.armadanusantara.co.id/bukti/4702e16ed0eb.pdf</t>
  </si>
  <si>
    <t>https://files.armadanusantara.co.id/bukti/8e5be0fdd914.pdf</t>
  </si>
  <si>
    <t>18348@armadanusantara.co.id</t>
  </si>
  <si>
    <t>Randi Ramadhan</t>
  </si>
  <si>
    <t>https://files.armadanusantara.co.id/bukti/ad30cba963e3.jpg</t>
  </si>
  <si>
    <t>https://files.armadanusantara.co.id/bukti/9d5f241b7cd5.jpeg</t>
  </si>
  <si>
    <t>https://files.armadanusantara.co.id/bukti/890cc4ba4acb.png</t>
  </si>
  <si>
    <t>https://files.armadanusantara.co.id/bukti/cc784fb65095.jpeg</t>
  </si>
  <si>
    <t>https://files.armadanusantara.co.id/bukti/b03cd359c665.pdf</t>
  </si>
  <si>
    <t>https://files.armadanusantara.co.id/bukti/374b3d64caaa.png</t>
  </si>
  <si>
    <t>https://files.armadanusantara.co.id/bukti/dc9d263c043d.pdf</t>
  </si>
  <si>
    <t>https://files.armadanusantara.co.id/bukti/75856b6a50a0.pdf</t>
  </si>
  <si>
    <t>https://files.armadanusantara.co.id/bukti/0007d6abca21.jpeg</t>
  </si>
  <si>
    <t>https://files.armadanusantara.co.id/bukti/2db7fefa4629.png</t>
  </si>
  <si>
    <t>B7102CW</t>
  </si>
  <si>
    <t>https://files.armadanusantara.co.id/bukti/9fec2b987fb2.png</t>
  </si>
  <si>
    <t>https://files.armadanusantara.co.id/bukti/789b2186514b.jpg</t>
  </si>
  <si>
    <t>https://files.armadanusantara.co.id/bukti/1c2afbe4abc7.jpeg</t>
  </si>
  <si>
    <t>https://files.armadanusantara.co.id/bukti/c3f496d8c7ad.jpeg</t>
  </si>
  <si>
    <t>https://files.armadanusantara.co.id/bukti/76099b803395.jpeg</t>
  </si>
  <si>
    <t>https://files.armadanusantara.co.id/bukti/77337221d591.jpg</t>
  </si>
  <si>
    <t>https://files.armadanusantara.co.id/bukti/e0102558e4cb.jpeg</t>
  </si>
  <si>
    <t>https://files.armadanusantara.co.id/bukti/8cb0fd6fb712.pdf</t>
  </si>
  <si>
    <t>https://files.armadanusantara.co.id/bukti/0643d8a32f00.jpeg</t>
  </si>
  <si>
    <t>https://files.armadanusantara.co.id/bukti/f1d3d2dddd23.jpg</t>
  </si>
  <si>
    <t>https://files.armadanusantara.co.id/bukti/5bfbfe67c0f0.jpeg</t>
  </si>
  <si>
    <t>https://files.armadanusantara.co.id/bukti/53cefb3fb2f0.jpg</t>
  </si>
  <si>
    <t>https://files.armadanusantara.co.id/bukti/fd01d1eef4c7.jpg</t>
  </si>
  <si>
    <t>https://files.armadanusantara.co.id/bukti/9f730af42f09.jpg</t>
  </si>
  <si>
    <t>https://files.armadanusantara.co.id/bukti/3012d0b58986.png</t>
  </si>
  <si>
    <t>https://files.armadanusantara.co.id/bukti/d9302545dd9f.jpeg</t>
  </si>
  <si>
    <t>https://files.armadanusantara.co.id/bukti/ce918674231a.jpeg</t>
  </si>
  <si>
    <t>https://files.armadanusantara.co.id/bukti/1c34f7251152.pdf</t>
  </si>
  <si>
    <t>https://files.armadanusantara.co.id/bukti/9344eef76e93.jpeg</t>
  </si>
  <si>
    <t>https://files.armadanusantara.co.id/bukti/1727a394c0cb.png</t>
  </si>
  <si>
    <t>https://files.armadanusantara.co.id/bukti/052a7203f68c.png</t>
  </si>
  <si>
    <t>https://files.armadanusantara.co.id/bukti/6ef312395080.png</t>
  </si>
  <si>
    <t>https://files.armadanusantara.co.id/bukti/07abf6aaf3bb.jpeg</t>
  </si>
  <si>
    <t>https://files.armadanusantara.co.id/bukti/1ead435c2b47.jpg</t>
  </si>
  <si>
    <t>https://files.armadanusantara.co.id/bukti/f531f788d196.pdf</t>
  </si>
  <si>
    <t>https://files.armadanusantara.co.id/bukti/0e1220b48a65.jpeg</t>
  </si>
  <si>
    <t>https://files.armadanusantara.co.id/bukti/a59588fe6d35.png</t>
  </si>
  <si>
    <t>https://files.armadanusantara.co.id/bukti/4f7132850977.jpeg</t>
  </si>
  <si>
    <t>https://files.armadanusantara.co.id/bukti/2d0095473a2f.jpg</t>
  </si>
  <si>
    <t>https://files.armadanusantara.co.id/bukti/de3e31d14838.png</t>
  </si>
  <si>
    <t>https://files.armadanusantara.co.id/bukti/3ffff4317495.jpeg</t>
  </si>
  <si>
    <t>https://files.armadanusantara.co.id/bukti/9c4bcdd07bc5.pdf</t>
  </si>
  <si>
    <t>https://files.armadanusantara.co.id/bukti/6149deac830d.pdf</t>
  </si>
  <si>
    <t>https://files.armadanusantara.co.id/bukti/7d85947868a2.jpg</t>
  </si>
  <si>
    <t>https://files.armadanusantara.co.id/bukti/fe267a8c72ad.jpg</t>
  </si>
  <si>
    <t>https://files.armadanusantara.co.id/bukti/3f1bd642ff6a.pdf</t>
  </si>
  <si>
    <t>24558@armadanusantara.co.id</t>
  </si>
  <si>
    <t>Dedi Winata</t>
  </si>
  <si>
    <t>b5038csc</t>
  </si>
  <si>
    <t>https://files.armadanusantara.co.id/bukti/8b00e07789ad.pdf</t>
  </si>
  <si>
    <t>https://files.armadanusantara.co.id/bukti/eced92888414.pdf</t>
  </si>
  <si>
    <t>https://files.armadanusantara.co.id/bukti/2cae9d984d7d.png</t>
  </si>
  <si>
    <t>https://files.armadanusantara.co.id/bukti/1c7667ea362d.pdf</t>
  </si>
  <si>
    <t>https://files.armadanusantara.co.id/bukti/e13371809fd6.pdf</t>
  </si>
  <si>
    <t>https://files.armadanusantara.co.id/bukti/3bf66e22347e.jpg</t>
  </si>
  <si>
    <t>https://files.armadanusantara.co.id/bukti/d41e39932bd1.jpeg</t>
  </si>
  <si>
    <t>https://files.armadanusantara.co.id/bukti/95efbc12d883.jpeg</t>
  </si>
  <si>
    <t>https://files.armadanusantara.co.id/bukti/7dff614a79ad.jpeg</t>
  </si>
  <si>
    <t>https://files.armadanusantara.co.id/bukti/82c3ce6fd319.pdf</t>
  </si>
  <si>
    <t>https://files.armadanusantara.co.id/bukti/b2927433bdef.pdf</t>
  </si>
  <si>
    <t>https://files.armadanusantara.co.id/bukti/1bea9b4044c3.jpg</t>
  </si>
  <si>
    <t>12365@armadanusantara.co.id</t>
  </si>
  <si>
    <t>Surya Maulana</t>
  </si>
  <si>
    <t>https://files.armadanusantara.co.id/bukti/413595d17989.png</t>
  </si>
  <si>
    <t>https://files.armadanusantara.co.id/bukti/754c9c55a4b7.jpg</t>
  </si>
  <si>
    <t>https://files.armadanusantara.co.id/bukti/9ca8ba56fdf5.jpg</t>
  </si>
  <si>
    <t>https://files.armadanusantara.co.id/bukti/17eedc7cd6b3.pdf</t>
  </si>
  <si>
    <t>33906@armadanusantara.co.id</t>
  </si>
  <si>
    <t>Tari Nainggolan</t>
  </si>
  <si>
    <t>https://files.armadanusantara.co.id/bukti/880edeb16e9d.pdf</t>
  </si>
  <si>
    <t>https://files.armadanusantara.co.id/bukti/6f02d7d14f2e.png</t>
  </si>
  <si>
    <t>https://files.armadanusantara.co.id/bukti/c7a81cd3713f.png</t>
  </si>
  <si>
    <t>https://files.armadanusantara.co.id/bukti/091e0119399a.pdf</t>
  </si>
  <si>
    <t>https://files.armadanusantara.co.id/bukti/a43c2df32bad.pdf</t>
  </si>
  <si>
    <t>https://files.armadanusantara.co.id/bukti/6d503fb77649.jpeg</t>
  </si>
  <si>
    <t>https://files.armadanusantara.co.id/bukti/64c5f240507b.jpeg</t>
  </si>
  <si>
    <t>https://files.armadanusantara.co.id/bukti/a5f562d4f7a9.png</t>
  </si>
  <si>
    <t>https://files.armadanusantara.co.id/bukti/9891b29fdf55.jpeg</t>
  </si>
  <si>
    <t>https://files.armadanusantara.co.id/bukti/c512a2111639.jpeg</t>
  </si>
  <si>
    <t>https://files.armadanusantara.co.id/bukti/aff8310f7e2e.jpg</t>
  </si>
  <si>
    <t>https://files.armadanusantara.co.id/bukti/2626df91d5ea.png</t>
  </si>
  <si>
    <t>https://files.armadanusantara.co.id/bukti/74b90d598534.pdf</t>
  </si>
  <si>
    <t>https://files.armadanusantara.co.id/bukti/b722ad81d593.pdf</t>
  </si>
  <si>
    <t>22642@armadanusantara.co.id</t>
  </si>
  <si>
    <t>Purnomo Fadillah</t>
  </si>
  <si>
    <t>https://files.armadanusantara.co.id/bukti/7ebfd5d1e245.jpeg</t>
  </si>
  <si>
    <t>https://files.armadanusantara.co.id/bukti/8ba857265043.png</t>
  </si>
  <si>
    <t>https://files.armadanusantara.co.id/bukti/c56551d0e2b1.jpg</t>
  </si>
  <si>
    <t>https://files.armadanusantara.co.id/bukti/a1b7c3009cb3.png</t>
  </si>
  <si>
    <t>H6476BKH</t>
  </si>
  <si>
    <t>https://files.armadanusantara.co.id/bukti/0ca550d34c53.png</t>
  </si>
  <si>
    <t>https://files.armadanusantara.co.id/bukti/5bb11c322406.png</t>
  </si>
  <si>
    <t>https://files.armadanusantara.co.id/bukti/de95d5fe4ee5.pdf</t>
  </si>
  <si>
    <t>https://files.armadanusantara.co.id/bukti/b51f247315bc.jpeg</t>
  </si>
  <si>
    <t>https://files.armadanusantara.co.id/bukti/00c7657a0bb3.png</t>
  </si>
  <si>
    <t>https://files.armadanusantara.co.id/bukti/32c336ad2e11.pdf</t>
  </si>
  <si>
    <t>https://files.armadanusantara.co.id/bukti/55a8578ed12f.jpg</t>
  </si>
  <si>
    <t>https://files.armadanusantara.co.id/bukti/ebc816265662.png</t>
  </si>
  <si>
    <t>16499@armadanusantara.co.id</t>
  </si>
  <si>
    <t>Dinda Halim</t>
  </si>
  <si>
    <t>B9356SC</t>
  </si>
  <si>
    <t>https://files.armadanusantara.co.id/bukti/a9601a13bb2c.jpg</t>
  </si>
  <si>
    <t>https://files.armadanusantara.co.id/bukti/db48255171a2.png</t>
  </si>
  <si>
    <t>18288@armadanusantara.co.id</t>
  </si>
  <si>
    <t>Rahmat Rahmawan</t>
  </si>
  <si>
    <t>https://files.armadanusantara.co.id/bukti/ba814a8a20d4.jpeg</t>
  </si>
  <si>
    <t>https://files.armadanusantara.co.id/bukti/4cb376b26c47.jpg</t>
  </si>
  <si>
    <t>https://files.armadanusantara.co.id/bukti/2fadb93c6518.jpeg</t>
  </si>
  <si>
    <t>https://files.armadanusantara.co.id/bukti/25aea7b73f3b.jpg</t>
  </si>
  <si>
    <t>https://files.armadanusantara.co.id/bukti/30a509f7c95d.jpeg</t>
  </si>
  <si>
    <t>https://files.armadanusantara.co.id/bukti/725cbeda0595.jpg</t>
  </si>
  <si>
    <t>KH6059EJ</t>
  </si>
  <si>
    <t>https://files.armadanusantara.co.id/bukti/ca5914e79e74.pdf</t>
  </si>
  <si>
    <t>https://files.armadanusantara.co.id/bukti/930736cbe9cb.png</t>
  </si>
  <si>
    <t>https://files.armadanusantara.co.id/bukti/32bec52143c7.jpeg</t>
  </si>
  <si>
    <t>https://files.armadanusantara.co.id/bukti/1561e39aa3b0.png</t>
  </si>
  <si>
    <t>17591@armadanusantara.co.id</t>
  </si>
  <si>
    <t>Citra Maulana</t>
  </si>
  <si>
    <t>https://files.armadanusantara.co.id/bukti/f962c9202feb.pdf</t>
  </si>
  <si>
    <t>https://files.armadanusantara.co.id/bukti/71c71a64e35d.jpeg</t>
  </si>
  <si>
    <t>https://files.armadanusantara.co.id/bukti/58949e52475f.png</t>
  </si>
  <si>
    <t>https://files.armadanusantara.co.id/bukti/327f3c26c644.pdf</t>
  </si>
  <si>
    <t>https://files.armadanusantara.co.id/bukti/27031a306316.pdf</t>
  </si>
  <si>
    <t>https://files.armadanusantara.co.id/bukti/fc9b4313d529.pdf</t>
  </si>
  <si>
    <t>https://files.armadanusantara.co.id/bukti/e17b1c61a6bc.jpeg</t>
  </si>
  <si>
    <t>https://files.armadanusantara.co.id/bukti/7f5cd9efd6bb.png</t>
  </si>
  <si>
    <t>https://files.armadanusantara.co.id/bukti/3e78051dee7a.png</t>
  </si>
  <si>
    <t>https://files.armadanusantara.co.id/bukti/8ffeafc64571.jpg</t>
  </si>
  <si>
    <t>https://files.armadanusantara.co.id/bukti/e0116da905bf.pdf</t>
  </si>
  <si>
    <t>https://files.armadanusantara.co.id/bukti/841fcd365189.png</t>
  </si>
  <si>
    <t>https://files.armadanusantara.co.id/bukti/c9b64f1368f7.png</t>
  </si>
  <si>
    <t>https://files.armadanusantara.co.id/bukti/84df2b9e2d91.png</t>
  </si>
  <si>
    <t>https://files.armadanusantara.co.id/bukti/f69470771151.pdf</t>
  </si>
  <si>
    <t>https://files.armadanusantara.co.id/bukti/1df23a4f3137.jpg</t>
  </si>
  <si>
    <t>https://files.armadanusantara.co.id/bukti/3d86ad8a0fe8.pdf</t>
  </si>
  <si>
    <t>https://files.armadanusantara.co.id/bukti/d637b4577f43.png</t>
  </si>
  <si>
    <t>https://files.armadanusantara.co.id/bukti/18da85e3973b.jpeg</t>
  </si>
  <si>
    <t>https://files.armadanusantara.co.id/bukti/6ba996517357.png</t>
  </si>
  <si>
    <t>https://files.armadanusantara.co.id/bukti/e5fcdc73ca54.pdf</t>
  </si>
  <si>
    <t>https://files.armadanusantara.co.id/bukti/7c551a800118.pdf</t>
  </si>
  <si>
    <t>https://files.armadanusantara.co.id/bukti/406bd1e87608.png</t>
  </si>
  <si>
    <t>https://files.armadanusantara.co.id/bukti/edd05468a807.png</t>
  </si>
  <si>
    <t>https://files.armadanusantara.co.id/bukti/f5e12c0bfa09.png</t>
  </si>
  <si>
    <t>https://files.armadanusantara.co.id/bukti/0d35b3b0374f.pdf</t>
  </si>
  <si>
    <t>https://files.armadanusantara.co.id/bukti/fbe0a7bd2551.jpeg</t>
  </si>
  <si>
    <t>https://files.armadanusantara.co.id/bukti/1c32c754c6fa.png</t>
  </si>
  <si>
    <t>https://files.armadanusantara.co.id/bukti/adab023a95b7.jpg</t>
  </si>
  <si>
    <t>https://files.armadanusantara.co.id/bukti/ad782886cf5e.jpeg</t>
  </si>
  <si>
    <t>97545@armadanusantara.co.id</t>
  </si>
  <si>
    <t>Yusuf Fadillah</t>
  </si>
  <si>
    <t>B2432SKR</t>
  </si>
  <si>
    <t>https://files.armadanusantara.co.id/bukti/49d01334b913.png</t>
  </si>
  <si>
    <t>https://files.armadanusantara.co.id/bukti/e1ae42ea5e56.png</t>
  </si>
  <si>
    <t>https://files.armadanusantara.co.id/bukti/6abe6947e84d.pdf</t>
  </si>
  <si>
    <t>https://files.armadanusantara.co.id/bukti/5ac4f3d9ed38.png</t>
  </si>
  <si>
    <t>https://files.armadanusantara.co.id/bukti/0688049be491.png</t>
  </si>
  <si>
    <t>https://files.armadanusantara.co.id/bukti/e770b5936295.pdf</t>
  </si>
  <si>
    <t>https://files.armadanusantara.co.id/bukti/0b6d8e1551c5.pdf</t>
  </si>
  <si>
    <t>https://files.armadanusantara.co.id/bukti/3431c90d6d94.pdf</t>
  </si>
  <si>
    <t>https://files.armadanusantara.co.id/bukti/52625abaed71.jpeg</t>
  </si>
  <si>
    <t>https://files.armadanusantara.co.id/bukti/0d8ea62ed23d.pdf</t>
  </si>
  <si>
    <t>https://files.armadanusantara.co.id/bukti/b21fede2af21.jpg</t>
  </si>
  <si>
    <t>https://files.armadanusantara.co.id/bukti/ae33d241b8c1.pdf</t>
  </si>
  <si>
    <t>https://files.armadanusantara.co.id/bukti/254a6f079073.png</t>
  </si>
  <si>
    <t>https://files.armadanusantara.co.id/bukti/24b8523eda73.jpeg</t>
  </si>
  <si>
    <t>https://files.armadanusantara.co.id/bukti/84e28d02f844.jpg</t>
  </si>
  <si>
    <t>https://files.armadanusantara.co.id/bukti/67f57ca774ee.jpg</t>
  </si>
  <si>
    <t>https://files.armadanusantara.co.id/bukti/9ab14942f29e.jpeg</t>
  </si>
  <si>
    <t>https://files.armadanusantara.co.id/bukti/990d8495c107.jpeg</t>
  </si>
  <si>
    <t>https://files.armadanusantara.co.id/bukti/a61d49897d9c.jpeg</t>
  </si>
  <si>
    <t>https://files.armadanusantara.co.id/bukti/9766455e1375.pdf</t>
  </si>
  <si>
    <t>https://files.armadanusantara.co.id/bukti/4cbdc7f8c1b8.jpg</t>
  </si>
  <si>
    <t>https://files.armadanusantara.co.id/bukti/6104509569de.pdf</t>
  </si>
  <si>
    <t>https://files.armadanusantara.co.id/bukti/adb9dd3ea76a.pdf</t>
  </si>
  <si>
    <t>https://files.armadanusantara.co.id/bukti/c9fe28645c45.jpg</t>
  </si>
  <si>
    <t>https://files.armadanusantara.co.id/bukti/e8af05d6db40.jpg</t>
  </si>
  <si>
    <t>https://files.armadanusantara.co.id/bukti/0a4a05ef007b.pdf</t>
  </si>
  <si>
    <t>https://files.armadanusantara.co.id/bukti/da4b5b730468.jpg</t>
  </si>
  <si>
    <t>https://files.armadanusantara.co.id/bukti/54351b7c36ab.jpeg</t>
  </si>
  <si>
    <t>https://files.armadanusantara.co.id/bukti/4f44ce0fa496.jpeg</t>
  </si>
  <si>
    <t>https://files.armadanusantara.co.id/bukti/c9c33b685f10.pdf</t>
  </si>
  <si>
    <t>https://files.armadanusantara.co.id/bukti/ce725a513187.jpg</t>
  </si>
  <si>
    <t>https://files.armadanusantara.co.id/bukti/8a4067e44ba0.jpeg</t>
  </si>
  <si>
    <t>B4867VJI</t>
  </si>
  <si>
    <t>https://files.armadanusantara.co.id/bukti/b65493706010.jpeg</t>
  </si>
  <si>
    <t>https://files.armadanusantara.co.id/bukti/78fa0aab4148.jpeg</t>
  </si>
  <si>
    <t>H9028KZJ</t>
  </si>
  <si>
    <t>https://files.armadanusantara.co.id/bukti/6f3fb4a6499e.png</t>
  </si>
  <si>
    <t>https://files.armadanusantara.co.id/bukti/bcc41474cc70.pdf</t>
  </si>
  <si>
    <t>https://files.armadanusantara.co.id/bukti/724bce0923d2.jpg</t>
  </si>
  <si>
    <t>https://files.armadanusantara.co.id/bukti/5fb302991618.png</t>
  </si>
  <si>
    <t>https://files.armadanusantara.co.id/bukti/5e9b82dfc202.png</t>
  </si>
  <si>
    <t>https://files.armadanusantara.co.id/bukti/ff2937580c60.jpg</t>
  </si>
  <si>
    <t>https://files.armadanusantara.co.id/bukti/818e1033a209.png</t>
  </si>
  <si>
    <t>https://files.armadanusantara.co.id/bukti/3fd1c5fcd910.jpg</t>
  </si>
  <si>
    <t>https://files.armadanusantara.co.id/bukti/290f94b3b8dc.jpeg</t>
  </si>
  <si>
    <t>https://files.armadanusantara.co.id/bukti/24b6c3ff98ca.jpg</t>
  </si>
  <si>
    <t>https://files.armadanusantara.co.id/bukti/2aec440d29d4.png</t>
  </si>
  <si>
    <t>https://files.armadanusantara.co.id/bukti/47b025be34cf.pdf</t>
  </si>
  <si>
    <t>https://files.armadanusantara.co.id/bukti/f5d260ebd771.jpeg</t>
  </si>
  <si>
    <t>https://files.armadanusantara.co.id/bukti/0f39fcd9886c.jpg</t>
  </si>
  <si>
    <t>https://files.armadanusantara.co.id/bukti/4e3f5ffd056e.png</t>
  </si>
  <si>
    <t>https://files.armadanusantara.co.id/bukti/f858b229ce0e.pdf</t>
  </si>
  <si>
    <t>https://files.armadanusantara.co.id/bukti/aa786cb2cbcd.jpg</t>
  </si>
  <si>
    <t>https://files.armadanusantara.co.id/bukti/f67875afc477.png</t>
  </si>
  <si>
    <t>https://files.armadanusantara.co.id/bukti/04fd05fc8735.jpeg</t>
  </si>
  <si>
    <t>https://files.armadanusantara.co.id/bukti/cc1755ed88ab.png</t>
  </si>
  <si>
    <t>https://files.armadanusantara.co.id/bukti/e00647b60e24.jpg</t>
  </si>
  <si>
    <t>https://files.armadanusantara.co.id/bukti/3b9490362c52.png</t>
  </si>
  <si>
    <t>15454@armadanusantara.co.id</t>
  </si>
  <si>
    <t>Andi Yulianto</t>
  </si>
  <si>
    <t>https://files.armadanusantara.co.id/bukti/8c5e7bb39eb0.png</t>
  </si>
  <si>
    <t>https://files.armadanusantara.co.id/bukti/13c0866b788e.png</t>
  </si>
  <si>
    <t>https://files.armadanusantara.co.id/bukti/9014baf0fde2.jpg</t>
  </si>
  <si>
    <t>https://files.armadanusantara.co.id/bukti/f6100c10719e.jpeg</t>
  </si>
  <si>
    <t>https://files.armadanusantara.co.id/bukti/69ff88832093.jpeg</t>
  </si>
  <si>
    <t>https://files.armadanusantara.co.id/bukti/71a9abb89608.png</t>
  </si>
  <si>
    <t>https://files.armadanusantara.co.id/bukti/7eefc4bd95ac.jpeg</t>
  </si>
  <si>
    <t>https://files.armadanusantara.co.id/bukti/536d03c3ce08.png</t>
  </si>
  <si>
    <t>https://files.armadanusantara.co.id/bukti/cf7c46505047.png</t>
  </si>
  <si>
    <t>https://files.armadanusantara.co.id/bukti/ab65021a73a1.png</t>
  </si>
  <si>
    <t>https://files.armadanusantara.co.id/bukti/1f7504424634.pdf</t>
  </si>
  <si>
    <t>https://files.armadanusantara.co.id/bukti/67328ce1b6b3.png</t>
  </si>
  <si>
    <t>https://files.armadanusantara.co.id/bukti/581cd43cc37e.pdf</t>
  </si>
  <si>
    <t>https://files.armadanusantara.co.id/bukti/0722bf8cdd9c.jpg</t>
  </si>
  <si>
    <t>https://files.armadanusantara.co.id/bukti/8b36bc6396b6.pdf</t>
  </si>
  <si>
    <t>https://files.armadanusantara.co.id/bukti/59b314f4033c.pdf</t>
  </si>
  <si>
    <t>https://files.armadanusantara.co.id/bukti/a6a51cb45b37.jpg</t>
  </si>
  <si>
    <t>https://files.armadanusantara.co.id/bukti/ae0fada15fef.pdf</t>
  </si>
  <si>
    <t>https://files.armadanusantara.co.id/bukti/38f4b512e493.jpg</t>
  </si>
  <si>
    <t>https://files.armadanusantara.co.id/bukti/8473222ca0f1.jpg</t>
  </si>
  <si>
    <t>https://files.armadanusantara.co.id/bukti/fecf1f22a1a4.png</t>
  </si>
  <si>
    <t>https://files.armadanusantara.co.id/bukti/ef95c54759d8.pdf</t>
  </si>
  <si>
    <t>https://files.armadanusantara.co.id/bukti/ca15762f3f8c.jpg</t>
  </si>
  <si>
    <t>https://files.armadanusantara.co.id/bukti/8fda8d9b8e61.pdf</t>
  </si>
  <si>
    <t>https://files.armadanusantara.co.id/bukti/fc15024d6c33.png</t>
  </si>
  <si>
    <t>https://files.armadanusantara.co.id/bukti/99a23f922a38.jpeg</t>
  </si>
  <si>
    <t>https://files.armadanusantara.co.id/bukti/de26256d0a82.png</t>
  </si>
  <si>
    <t>https://files.armadanusantara.co.id/bukti/294be75b6a30.pdf</t>
  </si>
  <si>
    <t>https://files.armadanusantara.co.id/bukti/695148d9364a.jpg</t>
  </si>
  <si>
    <t>https://files.armadanusantara.co.id/bukti/71bea9b0a11f.png</t>
  </si>
  <si>
    <t>https://files.armadanusantara.co.id/bukti/cfe193a8636a.jpeg</t>
  </si>
  <si>
    <t>https://files.armadanusantara.co.id/bukti/bac84f852cf2.pdf</t>
  </si>
  <si>
    <t>https://files.armadanusantara.co.id/bukti/3e6a8cf506f5.pdf</t>
  </si>
  <si>
    <t>https://files.armadanusantara.co.id/bukti/aa78bb4ddb33.png</t>
  </si>
  <si>
    <t>https://files.armadanusantara.co.id/bukti/2d3c927dfc17.png</t>
  </si>
  <si>
    <t>https://files.armadanusantara.co.id/bukti/5bb231f5c267.jpeg</t>
  </si>
  <si>
    <t>https://files.armadanusantara.co.id/bukti/b8aeef053086.jpg</t>
  </si>
  <si>
    <t>https://files.armadanusantara.co.id/bukti/71836e03def4.jpeg</t>
  </si>
  <si>
    <t>https://files.armadanusantara.co.id/bukti/566797a3aa4f.png</t>
  </si>
  <si>
    <t>https://files.armadanusantara.co.id/bukti/9ebe50cd659e.jpeg</t>
  </si>
  <si>
    <t>https://files.armadanusantara.co.id/bukti/bdcac9d4e262.jpeg</t>
  </si>
  <si>
    <t>https://files.armadanusantara.co.id/bukti/a455aecbdbc9.jpg</t>
  </si>
  <si>
    <t>https://files.armadanusantara.co.id/bukti/4f35678f090b.pdf</t>
  </si>
  <si>
    <t>https://files.armadanusantara.co.id/bukti/52945d7f8f08.png</t>
  </si>
  <si>
    <t>https://files.armadanusantara.co.id/bukti/354878d781d2.jpeg</t>
  </si>
  <si>
    <t>https://files.armadanusantara.co.id/bukti/cbb420aed15e.jpeg</t>
  </si>
  <si>
    <t>https://files.armadanusantara.co.id/bukti/ac36c2c5e54c.pdf</t>
  </si>
  <si>
    <t>https://files.armadanusantara.co.id/bukti/2019a16cea14.png</t>
  </si>
  <si>
    <t>https://files.armadanusantara.co.id/bukti/b07b1d41c864.jpeg</t>
  </si>
  <si>
    <t>https://files.armadanusantara.co.id/bukti/70f049b8c7b0.jpeg</t>
  </si>
  <si>
    <t>https://files.armadanusantara.co.id/bukti/53a9ba1f3626.pdf</t>
  </si>
  <si>
    <t>https://files.armadanusantara.co.id/bukti/9b875cb0699d.jpg</t>
  </si>
  <si>
    <t>b4952my</t>
  </si>
  <si>
    <t>https://files.armadanusantara.co.id/bukti/1c98877bb348.jpeg</t>
  </si>
  <si>
    <t>https://files.armadanusantara.co.id/bukti/7271df88f4cc.png</t>
  </si>
  <si>
    <t>https://files.armadanusantara.co.id/bukti/a61187b9306e.jpg</t>
  </si>
  <si>
    <t>https://files.armadanusantara.co.id/bukti/bb18044ff254.png</t>
  </si>
  <si>
    <t>https://files.armadanusantara.co.id/bukti/e920c2856763.jpeg</t>
  </si>
  <si>
    <t>https://files.armadanusantara.co.id/bukti/7c94cee02229.pdf</t>
  </si>
  <si>
    <t>https://files.armadanusantara.co.id/bukti/b1d5e405644d.pdf</t>
  </si>
  <si>
    <t>https://files.armadanusantara.co.id/bukti/0ed229ba070d.jpeg</t>
  </si>
  <si>
    <t>https://files.armadanusantara.co.id/bukti/53e6fb69e707.png</t>
  </si>
  <si>
    <t>https://files.armadanusantara.co.id/bukti/1cc7f1d6e91f.jpg</t>
  </si>
  <si>
    <t>https://files.armadanusantara.co.id/bukti/025d45b6700d.png</t>
  </si>
  <si>
    <t>https://files.armadanusantara.co.id/bukti/ab1a413ef9fb.pdf</t>
  </si>
  <si>
    <t>https://files.armadanusantara.co.id/bukti/c926671f5c22.jpg</t>
  </si>
  <si>
    <t>https://files.armadanusantara.co.id/bukti/f42e34c6ed09.jpeg</t>
  </si>
  <si>
    <t>https://files.armadanusantara.co.id/bukti/49889cf368a9.jpg</t>
  </si>
  <si>
    <t>https://files.armadanusantara.co.id/bukti/1b1ce9b7cc81.jpeg</t>
  </si>
  <si>
    <t>https://files.armadanusantara.co.id/bukti/1fb52f0f7d31.jpg</t>
  </si>
  <si>
    <t>https://files.armadanusantara.co.id/bukti/3d59ec86a2ee.pdf</t>
  </si>
  <si>
    <t>https://files.armadanusantara.co.id/bukti/a8bde57c96f2.jpeg</t>
  </si>
  <si>
    <t>https://files.armadanusantara.co.id/bukti/0d32be2381ac.png</t>
  </si>
  <si>
    <t>https://files.armadanusantara.co.id/bukti/1d2dbd0d8bc2.jpg</t>
  </si>
  <si>
    <t>https://files.armadanusantara.co.id/bukti/eb2688d8bdeb.png</t>
  </si>
  <si>
    <t>https://files.armadanusantara.co.id/bukti/4b5d5518824a.jpeg</t>
  </si>
  <si>
    <t>https://files.armadanusantara.co.id/bukti/f7c263e87aaf.jpeg</t>
  </si>
  <si>
    <t>https://files.armadanusantara.co.id/bukti/a79bba339f7e.pdf</t>
  </si>
  <si>
    <t>https://files.armadanusantara.co.id/bukti/87fe0c5c514b.jpg</t>
  </si>
  <si>
    <t>https://files.armadanusantara.co.id/bukti/52edf29e9579.png</t>
  </si>
  <si>
    <t>https://files.armadanusantara.co.id/bukti/b74d33992eac.pdf</t>
  </si>
  <si>
    <t>https://files.armadanusantara.co.id/bukti/0860cd664162.jpeg</t>
  </si>
  <si>
    <t>https://files.armadanusantara.co.id/bukti/aef716235b12.pdf</t>
  </si>
  <si>
    <t>B3574SAY</t>
  </si>
  <si>
    <t>https://files.armadanusantara.co.id/bukti/c512b8cae621.pdf</t>
  </si>
  <si>
    <t>https://files.armadanusantara.co.id/bukti/71757e1407c2.jpeg</t>
  </si>
  <si>
    <t>https://files.armadanusantara.co.id/bukti/082b7593e1a0.pdf</t>
  </si>
  <si>
    <t>https://files.armadanusantara.co.id/bukti/c7be057b8f0c.jpeg</t>
  </si>
  <si>
    <t>https://files.armadanusantara.co.id/bukti/5d9f4b10166f.pdf</t>
  </si>
  <si>
    <t>https://files.armadanusantara.co.id/bukti/78f3ce2f773f.png</t>
  </si>
  <si>
    <t>https://files.armadanusantara.co.id/bukti/6978bd3a083c.jpg</t>
  </si>
  <si>
    <t>https://files.armadanusantara.co.id/bukti/933e9338e914.png</t>
  </si>
  <si>
    <t>https://files.armadanusantara.co.id/bukti/b3807c3974ec.pdf</t>
  </si>
  <si>
    <t>https://files.armadanusantara.co.id/bukti/c4de7b312e7f.png</t>
  </si>
  <si>
    <t>https://files.armadanusantara.co.id/bukti/016b9f2b6c5a.jpg</t>
  </si>
  <si>
    <t>https://files.armadanusantara.co.id/bukti/e6f5a6263804.jpeg</t>
  </si>
  <si>
    <t>https://files.armadanusantara.co.id/bukti/361df54030c6.png</t>
  </si>
  <si>
    <t>https://files.armadanusantara.co.id/bukti/857edf30138a.png</t>
  </si>
  <si>
    <t>https://files.armadanusantara.co.id/bukti/aaf00f64b06b.jpg</t>
  </si>
  <si>
    <t>https://files.armadanusantara.co.id/bukti/36034e98760b.jpg</t>
  </si>
  <si>
    <t>https://files.armadanusantara.co.id/bukti/24dae44d770b.png</t>
  </si>
  <si>
    <t>https://files.armadanusantara.co.id/bukti/36d4ef7542da.pdf</t>
  </si>
  <si>
    <t>https://files.armadanusantara.co.id/bukti/3418e22f08e9.jpeg</t>
  </si>
  <si>
    <t>https://files.armadanusantara.co.id/bukti/b3f7021ca3fa.pdf</t>
  </si>
  <si>
    <t>14140@armadanusantara.co.id</t>
  </si>
  <si>
    <t>Yudi Harahap</t>
  </si>
  <si>
    <t>https://files.armadanusantara.co.id/bukti/0b727339a7ed.jpeg</t>
  </si>
  <si>
    <t>https://files.armadanusantara.co.id/bukti/f537f0f60509.jpeg</t>
  </si>
  <si>
    <t>https://files.armadanusantara.co.id/bukti/b28359ef8cd2.jpg</t>
  </si>
  <si>
    <t>https://files.armadanusantara.co.id/bukti/23e424ca288e.jpeg</t>
  </si>
  <si>
    <t>https://files.armadanusantara.co.id/bukti/663c3ddc0b50.jpg</t>
  </si>
  <si>
    <t>https://files.armadanusantara.co.id/bukti/85c6925f279b.jpeg</t>
  </si>
  <si>
    <t>https://files.armadanusantara.co.id/bukti/702941ee90ab.pdf</t>
  </si>
  <si>
    <t>https://files.armadanusantara.co.id/bukti/08069530732e.pdf</t>
  </si>
  <si>
    <t>https://files.armadanusantara.co.id/bukti/5e991cc81833.png</t>
  </si>
  <si>
    <t>https://files.armadanusantara.co.id/bukti/44b72a09e619.pdf</t>
  </si>
  <si>
    <t>https://files.armadanusantara.co.id/bukti/78b4d23df04d.png</t>
  </si>
  <si>
    <t>https://files.armadanusantara.co.id/bukti/f1c0fc8b8cf1.jpg</t>
  </si>
  <si>
    <t>https://files.armadanusantara.co.id/bukti/b5ba94ac8076.pdf</t>
  </si>
  <si>
    <t>https://files.armadanusantara.co.id/bukti/2b93eb91c463.jpeg</t>
  </si>
  <si>
    <t>https://files.armadanusantara.co.id/bukti/0792cb60d9dd.jpeg</t>
  </si>
  <si>
    <t>https://files.armadanusantara.co.id/bukti/6f7bcae72f5e.pdf</t>
  </si>
  <si>
    <t>https://files.armadanusantara.co.id/bukti/cfa2b115c451.pdf</t>
  </si>
  <si>
    <t>https://files.armadanusantara.co.id/bukti/08eb0430533a.png</t>
  </si>
  <si>
    <t>https://files.armadanusantara.co.id/bukti/de7823fb1d0f.jpg</t>
  </si>
  <si>
    <t>https://files.armadanusantara.co.id/bukti/887d2752d1a2.jpeg</t>
  </si>
  <si>
    <t>https://files.armadanusantara.co.id/bukti/4fdc9a1b26b7.png</t>
  </si>
  <si>
    <t>https://files.armadanusantara.co.id/bukti/d695c8e37e92.jpg</t>
  </si>
  <si>
    <t>https://files.armadanusantara.co.id/bukti/6e6e36c8d8bb.pdf</t>
  </si>
  <si>
    <t>https://files.armadanusantara.co.id/bukti/e448d88a5d99.png</t>
  </si>
  <si>
    <t>https://files.armadanusantara.co.id/bukti/3502eebfbe39.pdf</t>
  </si>
  <si>
    <t>https://files.armadanusantara.co.id/bukti/7fa48bb9596c.jpeg</t>
  </si>
  <si>
    <t>https://files.armadanusantara.co.id/bukti/1e9222048b01.jpg</t>
  </si>
  <si>
    <t>https://files.armadanusantara.co.id/bukti/7631cecd1e21.pdf</t>
  </si>
  <si>
    <t>https://files.armadanusantara.co.id/bukti/b45e82e2009b.jpg</t>
  </si>
  <si>
    <t>https://files.armadanusantara.co.id/bukti/288e37222864.png</t>
  </si>
  <si>
    <t>https://files.armadanusantara.co.id/bukti/9bdee0aa7371.jpg</t>
  </si>
  <si>
    <t>https://files.armadanusantara.co.id/bukti/ba24d6fe8807.png</t>
  </si>
  <si>
    <t>https://files.armadanusantara.co.id/bukti/c7c2b4c39f7c.jpeg</t>
  </si>
  <si>
    <t>https://files.armadanusantara.co.id/bukti/693a4bdf52a3.jpg</t>
  </si>
  <si>
    <t>https://files.armadanusantara.co.id/bukti/bd1cc980f1cd.pdf</t>
  </si>
  <si>
    <t>https://files.armadanusantara.co.id/bukti/9835ab30b46b.pdf</t>
  </si>
  <si>
    <t>https://files.armadanusantara.co.id/bukti/e556bfce15ec.pdf</t>
  </si>
  <si>
    <t>https://files.armadanusantara.co.id/bukti/e9664309fdc5.jpg</t>
  </si>
  <si>
    <t>https://files.armadanusantara.co.id/bukti/bab9a7ed113c.jpeg</t>
  </si>
  <si>
    <t>https://files.armadanusantara.co.id/bukti/e27e1cbc3fc6.png</t>
  </si>
  <si>
    <t>https://files.armadanusantara.co.id/bukti/3aeefd2a23f9.pdf</t>
  </si>
  <si>
    <t>https://files.armadanusantara.co.id/bukti/c9cb29b9659c.jpg</t>
  </si>
  <si>
    <t>https://files.armadanusantara.co.id/bukti/6fdd357d6743.jpeg</t>
  </si>
  <si>
    <t>https://files.armadanusantara.co.id/bukti/19a6dd74ff52.jpg</t>
  </si>
  <si>
    <t>https://files.armadanusantara.co.id/bukti/7d4dd905fac5.png</t>
  </si>
  <si>
    <t>https://files.armadanusantara.co.id/bukti/efbd89696262.pdf</t>
  </si>
  <si>
    <t>https://files.armadanusantara.co.id/bukti/8b2bf383e6c4.jpeg</t>
  </si>
  <si>
    <t>https://files.armadanusantara.co.id/bukti/567a644db257.jpg</t>
  </si>
  <si>
    <t>https://files.armadanusantara.co.id/bukti/96280147e97c.pdf</t>
  </si>
  <si>
    <t>https://files.armadanusantara.co.id/bukti/e3e1a9f1179b.jpeg</t>
  </si>
  <si>
    <t>https://files.armadanusantara.co.id/bukti/c0ec9c333d86.jpeg</t>
  </si>
  <si>
    <t>https://files.armadanusantara.co.id/bukti/1147ac858dde.pdf</t>
  </si>
  <si>
    <t>https://files.armadanusantara.co.id/bukti/77028a926095.jpg</t>
  </si>
  <si>
    <t>https://files.armadanusantara.co.id/bukti/8e2bc234017c.jpg</t>
  </si>
  <si>
    <t>H8789UP</t>
  </si>
  <si>
    <t>https://files.armadanusantara.co.id/bukti/45cd748b9981.jpeg</t>
  </si>
  <si>
    <t>https://files.armadanusantara.co.id/bukti/93f061a86fce.jpg</t>
  </si>
  <si>
    <t>https://files.armadanusantara.co.id/bukti/ece4e74c0607.jpg</t>
  </si>
  <si>
    <t>https://files.armadanusantara.co.id/bukti/c83c03813b97.png</t>
  </si>
  <si>
    <t>https://files.armadanusantara.co.id/bukti/bf4b2f02ab35.jpeg</t>
  </si>
  <si>
    <t>https://files.armadanusantara.co.id/bukti/04464c82424b.jpg</t>
  </si>
  <si>
    <t>https://files.armadanusantara.co.id/bukti/b35bd4cce85d.png</t>
  </si>
  <si>
    <t>https://files.armadanusantara.co.id/bukti/01e4df452f37.pdf</t>
  </si>
  <si>
    <t>https://files.armadanusantara.co.id/bukti/6f730a1a147e.png</t>
  </si>
  <si>
    <t>https://files.armadanusantara.co.id/bukti/23639a62acd2.jpeg</t>
  </si>
  <si>
    <t>B3164QC</t>
  </si>
  <si>
    <t>https://files.armadanusantara.co.id/bukti/9ee77b3f6f4d.png</t>
  </si>
  <si>
    <t>https://files.armadanusantara.co.id/bukti/6ac5500f6f4f.pdf</t>
  </si>
  <si>
    <t>https://files.armadanusantara.co.id/bukti/34e5337fcfde.png</t>
  </si>
  <si>
    <t>https://files.armadanusantara.co.id/bukti/ced9db729d46.jpeg</t>
  </si>
  <si>
    <t>https://files.armadanusantara.co.id/bukti/3b4de2b744ac.pdf</t>
  </si>
  <si>
    <t>https://files.armadanusantara.co.id/bukti/c8903b3a2e07.jpeg</t>
  </si>
  <si>
    <t>https://files.armadanusantara.co.id/bukti/6c919adbd1ca.png</t>
  </si>
  <si>
    <t>https://files.armadanusantara.co.id/bukti/45bb3eeb93d1.pdf</t>
  </si>
  <si>
    <t>https://files.armadanusantara.co.id/bukti/a539fad3eb43.jpg</t>
  </si>
  <si>
    <t>https://files.armadanusantara.co.id/bukti/8da1d9375c2f.pdf</t>
  </si>
  <si>
    <t>https://files.armadanusantara.co.id/bukti/cf60517304d6.jpg</t>
  </si>
  <si>
    <t>https://files.armadanusantara.co.id/bukti/860c9090e81a.pdf</t>
  </si>
  <si>
    <t>https://files.armadanusantara.co.id/bukti/e8273c5b44c5.pdf</t>
  </si>
  <si>
    <t>https://files.armadanusantara.co.id/bukti/d6478edd8f89.pdf</t>
  </si>
  <si>
    <t>https://files.armadanusantara.co.id/bukti/ee96e695d17f.jpg</t>
  </si>
  <si>
    <t>https://files.armadanusantara.co.id/bukti/c27187cae061.pdf</t>
  </si>
  <si>
    <t>https://files.armadanusantara.co.id/bukti/f957f9b41006.jpeg</t>
  </si>
  <si>
    <t>https://files.armadanusantara.co.id/bukti/8ded790c070d.pdf</t>
  </si>
  <si>
    <t>https://files.armadanusantara.co.id/bukti/98ccec8d8eb5.jpg</t>
  </si>
  <si>
    <t>https://files.armadanusantara.co.id/bukti/9dc58d53afb2.pdf</t>
  </si>
  <si>
    <t>https://files.armadanusantara.co.id/bukti/c27d86da483b.png</t>
  </si>
  <si>
    <t>https://files.armadanusantara.co.id/bukti/291f641cd8a2.png</t>
  </si>
  <si>
    <t>https://files.armadanusantara.co.id/bukti/032fd38b9abd.pdf</t>
  </si>
  <si>
    <t>https://files.armadanusantara.co.id/bukti/d125eec56a9e.pdf</t>
  </si>
  <si>
    <t>https://files.armadanusantara.co.id/bukti/3f2a5868c19e.jpg</t>
  </si>
  <si>
    <t>https://files.armadanusantara.co.id/bukti/7e71cd1b13c7.pdf</t>
  </si>
  <si>
    <t>https://files.armadanusantara.co.id/bukti/15dcfb1c4cf7.jpg</t>
  </si>
  <si>
    <t>https://files.armadanusantara.co.id/bukti/07e454e0f13c.jpg</t>
  </si>
  <si>
    <t>https://files.armadanusantara.co.id/bukti/1811b308cdb4.jpeg</t>
  </si>
  <si>
    <t>https://files.armadanusantara.co.id/bukti/c9473befb498.png</t>
  </si>
  <si>
    <t>https://files.armadanusantara.co.id/bukti/2adbca814504.jpg</t>
  </si>
  <si>
    <t>https://files.armadanusantara.co.id/bukti/671b57d87481.png</t>
  </si>
  <si>
    <t>https://files.armadanusantara.co.id/bukti/960cc923f0e9.jpeg</t>
  </si>
  <si>
    <t>https://files.armadanusantara.co.id/bukti/e8c31413ec09.jpg</t>
  </si>
  <si>
    <t>https://files.armadanusantara.co.id/bukti/6b32974517b4.jpg</t>
  </si>
  <si>
    <t>https://files.armadanusantara.co.id/bukti/200d57b0da9b.jpeg</t>
  </si>
  <si>
    <t>https://files.armadanusantara.co.id/bukti/9a3d2b8d9152.jpg</t>
  </si>
  <si>
    <t>https://files.armadanusantara.co.id/bukti/673973c60ff3.jpg</t>
  </si>
  <si>
    <t>https://files.armadanusantara.co.id/bukti/74992cabc503.jpeg</t>
  </si>
  <si>
    <t>https://files.armadanusantara.co.id/bukti/b4c6271542fb.jpeg</t>
  </si>
  <si>
    <t>https://files.armadanusantara.co.id/bukti/68fa6aebccd3.jpg</t>
  </si>
  <si>
    <t>https://files.armadanusantara.co.id/bukti/3c0d294bb43f.jpg</t>
  </si>
  <si>
    <t>https://files.armadanusantara.co.id/bukti/c829874e9ed6.pdf</t>
  </si>
  <si>
    <t>https://files.armadanusantara.co.id/bukti/bc3f3b3d683b.png</t>
  </si>
  <si>
    <t>https://files.armadanusantara.co.id/bukti/add878e4df17.jpg</t>
  </si>
  <si>
    <t>https://files.armadanusantara.co.id/bukti/9702a31d8b68.jpeg</t>
  </si>
  <si>
    <t>https://files.armadanusantara.co.id/bukti/3c01ccce7e3d.jpeg</t>
  </si>
  <si>
    <t>https://files.armadanusantara.co.id/bukti/310c3c7089dd.jpg</t>
  </si>
  <si>
    <t>https://files.armadanusantara.co.id/bukti/48b754cedf60.jpeg</t>
  </si>
  <si>
    <t>https://files.armadanusantara.co.id/bukti/3cd1180b3112.pdf</t>
  </si>
  <si>
    <t>https://files.armadanusantara.co.id/bukti/70f70fc46cde.png</t>
  </si>
  <si>
    <t>https://files.armadanusantara.co.id/bukti/9261048556d3.pdf</t>
  </si>
  <si>
    <t>https://files.armadanusantara.co.id/bukti/5aad160e1bc3.jpeg</t>
  </si>
  <si>
    <t>https://files.armadanusantara.co.id/bukti/e602740bb804.png</t>
  </si>
  <si>
    <t>https://files.armadanusantara.co.id/bukti/8068abeaf30d.pdf</t>
  </si>
  <si>
    <t>https://files.armadanusantara.co.id/bukti/660a1fb2c848.jpeg</t>
  </si>
  <si>
    <t>https://files.armadanusantara.co.id/bukti/3adcedfcdf6f.jpg</t>
  </si>
  <si>
    <t>https://files.armadanusantara.co.id/bukti/3d5c5692f074.jpg</t>
  </si>
  <si>
    <t>B3881AG</t>
  </si>
  <si>
    <t>https://files.armadanusantara.co.id/bukti/274ea4479c5f.png</t>
  </si>
  <si>
    <t>https://files.armadanusantara.co.id/bukti/94a62717fcd2.pdf</t>
  </si>
  <si>
    <t>https://files.armadanusantara.co.id/bukti/4be8391a41f2.jpg</t>
  </si>
  <si>
    <t>https://files.armadanusantara.co.id/bukti/93871de37b12.jpeg</t>
  </si>
  <si>
    <t>https://files.armadanusantara.co.id/bukti/3b0a80928db5.pdf</t>
  </si>
  <si>
    <t>https://files.armadanusantara.co.id/bukti/05d0251dc207.jpeg</t>
  </si>
  <si>
    <t>https://files.armadanusantara.co.id/bukti/213818509d7b.png</t>
  </si>
  <si>
    <t>https://files.armadanusantara.co.id/bukti/450a288f2360.jpeg</t>
  </si>
  <si>
    <t>https://files.armadanusantara.co.id/bukti/a347dcb2c395.pdf</t>
  </si>
  <si>
    <t>https://files.armadanusantara.co.id/bukti/fdee318dfd9d.png</t>
  </si>
  <si>
    <t>https://files.armadanusantara.co.id/bukti/cc7f9f138c08.jpeg</t>
  </si>
  <si>
    <t>https://files.armadanusantara.co.id/bukti/1448a644c75f.png</t>
  </si>
  <si>
    <t>https://files.armadanusantara.co.id/bukti/fef974cb88d3.jpeg</t>
  </si>
  <si>
    <t>https://files.armadanusantara.co.id/bukti/d619f15a2a5a.pdf</t>
  </si>
  <si>
    <t>https://files.armadanusantara.co.id/bukti/cff0cc03329a.jpg</t>
  </si>
  <si>
    <t>https://files.armadanusantara.co.id/bukti/73339b5ce3c1.jpg</t>
  </si>
  <si>
    <t>https://files.armadanusantara.co.id/bukti/f7936c810109.pdf</t>
  </si>
  <si>
    <t>https://files.armadanusantara.co.id/bukti/6e804283d1b5.jpeg</t>
  </si>
  <si>
    <t>https://files.armadanusantara.co.id/bukti/93a3b33c543f.jpg</t>
  </si>
  <si>
    <t>https://files.armadanusantara.co.id/bukti/27f52050c5ac.jpeg</t>
  </si>
  <si>
    <t>https://files.armadanusantara.co.id/bukti/dbe4ef0635e9.jpeg</t>
  </si>
  <si>
    <t>https://files.armadanusantara.co.id/bukti/a7e955ff4a0b.jpeg</t>
  </si>
  <si>
    <t>https://files.armadanusantara.co.id/bukti/30c791c60412.png</t>
  </si>
  <si>
    <t>https://files.armadanusantara.co.id/bukti/3daf94dc6ebb.jpg</t>
  </si>
  <si>
    <t>https://files.armadanusantara.co.id/bukti/f2d4c791f7f3.jpeg</t>
  </si>
  <si>
    <t>https://files.armadanusantara.co.id/bukti/c0a30649155e.pdf</t>
  </si>
  <si>
    <t>https://files.armadanusantara.co.id/bukti/d8712fd9f432.png</t>
  </si>
  <si>
    <t>https://files.armadanusantara.co.id/bukti/60992999bcff.png</t>
  </si>
  <si>
    <t>https://files.armadanusantara.co.id/bukti/6824908351c3.jpeg</t>
  </si>
  <si>
    <t>https://files.armadanusantara.co.id/bukti/7aad5eb77333.png</t>
  </si>
  <si>
    <t>https://files.armadanusantara.co.id/bukti/173f905247ec.jpg</t>
  </si>
  <si>
    <t>https://files.armadanusantara.co.id/bukti/28f2c114508a.png</t>
  </si>
  <si>
    <t>https://files.armadanusantara.co.id/bukti/d4a29375288f.jpg</t>
  </si>
  <si>
    <t>https://files.armadanusantara.co.id/bukti/c7242917293e.png</t>
  </si>
  <si>
    <t>https://files.armadanusantara.co.id/bukti/960cbc8e0ea3.jpeg</t>
  </si>
  <si>
    <t>https://files.armadanusantara.co.id/bukti/2a4e51bb0c33.pdf</t>
  </si>
  <si>
    <t>https://files.armadanusantara.co.id/bukti/50b53d96d3e2.png</t>
  </si>
  <si>
    <t>https://files.armadanusantara.co.id/bukti/85942a204f8b.jpeg</t>
  </si>
  <si>
    <t>B8188HNM</t>
  </si>
  <si>
    <t>https://files.armadanusantara.co.id/bukti/40e66a3abe2b.jpeg</t>
  </si>
  <si>
    <t>https://files.armadanusantara.co.id/bukti/703c11ce4582.jpg</t>
  </si>
  <si>
    <t>https://files.armadanusantara.co.id/bukti/bfb516039b17.jpeg</t>
  </si>
  <si>
    <t>https://files.armadanusantara.co.id/bukti/677a091f3085.jpg</t>
  </si>
  <si>
    <t>https://files.armadanusantara.co.id/bukti/d7f74a6f1aa1.jpg</t>
  </si>
  <si>
    <t>https://files.armadanusantara.co.id/bukti/b0e044434ce2.pdf</t>
  </si>
  <si>
    <t>78745@armadanusantara.co.id</t>
  </si>
  <si>
    <t>Yoga Santoso</t>
  </si>
  <si>
    <t>https://files.armadanusantara.co.id/bukti/1f502c625dd4.png</t>
  </si>
  <si>
    <t>https://files.armadanusantara.co.id/bukti/44fc322cbda6.pdf</t>
  </si>
  <si>
    <t>DB2968BR</t>
  </si>
  <si>
    <t>https://files.armadanusantara.co.id/bukti/f65b612d6d20.jpg</t>
  </si>
  <si>
    <t>https://files.armadanusantara.co.id/bukti/60528cd7ab25.pdf</t>
  </si>
  <si>
    <t>https://files.armadanusantara.co.id/bukti/acad3431a05d.pdf</t>
  </si>
  <si>
    <t>https://files.armadanusantara.co.id/bukti/d4e882ecab3a.jpg</t>
  </si>
  <si>
    <t>https://files.armadanusantara.co.id/bukti/cff95229d95a.png</t>
  </si>
  <si>
    <t>https://files.armadanusantara.co.id/bukti/7d36e5454f81.pdf</t>
  </si>
  <si>
    <t>https://files.armadanusantara.co.id/bukti/161e35d9e3c4.pdf</t>
  </si>
  <si>
    <t>https://files.armadanusantara.co.id/bukti/a188aee515be.jpeg</t>
  </si>
  <si>
    <t>https://files.armadanusantara.co.id/bukti/92a0d0c4379d.jpeg</t>
  </si>
  <si>
    <t>https://files.armadanusantara.co.id/bukti/8d10f286f8be.jpg</t>
  </si>
  <si>
    <t>https://files.armadanusantara.co.id/bukti/51945b91b007.pdf</t>
  </si>
  <si>
    <t>https://files.armadanusantara.co.id/bukti/2bc74acc8d78.jpg</t>
  </si>
  <si>
    <t>https://files.armadanusantara.co.id/bukti/03c7bfeb393f.jpg</t>
  </si>
  <si>
    <t>https://files.armadanusantara.co.id/bukti/f31eac1a0276.pdf</t>
  </si>
  <si>
    <t>https://files.armadanusantara.co.id/bukti/03f3f1dd970a.pdf</t>
  </si>
  <si>
    <t>https://files.armadanusantara.co.id/bukti/682b2a04275e.pdf</t>
  </si>
  <si>
    <t>https://files.armadanusantara.co.id/bukti/7138798450e4.jpg</t>
  </si>
  <si>
    <t>https://files.armadanusantara.co.id/bukti/0c2a342399a2.pdf</t>
  </si>
  <si>
    <t>https://files.armadanusantara.co.id/bukti/f91d532f7944.pdf</t>
  </si>
  <si>
    <t>https://files.armadanusantara.co.id/bukti/57f751468e63.jpg</t>
  </si>
  <si>
    <t>https://files.armadanusantara.co.id/bukti/6148b5a3baa3.pdf</t>
  </si>
  <si>
    <t>https://files.armadanusantara.co.id/bukti/c6869f058867.png</t>
  </si>
  <si>
    <t>https://files.armadanusantara.co.id/bukti/f20dd007d0dc.pdf</t>
  </si>
  <si>
    <t>https://files.armadanusantara.co.id/bukti/baa7c5106f67.png</t>
  </si>
  <si>
    <t>https://files.armadanusantara.co.id/bukti/e30d23da5934.jpeg</t>
  </si>
  <si>
    <t>https://files.armadanusantara.co.id/bukti/9b658d10b98d.jpg</t>
  </si>
  <si>
    <t>https://files.armadanusantara.co.id/bukti/30cbdd214fb5.pdf</t>
  </si>
  <si>
    <t>https://files.armadanusantara.co.id/bukti/cb64015e1318.png</t>
  </si>
  <si>
    <t>https://files.armadanusantara.co.id/bukti/d0cf7cf6829c.png</t>
  </si>
  <si>
    <t>https://files.armadanusantara.co.id/bukti/26b23bd8a99b.jpeg</t>
  </si>
  <si>
    <t>https://files.armadanusantara.co.id/bukti/2051cbfe1d0f.jpg</t>
  </si>
  <si>
    <t>https://files.armadanusantara.co.id/bukti/704a3855ef6b.jpg</t>
  </si>
  <si>
    <t>https://files.armadanusantara.co.id/bukti/612156a3988a.jpeg</t>
  </si>
  <si>
    <t>https://files.armadanusantara.co.id/bukti/0ae1a105dd0a.jpeg</t>
  </si>
  <si>
    <t>https://files.armadanusantara.co.id/bukti/9f96b973d06e.png</t>
  </si>
  <si>
    <t>https://files.armadanusantara.co.id/bukti/253ac2909196.jpeg</t>
  </si>
  <si>
    <t>https://files.armadanusantara.co.id/bukti/23da5ed4bf3c.pdf</t>
  </si>
  <si>
    <t>https://files.armadanusantara.co.id/bukti/3d935f695968.png</t>
  </si>
  <si>
    <t>https://files.armadanusantara.co.id/bukti/e7e0dbaf8ed7.jpeg</t>
  </si>
  <si>
    <t>https://files.armadanusantara.co.id/bukti/883df504ccab.jpeg</t>
  </si>
  <si>
    <t>https://files.armadanusantara.co.id/bukti/a47dc935066d.jpg</t>
  </si>
  <si>
    <t>https://files.armadanusantara.co.id/bukti/af0c7326f4a4.jpeg</t>
  </si>
  <si>
    <t>https://files.armadanusantara.co.id/bukti/bf978ba9cb31.jpeg</t>
  </si>
  <si>
    <t>https://files.armadanusantara.co.id/bukti/d1160731add9.jpg</t>
  </si>
  <si>
    <t>https://files.armadanusantara.co.id/bukti/d0f683aad79c.pdf</t>
  </si>
  <si>
    <t>https://files.armadanusantara.co.id/bukti/ad4b728a088f.pdf</t>
  </si>
  <si>
    <t>https://files.armadanusantara.co.id/bukti/d38a2adbd319.pdf</t>
  </si>
  <si>
    <t>https://files.armadanusantara.co.id/bukti/cd4d2b912c64.jpg</t>
  </si>
  <si>
    <t>https://files.armadanusantara.co.id/bukti/7505e3075613.jpeg</t>
  </si>
  <si>
    <t>https://files.armadanusantara.co.id/bukti/f605abdf5c0a.pdf</t>
  </si>
  <si>
    <t>https://files.armadanusantara.co.id/bukti/34237b7696a7.pdf</t>
  </si>
  <si>
    <t>https://files.armadanusantara.co.id/bukti/68e6fd02cc31.pdf</t>
  </si>
  <si>
    <t>https://files.armadanusantara.co.id/bukti/734a4391b6b1.jpg</t>
  </si>
  <si>
    <t>https://files.armadanusantara.co.id/bukti/7be0656845a5.png</t>
  </si>
  <si>
    <t>https://files.armadanusantara.co.id/bukti/281b554ce257.jpeg</t>
  </si>
  <si>
    <t>https://files.armadanusantara.co.id/bukti/5d01d16df4aa.jpeg</t>
  </si>
  <si>
    <t>https://files.armadanusantara.co.id/bukti/8119d03c99de.jpg</t>
  </si>
  <si>
    <t>https://files.armadanusantara.co.id/bukti/3a800dfbe630.pdf</t>
  </si>
  <si>
    <t>B6972EIM</t>
  </si>
  <si>
    <t>https://files.armadanusantara.co.id/bukti/a5fe119e9b4f.jpg</t>
  </si>
  <si>
    <t>https://files.armadanusantara.co.id/bukti/1f6c7bbb3ab4.pdf</t>
  </si>
  <si>
    <t>https://files.armadanusantara.co.id/bukti/a63ff40d29d0.png</t>
  </si>
  <si>
    <t>https://files.armadanusantara.co.id/bukti/a6ef267cbe1d.png</t>
  </si>
  <si>
    <t>https://files.armadanusantara.co.id/bukti/fc5b721d0024.jpg</t>
  </si>
  <si>
    <t>https://files.armadanusantara.co.id/bukti/55197f708701.jpg</t>
  </si>
  <si>
    <t>https://files.armadanusantara.co.id/bukti/31d83b1b3ffb.jpeg</t>
  </si>
  <si>
    <t>https://files.armadanusantara.co.id/bukti/c3907b7da727.png</t>
  </si>
  <si>
    <t>https://files.armadanusantara.co.id/bukti/02aa33814f92.png</t>
  </si>
  <si>
    <t>https://files.armadanusantara.co.id/bukti/54a35f3f5bc9.jpeg</t>
  </si>
  <si>
    <t>https://files.armadanusantara.co.id/bukti/3b4cafb2727e.png</t>
  </si>
  <si>
    <t>https://files.armadanusantara.co.id/bukti/1be3e93b03d0.jpeg</t>
  </si>
  <si>
    <t>https://files.armadanusantara.co.id/bukti/005a0f086761.jpeg</t>
  </si>
  <si>
    <t>https://files.armadanusantara.co.id/bukti/f030e32464a2.jpeg</t>
  </si>
  <si>
    <t>https://files.armadanusantara.co.id/bukti/d23ca83bb27d.jpeg</t>
  </si>
  <si>
    <t>https://files.armadanusantara.co.id/bukti/6db15ff8ad44.jpeg</t>
  </si>
  <si>
    <t>https://files.armadanusantara.co.id/bukti/5da91c8fd8da.png</t>
  </si>
  <si>
    <t>https://files.armadanusantara.co.id/bukti/af0dabbd16fd.png</t>
  </si>
  <si>
    <t>https://files.armadanusantara.co.id/bukti/e7cc88fe3835.pdf</t>
  </si>
  <si>
    <t>https://files.armadanusantara.co.id/bukti/f89651073892.pdf</t>
  </si>
  <si>
    <t>B5457CMQ</t>
  </si>
  <si>
    <t>https://files.armadanusantara.co.id/bukti/e66020a1860b.png</t>
  </si>
  <si>
    <t>https://files.armadanusantara.co.id/bukti/3093ad4c91a3.png</t>
  </si>
  <si>
    <t>https://files.armadanusantara.co.id/bukti/59823e9c24de.pdf</t>
  </si>
  <si>
    <t>https://files.armadanusantara.co.id/bukti/9f4ebf0069ca.jpeg</t>
  </si>
  <si>
    <t>https://files.armadanusantara.co.id/bukti/67cf26a30381.jpeg</t>
  </si>
  <si>
    <t>https://files.armadanusantara.co.id/bukti/b39e1a6a8195.jpeg</t>
  </si>
  <si>
    <t>https://files.armadanusantara.co.id/bukti/b234319895b8.png</t>
  </si>
  <si>
    <t>https://files.armadanusantara.co.id/bukti/08e1d975219b.jpg</t>
  </si>
  <si>
    <t>https://files.armadanusantara.co.id/bukti/35e95a3ef702.jpg</t>
  </si>
  <si>
    <t>https://files.armadanusantara.co.id/bukti/f1d370f658fe.jpeg</t>
  </si>
  <si>
    <t>https://files.armadanusantara.co.id/bukti/0c0d744ddc12.png</t>
  </si>
  <si>
    <t>https://files.armadanusantara.co.id/bukti/a6bcc72ab0ae.jpeg</t>
  </si>
  <si>
    <t>https://files.armadanusantara.co.id/bukti/89db8c579244.pdf</t>
  </si>
  <si>
    <t>https://files.armadanusantara.co.id/bukti/699351bce5cf.jpg</t>
  </si>
  <si>
    <t>https://files.armadanusantara.co.id/bukti/62e21e3b81f4.pdf</t>
  </si>
  <si>
    <t>https://files.armadanusantara.co.id/bukti/6d6d6973ab66.jpg</t>
  </si>
  <si>
    <t>https://files.armadanusantara.co.id/bukti/d5067518e48d.png</t>
  </si>
  <si>
    <t>https://files.armadanusantara.co.id/bukti/40c9f402245b.png</t>
  </si>
  <si>
    <t>https://files.armadanusantara.co.id/bukti/d37ddca57290.jpg</t>
  </si>
  <si>
    <t>https://files.armadanusantara.co.id/bukti/1a1c038c68fd.pdf</t>
  </si>
  <si>
    <t>https://files.armadanusantara.co.id/bukti/192ed5575079.jpg</t>
  </si>
  <si>
    <t>https://files.armadanusantara.co.id/bukti/6f8af974937c.png</t>
  </si>
  <si>
    <t>https://files.armadanusantara.co.id/bukti/6d23541b8e81.png</t>
  </si>
  <si>
    <t>https://files.armadanusantara.co.id/bukti/f3210fe49b8e.png</t>
  </si>
  <si>
    <t>https://files.armadanusantara.co.id/bukti/2c62f98455dc.jpeg</t>
  </si>
  <si>
    <t>https://files.armadanusantara.co.id/bukti/25dae0e82283.jpg</t>
  </si>
  <si>
    <t>https://files.armadanusantara.co.id/bukti/ae1800ac2f1f.jpeg</t>
  </si>
  <si>
    <t>https://files.armadanusantara.co.id/bukti/76fed5c20ed9.pdf</t>
  </si>
  <si>
    <t>https://files.armadanusantara.co.id/bukti/52bb085b7ded.jpg</t>
  </si>
  <si>
    <t>https://files.armadanusantara.co.id/bukti/e40f079363e5.jpg</t>
  </si>
  <si>
    <t>https://files.armadanusantara.co.id/bukti/737e2f26546b.jpg</t>
  </si>
  <si>
    <t>https://files.armadanusantara.co.id/bukti/04a7b1e3da40.jpeg</t>
  </si>
  <si>
    <t>https://files.armadanusantara.co.id/bukti/c0e0c8f9b268.jpg</t>
  </si>
  <si>
    <t>https://files.armadanusantara.co.id/bukti/93499e5548a7.jpg</t>
  </si>
  <si>
    <t>https://files.armadanusantara.co.id/bukti/f48cf41874aa.pdf</t>
  </si>
  <si>
    <t>https://files.armadanusantara.co.id/bukti/6592e88c102c.png</t>
  </si>
  <si>
    <t>https://files.armadanusantara.co.id/bukti/a203c680524e.png</t>
  </si>
  <si>
    <t>https://files.armadanusantara.co.id/bukti/5f473213e3ed.jpg</t>
  </si>
  <si>
    <t>https://files.armadanusantara.co.id/bukti/f499a604e9ad.png</t>
  </si>
  <si>
    <t>https://files.armadanusantara.co.id/bukti/2160addc5797.png</t>
  </si>
  <si>
    <t>94005@armadanusantara.co.id</t>
  </si>
  <si>
    <t>Bagus Oktavian</t>
  </si>
  <si>
    <t>https://files.armadanusantara.co.id/bukti/ea91fd1e5164.png</t>
  </si>
  <si>
    <t>https://files.armadanusantara.co.id/bukti/046c12f2955b.pdf</t>
  </si>
  <si>
    <t>https://files.armadanusantara.co.id/bukti/7cbaa8afa76e.jpg</t>
  </si>
  <si>
    <t>https://files.armadanusantara.co.id/bukti/85ef8cbfb65b.jpeg</t>
  </si>
  <si>
    <t>https://files.armadanusantara.co.id/bukti/73f108ee7976.jpeg</t>
  </si>
  <si>
    <t>https://files.armadanusantara.co.id/bukti/abdaad29d4cd.png</t>
  </si>
  <si>
    <t>https://files.armadanusantara.co.id/bukti/52550b3ce385.jpeg</t>
  </si>
  <si>
    <t>https://files.armadanusantara.co.id/bukti/bebd882057b1.jpg</t>
  </si>
  <si>
    <t>B1376PE</t>
  </si>
  <si>
    <t>https://files.armadanusantara.co.id/bukti/f3e6bdaabca6.png</t>
  </si>
  <si>
    <t>https://files.armadanusantara.co.id/bukti/ca32d6d3b8cb.pdf</t>
  </si>
  <si>
    <t>https://files.armadanusantara.co.id/bukti/2a0e31723140.png</t>
  </si>
  <si>
    <t>https://files.armadanusantara.co.id/bukti/ad06ad6126d8.jpeg</t>
  </si>
  <si>
    <t>https://files.armadanusantara.co.id/bukti/e6bb4c538eb8.pdf</t>
  </si>
  <si>
    <t>https://files.armadanusantara.co.id/bukti/0a963dd64f2e.jpg</t>
  </si>
  <si>
    <t>https://files.armadanusantara.co.id/bukti/889251d04d8a.jpeg</t>
  </si>
  <si>
    <t>https://files.armadanusantara.co.id/bukti/d6d408475a4a.pdf</t>
  </si>
  <si>
    <t>64461@armadanusantara.co.id</t>
  </si>
  <si>
    <t>Miftah Kurniawan</t>
  </si>
  <si>
    <t>https://files.armadanusantara.co.id/bukti/49cbb17e4eeb.pdf</t>
  </si>
  <si>
    <t>https://files.armadanusantara.co.id/bukti/d0b22211aae0.png</t>
  </si>
  <si>
    <t>https://files.armadanusantara.co.id/bukti/18f790097d75.png</t>
  </si>
  <si>
    <t>https://files.armadanusantara.co.id/bukti/199ebfd04dca.png</t>
  </si>
  <si>
    <t>https://files.armadanusantara.co.id/bukti/e49758b75ad9.jpg</t>
  </si>
  <si>
    <t>https://files.armadanusantara.co.id/bukti/a00ccd4f9874.jpg</t>
  </si>
  <si>
    <t>DM4592XT</t>
  </si>
  <si>
    <t>https://files.armadanusantara.co.id/bukti/e837dd6608c2.jpg</t>
  </si>
  <si>
    <t>https://files.armadanusantara.co.id/bukti/70403bb4627b.png</t>
  </si>
  <si>
    <t>https://files.armadanusantara.co.id/bukti/bda306db479a.pdf</t>
  </si>
  <si>
    <t>https://files.armadanusantara.co.id/bukti/d399ed781dda.png</t>
  </si>
  <si>
    <t>https://files.armadanusantara.co.id/bukti/2ebffca781af.pdf</t>
  </si>
  <si>
    <t>https://files.armadanusantara.co.id/bukti/157500156434.pdf</t>
  </si>
  <si>
    <t>B3551TYP</t>
  </si>
  <si>
    <t>https://files.armadanusantara.co.id/bukti/d24f2781e10b.png</t>
  </si>
  <si>
    <t>https://files.armadanusantara.co.id/bukti/118ce97cd086.pdf</t>
  </si>
  <si>
    <t>https://files.armadanusantara.co.id/bukti/f8ac6fb88d24.jpg</t>
  </si>
  <si>
    <t>https://files.armadanusantara.co.id/bukti/699ede64c276.pdf</t>
  </si>
  <si>
    <t>https://files.armadanusantara.co.id/bukti/20f444fe814c.pdf</t>
  </si>
  <si>
    <t>https://files.armadanusantara.co.id/bukti/74f284c49879.pdf</t>
  </si>
  <si>
    <t>https://files.armadanusantara.co.id/bukti/bcde0aeaf05b.jpeg</t>
  </si>
  <si>
    <t>https://files.armadanusantara.co.id/bukti/7234473987ee.jpg</t>
  </si>
  <si>
    <t>B5895NM</t>
  </si>
  <si>
    <t>https://files.armadanusantara.co.id/bukti/5586a5d67900.pdf</t>
  </si>
  <si>
    <t>https://files.armadanusantara.co.id/bukti/5807438adcbd.png</t>
  </si>
  <si>
    <t>https://files.armadanusantara.co.id/bukti/da310c70019e.jpg</t>
  </si>
  <si>
    <t>https://files.armadanusantara.co.id/bukti/33a59dd65bdf.jpeg</t>
  </si>
  <si>
    <t>https://files.armadanusantara.co.id/bukti/a10bace4020b.jpeg</t>
  </si>
  <si>
    <t>https://files.armadanusantara.co.id/bukti/923dee6c6235.jpg</t>
  </si>
  <si>
    <t>B9233IVK</t>
  </si>
  <si>
    <t>https://files.armadanusantara.co.id/bukti/cb683ffb0b8d.jpg</t>
  </si>
  <si>
    <t>https://files.armadanusantara.co.id/bukti/b902c28f26f3.jpeg</t>
  </si>
  <si>
    <t>https://files.armadanusantara.co.id/bukti/b2481f8737a6.png</t>
  </si>
  <si>
    <t>https://files.armadanusantara.co.id/bukti/1811244f1d3e.jpg</t>
  </si>
  <si>
    <t>59481@armadanusantara.co.id</t>
  </si>
  <si>
    <t>Bayu Anggara</t>
  </si>
  <si>
    <t>https://files.armadanusantara.co.id/bukti/93cefea852dc.jpg</t>
  </si>
  <si>
    <t>https://files.armadanusantara.co.id/bukti/24e91ea173f1.png</t>
  </si>
  <si>
    <t>https://files.armadanusantara.co.id/bukti/165e82cb756a.pdf</t>
  </si>
  <si>
    <t>https://files.armadanusantara.co.id/bukti/eb500d678ba5.jpeg</t>
  </si>
  <si>
    <t>https://files.armadanusantara.co.id/bukti/02ebc089e039.png</t>
  </si>
  <si>
    <t>https://files.armadanusantara.co.id/bukti/e8fe5019b2e7.png</t>
  </si>
  <si>
    <t>https://files.armadanusantara.co.id/bukti/d1bf0cbecd41.png</t>
  </si>
  <si>
    <t>https://files.armadanusantara.co.id/bukti/2c79a6f64d7f.jpeg</t>
  </si>
  <si>
    <t>https://files.armadanusantara.co.id/bukti/27e213c13f5a.jpg</t>
  </si>
  <si>
    <t>https://files.armadanusantara.co.id/bukti/13d2493c7e45.jpg</t>
  </si>
  <si>
    <t>https://files.armadanusantara.co.id/bukti/a0bfa5bf5e33.jpg</t>
  </si>
  <si>
    <t>https://files.armadanusantara.co.id/bukti/bd17a6cb60de.pdf</t>
  </si>
  <si>
    <t>https://files.armadanusantara.co.id/bukti/b2ab34bfe614.pdf</t>
  </si>
  <si>
    <t>https://files.armadanusantara.co.id/bukti/9724dda88037.jpeg</t>
  </si>
  <si>
    <t>https://files.armadanusantara.co.id/bukti/2033c9e54381.pdf</t>
  </si>
  <si>
    <t>https://files.armadanusantara.co.id/bukti/903be8668c28.pdf</t>
  </si>
  <si>
    <t>13629@armadanusantara.co.id</t>
  </si>
  <si>
    <t>Selvi Nugraha</t>
  </si>
  <si>
    <t>https://files.armadanusantara.co.id/bukti/2bc6d675d296.jpeg</t>
  </si>
  <si>
    <t>https://files.armadanusantara.co.id/bukti/b90f7b1a3a43.pdf</t>
  </si>
  <si>
    <t>33798@armadanusantara.co.id</t>
  </si>
  <si>
    <t>Lestari Oktavian</t>
  </si>
  <si>
    <t>https://files.armadanusantara.co.id/bukti/a401f404b646.png</t>
  </si>
  <si>
    <t>https://files.armadanusantara.co.id/bukti/01fb96832694.jpg</t>
  </si>
  <si>
    <t>https://files.armadanusantara.co.id/bukti/93b70b52fdcc.png</t>
  </si>
  <si>
    <t>https://files.armadanusantara.co.id/bukti/6974aba13d13.jpg</t>
  </si>
  <si>
    <t>https://files.armadanusantara.co.id/bukti/2e59dcdb31e4.png</t>
  </si>
  <si>
    <t>https://files.armadanusantara.co.id/bukti/0e786c80ed96.pdf</t>
  </si>
  <si>
    <t>56796@armadanusantara.co.id</t>
  </si>
  <si>
    <t>Aji Santoso</t>
  </si>
  <si>
    <t>https://files.armadanusantara.co.id/bukti/d97f5231585f.pdf</t>
  </si>
  <si>
    <t>https://files.armadanusantara.co.id/bukti/b56259355fee.jpeg</t>
  </si>
  <si>
    <t>https://files.armadanusantara.co.id/bukti/a58a674c188b.pdf</t>
  </si>
  <si>
    <t>https://files.armadanusantara.co.id/bukti/0fb84aa68153.png</t>
  </si>
  <si>
    <t>https://files.armadanusantara.co.id/bukti/cf1959d01954.pdf</t>
  </si>
  <si>
    <t>https://files.armadanusantara.co.id/bukti/737fc15efcbb.jpeg</t>
  </si>
  <si>
    <t>https://files.armadanusantara.co.id/bukti/5ecc1c049211.png</t>
  </si>
  <si>
    <t>https://files.armadanusantara.co.id/bukti/2c712e4f30e6.jpeg</t>
  </si>
  <si>
    <t>https://files.armadanusantara.co.id/bukti/c3915060197a.jpg</t>
  </si>
  <si>
    <t>https://files.armadanusantara.co.id/bukti/cab89c392c58.png</t>
  </si>
  <si>
    <t>https://files.armadanusantara.co.id/bukti/9304596321a1.pdf</t>
  </si>
  <si>
    <t>https://files.armadanusantara.co.id/bukti/32eb7e7829f1.png</t>
  </si>
  <si>
    <t>23232@armadanusantara.co.id</t>
  </si>
  <si>
    <t>Deni Tampubolon</t>
  </si>
  <si>
    <t>https://files.armadanusantara.co.id/bukti/2b6a1a66b4e7.jpeg</t>
  </si>
  <si>
    <t>https://files.armadanusantara.co.id/bukti/f545c52e71da.png</t>
  </si>
  <si>
    <t>https://files.armadanusantara.co.id/bukti/c566af22e6f5.pdf</t>
  </si>
  <si>
    <t>https://files.armadanusantara.co.id/bukti/00c5254a9f8f.jpg</t>
  </si>
  <si>
    <t>https://files.armadanusantara.co.id/bukti/c413e55e5197.jpeg</t>
  </si>
  <si>
    <t>https://files.armadanusantara.co.id/bukti/3c9fbf514fa5.pdf</t>
  </si>
  <si>
    <t>https://files.armadanusantara.co.id/bukti/61c4dade46cf.jpg</t>
  </si>
  <si>
    <t>https://files.armadanusantara.co.id/bukti/4036ab0a7d60.png</t>
  </si>
  <si>
    <t>https://files.armadanusantara.co.id/bukti/cd543c00a879.jpeg</t>
  </si>
  <si>
    <t>https://files.armadanusantara.co.id/bukti/e3872e825060.pdf</t>
  </si>
  <si>
    <t>https://files.armadanusantara.co.id/bukti/ba684e45074e.jpeg</t>
  </si>
  <si>
    <t>https://files.armadanusantara.co.id/bukti/56b3c4034097.png</t>
  </si>
  <si>
    <t>https://files.armadanusantara.co.id/bukti/7a5592d2d56b.pdf</t>
  </si>
  <si>
    <t>https://files.armadanusantara.co.id/bukti/42dc06e7c732.jpg</t>
  </si>
  <si>
    <t>https://files.armadanusantara.co.id/bukti/b56f4ff0cf0f.jpg</t>
  </si>
  <si>
    <t>https://files.armadanusantara.co.id/bukti/dc8c19ec6eb7.jpg</t>
  </si>
  <si>
    <t>https://files.armadanusantara.co.id/bukti/c9a5d60f3724.pdf</t>
  </si>
  <si>
    <t>https://files.armadanusantara.co.id/bukti/72cca1fe2c56.png</t>
  </si>
  <si>
    <t>https://files.armadanusantara.co.id/bukti/e6bd964d5971.png</t>
  </si>
  <si>
    <t>https://files.armadanusantara.co.id/bukti/b062d9386cb3.png</t>
  </si>
  <si>
    <t>https://files.armadanusantara.co.id/bukti/6e1dd9980430.jpg</t>
  </si>
  <si>
    <t>https://files.armadanusantara.co.id/bukti/3e9de8d5abb3.jpeg</t>
  </si>
  <si>
    <t>https://files.armadanusantara.co.id/bukti/3487992be94d.jpeg</t>
  </si>
  <si>
    <t>https://files.armadanusantara.co.id/bukti/66dca4faee15.png</t>
  </si>
  <si>
    <t>https://files.armadanusantara.co.id/bukti/068b9777e3b3.png</t>
  </si>
  <si>
    <t>https://files.armadanusantara.co.id/bukti/fff8f74f3c66.pdf</t>
  </si>
  <si>
    <t>https://files.armadanusantara.co.id/bukti/6455c0dbc949.jpg</t>
  </si>
  <si>
    <t>https://files.armadanusantara.co.id/bukti/44176779649c.jpg</t>
  </si>
  <si>
    <t>84931@armadanusantara.co.id</t>
  </si>
  <si>
    <t>Eka Nasution</t>
  </si>
  <si>
    <t>https://files.armadanusantara.co.id/bukti/5ef77b8d2da8.png</t>
  </si>
  <si>
    <t>https://files.armadanusantara.co.id/bukti/e89c4d443c47.jpeg</t>
  </si>
  <si>
    <t>https://files.armadanusantara.co.id/bukti/20181f81a1fa.jpg</t>
  </si>
  <si>
    <t>https://files.armadanusantara.co.id/bukti/99fc399f6ca3.pdf</t>
  </si>
  <si>
    <t>B1466XX</t>
  </si>
  <si>
    <t>https://files.armadanusantara.co.id/bukti/b4e5c93fe9cf.jpg</t>
  </si>
  <si>
    <t>https://files.armadanusantara.co.id/bukti/6360af968f40.pdf</t>
  </si>
  <si>
    <t>https://files.armadanusantara.co.id/bukti/80d7957b3ed2.png</t>
  </si>
  <si>
    <t>https://files.armadanusantara.co.id/bukti/3a037b1042e7.jpeg</t>
  </si>
  <si>
    <t>https://files.armadanusantara.co.id/bukti/8f3164dda811.pdf</t>
  </si>
  <si>
    <t>https://files.armadanusantara.co.id/bukti/ee871bfd874e.png</t>
  </si>
  <si>
    <t>https://files.armadanusantara.co.id/bukti/c24e9aafb289.pdf</t>
  </si>
  <si>
    <t>https://files.armadanusantara.co.id/bukti/d74ed164e9ff.pdf</t>
  </si>
  <si>
    <t>https://files.armadanusantara.co.id/bukti/6a7a2c625be9.jpeg</t>
  </si>
  <si>
    <t>https://files.armadanusantara.co.id/bukti/e938f633f869.png</t>
  </si>
  <si>
    <t>https://files.armadanusantara.co.id/bukti/80ef9ff5dfd8.pdf</t>
  </si>
  <si>
    <t>https://files.armadanusantara.co.id/bukti/03154eb01c5c.jpg</t>
  </si>
  <si>
    <t>https://files.armadanusantara.co.id/bukti/48f1507b8d5c.pdf</t>
  </si>
  <si>
    <t>https://files.armadanusantara.co.id/bukti/3f381eb3f3ef.pdf</t>
  </si>
  <si>
    <t>https://files.armadanusantara.co.id/bukti/e6508f37490c.jpeg</t>
  </si>
  <si>
    <t>https://files.armadanusantara.co.id/bukti/cf4e93c5fca3.pdf</t>
  </si>
  <si>
    <t>B5705IPL</t>
  </si>
  <si>
    <t>https://files.armadanusantara.co.id/bukti/05e1fd6fa301.pdf</t>
  </si>
  <si>
    <t>https://files.armadanusantara.co.id/bukti/37584fd86263.png</t>
  </si>
  <si>
    <t>https://files.armadanusantara.co.id/bukti/67ee7ec7b32a.jpeg</t>
  </si>
  <si>
    <t>https://files.armadanusantara.co.id/bukti/e890fe74c4f4.jpg</t>
  </si>
  <si>
    <t>45741@armadanusantara.co.id</t>
  </si>
  <si>
    <t>Anton Kurniawan</t>
  </si>
  <si>
    <t>https://files.armadanusantara.co.id/bukti/54f21c646eea.jpeg</t>
  </si>
  <si>
    <t>https://files.armadanusantara.co.id/bukti/c28f3ba6896a.jpeg</t>
  </si>
  <si>
    <t>https://files.armadanusantara.co.id/bukti/0e4f30ce72cb.jpeg</t>
  </si>
  <si>
    <t>https://files.armadanusantara.co.id/bukti/f881f21a04c2.jpeg</t>
  </si>
  <si>
    <t>https://files.armadanusantara.co.id/bukti/2daf91884041.jpg</t>
  </si>
  <si>
    <t>https://files.armadanusantara.co.id/bukti/9b141c413061.pdf</t>
  </si>
  <si>
    <t>https://files.armadanusantara.co.id/bukti/48e334f46c0d.jpg</t>
  </si>
  <si>
    <t>https://files.armadanusantara.co.id/bukti/ecd3a85f31bd.png</t>
  </si>
  <si>
    <t>https://files.armadanusantara.co.id/bukti/6817364f1871.pdf</t>
  </si>
  <si>
    <t>https://files.armadanusantara.co.id/bukti/f3a79f4df329.png</t>
  </si>
  <si>
    <t>https://files.armadanusantara.co.id/bukti/e8dd52ce6928.pdf</t>
  </si>
  <si>
    <t>https://files.armadanusantara.co.id/bukti/b82990611237.png</t>
  </si>
  <si>
    <t>https://files.armadanusantara.co.id/bukti/76f4233988cf.jpeg</t>
  </si>
  <si>
    <t>https://files.armadanusantara.co.id/bukti/3b0521613362.jpeg</t>
  </si>
  <si>
    <t>https://files.armadanusantara.co.id/bukti/3c6c9072c7c2.jpg</t>
  </si>
  <si>
    <t>https://files.armadanusantara.co.id/bukti/c8f4581186a0.png</t>
  </si>
  <si>
    <t>https://files.armadanusantara.co.id/bukti/e057b093eeab.pdf</t>
  </si>
  <si>
    <t>https://files.armadanusantara.co.id/bukti/04e6c66656f8.jpg</t>
  </si>
  <si>
    <t>B2556XDV</t>
  </si>
  <si>
    <t>https://files.armadanusantara.co.id/bukti/5692185accc0.jpeg</t>
  </si>
  <si>
    <t>https://files.armadanusantara.co.id/bukti/d0637204d2df.pdf</t>
  </si>
  <si>
    <t>17134@armadanusantara.co.id</t>
  </si>
  <si>
    <t>Firman Cahyono</t>
  </si>
  <si>
    <t>https://files.armadanusantara.co.id/bukti/779203a2102f.jpg</t>
  </si>
  <si>
    <t>https://files.armadanusantara.co.id/bukti/1f49b601220f.jpeg</t>
  </si>
  <si>
    <t>https://files.armadanusantara.co.id/bukti/a64ddd7271cf.png</t>
  </si>
  <si>
    <t>https://files.armadanusantara.co.id/bukti/588b0c7555a2.png</t>
  </si>
  <si>
    <t>https://files.armadanusantara.co.id/bukti/d29d3abdab6b.jpg</t>
  </si>
  <si>
    <t>https://files.armadanusantara.co.id/bukti/9f6d8a196289.jpeg</t>
  </si>
  <si>
    <t>https://files.armadanusantara.co.id/bukti/acf4395c89e1.jpg</t>
  </si>
  <si>
    <t>https://files.armadanusantara.co.id/bukti/e55d831a14a3.jpg</t>
  </si>
  <si>
    <t>https://files.armadanusantara.co.id/bukti/75773e253179.pdf</t>
  </si>
  <si>
    <t>https://files.armadanusantara.co.id/bukti/bbe28e1b08ae.jpg</t>
  </si>
  <si>
    <t>https://files.armadanusantara.co.id/bukti/29b6935ffbb1.jpeg</t>
  </si>
  <si>
    <t>https://files.armadanusantara.co.id/bukti/22e411eecc0d.png</t>
  </si>
  <si>
    <t>https://files.armadanusantara.co.id/bukti/71c17ceea025.pdf</t>
  </si>
  <si>
    <t>https://files.armadanusantara.co.id/bukti/860330727736.jpeg</t>
  </si>
  <si>
    <t>https://files.armadanusantara.co.id/bukti/05f80e3ca7b2.png</t>
  </si>
  <si>
    <t>https://files.armadanusantara.co.id/bukti/10b6b9dfdb16.pdf</t>
  </si>
  <si>
    <t>https://files.armadanusantara.co.id/bukti/6107767e2beb.png</t>
  </si>
  <si>
    <t>https://files.armadanusantara.co.id/bukti/64bec73e477c.jpg</t>
  </si>
  <si>
    <t>https://files.armadanusantara.co.id/bukti/8d24650bfc61.jpg</t>
  </si>
  <si>
    <t>https://files.armadanusantara.co.id/bukti/429d0a87aad0.png</t>
  </si>
  <si>
    <t>https://files.armadanusantara.co.id/bukti/c2e927c93092.png</t>
  </si>
  <si>
    <t>https://files.armadanusantara.co.id/bukti/6068cbef9041.png</t>
  </si>
  <si>
    <t>https://files.armadanusantara.co.id/bukti/613d61d5ab8b.pdf</t>
  </si>
  <si>
    <t>https://files.armadanusantara.co.id/bukti/77d5ecfd5806.jpg</t>
  </si>
  <si>
    <t>https://files.armadanusantara.co.id/bukti/bc94ac3a34e7.jpg</t>
  </si>
  <si>
    <t>https://files.armadanusantara.co.id/bukti/b78c715f78ce.jpg</t>
  </si>
  <si>
    <t>https://files.armadanusantara.co.id/bukti/4cde84b4ccec.jpeg</t>
  </si>
  <si>
    <t>https://files.armadanusantara.co.id/bukti/4ce23bbd09e9.pdf</t>
  </si>
  <si>
    <t>https://files.armadanusantara.co.id/bukti/4923b8bccb79.jpg</t>
  </si>
  <si>
    <t>https://files.armadanusantara.co.id/bukti/adbc1206c08b.pdf</t>
  </si>
  <si>
    <t>https://files.armadanusantara.co.id/bukti/34803e3353d8.jpeg</t>
  </si>
  <si>
    <t>https://files.armadanusantara.co.id/bukti/6bb8f687c859.pdf</t>
  </si>
  <si>
    <t>https://files.armadanusantara.co.id/bukti/efe15e9dc5bf.png</t>
  </si>
  <si>
    <t>https://files.armadanusantara.co.id/bukti/b4e4e71257c0.jpeg</t>
  </si>
  <si>
    <t>https://files.armadanusantara.co.id/bukti/3c326af72bdb.jpeg</t>
  </si>
  <si>
    <t>https://files.armadanusantara.co.id/bukti/831eac309b51.jpeg</t>
  </si>
  <si>
    <t>https://files.armadanusantara.co.id/bukti/aac350886db8.jpeg</t>
  </si>
  <si>
    <t>https://files.armadanusantara.co.id/bukti/e03d788d22c6.pdf</t>
  </si>
  <si>
    <t>https://files.armadanusantara.co.id/bukti/396d9dc3fdef.png</t>
  </si>
  <si>
    <t>https://files.armadanusantara.co.id/bukti/efc0adb5063d.jpeg</t>
  </si>
  <si>
    <t>https://files.armadanusantara.co.id/bukti/584b4200f9b8.jpg</t>
  </si>
  <si>
    <t>https://files.armadanusantara.co.id/bukti/8479e453ac9f.pdf</t>
  </si>
  <si>
    <t>https://files.armadanusantara.co.id/bukti/b5b15b938375.jpeg</t>
  </si>
  <si>
    <t>https://files.armadanusantara.co.id/bukti/f5c7ea94374f.jpg</t>
  </si>
  <si>
    <t>https://files.armadanusantara.co.id/bukti/d0953dd0a418.jpg</t>
  </si>
  <si>
    <t>https://files.armadanusantara.co.id/bukti/ce0263295440.jpg</t>
  </si>
  <si>
    <t>https://files.armadanusantara.co.id/bukti/a95a15c77cd3.jpg</t>
  </si>
  <si>
    <t>https://files.armadanusantara.co.id/bukti/a495a78626a6.jpeg</t>
  </si>
  <si>
    <t>https://files.armadanusantara.co.id/bukti/6ec6bae1fb26.jpeg</t>
  </si>
  <si>
    <t>https://files.armadanusantara.co.id/bukti/646a0be49f67.jpg</t>
  </si>
  <si>
    <t>https://files.armadanusantara.co.id/bukti/902a36f8ee38.jpeg</t>
  </si>
  <si>
    <t>https://files.armadanusantara.co.id/bukti/cf9ab3ae0af1.png</t>
  </si>
  <si>
    <t>https://files.armadanusantara.co.id/bukti/fd2f70db0a61.pdf</t>
  </si>
  <si>
    <t>https://files.armadanusantara.co.id/bukti/a8ee1b9eb618.png</t>
  </si>
  <si>
    <t>https://files.armadanusantara.co.id/bukti/f451c6aeb434.jpeg</t>
  </si>
  <si>
    <t>https://files.armadanusantara.co.id/bukti/3bb6fb26803d.jpg</t>
  </si>
  <si>
    <t>https://files.armadanusantara.co.id/bukti/84f47e22f34e.jpeg</t>
  </si>
  <si>
    <t>https://files.armadanusantara.co.id/bukti/b6bb123bf9e4.jpg</t>
  </si>
  <si>
    <t>https://files.armadanusantara.co.id/bukti/fbd9b4847b64.pdf</t>
  </si>
  <si>
    <t>https://files.armadanusantara.co.id/bukti/e232f789441f.png</t>
  </si>
  <si>
    <t>https://files.armadanusantara.co.id/bukti/82d9019cb585.jpg</t>
  </si>
  <si>
    <t>https://files.armadanusantara.co.id/bukti/24eb9a734e77.jpeg</t>
  </si>
  <si>
    <t>https://files.armadanusantara.co.id/bukti/3be4b29b4938.jpeg</t>
  </si>
  <si>
    <t>https://files.armadanusantara.co.id/bukti/9167028a8b15.pdf</t>
  </si>
  <si>
    <t>https://files.armadanusantara.co.id/bukti/044b260c3cab.png</t>
  </si>
  <si>
    <t>https://files.armadanusantara.co.id/bukti/622500eb79d9.png</t>
  </si>
  <si>
    <t>https://files.armadanusantara.co.id/bukti/1b67cab022af.pdf</t>
  </si>
  <si>
    <t>https://files.armadanusantara.co.id/bukti/38a91aa53f48.pdf</t>
  </si>
  <si>
    <t>https://files.armadanusantara.co.id/bukti/4c530b9046d0.jpg</t>
  </si>
  <si>
    <t>https://files.armadanusantara.co.id/bukti/7d2413357f50.png</t>
  </si>
  <si>
    <t>https://files.armadanusantara.co.id/bukti/389c9bd37b02.png</t>
  </si>
  <si>
    <t>https://files.armadanusantara.co.id/bukti/9783eb49e953.pdf</t>
  </si>
  <si>
    <t>https://files.armadanusantara.co.id/bukti/1b19bf721d12.jpeg</t>
  </si>
  <si>
    <t>https://files.armadanusantara.co.id/bukti/57f2f780bbb2.pdf</t>
  </si>
  <si>
    <t>https://files.armadanusantara.co.id/bukti/8f06436d022b.jpeg</t>
  </si>
  <si>
    <t>https://files.armadanusantara.co.id/bukti/d6b3cc2a0ebf.png</t>
  </si>
  <si>
    <t>https://files.armadanusantara.co.id/bukti/6624dc4eaf28.jpg</t>
  </si>
  <si>
    <t>https://files.armadanusantara.co.id/bukti/fe6308dc1696.pdf</t>
  </si>
  <si>
    <t>https://files.armadanusantara.co.id/bukti/04ee39287c17.jpeg</t>
  </si>
  <si>
    <t>https://files.armadanusantara.co.id/bukti/4b0558cb21a9.jpeg</t>
  </si>
  <si>
    <t>https://files.armadanusantara.co.id/bukti/3abfebe06d8f.jpeg</t>
  </si>
  <si>
    <t>https://files.armadanusantara.co.id/bukti/96aad666bbf7.png</t>
  </si>
  <si>
    <t>https://files.armadanusantara.co.id/bukti/783a496fe82d.jpeg</t>
  </si>
  <si>
    <t>https://files.armadanusantara.co.id/bukti/3c500a50a0df.jpeg</t>
  </si>
  <si>
    <t>39045@armadanusantara.co.id</t>
  </si>
  <si>
    <t>Intan Susanto</t>
  </si>
  <si>
    <t>https://files.armadanusantara.co.id/bukti/3f7a5f2bec2c.pdf</t>
  </si>
  <si>
    <t>https://files.armadanusantara.co.id/bukti/b3d4009e361e.png</t>
  </si>
  <si>
    <t>https://files.armadanusantara.co.id/bukti/9cf55348e9d1.png</t>
  </si>
  <si>
    <t>https://files.armadanusantara.co.id/bukti/d55836c61411.pdf</t>
  </si>
  <si>
    <t>https://files.armadanusantara.co.id/bukti/1eb516c69166.pdf</t>
  </si>
  <si>
    <t>https://files.armadanusantara.co.id/bukti/e2d6adfc48fa.jpeg</t>
  </si>
  <si>
    <t>https://files.armadanusantara.co.id/bukti/1e4bf33ac17e.pdf</t>
  </si>
  <si>
    <t>https://files.armadanusantara.co.id/bukti/a6405ea351fe.pdf</t>
  </si>
  <si>
    <t>https://files.armadanusantara.co.id/bukti/c80315afa90c.png</t>
  </si>
  <si>
    <t>https://files.armadanusantara.co.id/bukti/def57470cb3e.png</t>
  </si>
  <si>
    <t>https://files.armadanusantara.co.id/bukti/436d8eaf301d.png</t>
  </si>
  <si>
    <t>https://files.armadanusantara.co.id/bukti/421033a5d791.png</t>
  </si>
  <si>
    <t>https://files.armadanusantara.co.id/bukti/caddb33e27e4.pdf</t>
  </si>
  <si>
    <t>https://files.armadanusantara.co.id/bukti/f74ba8218e78.jpeg</t>
  </si>
  <si>
    <t>https://files.armadanusantara.co.id/bukti/6f30056a49be.png</t>
  </si>
  <si>
    <t>https://files.armadanusantara.co.id/bukti/886551751304.png</t>
  </si>
  <si>
    <t>https://files.armadanusantara.co.id/bukti/15764efcfab8.jpg</t>
  </si>
  <si>
    <t>https://files.armadanusantara.co.id/bukti/1d60cc6e776b.pdf</t>
  </si>
  <si>
    <t>https://files.armadanusantara.co.id/bukti/fd3f2fba9bc1.jpg</t>
  </si>
  <si>
    <t>https://files.armadanusantara.co.id/bukti/53eeba4e7b76.jpg</t>
  </si>
  <si>
    <t>https://files.armadanusantara.co.id/bukti/cad457c482a8.pdf</t>
  </si>
  <si>
    <t>https://files.armadanusantara.co.id/bukti/0f0650928642.png</t>
  </si>
  <si>
    <t>https://files.armadanusantara.co.id/bukti/4d634b7fc750.jpg</t>
  </si>
  <si>
    <t>https://files.armadanusantara.co.id/bukti/a93562330f2c.jpg</t>
  </si>
  <si>
    <t>https://files.armadanusantara.co.id/bukti/fb92d3c01be1.pdf</t>
  </si>
  <si>
    <t>https://files.armadanusantara.co.id/bukti/08c514849b4f.pdf</t>
  </si>
  <si>
    <t>https://files.armadanusantara.co.id/bukti/36a32de30fc0.png</t>
  </si>
  <si>
    <t>https://files.armadanusantara.co.id/bukti/7b515c6a9c07.jpg</t>
  </si>
  <si>
    <t>https://files.armadanusantara.co.id/bukti/fdeb712b36d2.png</t>
  </si>
  <si>
    <t>https://files.armadanusantara.co.id/bukti/c73606f28cd5.pdf</t>
  </si>
  <si>
    <t>https://files.armadanusantara.co.id/bukti/fa04544d9846.jpeg</t>
  </si>
  <si>
    <t>https://files.armadanusantara.co.id/bukti/6774ce6166cd.jpg</t>
  </si>
  <si>
    <t>https://files.armadanusantara.co.id/bukti/13df463ba437.jpg</t>
  </si>
  <si>
    <t>https://files.armadanusantara.co.id/bukti/46219a182f69.jpeg</t>
  </si>
  <si>
    <t>https://files.armadanusantara.co.id/bukti/31a66382a8fa.png</t>
  </si>
  <si>
    <t>https://files.armadanusantara.co.id/bukti/00c9a0f98814.pdf</t>
  </si>
  <si>
    <t>https://files.armadanusantara.co.id/bukti/cea5f6a1c3dc.jpeg</t>
  </si>
  <si>
    <t>https://files.armadanusantara.co.id/bukti/053dc3eacc6d.png</t>
  </si>
  <si>
    <t>https://files.armadanusantara.co.id/bukti/7b820da43d57.jpg</t>
  </si>
  <si>
    <t>https://files.armadanusantara.co.id/bukti/704cde5389eb.png</t>
  </si>
  <si>
    <t>https://files.armadanusantara.co.id/bukti/89d40a1d0a06.jpg</t>
  </si>
  <si>
    <t>https://files.armadanusantara.co.id/bukti/0115f2c7055b.jpeg</t>
  </si>
  <si>
    <t>https://files.armadanusantara.co.id/bukti/e5dbcf033e4a.jpeg</t>
  </si>
  <si>
    <t>https://files.armadanusantara.co.id/bukti/f12198a54bf6.jpeg</t>
  </si>
  <si>
    <t>https://files.armadanusantara.co.id/bukti/fdfc27949bdc.png</t>
  </si>
  <si>
    <t>https://files.armadanusantara.co.id/bukti/741d7b6a593c.png</t>
  </si>
  <si>
    <t>https://files.armadanusantara.co.id/bukti/714623eb41c4.pdf</t>
  </si>
  <si>
    <t>https://files.armadanusantara.co.id/bukti/341e4b7f3c2a.jpg</t>
  </si>
  <si>
    <t>https://files.armadanusantara.co.id/bukti/8409378e2f05.png</t>
  </si>
  <si>
    <t>https://files.armadanusantara.co.id/bukti/b699e888b53e.jpg</t>
  </si>
  <si>
    <t>https://files.armadanusantara.co.id/bukti/7d016bc624a1.png</t>
  </si>
  <si>
    <t>https://files.armadanusantara.co.id/bukti/945d1dbf0dd1.jpg</t>
  </si>
  <si>
    <t>https://files.armadanusantara.co.id/bukti/faa1a750687d.jpeg</t>
  </si>
  <si>
    <t>https://files.armadanusantara.co.id/bukti/4b62ef28d405.jpg</t>
  </si>
  <si>
    <t>https://files.armadanusantara.co.id/bukti/122492a28889.jpeg</t>
  </si>
  <si>
    <t>https://files.armadanusantara.co.id/bukti/7954e2c17313.pdf</t>
  </si>
  <si>
    <t>https://files.armadanusantara.co.id/bukti/f8bebab7c021.png</t>
  </si>
  <si>
    <t>https://files.armadanusantara.co.id/bukti/8e332cf68c3c.pdf</t>
  </si>
  <si>
    <t>https://files.armadanusantara.co.id/bukti/df2a9f441e2f.jpeg</t>
  </si>
  <si>
    <t>https://files.armadanusantara.co.id/bukti/6024b22b3806.png</t>
  </si>
  <si>
    <t>https://files.armadanusantara.co.id/bukti/ce84b1fbc130.png</t>
  </si>
  <si>
    <t>https://files.armadanusantara.co.id/bukti/0b33b09bc7a9.jpg</t>
  </si>
  <si>
    <t>https://files.armadanusantara.co.id/bukti/808d4d895bc6.jpeg</t>
  </si>
  <si>
    <t>https://files.armadanusantara.co.id/bukti/8abaf3f84712.jpg</t>
  </si>
  <si>
    <t>https://files.armadanusantara.co.id/bukti/e498173e0c70.jpg</t>
  </si>
  <si>
    <t>https://files.armadanusantara.co.id/bukti/9070d93c2a37.jpeg</t>
  </si>
  <si>
    <t>67423@armadanusantara.co.id</t>
  </si>
  <si>
    <t>Tari Wibowo</t>
  </si>
  <si>
    <t>H2369DDQ</t>
  </si>
  <si>
    <t>https://files.armadanusantara.co.id/bukti/04a32702852b.png</t>
  </si>
  <si>
    <t>https://files.armadanusantara.co.id/bukti/e55c1caa4c0f.jpeg</t>
  </si>
  <si>
    <t>https://files.armadanusantara.co.id/bukti/c662b076ca9d.png</t>
  </si>
  <si>
    <t>https://files.armadanusantara.co.id/bukti/121e41fd5940.png</t>
  </si>
  <si>
    <t>https://files.armadanusantara.co.id/bukti/9d46b2963048.png</t>
  </si>
  <si>
    <t>https://files.armadanusantara.co.id/bukti/036e4733e792.jpg</t>
  </si>
  <si>
    <t>https://files.armadanusantara.co.id/bukti/94c02be99b43.pdf</t>
  </si>
  <si>
    <t>https://files.armadanusantara.co.id/bukti/01acebfd2eba.pdf</t>
  </si>
  <si>
    <t>https://files.armadanusantara.co.id/bukti/da67be5a2751.png</t>
  </si>
  <si>
    <t>https://files.armadanusantara.co.id/bukti/0c8b023ee77c.jpeg</t>
  </si>
  <si>
    <t>https://files.armadanusantara.co.id/bukti/3bbb57307348.png</t>
  </si>
  <si>
    <t>https://files.armadanusantara.co.id/bukti/63de068963ee.jpeg</t>
  </si>
  <si>
    <t>https://files.armadanusantara.co.id/bukti/1b6364327cf8.jpeg</t>
  </si>
  <si>
    <t>https://files.armadanusantara.co.id/bukti/95a639c8de3f.jpg</t>
  </si>
  <si>
    <t>https://files.armadanusantara.co.id/bukti/bf2c6fadf636.png</t>
  </si>
  <si>
    <t>https://files.armadanusantara.co.id/bukti/ff12e7c61e21.jpg</t>
  </si>
  <si>
    <t>https://files.armadanusantara.co.id/bukti/a6a87a2b87b2.png</t>
  </si>
  <si>
    <t>https://files.armadanusantara.co.id/bukti/562ce8928f33.png</t>
  </si>
  <si>
    <t>https://files.armadanusantara.co.id/bukti/6fb56ef7f3e6.jpeg</t>
  </si>
  <si>
    <t>https://files.armadanusantara.co.id/bukti/a9dc87f1c2c0.pdf</t>
  </si>
  <si>
    <t>https://files.armadanusantara.co.id/bukti/b321cc1d863e.jpeg</t>
  </si>
  <si>
    <t>https://files.armadanusantara.co.id/bukti/5f831e39cc3b.png</t>
  </si>
  <si>
    <t>https://files.armadanusantara.co.id/bukti/a0176e6d6d1f.jpg</t>
  </si>
  <si>
    <t>https://files.armadanusantara.co.id/bukti/57fca14a1bec.jpeg</t>
  </si>
  <si>
    <t>https://files.armadanusantara.co.id/bukti/61c3f98bcadf.png</t>
  </si>
  <si>
    <t>https://files.armadanusantara.co.id/bukti/1750a758547f.pdf</t>
  </si>
  <si>
    <t>https://files.armadanusantara.co.id/bukti/caf53ff85975.png</t>
  </si>
  <si>
    <t>https://files.armadanusantara.co.id/bukti/d7d1e2a3df48.jpg</t>
  </si>
  <si>
    <t>https://files.armadanusantara.co.id/bukti/aa0ac9ce6ac1.jpeg</t>
  </si>
  <si>
    <t>https://files.armadanusantara.co.id/bukti/34bdda265726.png</t>
  </si>
  <si>
    <t>https://files.armadanusantara.co.id/bukti/a02e247d18fe.jpg</t>
  </si>
  <si>
    <t>https://files.armadanusantara.co.id/bukti/b49a3ae40e60.jpeg</t>
  </si>
  <si>
    <t>https://files.armadanusantara.co.id/bukti/e0eeebc15582.jpg</t>
  </si>
  <si>
    <t>https://files.armadanusantara.co.id/bukti/cdef0c551d0f.jpeg</t>
  </si>
  <si>
    <t>https://files.armadanusantara.co.id/bukti/cf1be08f3fff.png</t>
  </si>
  <si>
    <t>https://files.armadanusantara.co.id/bukti/a0c3885684c2.jpeg</t>
  </si>
  <si>
    <t>https://files.armadanusantara.co.id/bukti/bd46f55b69ca.jpeg</t>
  </si>
  <si>
    <t>https://files.armadanusantara.co.id/bukti/d7a2853ed260.png</t>
  </si>
  <si>
    <t>https://files.armadanusantara.co.id/bukti/5d1c1d344fdd.pdf</t>
  </si>
  <si>
    <t>https://files.armadanusantara.co.id/bukti/f627f9e703ef.pdf</t>
  </si>
  <si>
    <t>30303@armadanusantara.co.id</t>
  </si>
  <si>
    <t>Andi Sihombing</t>
  </si>
  <si>
    <t>https://files.armadanusantara.co.id/bukti/e75f755459c1.pdf</t>
  </si>
  <si>
    <t>https://files.armadanusantara.co.id/bukti/c7d2a1273edd.jpg</t>
  </si>
  <si>
    <t>https://files.armadanusantara.co.id/bukti/8378a6c5581e.jpg</t>
  </si>
  <si>
    <t>https://files.armadanusantara.co.id/bukti/d9ef1b04daa8.jpg</t>
  </si>
  <si>
    <t>https://files.armadanusantara.co.id/bukti/29adedefcb9f.pdf</t>
  </si>
  <si>
    <t>https://files.armadanusantara.co.id/bukti/b3962cdea688.jpg</t>
  </si>
  <si>
    <t>https://files.armadanusantara.co.id/bukti/812718fdef96.jpg</t>
  </si>
  <si>
    <t>https://files.armadanusantara.co.id/bukti/3e05644a2b62.jpeg</t>
  </si>
  <si>
    <t>https://files.armadanusantara.co.id/bukti/4818081be8ad.pdf</t>
  </si>
  <si>
    <t>https://files.armadanusantara.co.id/bukti/30c3d0c873a0.png</t>
  </si>
  <si>
    <t>https://files.armadanusantara.co.id/bukti/e32a09fdf6c4.jpg</t>
  </si>
  <si>
    <t>https://files.armadanusantara.co.id/bukti/b6151256d682.pdf</t>
  </si>
  <si>
    <t>https://files.armadanusantara.co.id/bukti/2b67d33e9a98.png</t>
  </si>
  <si>
    <t>https://files.armadanusantara.co.id/bukti/d933721f7951.png</t>
  </si>
  <si>
    <t>https://files.armadanusantara.co.id/bukti/371a3f553a70.jpeg</t>
  </si>
  <si>
    <t>https://files.armadanusantara.co.id/bukti/3bf982b7b008.jpg</t>
  </si>
  <si>
    <t>https://files.armadanusantara.co.id/bukti/e208bd0c7c9a.pdf</t>
  </si>
  <si>
    <t>https://files.armadanusantara.co.id/bukti/b3d7edf9a095.jpeg</t>
  </si>
  <si>
    <t>https://files.armadanusantara.co.id/bukti/2d520bc305c4.jpeg</t>
  </si>
  <si>
    <t>https://files.armadanusantara.co.id/bukti/180b5c77dabd.jpg</t>
  </si>
  <si>
    <t>https://files.armadanusantara.co.id/bukti/d4b9c5d9577a.jpeg</t>
  </si>
  <si>
    <t>https://files.armadanusantara.co.id/bukti/b07040f951b2.jpeg</t>
  </si>
  <si>
    <t>https://files.armadanusantara.co.id/bukti/9caa15d3d536.jpeg</t>
  </si>
  <si>
    <t>https://files.armadanusantara.co.id/bukti/1995f7c2c150.jpeg</t>
  </si>
  <si>
    <t>https://files.armadanusantara.co.id/bukti/6ffdb69050a8.png</t>
  </si>
  <si>
    <t>https://files.armadanusantara.co.id/bukti/8d74be7b695a.png</t>
  </si>
  <si>
    <t>https://files.armadanusantara.co.id/bukti/21bfe2ebd43a.png</t>
  </si>
  <si>
    <t>https://files.armadanusantara.co.id/bukti/a34c69d63869.pdf</t>
  </si>
  <si>
    <t>https://files.armadanusantara.co.id/bukti/ea3dc9da9c59.jpg</t>
  </si>
  <si>
    <t>https://files.armadanusantara.co.id/bukti/5ddb0e297d5f.pdf</t>
  </si>
  <si>
    <t>52241@armadanusantara.co.id</t>
  </si>
  <si>
    <t>Reza Firmansyah</t>
  </si>
  <si>
    <t>https://files.armadanusantara.co.id/bukti/b354a21a49fe.png</t>
  </si>
  <si>
    <t>https://files.armadanusantara.co.id/bukti/fd295980136e.jpg</t>
  </si>
  <si>
    <t>https://files.armadanusantara.co.id/bukti/3b3bd175b5d2.jpg</t>
  </si>
  <si>
    <t>https://files.armadanusantara.co.id/bukti/2925040438ad.jpg</t>
  </si>
  <si>
    <t>https://files.armadanusantara.co.id/bukti/e7d236920e14.jpeg</t>
  </si>
  <si>
    <t>https://files.armadanusantara.co.id/bukti/7e2cec194942.pdf</t>
  </si>
  <si>
    <t>https://files.armadanusantara.co.id/bukti/9aedb8094ca1.jpg</t>
  </si>
  <si>
    <t>https://files.armadanusantara.co.id/bukti/bfb5967c83ae.png</t>
  </si>
  <si>
    <t>https://files.armadanusantara.co.id/bukti/b30d23d9dd68.png</t>
  </si>
  <si>
    <t>https://files.armadanusantara.co.id/bukti/6913ba626505.png</t>
  </si>
  <si>
    <t>https://files.armadanusantara.co.id/bukti/449191e73ae2.jpg</t>
  </si>
  <si>
    <t>https://files.armadanusantara.co.id/bukti/931b4703ead6.png</t>
  </si>
  <si>
    <t>https://files.armadanusantara.co.id/bukti/c24d009fdc2e.jpg</t>
  </si>
  <si>
    <t>https://files.armadanusantara.co.id/bukti/c63bfed750b7.jpeg</t>
  </si>
  <si>
    <t>https://files.armadanusantara.co.id/bukti/8e5c2bb4d796.jpeg</t>
  </si>
  <si>
    <t>https://files.armadanusantara.co.id/bukti/b38ab87e76ea.jpg</t>
  </si>
  <si>
    <t>https://files.armadanusantara.co.id/bukti/c566eb18fcd1.jpg</t>
  </si>
  <si>
    <t>https://files.armadanusantara.co.id/bukti/ce264ae60b46.pdf</t>
  </si>
  <si>
    <t>https://files.armadanusantara.co.id/bukti/bc609c82dc28.jpg</t>
  </si>
  <si>
    <t>https://files.armadanusantara.co.id/bukti/7b338c0289d1.png</t>
  </si>
  <si>
    <t>https://files.armadanusantara.co.id/bukti/50cb0c5b44fe.png</t>
  </si>
  <si>
    <t>https://files.armadanusantara.co.id/bukti/8b6a75ebfc26.pdf</t>
  </si>
  <si>
    <t>https://files.armadanusantara.co.id/bukti/4a46f7f8f31d.jpg</t>
  </si>
  <si>
    <t>https://files.armadanusantara.co.id/bukti/dcc2638f8bbe.pdf</t>
  </si>
  <si>
    <t>https://files.armadanusantara.co.id/bukti/912068ff4f1a.pdf</t>
  </si>
  <si>
    <t>https://files.armadanusantara.co.id/bukti/e0b0c1734b45.jpeg</t>
  </si>
  <si>
    <t>https://files.armadanusantara.co.id/bukti/9a62e72bdcdb.pdf</t>
  </si>
  <si>
    <t>https://files.armadanusantara.co.id/bukti/cdf348e0f84e.pdf</t>
  </si>
  <si>
    <t>https://files.armadanusantara.co.id/bukti/c8984f2a8828.jpeg</t>
  </si>
  <si>
    <t>https://files.armadanusantara.co.id/bukti/151c96981c8d.png</t>
  </si>
  <si>
    <t>https://files.armadanusantara.co.id/bukti/884c960250bd.pdf</t>
  </si>
  <si>
    <t>https://files.armadanusantara.co.id/bukti/10c3fdb15381.png</t>
  </si>
  <si>
    <t>https://files.armadanusantara.co.id/bukti/1ef6e7ea984f.jpeg</t>
  </si>
  <si>
    <t>https://files.armadanusantara.co.id/bukti/085286575ff3.png</t>
  </si>
  <si>
    <t>https://files.armadanusantara.co.id/bukti/618db59b973d.pdf</t>
  </si>
  <si>
    <t>https://files.armadanusantara.co.id/bukti/d16bb31f673a.pdf</t>
  </si>
  <si>
    <t>https://files.armadanusantara.co.id/bukti/1051ff56e96e.pdf</t>
  </si>
  <si>
    <t>https://files.armadanusantara.co.id/bukti/56bc87bf2edd.jpeg</t>
  </si>
  <si>
    <t>https://files.armadanusantara.co.id/bukti/f4dc821d55cd.jpg</t>
  </si>
  <si>
    <t>https://files.armadanusantara.co.id/bukti/78c84957abe6.pdf</t>
  </si>
  <si>
    <t>https://files.armadanusantara.co.id/bukti/ee73c9a743b2.jpeg</t>
  </si>
  <si>
    <t>https://files.armadanusantara.co.id/bukti/fb92bf546b9e.png</t>
  </si>
  <si>
    <t>B4166CNA</t>
  </si>
  <si>
    <t>https://files.armadanusantara.co.id/bukti/457317da6bb4.jpeg</t>
  </si>
  <si>
    <t>https://files.armadanusantara.co.id/bukti/02da1f8bec3c.pdf</t>
  </si>
  <si>
    <t>https://files.armadanusantara.co.id/bukti/51041ee4dac1.png</t>
  </si>
  <si>
    <t>https://files.armadanusantara.co.id/bukti/9adade041dec.pdf</t>
  </si>
  <si>
    <t>https://files.armadanusantara.co.id/bukti/2567c1806cb7.jpg</t>
  </si>
  <si>
    <t>https://files.armadanusantara.co.id/bukti/e9d8960bb13b.pdf</t>
  </si>
  <si>
    <t>63793@armadanusantara.co.id</t>
  </si>
  <si>
    <t>Farid Ramadhan</t>
  </si>
  <si>
    <t>https://files.armadanusantara.co.id/bukti/39e33b6b366a.pdf</t>
  </si>
  <si>
    <t>https://files.armadanusantara.co.id/bukti/df6e4552a377.jpg</t>
  </si>
  <si>
    <t>B1833GF</t>
  </si>
  <si>
    <t>https://files.armadanusantara.co.id/bukti/bb0c4edbd27b.jpeg</t>
  </si>
  <si>
    <t>https://files.armadanusantara.co.id/bukti/5f56ed7755d2.png</t>
  </si>
  <si>
    <t>https://files.armadanusantara.co.id/bukti/faee77577792.pdf</t>
  </si>
  <si>
    <t>https://files.armadanusantara.co.id/bukti/f852ba5fcea6.jpg</t>
  </si>
  <si>
    <t>https://files.armadanusantara.co.id/bukti/7c91315d98b7.pdf</t>
  </si>
  <si>
    <t>https://files.armadanusantara.co.id/bukti/d659d081d195.jpg</t>
  </si>
  <si>
    <t>https://files.armadanusantara.co.id/bukti/fdba59b8ff94.jpg</t>
  </si>
  <si>
    <t>https://files.armadanusantara.co.id/bukti/596e5b222a35.jpg</t>
  </si>
  <si>
    <t>https://files.armadanusantara.co.id/bukti/0a278532403d.png</t>
  </si>
  <si>
    <t>https://files.armadanusantara.co.id/bukti/9e0ad1e32e10.pdf</t>
  </si>
  <si>
    <t>31512@armadanusantara.co.id</t>
  </si>
  <si>
    <t>Ayu Iskandar</t>
  </si>
  <si>
    <t>https://files.armadanusantara.co.id/bukti/d6bb77f9a632.jpeg</t>
  </si>
  <si>
    <t>https://files.armadanusantara.co.id/bukti/bc495f594ed7.jpg</t>
  </si>
  <si>
    <t>https://files.armadanusantara.co.id/bukti/c07570dfa3d7.pdf</t>
  </si>
  <si>
    <t>https://files.armadanusantara.co.id/bukti/71590b156768.png</t>
  </si>
  <si>
    <t>https://files.armadanusantara.co.id/bukti/0dcf14c540c0.jpeg</t>
  </si>
  <si>
    <t>https://files.armadanusantara.co.id/bukti/62aaa6e457f4.jpg</t>
  </si>
  <si>
    <t>https://files.armadanusantara.co.id/bukti/a63ef6b1a95d.pdf</t>
  </si>
  <si>
    <t>https://files.armadanusantara.co.id/bukti/0346d35351b0.pdf</t>
  </si>
  <si>
    <t>https://files.armadanusantara.co.id/bukti/1502d6736107.jpeg</t>
  </si>
  <si>
    <t>https://files.armadanusantara.co.id/bukti/a8fdfa84556f.pdf</t>
  </si>
  <si>
    <t>https://files.armadanusantara.co.id/bukti/3283d0dfeb73.pdf</t>
  </si>
  <si>
    <t>https://files.armadanusantara.co.id/bukti/36133bdc7c77.pdf</t>
  </si>
  <si>
    <t>https://files.armadanusantara.co.id/bukti/24a83e8e2321.pdf</t>
  </si>
  <si>
    <t>https://files.armadanusantara.co.id/bukti/d6b6a4f25f34.png</t>
  </si>
  <si>
    <t>https://files.armadanusantara.co.id/bukti/004763ef37ee.jpg</t>
  </si>
  <si>
    <t>https://files.armadanusantara.co.id/bukti/b69a8276f389.jpg</t>
  </si>
  <si>
    <t>https://files.armadanusantara.co.id/bukti/a272254a8799.pdf</t>
  </si>
  <si>
    <t>https://files.armadanusantara.co.id/bukti/f0f14047bb18.jpeg</t>
  </si>
  <si>
    <t>https://files.armadanusantara.co.id/bukti/c6cc150dc8e2.png</t>
  </si>
  <si>
    <t>https://files.armadanusantara.co.id/bukti/0508cecec5bb.png</t>
  </si>
  <si>
    <t>https://files.armadanusantara.co.id/bukti/dff7ab385f58.png</t>
  </si>
  <si>
    <t>https://files.armadanusantara.co.id/bukti/43994db8b36b.pdf</t>
  </si>
  <si>
    <t>https://files.armadanusantara.co.id/bukti/eea29a175449.pdf</t>
  </si>
  <si>
    <t>https://files.armadanusantara.co.id/bukti/5f4bbea06716.jpg</t>
  </si>
  <si>
    <t>https://files.armadanusantara.co.id/bukti/c7f62e17825c.png</t>
  </si>
  <si>
    <t>https://files.armadanusantara.co.id/bukti/bb236420692e.jpg</t>
  </si>
  <si>
    <t>https://files.armadanusantara.co.id/bukti/8982106b2d56.png</t>
  </si>
  <si>
    <t>https://files.armadanusantara.co.id/bukti/e912f1f3d517.pdf</t>
  </si>
  <si>
    <t>https://files.armadanusantara.co.id/bukti/3a60243ae668.png</t>
  </si>
  <si>
    <t>https://files.armadanusantara.co.id/bukti/ee044c7f968d.png</t>
  </si>
  <si>
    <t>https://files.armadanusantara.co.id/bukti/c4cfb5696ee5.jpeg</t>
  </si>
  <si>
    <t>https://files.armadanusantara.co.id/bukti/c5a81fd3585b.jpeg</t>
  </si>
  <si>
    <t>https://files.armadanusantara.co.id/bukti/932ba5586384.jpeg</t>
  </si>
  <si>
    <t>https://files.armadanusantara.co.id/bukti/46e9c774fe48.png</t>
  </si>
  <si>
    <t>https://files.armadanusantara.co.id/bukti/d56e2c8772b5.png</t>
  </si>
  <si>
    <t>https://files.armadanusantara.co.id/bukti/ab0c8ed5faee.png</t>
  </si>
  <si>
    <t>https://files.armadanusantara.co.id/bukti/21f88ca9785c.jpeg</t>
  </si>
  <si>
    <t>https://files.armadanusantara.co.id/bukti/c876fcb0dd65.jpg</t>
  </si>
  <si>
    <t>https://files.armadanusantara.co.id/bukti/56d1eb01046b.jpg</t>
  </si>
  <si>
    <t>https://files.armadanusantara.co.id/bukti/2dd737485fa1.jpg</t>
  </si>
  <si>
    <t>https://files.armadanusantara.co.id/bukti/449cbb445b33.jpeg</t>
  </si>
  <si>
    <t>https://files.armadanusantara.co.id/bukti/e6f87f899445.jpg</t>
  </si>
  <si>
    <t>https://files.armadanusantara.co.id/bukti/c8bc7187325f.png</t>
  </si>
  <si>
    <t>https://files.armadanusantara.co.id/bukti/a09a9519bde5.jpg</t>
  </si>
  <si>
    <t>https://files.armadanusantara.co.id/bukti/3253dcedf69d.pdf</t>
  </si>
  <si>
    <t>https://files.armadanusantara.co.id/bukti/b68066f56097.pdf</t>
  </si>
  <si>
    <t>https://files.armadanusantara.co.id/bukti/4d981245ebf7.pdf</t>
  </si>
  <si>
    <t>https://files.armadanusantara.co.id/bukti/9b54fac43f3f.jpeg</t>
  </si>
  <si>
    <t>https://files.armadanusantara.co.id/bukti/bfa98a2d1a22.jpeg</t>
  </si>
  <si>
    <t>https://files.armadanusantara.co.id/bukti/fdc92cb79203.jpg</t>
  </si>
  <si>
    <t>https://files.armadanusantara.co.id/bukti/c573c6fa0d1a.png</t>
  </si>
  <si>
    <t>https://files.armadanusantara.co.id/bukti/6df14ad54e06.jpeg</t>
  </si>
  <si>
    <t>https://files.armadanusantara.co.id/bukti/7f9b2f747dd7.jpg</t>
  </si>
  <si>
    <t>https://files.armadanusantara.co.id/bukti/9de11c91283f.jpg</t>
  </si>
  <si>
    <t>https://files.armadanusantara.co.id/bukti/c8b89c14c36b.jpg</t>
  </si>
  <si>
    <t>https://files.armadanusantara.co.id/bukti/e150b67bf61f.jpeg</t>
  </si>
  <si>
    <t>https://files.armadanusantara.co.id/bukti/e0ec2a0531c8.png</t>
  </si>
  <si>
    <t>https://files.armadanusantara.co.id/bukti/601d0987b7a4.jpeg</t>
  </si>
  <si>
    <t>https://files.armadanusantara.co.id/bukti/d6a603b80379.pdf</t>
  </si>
  <si>
    <t>https://files.armadanusantara.co.id/bukti/9617ad450a2c.jpg</t>
  </si>
  <si>
    <t>https://files.armadanusantara.co.id/bukti/587652d4759b.jpeg</t>
  </si>
  <si>
    <t>https://files.armadanusantara.co.id/bukti/21128b075501.png</t>
  </si>
  <si>
    <t>https://files.armadanusantara.co.id/bukti/bc13153870a7.pdf</t>
  </si>
  <si>
    <t>https://files.armadanusantara.co.id/bukti/c0ea63169929.pdf</t>
  </si>
  <si>
    <t>https://files.armadanusantara.co.id/bukti/3db64ed95093.jpg</t>
  </si>
  <si>
    <t>https://files.armadanusantara.co.id/bukti/6cb93d7fb4a0.jpg</t>
  </si>
  <si>
    <t>https://files.armadanusantara.co.id/bukti/582770bf99e3.png</t>
  </si>
  <si>
    <t>https://files.armadanusantara.co.id/bukti/2bf8cb74f2fa.jpg</t>
  </si>
  <si>
    <t>https://files.armadanusantara.co.id/bukti/a69be3db5ee1.jpeg</t>
  </si>
  <si>
    <t>https://files.armadanusantara.co.id/bukti/a17b05f55216.pdf</t>
  </si>
  <si>
    <t>https://files.armadanusantara.co.id/bukti/08276009769d.pdf</t>
  </si>
  <si>
    <t>https://files.armadanusantara.co.id/bukti/0668a99533ef.jpeg</t>
  </si>
  <si>
    <t>https://files.armadanusantara.co.id/bukti/2b6934414333.jpg</t>
  </si>
  <si>
    <t>https://files.armadanusantara.co.id/bukti/aaf8824ffbf9.jpg</t>
  </si>
  <si>
    <t>https://files.armadanusantara.co.id/bukti/5b63edaa2d65.jpg</t>
  </si>
  <si>
    <t>https://files.armadanusantara.co.id/bukti/b8e9b29330a7.png</t>
  </si>
  <si>
    <t>https://files.armadanusantara.co.id/bukti/786b7a69021f.jpeg</t>
  </si>
  <si>
    <t>https://files.armadanusantara.co.id/bukti/ed809aeafbc6.jpg</t>
  </si>
  <si>
    <t>https://files.armadanusantara.co.id/bukti/e0bfacca06b0.png</t>
  </si>
  <si>
    <t>https://files.armadanusantara.co.id/bukti/dc6b6033434e.png</t>
  </si>
  <si>
    <t>https://files.armadanusantara.co.id/bukti/dd7c17b6417d.png</t>
  </si>
  <si>
    <t>https://files.armadanusantara.co.id/bukti/b850db3aec3f.pdf</t>
  </si>
  <si>
    <t>https://files.armadanusantara.co.id/bukti/bf0eee357ea2.jpeg</t>
  </si>
  <si>
    <t>https://files.armadanusantara.co.id/bukti/6816be1d4273.png</t>
  </si>
  <si>
    <t>https://files.armadanusantara.co.id/bukti/fde96896afe0.jpeg</t>
  </si>
  <si>
    <t>https://files.armadanusantara.co.id/bukti/9fea9528227a.jpeg</t>
  </si>
  <si>
    <t>https://files.armadanusantara.co.id/bukti/37a2c5bdcc7c.pdf</t>
  </si>
  <si>
    <t>https://files.armadanusantara.co.id/bukti/3853e2386f6c.jpeg</t>
  </si>
  <si>
    <t>https://files.armadanusantara.co.id/bukti/815416f36828.pdf</t>
  </si>
  <si>
    <t>https://files.armadanusantara.co.id/bukti/b81756043664.jpeg</t>
  </si>
  <si>
    <t>https://files.armadanusantara.co.id/bukti/b3dc7c9a7514.pdf</t>
  </si>
  <si>
    <t>https://files.armadanusantara.co.id/bukti/9231b9085035.png</t>
  </si>
  <si>
    <t>https://files.armadanusantara.co.id/bukti/f5ac36780a11.png</t>
  </si>
  <si>
    <t>https://files.armadanusantara.co.id/bukti/12c2dd67e964.jpg</t>
  </si>
  <si>
    <t>https://files.armadanusantara.co.id/bukti/14618dfeb968.png</t>
  </si>
  <si>
    <t>https://files.armadanusantara.co.id/bukti/043ce7699ab8.jpeg</t>
  </si>
  <si>
    <t>https://files.armadanusantara.co.id/bukti/b7d02e22e599.jpeg</t>
  </si>
  <si>
    <t>https://files.armadanusantara.co.id/bukti/92bb7a1c666b.jpg</t>
  </si>
  <si>
    <t>https://files.armadanusantara.co.id/bukti/145e98db8c9d.png</t>
  </si>
  <si>
    <t>https://files.armadanusantara.co.id/bukti/ef788060033a.pdf</t>
  </si>
  <si>
    <t>https://files.armadanusantara.co.id/bukti/6a1fea9d8595.png</t>
  </si>
  <si>
    <t>https://files.armadanusantara.co.id/bukti/b9e32192404c.jpeg</t>
  </si>
  <si>
    <t>https://files.armadanusantara.co.id/bukti/e204ef1ed625.jpg</t>
  </si>
  <si>
    <t>https://files.armadanusantara.co.id/bukti/26e6f49fc369.png</t>
  </si>
  <si>
    <t>https://files.armadanusantara.co.id/bukti/d24b9572fd9b.jpg</t>
  </si>
  <si>
    <t>https://files.armadanusantara.co.id/bukti/5d8aca059f5e.pdf</t>
  </si>
  <si>
    <t>https://files.armadanusantara.co.id/bukti/08e7d65d0b4d.jpg</t>
  </si>
  <si>
    <t>https://files.armadanusantara.co.id/bukti/ccbc55f8c8ec.jpeg</t>
  </si>
  <si>
    <t>87976@armadanusantara.co.id</t>
  </si>
  <si>
    <t>Oki Cahyono</t>
  </si>
  <si>
    <t>https://files.armadanusantara.co.id/bukti/beb9d4e99508.jpeg</t>
  </si>
  <si>
    <t>https://files.armadanusantara.co.id/bukti/a2cc859c9dfd.jpg</t>
  </si>
  <si>
    <t>https://files.armadanusantara.co.id/bukti/719753824641.jpg</t>
  </si>
  <si>
    <t>https://files.armadanusantara.co.id/bukti/428c682fdb46.jpeg</t>
  </si>
  <si>
    <t>https://files.armadanusantara.co.id/bukti/df6f930179cb.png</t>
  </si>
  <si>
    <t>https://files.armadanusantara.co.id/bukti/d8ecdc0f1361.pdf</t>
  </si>
  <si>
    <t>https://files.armadanusantara.co.id/bukti/5a6a02ac2480.png</t>
  </si>
  <si>
    <t>https://files.armadanusantara.co.id/bukti/c798fb487007.png</t>
  </si>
  <si>
    <t>https://files.armadanusantara.co.id/bukti/99eefb709ea8.jpg</t>
  </si>
  <si>
    <t>https://files.armadanusantara.co.id/bukti/53a170461757.jpg</t>
  </si>
  <si>
    <t>https://files.armadanusantara.co.id/bukti/f0bb9542df9a.png</t>
  </si>
  <si>
    <t>https://files.armadanusantara.co.id/bukti/1b44cd8067ec.pdf</t>
  </si>
  <si>
    <t>KT4398VSY</t>
  </si>
  <si>
    <t>https://files.armadanusantara.co.id/bukti/6366d5bb8770.jpg</t>
  </si>
  <si>
    <t>https://files.armadanusantara.co.id/bukti/e8355dff072e.jpg</t>
  </si>
  <si>
    <t>https://files.armadanusantara.co.id/bukti/608c45a561f0.png</t>
  </si>
  <si>
    <t>https://files.armadanusantara.co.id/bukti/b3a7c7f0256c.pdf</t>
  </si>
  <si>
    <t>https://files.armadanusantara.co.id/bukti/8e8754c0c2ec.pdf</t>
  </si>
  <si>
    <t>https://files.armadanusantara.co.id/bukti/201a0e9e6157.pdf</t>
  </si>
  <si>
    <t>https://files.armadanusantara.co.id/bukti/7a04edd57da3.jpg</t>
  </si>
  <si>
    <t>https://files.armadanusantara.co.id/bukti/dfebba1fff8c.jpeg</t>
  </si>
  <si>
    <t>https://files.armadanusantara.co.id/bukti/a8d499ba2a53.jpg</t>
  </si>
  <si>
    <t>https://files.armadanusantara.co.id/bukti/ba1285b90943.jpeg</t>
  </si>
  <si>
    <t>https://files.armadanusantara.co.id/bukti/3867ce607a4d.jpeg</t>
  </si>
  <si>
    <t>https://files.armadanusantara.co.id/bukti/ff7ebf5f6668.jpg</t>
  </si>
  <si>
    <t>https://files.armadanusantara.co.id/bukti/8d7979604b8b.pdf</t>
  </si>
  <si>
    <t>https://files.armadanusantara.co.id/bukti/8ac13c026f55.jpg</t>
  </si>
  <si>
    <t>https://files.armadanusantara.co.id/bukti/2d4b83d32842.pdf</t>
  </si>
  <si>
    <t>https://files.armadanusantara.co.id/bukti/4d5e2b122ad8.jpeg</t>
  </si>
  <si>
    <t>https://files.armadanusantara.co.id/bukti/8a2a98acb19b.png</t>
  </si>
  <si>
    <t>https://files.armadanusantara.co.id/bukti/1238927ca4ba.jpg</t>
  </si>
  <si>
    <t>https://files.armadanusantara.co.id/bukti/ac269b03eea5.pdf</t>
  </si>
  <si>
    <t>https://files.armadanusantara.co.id/bukti/36e883482dbd.jpg</t>
  </si>
  <si>
    <t>https://files.armadanusantara.co.id/bukti/bc1c361e0c85.jpeg</t>
  </si>
  <si>
    <t>https://files.armadanusantara.co.id/bukti/11c525627192.pdf</t>
  </si>
  <si>
    <t>https://files.armadanusantara.co.id/bukti/5ee701e80808.png</t>
  </si>
  <si>
    <t>https://files.armadanusantara.co.id/bukti/7a5b2e925a8e.pdf</t>
  </si>
  <si>
    <t>https://files.armadanusantara.co.id/bukti/5fa3a30fb5ab.jpg</t>
  </si>
  <si>
    <t>https://files.armadanusantara.co.id/bukti/06f436fc7b4a.pdf</t>
  </si>
  <si>
    <t>https://files.armadanusantara.co.id/bukti/5e7c239027c6.jpg</t>
  </si>
  <si>
    <t>https://files.armadanusantara.co.id/bukti/fb30e7a80b32.pdf</t>
  </si>
  <si>
    <t>60547@armadanusantara.co.id</t>
  </si>
  <si>
    <t>Indra Efendi</t>
  </si>
  <si>
    <t>https://files.armadanusantara.co.id/bukti/5ae1d394c681.jpg</t>
  </si>
  <si>
    <t>https://files.armadanusantara.co.id/bukti/e178e5d2bf96.png</t>
  </si>
  <si>
    <t>https://files.armadanusantara.co.id/bukti/09757c2aa1ea.jpg</t>
  </si>
  <si>
    <t>https://files.armadanusantara.co.id/bukti/38241b0d5cd6.jpeg</t>
  </si>
  <si>
    <t>https://files.armadanusantara.co.id/bukti/ab460aa8b1c9.pdf</t>
  </si>
  <si>
    <t>https://files.armadanusantara.co.id/bukti/e72a4302caae.jpg</t>
  </si>
  <si>
    <t>https://files.armadanusantara.co.id/bukti/873933fd9bc0.png</t>
  </si>
  <si>
    <t>https://files.armadanusantara.co.id/bukti/7c93edd323e9.png</t>
  </si>
  <si>
    <t>93924@armadanusantara.co.id</t>
  </si>
  <si>
    <t>Indah Fadillah</t>
  </si>
  <si>
    <t>https://files.armadanusantara.co.id/bukti/d70104f1027e.pdf</t>
  </si>
  <si>
    <t>https://files.armadanusantara.co.id/bukti/8ab9f9b2d897.pdf</t>
  </si>
  <si>
    <t>https://files.armadanusantara.co.id/bukti/35aea3f34cb6.png</t>
  </si>
  <si>
    <t>https://files.armadanusantara.co.id/bukti/b845a0101370.jpeg</t>
  </si>
  <si>
    <t>https://files.armadanusantara.co.id/bukti/0a6ace4d01af.jpg</t>
  </si>
  <si>
    <t>https://files.armadanusantara.co.id/bukti/fabe0b4290e4.png</t>
  </si>
  <si>
    <t>https://files.armadanusantara.co.id/bukti/99712462457c.png</t>
  </si>
  <si>
    <t>https://files.armadanusantara.co.id/bukti/29350433ea0a.jpg</t>
  </si>
  <si>
    <t>https://files.armadanusantara.co.id/bukti/476c9715399c.png</t>
  </si>
  <si>
    <t>https://files.armadanusantara.co.id/bukti/4855641f5546.pdf</t>
  </si>
  <si>
    <t>https://files.armadanusantara.co.id/bukti/a9501f578b0e.jpg</t>
  </si>
  <si>
    <t>https://files.armadanusantara.co.id/bukti/b8b388383015.jpg</t>
  </si>
  <si>
    <t>https://files.armadanusantara.co.id/bukti/d56fbd742cab.pdf</t>
  </si>
  <si>
    <t>https://files.armadanusantara.co.id/bukti/226d3f65afd5.jpeg</t>
  </si>
  <si>
    <t>https://files.armadanusantara.co.id/bukti/a5874958d735.jpeg</t>
  </si>
  <si>
    <t>https://files.armadanusantara.co.id/bukti/1571d5ba3813.jpeg</t>
  </si>
  <si>
    <t>https://files.armadanusantara.co.id/bukti/f5c5feb4c57b.png</t>
  </si>
  <si>
    <t>https://files.armadanusantara.co.id/bukti/00febd83d93b.png</t>
  </si>
  <si>
    <t>https://files.armadanusantara.co.id/bukti/00fc5a0d886d.jpeg</t>
  </si>
  <si>
    <t>https://files.armadanusantara.co.id/bukti/e7312e97a0a0.pdf</t>
  </si>
  <si>
    <t>https://files.armadanusantara.co.id/bukti/98422372c97e.jpg</t>
  </si>
  <si>
    <t>https://files.armadanusantara.co.id/bukti/1d1a5bf5cb97.jpg</t>
  </si>
  <si>
    <t>https://files.armadanusantara.co.id/bukti/253594ecf476.jpeg</t>
  </si>
  <si>
    <t>https://files.armadanusantara.co.id/bukti/92f3521107fc.pdf</t>
  </si>
  <si>
    <t>AB1071BW</t>
  </si>
  <si>
    <t>https://files.armadanusantara.co.id/bukti/8b3491dd6496.png</t>
  </si>
  <si>
    <t>https://files.armadanusantara.co.id/bukti/fde335d146c2.png</t>
  </si>
  <si>
    <t>https://files.armadanusantara.co.id/bukti/667850fd5183.jpg</t>
  </si>
  <si>
    <t>https://files.armadanusantara.co.id/bukti/ce69590256e2.png</t>
  </si>
  <si>
    <t>https://files.armadanusantara.co.id/bukti/8a7fb896ad27.jpg</t>
  </si>
  <si>
    <t>https://files.armadanusantara.co.id/bukti/438d258d6180.pdf</t>
  </si>
  <si>
    <t>https://files.armadanusantara.co.id/bukti/f4d8d9f3d284.jpeg</t>
  </si>
  <si>
    <t>https://files.armadanusantara.co.id/bukti/aeb586356942.jpeg</t>
  </si>
  <si>
    <t>https://files.armadanusantara.co.id/bukti/b816a373f17e.jpg</t>
  </si>
  <si>
    <t>https://files.armadanusantara.co.id/bukti/d20ef57e7f85.jpeg</t>
  </si>
  <si>
    <t>B1637UN</t>
  </si>
  <si>
    <t>https://files.armadanusantara.co.id/bukti/1e86235dcceb.png</t>
  </si>
  <si>
    <t>https://files.armadanusantara.co.id/bukti/7d6dcc6ea9b4.jpeg</t>
  </si>
  <si>
    <t>https://files.armadanusantara.co.id/bukti/b3fa7fcd2cb0.png</t>
  </si>
  <si>
    <t>https://files.armadanusantara.co.id/bukti/c3c15e507280.jpg</t>
  </si>
  <si>
    <t>https://files.armadanusantara.co.id/bukti/616f82eb18ce.pdf</t>
  </si>
  <si>
    <t>https://files.armadanusantara.co.id/bukti/0576338899a9.jpeg</t>
  </si>
  <si>
    <t>https://files.armadanusantara.co.id/bukti/e964c10e7f31.pdf</t>
  </si>
  <si>
    <t>https://files.armadanusantara.co.id/bukti/3c90d433d027.jpg</t>
  </si>
  <si>
    <t>https://files.armadanusantara.co.id/bukti/531f2b5441f8.pdf</t>
  </si>
  <si>
    <t>https://files.armadanusantara.co.id/bukti/3b4d19df6e37.jpeg</t>
  </si>
  <si>
    <t>https://files.armadanusantara.co.id/bukti/084bc0545c2e.jpg</t>
  </si>
  <si>
    <t>https://files.armadanusantara.co.id/bukti/b157f8974387.pdf</t>
  </si>
  <si>
    <t>https://files.armadanusantara.co.id/bukti/92b47a1fd549.pdf</t>
  </si>
  <si>
    <t>https://files.armadanusantara.co.id/bukti/f656da454e6b.png</t>
  </si>
  <si>
    <t>https://files.armadanusantara.co.id/bukti/1558e7e26ac6.png</t>
  </si>
  <si>
    <t>https://files.armadanusantara.co.id/bukti/958f951c5ea1.pdf</t>
  </si>
  <si>
    <t>https://files.armadanusantara.co.id/bukti/16814d8bc57c.jpeg</t>
  </si>
  <si>
    <t>https://files.armadanusantara.co.id/bukti/777a7838c44b.jpg</t>
  </si>
  <si>
    <t>https://files.armadanusantara.co.id/bukti/7987159d97b4.jpeg</t>
  </si>
  <si>
    <t>https://files.armadanusantara.co.id/bukti/05c005e00ca3.png</t>
  </si>
  <si>
    <t>https://files.armadanusantara.co.id/bukti/09fe0c981ba6.png</t>
  </si>
  <si>
    <t>https://files.armadanusantara.co.id/bukti/f17a98d31e8b.jpeg</t>
  </si>
  <si>
    <t>https://files.armadanusantara.co.id/bukti/d6d372737acf.png</t>
  </si>
  <si>
    <t>https://files.armadanusantara.co.id/bukti/b34cbbe8a75c.png</t>
  </si>
  <si>
    <t>https://files.armadanusantara.co.id/bukti/f44de23e1903.pdf</t>
  </si>
  <si>
    <t>https://files.armadanusantara.co.id/bukti/27cb92b2964d.jpg</t>
  </si>
  <si>
    <t>https://files.armadanusantara.co.id/bukti/a690a6963d39.jpg</t>
  </si>
  <si>
    <t>https://files.armadanusantara.co.id/bukti/177bae1053d6.pdf</t>
  </si>
  <si>
    <t>https://files.armadanusantara.co.id/bukti/28a2dffc7908.pdf</t>
  </si>
  <si>
    <t>https://files.armadanusantara.co.id/bukti/64016b0a865c.pdf</t>
  </si>
  <si>
    <t>https://files.armadanusantara.co.id/bukti/da47f10deec4.jpg</t>
  </si>
  <si>
    <t>https://files.armadanusantara.co.id/bukti/0d6824f41113.jpeg</t>
  </si>
  <si>
    <t>https://files.armadanusantara.co.id/bukti/09ad1df8426d.pdf</t>
  </si>
  <si>
    <t>https://files.armadanusantara.co.id/bukti/fdd8b8a64c61.png</t>
  </si>
  <si>
    <t>54518@armadanusantara.co.id</t>
  </si>
  <si>
    <t>Novi Susanto</t>
  </si>
  <si>
    <t>https://files.armadanusantara.co.id/bukti/9eacc963dcb5.pdf</t>
  </si>
  <si>
    <t>https://files.armadanusantara.co.id/bukti/89be0d488a91.jpg</t>
  </si>
  <si>
    <t>https://files.armadanusantara.co.id/bukti/6b580b39e0f6.jpg</t>
  </si>
  <si>
    <t>https://files.armadanusantara.co.id/bukti/e5717471a5ec.png</t>
  </si>
  <si>
    <t>https://files.armadanusantara.co.id/bukti/ae9d814a63a5.png</t>
  </si>
  <si>
    <t>https://files.armadanusantara.co.id/bukti/9a83056860eb.png</t>
  </si>
  <si>
    <t>https://files.armadanusantara.co.id/bukti/cb7bd1d15bc9.pdf</t>
  </si>
  <si>
    <t>https://files.armadanusantara.co.id/bukti/630bae1f2f6b.pdf</t>
  </si>
  <si>
    <t>https://files.armadanusantara.co.id/bukti/c0c6d210a912.jpg</t>
  </si>
  <si>
    <t>https://files.armadanusantara.co.id/bukti/22738cd4835c.jpeg</t>
  </si>
  <si>
    <t>https://files.armadanusantara.co.id/bukti/8ead47dea3e0.png</t>
  </si>
  <si>
    <t>https://files.armadanusantara.co.id/bukti/12472395038a.png</t>
  </si>
  <si>
    <t>https://files.armadanusantara.co.id/bukti/76e26a2c45fb.jpg</t>
  </si>
  <si>
    <t>https://files.armadanusantara.co.id/bukti/9fcfe5bd630a.jpg</t>
  </si>
  <si>
    <t>https://files.armadanusantara.co.id/bukti/e9f136350d0f.pdf</t>
  </si>
  <si>
    <t>https://files.armadanusantara.co.id/bukti/b3ecfa0dce6b.jpeg</t>
  </si>
  <si>
    <t>https://files.armadanusantara.co.id/bukti/82dd35149768.jpg</t>
  </si>
  <si>
    <t>https://files.armadanusantara.co.id/bukti/089073feae94.jpeg</t>
  </si>
  <si>
    <t>https://files.armadanusantara.co.id/bukti/26c9d6cc3ce8.pdf</t>
  </si>
  <si>
    <t>https://files.armadanusantara.co.id/bukti/7840afecde3c.jpeg</t>
  </si>
  <si>
    <t>72331 TULUNGAGUNG</t>
  </si>
  <si>
    <t>https://files.armadanusantara.co.id/bukti/2cb11c3dc59c.jpeg</t>
  </si>
  <si>
    <t>https://files.armadanusantara.co.id/bukti/226a93c82ebf.png</t>
  </si>
  <si>
    <t>https://files.armadanusantara.co.id/bukti/09a9fa4660ed.png</t>
  </si>
  <si>
    <t>https://files.armadanusantara.co.id/bukti/06dc1ff493f3.pdf</t>
  </si>
  <si>
    <t>https://files.armadanusantara.co.id/bukti/f290a08ce62f.png</t>
  </si>
  <si>
    <t>https://files.armadanusantara.co.id/bukti/3b4b7ff8a06d.jpeg</t>
  </si>
  <si>
    <t>https://files.armadanusantara.co.id/bukti/f417daa16149.png</t>
  </si>
  <si>
    <t>https://files.armadanusantara.co.id/bukti/95802a9de642.pdf</t>
  </si>
  <si>
    <t>https://files.armadanusantara.co.id/bukti/399728ce1761.pdf</t>
  </si>
  <si>
    <t>https://files.armadanusantara.co.id/bukti/24b7cee6204b.pdf</t>
  </si>
  <si>
    <t>https://files.armadanusantara.co.id/bukti/ff7805bd3794.png</t>
  </si>
  <si>
    <t>https://files.armadanusantara.co.id/bukti/0833e3ce9d27.png</t>
  </si>
  <si>
    <t>https://files.armadanusantara.co.id/bukti/d458786a54b5.png</t>
  </si>
  <si>
    <t>https://files.armadanusantara.co.id/bukti/1f98039315a9.jpg</t>
  </si>
  <si>
    <t>https://files.armadanusantara.co.id/bukti/2c44622327a8.jpg</t>
  </si>
  <si>
    <t>https://files.armadanusantara.co.id/bukti/c4d585d5ef37.jpg</t>
  </si>
  <si>
    <t>https://files.armadanusantara.co.id/bukti/6379e4ad5bfa.pdf</t>
  </si>
  <si>
    <t>https://files.armadanusantara.co.id/bukti/0de1bdbe57c8.jpg</t>
  </si>
  <si>
    <t>https://files.armadanusantara.co.id/bukti/e2697d44c83a.jpeg</t>
  </si>
  <si>
    <t>https://files.armadanusantara.co.id/bukti/c3d9288c5d03.jpg</t>
  </si>
  <si>
    <t>https://files.armadanusantara.co.id/bukti/b0a717dc60c7.pdf</t>
  </si>
  <si>
    <t>https://files.armadanusantara.co.id/bukti/a49e784e2f67.png</t>
  </si>
  <si>
    <t>https://files.armadanusantara.co.id/bukti/66bb758ceea3.pdf</t>
  </si>
  <si>
    <t>https://files.armadanusantara.co.id/bukti/b2ddce4e2973.jpg</t>
  </si>
  <si>
    <t>https://files.armadanusantara.co.id/bukti/c9f91d36f32a.png</t>
  </si>
  <si>
    <t>https://files.armadanusantara.co.id/bukti/acfa41553c7b.png</t>
  </si>
  <si>
    <t>https://files.armadanusantara.co.id/bukti/8d0e981fa2a7.pdf</t>
  </si>
  <si>
    <t>https://files.armadanusantara.co.id/bukti/6cc2aa355251.jpg</t>
  </si>
  <si>
    <t>https://files.armadanusantara.co.id/bukti/2ba808324fa3.png</t>
  </si>
  <si>
    <t>https://files.armadanusantara.co.id/bukti/7e540d215500.png</t>
  </si>
  <si>
    <t>https://files.armadanusantara.co.id/bukti/521c5ae17b50.png</t>
  </si>
  <si>
    <t>https://files.armadanusantara.co.id/bukti/2c44d4c8500c.jpg</t>
  </si>
  <si>
    <t>https://files.armadanusantara.co.id/bukti/90168dd9b031.jpeg</t>
  </si>
  <si>
    <t>https://files.armadanusantara.co.id/bukti/8170e27f1141.pdf</t>
  </si>
  <si>
    <t>https://files.armadanusantara.co.id/bukti/831a92211985.jpg</t>
  </si>
  <si>
    <t>https://files.armadanusantara.co.id/bukti/f288f7e59905.pdf</t>
  </si>
  <si>
    <t>https://files.armadanusantara.co.id/bukti/f37239c393b3.jpg</t>
  </si>
  <si>
    <t>https://files.armadanusantara.co.id/bukti/37050cb33b0f.jpg</t>
  </si>
  <si>
    <t>https://files.armadanusantara.co.id/bukti/4e3e1df3d383.jpg</t>
  </si>
  <si>
    <t>https://files.armadanusantara.co.id/bukti/d93bba5aad0e.pdf</t>
  </si>
  <si>
    <t>https://files.armadanusantara.co.id/bukti/be2256a87e01.jpeg</t>
  </si>
  <si>
    <t>https://files.armadanusantara.co.id/bukti/8297991c41db.jpeg</t>
  </si>
  <si>
    <t>https://files.armadanusantara.co.id/bukti/fc6a032da606.png</t>
  </si>
  <si>
    <t>https://files.armadanusantara.co.id/bukti/83bb96d1ea06.jpg</t>
  </si>
  <si>
    <t>https://files.armadanusantara.co.id/bukti/111ed9728e1f.jpg</t>
  </si>
  <si>
    <t>https://files.armadanusantara.co.id/bukti/2658413f2db9.jpeg</t>
  </si>
  <si>
    <t>https://files.armadanusantara.co.id/bukti/c3ad3970b1ac.png</t>
  </si>
  <si>
    <t>https://files.armadanusantara.co.id/bukti/5007c27dbecd.pdf</t>
  </si>
  <si>
    <t>https://files.armadanusantara.co.id/bukti/4ed8098ef4a6.jpg</t>
  </si>
  <si>
    <t>https://files.armadanusantara.co.id/bukti/2ef6e597964c.jpg</t>
  </si>
  <si>
    <t>https://files.armadanusantara.co.id/bukti/526473d6b039.jpeg</t>
  </si>
  <si>
    <t>https://files.armadanusantara.co.id/bukti/2c0313ceaa43.jpg</t>
  </si>
  <si>
    <t>https://files.armadanusantara.co.id/bukti/de0f41346900.jpg</t>
  </si>
  <si>
    <t>https://files.armadanusantara.co.id/bukti/74db1aabae0f.jpeg</t>
  </si>
  <si>
    <t>https://files.armadanusantara.co.id/bukti/be1f3ac08d02.pdf</t>
  </si>
  <si>
    <t>https://files.armadanusantara.co.id/bukti/a567566124f0.jpeg</t>
  </si>
  <si>
    <t>https://files.armadanusantara.co.id/bukti/b3e188328271.jpg</t>
  </si>
  <si>
    <t>https://files.armadanusantara.co.id/bukti/c30262cf138b.jpg</t>
  </si>
  <si>
    <t>https://files.armadanusantara.co.id/bukti/0944443c27b1.pdf</t>
  </si>
  <si>
    <t>https://files.armadanusantara.co.id/bukti/4a71d7a0d2be.png</t>
  </si>
  <si>
    <t>https://files.armadanusantara.co.id/bukti/4f62ab7b2926.png</t>
  </si>
  <si>
    <t>https://files.armadanusantara.co.id/bukti/96ec2a8f6282.jpeg</t>
  </si>
  <si>
    <t>https://files.armadanusantara.co.id/bukti/5996272192dd.png</t>
  </si>
  <si>
    <t>https://files.armadanusantara.co.id/bukti/202053fb691a.png</t>
  </si>
  <si>
    <t>https://files.armadanusantara.co.id/bukti/11f72b5b995e.jpeg</t>
  </si>
  <si>
    <t>https://files.armadanusantara.co.id/bukti/0ad70ab0be5e.pdf</t>
  </si>
  <si>
    <t>https://files.armadanusantara.co.id/bukti/7ee50538a4de.pdf</t>
  </si>
  <si>
    <t>https://files.armadanusantara.co.id/bukti/31d1dc315f54.pdf</t>
  </si>
  <si>
    <t>https://files.armadanusantara.co.id/bukti/60dd6911944b.png</t>
  </si>
  <si>
    <t>https://files.armadanusantara.co.id/bukti/1ae62a2aee04.jpg</t>
  </si>
  <si>
    <t>https://files.armadanusantara.co.id/bukti/a2352d24b664.pdf</t>
  </si>
  <si>
    <t>https://files.armadanusantara.co.id/bukti/cc64862776ac.jpeg</t>
  </si>
  <si>
    <t>https://files.armadanusantara.co.id/bukti/23b45bf0d37d.jpeg</t>
  </si>
  <si>
    <t>https://files.armadanusantara.co.id/bukti/b8342cf99b26.jpg</t>
  </si>
  <si>
    <t>https://files.armadanusantara.co.id/bukti/1e5318fb3eb1.jpeg</t>
  </si>
  <si>
    <t>https://files.armadanusantara.co.id/bukti/c5529fe51f47.png</t>
  </si>
  <si>
    <t>https://files.armadanusantara.co.id/bukti/47656d4e8e0c.pdf</t>
  </si>
  <si>
    <t>https://files.armadanusantara.co.id/bukti/f401f2a2a596.jpeg</t>
  </si>
  <si>
    <t>https://files.armadanusantara.co.id/bukti/c20383fd6bf5.jpeg</t>
  </si>
  <si>
    <t>https://files.armadanusantara.co.id/bukti/9aedc8a72d0c.pdf</t>
  </si>
  <si>
    <t>https://files.armadanusantara.co.id/bukti/a7deacf79700.jpeg</t>
  </si>
  <si>
    <t>https://files.armadanusantara.co.id/bukti/d3b6ca1ea836.png</t>
  </si>
  <si>
    <t>https://files.armadanusantara.co.id/bukti/b8004a35eee4.png</t>
  </si>
  <si>
    <t>https://files.armadanusantara.co.id/bukti/793efe1bacf3.jpg</t>
  </si>
  <si>
    <t>https://files.armadanusantara.co.id/bukti/a7ce6ffbab60.png</t>
  </si>
  <si>
    <t>https://files.armadanusantara.co.id/bukti/3d3517724ac1.jpg</t>
  </si>
  <si>
    <t>https://files.armadanusantara.co.id/bukti/2e80d3f0951c.jpeg</t>
  </si>
  <si>
    <t>https://files.armadanusantara.co.id/bukti/09d85ecacaea.jpeg</t>
  </si>
  <si>
    <t>https://files.armadanusantara.co.id/bukti/7264f6cbd353.pdf</t>
  </si>
  <si>
    <t>https://files.armadanusantara.co.id/bukti/4dd49dae1986.jpg</t>
  </si>
  <si>
    <t>https://files.armadanusantara.co.id/bukti/6a49900d7755.jpg</t>
  </si>
  <si>
    <t>https://files.armadanusantara.co.id/bukti/33da73078c81.jpeg</t>
  </si>
  <si>
    <t>https://files.armadanusantara.co.id/bukti/58bbd23746c5.pdf</t>
  </si>
  <si>
    <t>https://files.armadanusantara.co.id/bukti/2c5b93815891.jpeg</t>
  </si>
  <si>
    <t>https://files.armadanusantara.co.id/bukti/0367ee721fec.png</t>
  </si>
  <si>
    <t>https://files.armadanusantara.co.id/bukti/d0b8dc6db1cb.pdf</t>
  </si>
  <si>
    <t>https://files.armadanusantara.co.id/bukti/f04e7edbb966.png</t>
  </si>
  <si>
    <t>https://files.armadanusantara.co.id/bukti/cf67907a557a.pdf</t>
  </si>
  <si>
    <t>https://files.armadanusantara.co.id/bukti/de6c9cdf352f.jpg</t>
  </si>
  <si>
    <t>https://files.armadanusantara.co.id/bukti/02e432e3adf9.png</t>
  </si>
  <si>
    <t>https://files.armadanusantara.co.id/bukti/8f8159822c7e.png</t>
  </si>
  <si>
    <t>https://files.armadanusantara.co.id/bukti/f73cfb58c7a1.pdf</t>
  </si>
  <si>
    <t>https://files.armadanusantara.co.id/bukti/fec0690f043f.jpg</t>
  </si>
  <si>
    <t>https://files.armadanusantara.co.id/bukti/7c48e9502a0d.png</t>
  </si>
  <si>
    <t>https://files.armadanusantara.co.id/bukti/45d7570eb76f.jpg</t>
  </si>
  <si>
    <t>https://files.armadanusantara.co.id/bukti/e795ac871ef5.jpg</t>
  </si>
  <si>
    <t>B9619FMM</t>
  </si>
  <si>
    <t>https://files.armadanusantara.co.id/bukti/4111c9ffe73d.pdf</t>
  </si>
  <si>
    <t>https://files.armadanusantara.co.id/bukti/881f42e6493e.png</t>
  </si>
  <si>
    <t>https://files.armadanusantara.co.id/bukti/f60dfc1af82c.png</t>
  </si>
  <si>
    <t>https://files.armadanusantara.co.id/bukti/d8f39151b890.jpeg</t>
  </si>
  <si>
    <t>https://files.armadanusantara.co.id/bukti/6e7de8123029.jpg</t>
  </si>
  <si>
    <t>https://files.armadanusantara.co.id/bukti/a4b40d559688.jpeg</t>
  </si>
  <si>
    <t>https://files.armadanusantara.co.id/bukti/42e700d3a8b8.pdf</t>
  </si>
  <si>
    <t>https://files.armadanusantara.co.id/bukti/bb7b0b628ab3.png</t>
  </si>
  <si>
    <t>https://files.armadanusantara.co.id/bukti/ef50a1242eb8.pdf</t>
  </si>
  <si>
    <t>https://files.armadanusantara.co.id/bukti/9e45063ff80a.png</t>
  </si>
  <si>
    <t>https://files.armadanusantara.co.id/bukti/35c139fdf83f.jpg</t>
  </si>
  <si>
    <t>https://files.armadanusantara.co.id/bukti/058f3642aedf.jpg</t>
  </si>
  <si>
    <t>https://files.armadanusantara.co.id/bukti/93ad35627973.png</t>
  </si>
  <si>
    <t>https://files.armadanusantara.co.id/bukti/37ff34d537c7.jpg</t>
  </si>
  <si>
    <t>https://files.armadanusantara.co.id/bukti/02fb61828236.jpg</t>
  </si>
  <si>
    <t>https://files.armadanusantara.co.id/bukti/98d35d4b46ad.jpeg</t>
  </si>
  <si>
    <t>https://files.armadanusantara.co.id/bukti/c0a6b04721a9.png</t>
  </si>
  <si>
    <t>https://files.armadanusantara.co.id/bukti/04c960196413.jpeg</t>
  </si>
  <si>
    <t>https://files.armadanusantara.co.id/bukti/f29b9d5c1b0d.jpg</t>
  </si>
  <si>
    <t>https://files.armadanusantara.co.id/bukti/2f7d91004a60.png</t>
  </si>
  <si>
    <t>https://files.armadanusantara.co.id/bukti/22eb62f3c54c.pdf</t>
  </si>
  <si>
    <t>https://files.armadanusantara.co.id/bukti/06151c9665fa.jpg</t>
  </si>
  <si>
    <t>https://files.armadanusantara.co.id/bukti/7e30b2bc148c.jpg</t>
  </si>
  <si>
    <t>https://files.armadanusantara.co.id/bukti/c34c29b95434.jpg</t>
  </si>
  <si>
    <t>https://files.armadanusantara.co.id/bukti/ff93225c8cfe.pdf</t>
  </si>
  <si>
    <t>https://files.armadanusantara.co.id/bukti/0fda162725e3.png</t>
  </si>
  <si>
    <t>https://files.armadanusantara.co.id/bukti/98dd35152f02.jpeg</t>
  </si>
  <si>
    <t>https://files.armadanusantara.co.id/bukti/35f9c8b2ca23.pdf</t>
  </si>
  <si>
    <t>https://files.armadanusantara.co.id/bukti/f76931cf3882.jpeg</t>
  </si>
  <si>
    <t>https://files.armadanusantara.co.id/bukti/840d85b65c13.png</t>
  </si>
  <si>
    <t>https://files.armadanusantara.co.id/bukti/6c93c852641c.jpg</t>
  </si>
  <si>
    <t>https://files.armadanusantara.co.id/bukti/b2e82f4a0723.jpg</t>
  </si>
  <si>
    <t>https://files.armadanusantara.co.id/bukti/9e797b489e71.jpg</t>
  </si>
  <si>
    <t>https://files.armadanusantara.co.id/bukti/afc76caf55f7.pdf</t>
  </si>
  <si>
    <t>https://files.armadanusantara.co.id/bukti/43842bced03f.jpeg</t>
  </si>
  <si>
    <t>https://files.armadanusantara.co.id/bukti/6e90defe2aa2.pdf</t>
  </si>
  <si>
    <t>https://files.armadanusantara.co.id/bukti/247535b47aa8.pdf</t>
  </si>
  <si>
    <t>https://files.armadanusantara.co.id/bukti/733ea0fcd586.jpeg</t>
  </si>
  <si>
    <t>https://files.armadanusantara.co.id/bukti/10b30bfbc522.png</t>
  </si>
  <si>
    <t>https://files.armadanusantara.co.id/bukti/d07820ae754f.jpg</t>
  </si>
  <si>
    <t>https://files.armadanusantara.co.id/bukti/db2ac987cdc2.pdf</t>
  </si>
  <si>
    <t>https://files.armadanusantara.co.id/bukti/5ed22d600deb.jpg</t>
  </si>
  <si>
    <t>https://files.armadanusantara.co.id/bukti/71f0d18f2be2.png</t>
  </si>
  <si>
    <t>https://files.armadanusantara.co.id/bukti/66ebbc9f8966.jpg</t>
  </si>
  <si>
    <t>https://files.armadanusantara.co.id/bukti/f283e72c43c4.jpeg</t>
  </si>
  <si>
    <t>https://files.armadanusantara.co.id/bukti/ab5aec073a7a.jpeg</t>
  </si>
  <si>
    <t>https://files.armadanusantara.co.id/bukti/8cf3fce6abe5.pdf</t>
  </si>
  <si>
    <t>https://files.armadanusantara.co.id/bukti/ebfd4ce8a231.jpg</t>
  </si>
  <si>
    <t>https://files.armadanusantara.co.id/bukti/af75ffcb02b6.png</t>
  </si>
  <si>
    <t>https://files.armadanusantara.co.id/bukti/34bf6046eb6d.pdf</t>
  </si>
  <si>
    <t>95910@armadanusantara.co.id</t>
  </si>
  <si>
    <t>Yuni Halim</t>
  </si>
  <si>
    <t>https://files.armadanusantara.co.id/bukti/f1a00dc32d5e.png</t>
  </si>
  <si>
    <t>https://files.armadanusantara.co.id/bukti/3d5815f7de1d.jpeg</t>
  </si>
  <si>
    <t>https://files.armadanusantara.co.id/bukti/b1265aa9e8e7.jpg</t>
  </si>
  <si>
    <t>https://files.armadanusantara.co.id/bukti/a90ecd6d5ad9.png</t>
  </si>
  <si>
    <t>https://files.armadanusantara.co.id/bukti/97c5db743e0d.png</t>
  </si>
  <si>
    <t>https://files.armadanusantara.co.id/bukti/1b375279fe38.png</t>
  </si>
  <si>
    <t>https://files.armadanusantara.co.id/bukti/94cd3b647f84.pdf</t>
  </si>
  <si>
    <t>https://files.armadanusantara.co.id/bukti/4c0f7e89a779.png</t>
  </si>
  <si>
    <t>https://files.armadanusantara.co.id/bukti/689d600db3d4.jpg</t>
  </si>
  <si>
    <t>https://files.armadanusantara.co.id/bukti/68d912af44b0.pdf</t>
  </si>
  <si>
    <t>https://files.armadanusantara.co.id/bukti/6c8afff66829.jpg</t>
  </si>
  <si>
    <t>https://files.armadanusantara.co.id/bukti/eeb1e4bc5dd0.jpg</t>
  </si>
  <si>
    <t>https://files.armadanusantara.co.id/bukti/f2cef96daab8.jpeg</t>
  </si>
  <si>
    <t>https://files.armadanusantara.co.id/bukti/9c4a249dd4f6.jpeg</t>
  </si>
  <si>
    <t>https://files.armadanusantara.co.id/bukti/78823c83a462.png</t>
  </si>
  <si>
    <t>https://files.armadanusantara.co.id/bukti/6116c34f9624.jpg</t>
  </si>
  <si>
    <t>B4694LW</t>
  </si>
  <si>
    <t>https://files.armadanusantara.co.id/bukti/206effbe7ff4.pdf</t>
  </si>
  <si>
    <t>https://files.armadanusantara.co.id/bukti/29545240b8e8.pdf</t>
  </si>
  <si>
    <t>https://files.armadanusantara.co.id/bukti/0fc963e713c7.jpg</t>
  </si>
  <si>
    <t>https://files.armadanusantara.co.id/bukti/0fd68f051d3a.jpeg</t>
  </si>
  <si>
    <t>https://files.armadanusantara.co.id/bukti/78e21916305d.pdf</t>
  </si>
  <si>
    <t>https://files.armadanusantara.co.id/bukti/75597097c0fd.jpg</t>
  </si>
  <si>
    <t>https://files.armadanusantara.co.id/bukti/b42f730c731e.jpeg</t>
  </si>
  <si>
    <t>https://files.armadanusantara.co.id/bukti/8775b9111dad.pdf</t>
  </si>
  <si>
    <t>https://files.armadanusantara.co.id/bukti/a5063bda0a0e.pdf</t>
  </si>
  <si>
    <t>https://files.armadanusantara.co.id/bukti/3bf29c91268c.png</t>
  </si>
  <si>
    <t>https://files.armadanusantara.co.id/bukti/c1ff1ceeda93.pdf</t>
  </si>
  <si>
    <t>https://files.armadanusantara.co.id/bukti/895c20cbcd60.jpeg</t>
  </si>
  <si>
    <t>https://files.armadanusantara.co.id/bukti/587f7dcf3c96.pdf</t>
  </si>
  <si>
    <t>https://files.armadanusantara.co.id/bukti/3bff0d285736.jpg</t>
  </si>
  <si>
    <t>https://files.armadanusantara.co.id/bukti/a65ffd970f23.jpg</t>
  </si>
  <si>
    <t>https://files.armadanusantara.co.id/bukti/35bb25ab57ba.jpeg</t>
  </si>
  <si>
    <t>https://files.armadanusantara.co.id/bukti/71c6dec25996.jpg</t>
  </si>
  <si>
    <t>https://files.armadanusantara.co.id/bukti/8a1bd86ded0c.png</t>
  </si>
  <si>
    <t>https://files.armadanusantara.co.id/bukti/943cf252c129.jpeg</t>
  </si>
  <si>
    <t>https://files.armadanusantara.co.id/bukti/9edd98783426.jpeg</t>
  </si>
  <si>
    <t>https://files.armadanusantara.co.id/bukti/1a8201c61bec.jpg</t>
  </si>
  <si>
    <t>https://files.armadanusantara.co.id/bukti/2cedaa4dff24.jpeg</t>
  </si>
  <si>
    <t>https://files.armadanusantara.co.id/bukti/3a1b2b8b63e7.png</t>
  </si>
  <si>
    <t>https://files.armadanusantara.co.id/bukti/929587df02cb.jpeg</t>
  </si>
  <si>
    <t>https://files.armadanusantara.co.id/bukti/b2a0f8276a43.png</t>
  </si>
  <si>
    <t>https://files.armadanusantara.co.id/bukti/412b6468b694.jpg</t>
  </si>
  <si>
    <t>https://files.armadanusantara.co.id/bukti/03b3a0158b84.pdf</t>
  </si>
  <si>
    <t>https://files.armadanusantara.co.id/bukti/4c39b3a649c2.png</t>
  </si>
  <si>
    <t>https://files.armadanusantara.co.id/bukti/74f8bf18be75.pdf</t>
  </si>
  <si>
    <t>https://files.armadanusantara.co.id/bukti/a871bfbf6914.jpg</t>
  </si>
  <si>
    <t>https://files.armadanusantara.co.id/bukti/6c99e3a4b568.jpg</t>
  </si>
  <si>
    <t>https://files.armadanusantara.co.id/bukti/d8f4bff4f26b.pdf</t>
  </si>
  <si>
    <t>https://files.armadanusantara.co.id/bukti/d343a29baecb.pdf</t>
  </si>
  <si>
    <t>https://files.armadanusantara.co.id/bukti/432932c4936c.jpeg</t>
  </si>
  <si>
    <t>https://files.armadanusantara.co.id/bukti/18ca7a781679.pdf</t>
  </si>
  <si>
    <t>https://files.armadanusantara.co.id/bukti/980d958e23e0.jpg</t>
  </si>
  <si>
    <t>https://files.armadanusantara.co.id/bukti/4ed534f3cfc6.png</t>
  </si>
  <si>
    <t>https://files.armadanusantara.co.id/bukti/da3066b8d41f.png</t>
  </si>
  <si>
    <t>42553@armadanusantara.co.id</t>
  </si>
  <si>
    <t>Dimas Manurung</t>
  </si>
  <si>
    <t>https://files.armadanusantara.co.id/bukti/b0f7f4a1ba06.png</t>
  </si>
  <si>
    <t>https://files.armadanusantara.co.id/bukti/944dac7f8e4a.jpg</t>
  </si>
  <si>
    <t>https://files.armadanusantara.co.id/bukti/54b58f8564ee.png</t>
  </si>
  <si>
    <t>https://files.armadanusantara.co.id/bukti/df2bfa975727.jpg</t>
  </si>
  <si>
    <t>https://files.armadanusantara.co.id/bukti/81db6c2af1a6.png</t>
  </si>
  <si>
    <t>https://files.armadanusantara.co.id/bukti/f9b070ce56ff.jpeg</t>
  </si>
  <si>
    <t>https://files.armadanusantara.co.id/bukti/2712e1a3fd60.pdf</t>
  </si>
  <si>
    <t>https://files.armadanusantara.co.id/bukti/1e0507063ec0.jpg</t>
  </si>
  <si>
    <t>https://files.armadanusantara.co.id/bukti/7d2f84464202.pdf</t>
  </si>
  <si>
    <t>https://files.armadanusantara.co.id/bukti/d6f505e0ccf7.png</t>
  </si>
  <si>
    <t>https://files.armadanusantara.co.id/bukti/abd3c579942c.pdf</t>
  </si>
  <si>
    <t>https://files.armadanusantara.co.id/bukti/89bf1b450879.jpeg</t>
  </si>
  <si>
    <t>https://files.armadanusantara.co.id/bukti/8097b56ec6e7.png</t>
  </si>
  <si>
    <t>https://files.armadanusantara.co.id/bukti/49d8c601c2d3.jpeg</t>
  </si>
  <si>
    <t>https://files.armadanusantara.co.id/bukti/2cc58f0f2246.jpeg</t>
  </si>
  <si>
    <t>https://files.armadanusantara.co.id/bukti/9f499a46e154.jpeg</t>
  </si>
  <si>
    <t>https://files.armadanusantara.co.id/bukti/6d1a8469c316.png</t>
  </si>
  <si>
    <t>https://files.armadanusantara.co.id/bukti/b25ccda56c94.pdf</t>
  </si>
  <si>
    <t>https://files.armadanusantara.co.id/bukti/769277d72c9c.jpg</t>
  </si>
  <si>
    <t>https://files.armadanusantara.co.id/bukti/a7048765cd03.jpeg</t>
  </si>
  <si>
    <t>https://files.armadanusantara.co.id/bukti/3b56dc2e4286.jpeg</t>
  </si>
  <si>
    <t>https://files.armadanusantara.co.id/bukti/f3aa38fbcf01.jpg</t>
  </si>
  <si>
    <t>https://files.armadanusantara.co.id/bukti/377d654c1d91.pdf</t>
  </si>
  <si>
    <t>https://files.armadanusantara.co.id/bukti/563bab6010fb.jpg</t>
  </si>
  <si>
    <t>https://files.armadanusantara.co.id/bukti/bcfa08940cf4.pdf</t>
  </si>
  <si>
    <t>https://files.armadanusantara.co.id/bukti/48c7b236c2d0.jpeg</t>
  </si>
  <si>
    <t>https://files.armadanusantara.co.id/bukti/044b7e3e9562.jpg</t>
  </si>
  <si>
    <t>https://files.armadanusantara.co.id/bukti/cb774bd9c902.jpeg</t>
  </si>
  <si>
    <t>https://files.armadanusantara.co.id/bukti/83913386af88.png</t>
  </si>
  <si>
    <t>https://files.armadanusantara.co.id/bukti/c1d55b9ddb43.png</t>
  </si>
  <si>
    <t>https://files.armadanusantara.co.id/bukti/3fd8a1b52eb7.png</t>
  </si>
  <si>
    <t>https://files.armadanusantara.co.id/bukti/0e6a01ed76b6.jpg</t>
  </si>
  <si>
    <t>https://files.armadanusantara.co.id/bukti/1f66173fbcff.jpeg</t>
  </si>
  <si>
    <t>https://files.armadanusantara.co.id/bukti/e4ab98e80dd0.jpeg</t>
  </si>
  <si>
    <t>https://files.armadanusantara.co.id/bukti/ca8b90d45d61.png</t>
  </si>
  <si>
    <t>https://files.armadanusantara.co.id/bukti/0883ed1dd312.jpeg</t>
  </si>
  <si>
    <t>https://files.armadanusantara.co.id/bukti/6b68ea0ee8f0.png</t>
  </si>
  <si>
    <t>https://files.armadanusantara.co.id/bukti/32caf02977ce.jpeg</t>
  </si>
  <si>
    <t>https://files.armadanusantara.co.id/bukti/d9c73183c3d3.pdf</t>
  </si>
  <si>
    <t>https://files.armadanusantara.co.id/bukti/438f8b42f004.pdf</t>
  </si>
  <si>
    <t>https://files.armadanusantara.co.id/bukti/1583db662a88.png</t>
  </si>
  <si>
    <t>https://files.armadanusantara.co.id/bukti/3638c907cbca.pdf</t>
  </si>
  <si>
    <t>https://files.armadanusantara.co.id/bukti/5ca92b7de46d.pdf</t>
  </si>
  <si>
    <t>https://files.armadanusantara.co.id/bukti/093e8d102f12.jpg</t>
  </si>
  <si>
    <t>https://files.armadanusantara.co.id/bukti/802548fb9b82.jpeg</t>
  </si>
  <si>
    <t>https://files.armadanusantara.co.id/bukti/53f7c5c8628f.png</t>
  </si>
  <si>
    <t>https://files.armadanusantara.co.id/bukti/ff1c66a23fab.jpg</t>
  </si>
  <si>
    <t>https://files.armadanusantara.co.id/bukti/4c9b2f8cfdf6.pdf</t>
  </si>
  <si>
    <t>https://files.armadanusantara.co.id/bukti/d2a442e0fc0d.pdf</t>
  </si>
  <si>
    <t>https://files.armadanusantara.co.id/bukti/9e0acd08386c.png</t>
  </si>
  <si>
    <t>https://files.armadanusantara.co.id/bukti/30e41f8442a7.jpg</t>
  </si>
  <si>
    <t>https://files.armadanusantara.co.id/bukti/09df352ce0b3.jpeg</t>
  </si>
  <si>
    <t>https://files.armadanusantara.co.id/bukti/686ec9962f85.jpg</t>
  </si>
  <si>
    <t>https://files.armadanusantara.co.id/bukti/df9a666ecec9.pdf</t>
  </si>
  <si>
    <t>https://files.armadanusantara.co.id/bukti/2ce40ea1f233.pdf</t>
  </si>
  <si>
    <t>https://files.armadanusantara.co.id/bukti/60cd4abbaf50.pdf</t>
  </si>
  <si>
    <t>https://files.armadanusantara.co.id/bukti/4b16559c7c23.png</t>
  </si>
  <si>
    <t>https://files.armadanusantara.co.id/bukti/355d6f2fbe17.jpeg</t>
  </si>
  <si>
    <t>https://files.armadanusantara.co.id/bukti/f6c875a3a83c.pdf</t>
  </si>
  <si>
    <t>https://files.armadanusantara.co.id/bukti/f0523e3227e2.pdf</t>
  </si>
  <si>
    <t>https://files.armadanusantara.co.id/bukti/fab37a6d88da.jpg</t>
  </si>
  <si>
    <t>https://files.armadanusantara.co.id/bukti/4f977b785baf.png</t>
  </si>
  <si>
    <t>https://files.armadanusantara.co.id/bukti/6feb64ee648c.png</t>
  </si>
  <si>
    <t>https://files.armadanusantara.co.id/bukti/a829ee676f88.jpg</t>
  </si>
  <si>
    <t>91506@armadanusantara.co.id</t>
  </si>
  <si>
    <t>Sri Tampubolon</t>
  </si>
  <si>
    <t>https://files.armadanusantara.co.id/bukti/1a5976668716.jpeg</t>
  </si>
  <si>
    <t>https://files.armadanusantara.co.id/bukti/30fc7455005c.jpg</t>
  </si>
  <si>
    <t>https://files.armadanusantara.co.id/bukti/fd5b4528b866.jpeg</t>
  </si>
  <si>
    <t>https://files.armadanusantara.co.id/bukti/58f02beac5fe.png</t>
  </si>
  <si>
    <t>https://files.armadanusantara.co.id/bukti/55a057769fe1.jpeg</t>
  </si>
  <si>
    <t>https://files.armadanusantara.co.id/bukti/00dc5999968f.jpeg</t>
  </si>
  <si>
    <t>https://files.armadanusantara.co.id/bukti/e2b754324d60.pdf</t>
  </si>
  <si>
    <t>https://files.armadanusantara.co.id/bukti/6f2dc3e9deff.jpg</t>
  </si>
  <si>
    <t>https://files.armadanusantara.co.id/bukti/a5e9e128ed88.jpeg</t>
  </si>
  <si>
    <t>https://files.armadanusantara.co.id/bukti/8662e6a57c02.jpeg</t>
  </si>
  <si>
    <t>https://files.armadanusantara.co.id/bukti/48cd1c3d71dd.jpg</t>
  </si>
  <si>
    <t>https://files.armadanusantara.co.id/bukti/02a209d4f975.pdf</t>
  </si>
  <si>
    <t>https://files.armadanusantara.co.id/bukti/e2a8929c89b9.jpeg</t>
  </si>
  <si>
    <t>https://files.armadanusantara.co.id/bukti/01c74cacbf99.jpg</t>
  </si>
  <si>
    <t>https://files.armadanusantara.co.id/bukti/5e08b6263bc1.png</t>
  </si>
  <si>
    <t>https://files.armadanusantara.co.id/bukti/fb6812206556.pdf</t>
  </si>
  <si>
    <t>https://files.armadanusantara.co.id/bukti/c34390e6f6d0.pdf</t>
  </si>
  <si>
    <t>https://files.armadanusantara.co.id/bukti/ba3e514ad160.png</t>
  </si>
  <si>
    <t>https://files.armadanusantara.co.id/bukti/33c914e509eb.png</t>
  </si>
  <si>
    <t>https://files.armadanusantara.co.id/bukti/ec8cef3f4e53.pdf</t>
  </si>
  <si>
    <t>https://files.armadanusantara.co.id/bukti/e83a68f1eac8.jpeg</t>
  </si>
  <si>
    <t>https://files.armadanusantara.co.id/bukti/05771b223822.jpg</t>
  </si>
  <si>
    <t>https://files.armadanusantara.co.id/bukti/9fec009eb8d9.jpg</t>
  </si>
  <si>
    <t>https://files.armadanusantara.co.id/bukti/77681b9aff48.png</t>
  </si>
  <si>
    <t>https://files.armadanusantara.co.id/bukti/075c2668f4e2.jpeg</t>
  </si>
  <si>
    <t>https://files.armadanusantara.co.id/bukti/cca6c3cdc6fe.png</t>
  </si>
  <si>
    <t>https://files.armadanusantara.co.id/bukti/8e19451135b3.jpeg</t>
  </si>
  <si>
    <t>https://files.armadanusantara.co.id/bukti/08cabcc35e5b.jpg</t>
  </si>
  <si>
    <t>https://files.armadanusantara.co.id/bukti/955e30d9c837.png</t>
  </si>
  <si>
    <t>https://files.armadanusantara.co.id/bukti/c5e2f7de1c78.jpeg</t>
  </si>
  <si>
    <t>https://files.armadanusantara.co.id/bukti/ed9526b952f4.jpg</t>
  </si>
  <si>
    <t>https://files.armadanusantara.co.id/bukti/274270c5e465.jpg</t>
  </si>
  <si>
    <t>https://files.armadanusantara.co.id/bukti/5e7e2ed54216.png</t>
  </si>
  <si>
    <t>https://files.armadanusantara.co.id/bukti/898cc0ff118f.png</t>
  </si>
  <si>
    <t>https://files.armadanusantara.co.id/bukti/1b3baf32f07a.jpg</t>
  </si>
  <si>
    <t>https://files.armadanusantara.co.id/bukti/51c22b22f246.jpg</t>
  </si>
  <si>
    <t>https://files.armadanusantara.co.id/bukti/42266baa2257.png</t>
  </si>
  <si>
    <t>https://files.armadanusantara.co.id/bukti/da5e55488666.png</t>
  </si>
  <si>
    <t>https://files.armadanusantara.co.id/bukti/735935c49d6f.jpg</t>
  </si>
  <si>
    <t>https://files.armadanusantara.co.id/bukti/a24dbcbde92f.jpg</t>
  </si>
  <si>
    <t>https://files.armadanusantara.co.id/bukti/c55392711adc.pdf</t>
  </si>
  <si>
    <t>https://files.armadanusantara.co.id/bukti/f2698cdb4f8c.png</t>
  </si>
  <si>
    <t>https://files.armadanusantara.co.id/bukti/edb453523713.pdf</t>
  </si>
  <si>
    <t>https://files.armadanusantara.co.id/bukti/fbffe54ce252.jpeg</t>
  </si>
  <si>
    <t>https://files.armadanusantara.co.id/bukti/6cfae4b1e8e0.pdf</t>
  </si>
  <si>
    <t>https://files.armadanusantara.co.id/bukti/6eb6fe572f40.png</t>
  </si>
  <si>
    <t>https://files.armadanusantara.co.id/bukti/b245b37187b6.png</t>
  </si>
  <si>
    <t>https://files.armadanusantara.co.id/bukti/803816c57465.pdf</t>
  </si>
  <si>
    <t>https://files.armadanusantara.co.id/bukti/6fa44b3000cf.png</t>
  </si>
  <si>
    <t>https://files.armadanusantara.co.id/bukti/fe73386475ab.pdf</t>
  </si>
  <si>
    <t>https://files.armadanusantara.co.id/bukti/f23e7776b7c8.jpeg</t>
  </si>
  <si>
    <t>https://files.armadanusantara.co.id/bukti/5cacdc9d9eea.png</t>
  </si>
  <si>
    <t>https://files.armadanusantara.co.id/bukti/c359d9b71b75.jpeg</t>
  </si>
  <si>
    <t>https://files.armadanusantara.co.id/bukti/837f83ad3a16.jpeg</t>
  </si>
  <si>
    <t>https://files.armadanusantara.co.id/bukti/e6c5ff92e940.jpeg</t>
  </si>
  <si>
    <t>https://files.armadanusantara.co.id/bukti/a3e0d41af6c7.jpeg</t>
  </si>
  <si>
    <t>https://files.armadanusantara.co.id/bukti/73be9b4209ea.pdf</t>
  </si>
  <si>
    <t>https://files.armadanusantara.co.id/bukti/e94c793c26ad.pdf</t>
  </si>
  <si>
    <t>https://files.armadanusantara.co.id/bukti/ac30e6ac1d17.jpg</t>
  </si>
  <si>
    <t>https://files.armadanusantara.co.id/bukti/044921739c17.jpg</t>
  </si>
  <si>
    <t>https://files.armadanusantara.co.id/bukti/31b4bd67de5a.pdf</t>
  </si>
  <si>
    <t>https://files.armadanusantara.co.id/bukti/5a8a4184cd16.pdf</t>
  </si>
  <si>
    <t>https://files.armadanusantara.co.id/bukti/8bee77aee89c.pdf</t>
  </si>
  <si>
    <t>https://files.armadanusantara.co.id/bukti/bb12ab9ee66b.jpeg</t>
  </si>
  <si>
    <t>https://files.armadanusantara.co.id/bukti/4ce1ae1b05ae.pdf</t>
  </si>
  <si>
    <t>https://files.armadanusantara.co.id/bukti/689d1b832f05.jpg</t>
  </si>
  <si>
    <t>https://files.armadanusantara.co.id/bukti/694cebd402f9.jpg</t>
  </si>
  <si>
    <t>https://files.armadanusantara.co.id/bukti/11d55ff6829e.jpg</t>
  </si>
  <si>
    <t>https://files.armadanusantara.co.id/bukti/8917bc0dfb94.png</t>
  </si>
  <si>
    <t>https://files.armadanusantara.co.id/bukti/ac1d12566cc6.pdf</t>
  </si>
  <si>
    <t>https://files.armadanusantara.co.id/bukti/df97503be371.pdf</t>
  </si>
  <si>
    <t>https://files.armadanusantara.co.id/bukti/468b69a929b6.jpeg</t>
  </si>
  <si>
    <t>https://files.armadanusantara.co.id/bukti/33ded6272925.jpeg</t>
  </si>
  <si>
    <t>https://files.armadanusantara.co.id/bukti/f22752fc4665.png</t>
  </si>
  <si>
    <t>https://files.armadanusantara.co.id/bukti/95ff0ec54c8b.jpg</t>
  </si>
  <si>
    <t>https://files.armadanusantara.co.id/bukti/ad9fa9dd72b1.pdf</t>
  </si>
  <si>
    <t>https://files.armadanusantara.co.id/bukti/ff7497cfdf2a.png</t>
  </si>
  <si>
    <t>https://files.armadanusantara.co.id/bukti/961d45f9ce7f.pdf</t>
  </si>
  <si>
    <t>https://files.armadanusantara.co.id/bukti/5d40cb0ea8ac.png</t>
  </si>
  <si>
    <t>https://files.armadanusantara.co.id/bukti/fd2c931b4265.jpg</t>
  </si>
  <si>
    <t>https://files.armadanusantara.co.id/bukti/b31a09ef2477.png</t>
  </si>
  <si>
    <t>https://files.armadanusantara.co.id/bukti/ebcc9930b58f.jpeg</t>
  </si>
  <si>
    <t>https://files.armadanusantara.co.id/bukti/461834029fee.pdf</t>
  </si>
  <si>
    <t>https://files.armadanusantara.co.id/bukti/a8cad17bebf7.png</t>
  </si>
  <si>
    <t>https://files.armadanusantara.co.id/bukti/0cd1bf7cbc6a.pdf</t>
  </si>
  <si>
    <t>https://files.armadanusantara.co.id/bukti/3e3bf5724666.png</t>
  </si>
  <si>
    <t>https://files.armadanusantara.co.id/bukti/97da3086aa19.pdf</t>
  </si>
  <si>
    <t>https://files.armadanusantara.co.id/bukti/7cfa0e65b75e.jpeg</t>
  </si>
  <si>
    <t>53224@armadanusantara.co.id</t>
  </si>
  <si>
    <t>Andi Wibowo</t>
  </si>
  <si>
    <t>https://files.armadanusantara.co.id/bukti/fff6bbd3a4e0.jpeg</t>
  </si>
  <si>
    <t>https://files.armadanusantara.co.id/bukti/318003b8efc6.jpg</t>
  </si>
  <si>
    <t>https://files.armadanusantara.co.id/bukti/415748c4c1cf.jpg</t>
  </si>
  <si>
    <t>https://files.armadanusantara.co.id/bukti/e77e6d5d2974.png</t>
  </si>
  <si>
    <t>https://files.armadanusantara.co.id/bukti/d03787617b34.jpg</t>
  </si>
  <si>
    <t>https://files.armadanusantara.co.id/bukti/09a81db7495b.jpeg</t>
  </si>
  <si>
    <t>https://files.armadanusantara.co.id/bukti/303b10279de9.jpeg</t>
  </si>
  <si>
    <t>https://files.armadanusantara.co.id/bukti/2c602abf4ec2.jpeg</t>
  </si>
  <si>
    <t>https://files.armadanusantara.co.id/bukti/0f3ce2171eba.jpg</t>
  </si>
  <si>
    <t>https://files.armadanusantara.co.id/bukti/2db33f28a314.jpg</t>
  </si>
  <si>
    <t>https://files.armadanusantara.co.id/bukti/543a418d48ee.jpg</t>
  </si>
  <si>
    <t>https://files.armadanusantara.co.id/bukti/1f4514455086.jpg</t>
  </si>
  <si>
    <t>https://files.armadanusantara.co.id/bukti/7445b8408aa3.png</t>
  </si>
  <si>
    <t>https://files.armadanusantara.co.id/bukti/6c1369de7736.pdf</t>
  </si>
  <si>
    <t>https://files.armadanusantara.co.id/bukti/dfef733ee39f.png</t>
  </si>
  <si>
    <t>https://files.armadanusantara.co.id/bukti/d2c00359bf4e.png</t>
  </si>
  <si>
    <t>https://files.armadanusantara.co.id/bukti/bb5140ccdbe9.jpg</t>
  </si>
  <si>
    <t>https://files.armadanusantara.co.id/bukti/9e952c9084d8.jpg</t>
  </si>
  <si>
    <t>https://files.armadanusantara.co.id/bukti/f6759973648b.jpg</t>
  </si>
  <si>
    <t>https://files.armadanusantara.co.id/bukti/af239853cd31.jpeg</t>
  </si>
  <si>
    <t>https://files.armadanusantara.co.id/bukti/ac78b8594f72.jpeg</t>
  </si>
  <si>
    <t>https://files.armadanusantara.co.id/bukti/28b274544c1b.pdf</t>
  </si>
  <si>
    <t>https://files.armadanusantara.co.id/bukti/08308ea7cd0e.jpeg</t>
  </si>
  <si>
    <t>https://files.armadanusantara.co.id/bukti/7b89c16a60a8.jpeg</t>
  </si>
  <si>
    <t>https://files.armadanusantara.co.id/bukti/8d5ae50060c6.pdf</t>
  </si>
  <si>
    <t>https://files.armadanusantara.co.id/bukti/8ef027257e54.jpg</t>
  </si>
  <si>
    <t>https://files.armadanusantara.co.id/bukti/427051609d86.jpg</t>
  </si>
  <si>
    <t>https://files.armadanusantara.co.id/bukti/9f3ea412a02b.jpg</t>
  </si>
  <si>
    <t>https://files.armadanusantara.co.id/bukti/0103b94fc2f7.pdf</t>
  </si>
  <si>
    <t>https://files.armadanusantara.co.id/bukti/7b63a3ac4233.jpg</t>
  </si>
  <si>
    <t>https://files.armadanusantara.co.id/bukti/e7e3b729e67c.jpeg</t>
  </si>
  <si>
    <t>https://files.armadanusantara.co.id/bukti/ad732c13bedd.pdf</t>
  </si>
  <si>
    <t>https://files.armadanusantara.co.id/bukti/a378c9dc8dcc.pdf</t>
  </si>
  <si>
    <t>https://files.armadanusantara.co.id/bukti/ab6733da5739.jpeg</t>
  </si>
  <si>
    <t>https://files.armadanusantara.co.id/bukti/267efb8ac998.jpeg</t>
  </si>
  <si>
    <t>https://files.armadanusantara.co.id/bukti/d0e2da69eb95.jpg</t>
  </si>
  <si>
    <t>https://files.armadanusantara.co.id/bukti/548a1f2ffe18.png</t>
  </si>
  <si>
    <t>https://files.armadanusantara.co.id/bukti/2a0e0445ac1e.jpg</t>
  </si>
  <si>
    <t>https://files.armadanusantara.co.id/bukti/f69ce5726792.pdf</t>
  </si>
  <si>
    <t>https://files.armadanusantara.co.id/bukti/b72c9ca63470.pdf</t>
  </si>
  <si>
    <t>https://files.armadanusantara.co.id/bukti/30046aa63c58.jpg</t>
  </si>
  <si>
    <t>https://files.armadanusantara.co.id/bukti/d7b2f546c820.png</t>
  </si>
  <si>
    <t>https://files.armadanusantara.co.id/bukti/86efcdb658b2.jpg</t>
  </si>
  <si>
    <t>https://files.armadanusantara.co.id/bukti/d5d2ccae2726.pdf</t>
  </si>
  <si>
    <t>https://files.armadanusantara.co.id/bukti/bf631b54c2a7.pdf</t>
  </si>
  <si>
    <t>https://files.armadanusantara.co.id/bukti/692975bf933c.jpg</t>
  </si>
  <si>
    <t>https://files.armadanusantara.co.id/bukti/8da4f74acd1e.jpeg</t>
  </si>
  <si>
    <t>https://files.armadanusantara.co.id/bukti/2e551ebbd4a0.pdf</t>
  </si>
  <si>
    <t>https://files.armadanusantara.co.id/bukti/f34f190790c5.pdf</t>
  </si>
  <si>
    <t>https://files.armadanusantara.co.id/bukti/26f5cf4dc0fa.pdf</t>
  </si>
  <si>
    <t>https://files.armadanusantara.co.id/bukti/e37c15506967.jpeg</t>
  </si>
  <si>
    <t>https://files.armadanusantara.co.id/bukti/4cbeeaeb191d.png</t>
  </si>
  <si>
    <t>https://files.armadanusantara.co.id/bukti/792af483810b.pdf</t>
  </si>
  <si>
    <t>https://files.armadanusantara.co.id/bukti/87c21281845a.jpeg</t>
  </si>
  <si>
    <t>https://files.armadanusantara.co.id/bukti/f1847927cca4.png</t>
  </si>
  <si>
    <t>https://files.armadanusantara.co.id/bukti/554d315a7770.png</t>
  </si>
  <si>
    <t>35892@armadanusantara.co.id</t>
  </si>
  <si>
    <t>Vina Permana</t>
  </si>
  <si>
    <t>https://files.armadanusantara.co.id/bukti/d00feb7dacce.pdf</t>
  </si>
  <si>
    <t>https://files.armadanusantara.co.id/bukti/da796c905e7a.png</t>
  </si>
  <si>
    <t>https://files.armadanusantara.co.id/bukti/26d4a01684ca.pdf</t>
  </si>
  <si>
    <t>https://files.armadanusantara.co.id/bukti/94e6308bd0ca.jpeg</t>
  </si>
  <si>
    <t>https://files.armadanusantara.co.id/bukti/8ed6c50de638.png</t>
  </si>
  <si>
    <t>https://files.armadanusantara.co.id/bukti/4afef7510893.png</t>
  </si>
  <si>
    <t>https://files.armadanusantara.co.id/bukti/dcbc910f551e.jpg</t>
  </si>
  <si>
    <t>https://files.armadanusantara.co.id/bukti/66f3f1bfc72f.pdf</t>
  </si>
  <si>
    <t>https://files.armadanusantara.co.id/bukti/2c2b183a84aa.jpg</t>
  </si>
  <si>
    <t>https://files.armadanusantara.co.id/bukti/13ff7f4782c0.jpg</t>
  </si>
  <si>
    <t>https://files.armadanusantara.co.id/bukti/07f896569603.jpg</t>
  </si>
  <si>
    <t>https://files.armadanusantara.co.id/bukti/8e08b86b579b.pdf</t>
  </si>
  <si>
    <t>https://files.armadanusantara.co.id/bukti/5d1b9ba9b356.png</t>
  </si>
  <si>
    <t>https://files.armadanusantara.co.id/bukti/96713a97ff6c.jpeg</t>
  </si>
  <si>
    <t>https://files.armadanusantara.co.id/bukti/1f441fbcbd2e.jpeg</t>
  </si>
  <si>
    <t>https://files.armadanusantara.co.id/bukti/01f5417131f5.jpeg</t>
  </si>
  <si>
    <t>https://files.armadanusantara.co.id/bukti/277eff0ba740.pdf</t>
  </si>
  <si>
    <t>https://files.armadanusantara.co.id/bukti/729a76604d60.pdf</t>
  </si>
  <si>
    <t>90050@armadanusantara.co.id</t>
  </si>
  <si>
    <t>Adi Yulianto</t>
  </si>
  <si>
    <t>https://files.armadanusantara.co.id/bukti/21f301863ffc.jpg</t>
  </si>
  <si>
    <t>https://files.armadanusantara.co.id/bukti/7a1efb38a1da.jpeg</t>
  </si>
  <si>
    <t>https://files.armadanusantara.co.id/bukti/2625c30a6408.jpg</t>
  </si>
  <si>
    <t>https://files.armadanusantara.co.id/bukti/f78d0ef9ecd9.png</t>
  </si>
  <si>
    <t>https://files.armadanusantara.co.id/bukti/59a9ab4658af.jpeg</t>
  </si>
  <si>
    <t>https://files.armadanusantara.co.id/bukti/ad121e31990d.pdf</t>
  </si>
  <si>
    <t>https://files.armadanusantara.co.id/bukti/dda9170bbedd.png</t>
  </si>
  <si>
    <t>https://files.armadanusantara.co.id/bukti/9179adeb0704.pdf</t>
  </si>
  <si>
    <t>62044@armadanusantara.co.id</t>
  </si>
  <si>
    <t>Endra Winata</t>
  </si>
  <si>
    <t>https://files.armadanusantara.co.id/bukti/a2fe690f86b9.png</t>
  </si>
  <si>
    <t>https://files.armadanusantara.co.id/bukti/bbb1d0379a1a.png</t>
  </si>
  <si>
    <t>https://files.armadanusantara.co.id/bukti/5d6ffc4fac81.png</t>
  </si>
  <si>
    <t>https://files.armadanusantara.co.id/bukti/89b1d5747daa.pdf</t>
  </si>
  <si>
    <t>https://files.armadanusantara.co.id/bukti/4a37a21d4d43.jpeg</t>
  </si>
  <si>
    <t>https://files.armadanusantara.co.id/bukti/a0fc79dc79ce.jpeg</t>
  </si>
  <si>
    <t>https://files.armadanusantara.co.id/bukti/376d360a25a9.jpg</t>
  </si>
  <si>
    <t>https://files.armadanusantara.co.id/bukti/0917717497f3.jpg</t>
  </si>
  <si>
    <t>https://files.armadanusantara.co.id/bukti/582b6e8acb85.jpeg</t>
  </si>
  <si>
    <t>https://files.armadanusantara.co.id/bukti/c228379e60dd.pdf</t>
  </si>
  <si>
    <t>https://files.armadanusantara.co.id/bukti/5cd09e23a699.jpg</t>
  </si>
  <si>
    <t>https://files.armadanusantara.co.id/bukti/216c9f418b26.pdf</t>
  </si>
  <si>
    <t>https://files.armadanusantara.co.id/bukti/34021f3b0a91.png</t>
  </si>
  <si>
    <t>https://files.armadanusantara.co.id/bukti/9f2d2cac6416.png</t>
  </si>
  <si>
    <t>https://files.armadanusantara.co.id/bukti/d45ffe0cd93d.jpg</t>
  </si>
  <si>
    <t>https://files.armadanusantara.co.id/bukti/6e15d489f9c2.jpg</t>
  </si>
  <si>
    <t>https://files.armadanusantara.co.id/bukti/5d35ab380768.jpg</t>
  </si>
  <si>
    <t>https://files.armadanusantara.co.id/bukti/039a223ce31e.png</t>
  </si>
  <si>
    <t>https://files.armadanusantara.co.id/bukti/303c0b0acd70.jpeg</t>
  </si>
  <si>
    <t>https://files.armadanusantara.co.id/bukti/b0f94c6177d0.png</t>
  </si>
  <si>
    <t>https://files.armadanusantara.co.id/bukti/595f4b33c9b6.jpg</t>
  </si>
  <si>
    <t>https://files.armadanusantara.co.id/bukti/2e9d3c164f26.png</t>
  </si>
  <si>
    <t>https://files.armadanusantara.co.id/bukti/cdde059b9d3a.pdf</t>
  </si>
  <si>
    <t>https://files.armadanusantara.co.id/bukti/4167839a8416.pdf</t>
  </si>
  <si>
    <t>https://files.armadanusantara.co.id/bukti/206c45f863f0.png</t>
  </si>
  <si>
    <t>https://files.armadanusantara.co.id/bukti/dbbd17ce4649.jpg</t>
  </si>
  <si>
    <t>https://files.armadanusantara.co.id/bukti/8bd389930e9e.png</t>
  </si>
  <si>
    <t>https://files.armadanusantara.co.id/bukti/f6f4aad3ac02.pdf</t>
  </si>
  <si>
    <t>https://files.armadanusantara.co.id/bukti/ff3093fb1dfa.jpeg</t>
  </si>
  <si>
    <t>https://files.armadanusantara.co.id/bukti/4c306f0aa821.jpg</t>
  </si>
  <si>
    <t>https://files.armadanusantara.co.id/bukti/d0d0e4c7d287.jpg</t>
  </si>
  <si>
    <t>https://files.armadanusantara.co.id/bukti/7f7c359478f1.jpg</t>
  </si>
  <si>
    <t>https://files.armadanusantara.co.id/bukti/2fb9e7d91a06.pdf</t>
  </si>
  <si>
    <t>https://files.armadanusantara.co.id/bukti/9133ed2a1eed.jpeg</t>
  </si>
  <si>
    <t>https://files.armadanusantara.co.id/bukti/2188ec1c3114.jpg</t>
  </si>
  <si>
    <t>https://files.armadanusantara.co.id/bukti/857c2def1a20.jpeg</t>
  </si>
  <si>
    <t>https://files.armadanusantara.co.id/bukti/fe8339de825f.jpeg</t>
  </si>
  <si>
    <t>https://files.armadanusantara.co.id/bukti/b84cbd21c739.jpg</t>
  </si>
  <si>
    <t>https://files.armadanusantara.co.id/bukti/c4cc03e5e72e.png</t>
  </si>
  <si>
    <t>https://files.armadanusantara.co.id/bukti/32148530b0e2.jpg</t>
  </si>
  <si>
    <t>https://files.armadanusantara.co.id/bukti/5a6f42967311.jpg</t>
  </si>
  <si>
    <t>https://files.armadanusantara.co.id/bukti/2693ea1bb826.jpeg</t>
  </si>
  <si>
    <t>https://files.armadanusantara.co.id/bukti/f1ce6f7c518f.jpeg</t>
  </si>
  <si>
    <t>https://files.armadanusantara.co.id/bukti/1e348ef9e4b2.jpeg</t>
  </si>
  <si>
    <t>https://files.armadanusantara.co.id/bukti/62feda96edcb.pdf</t>
  </si>
  <si>
    <t>https://files.armadanusantara.co.id/bukti/1876cdcb2db4.jpg</t>
  </si>
  <si>
    <t>https://files.armadanusantara.co.id/bukti/68b4bb22a8f1.jpg</t>
  </si>
  <si>
    <t>https://files.armadanusantara.co.id/bukti/8cd03d509040.png</t>
  </si>
  <si>
    <t>https://files.armadanusantara.co.id/bukti/cf70e63ac374.pdf</t>
  </si>
  <si>
    <t>https://files.armadanusantara.co.id/bukti/eb557b35bd05.png</t>
  </si>
  <si>
    <t>88790@armadanusantara.co.id</t>
  </si>
  <si>
    <t>Maya Nainggolan</t>
  </si>
  <si>
    <t>https://files.armadanusantara.co.id/bukti/3d554234ab81.jpeg</t>
  </si>
  <si>
    <t>https://files.armadanusantara.co.id/bukti/b287aadf44ae.pdf</t>
  </si>
  <si>
    <t>https://files.armadanusantara.co.id/bukti/44556bb45441.jpeg</t>
  </si>
  <si>
    <t>https://files.armadanusantara.co.id/bukti/223bc3a6b479.jpeg</t>
  </si>
  <si>
    <t>31568@armadanusantara.co.id</t>
  </si>
  <si>
    <t>Lestari Halim</t>
  </si>
  <si>
    <t>https://files.armadanusantara.co.id/bukti/94dd7367718f.jpg</t>
  </si>
  <si>
    <t>https://files.armadanusantara.co.id/bukti/928a9c5bee5b.pdf</t>
  </si>
  <si>
    <t>https://files.armadanusantara.co.id/bukti/1f5fa728d7ba.pdf</t>
  </si>
  <si>
    <t>https://files.armadanusantara.co.id/bukti/41a2860c04b2.pdf</t>
  </si>
  <si>
    <t>https://files.armadanusantara.co.id/bukti/ea0ab336aff5.png</t>
  </si>
  <si>
    <t>https://files.armadanusantara.co.id/bukti/022ae841db2d.pdf</t>
  </si>
  <si>
    <t>https://files.armadanusantara.co.id/bukti/b0603fd5274c.jpeg</t>
  </si>
  <si>
    <t>https://files.armadanusantara.co.id/bukti/d40ae4c40dc2.png</t>
  </si>
  <si>
    <t>https://files.armadanusantara.co.id/bukti/ce1207daff90.jpeg</t>
  </si>
  <si>
    <t>https://files.armadanusantara.co.id/bukti/50ec47ca6d92.jpg</t>
  </si>
  <si>
    <t>https://files.armadanusantara.co.id/bukti/ec47ee5d2732.jpg</t>
  </si>
  <si>
    <t>https://files.armadanusantara.co.id/bukti/108389bb60ef.pdf</t>
  </si>
  <si>
    <t>https://files.armadanusantara.co.id/bukti/3e149cafabbd.jpg</t>
  </si>
  <si>
    <t>https://files.armadanusantara.co.id/bukti/8247260c449b.jpg</t>
  </si>
  <si>
    <t>https://files.armadanusantara.co.id/bukti/59e42cc16b8e.jpeg</t>
  </si>
  <si>
    <t>https://files.armadanusantara.co.id/bukti/538d9af30013.png</t>
  </si>
  <si>
    <t>https://files.armadanusantara.co.id/bukti/9996df40dce5.jpeg</t>
  </si>
  <si>
    <t>https://files.armadanusantara.co.id/bukti/41d44492a79f.pdf</t>
  </si>
  <si>
    <t>https://files.armadanusantara.co.id/bukti/4b0240e39369.png</t>
  </si>
  <si>
    <t>https://files.armadanusantara.co.id/bukti/fbabcf6b6ab2.png</t>
  </si>
  <si>
    <t>https://files.armadanusantara.co.id/bukti/bfa67331a8f2.pdf</t>
  </si>
  <si>
    <t>https://files.armadanusantara.co.id/bukti/15e5c20f960e.png</t>
  </si>
  <si>
    <t>https://files.armadanusantara.co.id/bukti/dd60ba4c0841.jpg</t>
  </si>
  <si>
    <t>https://files.armadanusantara.co.id/bukti/ab543c33dc3d.png</t>
  </si>
  <si>
    <t>https://files.armadanusantara.co.id/bukti/1af276bb026b.jpg</t>
  </si>
  <si>
    <t>https://files.armadanusantara.co.id/bukti/8e3e78deaec5.png</t>
  </si>
  <si>
    <t>https://files.armadanusantara.co.id/bukti/814db2c89172.pdf</t>
  </si>
  <si>
    <t>https://files.armadanusantara.co.id/bukti/7c44a285c053.jpeg</t>
  </si>
  <si>
    <t>https://files.armadanusantara.co.id/bukti/1af3d4f51ff9.jpg</t>
  </si>
  <si>
    <t>https://files.armadanusantara.co.id/bukti/ba9f12f194b5.png</t>
  </si>
  <si>
    <t>https://files.armadanusantara.co.id/bukti/a14bd3abb3f7.pdf</t>
  </si>
  <si>
    <t>https://files.armadanusantara.co.id/bukti/0e8391fb07cc.jpg</t>
  </si>
  <si>
    <t>https://files.armadanusantara.co.id/bukti/0468e2c9fd68.pdf</t>
  </si>
  <si>
    <t>https://files.armadanusantara.co.id/bukti/8df630fccf1c.png</t>
  </si>
  <si>
    <t>https://files.armadanusantara.co.id/bukti/8cc3fc28a11e.jpg</t>
  </si>
  <si>
    <t>https://files.armadanusantara.co.id/bukti/f82b8db83aae.pdf</t>
  </si>
  <si>
    <t>https://files.armadanusantara.co.id/bukti/9a1b9513921b.jpg</t>
  </si>
  <si>
    <t>https://files.armadanusantara.co.id/bukti/02ce11222459.jpg</t>
  </si>
  <si>
    <t>https://files.armadanusantara.co.id/bukti/e9cc391a50f7.pdf</t>
  </si>
  <si>
    <t>https://files.armadanusantara.co.id/bukti/0da5bce15efb.pdf</t>
  </si>
  <si>
    <t>https://files.armadanusantara.co.id/bukti/f986548d9b0e.jpg</t>
  </si>
  <si>
    <t>https://files.armadanusantara.co.id/bukti/05bb79180618.png</t>
  </si>
  <si>
    <t>https://files.armadanusantara.co.id/bukti/4c38a9836339.jpeg</t>
  </si>
  <si>
    <t>https://files.armadanusantara.co.id/bukti/6fecee0c0de2.jpeg</t>
  </si>
  <si>
    <t>https://files.armadanusantara.co.id/bukti/d79283da4738.jpeg</t>
  </si>
  <si>
    <t>https://files.armadanusantara.co.id/bukti/fae3dc90b1d4.png</t>
  </si>
  <si>
    <t>65567@armadanusantara.co.id</t>
  </si>
  <si>
    <t>Miftah Sihombing</t>
  </si>
  <si>
    <t>https://files.armadanusantara.co.id/bukti/b030e32ca3b9.png</t>
  </si>
  <si>
    <t>https://files.armadanusantara.co.id/bukti/60abeebb0924.pdf</t>
  </si>
  <si>
    <t>https://files.armadanusantara.co.id/bukti/08ab606ef0c9.jpeg</t>
  </si>
  <si>
    <t>https://files.armadanusantara.co.id/bukti/dcbdfe83baa4.png</t>
  </si>
  <si>
    <t>https://files.armadanusantara.co.id/bukti/c4ba5624d535.png</t>
  </si>
  <si>
    <t>https://files.armadanusantara.co.id/bukti/018ac5f86cbf.jpg</t>
  </si>
  <si>
    <t>https://files.armadanusantara.co.id/bukti/6ae08ce0ecff.pdf</t>
  </si>
  <si>
    <t>https://files.armadanusantara.co.id/bukti/3abbaa6c5eb3.jpeg</t>
  </si>
  <si>
    <t>https://files.armadanusantara.co.id/bukti/88cea1c2fdf0.pdf</t>
  </si>
  <si>
    <t>https://files.armadanusantara.co.id/bukti/c2d34bfaa0fd.png</t>
  </si>
  <si>
    <t>https://files.armadanusantara.co.id/bukti/cda475da895b.png</t>
  </si>
  <si>
    <t>https://files.armadanusantara.co.id/bukti/4bbd6cba1720.jpeg</t>
  </si>
  <si>
    <t>https://files.armadanusantara.co.id/bukti/137c124544aa.jpg</t>
  </si>
  <si>
    <t>https://files.armadanusantara.co.id/bukti/083fe74c1910.jpeg</t>
  </si>
  <si>
    <t>https://files.armadanusantara.co.id/bukti/5ab969a7031a.png</t>
  </si>
  <si>
    <t>https://files.armadanusantara.co.id/bukti/9ad4aad2b334.jpeg</t>
  </si>
  <si>
    <t>https://files.armadanusantara.co.id/bukti/9ddb2c16a2de.pdf</t>
  </si>
  <si>
    <t>https://files.armadanusantara.co.id/bukti/cffc981718eb.jpeg</t>
  </si>
  <si>
    <t>https://files.armadanusantara.co.id/bukti/150c5573e55e.jpeg</t>
  </si>
  <si>
    <t>https://files.armadanusantara.co.id/bukti/f5c3c81a7a41.jpeg</t>
  </si>
  <si>
    <t>22678@armadanusantara.co.id</t>
  </si>
  <si>
    <t>Miftah Simatupang</t>
  </si>
  <si>
    <t>https://files.armadanusantara.co.id/bukti/ef7ed12db39a.jpeg</t>
  </si>
  <si>
    <t>https://files.armadanusantara.co.id/bukti/3d8798eb03b7.jpeg</t>
  </si>
  <si>
    <t>https://files.armadanusantara.co.id/bukti/42a18e553fee.jpeg</t>
  </si>
  <si>
    <t>https://files.armadanusantara.co.id/bukti/78ee20c3a0fb.pdf</t>
  </si>
  <si>
    <t>https://files.armadanusantara.co.id/bukti/ae07dadd2fdd.jpeg</t>
  </si>
  <si>
    <t>https://files.armadanusantara.co.id/bukti/01a985545acf.jpg</t>
  </si>
  <si>
    <t>https://files.armadanusantara.co.id/bukti/3a48f7908397.jpeg</t>
  </si>
  <si>
    <t>https://files.armadanusantara.co.id/bukti/1f2df6fe19cc.jpg</t>
  </si>
  <si>
    <t>https://files.armadanusantara.co.id/bukti/b1a4af77ea36.png</t>
  </si>
  <si>
    <t>https://files.armadanusantara.co.id/bukti/e0a179551dcd.png</t>
  </si>
  <si>
    <t>https://files.armadanusantara.co.id/bukti/dfcda4d8ba34.jpg</t>
  </si>
  <si>
    <t>https://files.armadanusantara.co.id/bukti/7983b0aec392.jpg</t>
  </si>
  <si>
    <t>https://files.armadanusantara.co.id/bukti/e598c991833d.jpeg</t>
  </si>
  <si>
    <t>https://files.armadanusantara.co.id/bukti/57d6ea257dcd.jpeg</t>
  </si>
  <si>
    <t>https://files.armadanusantara.co.id/bukti/e5cb662535b5.png</t>
  </si>
  <si>
    <t>https://files.armadanusantara.co.id/bukti/f3554d7f5360.jpg</t>
  </si>
  <si>
    <t>https://files.armadanusantara.co.id/bukti/98364ba6410a.jpeg</t>
  </si>
  <si>
    <t>https://files.armadanusantara.co.id/bukti/4953e4b0f413.png</t>
  </si>
  <si>
    <t>https://files.armadanusantara.co.id/bukti/42cadc0ca9bd.png</t>
  </si>
  <si>
    <t>https://files.armadanusantara.co.id/bukti/9b767dfdd6ff.pdf</t>
  </si>
  <si>
    <t>https://files.armadanusantara.co.id/bukti/7b231ec9924b.jpg</t>
  </si>
  <si>
    <t>https://files.armadanusantara.co.id/bukti/735d5cb6a91a.jpg</t>
  </si>
  <si>
    <t>https://files.armadanusantara.co.id/bukti/34865400d9ca.jpeg</t>
  </si>
  <si>
    <t>https://files.armadanusantara.co.id/bukti/20b2a1742471.jpeg</t>
  </si>
  <si>
    <t>https://files.armadanusantara.co.id/bukti/82eede358e00.jpg</t>
  </si>
  <si>
    <t>https://files.armadanusantara.co.id/bukti/683401308f20.jpeg</t>
  </si>
  <si>
    <t>https://files.armadanusantara.co.id/bukti/79934b42b950.png</t>
  </si>
  <si>
    <t>https://files.armadanusantara.co.id/bukti/a8788b799aa7.pdf</t>
  </si>
  <si>
    <t>https://files.armadanusantara.co.id/bukti/b0bb47f88167.jpeg</t>
  </si>
  <si>
    <t>https://files.armadanusantara.co.id/bukti/d837eb907132.png</t>
  </si>
  <si>
    <t>https://files.armadanusantara.co.id/bukti/0c4d02b46b32.pdf</t>
  </si>
  <si>
    <t>https://files.armadanusantara.co.id/bukti/74ac56777c4e.jpg</t>
  </si>
  <si>
    <t>https://files.armadanusantara.co.id/bukti/0bded87819d2.jpeg</t>
  </si>
  <si>
    <t>https://files.armadanusantara.co.id/bukti/270d16b564ec.jpeg</t>
  </si>
  <si>
    <t>https://files.armadanusantara.co.id/bukti/15c4021aaa3d.png</t>
  </si>
  <si>
    <t>https://files.armadanusantara.co.id/bukti/c2eeb5126b5d.pdf</t>
  </si>
  <si>
    <t>https://files.armadanusantara.co.id/bukti/8a6490b49d4b.jpg</t>
  </si>
  <si>
    <t>https://files.armadanusantara.co.id/bukti/4e572ca6dc3d.png</t>
  </si>
  <si>
    <t>https://files.armadanusantara.co.id/bukti/f87db8b33460.jpg</t>
  </si>
  <si>
    <t>https://files.armadanusantara.co.id/bukti/2b9e2a9dc7d2.pdf</t>
  </si>
  <si>
    <t>https://files.armadanusantara.co.id/bukti/c826f5b75467.jpg</t>
  </si>
  <si>
    <t>https://files.armadanusantara.co.id/bukti/771225943147.pdf</t>
  </si>
  <si>
    <t>https://files.armadanusantara.co.id/bukti/f57258c1afa2.png</t>
  </si>
  <si>
    <t>https://files.armadanusantara.co.id/bukti/89bc367b9e44.jpeg</t>
  </si>
  <si>
    <t>https://files.armadanusantara.co.id/bukti/fec6636b9cf4.png</t>
  </si>
  <si>
    <t>https://files.armadanusantara.co.id/bukti/21c2d65f8ba8.jpeg</t>
  </si>
  <si>
    <t>D1569YP</t>
  </si>
  <si>
    <t>https://files.armadanusantara.co.id/bukti/c48b7f62ed19.jpeg</t>
  </si>
  <si>
    <t>https://files.armadanusantara.co.id/bukti/22059c91cf64.png</t>
  </si>
  <si>
    <t>https://files.armadanusantara.co.id/bukti/e1b6f81320bc.jpg</t>
  </si>
  <si>
    <t>https://files.armadanusantara.co.id/bukti/e85a2123b1ab.png</t>
  </si>
  <si>
    <t>https://files.armadanusantara.co.id/bukti/96e58ea65795.jpg</t>
  </si>
  <si>
    <t>https://files.armadanusantara.co.id/bukti/10505e548243.png</t>
  </si>
  <si>
    <t>https://files.armadanusantara.co.id/bukti/2322e60cc914.jpeg</t>
  </si>
  <si>
    <t>https://files.armadanusantara.co.id/bukti/afc27fb5a948.pdf</t>
  </si>
  <si>
    <t>https://files.armadanusantara.co.id/bukti/2490155a5642.jpg</t>
  </si>
  <si>
    <t>https://files.armadanusantara.co.id/bukti/b52188e0893a.pdf</t>
  </si>
  <si>
    <t>https://files.armadanusantara.co.id/bukti/6bd4f7f46c8f.png</t>
  </si>
  <si>
    <t>https://files.armadanusantara.co.id/bukti/cb213b6057d3.pdf</t>
  </si>
  <si>
    <t>https://files.armadanusantara.co.id/bukti/3cc25c1c6000.png</t>
  </si>
  <si>
    <t>https://files.armadanusantara.co.id/bukti/8104e4ed1712.png</t>
  </si>
  <si>
    <t>https://files.armadanusantara.co.id/bukti/402a2e2fefbf.pdf</t>
  </si>
  <si>
    <t>https://files.armadanusantara.co.id/bukti/65342ccafe60.pdf</t>
  </si>
  <si>
    <t>https://files.armadanusantara.co.id/bukti/341fb611ae14.png</t>
  </si>
  <si>
    <t>https://files.armadanusantara.co.id/bukti/636bd78dd449.png</t>
  </si>
  <si>
    <t>https://files.armadanusantara.co.id/bukti/7213d1a710d0.png</t>
  </si>
  <si>
    <t>https://files.armadanusantara.co.id/bukti/5c1d2d744cd6.png</t>
  </si>
  <si>
    <t>https://files.armadanusantara.co.id/bukti/446b4bc4bc3c.jpg</t>
  </si>
  <si>
    <t>https://files.armadanusantara.co.id/bukti/cc59c48dc2db.pdf</t>
  </si>
  <si>
    <t>https://files.armadanusantara.co.id/bukti/a4385f77f65b.jpeg</t>
  </si>
  <si>
    <t>https://files.armadanusantara.co.id/bukti/2e7743737d59.jpg</t>
  </si>
  <si>
    <t>https://files.armadanusantara.co.id/bukti/a5fa33ca0bfd.jpeg</t>
  </si>
  <si>
    <t>https://files.armadanusantara.co.id/bukti/f10c5182deec.png</t>
  </si>
  <si>
    <t>https://files.armadanusantara.co.id/bukti/538a87c17a80.png</t>
  </si>
  <si>
    <t>https://files.armadanusantara.co.id/bukti/835a65ec2874.pdf</t>
  </si>
  <si>
    <t>https://files.armadanusantara.co.id/bukti/071678a6f7fc.png</t>
  </si>
  <si>
    <t>https://files.armadanusantara.co.id/bukti/94f2182a2fb7.jpeg</t>
  </si>
  <si>
    <t>https://files.armadanusantara.co.id/bukti/706877675216.jpg</t>
  </si>
  <si>
    <t>https://files.armadanusantara.co.id/bukti/8cd43139b841.png</t>
  </si>
  <si>
    <t>https://files.armadanusantara.co.id/bukti/6185bff4c503.pdf</t>
  </si>
  <si>
    <t>https://files.armadanusantara.co.id/bukti/798a138c732d.jpg</t>
  </si>
  <si>
    <t>97495@armadanusantara.co.id</t>
  </si>
  <si>
    <t>Satria Nasution</t>
  </si>
  <si>
    <t>B7710PP</t>
  </si>
  <si>
    <t>https://files.armadanusantara.co.id/bukti/87ce691221dd.pdf</t>
  </si>
  <si>
    <t>https://files.armadanusantara.co.id/bukti/c2b11a0c2f81.png</t>
  </si>
  <si>
    <t>https://files.armadanusantara.co.id/bukti/2b4e436b9046.jpeg</t>
  </si>
  <si>
    <t>https://files.armadanusantara.co.id/bukti/e7efdbcbfcc2.pdf</t>
  </si>
  <si>
    <t>https://files.armadanusantara.co.id/bukti/e1b8a42bf38d.png</t>
  </si>
  <si>
    <t>https://files.armadanusantara.co.id/bukti/9868dfd3a5b7.png</t>
  </si>
  <si>
    <t>https://files.armadanusantara.co.id/bukti/925c346f62ae.jpg</t>
  </si>
  <si>
    <t>https://files.armadanusantara.co.id/bukti/d5d12182a49f.jpeg</t>
  </si>
  <si>
    <t>https://files.armadanusantara.co.id/bukti/9b73b1b56f6b.pdf</t>
  </si>
  <si>
    <t>https://files.armadanusantara.co.id/bukti/63808dcb029e.png</t>
  </si>
  <si>
    <t>https://files.armadanusantara.co.id/bukti/192d52aecbc2.pdf</t>
  </si>
  <si>
    <t>https://files.armadanusantara.co.id/bukti/0d0f082d531f.pdf</t>
  </si>
  <si>
    <t>https://files.armadanusantara.co.id/bukti/2465e912f793.jpg</t>
  </si>
  <si>
    <t>https://files.armadanusantara.co.id/bukti/557501f9e8f6.jpg</t>
  </si>
  <si>
    <t>https://files.armadanusantara.co.id/bukti/6684477ab5ba.pdf</t>
  </si>
  <si>
    <t>https://files.armadanusantara.co.id/bukti/b3956cc1848c.png</t>
  </si>
  <si>
    <t>https://files.armadanusantara.co.id/bukti/9833e26c3517.jpeg</t>
  </si>
  <si>
    <t>https://files.armadanusantara.co.id/bukti/6c6e1554f133.jpg</t>
  </si>
  <si>
    <t>https://files.armadanusantara.co.id/bukti/b0c34e4bac68.png</t>
  </si>
  <si>
    <t>https://files.armadanusantara.co.id/bukti/45a28c0f320f.jpeg</t>
  </si>
  <si>
    <t>https://files.armadanusantara.co.id/bukti/a8a63936a18d.png</t>
  </si>
  <si>
    <t>https://files.armadanusantara.co.id/bukti/8ea1f34e6b45.jpeg</t>
  </si>
  <si>
    <t>https://files.armadanusantara.co.id/bukti/293492d79094.pdf</t>
  </si>
  <si>
    <t>https://files.armadanusantara.co.id/bukti/83014e595ec1.pdf</t>
  </si>
  <si>
    <t>https://files.armadanusantara.co.id/bukti/ad59ed93c5cb.jpeg</t>
  </si>
  <si>
    <t>https://files.armadanusantara.co.id/bukti/3e6a70e04c0f.jpeg</t>
  </si>
  <si>
    <t>B1033NB</t>
  </si>
  <si>
    <t>https://files.armadanusantara.co.id/bukti/ea70571cb95f.jpeg</t>
  </si>
  <si>
    <t>https://files.armadanusantara.co.id/bukti/de7b3cf66a49.pdf</t>
  </si>
  <si>
    <t>https://files.armadanusantara.co.id/bukti/f4478e55d996.jpg</t>
  </si>
  <si>
    <t>https://files.armadanusantara.co.id/bukti/58feca0135a5.jpg</t>
  </si>
  <si>
    <t>https://files.armadanusantara.co.id/bukti/2d3cacc6a6df.png</t>
  </si>
  <si>
    <t>https://files.armadanusantara.co.id/bukti/6f21ce355234.jpg</t>
  </si>
  <si>
    <t>https://files.armadanusantara.co.id/bukti/c51830a8af12.jpg</t>
  </si>
  <si>
    <t>https://files.armadanusantara.co.id/bukti/8ac21794c68f.png</t>
  </si>
  <si>
    <t>https://files.armadanusantara.co.id/bukti/32aa7f6b8293.pdf</t>
  </si>
  <si>
    <t>https://files.armadanusantara.co.id/bukti/9d82787e5ce2.png</t>
  </si>
  <si>
    <t>B7792TX</t>
  </si>
  <si>
    <t>https://files.armadanusantara.co.id/bukti/18205368dafb.jpeg</t>
  </si>
  <si>
    <t>https://files.armadanusantara.co.id/bukti/2833132dbdcf.jpg</t>
  </si>
  <si>
    <t>https://files.armadanusantara.co.id/bukti/270407dd0341.jpeg</t>
  </si>
  <si>
    <t>https://files.armadanusantara.co.id/bukti/f2e6d4fe35b3.pdf</t>
  </si>
  <si>
    <t>https://files.armadanusantara.co.id/bukti/b52b86504993.pdf</t>
  </si>
  <si>
    <t>https://files.armadanusantara.co.id/bukti/e2547d11a5b1.jpg</t>
  </si>
  <si>
    <t>https://files.armadanusantara.co.id/bukti/02d90242e199.pdf</t>
  </si>
  <si>
    <t>https://files.armadanusantara.co.id/bukti/efc3927418b2.png</t>
  </si>
  <si>
    <t>https://files.armadanusantara.co.id/bukti/b04273dad46a.jpeg</t>
  </si>
  <si>
    <t>https://files.armadanusantara.co.id/bukti/e95ef54a6089.jpeg</t>
  </si>
  <si>
    <t>https://files.armadanusantara.co.id/bukti/483ac4561329.png</t>
  </si>
  <si>
    <t>https://files.armadanusantara.co.id/bukti/43195a7cfa96.pdf</t>
  </si>
  <si>
    <t>https://files.armadanusantara.co.id/bukti/dfa6f913d145.pdf</t>
  </si>
  <si>
    <t>https://files.armadanusantara.co.id/bukti/b90c09dfa48a.jpeg</t>
  </si>
  <si>
    <t>https://files.armadanusantara.co.id/bukti/faa7159bdfc3.jpeg</t>
  </si>
  <si>
    <t>https://files.armadanusantara.co.id/bukti/c06d5972f993.png</t>
  </si>
  <si>
    <t>https://files.armadanusantara.co.id/bukti/46ea4e758cea.jpeg</t>
  </si>
  <si>
    <t>https://files.armadanusantara.co.id/bukti/7bb3cafac6aa.jpg</t>
  </si>
  <si>
    <t>https://files.armadanusantara.co.id/bukti/effc0d740e86.pdf</t>
  </si>
  <si>
    <t>https://files.armadanusantara.co.id/bukti/755a28108b6a.png</t>
  </si>
  <si>
    <t>https://files.armadanusantara.co.id/bukti/1228116d7ef0.jpg</t>
  </si>
  <si>
    <t>https://files.armadanusantara.co.id/bukti/14808953f634.jpg</t>
  </si>
  <si>
    <t>https://files.armadanusantara.co.id/bukti/af3929b0925e.png</t>
  </si>
  <si>
    <t>https://files.armadanusantara.co.id/bukti/bab290f6a10d.jpg</t>
  </si>
  <si>
    <t>https://files.armadanusantara.co.id/bukti/dc7e9c0c418c.jpeg</t>
  </si>
  <si>
    <t>https://files.armadanusantara.co.id/bukti/934f4a87f96e.jpeg</t>
  </si>
  <si>
    <t>https://files.armadanusantara.co.id/bukti/fca5c90cac9d.pdf</t>
  </si>
  <si>
    <t>https://files.armadanusantara.co.id/bukti/c1bbcba2a2ee.pdf</t>
  </si>
  <si>
    <t>https://files.armadanusantara.co.id/bukti/d14aa9b6ac11.png</t>
  </si>
  <si>
    <t>https://files.armadanusantara.co.id/bukti/3d5be1e6fa35.jpg</t>
  </si>
  <si>
    <t>https://files.armadanusantara.co.id/bukti/056e9710638e.png</t>
  </si>
  <si>
    <t>https://files.armadanusantara.co.id/bukti/82de544499d1.png</t>
  </si>
  <si>
    <t>https://files.armadanusantara.co.id/bukti/97e121b6e654.pdf</t>
  </si>
  <si>
    <t>https://files.armadanusantara.co.id/bukti/c152be8495e2.jpeg</t>
  </si>
  <si>
    <t>https://files.armadanusantara.co.id/bukti/2ed05ec60d2a.jpg</t>
  </si>
  <si>
    <t>https://files.armadanusantara.co.id/bukti/0eda8b25a385.png</t>
  </si>
  <si>
    <t>https://files.armadanusantara.co.id/bukti/09c34edf0f30.jpeg</t>
  </si>
  <si>
    <t>https://files.armadanusantara.co.id/bukti/7f0f3b924f5d.jpg</t>
  </si>
  <si>
    <t>https://files.armadanusantara.co.id/bukti/fa27b57535bd.jpg</t>
  </si>
  <si>
    <t>https://files.armadanusantara.co.id/bukti/10ff2aa1eb28.jpg</t>
  </si>
  <si>
    <t>https://files.armadanusantara.co.id/bukti/969b4c491db2.jpeg</t>
  </si>
  <si>
    <t>https://files.armadanusantara.co.id/bukti/9bcd9c8abee9.pdf</t>
  </si>
  <si>
    <t>https://files.armadanusantara.co.id/bukti/ae3e032e7283.png</t>
  </si>
  <si>
    <t>https://files.armadanusantara.co.id/bukti/672700205dba.pdf</t>
  </si>
  <si>
    <t>https://files.armadanusantara.co.id/bukti/af72cba6bd3f.pdf</t>
  </si>
  <si>
    <t>https://files.armadanusantara.co.id/bukti/ae74fe60fbe3.jpg</t>
  </si>
  <si>
    <t>https://files.armadanusantara.co.id/bukti/1f717c4c2a2f.png</t>
  </si>
  <si>
    <t>https://files.armadanusantara.co.id/bukti/293e44e7c922.jpeg</t>
  </si>
  <si>
    <t>https://files.armadanusantara.co.id/bukti/7d2dcaec2c72.png</t>
  </si>
  <si>
    <t>https://files.armadanusantara.co.id/bukti/9595009af2c6.jpeg</t>
  </si>
  <si>
    <t>https://files.armadanusantara.co.id/bukti/2aa054fbad78.jpg</t>
  </si>
  <si>
    <t>https://files.armadanusantara.co.id/bukti/73291cff92e4.jpg</t>
  </si>
  <si>
    <t>https://files.armadanusantara.co.id/bukti/2673dfe33e4a.jpeg</t>
  </si>
  <si>
    <t>https://files.armadanusantara.co.id/bukti/09a01a78880f.pdf</t>
  </si>
  <si>
    <t>https://files.armadanusantara.co.id/bukti/239fa9c3354e.pdf</t>
  </si>
  <si>
    <t>https://files.armadanusantara.co.id/bukti/6e52096d5fc5.jpeg</t>
  </si>
  <si>
    <t>https://files.armadanusantara.co.id/bukti/e929cd4c80c2.jpg</t>
  </si>
  <si>
    <t>https://files.armadanusantara.co.id/bukti/1b00dffae0e6.jpeg</t>
  </si>
  <si>
    <t>https://files.armadanusantara.co.id/bukti/aa7352cf283b.jpeg</t>
  </si>
  <si>
    <t>https://files.armadanusantara.co.id/bukti/1b4223c93f32.jpg</t>
  </si>
  <si>
    <t>https://files.armadanusantara.co.id/bukti/0b78a7ea9b44.png</t>
  </si>
  <si>
    <t>https://files.armadanusantara.co.id/bukti/feab67f54861.jpeg</t>
  </si>
  <si>
    <t>https://files.armadanusantara.co.id/bukti/855acc286f3a.jpg</t>
  </si>
  <si>
    <t>https://files.armadanusantara.co.id/bukti/e8cd7addbecd.png</t>
  </si>
  <si>
    <t>https://files.armadanusantara.co.id/bukti/df62055907ed.pdf</t>
  </si>
  <si>
    <t>https://files.armadanusantara.co.id/bukti/921c867a0ab6.png</t>
  </si>
  <si>
    <t>https://files.armadanusantara.co.id/bukti/6b0eb8816fdd.pdf</t>
  </si>
  <si>
    <t>https://files.armadanusantara.co.id/bukti/5f9f01399d82.jpeg</t>
  </si>
  <si>
    <t>https://files.armadanusantara.co.id/bukti/fff2fa4f3eab.pdf</t>
  </si>
  <si>
    <t>https://files.armadanusantara.co.id/bukti/a840dcc26352.jpeg</t>
  </si>
  <si>
    <t>https://files.armadanusantara.co.id/bukti/d9d4c6b06e35.jpg</t>
  </si>
  <si>
    <t>https://files.armadanusantara.co.id/bukti/4932c558dfce.png</t>
  </si>
  <si>
    <t>https://files.armadanusantara.co.id/bukti/40734fd17a59.jpeg</t>
  </si>
  <si>
    <t>https://files.armadanusantara.co.id/bukti/9d2add9ab8b7.jpeg</t>
  </si>
  <si>
    <t>https://files.armadanusantara.co.id/bukti/36c4b9e0c46f.pdf</t>
  </si>
  <si>
    <t>https://files.armadanusantara.co.id/bukti/ed56b978f8c1.jpg</t>
  </si>
  <si>
    <t>https://files.armadanusantara.co.id/bukti/d4cb8fda22e2.png</t>
  </si>
  <si>
    <t>https://files.armadanusantara.co.id/bukti/36787ed4e48c.jpeg</t>
  </si>
  <si>
    <t>https://files.armadanusantara.co.id/bukti/2dac39094515.pdf</t>
  </si>
  <si>
    <t>https://files.armadanusantara.co.id/bukti/93bfe0acaa54.jpeg</t>
  </si>
  <si>
    <t>https://files.armadanusantara.co.id/bukti/fdffb1d0f931.pdf</t>
  </si>
  <si>
    <t>https://files.armadanusantara.co.id/bukti/81ee0df900f7.pdf</t>
  </si>
  <si>
    <t>https://files.armadanusantara.co.id/bukti/5e1ab3d66d12.pdf</t>
  </si>
  <si>
    <t>https://files.armadanusantara.co.id/bukti/ddbc128667cf.jpeg</t>
  </si>
  <si>
    <t>https://files.armadanusantara.co.id/bukti/5d3fb4f0cae6.jpeg</t>
  </si>
  <si>
    <t>https://files.armadanusantara.co.id/bukti/81c3657093f1.jpg</t>
  </si>
  <si>
    <t>https://files.armadanusantara.co.id/bukti/d23121e43c62.jpeg</t>
  </si>
  <si>
    <t>https://files.armadanusantara.co.id/bukti/1a3b0e0a6580.jpeg</t>
  </si>
  <si>
    <t>https://files.armadanusantara.co.id/bukti/7da63ed6a0d4.png</t>
  </si>
  <si>
    <t>https://files.armadanusantara.co.id/bukti/af1674eec4cb.jpg</t>
  </si>
  <si>
    <t>https://files.armadanusantara.co.id/bukti/c9ec8e205d75.jpeg</t>
  </si>
  <si>
    <t>https://files.armadanusantara.co.id/bukti/6e2d4c5bb490.pdf</t>
  </si>
  <si>
    <t>https://files.armadanusantara.co.id/bukti/91268ef75746.jpg</t>
  </si>
  <si>
    <t>https://files.armadanusantara.co.id/bukti/8d4c0e10e2ea.jpeg</t>
  </si>
  <si>
    <t>68649@armadanusantara.co.id</t>
  </si>
  <si>
    <t>Hendra Rahmawan</t>
  </si>
  <si>
    <t>https://files.armadanusantara.co.id/bukti/a8d5187e1102.pdf</t>
  </si>
  <si>
    <t>https://files.armadanusantara.co.id/bukti/3e88c726acf3.jpeg</t>
  </si>
  <si>
    <t>https://files.armadanusantara.co.id/bukti/2f5c28ea3f8a.pdf</t>
  </si>
  <si>
    <t>https://files.armadanusantara.co.id/bukti/1ea6ce0a93ed.pdf</t>
  </si>
  <si>
    <t>https://files.armadanusantara.co.id/bukti/ff8d089db620.jpeg</t>
  </si>
  <si>
    <t>https://files.armadanusantara.co.id/bukti/c2225d695563.pdf</t>
  </si>
  <si>
    <t>https://files.armadanusantara.co.id/bukti/9942b2d51598.pdf</t>
  </si>
  <si>
    <t>https://files.armadanusantara.co.id/bukti/a1a17264b2ca.jpg</t>
  </si>
  <si>
    <t>https://files.armadanusantara.co.id/bukti/c79161594892.pdf</t>
  </si>
  <si>
    <t>https://files.armadanusantara.co.id/bukti/df0b371506a8.jpeg</t>
  </si>
  <si>
    <t>https://files.armadanusantara.co.id/bukti/fbd20d4b6ae5.jpeg</t>
  </si>
  <si>
    <t>https://files.armadanusantara.co.id/bukti/48d9d01fbe74.jpg</t>
  </si>
  <si>
    <t>https://files.armadanusantara.co.id/bukti/f6f0717b51eb.jpg</t>
  </si>
  <si>
    <t>https://files.armadanusantara.co.id/bukti/facc09400a7e.pdf</t>
  </si>
  <si>
    <t>https://files.armadanusantara.co.id/bukti/b64a3bd74111.pdf</t>
  </si>
  <si>
    <t>https://files.armadanusantara.co.id/bukti/076f123391d8.pdf</t>
  </si>
  <si>
    <t>https://files.armadanusantara.co.id/bukti/9b69bfcd4c5a.pdf</t>
  </si>
  <si>
    <t>https://files.armadanusantara.co.id/bukti/f008aeaff7d9.png</t>
  </si>
  <si>
    <t>https://files.armadanusantara.co.id/bukti/70dabf23716a.pdf</t>
  </si>
  <si>
    <t>https://files.armadanusantara.co.id/bukti/3eee88268230.png</t>
  </si>
  <si>
    <t>67318@armadanusantara.co.id</t>
  </si>
  <si>
    <t>Guntur Jayadi</t>
  </si>
  <si>
    <t>https://files.armadanusantara.co.id/bukti/13c301fb0648.png</t>
  </si>
  <si>
    <t>https://files.armadanusantara.co.id/bukti/0a87582cd307.jpg</t>
  </si>
  <si>
    <t>https://files.armadanusantara.co.id/bukti/ea6b82661d7e.png</t>
  </si>
  <si>
    <t>https://files.armadanusantara.co.id/bukti/5a7fe959a220.jpeg</t>
  </si>
  <si>
    <t>https://files.armadanusantara.co.id/bukti/0cdd01e78bd1.png</t>
  </si>
  <si>
    <t>https://files.armadanusantara.co.id/bukti/6b803dfd9899.pdf</t>
  </si>
  <si>
    <t>https://files.armadanusantara.co.id/bukti/90c8fb698874.pdf</t>
  </si>
  <si>
    <t>https://files.armadanusantara.co.id/bukti/19549d2d04c1.png</t>
  </si>
  <si>
    <t>https://files.armadanusantara.co.id/bukti/4db9e198c221.pdf</t>
  </si>
  <si>
    <t>https://files.armadanusantara.co.id/bukti/0152ff184926.jpg</t>
  </si>
  <si>
    <t>DD9517BA</t>
  </si>
  <si>
    <t>https://files.armadanusantara.co.id/bukti/4dc9ab534d05.png</t>
  </si>
  <si>
    <t>https://files.armadanusantara.co.id/bukti/55c9797eb213.jpeg</t>
  </si>
  <si>
    <t>https://files.armadanusantara.co.id/bukti/3493b6fb912c.jpeg</t>
  </si>
  <si>
    <t>https://files.armadanusantara.co.id/bukti/7dbe8c44a383.jpeg</t>
  </si>
  <si>
    <t>https://files.armadanusantara.co.id/bukti/578a948d7733.pdf</t>
  </si>
  <si>
    <t>https://files.armadanusantara.co.id/bukti/0a9eddde8e0d.jpeg</t>
  </si>
  <si>
    <t>https://files.armadanusantara.co.id/bukti/6c80ab16cfbb.png</t>
  </si>
  <si>
    <t>https://files.armadanusantara.co.id/bukti/ba28e5209b58.jpg</t>
  </si>
  <si>
    <t>61898@armadanusantara.co.id</t>
  </si>
  <si>
    <t>Ferry Pratama</t>
  </si>
  <si>
    <t>https://files.armadanusantara.co.id/bukti/25942dc4c0a9.jpeg</t>
  </si>
  <si>
    <t>https://files.armadanusantara.co.id/bukti/d00a7b7038c8.png</t>
  </si>
  <si>
    <t>84177@armadanusantara.co.id</t>
  </si>
  <si>
    <t>Putri Iskandar</t>
  </si>
  <si>
    <t>B3566PD</t>
  </si>
  <si>
    <t>https://files.armadanusantara.co.id/bukti/4117ee72da90.jpg</t>
  </si>
  <si>
    <t>https://files.armadanusantara.co.id/bukti/b07e18e84f4a.jpeg</t>
  </si>
  <si>
    <t>https://files.armadanusantara.co.id/bukti/aea8617da11e.jpg</t>
  </si>
  <si>
    <t>https://files.armadanusantara.co.id/bukti/2fdaa686d799.pdf</t>
  </si>
  <si>
    <t>https://files.armadanusantara.co.id/bukti/207f2e3d88ed.jpg</t>
  </si>
  <si>
    <t>https://files.armadanusantara.co.id/bukti/d6e6cf15af18.jpeg</t>
  </si>
  <si>
    <t>https://files.armadanusantara.co.id/bukti/c34960b8d7a5.jpeg</t>
  </si>
  <si>
    <t>https://files.armadanusantara.co.id/bukti/7d6fd7cc1060.jpg</t>
  </si>
  <si>
    <t>https://files.armadanusantara.co.id/bukti/92713123c156.pdf</t>
  </si>
  <si>
    <t>https://files.armadanusantara.co.id/bukti/d007ced1cb04.jpeg</t>
  </si>
  <si>
    <t>https://files.armadanusantara.co.id/bukti/32d6165613f0.pdf</t>
  </si>
  <si>
    <t>https://files.armadanusantara.co.id/bukti/520406163fac.jpeg</t>
  </si>
  <si>
    <t>https://files.armadanusantara.co.id/bukti/7524c6bd77b9.pdf</t>
  </si>
  <si>
    <t>https://files.armadanusantara.co.id/bukti/d990bb6932d6.jpeg</t>
  </si>
  <si>
    <t>https://files.armadanusantara.co.id/bukti/b00fec8ec30d.jpeg</t>
  </si>
  <si>
    <t>https://files.armadanusantara.co.id/bukti/144fc98c7339.jpg</t>
  </si>
  <si>
    <t>https://files.armadanusantara.co.id/bukti/323cc3e18378.jpg</t>
  </si>
  <si>
    <t>https://files.armadanusantara.co.id/bukti/a4a2811035b9.jpg</t>
  </si>
  <si>
    <t>https://files.armadanusantara.co.id/bukti/49c2f9208bd4.jpeg</t>
  </si>
  <si>
    <t>https://files.armadanusantara.co.id/bukti/4ca26f90b2e5.jpeg</t>
  </si>
  <si>
    <t>https://files.armadanusantara.co.id/bukti/046167d456cd.jpeg</t>
  </si>
  <si>
    <t>https://files.armadanusantara.co.id/bukti/42fd8f54fcc7.png</t>
  </si>
  <si>
    <t>https://files.armadanusantara.co.id/bukti/deeea656165b.jpg</t>
  </si>
  <si>
    <t>https://files.armadanusantara.co.id/bukti/19d48728d589.jpeg</t>
  </si>
  <si>
    <t>https://files.armadanusantara.co.id/bukti/e69e8372e55b.jpeg</t>
  </si>
  <si>
    <t>https://files.armadanusantara.co.id/bukti/7a2c0cc31a80.jpeg</t>
  </si>
  <si>
    <t>https://files.armadanusantara.co.id/bukti/7c1a40d47f66.jpeg</t>
  </si>
  <si>
    <t>https://files.armadanusantara.co.id/bukti/18be3cf6727e.jpg</t>
  </si>
  <si>
    <t>https://files.armadanusantara.co.id/bukti/625953218c5a.jpeg</t>
  </si>
  <si>
    <t>https://files.armadanusantara.co.id/bukti/369a07fb5e27.pdf</t>
  </si>
  <si>
    <t>https://files.armadanusantara.co.id/bukti/af818a9a2c1b.jpg</t>
  </si>
  <si>
    <t>https://files.armadanusantara.co.id/bukti/5f79a6d4de91.jpg</t>
  </si>
  <si>
    <t>https://files.armadanusantara.co.id/bukti/d689420b61d2.jpeg</t>
  </si>
  <si>
    <t>https://files.armadanusantara.co.id/bukti/66ae0adecf0f.png</t>
  </si>
  <si>
    <t>https://files.armadanusantara.co.id/bukti/f199ded36196.jpeg</t>
  </si>
  <si>
    <t>https://files.armadanusantara.co.id/bukti/32549f645d21.png</t>
  </si>
  <si>
    <t>https://files.armadanusantara.co.id/bukti/95297790e9f3.jpeg</t>
  </si>
  <si>
    <t>https://files.armadanusantara.co.id/bukti/e22483fbd9c4.jpg</t>
  </si>
  <si>
    <t>https://files.armadanusantara.co.id/bukti/7c0ac830754c.jpeg</t>
  </si>
  <si>
    <t>https://files.armadanusantara.co.id/bukti/d9a456a8b19e.jpeg</t>
  </si>
  <si>
    <t>https://files.armadanusantara.co.id/bukti/f1fe2a28379c.jpg</t>
  </si>
  <si>
    <t>https://files.armadanusantara.co.id/bukti/03d89a39a27d.jpeg</t>
  </si>
  <si>
    <t>https://files.armadanusantara.co.id/bukti/fd30d9f7dcac.pdf</t>
  </si>
  <si>
    <t>https://files.armadanusantara.co.id/bukti/dcbcbb726955.png</t>
  </si>
  <si>
    <t>https://files.armadanusantara.co.id/bukti/192349b40cf0.png</t>
  </si>
  <si>
    <t>https://files.armadanusantara.co.id/bukti/bf527ec78036.jpg</t>
  </si>
  <si>
    <t>https://files.armadanusantara.co.id/bukti/369c3a958938.pdf</t>
  </si>
  <si>
    <t>https://files.armadanusantara.co.id/bukti/ae1d787e79cb.png</t>
  </si>
  <si>
    <t>https://files.armadanusantara.co.id/bukti/10da82cb54df.png</t>
  </si>
  <si>
    <t>https://files.armadanusantara.co.id/bukti/845c529cc5b1.pdf</t>
  </si>
  <si>
    <t>https://files.armadanusantara.co.id/bukti/5039ee2cb6a3.pdf</t>
  </si>
  <si>
    <t>https://files.armadanusantara.co.id/bukti/a1330b1db8c6.pdf</t>
  </si>
  <si>
    <t>https://files.armadanusantara.co.id/bukti/ed68e8bb0c62.png</t>
  </si>
  <si>
    <t>https://files.armadanusantara.co.id/bukti/1b4e5d5e7f68.jpg</t>
  </si>
  <si>
    <t>https://files.armadanusantara.co.id/bukti/64bac44af6b3.jpeg</t>
  </si>
  <si>
    <t>https://files.armadanusantara.co.id/bukti/4f831289a72a.png</t>
  </si>
  <si>
    <t>https://files.armadanusantara.co.id/bukti/1b92d79039bd.png</t>
  </si>
  <si>
    <t>https://files.armadanusantara.co.id/bukti/e90fedcbcef8.pdf</t>
  </si>
  <si>
    <t>https://files.armadanusantara.co.id/bukti/004b4500b214.jpg</t>
  </si>
  <si>
    <t>https://files.armadanusantara.co.id/bukti/e854cb8d46b8.jpeg</t>
  </si>
  <si>
    <t>https://files.armadanusantara.co.id/bukti/78b9745775ea.jpeg</t>
  </si>
  <si>
    <t>https://files.armadanusantara.co.id/bukti/47fd03932213.jpeg</t>
  </si>
  <si>
    <t>https://files.armadanusantara.co.id/bukti/43bff0cc4470.png</t>
  </si>
  <si>
    <t>https://files.armadanusantara.co.id/bukti/c533769df5b8.pdf</t>
  </si>
  <si>
    <t>https://files.armadanusantara.co.id/bukti/bb8da6c51abd.pdf</t>
  </si>
  <si>
    <t>https://files.armadanusantara.co.id/bukti/85059f55c1c6.pdf</t>
  </si>
  <si>
    <t>https://files.armadanusantara.co.id/bukti/cbe57468c698.jpeg</t>
  </si>
  <si>
    <t>https://files.armadanusantara.co.id/bukti/852c18f9590d.jpg</t>
  </si>
  <si>
    <t>https://files.armadanusantara.co.id/bukti/4639420c7f72.png</t>
  </si>
  <si>
    <t>https://files.armadanusantara.co.id/bukti/d7b968920267.png</t>
  </si>
  <si>
    <t>https://files.armadanusantara.co.id/bukti/0b98fb9e4625.png</t>
  </si>
  <si>
    <t>https://files.armadanusantara.co.id/bukti/c0706c7a1758.jpeg</t>
  </si>
  <si>
    <t>https://files.armadanusantara.co.id/bukti/dc641f2f772f.jpeg</t>
  </si>
  <si>
    <t>https://files.armadanusantara.co.id/bukti/860c62ae2474.pdf</t>
  </si>
  <si>
    <t>https://files.armadanusantara.co.id/bukti/1a39555cec15.png</t>
  </si>
  <si>
    <t>https://files.armadanusantara.co.id/bukti/54ad8b983346.jpeg</t>
  </si>
  <si>
    <t>https://files.armadanusantara.co.id/bukti/134f37692445.jpeg</t>
  </si>
  <si>
    <t>https://files.armadanusantara.co.id/bukti/7e115f24dfcb.png</t>
  </si>
  <si>
    <t>https://files.armadanusantara.co.id/bukti/879e4e5194ea.png</t>
  </si>
  <si>
    <t>https://files.armadanusantara.co.id/bukti/bcb8a383c73e.jpeg</t>
  </si>
  <si>
    <t>https://files.armadanusantara.co.id/bukti/17e644f4af91.jpeg</t>
  </si>
  <si>
    <t>https://files.armadanusantara.co.id/bukti/71efabb09899.png</t>
  </si>
  <si>
    <t>https://files.armadanusantara.co.id/bukti/69f726dc2bf2.pdf</t>
  </si>
  <si>
    <t>https://files.armadanusantara.co.id/bukti/5f06f80655be.jpeg</t>
  </si>
  <si>
    <t>https://files.armadanusantara.co.id/bukti/1402b62e3d68.jpg</t>
  </si>
  <si>
    <t>https://files.armadanusantara.co.id/bukti/0d87d57be596.png</t>
  </si>
  <si>
    <t>https://files.armadanusantara.co.id/bukti/965d9f59ceda.jpeg</t>
  </si>
  <si>
    <t>https://files.armadanusantara.co.id/bukti/c399fa4ba9ca.jpeg</t>
  </si>
  <si>
    <t>https://files.armadanusantara.co.id/bukti/352ee3647f63.png</t>
  </si>
  <si>
    <t>https://files.armadanusantara.co.id/bukti/6d8eb2a74036.png</t>
  </si>
  <si>
    <t>https://files.armadanusantara.co.id/bukti/0d6d8fa11233.jpg</t>
  </si>
  <si>
    <t>https://files.armadanusantara.co.id/bukti/2768c9eea11e.png</t>
  </si>
  <si>
    <t>https://files.armadanusantara.co.id/bukti/be38893ef637.jpeg</t>
  </si>
  <si>
    <t>https://files.armadanusantara.co.id/bukti/1da4b5e65277.pdf</t>
  </si>
  <si>
    <t>https://files.armadanusantara.co.id/bukti/ed9cea32bbe5.pdf</t>
  </si>
  <si>
    <t>https://files.armadanusantara.co.id/bukti/52d735c7116b.pdf</t>
  </si>
  <si>
    <t>https://files.armadanusantara.co.id/bukti/b8f3a9d83404.pdf</t>
  </si>
  <si>
    <t>https://files.armadanusantara.co.id/bukti/4f82200b2043.jpg</t>
  </si>
  <si>
    <t>https://files.armadanusantara.co.id/bukti/477c761b4b0e.pdf</t>
  </si>
  <si>
    <t>https://files.armadanusantara.co.id/bukti/7468adc181d9.jpg</t>
  </si>
  <si>
    <t>https://files.armadanusantara.co.id/bukti/8e1c9cf22dff.png</t>
  </si>
  <si>
    <t>https://files.armadanusantara.co.id/bukti/9f8530df4f09.pdf</t>
  </si>
  <si>
    <t>https://files.armadanusantara.co.id/bukti/785a68cbe35f.jpg</t>
  </si>
  <si>
    <t>https://files.armadanusantara.co.id/bukti/b0d357a1ecfa.pdf</t>
  </si>
  <si>
    <t>https://files.armadanusantara.co.id/bukti/49fac542d5f8.png</t>
  </si>
  <si>
    <t>https://files.armadanusantara.co.id/bukti/96c797af8501.pdf</t>
  </si>
  <si>
    <t>https://files.armadanusantara.co.id/bukti/659ac5c7226c.pdf</t>
  </si>
  <si>
    <t>https://files.armadanusantara.co.id/bukti/c1f1c8d9b509.pdf</t>
  </si>
  <si>
    <t>https://files.armadanusantara.co.id/bukti/00ce132f3a49.pdf</t>
  </si>
  <si>
    <t>https://files.armadanusantara.co.id/bukti/65dec16c82a6.png</t>
  </si>
  <si>
    <t>https://files.armadanusantara.co.id/bukti/56fced1c2d10.jpeg</t>
  </si>
  <si>
    <t>https://files.armadanusantara.co.id/bukti/3f6c3dafb860.jpg</t>
  </si>
  <si>
    <t>https://files.armadanusantara.co.id/bukti/8fa4fe0e68be.jpeg</t>
  </si>
  <si>
    <t>https://files.armadanusantara.co.id/bukti/36ceddc13436.pdf</t>
  </si>
  <si>
    <t>83687@armadanusantara.co.id</t>
  </si>
  <si>
    <t>Arif Wijaya</t>
  </si>
  <si>
    <t>https://files.armadanusantara.co.id/bukti/122a7ea8efba.png</t>
  </si>
  <si>
    <t>https://files.armadanusantara.co.id/bukti/51273afa0bc7.jpg</t>
  </si>
  <si>
    <t>https://files.armadanusantara.co.id/bukti/f479e94b57ed.pdf</t>
  </si>
  <si>
    <t>https://files.armadanusantara.co.id/bukti/e0f38407a077.jpg</t>
  </si>
  <si>
    <t>https://files.armadanusantara.co.id/bukti/3fbede343127.png</t>
  </si>
  <si>
    <t>https://files.armadanusantara.co.id/bukti/897f35a83555.png</t>
  </si>
  <si>
    <t>https://files.armadanusantara.co.id/bukti/1ace66038629.png</t>
  </si>
  <si>
    <t>https://files.armadanusantara.co.id/bukti/7c3f842f45b1.png</t>
  </si>
  <si>
    <t>https://files.armadanusantara.co.id/bukti/9546da61f6f5.jpeg</t>
  </si>
  <si>
    <t>https://files.armadanusantara.co.id/bukti/878cf39de5bb.jpg</t>
  </si>
  <si>
    <t>https://files.armadanusantara.co.id/bukti/ebec5578b97b.png</t>
  </si>
  <si>
    <t>https://files.armadanusantara.co.id/bukti/9274e848ac63.jpeg</t>
  </si>
  <si>
    <t>https://files.armadanusantara.co.id/bukti/ad717d1d1db0.pdf</t>
  </si>
  <si>
    <t>https://files.armadanusantara.co.id/bukti/65dfe1123b92.png</t>
  </si>
  <si>
    <t>https://files.armadanusantara.co.id/bukti/448b481344de.jpeg</t>
  </si>
  <si>
    <t>https://files.armadanusantara.co.id/bukti/0b8320acc8bc.png</t>
  </si>
  <si>
    <t>https://files.armadanusantara.co.id/bukti/dd3b602945ad.pdf</t>
  </si>
  <si>
    <t>https://files.armadanusantara.co.id/bukti/90fd093bf728.jpeg</t>
  </si>
  <si>
    <t>https://files.armadanusantara.co.id/bukti/5d4a640d34b4.jpeg</t>
  </si>
  <si>
    <t>https://files.armadanusantara.co.id/bukti/fc7934deb2ba.pdf</t>
  </si>
  <si>
    <t>https://files.armadanusantara.co.id/bukti/ea4c1cb8d77e.jpeg</t>
  </si>
  <si>
    <t>https://files.armadanusantara.co.id/bukti/78ae16bbbe7f.pdf</t>
  </si>
  <si>
    <t>https://files.armadanusantara.co.id/bukti/310635a1d4a6.jpeg</t>
  </si>
  <si>
    <t>https://files.armadanusantara.co.id/bukti/ee069511343d.pdf</t>
  </si>
  <si>
    <t>B9289IA</t>
  </si>
  <si>
    <t>https://files.armadanusantara.co.id/bukti/3c216379d902.jpeg</t>
  </si>
  <si>
    <t>https://files.armadanusantara.co.id/bukti/9cfcc751f38e.pdf</t>
  </si>
  <si>
    <t>https://files.armadanusantara.co.id/bukti/dc506fe9bb31.png</t>
  </si>
  <si>
    <t>https://files.armadanusantara.co.id/bukti/aee01a40a27b.jpg</t>
  </si>
  <si>
    <t>https://files.armadanusantara.co.id/bukti/e589df2cec30.jpg</t>
  </si>
  <si>
    <t>https://files.armadanusantara.co.id/bukti/50709cc4855a.png</t>
  </si>
  <si>
    <t>https://files.armadanusantara.co.id/bukti/73b0ca5b8ea6.png</t>
  </si>
  <si>
    <t>https://files.armadanusantara.co.id/bukti/8b5831458c5a.pdf</t>
  </si>
  <si>
    <t>https://files.armadanusantara.co.id/bukti/4908f3537dd6.png</t>
  </si>
  <si>
    <t>https://files.armadanusantara.co.id/bukti/7cb9931b47fc.jpg</t>
  </si>
  <si>
    <t>https://files.armadanusantara.co.id/bukti/1f0ddf1f5e57.jpeg</t>
  </si>
  <si>
    <t>https://files.armadanusantara.co.id/bukti/352c807aca73.pdf</t>
  </si>
  <si>
    <t>https://files.armadanusantara.co.id/bukti/cb8bf6745f4f.pdf</t>
  </si>
  <si>
    <t>https://files.armadanusantara.co.id/bukti/cdde287b9cab.pdf</t>
  </si>
  <si>
    <t>https://files.armadanusantara.co.id/bukti/5085e64d2c9b.pdf</t>
  </si>
  <si>
    <t>https://files.armadanusantara.co.id/bukti/f5066e9b4308.jpeg</t>
  </si>
  <si>
    <t>https://files.armadanusantara.co.id/bukti/f805e698d936.jpeg</t>
  </si>
  <si>
    <t>https://files.armadanusantara.co.id/bukti/57de71ad58d7.png</t>
  </si>
  <si>
    <t>https://files.armadanusantara.co.id/bukti/012db6da1824.jpg</t>
  </si>
  <si>
    <t>https://files.armadanusantara.co.id/bukti/e12460f316b0.jpg</t>
  </si>
  <si>
    <t>https://files.armadanusantara.co.id/bukti/8dc74200b824.jpg</t>
  </si>
  <si>
    <t>https://files.armadanusantara.co.id/bukti/e58a44691604.jpeg</t>
  </si>
  <si>
    <t>https://files.armadanusantara.co.id/bukti/cb0780d7ead4.png</t>
  </si>
  <si>
    <t>https://files.armadanusantara.co.id/bukti/8c46fd70e539.pdf</t>
  </si>
  <si>
    <t>https://files.armadanusantara.co.id/bukti/0f0feb2cf970.jpg</t>
  </si>
  <si>
    <t>https://files.armadanusantara.co.id/bukti/2886b6e4f0fc.jpg</t>
  </si>
  <si>
    <t>https://files.armadanusantara.co.id/bukti/5e638b2533b5.pdf</t>
  </si>
  <si>
    <t>https://files.armadanusantara.co.id/bukti/3a6d46e4f86f.png</t>
  </si>
  <si>
    <t>https://files.armadanusantara.co.id/bukti/b22fa865eaab.pdf</t>
  </si>
  <si>
    <t>https://files.armadanusantara.co.id/bukti/6d89c971cf5e.pdf</t>
  </si>
  <si>
    <t>https://files.armadanusantara.co.id/bukti/ee0c2c64566f.jpg</t>
  </si>
  <si>
    <t>https://files.armadanusantara.co.id/bukti/25a552be8380.jpg</t>
  </si>
  <si>
    <t>https://files.armadanusantara.co.id/bukti/3cd5379e4526.jpg</t>
  </si>
  <si>
    <t>https://files.armadanusantara.co.id/bukti/91baa0b14db6.jpeg</t>
  </si>
  <si>
    <t>https://files.armadanusantara.co.id/bukti/dc23e2855c7f.jpeg</t>
  </si>
  <si>
    <t>https://files.armadanusantara.co.id/bukti/355aa0e9dac4.jpg</t>
  </si>
  <si>
    <t>https://files.armadanusantara.co.id/bukti/40fc06b5ebb5.png</t>
  </si>
  <si>
    <t>https://files.armadanusantara.co.id/bukti/a1890588a547.png</t>
  </si>
  <si>
    <t>https://files.armadanusantara.co.id/bukti/6a7d32d9662c.jpeg</t>
  </si>
  <si>
    <t>https://files.armadanusantara.co.id/bukti/ca5842e7c514.jpeg</t>
  </si>
  <si>
    <t>B4490BIH</t>
  </si>
  <si>
    <t>https://files.armadanusantara.co.id/bukti/182a0b446451.pdf</t>
  </si>
  <si>
    <t>https://files.armadanusantara.co.id/bukti/3029cadd5e43.jpg</t>
  </si>
  <si>
    <t>https://files.armadanusantara.co.id/bukti/7ca9e1bcc6f2.pdf</t>
  </si>
  <si>
    <t>https://files.armadanusantara.co.id/bukti/ca3b91a983df.jpg</t>
  </si>
  <si>
    <t>https://files.armadanusantara.co.id/bukti/316b31ee7028.jpeg</t>
  </si>
  <si>
    <t>https://files.armadanusantara.co.id/bukti/3d6a8d07fbc1.pdf</t>
  </si>
  <si>
    <t>https://files.armadanusantara.co.id/bukti/f60402384d02.png</t>
  </si>
  <si>
    <t>https://files.armadanusantara.co.id/bukti/d941ea56c7d8.png</t>
  </si>
  <si>
    <t>https://files.armadanusantara.co.id/bukti/09e819e6b0f8.png</t>
  </si>
  <si>
    <t>https://files.armadanusantara.co.id/bukti/6d8fa1addfda.jpeg</t>
  </si>
  <si>
    <t>https://files.armadanusantara.co.id/bukti/47bc3a9bcf1b.jpg</t>
  </si>
  <si>
    <t>https://files.armadanusantara.co.id/bukti/c9d571057fd0.pdf</t>
  </si>
  <si>
    <t>https://files.armadanusantara.co.id/bukti/5976949d92e0.jpeg</t>
  </si>
  <si>
    <t>https://files.armadanusantara.co.id/bukti/6e77f6976726.jpeg</t>
  </si>
  <si>
    <t>https://files.armadanusantara.co.id/bukti/024a20af9533.png</t>
  </si>
  <si>
    <t>https://files.armadanusantara.co.id/bukti/8ef741c2b65e.jpeg</t>
  </si>
  <si>
    <t>https://files.armadanusantara.co.id/bukti/dfc168158b98.pdf</t>
  </si>
  <si>
    <t>https://files.armadanusantara.co.id/bukti/e4cba86557f9.pdf</t>
  </si>
  <si>
    <t>https://files.armadanusantara.co.id/bukti/669214095bfe.jpg</t>
  </si>
  <si>
    <t>https://files.armadanusantara.co.id/bukti/7967dd54c82d.jpeg</t>
  </si>
  <si>
    <t>https://files.armadanusantara.co.id/bukti/529c9c9657c5.jpg</t>
  </si>
  <si>
    <t>https://files.armadanusantara.co.id/bukti/bd1de898ee83.jpg</t>
  </si>
  <si>
    <t>https://files.armadanusantara.co.id/bukti/d1b7c8e2fb45.png</t>
  </si>
  <si>
    <t>https://files.armadanusantara.co.id/bukti/b92b73655c43.jpg</t>
  </si>
  <si>
    <t>https://files.armadanusantara.co.id/bukti/bcf8345764a2.jpeg</t>
  </si>
  <si>
    <t>https://files.armadanusantara.co.id/bukti/5307b04723e3.png</t>
  </si>
  <si>
    <t>https://files.armadanusantara.co.id/bukti/0c0e8f26be12.png</t>
  </si>
  <si>
    <t>https://files.armadanusantara.co.id/bukti/4043eb877f4c.jpg</t>
  </si>
  <si>
    <t>https://files.armadanusantara.co.id/bukti/a19785773770.pdf</t>
  </si>
  <si>
    <t>https://files.armadanusantara.co.id/bukti/fec27b6d69bd.jpg</t>
  </si>
  <si>
    <t>https://files.armadanusantara.co.id/bukti/9a1e878b076f.pdf</t>
  </si>
  <si>
    <t>https://files.armadanusantara.co.id/bukti/8c2c8e3e8097.jpeg</t>
  </si>
  <si>
    <t>https://files.armadanusantara.co.id/bukti/dbc2c80c8906.pdf</t>
  </si>
  <si>
    <t>https://files.armadanusantara.co.id/bukti/30fce7e410fb.jpg</t>
  </si>
  <si>
    <t>https://files.armadanusantara.co.id/bukti/fe1abd6d503d.pdf</t>
  </si>
  <si>
    <t>https://files.armadanusantara.co.id/bukti/5f47870703f9.jpeg</t>
  </si>
  <si>
    <t>https://files.armadanusantara.co.id/bukti/cff7ec869f8c.pdf</t>
  </si>
  <si>
    <t>https://files.armadanusantara.co.id/bukti/4294e94c4bf0.pdf</t>
  </si>
  <si>
    <t>https://files.armadanusantara.co.id/bukti/d259a138ac83.png</t>
  </si>
  <si>
    <t>https://files.armadanusantara.co.id/bukti/2e5109e2e2f0.jpg</t>
  </si>
  <si>
    <t>https://files.armadanusantara.co.id/bukti/10f53417cec9.jpeg</t>
  </si>
  <si>
    <t>https://files.armadanusantara.co.id/bukti/94fd4e02c6dd.jpg</t>
  </si>
  <si>
    <t>https://files.armadanusantara.co.id/bukti/289a58c9497b.jpg</t>
  </si>
  <si>
    <t>https://files.armadanusantara.co.id/bukti/919267c4e8e0.jpg</t>
  </si>
  <si>
    <t>https://files.armadanusantara.co.id/bukti/03c02abd5d03.jpeg</t>
  </si>
  <si>
    <t>https://files.armadanusantara.co.id/bukti/6ea9537787ef.jpeg</t>
  </si>
  <si>
    <t>https://files.armadanusantara.co.id/bukti/c47c22c2d51c.jpeg</t>
  </si>
  <si>
    <t>https://files.armadanusantara.co.id/bukti/64274bf24558.jpg</t>
  </si>
  <si>
    <t>https://files.armadanusantara.co.id/bukti/0cb7e31663eb.jpeg</t>
  </si>
  <si>
    <t>https://files.armadanusantara.co.id/bukti/6f86fba1abcc.jpg</t>
  </si>
  <si>
    <t>https://files.armadanusantara.co.id/bukti/5c3b9de7f54c.jpeg</t>
  </si>
  <si>
    <t>https://files.armadanusantara.co.id/bukti/ed5e440c5852.png</t>
  </si>
  <si>
    <t>https://files.armadanusantara.co.id/bukti/5077ad430f8f.jpg</t>
  </si>
  <si>
    <t>https://files.armadanusantara.co.id/bukti/defd23c8d4fd.png</t>
  </si>
  <si>
    <t>https://files.armadanusantara.co.id/bukti/16b5a85ee591.pdf</t>
  </si>
  <si>
    <t>https://files.armadanusantara.co.id/bukti/2421ec75b464.png</t>
  </si>
  <si>
    <t>https://files.armadanusantara.co.id/bukti/7e9fb7d3ddc8.jpeg</t>
  </si>
  <si>
    <t>https://files.armadanusantara.co.id/bukti/2b8c83779312.jpeg</t>
  </si>
  <si>
    <t>https://files.armadanusantara.co.id/bukti/23a7d5fa6489.jpeg</t>
  </si>
  <si>
    <t>https://files.armadanusantara.co.id/bukti/51f9f7555169.jpeg</t>
  </si>
  <si>
    <t>https://files.armadanusantara.co.id/bukti/16d1e8541b82.jpg</t>
  </si>
  <si>
    <t>https://files.armadanusantara.co.id/bukti/2c719c573abf.jpeg</t>
  </si>
  <si>
    <t>https://files.armadanusantara.co.id/bukti/58af1336d0fc.pdf</t>
  </si>
  <si>
    <t>https://files.armadanusantara.co.id/bukti/0c8304d27cb5.jpeg</t>
  </si>
  <si>
    <t>https://files.armadanusantara.co.id/bukti/866f931c65cf.jpg</t>
  </si>
  <si>
    <t>https://files.armadanusantara.co.id/bukti/3a9da04615aa.jpeg</t>
  </si>
  <si>
    <t>https://files.armadanusantara.co.id/bukti/7ec012c65a46.png</t>
  </si>
  <si>
    <t>https://files.armadanusantara.co.id/bukti/2c8dcc25a242.jpeg</t>
  </si>
  <si>
    <t>https://files.armadanusantara.co.id/bukti/82a8de09b890.png</t>
  </si>
  <si>
    <t>https://files.armadanusantara.co.id/bukti/6f62593d6c2c.png</t>
  </si>
  <si>
    <t>https://files.armadanusantara.co.id/bukti/5462bba6a947.jpeg</t>
  </si>
  <si>
    <t>https://files.armadanusantara.co.id/bukti/c3e9554be4e8.jpg</t>
  </si>
  <si>
    <t>https://files.armadanusantara.co.id/bukti/fcac3c987810.jpeg</t>
  </si>
  <si>
    <t>https://files.armadanusantara.co.id/bukti/6cb8a65b29ec.jpeg</t>
  </si>
  <si>
    <t>https://files.armadanusantara.co.id/bukti/c65c4e27b7a0.jpeg</t>
  </si>
  <si>
    <t>https://files.armadanusantara.co.id/bukti/bb57a2eac609.pdf</t>
  </si>
  <si>
    <t>https://files.armadanusantara.co.id/bukti/289644558fa8.jpg</t>
  </si>
  <si>
    <t>https://files.armadanusantara.co.id/bukti/aa173d6fc77a.png</t>
  </si>
  <si>
    <t>https://files.armadanusantara.co.id/bukti/411bbcaacf13.png</t>
  </si>
  <si>
    <t>https://files.armadanusantara.co.id/bukti/ef469bcbd598.jpeg</t>
  </si>
  <si>
    <t>https://files.armadanusantara.co.id/bukti/120a22a90d73.png</t>
  </si>
  <si>
    <t>https://files.armadanusantara.co.id/bukti/1184c369b4c7.pdf</t>
  </si>
  <si>
    <t>https://files.armadanusantara.co.id/bukti/31515502e0a5.pdf</t>
  </si>
  <si>
    <t>https://files.armadanusantara.co.id/bukti/9069052e8b24.pdf</t>
  </si>
  <si>
    <t>https://files.armadanusantara.co.id/bukti/4c9df3136ebd.jpeg</t>
  </si>
  <si>
    <t>https://files.armadanusantara.co.id/bukti/9c4b6aabff01.jpeg</t>
  </si>
  <si>
    <t>https://files.armadanusantara.co.id/bukti/d79e0db841ef.jpg</t>
  </si>
  <si>
    <t>https://files.armadanusantara.co.id/bukti/53b2edc0963b.pdf</t>
  </si>
  <si>
    <t>https://files.armadanusantara.co.id/bukti/14e2878f31f4.jpg</t>
  </si>
  <si>
    <t>https://files.armadanusantara.co.id/bukti/c53b815b798c.png</t>
  </si>
  <si>
    <t>https://files.armadanusantara.co.id/bukti/e13c1d74e344.jpeg</t>
  </si>
  <si>
    <t>https://files.armadanusantara.co.id/bukti/741f4440b15a.jpeg</t>
  </si>
  <si>
    <t>https://files.armadanusantara.co.id/bukti/3beabcf02690.pdf</t>
  </si>
  <si>
    <t>https://files.armadanusantara.co.id/bukti/c09d38ab1a3d.pdf</t>
  </si>
  <si>
    <t>https://files.armadanusantara.co.id/bukti/207590ebee30.jpg</t>
  </si>
  <si>
    <t>https://files.armadanusantara.co.id/bukti/4812888c8d1c.jpg</t>
  </si>
  <si>
    <t>https://files.armadanusantara.co.id/bukti/0ab46992f7ab.jpg</t>
  </si>
  <si>
    <t>https://files.armadanusantara.co.id/bukti/5d9b2df65fb3.png</t>
  </si>
  <si>
    <t>https://files.armadanusantara.co.id/bukti/ab0fffc950a7.jpeg</t>
  </si>
  <si>
    <t>https://files.armadanusantara.co.id/bukti/2ebe4d9ce1fb.jpg</t>
  </si>
  <si>
    <t>https://files.armadanusantara.co.id/bukti/5932a0a14c19.pdf</t>
  </si>
  <si>
    <t>https://files.armadanusantara.co.id/bukti/4e928e09b079.jpeg</t>
  </si>
  <si>
    <t>B6596KS</t>
  </si>
  <si>
    <t>https://files.armadanusantara.co.id/bukti/d0d3f87c9fcd.jpg</t>
  </si>
  <si>
    <t>https://files.armadanusantara.co.id/bukti/5045914445b7.pdf</t>
  </si>
  <si>
    <t>https://files.armadanusantara.co.id/bukti/96bc60a56319.pdf</t>
  </si>
  <si>
    <t>https://files.armadanusantara.co.id/bukti/52106e9fb289.jpg</t>
  </si>
  <si>
    <t>https://files.armadanusantara.co.id/bukti/e1911852e930.jpeg</t>
  </si>
  <si>
    <t>https://files.armadanusantara.co.id/bukti/4cea93c56a24.png</t>
  </si>
  <si>
    <t>https://files.armadanusantara.co.id/bukti/c7f6f6577c86.jpeg</t>
  </si>
  <si>
    <t>https://files.armadanusantara.co.id/bukti/7662114c590a.jpg</t>
  </si>
  <si>
    <t>https://files.armadanusantara.co.id/bukti/a17da7036c63.jpg</t>
  </si>
  <si>
    <t>https://files.armadanusantara.co.id/bukti/bd4e809c2c20.jpeg</t>
  </si>
  <si>
    <t>https://files.armadanusantara.co.id/bukti/dcf44009d6a1.jpeg</t>
  </si>
  <si>
    <t>https://files.armadanusantara.co.id/bukti/4cb18895a99a.pdf</t>
  </si>
  <si>
    <t>https://files.armadanusantara.co.id/bukti/4e2550e95813.png</t>
  </si>
  <si>
    <t>https://files.armadanusantara.co.id/bukti/2ec0ac782342.jpg</t>
  </si>
  <si>
    <t>https://files.armadanusantara.co.id/bukti/dc988ff44b23.png</t>
  </si>
  <si>
    <t>https://files.armadanusantara.co.id/bukti/d1b89222f3c2.pdf</t>
  </si>
  <si>
    <t>https://files.armadanusantara.co.id/bukti/5eb5c5640c2a.png</t>
  </si>
  <si>
    <t>https://files.armadanusantara.co.id/bukti/302228be087f.jpg</t>
  </si>
  <si>
    <t>99411@armadanusantara.co.id</t>
  </si>
  <si>
    <t>Nur Zulkarnain</t>
  </si>
  <si>
    <t>https://files.armadanusantara.co.id/bukti/815c16c2e2f2.pdf</t>
  </si>
  <si>
    <t>https://files.armadanusantara.co.id/bukti/ad7094202794.jpeg</t>
  </si>
  <si>
    <t>https://files.armadanusantara.co.id/bukti/328339e3b2e6.jpg</t>
  </si>
  <si>
    <t>https://files.armadanusantara.co.id/bukti/d4accb9a5069.pdf</t>
  </si>
  <si>
    <t>https://files.armadanusantara.co.id/bukti/19bbacb23871.jpeg</t>
  </si>
  <si>
    <t>https://files.armadanusantara.co.id/bukti/15db86dd81b1.pdf</t>
  </si>
  <si>
    <t>https://files.armadanusantara.co.id/bukti/743ab77c8b59.jpeg</t>
  </si>
  <si>
    <t>https://files.armadanusantara.co.id/bukti/b4836903922c.jpg</t>
  </si>
  <si>
    <t>https://files.armadanusantara.co.id/bukti/b161229dd06c.pdf</t>
  </si>
  <si>
    <t>https://files.armadanusantara.co.id/bukti/e034a6c9a692.jpeg</t>
  </si>
  <si>
    <t>https://files.armadanusantara.co.id/bukti/38650f6d6a46.png</t>
  </si>
  <si>
    <t>https://files.armadanusantara.co.id/bukti/2a053b34f3ac.jpg</t>
  </si>
  <si>
    <t>https://files.armadanusantara.co.id/bukti/71f8767604d5.pdf</t>
  </si>
  <si>
    <t>https://files.armadanusantara.co.id/bukti/281f0791cf4a.jpeg</t>
  </si>
  <si>
    <t>https://files.armadanusantara.co.id/bukti/e286b83e1347.jpg</t>
  </si>
  <si>
    <t>https://files.armadanusantara.co.id/bukti/4aa1cd8ff232.pdf</t>
  </si>
  <si>
    <t>https://files.armadanusantara.co.id/bukti/154bc393ff64.jpg</t>
  </si>
  <si>
    <t>https://files.armadanusantara.co.id/bukti/925db159e24c.jpeg</t>
  </si>
  <si>
    <t>https://files.armadanusantara.co.id/bukti/0d13985cbdd5.pdf</t>
  </si>
  <si>
    <t>https://files.armadanusantara.co.id/bukti/7f7f96924a88.pdf</t>
  </si>
  <si>
    <t>https://files.armadanusantara.co.id/bukti/1d692532fb6f.jpeg</t>
  </si>
  <si>
    <t>https://files.armadanusantara.co.id/bukti/b5cd1fe498da.jpeg</t>
  </si>
  <si>
    <t>https://files.armadanusantara.co.id/bukti/953123b4637e.png</t>
  </si>
  <si>
    <t>https://files.armadanusantara.co.id/bukti/2916724d14c1.jpeg</t>
  </si>
  <si>
    <t>https://files.armadanusantara.co.id/bukti/7cec6c2f93db.jpeg</t>
  </si>
  <si>
    <t>https://files.armadanusantara.co.id/bukti/ac2f66f57f7c.jpg</t>
  </si>
  <si>
    <t>https://files.armadanusantara.co.id/bukti/6318396be0e9.pdf</t>
  </si>
  <si>
    <t>https://files.armadanusantara.co.id/bukti/3eba58f5500b.pdf</t>
  </si>
  <si>
    <t>https://files.armadanusantara.co.id/bukti/98dcf1100c58.pdf</t>
  </si>
  <si>
    <t>https://files.armadanusantara.co.id/bukti/456c5f3ab5a7.jpg</t>
  </si>
  <si>
    <t>https://files.armadanusantara.co.id/bukti/5df19ef5c1e2.jpg</t>
  </si>
  <si>
    <t>https://files.armadanusantara.co.id/bukti/6c4ebf703214.jpeg</t>
  </si>
  <si>
    <t>https://files.armadanusantara.co.id/bukti/706ef94cb07f.pdf</t>
  </si>
  <si>
    <t>https://files.armadanusantara.co.id/bukti/4ef943ab2aae.jpeg</t>
  </si>
  <si>
    <t>https://files.armadanusantara.co.id/bukti/92d91be9e378.jpeg</t>
  </si>
  <si>
    <t>https://files.armadanusantara.co.id/bukti/1573224cfb22.jpeg</t>
  </si>
  <si>
    <t>https://files.armadanusantara.co.id/bukti/3aa07161a6b1.jpg</t>
  </si>
  <si>
    <t>https://files.armadanusantara.co.id/bukti/85ee453e8355.jpeg</t>
  </si>
  <si>
    <t>B9170TN</t>
  </si>
  <si>
    <t>https://files.armadanusantara.co.id/bukti/e9308eab1e35.png</t>
  </si>
  <si>
    <t>https://files.armadanusantara.co.id/bukti/11bb0da7e251.pdf</t>
  </si>
  <si>
    <t>https://files.armadanusantara.co.id/bukti/65bcf630026c.pdf</t>
  </si>
  <si>
    <t>https://files.armadanusantara.co.id/bukti/4c93998206f7.pdf</t>
  </si>
  <si>
    <t>https://files.armadanusantara.co.id/bukti/511856677d66.jpg</t>
  </si>
  <si>
    <t>https://files.armadanusantara.co.id/bukti/bd857fedbc11.pdf</t>
  </si>
  <si>
    <t>https://files.armadanusantara.co.id/bukti/0801817a282e.jpeg</t>
  </si>
  <si>
    <t>https://files.armadanusantara.co.id/bukti/903dc0d686d7.jpeg</t>
  </si>
  <si>
    <t>https://files.armadanusantara.co.id/bukti/891f3c546058.png</t>
  </si>
  <si>
    <t>https://files.armadanusantara.co.id/bukti/8238fff80981.pdf</t>
  </si>
  <si>
    <t>https://files.armadanusantara.co.id/bukti/7114691d8c49.png</t>
  </si>
  <si>
    <t>https://files.armadanusantara.co.id/bukti/be01ebddd5cb.png</t>
  </si>
  <si>
    <t>https://files.armadanusantara.co.id/bukti/5dcb6d82343c.jpg</t>
  </si>
  <si>
    <t>https://files.armadanusantara.co.id/bukti/011a43274c6d.pdf</t>
  </si>
  <si>
    <t>https://files.armadanusantara.co.id/bukti/02c6531da799.jpeg</t>
  </si>
  <si>
    <t>https://files.armadanusantara.co.id/bukti/309b075031e3.pdf</t>
  </si>
  <si>
    <t>https://files.armadanusantara.co.id/bukti/bf163165966e.png</t>
  </si>
  <si>
    <t>https://files.armadanusantara.co.id/bukti/41d591618eca.png</t>
  </si>
  <si>
    <t>https://files.armadanusantara.co.id/bukti/4c3876ddd9e6.pdf</t>
  </si>
  <si>
    <t>https://files.armadanusantara.co.id/bukti/d107d8460cc2.png</t>
  </si>
  <si>
    <t>https://files.armadanusantara.co.id/bukti/b1761744036f.png</t>
  </si>
  <si>
    <t>https://files.armadanusantara.co.id/bukti/4f7ab8f24b4d.jpeg</t>
  </si>
  <si>
    <t>https://files.armadanusantara.co.id/bukti/42e62b6a3747.pdf</t>
  </si>
  <si>
    <t>https://files.armadanusantara.co.id/bukti/5081b191d363.jpeg</t>
  </si>
  <si>
    <t>https://files.armadanusantara.co.id/bukti/8ca33cf9419e.jpg</t>
  </si>
  <si>
    <t>https://files.armadanusantara.co.id/bukti/8dde6c146a23.jpg</t>
  </si>
  <si>
    <t>B5644FI</t>
  </si>
  <si>
    <t>https://files.armadanusantara.co.id/bukti/8830740d6ac2.png</t>
  </si>
  <si>
    <t>https://files.armadanusantara.co.id/bukti/fa5bcc81f9d1.jpeg</t>
  </si>
  <si>
    <t>https://files.armadanusantara.co.id/bukti/e05a3cd55d47.jpg</t>
  </si>
  <si>
    <t>https://files.armadanusantara.co.id/bukti/89d7d7d627e0.pdf</t>
  </si>
  <si>
    <t>https://files.armadanusantara.co.id/bukti/9ce11f0e8afc.jpeg</t>
  </si>
  <si>
    <t>https://files.armadanusantara.co.id/bukti/b3ba629a5362.jpeg</t>
  </si>
  <si>
    <t>https://files.armadanusantara.co.id/bukti/4a53809be0f1.jpg</t>
  </si>
  <si>
    <t>https://files.armadanusantara.co.id/bukti/b79150783bee.jpeg</t>
  </si>
  <si>
    <t>https://files.armadanusantara.co.id/bukti/ac6471bd10f6.png</t>
  </si>
  <si>
    <t>https://files.armadanusantara.co.id/bukti/9fbc3ea10787.pdf</t>
  </si>
  <si>
    <t>https://files.armadanusantara.co.id/bukti/b0da021dc29b.pdf</t>
  </si>
  <si>
    <t>https://files.armadanusantara.co.id/bukti/ec0f8859255d.pdf</t>
  </si>
  <si>
    <t>https://files.armadanusantara.co.id/bukti/fc1e7c84f253.jpg</t>
  </si>
  <si>
    <t>https://files.armadanusantara.co.id/bukti/d192a67026ba.jpg</t>
  </si>
  <si>
    <t>https://files.armadanusantara.co.id/bukti/cf05df9439d2.jpeg</t>
  </si>
  <si>
    <t>https://files.armadanusantara.co.id/bukti/670500691569.jpg</t>
  </si>
  <si>
    <t>https://files.armadanusantara.co.id/bukti/2f8c50d77ee1.jpg</t>
  </si>
  <si>
    <t>https://files.armadanusantara.co.id/bukti/c00998dfe57d.jpg</t>
  </si>
  <si>
    <t>https://files.armadanusantara.co.id/bukti/7a320a4353c4.pdf</t>
  </si>
  <si>
    <t>https://files.armadanusantara.co.id/bukti/3c05542b1d5c.jpeg</t>
  </si>
  <si>
    <t>https://files.armadanusantara.co.id/bukti/c6dbb30171d5.pdf</t>
  </si>
  <si>
    <t>https://files.armadanusantara.co.id/bukti/1965fdf871fc.png</t>
  </si>
  <si>
    <t>https://files.armadanusantara.co.id/bukti/cde6acfad2f7.jpeg</t>
  </si>
  <si>
    <t>https://files.armadanusantara.co.id/bukti/90fa54b3e3b8.png</t>
  </si>
  <si>
    <t>https://files.armadanusantara.co.id/bukti/a99585b267e6.jpeg</t>
  </si>
  <si>
    <t>https://files.armadanusantara.co.id/bukti/c3959757f666.png</t>
  </si>
  <si>
    <t>https://files.armadanusantara.co.id/bukti/eb57ee4dadfd.jpeg</t>
  </si>
  <si>
    <t>https://files.armadanusantara.co.id/bukti/b0ee9090164f.pdf</t>
  </si>
  <si>
    <t>https://files.armadanusantara.co.id/bukti/3b2ea3d48f67.jpg</t>
  </si>
  <si>
    <t>https://files.armadanusantara.co.id/bukti/2d9f07751f4b.png</t>
  </si>
  <si>
    <t>https://files.armadanusantara.co.id/bukti/ea80c5f69fbe.png</t>
  </si>
  <si>
    <t>https://files.armadanusantara.co.id/bukti/7bf95f511d1f.pdf</t>
  </si>
  <si>
    <t>https://files.armadanusantara.co.id/bukti/4a49a69fdcc3.jpeg</t>
  </si>
  <si>
    <t>https://files.armadanusantara.co.id/bukti/3918ed319d62.png</t>
  </si>
  <si>
    <t>https://files.armadanusantara.co.id/bukti/898920e9891f.pdf</t>
  </si>
  <si>
    <t>https://files.armadanusantara.co.id/bukti/17435027ffc2.jpeg</t>
  </si>
  <si>
    <t>https://files.armadanusantara.co.id/bukti/ff730c4f682a.jpg</t>
  </si>
  <si>
    <t>https://files.armadanusantara.co.id/bukti/618f0b4ae427.png</t>
  </si>
  <si>
    <t>https://files.armadanusantara.co.id/bukti/36abe0610fbe.pdf</t>
  </si>
  <si>
    <t>https://files.armadanusantara.co.id/bukti/07c88adb45d1.jpg</t>
  </si>
  <si>
    <t>https://files.armadanusantara.co.id/bukti/c6221cf21adb.png</t>
  </si>
  <si>
    <t>https://files.armadanusantara.co.id/bukti/a46dd25412fd.jpg</t>
  </si>
  <si>
    <t>https://files.armadanusantara.co.id/bukti/00366cd159e2.jpg</t>
  </si>
  <si>
    <t>https://files.armadanusantara.co.id/bukti/a2dd634ff8a0.jpeg</t>
  </si>
  <si>
    <t>https://files.armadanusantara.co.id/bukti/9af18f3ed0a4.png</t>
  </si>
  <si>
    <t>https://files.armadanusantara.co.id/bukti/4315e24f1d42.png</t>
  </si>
  <si>
    <t>https://files.armadanusantara.co.id/bukti/fb3b95414a71.jpg</t>
  </si>
  <si>
    <t>https://files.armadanusantara.co.id/bukti/7bf17338ae49.pdf</t>
  </si>
  <si>
    <t>https://files.armadanusantara.co.id/bukti/eecd7f4881ea.pdf</t>
  </si>
  <si>
    <t>https://files.armadanusantara.co.id/bukti/6329ed503372.pdf</t>
  </si>
  <si>
    <t>https://files.armadanusantara.co.id/bukti/984f44f4e1e0.jpg</t>
  </si>
  <si>
    <t>https://files.armadanusantara.co.id/bukti/50be353b28f9.jpg</t>
  </si>
  <si>
    <t>https://files.armadanusantara.co.id/bukti/2c2ca44066b4.jpg</t>
  </si>
  <si>
    <t>https://files.armadanusantara.co.id/bukti/93910a46837e.jpg</t>
  </si>
  <si>
    <t>https://files.armadanusantara.co.id/bukti/583f4db9132f.jpg</t>
  </si>
  <si>
    <t>https://files.armadanusantara.co.id/bukti/d115ba78d4f5.pdf</t>
  </si>
  <si>
    <t>https://files.armadanusantara.co.id/bukti/569ba243771f.jpg</t>
  </si>
  <si>
    <t>https://files.armadanusantara.co.id/bukti/a510850c25f9.jpg</t>
  </si>
  <si>
    <t>https://files.armadanusantara.co.id/bukti/5ecd1fbd2365.png</t>
  </si>
  <si>
    <t>https://files.armadanusantara.co.id/bukti/7da7c116b00c.jpeg</t>
  </si>
  <si>
    <t>https://files.armadanusantara.co.id/bukti/006e143bf18d.jpg</t>
  </si>
  <si>
    <t>https://files.armadanusantara.co.id/bukti/0d1785824286.pdf</t>
  </si>
  <si>
    <t>https://files.armadanusantara.co.id/bukti/413b629c7953.jpg</t>
  </si>
  <si>
    <t>https://files.armadanusantara.co.id/bukti/787fa1ae1979.jpeg</t>
  </si>
  <si>
    <t>https://files.armadanusantara.co.id/bukti/45c6058bd5cf.jpg</t>
  </si>
  <si>
    <t>https://files.armadanusantara.co.id/bukti/190c01e2e0dc.pdf</t>
  </si>
  <si>
    <t>https://files.armadanusantara.co.id/bukti/60e250eb6f86.jpg</t>
  </si>
  <si>
    <t>https://files.armadanusantara.co.id/bukti/afd2062ea635.pdf</t>
  </si>
  <si>
    <t>https://files.armadanusantara.co.id/bukti/19ae6dc60e4b.jpeg</t>
  </si>
  <si>
    <t>https://files.armadanusantara.co.id/bukti/56be022cc40e.jpeg</t>
  </si>
  <si>
    <t>https://files.armadanusantara.co.id/bukti/46054ec5e77f.png</t>
  </si>
  <si>
    <t>https://files.armadanusantara.co.id/bukti/3db494ae33ce.pdf</t>
  </si>
  <si>
    <t>https://files.armadanusantara.co.id/bukti/b512b36b2660.pdf</t>
  </si>
  <si>
    <t>https://files.armadanusantara.co.id/bukti/6bc72c579b4a.png</t>
  </si>
  <si>
    <t>https://files.armadanusantara.co.id/bukti/502f62b5f93f.png</t>
  </si>
  <si>
    <t>https://files.armadanusantara.co.id/bukti/fb51bdcac199.png</t>
  </si>
  <si>
    <t>https://files.armadanusantara.co.id/bukti/96f46207b798.jpeg</t>
  </si>
  <si>
    <t>https://files.armadanusantara.co.id/bukti/059a0d00c6c3.jpeg</t>
  </si>
  <si>
    <t>https://files.armadanusantara.co.id/bukti/34b19f5e9409.jpg</t>
  </si>
  <si>
    <t>https://files.armadanusantara.co.id/bukti/5ad6bb1dc8b5.png</t>
  </si>
  <si>
    <t>https://files.armadanusantara.co.id/bukti/af3fd5d09399.pdf</t>
  </si>
  <si>
    <t>https://files.armadanusantara.co.id/bukti/722029b2505d.png</t>
  </si>
  <si>
    <t>https://files.armadanusantara.co.id/bukti/c0680817da73.pdf</t>
  </si>
  <si>
    <t>https://files.armadanusantara.co.id/bukti/7e5e6a4d01a2.jpeg</t>
  </si>
  <si>
    <t>https://files.armadanusantara.co.id/bukti/bcabe02f9dc8.png</t>
  </si>
  <si>
    <t>https://files.armadanusantara.co.id/bukti/6a890b3e1f10.pdf</t>
  </si>
  <si>
    <t>https://files.armadanusantara.co.id/bukti/96a206266561.jpeg</t>
  </si>
  <si>
    <t>https://files.armadanusantara.co.id/bukti/336f7d3ba064.jpg</t>
  </si>
  <si>
    <t>https://files.armadanusantara.co.id/bukti/4ff3ab774135.png</t>
  </si>
  <si>
    <t>https://files.armadanusantara.co.id/bukti/a72f3a3db25f.jpeg</t>
  </si>
  <si>
    <t>https://files.armadanusantara.co.id/bukti/322d9dda8b66.jpg</t>
  </si>
  <si>
    <t>https://files.armadanusantara.co.id/bukti/8bdcb93768d6.jpg</t>
  </si>
  <si>
    <t>https://files.armadanusantara.co.id/bukti/e8d5fbf5937a.pdf</t>
  </si>
  <si>
    <t>https://files.armadanusantara.co.id/bukti/79c193120a9b.pdf</t>
  </si>
  <si>
    <t>https://files.armadanusantara.co.id/bukti/454086816c24.jpeg</t>
  </si>
  <si>
    <t>https://files.armadanusantara.co.id/bukti/5061434a6a61.jpg</t>
  </si>
  <si>
    <t>https://files.armadanusantara.co.id/bukti/e3ccca6646e1.png</t>
  </si>
  <si>
    <t>https://files.armadanusantara.co.id/bukti/dd5679dc5970.jpeg</t>
  </si>
  <si>
    <t>https://files.armadanusantara.co.id/bukti/cb20a7d86062.jpg</t>
  </si>
  <si>
    <t>https://files.armadanusantara.co.id/bukti/6017563630e7.jpg</t>
  </si>
  <si>
    <t>https://files.armadanusantara.co.id/bukti/a81b3435e03d.jpg</t>
  </si>
  <si>
    <t>https://files.armadanusantara.co.id/bukti/6df820473eec.jpg</t>
  </si>
  <si>
    <t>61327@armadanusantara.co.id</t>
  </si>
  <si>
    <t>Ratna Baskoro</t>
  </si>
  <si>
    <t>https://files.armadanusantara.co.id/bukti/824e5b8f5fc7.png</t>
  </si>
  <si>
    <t>https://files.armadanusantara.co.id/bukti/5d1f110933bd.jpg</t>
  </si>
  <si>
    <t>https://files.armadanusantara.co.id/bukti/23bc5e1e71cb.jpg</t>
  </si>
  <si>
    <t>https://files.armadanusantara.co.id/bukti/49ec59b860e8.jpeg</t>
  </si>
  <si>
    <t>https://files.armadanusantara.co.id/bukti/1615fdf59429.png</t>
  </si>
  <si>
    <t>https://files.armadanusantara.co.id/bukti/5d81c4f2b6bb.jpg</t>
  </si>
  <si>
    <t>https://files.armadanusantara.co.id/bukti/24c7d693aa26.pdf</t>
  </si>
  <si>
    <t>https://files.armadanusantara.co.id/bukti/9b73fdad34c0.jpg</t>
  </si>
  <si>
    <t>https://files.armadanusantara.co.id/bukti/40c491bca332.jpg</t>
  </si>
  <si>
    <t>https://files.armadanusantara.co.id/bukti/f4ae194930eb.jpeg</t>
  </si>
  <si>
    <t>https://files.armadanusantara.co.id/bukti/383ce39a07e1.pdf</t>
  </si>
  <si>
    <t>https://files.armadanusantara.co.id/bukti/04a115fb53cd.png</t>
  </si>
  <si>
    <t>65744@armadanusantara.co.id</t>
  </si>
  <si>
    <t>Ferry Adiputra</t>
  </si>
  <si>
    <t>https://files.armadanusantara.co.id/bukti/fdd3ac10063c.jpeg</t>
  </si>
  <si>
    <t>https://files.armadanusantara.co.id/bukti/e1228873d8e2.jpeg</t>
  </si>
  <si>
    <t>https://files.armadanusantara.co.id/bukti/714aa9a409b1.jpg</t>
  </si>
  <si>
    <t>https://files.armadanusantara.co.id/bukti/81f042b8e9cb.png</t>
  </si>
  <si>
    <t>https://files.armadanusantara.co.id/bukti/95f69a52bd52.jpg</t>
  </si>
  <si>
    <t>https://files.armadanusantara.co.id/bukti/2269d1d717c2.jpeg</t>
  </si>
  <si>
    <t>https://files.armadanusantara.co.id/bukti/8aded8b4198e.jpeg</t>
  </si>
  <si>
    <t>https://files.armadanusantara.co.id/bukti/6d24af01e771.png</t>
  </si>
  <si>
    <t>https://files.armadanusantara.co.id/bukti/bf5f3d3714f2.pdf</t>
  </si>
  <si>
    <t>https://files.armadanusantara.co.id/bukti/98ebe6094c03.png</t>
  </si>
  <si>
    <t>https://files.armadanusantara.co.id/bukti/3954db6ddcfe.png</t>
  </si>
  <si>
    <t>https://files.armadanusantara.co.id/bukti/cc1300b77e03.jpeg</t>
  </si>
  <si>
    <t>https://files.armadanusantara.co.id/bukti/e703f1e137b1.jpg</t>
  </si>
  <si>
    <t>https://files.armadanusantara.co.id/bukti/f725b970aa47.png</t>
  </si>
  <si>
    <t>https://files.armadanusantara.co.id/bukti/7786805fcb06.jpg</t>
  </si>
  <si>
    <t>https://files.armadanusantara.co.id/bukti/f0e88b7fd6ec.png</t>
  </si>
  <si>
    <t>https://files.armadanusantara.co.id/bukti/8b7fa200d99e.jpg</t>
  </si>
  <si>
    <t>https://files.armadanusantara.co.id/bukti/a30467823243.png</t>
  </si>
  <si>
    <t>https://files.armadanusantara.co.id/bukti/56f8f0948341.jpeg</t>
  </si>
  <si>
    <t>https://files.armadanusantara.co.id/bukti/ba96363ae6a6.pdf</t>
  </si>
  <si>
    <t>https://files.armadanusantara.co.id/bukti/6c67748b1f5f.jpeg</t>
  </si>
  <si>
    <t>https://files.armadanusantara.co.id/bukti/c4aeba655d96.pdf</t>
  </si>
  <si>
    <t>https://files.armadanusantara.co.id/bukti/6cb2b2e360e1.png</t>
  </si>
  <si>
    <t>https://files.armadanusantara.co.id/bukti/2459770ae867.jpg</t>
  </si>
  <si>
    <t>DA7945LMG</t>
  </si>
  <si>
    <t>https://files.armadanusantara.co.id/bukti/d3df4ca7141b.jpg</t>
  </si>
  <si>
    <t>https://files.armadanusantara.co.id/bukti/dd3bf9aa1585.pdf</t>
  </si>
  <si>
    <t>https://files.armadanusantara.co.id/bukti/4e3945582acb.png</t>
  </si>
  <si>
    <t>https://files.armadanusantara.co.id/bukti/a418c8ecc082.png</t>
  </si>
  <si>
    <t>https://files.armadanusantara.co.id/bukti/da7c9be56f18.jpg</t>
  </si>
  <si>
    <t>https://files.armadanusantara.co.id/bukti/96e18149834b.jpeg</t>
  </si>
  <si>
    <t>https://files.armadanusantara.co.id/bukti/2329df98f8d5.jpeg</t>
  </si>
  <si>
    <t>https://files.armadanusantara.co.id/bukti/0cb177d51e4d.jpeg</t>
  </si>
  <si>
    <t>https://files.armadanusantara.co.id/bukti/096e9d0e412b.pdf</t>
  </si>
  <si>
    <t>https://files.armadanusantara.co.id/bukti/d9d53adf82c4.jpg</t>
  </si>
  <si>
    <t>https://files.armadanusantara.co.id/bukti/867bd455f9ec.jpeg</t>
  </si>
  <si>
    <t>https://files.armadanusantara.co.id/bukti/6b1c98fc6d38.jpeg</t>
  </si>
  <si>
    <t>https://files.armadanusantara.co.id/bukti/10a9463c7840.jpg</t>
  </si>
  <si>
    <t>https://files.armadanusantara.co.id/bukti/77aba62a09de.pdf</t>
  </si>
  <si>
    <t>https://files.armadanusantara.co.id/bukti/2835c77976ac.jpeg</t>
  </si>
  <si>
    <t>https://files.armadanusantara.co.id/bukti/6dd189cc27f3.png</t>
  </si>
  <si>
    <t>https://files.armadanusantara.co.id/bukti/f67ef5febdb4.png</t>
  </si>
  <si>
    <t>https://files.armadanusantara.co.id/bukti/d9b86c5d79c1.png</t>
  </si>
  <si>
    <t>https://files.armadanusantara.co.id/bukti/02f8ba6e7a8e.pdf</t>
  </si>
  <si>
    <t>https://files.armadanusantara.co.id/bukti/dfdb304ab17c.jpeg</t>
  </si>
  <si>
    <t>https://files.armadanusantara.co.id/bukti/96831fc80d16.jpeg</t>
  </si>
  <si>
    <t>https://files.armadanusantara.co.id/bukti/30a5a4cc38af.jpg</t>
  </si>
  <si>
    <t>https://files.armadanusantara.co.id/bukti/5dfe84ba0333.pdf</t>
  </si>
  <si>
    <t>https://files.armadanusantara.co.id/bukti/a332e7ca638c.jpeg</t>
  </si>
  <si>
    <t>https://files.armadanusantara.co.id/bukti/8566fc658a59.jpeg</t>
  </si>
  <si>
    <t>https://files.armadanusantara.co.id/bukti/5967bec279cf.jpg</t>
  </si>
  <si>
    <t>https://files.armadanusantara.co.id/bukti/df6a857f9d2c.pdf</t>
  </si>
  <si>
    <t>https://files.armadanusantara.co.id/bukti/35592dbf0100.jpeg</t>
  </si>
  <si>
    <t>https://files.armadanusantara.co.id/bukti/93253d890cf9.pdf</t>
  </si>
  <si>
    <t>https://files.armadanusantara.co.id/bukti/e2a46f330399.jpeg</t>
  </si>
  <si>
    <t>https://files.armadanusantara.co.id/bukti/c1caab36ab34.pdf</t>
  </si>
  <si>
    <t>https://files.armadanusantara.co.id/bukti/7c32678394ec.pdf</t>
  </si>
  <si>
    <t>https://files.armadanusantara.co.id/bukti/3a925624ce80.jpg</t>
  </si>
  <si>
    <t>https://files.armadanusantara.co.id/bukti/97335f190499.pdf</t>
  </si>
  <si>
    <t>https://files.armadanusantara.co.id/bukti/f61332c15f9b.jpg</t>
  </si>
  <si>
    <t>https://files.armadanusantara.co.id/bukti/6f079f99bb39.jpeg</t>
  </si>
  <si>
    <t>https://files.armadanusantara.co.id/bukti/da08d088ab56.jpeg</t>
  </si>
  <si>
    <t>https://files.armadanusantara.co.id/bukti/d1417b34c97b.jpeg</t>
  </si>
  <si>
    <t>https://files.armadanusantara.co.id/bukti/b4c3c4ed0d30.pdf</t>
  </si>
  <si>
    <t>https://files.armadanusantara.co.id/bukti/9977fd487e10.pdf</t>
  </si>
  <si>
    <t>https://files.armadanusantara.co.id/bukti/92e348af9b22.jpg</t>
  </si>
  <si>
    <t>https://files.armadanusantara.co.id/bukti/1315a91c49d7.png</t>
  </si>
  <si>
    <t>https://files.armadanusantara.co.id/bukti/4d7215ceced7.png</t>
  </si>
  <si>
    <t>https://files.armadanusantara.co.id/bukti/a2962b24ec9a.pdf</t>
  </si>
  <si>
    <t>https://files.armadanusantara.co.id/bukti/50c7ae4378b3.png</t>
  </si>
  <si>
    <t>https://files.armadanusantara.co.id/bukti/3b0ee4721e2c.png</t>
  </si>
  <si>
    <t>https://files.armadanusantara.co.id/bukti/0a1aebf00362.jpg</t>
  </si>
  <si>
    <t>https://files.armadanusantara.co.id/bukti/e221ade8e913.jpeg</t>
  </si>
  <si>
    <t>https://files.armadanusantara.co.id/bukti/937ee27c8627.jpg</t>
  </si>
  <si>
    <t>https://files.armadanusantara.co.id/bukti/7404e7649709.png</t>
  </si>
  <si>
    <t>https://files.armadanusantara.co.id/bukti/a44e539f6bdb.png</t>
  </si>
  <si>
    <t>https://files.armadanusantara.co.id/bukti/cdf60742ff7d.jpg</t>
  </si>
  <si>
    <t>85045@armadanusantara.co.id</t>
  </si>
  <si>
    <t>Sari Jayadi</t>
  </si>
  <si>
    <t>https://files.armadanusantara.co.id/bukti/dfc0ab9048e0.pdf</t>
  </si>
  <si>
    <t>https://files.armadanusantara.co.id/bukti/9ba7910066d9.pdf</t>
  </si>
  <si>
    <t>https://files.armadanusantara.co.id/bukti/0b9c1859dca8.pdf</t>
  </si>
  <si>
    <t>https://files.armadanusantara.co.id/bukti/9d6a6e1625a1.jpeg</t>
  </si>
  <si>
    <t>https://files.armadanusantara.co.id/bukti/ccf502018070.jpeg</t>
  </si>
  <si>
    <t>https://files.armadanusantara.co.id/bukti/8cfdc770ced8.jpg</t>
  </si>
  <si>
    <t>https://files.armadanusantara.co.id/bukti/0ab52ae464f6.pdf</t>
  </si>
  <si>
    <t>https://files.armadanusantara.co.id/bukti/ed6af7bd5811.jpg</t>
  </si>
  <si>
    <t>https://files.armadanusantara.co.id/bukti/6afbec2069ce.jpg</t>
  </si>
  <si>
    <t>https://files.armadanusantara.co.id/bukti/ea08870716e7.pdf</t>
  </si>
  <si>
    <t>https://files.armadanusantara.co.id/bukti/5342c6708f88.jpeg</t>
  </si>
  <si>
    <t>https://files.armadanusantara.co.id/bukti/468fc2cdf34f.png</t>
  </si>
  <si>
    <t>https://files.armadanusantara.co.id/bukti/9668fae09b4d.png</t>
  </si>
  <si>
    <t>https://files.armadanusantara.co.id/bukti/40eb90a4c9c8.png</t>
  </si>
  <si>
    <t>https://files.armadanusantara.co.id/bukti/333fa0006969.pdf</t>
  </si>
  <si>
    <t>https://files.armadanusantara.co.id/bukti/0e69ac80b9b1.jpeg</t>
  </si>
  <si>
    <t>https://files.armadanusantara.co.id/bukti/719586585ef3.png</t>
  </si>
  <si>
    <t>https://files.armadanusantara.co.id/bukti/26d254cc612f.pdf</t>
  </si>
  <si>
    <t>https://files.armadanusantara.co.id/bukti/c0a5ffc66d93.jpeg</t>
  </si>
  <si>
    <t>https://files.armadanusantara.co.id/bukti/1ba7c80c478e.jpg</t>
  </si>
  <si>
    <t>https://files.armadanusantara.co.id/bukti/a748de3af13c.jpeg</t>
  </si>
  <si>
    <t>https://files.armadanusantara.co.id/bukti/c1cc988b4c47.jpeg</t>
  </si>
  <si>
    <t>https://files.armadanusantara.co.id/bukti/1ecd425ba5e2.jpeg</t>
  </si>
  <si>
    <t>https://files.armadanusantara.co.id/bukti/b4793ffd7773.pdf</t>
  </si>
  <si>
    <t>https://files.armadanusantara.co.id/bukti/0f8af3f6c2ee.jpg</t>
  </si>
  <si>
    <t>https://files.armadanusantara.co.id/bukti/c0da5d67cc8e.jpeg</t>
  </si>
  <si>
    <t>98063@armadanusantara.co.id</t>
  </si>
  <si>
    <t>Bagus Wibowo</t>
  </si>
  <si>
    <t>https://files.armadanusantara.co.id/bukti/9df203397932.jpeg</t>
  </si>
  <si>
    <t>https://files.armadanusantara.co.id/bukti/8a37168a5940.jpg</t>
  </si>
  <si>
    <t>https://files.armadanusantara.co.id/bukti/b2617db9f609.jpeg</t>
  </si>
  <si>
    <t>https://files.armadanusantara.co.id/bukti/a3a574d6914a.pdf</t>
  </si>
  <si>
    <t>https://files.armadanusantara.co.id/bukti/067f5353a015.png</t>
  </si>
  <si>
    <t>https://files.armadanusantara.co.id/bukti/4b3e2ab58974.jpg</t>
  </si>
  <si>
    <t>https://files.armadanusantara.co.id/bukti/1554f7c970ea.jpeg</t>
  </si>
  <si>
    <t>https://files.armadanusantara.co.id/bukti/24781bc6b83d.jpg</t>
  </si>
  <si>
    <t>https://files.armadanusantara.co.id/bukti/bae542afcfa1.pdf</t>
  </si>
  <si>
    <t>https://files.armadanusantara.co.id/bukti/47c906100201.png</t>
  </si>
  <si>
    <t>https://files.armadanusantara.co.id/bukti/cdbec30a2962.png</t>
  </si>
  <si>
    <t>https://files.armadanusantara.co.id/bukti/ebc73ed95f24.pdf</t>
  </si>
  <si>
    <t>https://files.armadanusantara.co.id/bukti/70f485183ae0.pdf</t>
  </si>
  <si>
    <t>https://files.armadanusantara.co.id/bukti/a5bc42c8eea5.jpeg</t>
  </si>
  <si>
    <t>https://files.armadanusantara.co.id/bukti/4e6330f788a7.png</t>
  </si>
  <si>
    <t>https://files.armadanusantara.co.id/bukti/220fed3ccf18.png</t>
  </si>
  <si>
    <t>https://files.armadanusantara.co.id/bukti/d0d3957ae5bd.jpeg</t>
  </si>
  <si>
    <t>https://files.armadanusantara.co.id/bukti/a97b36090a98.pdf</t>
  </si>
  <si>
    <t>https://files.armadanusantara.co.id/bukti/8e90fb91a944.jpeg</t>
  </si>
  <si>
    <t>https://files.armadanusantara.co.id/bukti/3a97342043b5.jpg</t>
  </si>
  <si>
    <t>https://files.armadanusantara.co.id/bukti/8d5a0a8aa5c1.pdf</t>
  </si>
  <si>
    <t>https://files.armadanusantara.co.id/bukti/dbf23c13cd73.jpg</t>
  </si>
  <si>
    <t>https://files.armadanusantara.co.id/bukti/e9073e245451.pdf</t>
  </si>
  <si>
    <t>https://files.armadanusantara.co.id/bukti/445af61e3c85.jpeg</t>
  </si>
  <si>
    <t>https://files.armadanusantara.co.id/bukti/a487e91ab9c9.jpg</t>
  </si>
  <si>
    <t>https://files.armadanusantara.co.id/bukti/dbe09e937cac.pdf</t>
  </si>
  <si>
    <t>https://files.armadanusantara.co.id/bukti/7eaeb279488c.jpeg</t>
  </si>
  <si>
    <t>https://files.armadanusantara.co.id/bukti/3fb24938c47c.pdf</t>
  </si>
  <si>
    <t>https://files.armadanusantara.co.id/bukti/df03602d91c6.pdf</t>
  </si>
  <si>
    <t>https://files.armadanusantara.co.id/bukti/1d1e3c65f51c.jpeg</t>
  </si>
  <si>
    <t>https://files.armadanusantara.co.id/bukti/ec93cc00e4e2.jpg</t>
  </si>
  <si>
    <t>https://files.armadanusantara.co.id/bukti/216b10243d58.jpg</t>
  </si>
  <si>
    <t>https://files.armadanusantara.co.id/bukti/d97ff72fe4db.jpeg</t>
  </si>
  <si>
    <t>https://files.armadanusantara.co.id/bukti/156d0d1ced57.pdf</t>
  </si>
  <si>
    <t>https://files.armadanusantara.co.id/bukti/7aecedc9e68b.jpeg</t>
  </si>
  <si>
    <t>https://files.armadanusantara.co.id/bukti/1e924b586b5d.jpg</t>
  </si>
  <si>
    <t>https://files.armadanusantara.co.id/bukti/b452310cbd82.jpg</t>
  </si>
  <si>
    <t>https://files.armadanusantara.co.id/bukti/2f3e48617b11.jpeg</t>
  </si>
  <si>
    <t>https://files.armadanusantara.co.id/bukti/f5f3b7da75bc.png</t>
  </si>
  <si>
    <t>https://files.armadanusantara.co.id/bukti/2b877d4823d1.jpg</t>
  </si>
  <si>
    <t>https://files.armadanusantara.co.id/bukti/5e4d40c40ef0.jpg</t>
  </si>
  <si>
    <t>https://files.armadanusantara.co.id/bukti/3f1dbb437b8b.jpg</t>
  </si>
  <si>
    <t>https://files.armadanusantara.co.id/bukti/6333fad33535.png</t>
  </si>
  <si>
    <t>https://files.armadanusantara.co.id/bukti/ff4e2a7f13ee.pdf</t>
  </si>
  <si>
    <t>https://files.armadanusantara.co.id/bukti/93018fc866fc.pdf</t>
  </si>
  <si>
    <t>https://files.armadanusantara.co.id/bukti/199b7dd73b65.png</t>
  </si>
  <si>
    <t>https://files.armadanusantara.co.id/bukti/d92b13fce71e.png</t>
  </si>
  <si>
    <t>https://files.armadanusantara.co.id/bukti/1c10748a5aeb.png</t>
  </si>
  <si>
    <t>https://files.armadanusantara.co.id/bukti/24d7d01d4d3d.jpeg</t>
  </si>
  <si>
    <t>https://files.armadanusantara.co.id/bukti/45aba50f70fa.pdf</t>
  </si>
  <si>
    <t>https://files.armadanusantara.co.id/bukti/a361da739be2.jpg</t>
  </si>
  <si>
    <t>https://files.armadanusantara.co.id/bukti/d6a06dc2e0e1.pdf</t>
  </si>
  <si>
    <t>https://files.armadanusantara.co.id/bukti/e2048e26b9ce.pdf</t>
  </si>
  <si>
    <t>https://files.armadanusantara.co.id/bukti/188dfa680f00.jpg</t>
  </si>
  <si>
    <t>https://files.armadanusantara.co.id/bukti/216c743005c2.pdf</t>
  </si>
  <si>
    <t>https://files.armadanusantara.co.id/bukti/336534cc6bbf.pdf</t>
  </si>
  <si>
    <t>https://files.armadanusantara.co.id/bukti/32fee8f2d4a9.png</t>
  </si>
  <si>
    <t>https://files.armadanusantara.co.id/bukti/c59b043abd7d.jpeg</t>
  </si>
  <si>
    <t>https://files.armadanusantara.co.id/bukti/9d8ad1975efa.png</t>
  </si>
  <si>
    <t>https://files.armadanusantara.co.id/bukti/6ae6ad07fd47.pdf</t>
  </si>
  <si>
    <t>https://files.armadanusantara.co.id/bukti/5cf7134c2e74.pdf</t>
  </si>
  <si>
    <t>https://files.armadanusantara.co.id/bukti/305b4b98ea74.jpg</t>
  </si>
  <si>
    <t>https://files.armadanusantara.co.id/bukti/dc8d152937ec.pdf</t>
  </si>
  <si>
    <t>https://files.armadanusantara.co.id/bukti/f1ee508b0014.jpg</t>
  </si>
  <si>
    <t>https://files.armadanusantara.co.id/bukti/d2eb112b761b.jpeg</t>
  </si>
  <si>
    <t>https://files.armadanusantara.co.id/bukti/5fc2a5f29cdf.png</t>
  </si>
  <si>
    <t>https://files.armadanusantara.co.id/bukti/f1e3b6b95812.jpg</t>
  </si>
  <si>
    <t>https://files.armadanusantara.co.id/bukti/d71458fbdd2b.pdf</t>
  </si>
  <si>
    <t>https://files.armadanusantara.co.id/bukti/d8f940f6d48b.jpeg</t>
  </si>
  <si>
    <t>https://files.armadanusantara.co.id/bukti/88a682811a5e.pdf</t>
  </si>
  <si>
    <t>https://files.armadanusantara.co.id/bukti/9db45c858bb9.jpg</t>
  </si>
  <si>
    <t>https://files.armadanusantara.co.id/bukti/f26d800280bb.png</t>
  </si>
  <si>
    <t>https://files.armadanusantara.co.id/bukti/542029655aaf.jpg</t>
  </si>
  <si>
    <t>https://files.armadanusantara.co.id/bukti/b6be138c5755.png</t>
  </si>
  <si>
    <t>https://files.armadanusantara.co.id/bukti/080331fbc435.jpeg</t>
  </si>
  <si>
    <t>https://files.armadanusantara.co.id/bukti/ccfc0a800941.pdf</t>
  </si>
  <si>
    <t>https://files.armadanusantara.co.id/bukti/e76633f5b73d.jpeg</t>
  </si>
  <si>
    <t>https://files.armadanusantara.co.id/bukti/d892c444bd43.pdf</t>
  </si>
  <si>
    <t>https://files.armadanusantara.co.id/bukti/982c0e036089.jpeg</t>
  </si>
  <si>
    <t>https://files.armadanusantara.co.id/bukti/efbbd4d045f7.pdf</t>
  </si>
  <si>
    <t>https://files.armadanusantara.co.id/bukti/0f39664f1b10.jpeg</t>
  </si>
  <si>
    <t>https://files.armadanusantara.co.id/bukti/30ccd0deae9e.pdf</t>
  </si>
  <si>
    <t>https://files.armadanusantara.co.id/bukti/113b7c56b72c.png</t>
  </si>
  <si>
    <t>https://files.armadanusantara.co.id/bukti/f762f795a7a3.jpeg</t>
  </si>
  <si>
    <t>https://files.armadanusantara.co.id/bukti/5be9a06b3466.png</t>
  </si>
  <si>
    <t>https://files.armadanusantara.co.id/bukti/dc0aeb9304b1.pdf</t>
  </si>
  <si>
    <t>https://files.armadanusantara.co.id/bukti/b755c105031b.jpeg</t>
  </si>
  <si>
    <t>https://files.armadanusantara.co.id/bukti/872d70685ed4.pdf</t>
  </si>
  <si>
    <t>https://files.armadanusantara.co.id/bukti/836edf47897a.png</t>
  </si>
  <si>
    <t>https://files.armadanusantara.co.id/bukti/1094711596be.jpeg</t>
  </si>
  <si>
    <t>https://files.armadanusantara.co.id/bukti/bdb0cca51ae3.png</t>
  </si>
  <si>
    <t>https://files.armadanusantara.co.id/bukti/2110a5930370.pdf</t>
  </si>
  <si>
    <t>https://files.armadanusantara.co.id/bukti/e85490289e7f.jpg</t>
  </si>
  <si>
    <t>https://files.armadanusantara.co.id/bukti/87a0c94ccd5c.jpeg</t>
  </si>
  <si>
    <t>https://files.armadanusantara.co.id/bukti/222581440540.jpeg</t>
  </si>
  <si>
    <t>https://files.armadanusantara.co.id/bukti/205929e9b747.jpeg</t>
  </si>
  <si>
    <t>97997@armadanusantara.co.id</t>
  </si>
  <si>
    <t>Sigit Setiawan</t>
  </si>
  <si>
    <t>https://files.armadanusantara.co.id/bukti/0a652167b017.jpg</t>
  </si>
  <si>
    <t>https://files.armadanusantara.co.id/bukti/4699059f44e6.jpg</t>
  </si>
  <si>
    <t>https://files.armadanusantara.co.id/bukti/2eb69d456aed.png</t>
  </si>
  <si>
    <t>https://files.armadanusantara.co.id/bukti/182545eafd7b.jpeg</t>
  </si>
  <si>
    <t>https://files.armadanusantara.co.id/bukti/7de815f2bf5d.jpg</t>
  </si>
  <si>
    <t>https://files.armadanusantara.co.id/bukti/25e45665e436.jpg</t>
  </si>
  <si>
    <t>47394@armadanusantara.co.id</t>
  </si>
  <si>
    <t>Nugroho Prabowo</t>
  </si>
  <si>
    <t>https://files.armadanusantara.co.id/bukti/278b3c940dfa.jpeg</t>
  </si>
  <si>
    <t>https://files.armadanusantara.co.id/bukti/ce57b6fdf489.pdf</t>
  </si>
  <si>
    <t>https://files.armadanusantara.co.id/bukti/3cdcc2125607.jpeg</t>
  </si>
  <si>
    <t>https://files.armadanusantara.co.id/bukti/5df867a379d9.jpg</t>
  </si>
  <si>
    <t>https://files.armadanusantara.co.id/bukti/1598486c2a7b.png</t>
  </si>
  <si>
    <t>https://files.armadanusantara.co.id/bukti/3a718560e7ff.jpeg</t>
  </si>
  <si>
    <t>https://files.armadanusantara.co.id/bukti/9bd3393152c0.jpg</t>
  </si>
  <si>
    <t>https://files.armadanusantara.co.id/bukti/b78067a038d6.jpg</t>
  </si>
  <si>
    <t>https://files.armadanusantara.co.id/bukti/11958eeb57bb.pdf</t>
  </si>
  <si>
    <t>https://files.armadanusantara.co.id/bukti/95d892595ae5.pdf</t>
  </si>
  <si>
    <t>https://files.armadanusantara.co.id/bukti/934d78610251.jpg</t>
  </si>
  <si>
    <t>https://files.armadanusantara.co.id/bukti/b246dc140250.jpg</t>
  </si>
  <si>
    <t>https://files.armadanusantara.co.id/bukti/b5ef5eb15a99.png</t>
  </si>
  <si>
    <t>https://files.armadanusantara.co.id/bukti/443e50ddba0f.png</t>
  </si>
  <si>
    <t>https://files.armadanusantara.co.id/bukti/997969c8de44.pdf</t>
  </si>
  <si>
    <t>https://files.armadanusantara.co.id/bukti/e41f11d84dee.png</t>
  </si>
  <si>
    <t>https://files.armadanusantara.co.id/bukti/42ba241a41ad.jpeg</t>
  </si>
  <si>
    <t>https://files.armadanusantara.co.id/bukti/5c74e18df7d2.pdf</t>
  </si>
  <si>
    <t>https://files.armadanusantara.co.id/bukti/8533b9a76e3c.jpeg</t>
  </si>
  <si>
    <t>https://files.armadanusantara.co.id/bukti/3b81fb92d489.png</t>
  </si>
  <si>
    <t>https://files.armadanusantara.co.id/bukti/8f43e39ebd69.png</t>
  </si>
  <si>
    <t>https://files.armadanusantara.co.id/bukti/2f02c7ca07a6.png</t>
  </si>
  <si>
    <t>https://files.armadanusantara.co.id/bukti/70f138307922.pdf</t>
  </si>
  <si>
    <t>https://files.armadanusantara.co.id/bukti/9a96d56f05a1.jpg</t>
  </si>
  <si>
    <t>https://files.armadanusantara.co.id/bukti/386573bd57f2.png</t>
  </si>
  <si>
    <t>https://files.armadanusantara.co.id/bukti/24219edbc72d.png</t>
  </si>
  <si>
    <t>https://files.armadanusantara.co.id/bukti/c1202e8be0c7.jpeg</t>
  </si>
  <si>
    <t>https://files.armadanusantara.co.id/bukti/622fef5b4313.jpg</t>
  </si>
  <si>
    <t>https://files.armadanusantara.co.id/bukti/c2acee59c361.jpeg</t>
  </si>
  <si>
    <t>https://files.armadanusantara.co.id/bukti/359284395612.jpeg</t>
  </si>
  <si>
    <t>https://files.armadanusantara.co.id/bukti/c3f256e2c553.jpeg</t>
  </si>
  <si>
    <t>https://files.armadanusantara.co.id/bukti/08a76fd5c64a.jpeg</t>
  </si>
  <si>
    <t>https://files.armadanusantara.co.id/bukti/33bf5c3cab4e.jpeg</t>
  </si>
  <si>
    <t>https://files.armadanusantara.co.id/bukti/321e2474c14e.jpeg</t>
  </si>
  <si>
    <t>https://files.armadanusantara.co.id/bukti/f555adfffea9.jpg</t>
  </si>
  <si>
    <t>https://files.armadanusantara.co.id/bukti/c67b4cf328ed.png</t>
  </si>
  <si>
    <t>https://files.armadanusantara.co.id/bukti/e5fe0d65bed6.png</t>
  </si>
  <si>
    <t>https://files.armadanusantara.co.id/bukti/75c6fb0dd75c.png</t>
  </si>
  <si>
    <t>https://files.armadanusantara.co.id/bukti/0c63c77138e9.pdf</t>
  </si>
  <si>
    <t>https://files.armadanusantara.co.id/bukti/9e41f378815b.pdf</t>
  </si>
  <si>
    <t>https://files.armadanusantara.co.id/bukti/463c2ae26fdd.pdf</t>
  </si>
  <si>
    <t>https://files.armadanusantara.co.id/bukti/96673ab5fbfa.png</t>
  </si>
  <si>
    <t>https://files.armadanusantara.co.id/bukti/7bca59cc8005.jpeg</t>
  </si>
  <si>
    <t>https://files.armadanusantara.co.id/bukti/8912eb4a0630.png</t>
  </si>
  <si>
    <t>https://files.armadanusantara.co.id/bukti/b3b8a4ee51ee.jpg</t>
  </si>
  <si>
    <t>https://files.armadanusantara.co.id/bukti/99e986fdf9f9.pdf</t>
  </si>
  <si>
    <t>https://files.armadanusantara.co.id/bukti/cacb6d738101.jpeg</t>
  </si>
  <si>
    <t>https://files.armadanusantara.co.id/bukti/9e54d415b7e9.pdf</t>
  </si>
  <si>
    <t>https://files.armadanusantara.co.id/bukti/d4d59e2d1f4a.jpeg</t>
  </si>
  <si>
    <t>https://files.armadanusantara.co.id/bukti/1269866182fe.jpg</t>
  </si>
  <si>
    <t>https://files.armadanusantara.co.id/bukti/0165b1a90876.pdf</t>
  </si>
  <si>
    <t>https://files.armadanusantara.co.id/bukti/d332b585278d.jpeg</t>
  </si>
  <si>
    <t>https://files.armadanusantara.co.id/bukti/1087d1a0d881.jpg</t>
  </si>
  <si>
    <t>https://files.armadanusantara.co.id/bukti/11f1176bd8ea.jpg</t>
  </si>
  <si>
    <t>https://files.armadanusantara.co.id/bukti/f99631d9548f.jpeg</t>
  </si>
  <si>
    <t>https://files.armadanusantara.co.id/bukti/450ec75195bd.pdf</t>
  </si>
  <si>
    <t>https://files.armadanusantara.co.id/bukti/a4ab34b39483.jpeg</t>
  </si>
  <si>
    <t>https://files.armadanusantara.co.id/bukti/81e03067305b.jpg</t>
  </si>
  <si>
    <t>https://files.armadanusantara.co.id/bukti/890376316741.png</t>
  </si>
  <si>
    <t>https://files.armadanusantara.co.id/bukti/45de894d5546.pdf</t>
  </si>
  <si>
    <t>https://files.armadanusantara.co.id/bukti/b69f6a0d40f2.jpeg</t>
  </si>
  <si>
    <t>https://files.armadanusantara.co.id/bukti/9ad3728d2edd.jpeg</t>
  </si>
  <si>
    <t>https://files.armadanusantara.co.id/bukti/34806896020c.jpeg</t>
  </si>
  <si>
    <t>https://files.armadanusantara.co.id/bukti/90f3bee98f8d.jpg</t>
  </si>
  <si>
    <t>https://files.armadanusantara.co.id/bukti/d247cc20b2e6.jpg</t>
  </si>
  <si>
    <t>https://files.armadanusantara.co.id/bukti/d82edf361f94.jpeg</t>
  </si>
  <si>
    <t>https://files.armadanusantara.co.id/bukti/89d49e767b2c.pdf</t>
  </si>
  <si>
    <t>https://files.armadanusantara.co.id/bukti/7cdb7d51f531.png</t>
  </si>
  <si>
    <t>https://files.armadanusantara.co.id/bukti/57511a0199a7.png</t>
  </si>
  <si>
    <t>https://files.armadanusantara.co.id/bukti/4bc483cae243.jpeg</t>
  </si>
  <si>
    <t>https://files.armadanusantara.co.id/bukti/854dadd092b4.jpg</t>
  </si>
  <si>
    <t>https://files.armadanusantara.co.id/bukti/05956b083ced.jpeg</t>
  </si>
  <si>
    <t>https://files.armadanusantara.co.id/bukti/fe9f343eb7d1.png</t>
  </si>
  <si>
    <t>https://files.armadanusantara.co.id/bukti/d91e8b36117d.pdf</t>
  </si>
  <si>
    <t>https://files.armadanusantara.co.id/bukti/92bb52297e41.jpeg</t>
  </si>
  <si>
    <t>https://files.armadanusantara.co.id/bukti/1a1ff0a2db9e.jpeg</t>
  </si>
  <si>
    <t>https://files.armadanusantara.co.id/bukti/d1b73bd632c5.jpg</t>
  </si>
  <si>
    <t>https://files.armadanusantara.co.id/bukti/5c257c376935.pdf</t>
  </si>
  <si>
    <t>https://files.armadanusantara.co.id/bukti/a85208fd5edb.jpg</t>
  </si>
  <si>
    <t>https://files.armadanusantara.co.id/bukti/d1d7750114b5.pdf</t>
  </si>
  <si>
    <t>https://files.armadanusantara.co.id/bukti/0aaa138ceec5.pdf</t>
  </si>
  <si>
    <t>https://files.armadanusantara.co.id/bukti/0746968fd4b2.pdf</t>
  </si>
  <si>
    <t>https://files.armadanusantara.co.id/bukti/277d3c639fbf.jpeg</t>
  </si>
  <si>
    <t>https://files.armadanusantara.co.id/bukti/7e963a45eeed.jpg</t>
  </si>
  <si>
    <t>https://files.armadanusantara.co.id/bukti/90dac0e4da4c.pdf</t>
  </si>
  <si>
    <t>https://files.armadanusantara.co.id/bukti/00dbcd8f2449.jpeg</t>
  </si>
  <si>
    <t>https://files.armadanusantara.co.id/bukti/7043cefd3853.jpeg</t>
  </si>
  <si>
    <t>https://files.armadanusantara.co.id/bukti/9c077062bc59.jpeg</t>
  </si>
  <si>
    <t>https://files.armadanusantara.co.id/bukti/c66169d38557.png</t>
  </si>
  <si>
    <t>https://files.armadanusantara.co.id/bukti/da97171a88e9.pdf</t>
  </si>
  <si>
    <t>https://files.armadanusantara.co.id/bukti/852d4943ed1c.jpg</t>
  </si>
  <si>
    <t>https://files.armadanusantara.co.id/bukti/3092c4af4fc5.jpeg</t>
  </si>
  <si>
    <t>15638@armadanusantara.co.id</t>
  </si>
  <si>
    <t>Endra Oktavian</t>
  </si>
  <si>
    <t>https://files.armadanusantara.co.id/bukti/c25198e7fa91.pdf</t>
  </si>
  <si>
    <t>https://files.armadanusantara.co.id/bukti/f378d76fea2d.jpg</t>
  </si>
  <si>
    <t>https://files.armadanusantara.co.id/bukti/4e43a0470ba3.png</t>
  </si>
  <si>
    <t>https://files.armadanusantara.co.id/bukti/1371e5451109.jpeg</t>
  </si>
  <si>
    <t>https://files.armadanusantara.co.id/bukti/e6cadb17bdc4.jpeg</t>
  </si>
  <si>
    <t>https://files.armadanusantara.co.id/bukti/67af72451dfb.pdf</t>
  </si>
  <si>
    <t>https://files.armadanusantara.co.id/bukti/a07ae66cc0e8.jpeg</t>
  </si>
  <si>
    <t>https://files.armadanusantara.co.id/bukti/0e5c63aad5e2.jpg</t>
  </si>
  <si>
    <t>https://files.armadanusantara.co.id/bukti/117bf04854c1.png</t>
  </si>
  <si>
    <t>https://files.armadanusantara.co.id/bukti/15022294a353.jpeg</t>
  </si>
  <si>
    <t>https://files.armadanusantara.co.id/bukti/40296c568d3a.png</t>
  </si>
  <si>
    <t>https://files.armadanusantara.co.id/bukti/a9c5b58bf082.jpg</t>
  </si>
  <si>
    <t>https://files.armadanusantara.co.id/bukti/2dbd9b1356aa.pdf</t>
  </si>
  <si>
    <t>https://files.armadanusantara.co.id/bukti/89e7602657c2.jpeg</t>
  </si>
  <si>
    <t>https://files.armadanusantara.co.id/bukti/222be0d868d9.jpg</t>
  </si>
  <si>
    <t>https://files.armadanusantara.co.id/bukti/b846344de0e8.pdf</t>
  </si>
  <si>
    <t>https://files.armadanusantara.co.id/bukti/00d64320d9f5.jpeg</t>
  </si>
  <si>
    <t>https://files.armadanusantara.co.id/bukti/05126c05ee2b.jpg</t>
  </si>
  <si>
    <t>https://files.armadanusantara.co.id/bukti/1dff3ae3afbe.jpg</t>
  </si>
  <si>
    <t>https://files.armadanusantara.co.id/bukti/3da302aebb92.png</t>
  </si>
  <si>
    <t>https://files.armadanusantara.co.id/bukti/423139fc2a2f.jpeg</t>
  </si>
  <si>
    <t>https://files.armadanusantara.co.id/bukti/a3ae150a424a.png</t>
  </si>
  <si>
    <t>https://files.armadanusantara.co.id/bukti/236e3054afa4.png</t>
  </si>
  <si>
    <t>https://files.armadanusantara.co.id/bukti/dd64ec3ea8f3.jpg</t>
  </si>
  <si>
    <t>https://files.armadanusantara.co.id/bukti/225c7b61066b.jpg</t>
  </si>
  <si>
    <t>https://files.armadanusantara.co.id/bukti/b76747adaeef.jpg</t>
  </si>
  <si>
    <t>B5104CT</t>
  </si>
  <si>
    <t>https://files.armadanusantara.co.id/bukti/939440936e8b.jpeg</t>
  </si>
  <si>
    <t>https://files.armadanusantara.co.id/bukti/00a312ba148c.jpg</t>
  </si>
  <si>
    <t>https://files.armadanusantara.co.id/bukti/9c2b4423d7b1.jpg</t>
  </si>
  <si>
    <t>https://files.armadanusantara.co.id/bukti/14c6c4075933.png</t>
  </si>
  <si>
    <t>https://files.armadanusantara.co.id/bukti/8dc7b6c670ef.pdf</t>
  </si>
  <si>
    <t>https://files.armadanusantara.co.id/bukti/d4fa5d598fdb.png</t>
  </si>
  <si>
    <t>https://files.armadanusantara.co.id/bukti/c7f35a9fb587.png</t>
  </si>
  <si>
    <t>https://files.armadanusantara.co.id/bukti/18572a719b2e.jpg</t>
  </si>
  <si>
    <t>https://files.armadanusantara.co.id/bukti/0a8920e67322.jpg</t>
  </si>
  <si>
    <t>https://files.armadanusantara.co.id/bukti/31b8bdf6d17a.jpeg</t>
  </si>
  <si>
    <t>https://files.armadanusantara.co.id/bukti/12fe749f1275.png</t>
  </si>
  <si>
    <t>https://files.armadanusantara.co.id/bukti/039b5c49dcbc.png</t>
  </si>
  <si>
    <t>H8934YH</t>
  </si>
  <si>
    <t>https://files.armadanusantara.co.id/bukti/dd6720d73a9a.jpeg</t>
  </si>
  <si>
    <t>https://files.armadanusantara.co.id/bukti/6231417e263c.pdf</t>
  </si>
  <si>
    <t>https://files.armadanusantara.co.id/bukti/bf5dc9e470d0.jpeg</t>
  </si>
  <si>
    <t>https://files.armadanusantara.co.id/bukti/636453c18a8f.jpg</t>
  </si>
  <si>
    <t>https://files.armadanusantara.co.id/bukti/e62130f1d7f2.png</t>
  </si>
  <si>
    <t>https://files.armadanusantara.co.id/bukti/54a933445986.png</t>
  </si>
  <si>
    <t>https://files.armadanusantara.co.id/bukti/8a28c6008180.pdf</t>
  </si>
  <si>
    <t>https://files.armadanusantara.co.id/bukti/ea4be024684b.jpeg</t>
  </si>
  <si>
    <t>https://files.armadanusantara.co.id/bukti/611db4d13dd1.jpg</t>
  </si>
  <si>
    <t>https://files.armadanusantara.co.id/bukti/c6c499922223.jpeg</t>
  </si>
  <si>
    <t>https://files.armadanusantara.co.id/bukti/da701a5430fa.jpeg</t>
  </si>
  <si>
    <t>https://files.armadanusantara.co.id/bukti/aa3343234dd0.pdf</t>
  </si>
  <si>
    <t>https://files.armadanusantara.co.id/bukti/0abc775db443.jpeg</t>
  </si>
  <si>
    <t>https://files.armadanusantara.co.id/bukti/8ceee9771200.jpg</t>
  </si>
  <si>
    <t>https://files.armadanusantara.co.id/bukti/17112e895bbc.pdf</t>
  </si>
  <si>
    <t>https://files.armadanusantara.co.id/bukti/82e32b88aba8.pdf</t>
  </si>
  <si>
    <t>https://files.armadanusantara.co.id/bukti/a9f0d90f7f7b.pdf</t>
  </si>
  <si>
    <t>https://files.armadanusantara.co.id/bukti/57ac1059d8f4.png</t>
  </si>
  <si>
    <t>https://files.armadanusantara.co.id/bukti/82f96f6fe33d.jpg</t>
  </si>
  <si>
    <t>https://files.armadanusantara.co.id/bukti/ca093ecc5874.png</t>
  </si>
  <si>
    <t>https://files.armadanusantara.co.id/bukti/e67c7ae5c96a.jpg</t>
  </si>
  <si>
    <t>https://files.armadanusantara.co.id/bukti/6d8f74f63a48.png</t>
  </si>
  <si>
    <t>https://files.armadanusantara.co.id/bukti/61f2c27c5679.png</t>
  </si>
  <si>
    <t>https://files.armadanusantara.co.id/bukti/d1721101fb45.pdf</t>
  </si>
  <si>
    <t>https://files.armadanusantara.co.id/bukti/cda2b081e49f.jpeg</t>
  </si>
  <si>
    <t>https://files.armadanusantara.co.id/bukti/5a4fd09015db.jpeg</t>
  </si>
  <si>
    <t>https://files.armadanusantara.co.id/bukti/eb4ca3c78b84.pdf</t>
  </si>
  <si>
    <t>https://files.armadanusantara.co.id/bukti/7264d4faff2a.png</t>
  </si>
  <si>
    <t>https://files.armadanusantara.co.id/bukti/45937e062012.png</t>
  </si>
  <si>
    <t>https://files.armadanusantara.co.id/bukti/a90ae51e69d8.png</t>
  </si>
  <si>
    <t>https://files.armadanusantara.co.id/bukti/7b75d9088fde.pdf</t>
  </si>
  <si>
    <t>https://files.armadanusantara.co.id/bukti/b3c2a057b0f7.jpeg</t>
  </si>
  <si>
    <t>https://files.armadanusantara.co.id/bukti/be21eb963bd8.pdf</t>
  </si>
  <si>
    <t>https://files.armadanusantara.co.id/bukti/c6f84b8fa66b.pdf</t>
  </si>
  <si>
    <t>https://files.armadanusantara.co.id/bukti/e96af79ef270.jpeg</t>
  </si>
  <si>
    <t>https://files.armadanusantara.co.id/bukti/20d3291fc013.jpeg</t>
  </si>
  <si>
    <t>https://files.armadanusantara.co.id/bukti/973a1c200b22.pdf</t>
  </si>
  <si>
    <t>https://files.armadanusantara.co.id/bukti/acb239466354.pdf</t>
  </si>
  <si>
    <t>https://files.armadanusantara.co.id/bukti/01af39aeb342.jpg</t>
  </si>
  <si>
    <t>https://files.armadanusantara.co.id/bukti/a066718a8c36.png</t>
  </si>
  <si>
    <t>10803@armadanusantara.co.id</t>
  </si>
  <si>
    <t>Septian Mahendra</t>
  </si>
  <si>
    <t>https://files.armadanusantara.co.id/bukti/bfb59d0210e8.pdf</t>
  </si>
  <si>
    <t>https://files.armadanusantara.co.id/bukti/4ad56feb8924.jpeg</t>
  </si>
  <si>
    <t>https://files.armadanusantara.co.id/bukti/c908703bd26b.png</t>
  </si>
  <si>
    <t>https://files.armadanusantara.co.id/bukti/3a5e902f6b5f.pdf</t>
  </si>
  <si>
    <t>https://files.armadanusantara.co.id/bukti/463f652adb87.jpg</t>
  </si>
  <si>
    <t>https://files.armadanusantara.co.id/bukti/cc184b2865cc.pdf</t>
  </si>
  <si>
    <t>https://files.armadanusantara.co.id/bukti/903f271893fc.png</t>
  </si>
  <si>
    <t>https://files.armadanusantara.co.id/bukti/ba03b13cdea0.jpeg</t>
  </si>
  <si>
    <t>https://files.armadanusantara.co.id/bukti/48ae7d2f86ff.png</t>
  </si>
  <si>
    <t>https://files.armadanusantara.co.id/bukti/10749f4f230c.pdf</t>
  </si>
  <si>
    <t>https://files.armadanusantara.co.id/bukti/60836e40c0ec.jpeg</t>
  </si>
  <si>
    <t>https://files.armadanusantara.co.id/bukti/d8ac2c83f2e6.pdf</t>
  </si>
  <si>
    <t>https://files.armadanusantara.co.id/bukti/465515da6828.jpg</t>
  </si>
  <si>
    <t>https://files.armadanusantara.co.id/bukti/d4c514805f1c.jpeg</t>
  </si>
  <si>
    <t>https://files.armadanusantara.co.id/bukti/2fc762d7add7.pdf</t>
  </si>
  <si>
    <t>https://files.armadanusantara.co.id/bukti/cabc8290a7e7.png</t>
  </si>
  <si>
    <t>https://files.armadanusantara.co.id/bukti/da663284aede.pdf</t>
  </si>
  <si>
    <t>https://files.armadanusantara.co.id/bukti/2c84444cb820.jpeg</t>
  </si>
  <si>
    <t>https://files.armadanusantara.co.id/bukti/1f22ed645c08.pdf</t>
  </si>
  <si>
    <t>https://files.armadanusantara.co.id/bukti/97f63586ca47.png</t>
  </si>
  <si>
    <t>https://files.armadanusantara.co.id/bukti/23a21578a9c7.jpg</t>
  </si>
  <si>
    <t>https://files.armadanusantara.co.id/bukti/0c8fb988ce4d.jpeg</t>
  </si>
  <si>
    <t>https://files.armadanusantara.co.id/bukti/a05ccfea8bd8.png</t>
  </si>
  <si>
    <t>https://files.armadanusantara.co.id/bukti/6bf564e0d6c0.png</t>
  </si>
  <si>
    <t>https://files.armadanusantara.co.id/bukti/6e186e67781c.jpg</t>
  </si>
  <si>
    <t>https://files.armadanusantara.co.id/bukti/f72177a0527d.jpeg</t>
  </si>
  <si>
    <t>https://files.armadanusantara.co.id/bukti/c7f23b7607ea.pdf</t>
  </si>
  <si>
    <t>https://files.armadanusantara.co.id/bukti/e5fdc6bf59e1.png</t>
  </si>
  <si>
    <t>https://files.armadanusantara.co.id/bukti/ab39904bd362.jpeg</t>
  </si>
  <si>
    <t>https://files.armadanusantara.co.id/bukti/bbb27ac9c861.png</t>
  </si>
  <si>
    <t>https://files.armadanusantara.co.id/bukti/181aa0727741.pdf</t>
  </si>
  <si>
    <t>https://files.armadanusantara.co.id/bukti/558227d31e50.png</t>
  </si>
  <si>
    <t>https://files.armadanusantara.co.id/bukti/8d609bd2fa4f.pdf</t>
  </si>
  <si>
    <t>https://files.armadanusantara.co.id/bukti/6f4db5577486.png</t>
  </si>
  <si>
    <t>https://files.armadanusantara.co.id/bukti/4cefa48e346e.jpeg</t>
  </si>
  <si>
    <t>https://files.armadanusantara.co.id/bukti/51d3d7989fdb.pdf</t>
  </si>
  <si>
    <t>79445@armadanusantara.co.id</t>
  </si>
  <si>
    <t>Arif Hutabarat</t>
  </si>
  <si>
    <t>B3982DUA</t>
  </si>
  <si>
    <t>https://files.armadanusantara.co.id/bukti/3b6c41e8a53b.jpg</t>
  </si>
  <si>
    <t>https://files.armadanusantara.co.id/bukti/95ac1913bde8.jpg</t>
  </si>
  <si>
    <t>https://files.armadanusantara.co.id/bukti/425e6c6b8117.jpg</t>
  </si>
  <si>
    <t>https://files.armadanusantara.co.id/bukti/ad9ef90939b1.jpeg</t>
  </si>
  <si>
    <t>https://files.armadanusantara.co.id/bukti/2a563f36c317.png</t>
  </si>
  <si>
    <t>https://files.armadanusantara.co.id/bukti/ce6cff82fe8b.pdf</t>
  </si>
  <si>
    <t>https://files.armadanusantara.co.id/bukti/1fc3a64e4624.png</t>
  </si>
  <si>
    <t>https://files.armadanusantara.co.id/bukti/4bfc186d9133.pdf</t>
  </si>
  <si>
    <t>https://files.armadanusantara.co.id/bukti/4de7e3a30b1f.jpeg</t>
  </si>
  <si>
    <t>https://files.armadanusantara.co.id/bukti/0e30d760ef39.png</t>
  </si>
  <si>
    <t>https://files.armadanusantara.co.id/bukti/dbccc193eaa7.jpg</t>
  </si>
  <si>
    <t>https://files.armadanusantara.co.id/bukti/a1ba586cb08e.jpg</t>
  </si>
  <si>
    <t>https://files.armadanusantara.co.id/bukti/7a05debc077d.png</t>
  </si>
  <si>
    <t>https://files.armadanusantara.co.id/bukti/386d9b1730ec.png</t>
  </si>
  <si>
    <t>https://files.armadanusantara.co.id/bukti/afddc04be9d5.jpeg</t>
  </si>
  <si>
    <t>https://files.armadanusantara.co.id/bukti/cc4f5fa71d98.pdf</t>
  </si>
  <si>
    <t>77993@armadanusantara.co.id</t>
  </si>
  <si>
    <t>Nanda Yulianto</t>
  </si>
  <si>
    <t>https://files.armadanusantara.co.id/bukti/834076316e29.jpg</t>
  </si>
  <si>
    <t>https://files.armadanusantara.co.id/bukti/9cdd5979f17b.pdf</t>
  </si>
  <si>
    <t>https://files.armadanusantara.co.id/bukti/f8372aa11093.pdf</t>
  </si>
  <si>
    <t>https://files.armadanusantara.co.id/bukti/17884022e427.pdf</t>
  </si>
  <si>
    <t>https://files.armadanusantara.co.id/bukti/f415a294d0de.jpg</t>
  </si>
  <si>
    <t>https://files.armadanusantara.co.id/bukti/44da13b52a11.png</t>
  </si>
  <si>
    <t>https://files.armadanusantara.co.id/bukti/715b96158d03.png</t>
  </si>
  <si>
    <t>https://files.armadanusantara.co.id/bukti/a751b764723d.jpg</t>
  </si>
  <si>
    <t>https://files.armadanusantara.co.id/bukti/a0a5a6b49ae9.png</t>
  </si>
  <si>
    <t>https://files.armadanusantara.co.id/bukti/c3172b2e1bfa.jpeg</t>
  </si>
  <si>
    <t>https://files.armadanusantara.co.id/bukti/540792d8d443.jpeg</t>
  </si>
  <si>
    <t>https://files.armadanusantara.co.id/bukti/e54112318c98.png</t>
  </si>
  <si>
    <t>https://files.armadanusantara.co.id/bukti/7e9a0f1f2ddc.jpg</t>
  </si>
  <si>
    <t>https://files.armadanusantara.co.id/bukti/16b0ef6a3b61.jpg</t>
  </si>
  <si>
    <t>https://files.armadanusantara.co.id/bukti/cdce92fe87d3.jpg</t>
  </si>
  <si>
    <t>https://files.armadanusantara.co.id/bukti/9a6e3dc6c1dc.jpeg</t>
  </si>
  <si>
    <t>https://files.armadanusantara.co.id/bukti/8c4423d3f387.jpeg</t>
  </si>
  <si>
    <t>https://files.armadanusantara.co.id/bukti/120c9398671a.jpeg</t>
  </si>
  <si>
    <t>https://files.armadanusantara.co.id/bukti/61cf37ed072d.jpg</t>
  </si>
  <si>
    <t>https://files.armadanusantara.co.id/bukti/8663cc155f54.jpeg</t>
  </si>
  <si>
    <t>https://files.armadanusantara.co.id/bukti/4a61201ccde1.jpg</t>
  </si>
  <si>
    <t>https://files.armadanusantara.co.id/bukti/acf9410137d4.jpeg</t>
  </si>
  <si>
    <t>B5176KW</t>
  </si>
  <si>
    <t>https://files.armadanusantara.co.id/bukti/ab23731dbacf.png</t>
  </si>
  <si>
    <t>https://files.armadanusantara.co.id/bukti/619f2b5c854c.jpeg</t>
  </si>
  <si>
    <t>https://files.armadanusantara.co.id/bukti/d5ebb1a09081.jpeg</t>
  </si>
  <si>
    <t>https://files.armadanusantara.co.id/bukti/53b8b7a7092b.pdf</t>
  </si>
  <si>
    <t>https://files.armadanusantara.co.id/bukti/cb647ba100cc.jpeg</t>
  </si>
  <si>
    <t>https://files.armadanusantara.co.id/bukti/219407d509c2.pdf</t>
  </si>
  <si>
    <t>https://files.armadanusantara.co.id/bukti/7999d53bdc08.png</t>
  </si>
  <si>
    <t>https://files.armadanusantara.co.id/bukti/c0b5b393fac1.pdf</t>
  </si>
  <si>
    <t>https://files.armadanusantara.co.id/bukti/f42a03c799b8.jpg</t>
  </si>
  <si>
    <t>https://files.armadanusantara.co.id/bukti/3eb3689ae598.jpg</t>
  </si>
  <si>
    <t>https://files.armadanusantara.co.id/bukti/f08810ab2a2e.png</t>
  </si>
  <si>
    <t>https://files.armadanusantara.co.id/bukti/dc677d272c03.pdf</t>
  </si>
  <si>
    <t>https://files.armadanusantara.co.id/bukti/59491c91e7c9.pdf</t>
  </si>
  <si>
    <t>https://files.armadanusantara.co.id/bukti/9ca88850e163.jpg</t>
  </si>
  <si>
    <t>https://files.armadanusantara.co.id/bukti/c0400206f956.jpg</t>
  </si>
  <si>
    <t>https://files.armadanusantara.co.id/bukti/b75a93770e41.pdf</t>
  </si>
  <si>
    <t>https://files.armadanusantara.co.id/bukti/a5fb4143c52b.png</t>
  </si>
  <si>
    <t>https://files.armadanusantara.co.id/bukti/8a384b7260d3.jpeg</t>
  </si>
  <si>
    <t>https://files.armadanusantara.co.id/bukti/5303cf5bc24d.pdf</t>
  </si>
  <si>
    <t>https://files.armadanusantara.co.id/bukti/c45b0e9720c0.png</t>
  </si>
  <si>
    <t>64464@armadanusantara.co.id</t>
  </si>
  <si>
    <t>Sigit Utama</t>
  </si>
  <si>
    <t>https://files.armadanusantara.co.id/bukti/66cac5dc8ae9.png</t>
  </si>
  <si>
    <t>https://files.armadanusantara.co.id/bukti/571a49f8d646.jpeg</t>
  </si>
  <si>
    <t>https://files.armadanusantara.co.id/bukti/f552d48ee692.pdf</t>
  </si>
  <si>
    <t>https://files.armadanusantara.co.id/bukti/7a7e0bbc1e05.png</t>
  </si>
  <si>
    <t>https://files.armadanusantara.co.id/bukti/e9a1e2785c40.pdf</t>
  </si>
  <si>
    <t>https://files.armadanusantara.co.id/bukti/9d9c8428782c.jpeg</t>
  </si>
  <si>
    <t>https://files.armadanusantara.co.id/bukti/ed0922db141f.pdf</t>
  </si>
  <si>
    <t>https://files.armadanusantara.co.id/bukti/ed6fe53bb59c.jpeg</t>
  </si>
  <si>
    <t>https://files.armadanusantara.co.id/bukti/c7abe8659063.png</t>
  </si>
  <si>
    <t>https://files.armadanusantara.co.id/bukti/2069afc39b88.pdf</t>
  </si>
  <si>
    <t>https://files.armadanusantara.co.id/bukti/f85e8c4849ee.jpg</t>
  </si>
  <si>
    <t>https://files.armadanusantara.co.id/bukti/6a51197756cb.png</t>
  </si>
  <si>
    <t>https://files.armadanusantara.co.id/bukti/91d5c34715d2.jpeg</t>
  </si>
  <si>
    <t>https://files.armadanusantara.co.id/bukti/a3099ad28d39.jpeg</t>
  </si>
  <si>
    <t>https://files.armadanusantara.co.id/bukti/8f205794312b.jpg</t>
  </si>
  <si>
    <t>https://files.armadanusantara.co.id/bukti/cbdc19f4e8e3.jpg</t>
  </si>
  <si>
    <t>27887@armadanusantara.co.id</t>
  </si>
  <si>
    <t>Slamet Ginting</t>
  </si>
  <si>
    <t>https://files.armadanusantara.co.id/bukti/f32b0f2923df.png</t>
  </si>
  <si>
    <t>https://files.armadanusantara.co.id/bukti/fed3113b44ca.jpg</t>
  </si>
  <si>
    <t>https://files.armadanusantara.co.id/bukti/04025e3ba0c9.jpg</t>
  </si>
  <si>
    <t>https://files.armadanusantara.co.id/bukti/5243d7478bad.pdf</t>
  </si>
  <si>
    <t>https://files.armadanusantara.co.id/bukti/12918799167a.jpeg</t>
  </si>
  <si>
    <t>https://files.armadanusantara.co.id/bukti/1f948578b99f.jpg</t>
  </si>
  <si>
    <t>https://files.armadanusantara.co.id/bukti/f876861e5761.jpg</t>
  </si>
  <si>
    <t>https://files.armadanusantara.co.id/bukti/4d47ba7e769e.jpeg</t>
  </si>
  <si>
    <t>https://files.armadanusantara.co.id/bukti/3f9ca92103dc.jpeg</t>
  </si>
  <si>
    <t>https://files.armadanusantara.co.id/bukti/46827da7041d.jpeg</t>
  </si>
  <si>
    <t>https://files.armadanusantara.co.id/bukti/0c3535e01e01.jpeg</t>
  </si>
  <si>
    <t>https://files.armadanusantara.co.id/bukti/77f764f09bb8.pdf</t>
  </si>
  <si>
    <t>https://files.armadanusantara.co.id/bukti/3c836390306b.jpeg</t>
  </si>
  <si>
    <t>https://files.armadanusantara.co.id/bukti/94684bd7b476.jpg</t>
  </si>
  <si>
    <t>https://files.armadanusantara.co.id/bukti/c6bd56399494.pdf</t>
  </si>
  <si>
    <t>https://files.armadanusantara.co.id/bukti/cd497e8ab7aa.jpeg</t>
  </si>
  <si>
    <t>https://files.armadanusantara.co.id/bukti/136737848ed0.jpeg</t>
  </si>
  <si>
    <t>https://files.armadanusantara.co.id/bukti/e5253cd6bd0e.pdf</t>
  </si>
  <si>
    <t>https://files.armadanusantara.co.id/bukti/d740f690872b.png</t>
  </si>
  <si>
    <t>https://files.armadanusantara.co.id/bukti/43447361a502.jpg</t>
  </si>
  <si>
    <t>https://files.armadanusantara.co.id/bukti/49e40b3dbf7a.jpeg</t>
  </si>
  <si>
    <t>https://files.armadanusantara.co.id/bukti/b3aeddd52d71.jpg</t>
  </si>
  <si>
    <t>https://files.armadanusantara.co.id/bukti/7e2f535b763e.pdf</t>
  </si>
  <si>
    <t>https://files.armadanusantara.co.id/bukti/10c8c773f2f2.png</t>
  </si>
  <si>
    <t>26691@armadanusantara.co.id</t>
  </si>
  <si>
    <t>Rizki Mahendra</t>
  </si>
  <si>
    <t>https://files.armadanusantara.co.id/bukti/5adb6ccaf1ac.jpg</t>
  </si>
  <si>
    <t>https://files.armadanusantara.co.id/bukti/16065426aba7.jpg</t>
  </si>
  <si>
    <t>https://files.armadanusantara.co.id/bukti/b974f82d8c4c.jpg</t>
  </si>
  <si>
    <t>https://files.armadanusantara.co.id/bukti/5ff3883de81b.jpg</t>
  </si>
  <si>
    <t>https://files.armadanusantara.co.id/bukti/a793602cd0c2.png</t>
  </si>
  <si>
    <t>https://files.armadanusantara.co.id/bukti/88e9fa8546e5.pdf</t>
  </si>
  <si>
    <t>https://files.armadanusantara.co.id/bukti/9e4fc93c7640.jpg</t>
  </si>
  <si>
    <t>https://files.armadanusantara.co.id/bukti/c7913486bdf7.jpg</t>
  </si>
  <si>
    <t>https://files.armadanusantara.co.id/bukti/11e54bb16dce.pdf</t>
  </si>
  <si>
    <t>https://files.armadanusantara.co.id/bukti/1788c7471853.png</t>
  </si>
  <si>
    <t>https://files.armadanusantara.co.id/bukti/226bfbdd425f.pdf</t>
  </si>
  <si>
    <t>https://files.armadanusantara.co.id/bukti/2ac6246f1ed5.pdf</t>
  </si>
  <si>
    <t>https://files.armadanusantara.co.id/bukti/41c80070c5b8.jpg</t>
  </si>
  <si>
    <t>https://files.armadanusantara.co.id/bukti/81bd20ccd6fc.jpeg</t>
  </si>
  <si>
    <t>https://files.armadanusantara.co.id/bukti/53dafe13216f.png</t>
  </si>
  <si>
    <t>https://files.armadanusantara.co.id/bukti/6d0dec17ad0a.pdf</t>
  </si>
  <si>
    <t>20126@armadanusantara.co.id</t>
  </si>
  <si>
    <t>Prasetyo Jayadi</t>
  </si>
  <si>
    <t>https://files.armadanusantara.co.id/bukti/d180770d6569.jpg</t>
  </si>
  <si>
    <t>https://files.armadanusantara.co.id/bukti/fd4b1dd820a0.pdf</t>
  </si>
  <si>
    <t>https://files.armadanusantara.co.id/bukti/a7fdc4d9e4c7.jpeg</t>
  </si>
  <si>
    <t>https://files.armadanusantara.co.id/bukti/5186259cf175.png</t>
  </si>
  <si>
    <t>https://files.armadanusantara.co.id/bukti/3cbbc4358b80.jpg</t>
  </si>
  <si>
    <t>https://files.armadanusantara.co.id/bukti/067056614179.jpeg</t>
  </si>
  <si>
    <t>https://files.armadanusantara.co.id/bukti/07e581ef18d7.jpg</t>
  </si>
  <si>
    <t>https://files.armadanusantara.co.id/bukti/e3dac936d918.jpg</t>
  </si>
  <si>
    <t>https://files.armadanusantara.co.id/bukti/56fa64fc666b.png</t>
  </si>
  <si>
    <t>https://files.armadanusantara.co.id/bukti/fd47193a5648.png</t>
  </si>
  <si>
    <t>https://files.armadanusantara.co.id/bukti/d423e122c04e.png</t>
  </si>
  <si>
    <t>https://files.armadanusantara.co.id/bukti/fe89559b49cc.pdf</t>
  </si>
  <si>
    <t>93852@armadanusantara.co.id</t>
  </si>
  <si>
    <t>Sri Susanto</t>
  </si>
  <si>
    <t>https://files.armadanusantara.co.id/bukti/76eff795b65b.png</t>
  </si>
  <si>
    <t>https://files.armadanusantara.co.id/bukti/a7ba22de2b0c.jpg</t>
  </si>
  <si>
    <t>https://files.armadanusantara.co.id/bukti/8e98b4a180cc.jpeg</t>
  </si>
  <si>
    <t>https://files.armadanusantara.co.id/bukti/b2356da995ab.jpg</t>
  </si>
  <si>
    <t>https://files.armadanusantara.co.id/bukti/fec9cad81db2.pdf</t>
  </si>
  <si>
    <t>https://files.armadanusantara.co.id/bukti/1d9b098f66f0.png</t>
  </si>
  <si>
    <t>https://files.armadanusantara.co.id/bukti/1c2b2177ca3f.png</t>
  </si>
  <si>
    <t>https://files.armadanusantara.co.id/bukti/3ffc224a6958.jpg</t>
  </si>
  <si>
    <t>https://files.armadanusantara.co.id/bukti/0f83ab725701.jpeg</t>
  </si>
  <si>
    <t>https://files.armadanusantara.co.id/bukti/d5b3791a518f.png</t>
  </si>
  <si>
    <t>18415@armadanusantara.co.id</t>
  </si>
  <si>
    <t>Ilham Handoko</t>
  </si>
  <si>
    <t>https://files.armadanusantara.co.id/bukti/a2db87c0912a.pdf</t>
  </si>
  <si>
    <t>https://files.armadanusantara.co.id/bukti/9adb8ba046e6.jpeg</t>
  </si>
  <si>
    <t>https://files.armadanusantara.co.id/bukti/fd382d90fd64.png</t>
  </si>
  <si>
    <t>https://files.armadanusantara.co.id/bukti/1ace1d227ba3.jpeg</t>
  </si>
  <si>
    <t>B7302PP</t>
  </si>
  <si>
    <t>https://files.armadanusantara.co.id/bukti/a7ac08ddad54.jpeg</t>
  </si>
  <si>
    <t>https://files.armadanusantara.co.id/bukti/8e2ee22f8a48.pdf</t>
  </si>
  <si>
    <t>https://files.armadanusantara.co.id/bukti/bc94b8312dd1.png</t>
  </si>
  <si>
    <t>https://files.armadanusantara.co.id/bukti/ba8b161f8444.jpg</t>
  </si>
  <si>
    <t>https://files.armadanusantara.co.id/bukti/f235975e4dce.jpg</t>
  </si>
  <si>
    <t>https://files.armadanusantara.co.id/bukti/fa490ed44665.jpg</t>
  </si>
  <si>
    <t>https://files.armadanusantara.co.id/bukti/1b684fbb29e6.png</t>
  </si>
  <si>
    <t>https://files.armadanusantara.co.id/bukti/f7acbfab31f9.jpeg</t>
  </si>
  <si>
    <t>https://files.armadanusantara.co.id/bukti/cc6b8e016cb1.jpeg</t>
  </si>
  <si>
    <t>https://files.armadanusantara.co.id/bukti/ca8ebd863bd2.jpg</t>
  </si>
  <si>
    <t>https://files.armadanusantara.co.id/bukti/48258c9060af.jpg</t>
  </si>
  <si>
    <t>https://files.armadanusantara.co.id/bukti/7d6d67af0f47.jpeg</t>
  </si>
  <si>
    <t>https://files.armadanusantara.co.id/bukti/9c6a6c74f843.png</t>
  </si>
  <si>
    <t>https://files.armadanusantara.co.id/bukti/60033891ad04.png</t>
  </si>
  <si>
    <t>https://files.armadanusantara.co.id/bukti/e48f2b72a59b.png</t>
  </si>
  <si>
    <t>https://files.armadanusantara.co.id/bukti/a1aba50542fb.jpg</t>
  </si>
  <si>
    <t>https://files.armadanusantara.co.id/bukti/bf19f2f9531e.png</t>
  </si>
  <si>
    <t>https://files.armadanusantara.co.id/bukti/fce3bc500cac.jpeg</t>
  </si>
  <si>
    <t>https://files.armadanusantara.co.id/bukti/dba0c0a0bf68.png</t>
  </si>
  <si>
    <t>https://files.armadanusantara.co.id/bukti/1a6736b8cafa.pdf</t>
  </si>
  <si>
    <t>https://files.armadanusantara.co.id/bukti/05f0d28c4cab.jpeg</t>
  </si>
  <si>
    <t>https://files.armadanusantara.co.id/bukti/8c7da1fcbdb4.jpeg</t>
  </si>
  <si>
    <t>https://files.armadanusantara.co.id/bukti/e6fd203d0f54.pdf</t>
  </si>
  <si>
    <t>https://files.armadanusantara.co.id/bukti/b0ba7ce5a400.pdf</t>
  </si>
  <si>
    <t>https://files.armadanusantara.co.id/bukti/99a9291684c5.jpeg</t>
  </si>
  <si>
    <t>https://files.armadanusantara.co.id/bukti/8f2543d28016.pdf</t>
  </si>
  <si>
    <t>https://files.armadanusantara.co.id/bukti/236fdd7a8a76.jpeg</t>
  </si>
  <si>
    <t>https://files.armadanusantara.co.id/bukti/e0cdb97bb4bd.png</t>
  </si>
  <si>
    <t>https://files.armadanusantara.co.id/bukti/fab7762234dd.jpeg</t>
  </si>
  <si>
    <t>https://files.armadanusantara.co.id/bukti/d48a0ca5cbe3.png</t>
  </si>
  <si>
    <t>https://files.armadanusantara.co.id/bukti/6122b83750e3.pdf</t>
  </si>
  <si>
    <t>https://files.armadanusantara.co.id/bukti/0cca055eee89.pdf</t>
  </si>
  <si>
    <t>https://files.armadanusantara.co.id/bukti/92b3165f1d7f.pdf</t>
  </si>
  <si>
    <t>https://files.armadanusantara.co.id/bukti/c04af329ec20.pdf</t>
  </si>
  <si>
    <t>https://files.armadanusantara.co.id/bukti/5b31d4611827.jpeg</t>
  </si>
  <si>
    <t>https://files.armadanusantara.co.id/bukti/df6cc537e207.jpg</t>
  </si>
  <si>
    <t>https://files.armadanusantara.co.id/bukti/c0add76feb51.jpeg</t>
  </si>
  <si>
    <t>https://files.armadanusantara.co.id/bukti/df7a471d8185.png</t>
  </si>
  <si>
    <t>https://files.armadanusantara.co.id/bukti/e9f96eaa6de5.png</t>
  </si>
  <si>
    <t>https://files.armadanusantara.co.id/bukti/457b1c08cdc9.pdf</t>
  </si>
  <si>
    <t>https://files.armadanusantara.co.id/bukti/1ef740f3d76c.pdf</t>
  </si>
  <si>
    <t>https://files.armadanusantara.co.id/bukti/7c80db8ba5e0.pdf</t>
  </si>
  <si>
    <t>https://files.armadanusantara.co.id/bukti/19841229e8e1.png</t>
  </si>
  <si>
    <t>https://files.armadanusantara.co.id/bukti/554d0fcacbb5.jpg</t>
  </si>
  <si>
    <t>https://files.armadanusantara.co.id/bukti/1697bce6c0a2.png</t>
  </si>
  <si>
    <t>https://files.armadanusantara.co.id/bukti/023208d95e42.jpeg</t>
  </si>
  <si>
    <t>https://files.armadanusantara.co.id/bukti/c228902a7653.pdf</t>
  </si>
  <si>
    <t>https://files.armadanusantara.co.id/bukti/9ce06981b6a9.jpg</t>
  </si>
  <si>
    <t>https://files.armadanusantara.co.id/bukti/c3a0229bc41e.pdf</t>
  </si>
  <si>
    <t>https://files.armadanusantara.co.id/bukti/dd80e2c9ea66.jpg</t>
  </si>
  <si>
    <t>https://files.armadanusantara.co.id/bukti/7b1eb4365e06.pdf</t>
  </si>
  <si>
    <t>https://files.armadanusantara.co.id/bukti/e971bc766ff1.jpeg</t>
  </si>
  <si>
    <t>https://files.armadanusantara.co.id/bukti/fb17a73139e1.pdf</t>
  </si>
  <si>
    <t>https://files.armadanusantara.co.id/bukti/f4654fd448f3.png</t>
  </si>
  <si>
    <t>https://files.armadanusantara.co.id/bukti/238234098d5c.jpeg</t>
  </si>
  <si>
    <t>https://files.armadanusantara.co.id/bukti/a09619f68518.pdf</t>
  </si>
  <si>
    <t>https://files.armadanusantara.co.id/bukti/cbff694d4853.pdf</t>
  </si>
  <si>
    <t>https://files.armadanusantara.co.id/bukti/2e868de9ba9d.jpg</t>
  </si>
  <si>
    <t>https://files.armadanusantara.co.id/bukti/d4e938ba9720.jpg</t>
  </si>
  <si>
    <t>https://files.armadanusantara.co.id/bukti/7066a3c91af7.jpeg</t>
  </si>
  <si>
    <t>https://files.armadanusantara.co.id/bukti/f7647d7ab237.png</t>
  </si>
  <si>
    <t>https://files.armadanusantara.co.id/bukti/2b7ce4402826.pdf</t>
  </si>
  <si>
    <t>https://files.armadanusantara.co.id/bukti/befc28b2b1a2.pdf</t>
  </si>
  <si>
    <t>https://files.armadanusantara.co.id/bukti/774823a1546e.jpg</t>
  </si>
  <si>
    <t>93055@armadanusantara.co.id</t>
  </si>
  <si>
    <t>Ratna Hakim</t>
  </si>
  <si>
    <t>https://files.armadanusantara.co.id/bukti/29ddbd6ff1e9.jpeg</t>
  </si>
  <si>
    <t>https://files.armadanusantara.co.id/bukti/1e64b8b56b12.jpeg</t>
  </si>
  <si>
    <t>https://files.armadanusantara.co.id/bukti/71b91f77c265.pdf</t>
  </si>
  <si>
    <t>https://files.armadanusantara.co.id/bukti/12b1f970c658.png</t>
  </si>
  <si>
    <t>https://files.armadanusantara.co.id/bukti/7d107db60bce.jpeg</t>
  </si>
  <si>
    <t>https://files.armadanusantara.co.id/bukti/cf9194b13783.pdf</t>
  </si>
  <si>
    <t>https://files.armadanusantara.co.id/bukti/092028827b97.pdf</t>
  </si>
  <si>
    <t>https://files.armadanusantara.co.id/bukti/36ccc40e6dd3.jpg</t>
  </si>
  <si>
    <t>https://files.armadanusantara.co.id/bukti/bba772f253ac.jpg</t>
  </si>
  <si>
    <t>https://files.armadanusantara.co.id/bukti/2c5fadcb282b.png</t>
  </si>
  <si>
    <t>https://files.armadanusantara.co.id/bukti/679cdabf8253.jpeg</t>
  </si>
  <si>
    <t>https://files.armadanusantara.co.id/bukti/b06da07324a6.jpg</t>
  </si>
  <si>
    <t>https://files.armadanusantara.co.id/bukti/f612d0d33631.jpeg</t>
  </si>
  <si>
    <t>https://files.armadanusantara.co.id/bukti/d79827669a3a.jpeg</t>
  </si>
  <si>
    <t>https://files.armadanusantara.co.id/bukti/71b8602141af.jpeg</t>
  </si>
  <si>
    <t>https://files.armadanusantara.co.id/bukti/00319409ab54.png</t>
  </si>
  <si>
    <t>https://files.armadanusantara.co.id/bukti/33e7918a245a.png</t>
  </si>
  <si>
    <t>https://files.armadanusantara.co.id/bukti/e95f7c5b4f31.jpg</t>
  </si>
  <si>
    <t>B6004HW</t>
  </si>
  <si>
    <t>https://files.armadanusantara.co.id/bukti/c62d0e64f0f1.jpeg</t>
  </si>
  <si>
    <t>https://files.armadanusantara.co.id/bukti/a5771a9b603c.jpg</t>
  </si>
  <si>
    <t>https://files.armadanusantara.co.id/bukti/78070de08526.pdf</t>
  </si>
  <si>
    <t>https://files.armadanusantara.co.id/bukti/9787608732aa.png</t>
  </si>
  <si>
    <t>https://files.armadanusantara.co.id/bukti/2c4896fdeb68.jpg</t>
  </si>
  <si>
    <t>https://files.armadanusantara.co.id/bukti/f940b060487e.png</t>
  </si>
  <si>
    <t>https://files.armadanusantara.co.id/bukti/d0f83cee2d35.pdf</t>
  </si>
  <si>
    <t>https://files.armadanusantara.co.id/bukti/9807ae5f3b69.jpg</t>
  </si>
  <si>
    <t>https://files.armadanusantara.co.id/bukti/385fab78f429.pdf</t>
  </si>
  <si>
    <t>AB5135TQA</t>
  </si>
  <si>
    <t>https://files.armadanusantara.co.id/bukti/d824818d94d7.jpeg</t>
  </si>
  <si>
    <t>https://files.armadanusantara.co.id/bukti/be03d3119cd5.png</t>
  </si>
  <si>
    <t>https://files.armadanusantara.co.id/bukti/bdbffa4194f9.jpg</t>
  </si>
  <si>
    <t>https://files.armadanusantara.co.id/bukti/492790e6ff09.png</t>
  </si>
  <si>
    <t>https://files.armadanusantara.co.id/bukti/5485c4ffddce.pdf</t>
  </si>
  <si>
    <t>https://files.armadanusantara.co.id/bukti/c396ab3030ca.pdf</t>
  </si>
  <si>
    <t>20237@armadanusantara.co.id</t>
  </si>
  <si>
    <t>Kurnia Hutabarat</t>
  </si>
  <si>
    <t>https://files.armadanusantara.co.id/bukti/014b74e1ac38.jpg</t>
  </si>
  <si>
    <t>https://files.armadanusantara.co.id/bukti/f8e6cff5edb5.png</t>
  </si>
  <si>
    <t>https://files.armadanusantara.co.id/bukti/8a1b825eefa1.jpeg</t>
  </si>
  <si>
    <t>https://files.armadanusantara.co.id/bukti/570410b8a710.jpeg</t>
  </si>
  <si>
    <t>https://files.armadanusantara.co.id/bukti/ed8560b51bda.pdf</t>
  </si>
  <si>
    <t>https://files.armadanusantara.co.id/bukti/5fde010417fa.pdf</t>
  </si>
  <si>
    <t>https://files.armadanusantara.co.id/bukti/15490d750a1b.jpg</t>
  </si>
  <si>
    <t>https://files.armadanusantara.co.id/bukti/a4b08e514ed1.jpeg</t>
  </si>
  <si>
    <t>https://files.armadanusantara.co.id/bukti/106446bd6bbb.jpg</t>
  </si>
  <si>
    <t>https://files.armadanusantara.co.id/bukti/01ca575867a9.pdf</t>
  </si>
  <si>
    <t>KB8488HZN</t>
  </si>
  <si>
    <t>https://files.armadanusantara.co.id/bukti/2420a82b2b91.jpeg</t>
  </si>
  <si>
    <t>https://files.armadanusantara.co.id/bukti/685ac5999662.pdf</t>
  </si>
  <si>
    <t>https://files.armadanusantara.co.id/bukti/8afaaa5fe30e.png</t>
  </si>
  <si>
    <t>https://files.armadanusantara.co.id/bukti/ee939cfddcbf.png</t>
  </si>
  <si>
    <t>https://files.armadanusantara.co.id/bukti/8c6dc260a768.pdf</t>
  </si>
  <si>
    <t>https://files.armadanusantara.co.id/bukti/2c35913257ba.jpeg</t>
  </si>
  <si>
    <t>https://files.armadanusantara.co.id/bukti/61ddacd8a3a9.pdf</t>
  </si>
  <si>
    <t>https://files.armadanusantara.co.id/bukti/a3421c4e12fc.jpg</t>
  </si>
  <si>
    <t>https://files.armadanusantara.co.id/bukti/1178370e1c75.pdf</t>
  </si>
  <si>
    <t>https://files.armadanusantara.co.id/bukti/61f6944111d1.pdf</t>
  </si>
  <si>
    <t>https://files.armadanusantara.co.id/bukti/77141b245712.pdf</t>
  </si>
  <si>
    <t>https://files.armadanusantara.co.id/bukti/5c271578c8d0.jpeg</t>
  </si>
  <si>
    <t>https://files.armadanusantara.co.id/bukti/ec142f1816b5.pdf</t>
  </si>
  <si>
    <t>https://files.armadanusantara.co.id/bukti/67abf422b586.pdf</t>
  </si>
  <si>
    <t>https://files.armadanusantara.co.id/bukti/e4d2f1042873.png</t>
  </si>
  <si>
    <t>https://files.armadanusantara.co.id/bukti/c27ba0c114ee.png</t>
  </si>
  <si>
    <t>https://files.armadanusantara.co.id/bukti/be684153f993.png</t>
  </si>
  <si>
    <t>https://files.armadanusantara.co.id/bukti/375e7af2e3bb.png</t>
  </si>
  <si>
    <t>https://files.armadanusantara.co.id/bukti/f205a78bb832.jpeg</t>
  </si>
  <si>
    <t>https://files.armadanusantara.co.id/bukti/977e2641602f.png</t>
  </si>
  <si>
    <t>https://files.armadanusantara.co.id/bukti/d78f7f96ffd5.pdf</t>
  </si>
  <si>
    <t>https://files.armadanusantara.co.id/bukti/1b073a1d1da4.jpeg</t>
  </si>
  <si>
    <t>https://files.armadanusantara.co.id/bukti/ae6f6cf09248.jpg</t>
  </si>
  <si>
    <t>https://files.armadanusantara.co.id/bukti/f81ea11bcf65.png</t>
  </si>
  <si>
    <t>https://files.armadanusantara.co.id/bukti/ea8219689e5b.png</t>
  </si>
  <si>
    <t>https://files.armadanusantara.co.id/bukti/8d006c5765e4.jpeg</t>
  </si>
  <si>
    <t>https://files.armadanusantara.co.id/bukti/1ae5c7ba062d.jpeg</t>
  </si>
  <si>
    <t>https://files.armadanusantara.co.id/bukti/69f3fd53a0f4.pdf</t>
  </si>
  <si>
    <t>https://files.armadanusantara.co.id/bukti/51625330b84e.jpg</t>
  </si>
  <si>
    <t>https://files.armadanusantara.co.id/bukti/b26fcfb0e80f.png</t>
  </si>
  <si>
    <t>https://files.armadanusantara.co.id/bukti/725bcddefab7.jpg</t>
  </si>
  <si>
    <t>https://files.armadanusantara.co.id/bukti/529579d3b539.jpeg</t>
  </si>
  <si>
    <t>https://files.armadanusantara.co.id/bukti/ebfed32ba293.jpeg</t>
  </si>
  <si>
    <t>B1042EB</t>
  </si>
  <si>
    <t>https://files.armadanusantara.co.id/bukti/5c4c71ea6a7a.pdf</t>
  </si>
  <si>
    <t>https://files.armadanusantara.co.id/bukti/99a12b393653.png</t>
  </si>
  <si>
    <t>https://files.armadanusantara.co.id/bukti/eeaddb652a7b.png</t>
  </si>
  <si>
    <t>https://files.armadanusantara.co.id/bukti/59699a3731ea.png</t>
  </si>
  <si>
    <t>https://files.armadanusantara.co.id/bukti/eb1648ab2faa.pdf</t>
  </si>
  <si>
    <t>https://files.armadanusantara.co.id/bukti/9faf5bc52413.pdf</t>
  </si>
  <si>
    <t>https://files.armadanusantara.co.id/bukti/7ba615172054.png</t>
  </si>
  <si>
    <t>https://files.armadanusantara.co.id/bukti/dae7adf11a12.pdf</t>
  </si>
  <si>
    <t>https://files.armadanusantara.co.id/bukti/9badce92a09c.jpg</t>
  </si>
  <si>
    <t>49995@armadanusantara.co.id</t>
  </si>
  <si>
    <t>Rizal Handoko</t>
  </si>
  <si>
    <t>https://files.armadanusantara.co.id/bukti/5582417fe248.pdf</t>
  </si>
  <si>
    <t>https://files.armadanusantara.co.id/bukti/4f448ac2e909.jpg</t>
  </si>
  <si>
    <t>https://files.armadanusantara.co.id/bukti/37272cd59701.png</t>
  </si>
  <si>
    <t>https://files.armadanusantara.co.id/bukti/f643dfaa3731.png</t>
  </si>
  <si>
    <t>https://files.armadanusantara.co.id/bukti/31596b5b46be.jpeg</t>
  </si>
  <si>
    <t>https://files.armadanusantara.co.id/bukti/5d42e6a7bfd4.png</t>
  </si>
  <si>
    <t>https://files.armadanusantara.co.id/bukti/7d92cf66f269.pdf</t>
  </si>
  <si>
    <t>https://files.armadanusantara.co.id/bukti/aabc626bf894.pdf</t>
  </si>
  <si>
    <t>https://files.armadanusantara.co.id/bukti/7e2e0e69c2b8.jpeg</t>
  </si>
  <si>
    <t>https://files.armadanusantara.co.id/bukti/f9bf879cf2ff.jpg</t>
  </si>
  <si>
    <t>B4008GYL</t>
  </si>
  <si>
    <t>https://files.armadanusantara.co.id/bukti/c858869b5f6a.jpg</t>
  </si>
  <si>
    <t>https://files.armadanusantara.co.id/bukti/f31785fa8508.png</t>
  </si>
  <si>
    <t>https://files.armadanusantara.co.id/bukti/7bce8e77b4ad.png</t>
  </si>
  <si>
    <t>https://files.armadanusantara.co.id/bukti/c053c6edfdb0.jpeg</t>
  </si>
  <si>
    <t>https://files.armadanusantara.co.id/bukti/1e3937928c96.png</t>
  </si>
  <si>
    <t>https://files.armadanusantara.co.id/bukti/accbb171b51d.jpg</t>
  </si>
  <si>
    <t>https://files.armadanusantara.co.id/bukti/4ecc20d43ad3.jpeg</t>
  </si>
  <si>
    <t>https://files.armadanusantara.co.id/bukti/ca505e49e320.jpg</t>
  </si>
  <si>
    <t>https://files.armadanusantara.co.id/bukti/c583a46f8dfa.png</t>
  </si>
  <si>
    <t>https://files.armadanusantara.co.id/bukti/af18b154c4aa.jpg</t>
  </si>
  <si>
    <t>https://files.armadanusantara.co.id/bukti/b4f1a7629663.pdf</t>
  </si>
  <si>
    <t>https://files.armadanusantara.co.id/bukti/74501934d0e4.jpeg</t>
  </si>
  <si>
    <t>https://files.armadanusantara.co.id/bukti/4705b06099f1.png</t>
  </si>
  <si>
    <t>https://files.armadanusantara.co.id/bukti/ccb19221111c.jpeg</t>
  </si>
  <si>
    <t>https://files.armadanusantara.co.id/bukti/d46e7ae4e24c.jpeg</t>
  </si>
  <si>
    <t>https://files.armadanusantara.co.id/bukti/095ae60a4a50.jpeg</t>
  </si>
  <si>
    <t>https://files.armadanusantara.co.id/bukti/52042c56fdaf.jpg</t>
  </si>
  <si>
    <t>https://files.armadanusantara.co.id/bukti/97496f962372.jpeg</t>
  </si>
  <si>
    <t>https://files.armadanusantara.co.id/bukti/3e3c906d4b26.png</t>
  </si>
  <si>
    <t>https://files.armadanusantara.co.id/bukti/839a68eaadbe.pdf</t>
  </si>
  <si>
    <t>https://files.armadanusantara.co.id/bukti/2e1f2b6a599a.pdf</t>
  </si>
  <si>
    <t>https://files.armadanusantara.co.id/bukti/2cc0eb93f0d5.jpg</t>
  </si>
  <si>
    <t>https://files.armadanusantara.co.id/bukti/de3a21b90081.jpeg</t>
  </si>
  <si>
    <t>https://files.armadanusantara.co.id/bukti/95413533e3bc.pdf</t>
  </si>
  <si>
    <t>https://files.armadanusantara.co.id/bukti/fce10c8726ed.jpg</t>
  </si>
  <si>
    <t>https://files.armadanusantara.co.id/bukti/5745a913956a.jpeg</t>
  </si>
  <si>
    <t>https://files.armadanusantara.co.id/bukti/a802a480c817.jpg</t>
  </si>
  <si>
    <t>B1319NZ</t>
  </si>
  <si>
    <t>https://files.armadanusantara.co.id/bukti/677aa1496228.jpeg</t>
  </si>
  <si>
    <t>https://files.armadanusantara.co.id/bukti/19e359d307f1.png</t>
  </si>
  <si>
    <t>https://files.armadanusantara.co.id/bukti/d0e8e2088dbd.png</t>
  </si>
  <si>
    <t>https://files.armadanusantara.co.id/bukti/9814ab633cbf.jpeg</t>
  </si>
  <si>
    <t>https://files.armadanusantara.co.id/bukti/7d78e8c9ed2d.pdf</t>
  </si>
  <si>
    <t>https://files.armadanusantara.co.id/bukti/d2fea8eea44d.pdf</t>
  </si>
  <si>
    <t>https://files.armadanusantara.co.id/bukti/cbe77a290c2d.pdf</t>
  </si>
  <si>
    <t>https://files.armadanusantara.co.id/bukti/e70d884ffc1e.jpeg</t>
  </si>
  <si>
    <t>https://files.armadanusantara.co.id/bukti/16233e8185f2.pdf</t>
  </si>
  <si>
    <t>https://files.armadanusantara.co.id/bukti/b437a292530b.jpg</t>
  </si>
  <si>
    <t>https://files.armadanusantara.co.id/bukti/3bf67d0b3a65.jpg</t>
  </si>
  <si>
    <t>https://files.armadanusantara.co.id/bukti/feccc03ee805.jpg</t>
  </si>
  <si>
    <t>https://files.armadanusantara.co.id/bukti/7fa5cda1bf3d.png</t>
  </si>
  <si>
    <t>https://files.armadanusantara.co.id/bukti/ceeee9471b7f.jpg</t>
  </si>
  <si>
    <t>https://files.armadanusantara.co.id/bukti/572e1f3dfa96.png</t>
  </si>
  <si>
    <t>https://files.armadanusantara.co.id/bukti/c20a9d3545ef.pdf</t>
  </si>
  <si>
    <t>https://files.armadanusantara.co.id/bukti/3bde776c5a97.jpg</t>
  </si>
  <si>
    <t>https://files.armadanusantara.co.id/bukti/681e3ace95e1.pdf</t>
  </si>
  <si>
    <t>https://files.armadanusantara.co.id/bukti/d1f816017f2f.jpeg</t>
  </si>
  <si>
    <t>https://files.armadanusantara.co.id/bukti/f6eae09d1347.pdf</t>
  </si>
  <si>
    <t>https://files.armadanusantara.co.id/bukti/38038f7eef19.jpeg</t>
  </si>
  <si>
    <t>https://files.armadanusantara.co.id/bukti/4082a9d7de86.pdf</t>
  </si>
  <si>
    <t>https://files.armadanusantara.co.id/bukti/44af794e2bb4.jpg</t>
  </si>
  <si>
    <t>https://files.armadanusantara.co.id/bukti/75fd5ada92a8.jpg</t>
  </si>
  <si>
    <t>https://files.armadanusantara.co.id/bukti/16a13610d957.pdf</t>
  </si>
  <si>
    <t>83912@armadanusantara.co.id</t>
  </si>
  <si>
    <t>Purnomo Handoko</t>
  </si>
  <si>
    <t>https://files.armadanusantara.co.id/bukti/f4f8e8f349d6.jpg</t>
  </si>
  <si>
    <t>https://files.armadanusantara.co.id/bukti/138296aa7bf4.pdf</t>
  </si>
  <si>
    <t>https://files.armadanusantara.co.id/bukti/0c8cb8b3f8de.png</t>
  </si>
  <si>
    <t>https://files.armadanusantara.co.id/bukti/f4c5343245c8.png</t>
  </si>
  <si>
    <t>https://files.armadanusantara.co.id/bukti/7984dedeede2.png</t>
  </si>
  <si>
    <t>https://files.armadanusantara.co.id/bukti/8a54d5a272ed.jpg</t>
  </si>
  <si>
    <t>https://files.armadanusantara.co.id/bukti/762cff949a2a.jpeg</t>
  </si>
  <si>
    <t>https://files.armadanusantara.co.id/bukti/0ece81e29411.jpeg</t>
  </si>
  <si>
    <t>https://files.armadanusantara.co.id/bukti/45c4f1c44da2.jpeg</t>
  </si>
  <si>
    <t>https://files.armadanusantara.co.id/bukti/1305b3e169c5.jpg</t>
  </si>
  <si>
    <t>https://files.armadanusantara.co.id/bukti/45cbc002f14a.jpeg</t>
  </si>
  <si>
    <t>https://files.armadanusantara.co.id/bukti/5e0b0e9eee99.pdf</t>
  </si>
  <si>
    <t>https://files.armadanusantara.co.id/bukti/13c3535947a9.jpg</t>
  </si>
  <si>
    <t>https://files.armadanusantara.co.id/bukti/c828105ec539.pdf</t>
  </si>
  <si>
    <t>https://files.armadanusantara.co.id/bukti/dcade10783b1.png</t>
  </si>
  <si>
    <t>https://files.armadanusantara.co.id/bukti/b90a0d846836.png</t>
  </si>
  <si>
    <t>https://files.armadanusantara.co.id/bukti/0b4f3dcf01de.jpg</t>
  </si>
  <si>
    <t>https://files.armadanusantara.co.id/bukti/5cf57de14885.jpeg</t>
  </si>
  <si>
    <t>https://files.armadanusantara.co.id/bukti/696618025475.jpg</t>
  </si>
  <si>
    <t>https://files.armadanusantara.co.id/bukti/30d46eec36f0.png</t>
  </si>
  <si>
    <t>https://files.armadanusantara.co.id/bukti/85a1948ef808.pdf</t>
  </si>
  <si>
    <t>https://files.armadanusantara.co.id/bukti/a0cde0e254f8.png</t>
  </si>
  <si>
    <t>https://files.armadanusantara.co.id/bukti/fca1bb7af989.jpg</t>
  </si>
  <si>
    <t>https://files.armadanusantara.co.id/bukti/360a18e7f5a8.jpg</t>
  </si>
  <si>
    <t>B3815GRJ</t>
  </si>
  <si>
    <t>https://files.armadanusantara.co.id/bukti/42965065604c.jpeg</t>
  </si>
  <si>
    <t>https://files.armadanusantara.co.id/bukti/773803a4af65.png</t>
  </si>
  <si>
    <t>https://files.armadanusantara.co.id/bukti/a0c0d4033294.jpeg</t>
  </si>
  <si>
    <t>https://files.armadanusantara.co.id/bukti/8243ffee692d.pdf</t>
  </si>
  <si>
    <t>https://files.armadanusantara.co.id/bukti/9335f23c8cb4.jpg</t>
  </si>
  <si>
    <t>https://files.armadanusantara.co.id/bukti/fc02b231651d.jpeg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</si>
</sst>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-* #,##0_-;\-* #,##0_-;_-* &quot;-&quot;_-;_-@_-"/>
    <numFmt numFmtId="167" formatCode="&quot;KM &quot;\ #,##0"/>
    <numFmt numFmtId="168" formatCode="yyyy\-mm\-dd\ hh:mm:ss"/>
    <numFmt numFmtId="169" formatCode="yyyy\-mm\-dd"/>
  </numFmts>
  <fonts count="18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&quot;Trebuchet MS&quot;"/>
    </font>
    <font>
      <sz val="8"/>
      <color rgb="FF000000"/>
      <name val="&quot;Trebuchet MS&quot;"/>
    </font>
    <font>
      <b/>
      <sz val="18"/>
      <color theme="1"/>
      <name val="Aptos Narrow"/>
      <scheme val="minor"/>
    </font>
    <font>
      <sz val="18"/>
      <color theme="1"/>
      <name val="Aptos Narrow"/>
      <family val="2"/>
      <scheme val="minor"/>
    </font>
    <font>
      <b/>
      <sz val="24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8"/>
      <color theme="3" tint="0.249977111117893"/>
      <name val="Aptos Narrow"/>
      <scheme val="minor"/>
    </font>
    <font>
      <b/>
      <sz val="40"/>
      <color theme="0"/>
      <name val="Aptos Narrow"/>
      <scheme val="minor"/>
    </font>
    <font>
      <b/>
      <sz val="18"/>
      <color theme="0"/>
      <name val="Aptos Narrow"/>
      <scheme val="minor"/>
    </font>
    <font>
      <b/>
      <sz val="20"/>
      <color theme="0"/>
      <name val="Aptos Narrow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93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C000"/>
      </patternFill>
    </fill>
  </fills>
  <borders count="6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0" borderId="0" xfId="0" applyAlignment="1">
      <alignment horizontal="right" vertical="center"/>
    </xf>
    <xf numFmtId="1" fontId="0" fillId="0" borderId="0" xfId="0" applyNumberFormat="1"/>
    <xf numFmtId="167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center"/>
    </xf>
    <xf numFmtId="0" fontId="0" fillId="6" borderId="0" xfId="0" applyFill="1"/>
    <xf numFmtId="15" fontId="0" fillId="6" borderId="0" xfId="0" applyNumberFormat="1" applyFill="1"/>
    <xf numFmtId="0" fontId="9" fillId="6" borderId="0" xfId="0" applyFont="1" applyFill="1"/>
    <xf numFmtId="0" fontId="10" fillId="6" borderId="0" xfId="0" applyFont="1" applyFill="1"/>
    <xf numFmtId="0" fontId="0" fillId="6" borderId="0" xfId="0" applyFill="1" applyAlignment="1">
      <alignment horizontal="left"/>
    </xf>
    <xf numFmtId="15" fontId="0" fillId="6" borderId="0" xfId="0" applyNumberFormat="1" applyFill="1" applyAlignment="1">
      <alignment horizontal="center"/>
    </xf>
    <xf numFmtId="1" fontId="0" fillId="6" borderId="0" xfId="0" applyNumberFormat="1" applyFill="1"/>
    <xf numFmtId="0" fontId="0" fillId="6" borderId="0" xfId="0" applyFill="1" applyAlignment="1">
      <alignment horizontal="center"/>
    </xf>
    <xf numFmtId="0" fontId="0" fillId="7" borderId="5" xfId="0" applyFill="1" applyBorder="1" applyAlignment="1">
      <alignment horizontal="left"/>
    </xf>
    <xf numFmtId="15" fontId="0" fillId="7" borderId="5" xfId="0" applyNumberFormat="1" applyFill="1" applyBorder="1" applyAlignment="1">
      <alignment horizontal="center"/>
    </xf>
    <xf numFmtId="1" fontId="0" fillId="7" borderId="5" xfId="0" applyNumberFormat="1" applyFill="1" applyBorder="1"/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15" fontId="16" fillId="6" borderId="0" xfId="0" applyNumberFormat="1" applyFont="1" applyFill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5" fontId="15" fillId="3" borderId="0" xfId="0" applyNumberFormat="1" applyFont="1" applyFill="1" applyAlignment="1">
      <alignment horizontal="center" vertical="center"/>
    </xf>
    <xf numFmtId="15" fontId="15" fillId="3" borderId="4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5" fontId="16" fillId="3" borderId="0" xfId="0" applyNumberFormat="1" applyFont="1" applyFill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166" fontId="5" fillId="0" borderId="3" xfId="0" applyNumberFormat="1" applyFont="1" applyFill="1" applyBorder="1" applyAlignment="1">
      <alignment vertical="center"/>
    </xf>
    <xf numFmtId="15" fontId="5" fillId="0" borderId="3" xfId="0" applyNumberFormat="1" applyFont="1" applyFill="1" applyBorder="1" applyAlignment="1">
      <alignment horizontal="center" vertical="center"/>
    </xf>
    <xf numFmtId="15" fontId="8" fillId="0" borderId="3" xfId="0" quotePrefix="1" applyNumberFormat="1" applyFont="1" applyFill="1" applyBorder="1" applyAlignment="1">
      <alignment horizontal="center" vertical="center"/>
    </xf>
    <xf numFmtId="15" fontId="8" fillId="0" borderId="2" xfId="0" quotePrefix="1" applyNumberFormat="1" applyFont="1" applyFill="1" applyBorder="1" applyAlignment="1">
      <alignment horizontal="center" vertical="center"/>
    </xf>
    <xf numFmtId="167" fontId="8" fillId="0" borderId="2" xfId="0" quotePrefix="1" applyNumberFormat="1" applyFont="1" applyFill="1" applyBorder="1" applyAlignment="1">
      <alignment horizontal="center" vertical="center"/>
    </xf>
    <xf numFmtId="0" fontId="17" fillId="0" borderId="0" xfId="0" applyFont="1"/>
    <xf numFmtId="168" fontId="17" fillId="0" borderId="0" xfId="0" applyNumberFormat="1" applyFont="1"/>
    <xf numFmtId="3" fontId="17" fillId="0" borderId="0" xfId="0" applyNumberFormat="1" applyFont="1"/>
    <xf numFmtId="169" fontId="17" fillId="0" borderId="0" xfId="0" applyNumberFormat="1" applyFont="1"/>
    <xf numFmtId="0" fontId="2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 vertical="center"/>
    </xf>
    <xf numFmtId="167" fontId="8" fillId="0" borderId="3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65">
    <dxf>
      <font>
        <sz val="10"/>
        <color auto="1"/>
        <name val="Arial"/>
        <family val="2"/>
        <scheme val="none"/>
      </font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169" formatCode="yyyy\-mm\-dd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169" formatCode="yyyy\-mm\-dd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169" formatCode="yyyy\-mm\-dd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3" formatCode="#,##0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168" formatCode="yyyy\-mm\-dd\ hh:mm:ss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0" formatCode="General"/>
    </dxf>
    <dxf>
      <font>
        <sz val="10"/>
        <color auto="1"/>
        <name val="Arial"/>
        <family val="2"/>
        <scheme val="none"/>
      </font>
      <numFmt numFmtId="168" formatCode="yyyy\-mm\-dd\ hh:mm:ss"/>
    </dxf>
    <dxf>
      <font>
        <sz val="10"/>
        <color auto="1"/>
        <name val="Arial"/>
        <family val="2"/>
        <scheme val="none"/>
      </font>
      <numFmt numFmtId="168" formatCode="yyyy\-mm\-dd\ hh:mm:ss"/>
    </dxf>
    <dxf>
      <font>
        <sz val="10"/>
        <color auto="1"/>
        <name val="Arial"/>
        <family val="2"/>
        <scheme val="none"/>
      </font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colors>
    <mruColors>
      <color rgb="FF4C93D9"/>
      <color rgb="FFC77C7B"/>
      <color rgb="FF9CB89F"/>
      <color rgb="FFBF7777"/>
      <color rgb="FFF3E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CB8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0-F446-8453-66A48D86D270}"/>
              </c:ext>
            </c:extLst>
          </c:dPt>
          <c:dPt>
            <c:idx val="1"/>
            <c:bubble3D val="0"/>
            <c:spPr>
              <a:solidFill>
                <a:srgbClr val="F3E3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0-F446-8453-66A48D86D270}"/>
              </c:ext>
            </c:extLst>
          </c:dPt>
          <c:dPt>
            <c:idx val="2"/>
            <c:bubble3D val="0"/>
            <c:spPr>
              <a:solidFill>
                <a:srgbClr val="C77C7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0-F446-8453-66A48D86D2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Helper!$E$2:$E$4</c:f>
              <c:strCache>
                <c:ptCount val="3"/>
                <c:pt idx="0">
                  <c:v>Aman</c:v>
                </c:pt>
                <c:pt idx="1">
                  <c:v>Belum Servis</c:v>
                </c:pt>
                <c:pt idx="2">
                  <c:v>Kendaraan Overdue</c:v>
                </c:pt>
              </c:strCache>
            </c:strRef>
          </c:cat>
          <c:val>
            <c:numRef>
              <c:f>Helper!$F$2:$F$4</c:f>
              <c:numCache>
                <c:formatCode>General</c:formatCode>
                <c:ptCount val="3"/>
                <c:pt idx="0">
                  <c:v>72</c:v>
                </c:pt>
                <c:pt idx="1">
                  <c:v>4</c:v>
                </c:pt>
                <c:pt idx="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B0-F446-8453-66A48D86D2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545419</xdr:colOff>
      <xdr:row>8</xdr:row>
      <xdr:rowOff>20785</xdr:rowOff>
    </xdr:from>
    <xdr:to>
      <xdr:col>3</xdr:col>
      <xdr:colOff>1499433</xdr:colOff>
      <xdr:row>18</xdr:row>
      <xdr:rowOff>184336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945866D-08E1-264E-891D-462E276E837B}"/>
            </a:ext>
          </a:extLst>
        </xdr:cNvPr>
        <xdr:cNvSpPr/>
      </xdr:nvSpPr>
      <xdr:spPr>
        <a:xfrm>
          <a:off x="1854297" y="2133132"/>
          <a:ext cx="2949728" cy="2548041"/>
        </a:xfrm>
        <a:prstGeom prst="roundRect">
          <a:avLst/>
        </a:prstGeom>
        <a:solidFill>
          <a:srgbClr val="9CB89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32758</xdr:colOff>
      <xdr:row>8</xdr:row>
      <xdr:rowOff>20785</xdr:rowOff>
    </xdr:from>
    <xdr:to>
      <xdr:col>5</xdr:col>
      <xdr:colOff>1333779</xdr:colOff>
      <xdr:row>18</xdr:row>
      <xdr:rowOff>184336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79806E6-5E28-084F-9D7D-79AE813AC9A1}"/>
            </a:ext>
          </a:extLst>
        </xdr:cNvPr>
        <xdr:cNvSpPr/>
      </xdr:nvSpPr>
      <xdr:spPr>
        <a:xfrm>
          <a:off x="4866534" y="2133132"/>
          <a:ext cx="2933878" cy="2548041"/>
        </a:xfrm>
        <a:prstGeom prst="roundRect">
          <a:avLst/>
        </a:prstGeom>
        <a:solidFill>
          <a:srgbClr val="F3E2A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1394435</xdr:colOff>
      <xdr:row>8</xdr:row>
      <xdr:rowOff>20785</xdr:rowOff>
    </xdr:from>
    <xdr:to>
      <xdr:col>7</xdr:col>
      <xdr:colOff>1186787</xdr:colOff>
      <xdr:row>18</xdr:row>
      <xdr:rowOff>184336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ADA09014-6EB0-6D40-BC0C-692BBEC98C50}"/>
            </a:ext>
          </a:extLst>
        </xdr:cNvPr>
        <xdr:cNvSpPr/>
      </xdr:nvSpPr>
      <xdr:spPr>
        <a:xfrm>
          <a:off x="7861068" y="2133132"/>
          <a:ext cx="2954392" cy="2548041"/>
        </a:xfrm>
        <a:prstGeom prst="roundRect">
          <a:avLst/>
        </a:prstGeom>
        <a:solidFill>
          <a:srgbClr val="C77C7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545419</xdr:colOff>
      <xdr:row>3</xdr:row>
      <xdr:rowOff>164361</xdr:rowOff>
    </xdr:from>
    <xdr:to>
      <xdr:col>7</xdr:col>
      <xdr:colOff>1184520</xdr:colOff>
      <xdr:row>11</xdr:row>
      <xdr:rowOff>19931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4419E49-BA88-8042-ADF1-BD87C1FB0A98}"/>
            </a:ext>
          </a:extLst>
        </xdr:cNvPr>
        <xdr:cNvSpPr/>
      </xdr:nvSpPr>
      <xdr:spPr>
        <a:xfrm>
          <a:off x="1854297" y="1239973"/>
          <a:ext cx="8958896" cy="151434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1048548</xdr:colOff>
      <xdr:row>6</xdr:row>
      <xdr:rowOff>4814</xdr:rowOff>
    </xdr:from>
    <xdr:to>
      <xdr:col>4</xdr:col>
      <xdr:colOff>515104</xdr:colOff>
      <xdr:row>8</xdr:row>
      <xdr:rowOff>89102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39ED54-110B-0149-9756-55ADF4EE4BCA}"/>
            </a:ext>
          </a:extLst>
        </xdr:cNvPr>
        <xdr:cNvSpPr txBox="1"/>
      </xdr:nvSpPr>
      <xdr:spPr>
        <a:xfrm>
          <a:off x="2357426" y="1702467"/>
          <a:ext cx="2991454" cy="498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4000" b="1" i="0">
              <a:solidFill>
                <a:schemeClr val="bg1"/>
              </a:solidFill>
              <a:latin typeface="Aptos Narrow" panose="020B0004020202020204" pitchFamily="34" charset="0"/>
              <a:cs typeface="Bahnschrift" panose="020F0502020204030204" pitchFamily="34" charset="0"/>
            </a:rPr>
            <a:t>Total Aset:</a:t>
          </a:r>
        </a:p>
      </xdr:txBody>
    </xdr:sp>
    <xdr:clientData/>
  </xdr:twoCellAnchor>
  <xdr:twoCellAnchor>
    <xdr:from>
      <xdr:col>1</xdr:col>
      <xdr:colOff>575841</xdr:colOff>
      <xdr:row>16</xdr:row>
      <xdr:rowOff>20374</xdr:rowOff>
    </xdr:from>
    <xdr:to>
      <xdr:col>3</xdr:col>
      <xdr:colOff>1503350</xdr:colOff>
      <xdr:row>18</xdr:row>
      <xdr:rowOff>618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4418AF-CA43-454F-8C04-8968DCB9681D}"/>
            </a:ext>
          </a:extLst>
        </xdr:cNvPr>
        <xdr:cNvSpPr txBox="1"/>
      </xdr:nvSpPr>
      <xdr:spPr>
        <a:xfrm>
          <a:off x="1884719" y="3998843"/>
          <a:ext cx="2923223" cy="498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1"/>
              </a:solidFill>
              <a:latin typeface="+mn-lt"/>
              <a:cs typeface="Bahnschrift" panose="020F0502020204030204" pitchFamily="34" charset="0"/>
            </a:rPr>
            <a:t>Aman</a:t>
          </a:r>
        </a:p>
      </xdr:txBody>
    </xdr:sp>
    <xdr:clientData/>
  </xdr:twoCellAnchor>
  <xdr:twoCellAnchor>
    <xdr:from>
      <xdr:col>1</xdr:col>
      <xdr:colOff>546307</xdr:colOff>
      <xdr:row>12</xdr:row>
      <xdr:rowOff>242930</xdr:rowOff>
    </xdr:from>
    <xdr:to>
      <xdr:col>3</xdr:col>
      <xdr:colOff>1503351</xdr:colOff>
      <xdr:row>15</xdr:row>
      <xdr:rowOff>67820</xdr:rowOff>
    </xdr:to>
    <xdr:sp macro="" textlink="Helper!F2">
      <xdr:nvSpPr>
        <xdr:cNvPr id="9" name="TextBox 8">
          <a:extLst>
            <a:ext uri="{FF2B5EF4-FFF2-40B4-BE49-F238E27FC236}">
              <a16:creationId xmlns:a16="http://schemas.microsoft.com/office/drawing/2014/main" id="{64BB6C06-41EA-8A4B-9FF9-E14C8F2AFF1E}"/>
            </a:ext>
          </a:extLst>
        </xdr:cNvPr>
        <xdr:cNvSpPr txBox="1"/>
      </xdr:nvSpPr>
      <xdr:spPr>
        <a:xfrm>
          <a:off x="1855185" y="3184665"/>
          <a:ext cx="2952758" cy="550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9050A9F-2BE0-A548-ADA5-1495988D9FCD}" type="TxLink">
            <a:rPr lang="en-US" sz="4000" b="0" i="0" u="none" strike="noStrike">
              <a:solidFill>
                <a:srgbClr val="000000"/>
              </a:solidFill>
              <a:latin typeface="Aptos Narrow"/>
              <a:cs typeface="Bahnschrift" panose="020F0502020204030204" pitchFamily="34" charset="0"/>
            </a:rPr>
            <a:pPr algn="ctr"/>
            <a:t>72</a:t>
          </a:fld>
          <a:endParaRPr lang="en-US" sz="4000" b="0">
            <a:solidFill>
              <a:schemeClr val="tx1"/>
            </a:solidFill>
            <a:latin typeface="Bahnschrift" panose="020B0502040204020203" pitchFamily="34" charset="0"/>
            <a:cs typeface="Bahnschrift" panose="020F0502020204030204" pitchFamily="34" charset="0"/>
          </a:endParaRPr>
        </a:p>
      </xdr:txBody>
    </xdr:sp>
    <xdr:clientData/>
  </xdr:twoCellAnchor>
  <xdr:twoCellAnchor>
    <xdr:from>
      <xdr:col>4</xdr:col>
      <xdr:colOff>45285</xdr:colOff>
      <xdr:row>16</xdr:row>
      <xdr:rowOff>20374</xdr:rowOff>
    </xdr:from>
    <xdr:to>
      <xdr:col>5</xdr:col>
      <xdr:colOff>1327706</xdr:colOff>
      <xdr:row>18</xdr:row>
      <xdr:rowOff>618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DCF8140-096D-C24B-A9DC-D375E8857DEC}"/>
            </a:ext>
          </a:extLst>
        </xdr:cNvPr>
        <xdr:cNvSpPr txBox="1"/>
      </xdr:nvSpPr>
      <xdr:spPr>
        <a:xfrm>
          <a:off x="4879061" y="3998843"/>
          <a:ext cx="2915278" cy="498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1"/>
              </a:solidFill>
              <a:latin typeface="Aptos Narrow" panose="020B0004020202020204" pitchFamily="34" charset="0"/>
              <a:cs typeface="Bahnschrift" panose="020F0502020204030204" pitchFamily="34" charset="0"/>
            </a:rPr>
            <a:t>Belum Servis</a:t>
          </a:r>
        </a:p>
      </xdr:txBody>
    </xdr:sp>
    <xdr:clientData/>
  </xdr:twoCellAnchor>
  <xdr:twoCellAnchor>
    <xdr:from>
      <xdr:col>4</xdr:col>
      <xdr:colOff>35126</xdr:colOff>
      <xdr:row>12</xdr:row>
      <xdr:rowOff>242930</xdr:rowOff>
    </xdr:from>
    <xdr:to>
      <xdr:col>5</xdr:col>
      <xdr:colOff>1327706</xdr:colOff>
      <xdr:row>15</xdr:row>
      <xdr:rowOff>67820</xdr:rowOff>
    </xdr:to>
    <xdr:sp macro="" textlink="Helper!F3">
      <xdr:nvSpPr>
        <xdr:cNvPr id="11" name="TextBox 10">
          <a:extLst>
            <a:ext uri="{FF2B5EF4-FFF2-40B4-BE49-F238E27FC236}">
              <a16:creationId xmlns:a16="http://schemas.microsoft.com/office/drawing/2014/main" id="{471D6AAD-3F8D-B641-A4A9-9EBC6EB5F90E}"/>
            </a:ext>
          </a:extLst>
        </xdr:cNvPr>
        <xdr:cNvSpPr txBox="1"/>
      </xdr:nvSpPr>
      <xdr:spPr>
        <a:xfrm>
          <a:off x="4868902" y="3184665"/>
          <a:ext cx="2925437" cy="550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5FE75D-AA2C-CB4C-B378-D9CA4C281C81}" type="TxLink">
            <a:rPr lang="en-US" sz="4000" b="0" i="0" u="none" strike="noStrike">
              <a:solidFill>
                <a:srgbClr val="000000"/>
              </a:solidFill>
              <a:latin typeface="Aptos Narrow"/>
              <a:cs typeface="Bahnschrift" panose="020F0502020204030204" pitchFamily="34" charset="0"/>
            </a:rPr>
            <a:pPr algn="ctr"/>
            <a:t>4</a:t>
          </a:fld>
          <a:endParaRPr lang="en-US" sz="4000" b="0">
            <a:solidFill>
              <a:schemeClr val="tx1"/>
            </a:solidFill>
            <a:latin typeface="Bahnschrift" panose="020B0502040204020203" pitchFamily="34" charset="0"/>
            <a:cs typeface="Bahnschrift" panose="020F0502020204030204" pitchFamily="34" charset="0"/>
          </a:endParaRPr>
        </a:p>
      </xdr:txBody>
    </xdr:sp>
    <xdr:clientData/>
  </xdr:twoCellAnchor>
  <xdr:twoCellAnchor>
    <xdr:from>
      <xdr:col>5</xdr:col>
      <xdr:colOff>1376373</xdr:colOff>
      <xdr:row>16</xdr:row>
      <xdr:rowOff>20374</xdr:rowOff>
    </xdr:from>
    <xdr:to>
      <xdr:col>7</xdr:col>
      <xdr:colOff>1205709</xdr:colOff>
      <xdr:row>18</xdr:row>
      <xdr:rowOff>618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958225-499E-314A-8A20-E0EDDA21E1F1}"/>
            </a:ext>
          </a:extLst>
        </xdr:cNvPr>
        <xdr:cNvSpPr txBox="1"/>
      </xdr:nvSpPr>
      <xdr:spPr>
        <a:xfrm>
          <a:off x="7843006" y="3998843"/>
          <a:ext cx="2991376" cy="498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1"/>
              </a:solidFill>
              <a:latin typeface="Aptos Narrow" panose="020B0004020202020204" pitchFamily="34" charset="0"/>
              <a:cs typeface="Bahnschrift" panose="020F0502020204030204" pitchFamily="34" charset="0"/>
            </a:rPr>
            <a:t>Overdue</a:t>
          </a:r>
        </a:p>
      </xdr:txBody>
    </xdr:sp>
    <xdr:clientData/>
  </xdr:twoCellAnchor>
  <xdr:twoCellAnchor>
    <xdr:from>
      <xdr:col>5</xdr:col>
      <xdr:colOff>1396692</xdr:colOff>
      <xdr:row>12</xdr:row>
      <xdr:rowOff>242930</xdr:rowOff>
    </xdr:from>
    <xdr:to>
      <xdr:col>7</xdr:col>
      <xdr:colOff>1160312</xdr:colOff>
      <xdr:row>15</xdr:row>
      <xdr:rowOff>29720</xdr:rowOff>
    </xdr:to>
    <xdr:sp macro="" textlink="Helper!F4">
      <xdr:nvSpPr>
        <xdr:cNvPr id="13" name="TextBox 12">
          <a:extLst>
            <a:ext uri="{FF2B5EF4-FFF2-40B4-BE49-F238E27FC236}">
              <a16:creationId xmlns:a16="http://schemas.microsoft.com/office/drawing/2014/main" id="{8E948B1E-D873-F147-8042-9CCF3E9B5492}"/>
            </a:ext>
          </a:extLst>
        </xdr:cNvPr>
        <xdr:cNvSpPr txBox="1"/>
      </xdr:nvSpPr>
      <xdr:spPr>
        <a:xfrm>
          <a:off x="7863325" y="3184665"/>
          <a:ext cx="2925660" cy="512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3EC3A6E-E9EB-D540-9124-83A45186FEAD}" type="TxLink">
            <a:rPr lang="en-US" sz="4000" b="0" i="0" u="none" strike="noStrike">
              <a:solidFill>
                <a:srgbClr val="000000"/>
              </a:solidFill>
              <a:latin typeface="Aptos Narrow"/>
              <a:cs typeface="Bahnschrift" panose="020F0502020204030204" pitchFamily="34" charset="0"/>
            </a:rPr>
            <a:pPr algn="ctr"/>
            <a:t>258</a:t>
          </a:fld>
          <a:endParaRPr lang="en-US" sz="4000" b="0">
            <a:solidFill>
              <a:schemeClr val="tx1"/>
            </a:solidFill>
            <a:latin typeface="Bahnschrift" panose="020B0502040204020203" pitchFamily="34" charset="0"/>
            <a:cs typeface="Bahnschrift" panose="020F0502020204030204" pitchFamily="34" charset="0"/>
          </a:endParaRPr>
        </a:p>
      </xdr:txBody>
    </xdr:sp>
    <xdr:clientData/>
  </xdr:twoCellAnchor>
  <xdr:twoCellAnchor>
    <xdr:from>
      <xdr:col>5</xdr:col>
      <xdr:colOff>1169450</xdr:colOff>
      <xdr:row>6</xdr:row>
      <xdr:rowOff>4814</xdr:rowOff>
    </xdr:from>
    <xdr:to>
      <xdr:col>7</xdr:col>
      <xdr:colOff>727475</xdr:colOff>
      <xdr:row>8</xdr:row>
      <xdr:rowOff>89102</xdr:rowOff>
    </xdr:to>
    <xdr:sp macro="" textlink="Helper!F1">
      <xdr:nvSpPr>
        <xdr:cNvPr id="14" name="TextBox 13">
          <a:extLst>
            <a:ext uri="{FF2B5EF4-FFF2-40B4-BE49-F238E27FC236}">
              <a16:creationId xmlns:a16="http://schemas.microsoft.com/office/drawing/2014/main" id="{26593D1A-1F33-26B5-AC3F-AEC2F3DEF16B}"/>
            </a:ext>
          </a:extLst>
        </xdr:cNvPr>
        <xdr:cNvSpPr txBox="1"/>
      </xdr:nvSpPr>
      <xdr:spPr>
        <a:xfrm>
          <a:off x="7636083" y="1702467"/>
          <a:ext cx="2720065" cy="498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CE632154-C37F-AB41-A210-AE36B08B02CD}" type="TxLink">
            <a:rPr lang="en-US" sz="4000" b="1" i="0" u="none" strike="noStrike">
              <a:solidFill>
                <a:schemeClr val="bg1"/>
              </a:solidFill>
              <a:latin typeface="Aptos Narrow" panose="020B0004020202020204" pitchFamily="34" charset="0"/>
              <a:cs typeface="Bahnschrift" panose="020F0502020204030204" pitchFamily="34" charset="0"/>
            </a:rPr>
            <a:pPr algn="r"/>
            <a:t>334</a:t>
          </a:fld>
          <a:endParaRPr lang="en-US" sz="4000" b="1">
            <a:solidFill>
              <a:schemeClr val="bg1"/>
            </a:solidFill>
            <a:latin typeface="Aptos Narrow" panose="020B0004020202020204" pitchFamily="34" charset="0"/>
            <a:cs typeface="Bahnschrift" panose="020F0502020204030204" pitchFamily="34" charset="0"/>
          </a:endParaRPr>
        </a:p>
      </xdr:txBody>
    </xdr:sp>
    <xdr:clientData/>
  </xdr:twoCellAnchor>
  <xdr:twoCellAnchor>
    <xdr:from>
      <xdr:col>9</xdr:col>
      <xdr:colOff>1139411</xdr:colOff>
      <xdr:row>3</xdr:row>
      <xdr:rowOff>146180</xdr:rowOff>
    </xdr:from>
    <xdr:to>
      <xdr:col>14</xdr:col>
      <xdr:colOff>683847</xdr:colOff>
      <xdr:row>20</xdr:row>
      <xdr:rowOff>21036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F3A9CF3-996E-4F41-A9BD-33327B566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BE61A-C048-1C46-873E-F23BD6A8F3B5}" name="RAW" displayName="RAW" ref="A1:AF1681" totalsRowShown="0" dataDxfId="0">
  <autoFilter ref="A1:AF1681" xr:uid="{CDCBE61A-C048-1C46-873E-F23BD6A8F3B5}"/>
  <tableColumns count="32">
    <tableColumn id="1" xr3:uid="{34DB2210-43F2-9A49-A6A1-2BA448A413FD}" name="ID" dataDxfId="32" totalsRowDxfId="64"/>
    <tableColumn id="2" xr3:uid="{1FB5F737-9F5C-494A-BBF7-E9335414E6A2}" name="Start time" dataDxfId="31" totalsRowDxfId="63"/>
    <tableColumn id="3" xr3:uid="{2D40EDE0-A1AB-8D42-85BC-3A26907F223B}" name="Completion time" dataDxfId="30" totalsRowDxfId="62"/>
    <tableColumn id="4" xr3:uid="{AE67979A-DE5F-DA46-AFE7-E2E78A7C0897}" name="Email" dataDxfId="29" totalsRowDxfId="61"/>
    <tableColumn id="5" xr3:uid="{EC88FB23-86A3-F848-999F-8D39D58FA446}" name="Name" dataDxfId="28" totalsRowDxfId="60"/>
    <tableColumn id="6" xr3:uid="{C6B2F87D-A257-E041-AF53-1FC741768DA5}" name="Last modified time" dataDxfId="27" totalsRowDxfId="59"/>
    <tableColumn id="7" xr3:uid="{216AD33C-A286-094A-B631-5C30A8A2CD6C}" name="Sebutkan kode Cabang/Network Anda" dataDxfId="26" totalsRowDxfId="58"/>
    <tableColumn id="8" xr3:uid="{5717229B-AE2F-2A4F-A327-65FD086DAB93}" name="Berapa jumlah Kendaraan Operasional (Bukan OCOP) yang Ada di Cabang/Network Anda?" dataDxfId="25" totalsRowDxfId="57"/>
    <tableColumn id="9" xr3:uid="{FAE8DF4D-69FF-CC48-8C76-72AE3F22F094}" name="Tipe Kendaraan1" dataDxfId="24" totalsRowDxfId="56"/>
    <tableColumn id="10" xr3:uid="{558D6252-0600-9941-A8D9-314F77FF034D}" name="Nopol1" dataDxfId="23" totalsRowDxfId="55"/>
    <tableColumn id="11" xr3:uid="{3F4CCB14-CEC9-1C4E-B43F-EC1960C9B336}" name="KM Berjalan1" dataDxfId="22" totalsRowDxfId="54"/>
    <tableColumn id="27" xr3:uid="{C8BD0BBC-AD68-7948-83C4-D498571C7FB4}" name="Apakah Servis?1" dataDxfId="21" totalsRowDxfId="53"/>
    <tableColumn id="12" xr3:uid="{63B4AFBB-4ED1-0E47-99F3-0A3AE20D564B}" name="Tanggal Service1" dataDxfId="20" totalsRowDxfId="52"/>
    <tableColumn id="28" xr3:uid="{C519F301-CCEA-C147-97B4-9248035762F9}" name="KM Servis1" dataDxfId="19" totalsRowDxfId="51"/>
    <tableColumn id="14" xr3:uid="{FDF67891-3DA1-A643-80F8-AF9BE697BD6A}" name="Upload Bukti Service (SPK/Kartu Service) Network Anda pada Bulan Desember!" dataDxfId="18" totalsRowDxfId="50"/>
    <tableColumn id="13" xr3:uid="{B01D1787-F605-5B48-8ED9-1D95E63BBAB8}" name="Upload Bukti KM (kilometer) Terakhir Kendaraan Cabang Anda!" dataDxfId="17" totalsRowDxfId="49"/>
    <tableColumn id="15" xr3:uid="{1FF77E25-5759-9E49-8B63-81EEF8B3CD9D}" name="Tipe Kendaraan2" dataDxfId="16" totalsRowDxfId="48"/>
    <tableColumn id="16" xr3:uid="{F3C4CEBD-A5DE-A246-8C6E-E61972708274}" name="Nopol2" dataDxfId="15" totalsRowDxfId="47"/>
    <tableColumn id="17" xr3:uid="{D95E651E-A52D-2B48-A038-9634BCDAE917}" name="KM Berjalan2" dataDxfId="14" totalsRowDxfId="46"/>
    <tableColumn id="29" xr3:uid="{CE16E7D7-2159-7042-8C2B-AAB8924E61DB}" name="Apakah Servis?2" dataDxfId="13" totalsRowDxfId="45"/>
    <tableColumn id="18" xr3:uid="{921CD71A-9838-7448-A9AA-E5BAA30AAC23}" name="Tanggal Service2" dataDxfId="12" totalsRowDxfId="44"/>
    <tableColumn id="30" xr3:uid="{59CD9A23-82EF-DF4C-BF64-974AB2CD5DD4}" name="KM Servis2" dataDxfId="11" totalsRowDxfId="43"/>
    <tableColumn id="31" xr3:uid="{C80E0DCE-E4ED-A143-95A4-AF434711151F}" name="Upload Bukti Service (SPK/Kartu Service) Network Anda pada Bulan Desember!2" dataDxfId="10" totalsRowDxfId="42"/>
    <tableColumn id="19" xr3:uid="{FF915FBB-4B37-3E4F-8FBC-60E1DBD97684}" name="Upload Bukti KM (kilometer) Terakhir Kendaraan Cabang Anda!2" dataDxfId="9" totalsRowDxfId="41"/>
    <tableColumn id="21" xr3:uid="{BB4CC363-E95D-324A-AAE1-F469602A27DA}" name="Tipe Kendaraan3" dataDxfId="8" totalsRowDxfId="40"/>
    <tableColumn id="22" xr3:uid="{FA5A8B7B-0D8D-D344-AF45-F8C983B3C626}" name="Nopol3" dataDxfId="7" totalsRowDxfId="39"/>
    <tableColumn id="23" xr3:uid="{B1C4ED62-BF19-454E-B2DD-8F3BB60E8113}" name="KM Berjalan3" dataDxfId="6" totalsRowDxfId="38"/>
    <tableColumn id="32" xr3:uid="{BB328473-D7D8-774C-AE62-3CE0F7A7B0BA}" name="Apakah Servis?3" dataDxfId="5" totalsRowDxfId="37"/>
    <tableColumn id="24" xr3:uid="{23057D8B-06F4-B447-89B5-8C950972BD78}" name="Tanggal Service3" dataDxfId="4" totalsRowDxfId="36"/>
    <tableColumn id="33" xr3:uid="{64B4E0C6-2A3B-3241-BF2C-A9BF6E4FDEF6}" name="KM Servis3" dataDxfId="3" totalsRowDxfId="35"/>
    <tableColumn id="34" xr3:uid="{A7B0865D-1597-4843-A2F4-0A7EB55363F4}" name="Upload Bukti Service (SPK/Kartu Service) Network Anda pada Bulan Desember!3" dataDxfId="2" totalsRowDxfId="34"/>
    <tableColumn id="25" xr3:uid="{C0DF89F5-1CB7-C24C-99D7-B66EF6A3FE75}" name="Upload Bukti KM (kilometer) Terakhir Kendaraan Cabang Anda!3" dataDxfId="1" totalsRow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10E8-216C-3E48-A1D4-97E5E06B8666}">
  <sheetPr>
    <tabColor theme="2" tint="-0.249977111117893"/>
  </sheetPr>
  <dimension ref="A1:AF1681"/>
  <sheetViews>
    <sheetView tabSelected="1" workbookViewId="0">
      <selection activeCell="X6" sqref="X6"/>
    </sheetView>
  </sheetViews>
  <sheetFormatPr baseColWidth="10" defaultRowHeight="16"/>
  <cols>
    <col min="1" max="1" width="5.5" bestFit="1" customWidth="1"/>
    <col min="2" max="3" width="17.83203125" bestFit="1" customWidth="1"/>
    <col min="4" max="4" width="26" bestFit="1" customWidth="1"/>
    <col min="5" max="5" width="18.1640625" bestFit="1" customWidth="1"/>
    <col min="6" max="6" width="19.33203125" bestFit="1" customWidth="1"/>
    <col min="7" max="7" width="35.1640625" bestFit="1" customWidth="1"/>
    <col min="8" max="8" width="79" bestFit="1" customWidth="1"/>
    <col min="9" max="9" width="34.1640625" bestFit="1" customWidth="1"/>
    <col min="10" max="10" width="10.1640625" bestFit="1" customWidth="1"/>
    <col min="11" max="11" width="14.5" style="8" bestFit="1" customWidth="1"/>
    <col min="12" max="12" width="17.1640625" bestFit="1" customWidth="1"/>
    <col min="13" max="13" width="17.33203125" bestFit="1" customWidth="1"/>
    <col min="14" max="14" width="12.6640625" style="8" bestFit="1" customWidth="1"/>
    <col min="15" max="15" width="70" bestFit="1" customWidth="1"/>
    <col min="16" max="16" width="56" bestFit="1" customWidth="1"/>
    <col min="17" max="17" width="34.1640625" bestFit="1" customWidth="1"/>
    <col min="18" max="18" width="11" bestFit="1" customWidth="1"/>
    <col min="19" max="19" width="14.5" style="8" bestFit="1" customWidth="1"/>
    <col min="20" max="20" width="17.1640625" bestFit="1" customWidth="1"/>
    <col min="21" max="21" width="17.33203125" bestFit="1" customWidth="1"/>
    <col min="22" max="22" width="12.6640625" style="8" bestFit="1" customWidth="1"/>
    <col min="23" max="23" width="71.33203125" bestFit="1" customWidth="1"/>
    <col min="24" max="24" width="57" bestFit="1" customWidth="1"/>
    <col min="25" max="25" width="34.1640625" bestFit="1" customWidth="1"/>
    <col min="26" max="26" width="11.33203125" bestFit="1" customWidth="1"/>
    <col min="27" max="27" width="14.5" style="8" bestFit="1" customWidth="1"/>
    <col min="28" max="28" width="17.1640625" bestFit="1" customWidth="1"/>
    <col min="29" max="29" width="17.33203125" bestFit="1" customWidth="1"/>
    <col min="30" max="30" width="12.6640625" style="8" bestFit="1" customWidth="1"/>
    <col min="31" max="31" width="71.33203125" bestFit="1" customWidth="1"/>
    <col min="32" max="32" width="57" bestFit="1" customWidth="1"/>
  </cols>
  <sheetData>
    <row r="1" spans="1:32">
      <c r="A1" t="s">
        <v>2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65</v>
      </c>
      <c r="J1" t="s">
        <v>23</v>
      </c>
      <c r="K1" t="s">
        <v>75</v>
      </c>
      <c r="L1" t="s">
        <v>68</v>
      </c>
      <c r="M1" t="s">
        <v>24</v>
      </c>
      <c r="N1" t="s">
        <v>74</v>
      </c>
      <c r="O1" t="s">
        <v>15</v>
      </c>
      <c r="P1" t="s">
        <v>14</v>
      </c>
      <c r="Q1" t="s">
        <v>66</v>
      </c>
      <c r="R1" t="s">
        <v>25</v>
      </c>
      <c r="S1" t="s">
        <v>73</v>
      </c>
      <c r="T1" t="s">
        <v>64</v>
      </c>
      <c r="U1" t="s">
        <v>26</v>
      </c>
      <c r="V1" t="s">
        <v>72</v>
      </c>
      <c r="W1" t="s">
        <v>17</v>
      </c>
      <c r="X1" t="s">
        <v>16</v>
      </c>
      <c r="Y1" t="s">
        <v>67</v>
      </c>
      <c r="Z1" s="1" t="s">
        <v>27</v>
      </c>
      <c r="AA1" s="1" t="s">
        <v>70</v>
      </c>
      <c r="AB1" s="1" t="s">
        <v>69</v>
      </c>
      <c r="AC1" s="1" t="s">
        <v>28</v>
      </c>
      <c r="AD1" s="6" t="s">
        <v>71</v>
      </c>
      <c r="AE1" s="6" t="s">
        <v>19</v>
      </c>
      <c r="AF1" t="s">
        <v>18</v>
      </c>
    </row>
    <row r="2" spans="1:32">
      <c r="A2" s="57">
        <v>1</v>
      </c>
      <c r="B2" s="58">
        <v>45859.684004629627</v>
      </c>
      <c r="C2" s="58">
        <v>45859.686122685183</v>
      </c>
      <c r="D2" s="57" t="s">
        <v>722</v>
      </c>
      <c r="E2" s="57" t="s">
        <v>723</v>
      </c>
      <c r="F2" s="58"/>
      <c r="G2" s="57" t="s">
        <v>525</v>
      </c>
      <c r="H2" s="59">
        <v>1</v>
      </c>
      <c r="I2" s="57"/>
      <c r="J2" s="57"/>
      <c r="K2" s="59"/>
      <c r="L2" s="57"/>
      <c r="M2" s="60"/>
      <c r="N2" s="59"/>
      <c r="O2" s="57"/>
      <c r="P2" s="57"/>
      <c r="Q2" s="57"/>
      <c r="R2" s="57"/>
      <c r="S2" s="59"/>
      <c r="T2" s="57"/>
      <c r="U2" s="60"/>
      <c r="V2" s="59"/>
      <c r="W2" s="57"/>
      <c r="X2" s="57"/>
      <c r="Y2" s="57" t="s">
        <v>21</v>
      </c>
      <c r="Z2" s="57" t="s">
        <v>192</v>
      </c>
      <c r="AA2" s="59">
        <v>83521</v>
      </c>
      <c r="AB2" s="57" t="s">
        <v>61</v>
      </c>
      <c r="AC2" s="60">
        <v>45859</v>
      </c>
      <c r="AD2" s="59">
        <v>83521</v>
      </c>
      <c r="AE2" s="57" t="s">
        <v>724</v>
      </c>
      <c r="AF2" s="57" t="s">
        <v>725</v>
      </c>
    </row>
    <row r="3" spans="1:32">
      <c r="A3" s="57">
        <v>2</v>
      </c>
      <c r="B3" s="58">
        <v>45859.686550925922</v>
      </c>
      <c r="C3" s="58">
        <v>45859.689930555563</v>
      </c>
      <c r="D3" s="57" t="s">
        <v>726</v>
      </c>
      <c r="E3" s="57" t="s">
        <v>727</v>
      </c>
      <c r="F3" s="58"/>
      <c r="G3" s="57" t="s">
        <v>540</v>
      </c>
      <c r="H3" s="59">
        <v>1</v>
      </c>
      <c r="I3" s="57"/>
      <c r="J3" s="57"/>
      <c r="K3" s="59"/>
      <c r="L3" s="57"/>
      <c r="M3" s="60"/>
      <c r="N3" s="59"/>
      <c r="O3" s="57"/>
      <c r="P3" s="57"/>
      <c r="Q3" s="57"/>
      <c r="R3" s="57"/>
      <c r="S3" s="59"/>
      <c r="T3" s="57"/>
      <c r="U3" s="60"/>
      <c r="V3" s="59"/>
      <c r="W3" s="57"/>
      <c r="X3" s="57"/>
      <c r="Y3" s="57" t="s">
        <v>20</v>
      </c>
      <c r="Z3" s="57" t="s">
        <v>208</v>
      </c>
      <c r="AA3" s="59">
        <v>49892</v>
      </c>
      <c r="AB3" s="57" t="s">
        <v>61</v>
      </c>
      <c r="AC3" s="60">
        <v>45810</v>
      </c>
      <c r="AD3" s="59">
        <v>49892</v>
      </c>
      <c r="AE3" s="57" t="s">
        <v>728</v>
      </c>
      <c r="AF3" s="57" t="s">
        <v>729</v>
      </c>
    </row>
    <row r="4" spans="1:32">
      <c r="A4" s="57">
        <v>3</v>
      </c>
      <c r="B4" s="58">
        <v>45859.687083333331</v>
      </c>
      <c r="C4" s="58">
        <v>45859.691770833328</v>
      </c>
      <c r="D4" s="57" t="s">
        <v>730</v>
      </c>
      <c r="E4" s="57" t="s">
        <v>731</v>
      </c>
      <c r="F4" s="58"/>
      <c r="G4" s="57" t="s">
        <v>604</v>
      </c>
      <c r="H4" s="59">
        <v>1</v>
      </c>
      <c r="I4" s="57"/>
      <c r="J4" s="57"/>
      <c r="K4" s="59"/>
      <c r="L4" s="57"/>
      <c r="M4" s="60"/>
      <c r="N4" s="59"/>
      <c r="O4" s="57"/>
      <c r="P4" s="57"/>
      <c r="Q4" s="57"/>
      <c r="R4" s="57"/>
      <c r="S4" s="59"/>
      <c r="T4" s="57"/>
      <c r="U4" s="60"/>
      <c r="V4" s="59"/>
      <c r="W4" s="57"/>
      <c r="X4" s="57"/>
      <c r="Y4" s="57" t="s">
        <v>20</v>
      </c>
      <c r="Z4" s="57" t="s">
        <v>282</v>
      </c>
      <c r="AA4" s="59">
        <v>27693</v>
      </c>
      <c r="AB4" s="57" t="s">
        <v>61</v>
      </c>
      <c r="AC4" s="60">
        <v>45821</v>
      </c>
      <c r="AD4" s="59">
        <v>27693</v>
      </c>
      <c r="AE4" s="57" t="s">
        <v>732</v>
      </c>
      <c r="AF4" s="57" t="s">
        <v>733</v>
      </c>
    </row>
    <row r="5" spans="1:32">
      <c r="A5" s="57">
        <v>4</v>
      </c>
      <c r="B5" s="58">
        <v>45859.688564814824</v>
      </c>
      <c r="C5" s="58">
        <v>45859.692349537043</v>
      </c>
      <c r="D5" s="57" t="s">
        <v>734</v>
      </c>
      <c r="E5" s="57" t="s">
        <v>735</v>
      </c>
      <c r="F5" s="58"/>
      <c r="G5" s="57" t="s">
        <v>691</v>
      </c>
      <c r="H5" s="59">
        <v>1</v>
      </c>
      <c r="I5" s="57"/>
      <c r="J5" s="57"/>
      <c r="K5" s="59"/>
      <c r="L5" s="57"/>
      <c r="M5" s="60"/>
      <c r="N5" s="59"/>
      <c r="O5" s="57"/>
      <c r="P5" s="57"/>
      <c r="Q5" s="57"/>
      <c r="R5" s="57"/>
      <c r="S5" s="59"/>
      <c r="T5" s="57"/>
      <c r="U5" s="60"/>
      <c r="V5" s="59"/>
      <c r="W5" s="57"/>
      <c r="X5" s="57"/>
      <c r="Y5" s="57" t="s">
        <v>20</v>
      </c>
      <c r="Z5" s="57" t="s">
        <v>736</v>
      </c>
      <c r="AA5" s="59">
        <v>69984</v>
      </c>
      <c r="AB5" s="57" t="s">
        <v>61</v>
      </c>
      <c r="AC5" s="60">
        <v>45859</v>
      </c>
      <c r="AD5" s="59">
        <v>69984</v>
      </c>
      <c r="AE5" s="57" t="s">
        <v>737</v>
      </c>
      <c r="AF5" s="57" t="s">
        <v>738</v>
      </c>
    </row>
    <row r="6" spans="1:32">
      <c r="A6" s="57">
        <v>5</v>
      </c>
      <c r="B6" s="58">
        <v>45859.685023148151</v>
      </c>
      <c r="C6" s="58">
        <v>45859.692418981482</v>
      </c>
      <c r="D6" s="57" t="s">
        <v>739</v>
      </c>
      <c r="E6" s="57" t="s">
        <v>740</v>
      </c>
      <c r="F6" s="58"/>
      <c r="G6" s="57" t="s">
        <v>686</v>
      </c>
      <c r="H6" s="59">
        <v>1</v>
      </c>
      <c r="I6" s="57"/>
      <c r="J6" s="57"/>
      <c r="K6" s="59"/>
      <c r="L6" s="57"/>
      <c r="M6" s="60"/>
      <c r="N6" s="59"/>
      <c r="O6" s="57"/>
      <c r="P6" s="57"/>
      <c r="Q6" s="57"/>
      <c r="R6" s="57"/>
      <c r="S6" s="59"/>
      <c r="T6" s="57"/>
      <c r="U6" s="60"/>
      <c r="V6" s="59"/>
      <c r="W6" s="57"/>
      <c r="X6" s="57"/>
      <c r="Y6" s="57" t="s">
        <v>21</v>
      </c>
      <c r="Z6" s="57" t="s">
        <v>741</v>
      </c>
      <c r="AA6" s="59">
        <v>46830</v>
      </c>
      <c r="AB6" s="57" t="s">
        <v>61</v>
      </c>
      <c r="AC6" s="60">
        <v>45798</v>
      </c>
      <c r="AD6" s="59">
        <v>46830</v>
      </c>
      <c r="AE6" s="57" t="s">
        <v>742</v>
      </c>
      <c r="AF6" s="57" t="s">
        <v>743</v>
      </c>
    </row>
    <row r="7" spans="1:32">
      <c r="A7" s="57">
        <v>6</v>
      </c>
      <c r="B7" s="58">
        <v>45859.684039351851</v>
      </c>
      <c r="C7" s="58">
        <v>45859.6953587963</v>
      </c>
      <c r="D7" s="57" t="s">
        <v>744</v>
      </c>
      <c r="E7" s="57" t="s">
        <v>745</v>
      </c>
      <c r="F7" s="58"/>
      <c r="G7" s="57" t="s">
        <v>572</v>
      </c>
      <c r="H7" s="59">
        <v>1</v>
      </c>
      <c r="I7" s="57"/>
      <c r="J7" s="57"/>
      <c r="K7" s="59"/>
      <c r="L7" s="57"/>
      <c r="M7" s="60"/>
      <c r="N7" s="59"/>
      <c r="O7" s="57"/>
      <c r="P7" s="57"/>
      <c r="Q7" s="57"/>
      <c r="R7" s="57"/>
      <c r="S7" s="59"/>
      <c r="T7" s="57"/>
      <c r="U7" s="60"/>
      <c r="V7" s="59"/>
      <c r="W7" s="57"/>
      <c r="X7" s="57"/>
      <c r="Y7" s="57" t="s">
        <v>21</v>
      </c>
      <c r="Z7" s="57" t="s">
        <v>244</v>
      </c>
      <c r="AA7" s="59">
        <v>17526</v>
      </c>
      <c r="AB7" s="57" t="s">
        <v>61</v>
      </c>
      <c r="AC7" s="60">
        <v>45841</v>
      </c>
      <c r="AD7" s="59">
        <v>17526</v>
      </c>
      <c r="AE7" s="57" t="s">
        <v>746</v>
      </c>
      <c r="AF7" s="57" t="s">
        <v>747</v>
      </c>
    </row>
    <row r="8" spans="1:32">
      <c r="A8" s="57">
        <v>7</v>
      </c>
      <c r="B8" s="58">
        <v>45859.695636574077</v>
      </c>
      <c r="C8" s="58">
        <v>45859.698738425926</v>
      </c>
      <c r="D8" s="57" t="s">
        <v>748</v>
      </c>
      <c r="E8" s="57" t="s">
        <v>749</v>
      </c>
      <c r="F8" s="58"/>
      <c r="G8" s="57" t="s">
        <v>619</v>
      </c>
      <c r="H8" s="59">
        <v>2</v>
      </c>
      <c r="I8" s="57"/>
      <c r="J8" s="57"/>
      <c r="K8" s="59"/>
      <c r="L8" s="57"/>
      <c r="M8" s="60"/>
      <c r="N8" s="59"/>
      <c r="O8" s="57"/>
      <c r="P8" s="57"/>
      <c r="Q8" s="57" t="s">
        <v>22</v>
      </c>
      <c r="R8" s="57" t="s">
        <v>301</v>
      </c>
      <c r="S8" s="59">
        <v>12506</v>
      </c>
      <c r="T8" s="57" t="s">
        <v>61</v>
      </c>
      <c r="U8" s="60">
        <v>45782</v>
      </c>
      <c r="V8" s="59">
        <v>12506</v>
      </c>
      <c r="W8" s="57" t="s">
        <v>750</v>
      </c>
      <c r="X8" s="57" t="s">
        <v>751</v>
      </c>
      <c r="Y8" s="57" t="s">
        <v>20</v>
      </c>
      <c r="Z8" s="57" t="s">
        <v>752</v>
      </c>
      <c r="AA8" s="59">
        <v>62601</v>
      </c>
      <c r="AB8" s="57" t="s">
        <v>61</v>
      </c>
      <c r="AC8" s="60">
        <v>45782</v>
      </c>
      <c r="AD8" s="59">
        <v>62601</v>
      </c>
      <c r="AE8" s="57" t="s">
        <v>753</v>
      </c>
      <c r="AF8" s="57" t="s">
        <v>754</v>
      </c>
    </row>
    <row r="9" spans="1:32">
      <c r="A9" s="57">
        <v>8</v>
      </c>
      <c r="B9" s="58">
        <v>45859.685671296298</v>
      </c>
      <c r="C9" s="58">
        <v>45859.698784722219</v>
      </c>
      <c r="D9" s="57" t="s">
        <v>755</v>
      </c>
      <c r="E9" s="57" t="s">
        <v>756</v>
      </c>
      <c r="F9" s="58"/>
      <c r="G9" s="57" t="s">
        <v>506</v>
      </c>
      <c r="H9" s="59">
        <v>2</v>
      </c>
      <c r="I9" s="57"/>
      <c r="J9" s="57"/>
      <c r="K9" s="59"/>
      <c r="L9" s="57"/>
      <c r="M9" s="60"/>
      <c r="N9" s="59"/>
      <c r="O9" s="57"/>
      <c r="P9" s="57"/>
      <c r="Q9" s="57" t="s">
        <v>22</v>
      </c>
      <c r="R9" s="57" t="s">
        <v>198</v>
      </c>
      <c r="S9" s="59">
        <v>46253</v>
      </c>
      <c r="T9" s="57" t="s">
        <v>61</v>
      </c>
      <c r="U9" s="60">
        <v>45685</v>
      </c>
      <c r="V9" s="59">
        <v>46253</v>
      </c>
      <c r="W9" s="57" t="s">
        <v>757</v>
      </c>
      <c r="X9" s="57" t="s">
        <v>758</v>
      </c>
      <c r="Y9" s="57" t="s">
        <v>20</v>
      </c>
      <c r="Z9" s="57" t="s">
        <v>172</v>
      </c>
      <c r="AA9" s="59">
        <v>17414</v>
      </c>
      <c r="AB9" s="57" t="s">
        <v>61</v>
      </c>
      <c r="AC9" s="60">
        <v>45568</v>
      </c>
      <c r="AD9" s="59">
        <v>17414</v>
      </c>
      <c r="AE9" s="57" t="s">
        <v>759</v>
      </c>
      <c r="AF9" s="57" t="s">
        <v>760</v>
      </c>
    </row>
    <row r="10" spans="1:32">
      <c r="A10" s="57">
        <v>9</v>
      </c>
      <c r="B10" s="58">
        <v>45859.697800925933</v>
      </c>
      <c r="C10" s="58">
        <v>45859.700266203698</v>
      </c>
      <c r="D10" s="57" t="s">
        <v>761</v>
      </c>
      <c r="E10" s="57" t="s">
        <v>762</v>
      </c>
      <c r="F10" s="58"/>
      <c r="G10" s="57" t="s">
        <v>693</v>
      </c>
      <c r="H10" s="59">
        <v>1</v>
      </c>
      <c r="I10" s="57"/>
      <c r="J10" s="57"/>
      <c r="K10" s="59"/>
      <c r="L10" s="57"/>
      <c r="M10" s="60"/>
      <c r="N10" s="59"/>
      <c r="O10" s="57"/>
      <c r="P10" s="57"/>
      <c r="Q10" s="57"/>
      <c r="R10" s="57"/>
      <c r="S10" s="59"/>
      <c r="T10" s="57"/>
      <c r="U10" s="60"/>
      <c r="V10" s="59"/>
      <c r="W10" s="57"/>
      <c r="X10" s="57"/>
      <c r="Y10" s="57" t="s">
        <v>21</v>
      </c>
      <c r="Z10" s="57" t="s">
        <v>290</v>
      </c>
      <c r="AA10" s="59">
        <v>15190</v>
      </c>
      <c r="AB10" s="57" t="s">
        <v>61</v>
      </c>
      <c r="AC10" s="60">
        <v>45768</v>
      </c>
      <c r="AD10" s="59">
        <v>15190</v>
      </c>
      <c r="AE10" s="57" t="s">
        <v>763</v>
      </c>
      <c r="AF10" s="57" t="s">
        <v>764</v>
      </c>
    </row>
    <row r="11" spans="1:32">
      <c r="A11" s="57">
        <v>10</v>
      </c>
      <c r="B11" s="58">
        <v>45859.693252314813</v>
      </c>
      <c r="C11" s="58">
        <v>45859.702997685177</v>
      </c>
      <c r="D11" s="57" t="s">
        <v>765</v>
      </c>
      <c r="E11" s="57" t="s">
        <v>766</v>
      </c>
      <c r="F11" s="58"/>
      <c r="G11" s="57" t="s">
        <v>458</v>
      </c>
      <c r="H11" s="59">
        <v>1</v>
      </c>
      <c r="I11" s="57"/>
      <c r="J11" s="57"/>
      <c r="K11" s="59"/>
      <c r="L11" s="57"/>
      <c r="M11" s="60"/>
      <c r="N11" s="59"/>
      <c r="O11" s="57"/>
      <c r="P11" s="57"/>
      <c r="Q11" s="57"/>
      <c r="R11" s="57"/>
      <c r="S11" s="59"/>
      <c r="T11" s="57"/>
      <c r="U11" s="60"/>
      <c r="V11" s="59"/>
      <c r="W11" s="57"/>
      <c r="X11" s="57"/>
      <c r="Y11" s="57" t="s">
        <v>21</v>
      </c>
      <c r="Z11" s="57" t="s">
        <v>124</v>
      </c>
      <c r="AA11" s="59">
        <v>33133</v>
      </c>
      <c r="AB11" s="57" t="s">
        <v>61</v>
      </c>
      <c r="AC11" s="60">
        <v>45731</v>
      </c>
      <c r="AD11" s="59">
        <v>33133</v>
      </c>
      <c r="AE11" s="57" t="s">
        <v>767</v>
      </c>
      <c r="AF11" s="57" t="s">
        <v>768</v>
      </c>
    </row>
    <row r="12" spans="1:32">
      <c r="A12" s="57">
        <v>11</v>
      </c>
      <c r="B12" s="58">
        <v>45859.695405092592</v>
      </c>
      <c r="C12" s="58">
        <v>45859.70888888889</v>
      </c>
      <c r="D12" s="57" t="s">
        <v>769</v>
      </c>
      <c r="E12" s="57" t="s">
        <v>770</v>
      </c>
      <c r="F12" s="58"/>
      <c r="G12" s="57" t="s">
        <v>582</v>
      </c>
      <c r="H12" s="59">
        <v>1</v>
      </c>
      <c r="I12" s="57"/>
      <c r="J12" s="57"/>
      <c r="K12" s="59"/>
      <c r="L12" s="57"/>
      <c r="M12" s="60"/>
      <c r="N12" s="59"/>
      <c r="O12" s="57"/>
      <c r="P12" s="57"/>
      <c r="Q12" s="57"/>
      <c r="R12" s="57"/>
      <c r="S12" s="59"/>
      <c r="T12" s="57"/>
      <c r="U12" s="60"/>
      <c r="V12" s="59"/>
      <c r="W12" s="57"/>
      <c r="X12" s="57"/>
      <c r="Y12" s="57" t="s">
        <v>21</v>
      </c>
      <c r="Z12" s="57" t="s">
        <v>256</v>
      </c>
      <c r="AA12" s="59">
        <v>3539</v>
      </c>
      <c r="AB12" s="57" t="s">
        <v>61</v>
      </c>
      <c r="AC12" s="60">
        <v>45841</v>
      </c>
      <c r="AD12" s="59">
        <v>3539</v>
      </c>
      <c r="AE12" s="57" t="s">
        <v>771</v>
      </c>
      <c r="AF12" s="57" t="s">
        <v>772</v>
      </c>
    </row>
    <row r="13" spans="1:32">
      <c r="A13" s="57">
        <v>12</v>
      </c>
      <c r="B13" s="58">
        <v>45859.706423611111</v>
      </c>
      <c r="C13" s="58">
        <v>45859.709305555552</v>
      </c>
      <c r="D13" s="57" t="s">
        <v>773</v>
      </c>
      <c r="E13" s="57" t="s">
        <v>774</v>
      </c>
      <c r="F13" s="58"/>
      <c r="G13" s="57" t="s">
        <v>594</v>
      </c>
      <c r="H13" s="59">
        <v>1</v>
      </c>
      <c r="I13" s="57"/>
      <c r="J13" s="57"/>
      <c r="K13" s="59"/>
      <c r="L13" s="57"/>
      <c r="M13" s="60"/>
      <c r="N13" s="59"/>
      <c r="O13" s="57"/>
      <c r="P13" s="57"/>
      <c r="Q13" s="57"/>
      <c r="R13" s="57"/>
      <c r="S13" s="59"/>
      <c r="T13" s="57"/>
      <c r="U13" s="60"/>
      <c r="V13" s="59"/>
      <c r="W13" s="57"/>
      <c r="X13" s="57"/>
      <c r="Y13" s="57" t="s">
        <v>20</v>
      </c>
      <c r="Z13" s="57" t="s">
        <v>270</v>
      </c>
      <c r="AA13" s="59">
        <v>17950</v>
      </c>
      <c r="AB13" s="57" t="s">
        <v>61</v>
      </c>
      <c r="AC13" s="60">
        <v>45755</v>
      </c>
      <c r="AD13" s="59">
        <v>17950</v>
      </c>
      <c r="AE13" s="57" t="s">
        <v>775</v>
      </c>
      <c r="AF13" s="57" t="s">
        <v>776</v>
      </c>
    </row>
    <row r="14" spans="1:32">
      <c r="A14" s="57">
        <v>13</v>
      </c>
      <c r="B14" s="58">
        <v>45859.703553240739</v>
      </c>
      <c r="C14" s="58">
        <v>45859.711435185192</v>
      </c>
      <c r="D14" s="57" t="s">
        <v>777</v>
      </c>
      <c r="E14" s="57" t="s">
        <v>778</v>
      </c>
      <c r="F14" s="58"/>
      <c r="G14" s="57" t="s">
        <v>701</v>
      </c>
      <c r="H14" s="59">
        <v>1</v>
      </c>
      <c r="I14" s="57"/>
      <c r="J14" s="57"/>
      <c r="K14" s="59"/>
      <c r="L14" s="57"/>
      <c r="M14" s="60"/>
      <c r="N14" s="59"/>
      <c r="O14" s="57"/>
      <c r="P14" s="57"/>
      <c r="Q14" s="57"/>
      <c r="R14" s="57"/>
      <c r="S14" s="59"/>
      <c r="T14" s="57"/>
      <c r="U14" s="60"/>
      <c r="V14" s="59"/>
      <c r="W14" s="57"/>
      <c r="X14" s="57"/>
      <c r="Y14" s="57" t="s">
        <v>21</v>
      </c>
      <c r="Z14" s="57" t="s">
        <v>779</v>
      </c>
      <c r="AA14" s="59">
        <v>50</v>
      </c>
      <c r="AB14" s="57" t="s">
        <v>61</v>
      </c>
      <c r="AC14" s="60">
        <v>45762</v>
      </c>
      <c r="AD14" s="59">
        <v>50</v>
      </c>
      <c r="AE14" s="57" t="s">
        <v>780</v>
      </c>
      <c r="AF14" s="57" t="s">
        <v>781</v>
      </c>
    </row>
    <row r="15" spans="1:32">
      <c r="A15" s="57">
        <v>14</v>
      </c>
      <c r="B15" s="58">
        <v>45859.705613425933</v>
      </c>
      <c r="C15" s="58">
        <v>45859.713773148149</v>
      </c>
      <c r="D15" s="57" t="s">
        <v>782</v>
      </c>
      <c r="E15" s="57" t="s">
        <v>783</v>
      </c>
      <c r="F15" s="58"/>
      <c r="G15" s="57" t="s">
        <v>685</v>
      </c>
      <c r="H15" s="59">
        <v>1</v>
      </c>
      <c r="I15" s="57"/>
      <c r="J15" s="57"/>
      <c r="K15" s="59"/>
      <c r="L15" s="57"/>
      <c r="M15" s="60"/>
      <c r="N15" s="59"/>
      <c r="O15" s="57"/>
      <c r="P15" s="57"/>
      <c r="Q15" s="57"/>
      <c r="R15" s="57"/>
      <c r="S15" s="59"/>
      <c r="T15" s="57"/>
      <c r="U15" s="60"/>
      <c r="V15" s="59"/>
      <c r="W15" s="57"/>
      <c r="X15" s="57"/>
      <c r="Y15" s="57" t="s">
        <v>20</v>
      </c>
      <c r="Z15" s="57" t="s">
        <v>784</v>
      </c>
      <c r="AA15" s="59">
        <v>37904</v>
      </c>
      <c r="AB15" s="57" t="s">
        <v>61</v>
      </c>
      <c r="AC15" s="60">
        <v>45821</v>
      </c>
      <c r="AD15" s="59">
        <v>37904</v>
      </c>
      <c r="AE15" s="57" t="s">
        <v>785</v>
      </c>
      <c r="AF15" s="57" t="s">
        <v>786</v>
      </c>
    </row>
    <row r="16" spans="1:32">
      <c r="A16" s="57">
        <v>15</v>
      </c>
      <c r="B16" s="58">
        <v>45859.708958333344</v>
      </c>
      <c r="C16" s="58">
        <v>45859.716423611113</v>
      </c>
      <c r="D16" s="57" t="s">
        <v>787</v>
      </c>
      <c r="E16" s="57" t="s">
        <v>788</v>
      </c>
      <c r="F16" s="58"/>
      <c r="G16" s="57" t="s">
        <v>629</v>
      </c>
      <c r="H16" s="59">
        <v>1</v>
      </c>
      <c r="I16" s="57"/>
      <c r="J16" s="57"/>
      <c r="K16" s="59"/>
      <c r="L16" s="57"/>
      <c r="M16" s="60"/>
      <c r="N16" s="59"/>
      <c r="O16" s="57"/>
      <c r="P16" s="57"/>
      <c r="Q16" s="57"/>
      <c r="R16" s="57"/>
      <c r="S16" s="59"/>
      <c r="T16" s="57"/>
      <c r="U16" s="60"/>
      <c r="V16" s="59"/>
      <c r="W16" s="57"/>
      <c r="X16" s="57"/>
      <c r="Y16" s="57" t="s">
        <v>20</v>
      </c>
      <c r="Z16" s="57" t="s">
        <v>789</v>
      </c>
      <c r="AA16" s="59">
        <v>13870</v>
      </c>
      <c r="AB16" s="57" t="s">
        <v>61</v>
      </c>
      <c r="AC16" s="60">
        <v>45765</v>
      </c>
      <c r="AD16" s="59">
        <v>13870</v>
      </c>
      <c r="AE16" s="57" t="s">
        <v>790</v>
      </c>
      <c r="AF16" s="57" t="s">
        <v>791</v>
      </c>
    </row>
    <row r="17" spans="1:32">
      <c r="A17" s="57">
        <v>16</v>
      </c>
      <c r="B17" s="58">
        <v>45859.694178240738</v>
      </c>
      <c r="C17" s="58">
        <v>45859.717986111107</v>
      </c>
      <c r="D17" s="57" t="s">
        <v>792</v>
      </c>
      <c r="E17" s="57" t="s">
        <v>793</v>
      </c>
      <c r="F17" s="58"/>
      <c r="G17" s="57" t="s">
        <v>555</v>
      </c>
      <c r="H17" s="59">
        <v>2</v>
      </c>
      <c r="I17" s="57"/>
      <c r="J17" s="57"/>
      <c r="K17" s="59"/>
      <c r="L17" s="57"/>
      <c r="M17" s="60"/>
      <c r="N17" s="59"/>
      <c r="O17" s="57"/>
      <c r="P17" s="57"/>
      <c r="Q17" s="57" t="s">
        <v>22</v>
      </c>
      <c r="R17" s="57" t="s">
        <v>224</v>
      </c>
      <c r="S17" s="59">
        <v>32255</v>
      </c>
      <c r="T17" s="57" t="s">
        <v>61</v>
      </c>
      <c r="U17" s="60">
        <v>45825</v>
      </c>
      <c r="V17" s="59">
        <v>32255</v>
      </c>
      <c r="W17" s="57" t="s">
        <v>794</v>
      </c>
      <c r="X17" s="57" t="s">
        <v>795</v>
      </c>
      <c r="Y17" s="57" t="s">
        <v>21</v>
      </c>
      <c r="Z17" s="57" t="s">
        <v>796</v>
      </c>
      <c r="AA17" s="59">
        <v>16400</v>
      </c>
      <c r="AB17" s="57" t="s">
        <v>61</v>
      </c>
      <c r="AC17" s="60">
        <v>45825</v>
      </c>
      <c r="AD17" s="59">
        <v>16400</v>
      </c>
      <c r="AE17" s="57" t="s">
        <v>797</v>
      </c>
      <c r="AF17" s="57" t="s">
        <v>798</v>
      </c>
    </row>
    <row r="18" spans="1:32">
      <c r="A18" s="57">
        <v>17</v>
      </c>
      <c r="B18" s="58">
        <v>45859.717766203707</v>
      </c>
      <c r="C18" s="58">
        <v>45859.726689814823</v>
      </c>
      <c r="D18" s="57" t="s">
        <v>799</v>
      </c>
      <c r="E18" s="57" t="s">
        <v>800</v>
      </c>
      <c r="F18" s="58"/>
      <c r="G18" s="57" t="s">
        <v>618</v>
      </c>
      <c r="H18" s="59">
        <v>2</v>
      </c>
      <c r="I18" s="57"/>
      <c r="J18" s="57"/>
      <c r="K18" s="59"/>
      <c r="L18" s="57"/>
      <c r="M18" s="60"/>
      <c r="N18" s="59"/>
      <c r="O18" s="57"/>
      <c r="P18" s="57"/>
      <c r="Q18" s="57" t="s">
        <v>22</v>
      </c>
      <c r="R18" s="57" t="s">
        <v>299</v>
      </c>
      <c r="S18" s="59">
        <v>15305</v>
      </c>
      <c r="T18" s="57" t="s">
        <v>61</v>
      </c>
      <c r="U18" s="60">
        <v>45771</v>
      </c>
      <c r="V18" s="59">
        <v>15305</v>
      </c>
      <c r="W18" s="57" t="s">
        <v>801</v>
      </c>
      <c r="X18" s="57" t="s">
        <v>802</v>
      </c>
      <c r="Y18" s="57" t="s">
        <v>21</v>
      </c>
      <c r="Z18" s="57" t="s">
        <v>370</v>
      </c>
      <c r="AA18" s="59">
        <v>3498</v>
      </c>
      <c r="AB18" s="57" t="s">
        <v>61</v>
      </c>
      <c r="AC18" s="60">
        <v>45792</v>
      </c>
      <c r="AD18" s="59">
        <v>3498</v>
      </c>
      <c r="AE18" s="57" t="s">
        <v>803</v>
      </c>
      <c r="AF18" s="57" t="s">
        <v>804</v>
      </c>
    </row>
    <row r="19" spans="1:32">
      <c r="A19" s="57">
        <v>18</v>
      </c>
      <c r="B19" s="58">
        <v>45859.722916666673</v>
      </c>
      <c r="C19" s="58">
        <v>45859.726875</v>
      </c>
      <c r="D19" s="57" t="s">
        <v>805</v>
      </c>
      <c r="E19" s="57" t="s">
        <v>806</v>
      </c>
      <c r="F19" s="58"/>
      <c r="G19" s="57" t="s">
        <v>481</v>
      </c>
      <c r="H19" s="59">
        <v>1</v>
      </c>
      <c r="I19" s="57"/>
      <c r="J19" s="57"/>
      <c r="K19" s="59"/>
      <c r="L19" s="57"/>
      <c r="M19" s="60"/>
      <c r="N19" s="59"/>
      <c r="O19" s="57"/>
      <c r="P19" s="57"/>
      <c r="Q19" s="57"/>
      <c r="R19" s="57"/>
      <c r="S19" s="59"/>
      <c r="T19" s="57"/>
      <c r="U19" s="60"/>
      <c r="V19" s="59"/>
      <c r="W19" s="57"/>
      <c r="X19" s="57"/>
      <c r="Y19" s="57" t="s">
        <v>21</v>
      </c>
      <c r="Z19" s="57" t="s">
        <v>147</v>
      </c>
      <c r="AA19" s="59">
        <v>35706</v>
      </c>
      <c r="AB19" s="57" t="s">
        <v>61</v>
      </c>
      <c r="AC19" s="60">
        <v>45820</v>
      </c>
      <c r="AD19" s="59">
        <v>35706</v>
      </c>
      <c r="AE19" s="57" t="s">
        <v>807</v>
      </c>
      <c r="AF19" s="57" t="s">
        <v>808</v>
      </c>
    </row>
    <row r="20" spans="1:32">
      <c r="A20" s="57">
        <v>19</v>
      </c>
      <c r="B20" s="58">
        <v>45859.715833333343</v>
      </c>
      <c r="C20" s="58">
        <v>45859.72693287037</v>
      </c>
      <c r="D20" s="57" t="s">
        <v>809</v>
      </c>
      <c r="E20" s="57" t="s">
        <v>810</v>
      </c>
      <c r="F20" s="58"/>
      <c r="G20" s="57" t="s">
        <v>468</v>
      </c>
      <c r="H20" s="59">
        <v>1</v>
      </c>
      <c r="I20" s="57"/>
      <c r="J20" s="57"/>
      <c r="K20" s="59"/>
      <c r="L20" s="57"/>
      <c r="M20" s="60"/>
      <c r="N20" s="59"/>
      <c r="O20" s="57"/>
      <c r="P20" s="57"/>
      <c r="Q20" s="57"/>
      <c r="R20" s="57"/>
      <c r="S20" s="59"/>
      <c r="T20" s="57"/>
      <c r="U20" s="60"/>
      <c r="V20" s="59"/>
      <c r="W20" s="57"/>
      <c r="X20" s="57"/>
      <c r="Y20" s="57" t="s">
        <v>21</v>
      </c>
      <c r="Z20" s="57" t="s">
        <v>134</v>
      </c>
      <c r="AA20" s="59">
        <v>45117</v>
      </c>
      <c r="AB20" s="57" t="s">
        <v>61</v>
      </c>
      <c r="AC20" s="60">
        <v>45762</v>
      </c>
      <c r="AD20" s="59">
        <v>45117</v>
      </c>
      <c r="AE20" s="57" t="s">
        <v>811</v>
      </c>
      <c r="AF20" s="57" t="s">
        <v>812</v>
      </c>
    </row>
    <row r="21" spans="1:32">
      <c r="A21" s="57">
        <v>20</v>
      </c>
      <c r="B21" s="58">
        <v>45859.695983796293</v>
      </c>
      <c r="C21" s="58">
        <v>45859.728981481479</v>
      </c>
      <c r="D21" s="57" t="s">
        <v>813</v>
      </c>
      <c r="E21" s="57" t="s">
        <v>814</v>
      </c>
      <c r="F21" s="58"/>
      <c r="G21" s="57" t="s">
        <v>471</v>
      </c>
      <c r="H21" s="59">
        <v>1</v>
      </c>
      <c r="I21" s="57"/>
      <c r="J21" s="57"/>
      <c r="K21" s="59"/>
      <c r="L21" s="57"/>
      <c r="M21" s="60"/>
      <c r="N21" s="59"/>
      <c r="O21" s="57"/>
      <c r="P21" s="57"/>
      <c r="Q21" s="57"/>
      <c r="R21" s="57"/>
      <c r="S21" s="59"/>
      <c r="T21" s="57"/>
      <c r="U21" s="60"/>
      <c r="V21" s="59"/>
      <c r="W21" s="57"/>
      <c r="X21" s="57"/>
      <c r="Y21" s="57" t="s">
        <v>21</v>
      </c>
      <c r="Z21" s="57" t="s">
        <v>137</v>
      </c>
      <c r="AA21" s="59">
        <v>7838</v>
      </c>
      <c r="AB21" s="57" t="s">
        <v>61</v>
      </c>
      <c r="AC21" s="60">
        <v>45794</v>
      </c>
      <c r="AD21" s="59">
        <v>7838</v>
      </c>
      <c r="AE21" s="57" t="s">
        <v>815</v>
      </c>
      <c r="AF21" s="57" t="s">
        <v>816</v>
      </c>
    </row>
    <row r="22" spans="1:32">
      <c r="A22" s="57">
        <v>21</v>
      </c>
      <c r="B22" s="58">
        <v>45859.726273148153</v>
      </c>
      <c r="C22" s="58">
        <v>45859.732731481483</v>
      </c>
      <c r="D22" s="57" t="s">
        <v>817</v>
      </c>
      <c r="E22" s="57" t="s">
        <v>818</v>
      </c>
      <c r="F22" s="58"/>
      <c r="G22" s="57" t="s">
        <v>713</v>
      </c>
      <c r="H22" s="59">
        <v>1</v>
      </c>
      <c r="I22" s="57"/>
      <c r="J22" s="57"/>
      <c r="K22" s="59"/>
      <c r="L22" s="57"/>
      <c r="M22" s="60"/>
      <c r="N22" s="59"/>
      <c r="O22" s="57"/>
      <c r="P22" s="57"/>
      <c r="Q22" s="57"/>
      <c r="R22" s="57"/>
      <c r="S22" s="59"/>
      <c r="T22" s="57"/>
      <c r="U22" s="60"/>
      <c r="V22" s="59"/>
      <c r="W22" s="57"/>
      <c r="X22" s="57"/>
      <c r="Y22" s="57" t="s">
        <v>21</v>
      </c>
      <c r="Z22" s="57" t="s">
        <v>819</v>
      </c>
      <c r="AA22" s="59">
        <v>45142</v>
      </c>
      <c r="AB22" s="57" t="s">
        <v>61</v>
      </c>
      <c r="AC22" s="60">
        <v>45708</v>
      </c>
      <c r="AD22" s="59">
        <v>45142</v>
      </c>
      <c r="AE22" s="57" t="s">
        <v>820</v>
      </c>
      <c r="AF22" s="57" t="s">
        <v>821</v>
      </c>
    </row>
    <row r="23" spans="1:32">
      <c r="A23" s="57">
        <v>22</v>
      </c>
      <c r="B23" s="58">
        <v>45859.735879629632</v>
      </c>
      <c r="C23" s="58">
        <v>45859.740011574067</v>
      </c>
      <c r="D23" s="57" t="s">
        <v>822</v>
      </c>
      <c r="E23" s="57" t="s">
        <v>823</v>
      </c>
      <c r="F23" s="58"/>
      <c r="G23" s="57" t="s">
        <v>721</v>
      </c>
      <c r="H23" s="59">
        <v>1</v>
      </c>
      <c r="I23" s="57"/>
      <c r="J23" s="57"/>
      <c r="K23" s="59"/>
      <c r="L23" s="57"/>
      <c r="M23" s="60"/>
      <c r="N23" s="59"/>
      <c r="O23" s="57"/>
      <c r="P23" s="57"/>
      <c r="Q23" s="57"/>
      <c r="R23" s="57"/>
      <c r="S23" s="59"/>
      <c r="T23" s="57"/>
      <c r="U23" s="60"/>
      <c r="V23" s="59"/>
      <c r="W23" s="57"/>
      <c r="X23" s="57"/>
      <c r="Y23" s="57" t="s">
        <v>20</v>
      </c>
      <c r="Z23" s="57" t="s">
        <v>824</v>
      </c>
      <c r="AA23" s="59">
        <v>64126</v>
      </c>
      <c r="AB23" s="57" t="s">
        <v>61</v>
      </c>
      <c r="AC23" s="60">
        <v>45831</v>
      </c>
      <c r="AD23" s="59">
        <v>64126</v>
      </c>
      <c r="AE23" s="57" t="s">
        <v>825</v>
      </c>
      <c r="AF23" s="57" t="s">
        <v>826</v>
      </c>
    </row>
    <row r="24" spans="1:32">
      <c r="A24" s="57">
        <v>23</v>
      </c>
      <c r="B24" s="58">
        <v>45859.731712962966</v>
      </c>
      <c r="C24" s="58">
        <v>45859.747534722221</v>
      </c>
      <c r="D24" s="57" t="s">
        <v>827</v>
      </c>
      <c r="E24" s="57" t="s">
        <v>828</v>
      </c>
      <c r="F24" s="58"/>
      <c r="G24" s="57" t="s">
        <v>566</v>
      </c>
      <c r="H24" s="59">
        <v>3</v>
      </c>
      <c r="I24" s="57" t="s">
        <v>22</v>
      </c>
      <c r="J24" s="57" t="s">
        <v>238</v>
      </c>
      <c r="K24" s="59">
        <v>53303</v>
      </c>
      <c r="L24" s="57" t="s">
        <v>61</v>
      </c>
      <c r="M24" s="60">
        <v>45821</v>
      </c>
      <c r="N24" s="59">
        <v>53303</v>
      </c>
      <c r="O24" s="57" t="s">
        <v>829</v>
      </c>
      <c r="P24" s="57" t="s">
        <v>830</v>
      </c>
      <c r="Q24" s="57" t="s">
        <v>21</v>
      </c>
      <c r="R24" s="57" t="s">
        <v>377</v>
      </c>
      <c r="S24" s="59">
        <v>1176</v>
      </c>
      <c r="T24" s="57" t="s">
        <v>61</v>
      </c>
      <c r="U24" s="60">
        <v>45792</v>
      </c>
      <c r="V24" s="59">
        <v>1176</v>
      </c>
      <c r="W24" s="57" t="s">
        <v>831</v>
      </c>
      <c r="X24" s="57" t="s">
        <v>832</v>
      </c>
      <c r="Y24" s="57" t="s">
        <v>21</v>
      </c>
      <c r="Z24" s="57" t="s">
        <v>833</v>
      </c>
      <c r="AA24" s="59">
        <v>79909</v>
      </c>
      <c r="AB24" s="57" t="s">
        <v>61</v>
      </c>
      <c r="AC24" s="60">
        <v>45856</v>
      </c>
      <c r="AD24" s="59">
        <v>79909</v>
      </c>
      <c r="AE24" s="57" t="s">
        <v>834</v>
      </c>
      <c r="AF24" s="57" t="s">
        <v>835</v>
      </c>
    </row>
    <row r="25" spans="1:32">
      <c r="A25" s="57">
        <v>24</v>
      </c>
      <c r="B25" s="58">
        <v>45859.741747685177</v>
      </c>
      <c r="C25" s="58">
        <v>45859.74790509259</v>
      </c>
      <c r="D25" s="57" t="s">
        <v>836</v>
      </c>
      <c r="E25" s="57" t="s">
        <v>837</v>
      </c>
      <c r="F25" s="58"/>
      <c r="G25" s="57" t="s">
        <v>614</v>
      </c>
      <c r="H25" s="59">
        <v>1</v>
      </c>
      <c r="I25" s="57"/>
      <c r="J25" s="57"/>
      <c r="K25" s="59"/>
      <c r="L25" s="57"/>
      <c r="M25" s="60"/>
      <c r="N25" s="59"/>
      <c r="O25" s="57"/>
      <c r="P25" s="57"/>
      <c r="Q25" s="57"/>
      <c r="R25" s="57"/>
      <c r="S25" s="59"/>
      <c r="T25" s="57"/>
      <c r="U25" s="60"/>
      <c r="V25" s="59"/>
      <c r="W25" s="57"/>
      <c r="X25" s="57"/>
      <c r="Y25" s="57" t="s">
        <v>21</v>
      </c>
      <c r="Z25" s="57" t="s">
        <v>294</v>
      </c>
      <c r="AA25" s="59">
        <v>14233</v>
      </c>
      <c r="AB25" s="57" t="s">
        <v>61</v>
      </c>
      <c r="AC25" s="60">
        <v>45783</v>
      </c>
      <c r="AD25" s="59">
        <v>14233</v>
      </c>
      <c r="AE25" s="57" t="s">
        <v>838</v>
      </c>
      <c r="AF25" s="57" t="s">
        <v>839</v>
      </c>
    </row>
    <row r="26" spans="1:32">
      <c r="A26" s="57">
        <v>25</v>
      </c>
      <c r="B26" s="58">
        <v>45859.742708333331</v>
      </c>
      <c r="C26" s="58">
        <v>45859.755509259259</v>
      </c>
      <c r="D26" s="57" t="s">
        <v>840</v>
      </c>
      <c r="E26" s="57" t="s">
        <v>841</v>
      </c>
      <c r="F26" s="58"/>
      <c r="G26" s="57" t="s">
        <v>564</v>
      </c>
      <c r="H26" s="59">
        <v>1</v>
      </c>
      <c r="I26" s="57"/>
      <c r="J26" s="57"/>
      <c r="K26" s="59"/>
      <c r="L26" s="57"/>
      <c r="M26" s="60"/>
      <c r="N26" s="59"/>
      <c r="O26" s="57"/>
      <c r="P26" s="57"/>
      <c r="Q26" s="57"/>
      <c r="R26" s="57"/>
      <c r="S26" s="59"/>
      <c r="T26" s="57"/>
      <c r="U26" s="60"/>
      <c r="V26" s="59"/>
      <c r="W26" s="57"/>
      <c r="X26" s="57"/>
      <c r="Y26" s="57" t="s">
        <v>20</v>
      </c>
      <c r="Z26" s="57" t="s">
        <v>235</v>
      </c>
      <c r="AA26" s="59">
        <v>13855</v>
      </c>
      <c r="AB26" s="57" t="s">
        <v>61</v>
      </c>
      <c r="AC26" s="60">
        <v>45812</v>
      </c>
      <c r="AD26" s="59">
        <v>13855</v>
      </c>
      <c r="AE26" s="57" t="s">
        <v>842</v>
      </c>
      <c r="AF26" s="57" t="s">
        <v>843</v>
      </c>
    </row>
    <row r="27" spans="1:32">
      <c r="A27" s="57">
        <v>26</v>
      </c>
      <c r="B27" s="58">
        <v>45859.748298611114</v>
      </c>
      <c r="C27" s="58">
        <v>45859.761435185188</v>
      </c>
      <c r="D27" s="57" t="s">
        <v>844</v>
      </c>
      <c r="E27" s="57" t="s">
        <v>845</v>
      </c>
      <c r="F27" s="58"/>
      <c r="G27" s="57" t="s">
        <v>699</v>
      </c>
      <c r="H27" s="59">
        <v>1</v>
      </c>
      <c r="I27" s="57"/>
      <c r="J27" s="57"/>
      <c r="K27" s="59"/>
      <c r="L27" s="57"/>
      <c r="M27" s="60"/>
      <c r="N27" s="59"/>
      <c r="O27" s="57"/>
      <c r="P27" s="57"/>
      <c r="Q27" s="57"/>
      <c r="R27" s="57"/>
      <c r="S27" s="59"/>
      <c r="T27" s="57"/>
      <c r="U27" s="60"/>
      <c r="V27" s="59"/>
      <c r="W27" s="57"/>
      <c r="X27" s="57"/>
      <c r="Y27" s="57" t="s">
        <v>21</v>
      </c>
      <c r="Z27" s="57" t="s">
        <v>846</v>
      </c>
      <c r="AA27" s="59">
        <v>79798</v>
      </c>
      <c r="AB27" s="57" t="s">
        <v>61</v>
      </c>
      <c r="AC27" s="60">
        <v>45805</v>
      </c>
      <c r="AD27" s="59">
        <v>79798</v>
      </c>
      <c r="AE27" s="57" t="s">
        <v>847</v>
      </c>
      <c r="AF27" s="57" t="s">
        <v>848</v>
      </c>
    </row>
    <row r="28" spans="1:32">
      <c r="A28" s="57">
        <v>27</v>
      </c>
      <c r="B28" s="58">
        <v>45859.77721064815</v>
      </c>
      <c r="C28" s="58">
        <v>45859.778692129628</v>
      </c>
      <c r="D28" s="57" t="s">
        <v>849</v>
      </c>
      <c r="E28" s="57" t="s">
        <v>850</v>
      </c>
      <c r="F28" s="58"/>
      <c r="G28" s="57" t="s">
        <v>627</v>
      </c>
      <c r="H28" s="59">
        <v>1</v>
      </c>
      <c r="I28" s="57"/>
      <c r="J28" s="57"/>
      <c r="K28" s="59"/>
      <c r="L28" s="57"/>
      <c r="M28" s="60"/>
      <c r="N28" s="59"/>
      <c r="O28" s="57"/>
      <c r="P28" s="57"/>
      <c r="Q28" s="57"/>
      <c r="R28" s="57"/>
      <c r="S28" s="59"/>
      <c r="T28" s="57"/>
      <c r="U28" s="60"/>
      <c r="V28" s="59"/>
      <c r="W28" s="57"/>
      <c r="X28" s="57"/>
      <c r="Y28" s="57" t="s">
        <v>21</v>
      </c>
      <c r="Z28" s="57" t="s">
        <v>310</v>
      </c>
      <c r="AA28" s="59">
        <v>6174</v>
      </c>
      <c r="AB28" s="57" t="s">
        <v>61</v>
      </c>
      <c r="AC28" s="60">
        <v>45827</v>
      </c>
      <c r="AD28" s="59">
        <v>6174</v>
      </c>
      <c r="AE28" s="57" t="s">
        <v>851</v>
      </c>
      <c r="AF28" s="57" t="s">
        <v>852</v>
      </c>
    </row>
    <row r="29" spans="1:32">
      <c r="A29" s="57">
        <v>28</v>
      </c>
      <c r="B29" s="58">
        <v>45859.782164351847</v>
      </c>
      <c r="C29" s="58">
        <v>45859.789629629631</v>
      </c>
      <c r="D29" s="57" t="s">
        <v>853</v>
      </c>
      <c r="E29" s="57" t="s">
        <v>854</v>
      </c>
      <c r="F29" s="58"/>
      <c r="G29" s="57" t="s">
        <v>571</v>
      </c>
      <c r="H29" s="59">
        <v>1</v>
      </c>
      <c r="I29" s="57"/>
      <c r="J29" s="57"/>
      <c r="K29" s="59"/>
      <c r="L29" s="57"/>
      <c r="M29" s="60"/>
      <c r="N29" s="59"/>
      <c r="O29" s="57"/>
      <c r="P29" s="57"/>
      <c r="Q29" s="57"/>
      <c r="R29" s="57"/>
      <c r="S29" s="59"/>
      <c r="T29" s="57"/>
      <c r="U29" s="60"/>
      <c r="V29" s="59"/>
      <c r="W29" s="57"/>
      <c r="X29" s="57"/>
      <c r="Y29" s="57" t="s">
        <v>21</v>
      </c>
      <c r="Z29" s="57" t="s">
        <v>346</v>
      </c>
      <c r="AA29" s="59">
        <v>6917</v>
      </c>
      <c r="AB29" s="57" t="s">
        <v>61</v>
      </c>
      <c r="AC29" s="60">
        <v>45743</v>
      </c>
      <c r="AD29" s="59">
        <v>6917</v>
      </c>
      <c r="AE29" s="57" t="s">
        <v>855</v>
      </c>
      <c r="AF29" s="57" t="s">
        <v>856</v>
      </c>
    </row>
    <row r="30" spans="1:32">
      <c r="A30" s="57">
        <v>29</v>
      </c>
      <c r="B30" s="58">
        <v>45859.788425925923</v>
      </c>
      <c r="C30" s="58">
        <v>45859.791643518518</v>
      </c>
      <c r="D30" s="57" t="s">
        <v>857</v>
      </c>
      <c r="E30" s="57" t="s">
        <v>858</v>
      </c>
      <c r="F30" s="58"/>
      <c r="G30" s="57" t="s">
        <v>702</v>
      </c>
      <c r="H30" s="59">
        <v>1</v>
      </c>
      <c r="I30" s="57"/>
      <c r="J30" s="57"/>
      <c r="K30" s="59"/>
      <c r="L30" s="57"/>
      <c r="M30" s="60"/>
      <c r="N30" s="59"/>
      <c r="O30" s="57"/>
      <c r="P30" s="57"/>
      <c r="Q30" s="57"/>
      <c r="R30" s="57"/>
      <c r="S30" s="59"/>
      <c r="T30" s="57"/>
      <c r="U30" s="60"/>
      <c r="V30" s="59"/>
      <c r="W30" s="57"/>
      <c r="X30" s="57"/>
      <c r="Y30" s="57" t="s">
        <v>21</v>
      </c>
      <c r="Z30" s="57" t="s">
        <v>859</v>
      </c>
      <c r="AA30" s="59">
        <v>33312</v>
      </c>
      <c r="AB30" s="57" t="s">
        <v>61</v>
      </c>
      <c r="AC30" s="60">
        <v>45713</v>
      </c>
      <c r="AD30" s="59">
        <v>33312</v>
      </c>
      <c r="AE30" s="57" t="s">
        <v>860</v>
      </c>
      <c r="AF30" s="57" t="s">
        <v>861</v>
      </c>
    </row>
    <row r="31" spans="1:32">
      <c r="A31" s="57">
        <v>30</v>
      </c>
      <c r="B31" s="58">
        <v>45859.82608796296</v>
      </c>
      <c r="C31" s="58">
        <v>45859.830358796287</v>
      </c>
      <c r="D31" s="57" t="s">
        <v>862</v>
      </c>
      <c r="E31" s="57" t="s">
        <v>863</v>
      </c>
      <c r="F31" s="58"/>
      <c r="G31" s="57" t="s">
        <v>568</v>
      </c>
      <c r="H31" s="59">
        <v>1</v>
      </c>
      <c r="I31" s="57"/>
      <c r="J31" s="57"/>
      <c r="K31" s="59"/>
      <c r="L31" s="57"/>
      <c r="M31" s="60"/>
      <c r="N31" s="59"/>
      <c r="O31" s="57"/>
      <c r="P31" s="57"/>
      <c r="Q31" s="57"/>
      <c r="R31" s="57"/>
      <c r="S31" s="59"/>
      <c r="T31" s="57"/>
      <c r="U31" s="60"/>
      <c r="V31" s="59"/>
      <c r="W31" s="57"/>
      <c r="X31" s="57"/>
      <c r="Y31" s="57" t="s">
        <v>20</v>
      </c>
      <c r="Z31" s="57" t="s">
        <v>240</v>
      </c>
      <c r="AA31" s="59">
        <v>35052</v>
      </c>
      <c r="AB31" s="57" t="s">
        <v>61</v>
      </c>
      <c r="AC31" s="60">
        <v>45861</v>
      </c>
      <c r="AD31" s="59">
        <v>35052</v>
      </c>
      <c r="AE31" s="57" t="s">
        <v>864</v>
      </c>
      <c r="AF31" s="57" t="s">
        <v>865</v>
      </c>
    </row>
    <row r="32" spans="1:32">
      <c r="A32" s="57">
        <v>31</v>
      </c>
      <c r="B32" s="58">
        <v>45859.831759259258</v>
      </c>
      <c r="C32" s="58">
        <v>45859.834803240738</v>
      </c>
      <c r="D32" s="57" t="s">
        <v>866</v>
      </c>
      <c r="E32" s="57" t="s">
        <v>867</v>
      </c>
      <c r="F32" s="58"/>
      <c r="G32" s="57" t="s">
        <v>580</v>
      </c>
      <c r="H32" s="59">
        <v>2</v>
      </c>
      <c r="I32" s="57"/>
      <c r="J32" s="57"/>
      <c r="K32" s="59"/>
      <c r="L32" s="57"/>
      <c r="M32" s="60"/>
      <c r="N32" s="59"/>
      <c r="O32" s="57"/>
      <c r="P32" s="57"/>
      <c r="Q32" s="57" t="s">
        <v>21</v>
      </c>
      <c r="R32" s="57" t="s">
        <v>252</v>
      </c>
      <c r="S32" s="59">
        <v>16620</v>
      </c>
      <c r="T32" s="57" t="s">
        <v>61</v>
      </c>
      <c r="U32" s="60">
        <v>45736</v>
      </c>
      <c r="V32" s="59">
        <v>16620</v>
      </c>
      <c r="W32" s="57" t="s">
        <v>868</v>
      </c>
      <c r="X32" s="57" t="s">
        <v>869</v>
      </c>
      <c r="Y32" s="57" t="s">
        <v>22</v>
      </c>
      <c r="Z32" s="57" t="s">
        <v>281</v>
      </c>
      <c r="AA32" s="59">
        <v>24252</v>
      </c>
      <c r="AB32" s="57" t="s">
        <v>61</v>
      </c>
      <c r="AC32" s="60">
        <v>45735</v>
      </c>
      <c r="AD32" s="59">
        <v>24252</v>
      </c>
      <c r="AE32" s="57" t="s">
        <v>870</v>
      </c>
      <c r="AF32" s="57" t="s">
        <v>871</v>
      </c>
    </row>
    <row r="33" spans="1:32">
      <c r="A33" s="57">
        <v>32</v>
      </c>
      <c r="B33" s="58">
        <v>45859.855208333327</v>
      </c>
      <c r="C33" s="58">
        <v>45859.86146990741</v>
      </c>
      <c r="D33" s="57" t="s">
        <v>872</v>
      </c>
      <c r="E33" s="57" t="s">
        <v>873</v>
      </c>
      <c r="F33" s="58"/>
      <c r="G33" s="57" t="s">
        <v>694</v>
      </c>
      <c r="H33" s="59">
        <v>1</v>
      </c>
      <c r="I33" s="57"/>
      <c r="J33" s="57"/>
      <c r="K33" s="59"/>
      <c r="L33" s="57"/>
      <c r="M33" s="60"/>
      <c r="N33" s="59"/>
      <c r="O33" s="57"/>
      <c r="P33" s="57"/>
      <c r="Q33" s="57"/>
      <c r="R33" s="57"/>
      <c r="S33" s="59"/>
      <c r="T33" s="57"/>
      <c r="U33" s="60"/>
      <c r="V33" s="59"/>
      <c r="W33" s="57"/>
      <c r="X33" s="57"/>
      <c r="Y33" s="57" t="s">
        <v>21</v>
      </c>
      <c r="Z33" s="57" t="s">
        <v>874</v>
      </c>
      <c r="AA33" s="59">
        <v>47106</v>
      </c>
      <c r="AB33" s="57" t="s">
        <v>61</v>
      </c>
      <c r="AC33" s="60">
        <v>45833</v>
      </c>
      <c r="AD33" s="59">
        <v>47106</v>
      </c>
      <c r="AE33" s="57" t="s">
        <v>875</v>
      </c>
      <c r="AF33" s="57" t="s">
        <v>876</v>
      </c>
    </row>
    <row r="34" spans="1:32">
      <c r="A34" s="57">
        <v>33</v>
      </c>
      <c r="B34" s="58">
        <v>45860.308946759258</v>
      </c>
      <c r="C34" s="58">
        <v>45860.309247685182</v>
      </c>
      <c r="D34" s="57" t="s">
        <v>877</v>
      </c>
      <c r="E34" s="57" t="s">
        <v>878</v>
      </c>
      <c r="F34" s="58"/>
      <c r="G34" s="57" t="s">
        <v>681</v>
      </c>
      <c r="H34" s="59">
        <v>1</v>
      </c>
      <c r="I34" s="57"/>
      <c r="J34" s="57"/>
      <c r="K34" s="59"/>
      <c r="L34" s="57"/>
      <c r="M34" s="60"/>
      <c r="N34" s="59"/>
      <c r="O34" s="57"/>
      <c r="P34" s="57"/>
      <c r="Q34" s="57"/>
      <c r="R34" s="57"/>
      <c r="S34" s="59"/>
      <c r="T34" s="57"/>
      <c r="U34" s="60"/>
      <c r="V34" s="59"/>
      <c r="W34" s="57"/>
      <c r="X34" s="57"/>
      <c r="Y34" s="57" t="s">
        <v>20</v>
      </c>
      <c r="Z34" s="57" t="s">
        <v>879</v>
      </c>
      <c r="AA34" s="59">
        <v>67509</v>
      </c>
      <c r="AB34" s="57" t="s">
        <v>61</v>
      </c>
      <c r="AC34" s="60">
        <v>45997</v>
      </c>
      <c r="AD34" s="59">
        <v>67509</v>
      </c>
      <c r="AE34" s="57" t="s">
        <v>880</v>
      </c>
      <c r="AF34" s="57" t="s">
        <v>881</v>
      </c>
    </row>
    <row r="35" spans="1:32">
      <c r="A35" s="57">
        <v>34</v>
      </c>
      <c r="B35" s="58">
        <v>45860.304363425923</v>
      </c>
      <c r="C35" s="58">
        <v>45860.317615740743</v>
      </c>
      <c r="D35" s="57" t="s">
        <v>882</v>
      </c>
      <c r="E35" s="57" t="s">
        <v>883</v>
      </c>
      <c r="F35" s="58"/>
      <c r="G35" s="57" t="s">
        <v>500</v>
      </c>
      <c r="H35" s="59">
        <v>2</v>
      </c>
      <c r="I35" s="57"/>
      <c r="J35" s="57"/>
      <c r="K35" s="59"/>
      <c r="L35" s="57"/>
      <c r="M35" s="60"/>
      <c r="N35" s="59"/>
      <c r="O35" s="57"/>
      <c r="P35" s="57"/>
      <c r="Q35" s="57" t="s">
        <v>20</v>
      </c>
      <c r="R35" s="57" t="s">
        <v>166</v>
      </c>
      <c r="S35" s="59">
        <v>26950</v>
      </c>
      <c r="T35" s="57" t="s">
        <v>61</v>
      </c>
      <c r="U35" s="60">
        <v>45845</v>
      </c>
      <c r="V35" s="59">
        <v>26950</v>
      </c>
      <c r="W35" s="57" t="s">
        <v>884</v>
      </c>
      <c r="X35" s="57" t="s">
        <v>885</v>
      </c>
      <c r="Y35" s="57" t="s">
        <v>21</v>
      </c>
      <c r="Z35" s="57" t="s">
        <v>886</v>
      </c>
      <c r="AA35" s="59">
        <v>42358</v>
      </c>
      <c r="AB35" s="57" t="s">
        <v>61</v>
      </c>
      <c r="AC35" s="60">
        <v>45771</v>
      </c>
      <c r="AD35" s="59">
        <v>42358</v>
      </c>
      <c r="AE35" s="57" t="s">
        <v>887</v>
      </c>
      <c r="AF35" s="57" t="s">
        <v>888</v>
      </c>
    </row>
    <row r="36" spans="1:32">
      <c r="A36" s="57">
        <v>35</v>
      </c>
      <c r="B36" s="58">
        <v>45860.299490740741</v>
      </c>
      <c r="C36" s="58">
        <v>45860.31858796296</v>
      </c>
      <c r="D36" s="57" t="s">
        <v>889</v>
      </c>
      <c r="E36" s="57" t="s">
        <v>890</v>
      </c>
      <c r="F36" s="58"/>
      <c r="G36" s="57" t="s">
        <v>510</v>
      </c>
      <c r="H36" s="59">
        <v>1</v>
      </c>
      <c r="I36" s="57"/>
      <c r="J36" s="57"/>
      <c r="K36" s="59"/>
      <c r="L36" s="57"/>
      <c r="M36" s="60"/>
      <c r="N36" s="59"/>
      <c r="O36" s="57"/>
      <c r="P36" s="57"/>
      <c r="Q36" s="57"/>
      <c r="R36" s="57"/>
      <c r="S36" s="59"/>
      <c r="T36" s="57"/>
      <c r="U36" s="60"/>
      <c r="V36" s="59"/>
      <c r="W36" s="57"/>
      <c r="X36" s="57"/>
      <c r="Y36" s="57" t="s">
        <v>20</v>
      </c>
      <c r="Z36" s="57" t="s">
        <v>177</v>
      </c>
      <c r="AA36" s="59">
        <v>48591</v>
      </c>
      <c r="AB36" s="57" t="s">
        <v>61</v>
      </c>
      <c r="AC36" s="60">
        <v>45726</v>
      </c>
      <c r="AD36" s="59">
        <v>48591</v>
      </c>
      <c r="AE36" s="57" t="s">
        <v>891</v>
      </c>
      <c r="AF36" s="57" t="s">
        <v>892</v>
      </c>
    </row>
    <row r="37" spans="1:32">
      <c r="A37" s="57">
        <v>36</v>
      </c>
      <c r="B37" s="58">
        <v>45860.317881944437</v>
      </c>
      <c r="C37" s="58">
        <v>45860.321238425917</v>
      </c>
      <c r="D37" s="57" t="s">
        <v>893</v>
      </c>
      <c r="E37" s="57" t="s">
        <v>894</v>
      </c>
      <c r="F37" s="58"/>
      <c r="G37" s="57" t="s">
        <v>508</v>
      </c>
      <c r="H37" s="59">
        <v>1</v>
      </c>
      <c r="I37" s="57"/>
      <c r="J37" s="57"/>
      <c r="K37" s="59"/>
      <c r="L37" s="57"/>
      <c r="M37" s="60"/>
      <c r="N37" s="59"/>
      <c r="O37" s="57"/>
      <c r="P37" s="57"/>
      <c r="Q37" s="57"/>
      <c r="R37" s="57"/>
      <c r="S37" s="59"/>
      <c r="T37" s="57"/>
      <c r="U37" s="60"/>
      <c r="V37" s="59"/>
      <c r="W37" s="57"/>
      <c r="X37" s="57"/>
      <c r="Y37" s="57" t="s">
        <v>20</v>
      </c>
      <c r="Z37" s="57" t="s">
        <v>174</v>
      </c>
      <c r="AA37" s="59">
        <v>45753</v>
      </c>
      <c r="AB37" s="57" t="s">
        <v>61</v>
      </c>
      <c r="AC37" s="60">
        <v>45901</v>
      </c>
      <c r="AD37" s="59">
        <v>45753</v>
      </c>
      <c r="AE37" s="57" t="s">
        <v>895</v>
      </c>
      <c r="AF37" s="57" t="s">
        <v>896</v>
      </c>
    </row>
    <row r="38" spans="1:32">
      <c r="A38" s="57">
        <v>37</v>
      </c>
      <c r="B38" s="58">
        <v>45860.318171296298</v>
      </c>
      <c r="C38" s="58">
        <v>45860.322939814818</v>
      </c>
      <c r="D38" s="57" t="s">
        <v>897</v>
      </c>
      <c r="E38" s="57" t="s">
        <v>898</v>
      </c>
      <c r="F38" s="58"/>
      <c r="G38" s="57" t="s">
        <v>697</v>
      </c>
      <c r="H38" s="59">
        <v>2</v>
      </c>
      <c r="I38" s="57"/>
      <c r="J38" s="57"/>
      <c r="K38" s="59"/>
      <c r="L38" s="57"/>
      <c r="M38" s="60"/>
      <c r="N38" s="59"/>
      <c r="O38" s="57"/>
      <c r="P38" s="57"/>
      <c r="Q38" s="57" t="s">
        <v>21</v>
      </c>
      <c r="R38" s="57" t="s">
        <v>899</v>
      </c>
      <c r="S38" s="59">
        <v>47281</v>
      </c>
      <c r="T38" s="57" t="s">
        <v>61</v>
      </c>
      <c r="U38" s="60">
        <v>45752</v>
      </c>
      <c r="V38" s="59">
        <v>47281</v>
      </c>
      <c r="W38" s="57" t="s">
        <v>900</v>
      </c>
      <c r="X38" s="57" t="s">
        <v>901</v>
      </c>
      <c r="Y38" s="57" t="s">
        <v>20</v>
      </c>
      <c r="Z38" s="57" t="s">
        <v>902</v>
      </c>
      <c r="AA38" s="59">
        <v>15547</v>
      </c>
      <c r="AB38" s="57" t="s">
        <v>61</v>
      </c>
      <c r="AC38" s="60">
        <v>45812</v>
      </c>
      <c r="AD38" s="59">
        <v>15547</v>
      </c>
      <c r="AE38" s="57" t="s">
        <v>903</v>
      </c>
      <c r="AF38" s="57" t="s">
        <v>904</v>
      </c>
    </row>
    <row r="39" spans="1:32">
      <c r="A39" s="57">
        <v>38</v>
      </c>
      <c r="B39" s="58">
        <v>45860.322581018518</v>
      </c>
      <c r="C39" s="58">
        <v>45860.325243055559</v>
      </c>
      <c r="D39" s="57" t="s">
        <v>905</v>
      </c>
      <c r="E39" s="57" t="s">
        <v>906</v>
      </c>
      <c r="F39" s="58"/>
      <c r="G39" s="57" t="s">
        <v>661</v>
      </c>
      <c r="H39" s="59">
        <v>1</v>
      </c>
      <c r="I39" s="57"/>
      <c r="J39" s="57"/>
      <c r="K39" s="59"/>
      <c r="L39" s="57"/>
      <c r="M39" s="60"/>
      <c r="N39" s="59"/>
      <c r="O39" s="57"/>
      <c r="P39" s="57"/>
      <c r="Q39" s="57"/>
      <c r="R39" s="57"/>
      <c r="S39" s="59"/>
      <c r="T39" s="57"/>
      <c r="U39" s="60"/>
      <c r="V39" s="59"/>
      <c r="W39" s="57"/>
      <c r="X39" s="57"/>
      <c r="Y39" s="57" t="s">
        <v>21</v>
      </c>
      <c r="Z39" s="57" t="s">
        <v>362</v>
      </c>
      <c r="AA39" s="59">
        <v>3036</v>
      </c>
      <c r="AB39" s="57" t="s">
        <v>61</v>
      </c>
      <c r="AC39" s="60">
        <v>45776</v>
      </c>
      <c r="AD39" s="59">
        <v>3036</v>
      </c>
      <c r="AE39" s="57" t="s">
        <v>907</v>
      </c>
      <c r="AF39" s="57" t="s">
        <v>908</v>
      </c>
    </row>
    <row r="40" spans="1:32">
      <c r="A40" s="57">
        <v>39</v>
      </c>
      <c r="B40" s="58">
        <v>45860.327511574083</v>
      </c>
      <c r="C40" s="58">
        <v>45860.331354166658</v>
      </c>
      <c r="D40" s="57" t="s">
        <v>909</v>
      </c>
      <c r="E40" s="57" t="s">
        <v>910</v>
      </c>
      <c r="F40" s="58"/>
      <c r="G40" s="57" t="s">
        <v>712</v>
      </c>
      <c r="H40" s="59">
        <v>1</v>
      </c>
      <c r="I40" s="57"/>
      <c r="J40" s="57"/>
      <c r="K40" s="59"/>
      <c r="L40" s="57"/>
      <c r="M40" s="60"/>
      <c r="N40" s="59"/>
      <c r="O40" s="57"/>
      <c r="P40" s="57"/>
      <c r="Q40" s="57"/>
      <c r="R40" s="57"/>
      <c r="S40" s="59"/>
      <c r="T40" s="57"/>
      <c r="U40" s="60"/>
      <c r="V40" s="59"/>
      <c r="W40" s="57"/>
      <c r="X40" s="57"/>
      <c r="Y40" s="57" t="s">
        <v>21</v>
      </c>
      <c r="Z40" s="57" t="s">
        <v>911</v>
      </c>
      <c r="AA40" s="59">
        <v>50381</v>
      </c>
      <c r="AB40" s="57" t="s">
        <v>61</v>
      </c>
      <c r="AC40" s="60">
        <v>45668</v>
      </c>
      <c r="AD40" s="59">
        <v>50381</v>
      </c>
      <c r="AE40" s="57" t="s">
        <v>912</v>
      </c>
      <c r="AF40" s="57" t="s">
        <v>913</v>
      </c>
    </row>
    <row r="41" spans="1:32">
      <c r="A41" s="57">
        <v>40</v>
      </c>
      <c r="B41" s="58">
        <v>45860.342118055552</v>
      </c>
      <c r="C41" s="58">
        <v>45860.345393518517</v>
      </c>
      <c r="D41" s="57" t="s">
        <v>914</v>
      </c>
      <c r="E41" s="57" t="s">
        <v>915</v>
      </c>
      <c r="F41" s="58"/>
      <c r="G41" s="57" t="s">
        <v>480</v>
      </c>
      <c r="H41" s="59">
        <v>1</v>
      </c>
      <c r="I41" s="57"/>
      <c r="J41" s="57"/>
      <c r="K41" s="59"/>
      <c r="L41" s="57"/>
      <c r="M41" s="60"/>
      <c r="N41" s="59"/>
      <c r="O41" s="57"/>
      <c r="P41" s="57"/>
      <c r="Q41" s="57"/>
      <c r="R41" s="57"/>
      <c r="S41" s="59"/>
      <c r="T41" s="57"/>
      <c r="U41" s="60"/>
      <c r="V41" s="59"/>
      <c r="W41" s="57"/>
      <c r="X41" s="57"/>
      <c r="Y41" s="57" t="s">
        <v>20</v>
      </c>
      <c r="Z41" s="57" t="s">
        <v>146</v>
      </c>
      <c r="AA41" s="59">
        <v>51064</v>
      </c>
      <c r="AB41" s="57" t="s">
        <v>61</v>
      </c>
      <c r="AC41" s="60">
        <v>45848</v>
      </c>
      <c r="AD41" s="59">
        <v>51064</v>
      </c>
      <c r="AE41" s="57" t="s">
        <v>916</v>
      </c>
      <c r="AF41" s="57" t="s">
        <v>917</v>
      </c>
    </row>
    <row r="42" spans="1:32">
      <c r="A42" s="57">
        <v>41</v>
      </c>
      <c r="B42" s="58">
        <v>45860.336342592593</v>
      </c>
      <c r="C42" s="58">
        <v>45860.350659722222</v>
      </c>
      <c r="D42" s="57" t="s">
        <v>918</v>
      </c>
      <c r="E42" s="57" t="s">
        <v>919</v>
      </c>
      <c r="F42" s="58"/>
      <c r="G42" s="57" t="s">
        <v>546</v>
      </c>
      <c r="H42" s="59">
        <v>2</v>
      </c>
      <c r="I42" s="57"/>
      <c r="J42" s="57"/>
      <c r="K42" s="59"/>
      <c r="L42" s="57"/>
      <c r="M42" s="60"/>
      <c r="N42" s="59"/>
      <c r="O42" s="57"/>
      <c r="P42" s="57"/>
      <c r="Q42" s="57" t="s">
        <v>20</v>
      </c>
      <c r="R42" s="57" t="s">
        <v>920</v>
      </c>
      <c r="S42" s="59">
        <v>54221</v>
      </c>
      <c r="T42" s="57" t="s">
        <v>61</v>
      </c>
      <c r="U42" s="60">
        <v>45819</v>
      </c>
      <c r="V42" s="59">
        <v>54221</v>
      </c>
      <c r="W42" s="57" t="s">
        <v>921</v>
      </c>
      <c r="X42" s="57" t="s">
        <v>922</v>
      </c>
      <c r="Y42" s="57" t="s">
        <v>21</v>
      </c>
      <c r="Z42" s="57" t="s">
        <v>215</v>
      </c>
      <c r="AA42" s="59">
        <v>48216</v>
      </c>
      <c r="AB42" s="57" t="s">
        <v>61</v>
      </c>
      <c r="AC42" s="60">
        <v>45819</v>
      </c>
      <c r="AD42" s="59">
        <v>48216</v>
      </c>
      <c r="AE42" s="57" t="s">
        <v>923</v>
      </c>
      <c r="AF42" s="57" t="s">
        <v>924</v>
      </c>
    </row>
    <row r="43" spans="1:32">
      <c r="A43" s="57">
        <v>42</v>
      </c>
      <c r="B43" s="58">
        <v>45860.337581018517</v>
      </c>
      <c r="C43" s="58">
        <v>45860.351469907408</v>
      </c>
      <c r="D43" s="57" t="s">
        <v>925</v>
      </c>
      <c r="E43" s="57" t="s">
        <v>926</v>
      </c>
      <c r="F43" s="58"/>
      <c r="G43" s="57" t="s">
        <v>586</v>
      </c>
      <c r="H43" s="59">
        <v>1</v>
      </c>
      <c r="I43" s="57"/>
      <c r="J43" s="57"/>
      <c r="K43" s="59"/>
      <c r="L43" s="57"/>
      <c r="M43" s="60"/>
      <c r="N43" s="59"/>
      <c r="O43" s="57"/>
      <c r="P43" s="57"/>
      <c r="Q43" s="57"/>
      <c r="R43" s="57"/>
      <c r="S43" s="59"/>
      <c r="T43" s="57"/>
      <c r="U43" s="60"/>
      <c r="V43" s="59"/>
      <c r="W43" s="57"/>
      <c r="X43" s="57"/>
      <c r="Y43" s="57" t="s">
        <v>21</v>
      </c>
      <c r="Z43" s="57" t="s">
        <v>927</v>
      </c>
      <c r="AA43" s="59">
        <v>27041</v>
      </c>
      <c r="AB43" s="57" t="s">
        <v>61</v>
      </c>
      <c r="AC43" s="60">
        <v>45730</v>
      </c>
      <c r="AD43" s="59">
        <v>27041</v>
      </c>
      <c r="AE43" s="57" t="s">
        <v>928</v>
      </c>
      <c r="AF43" s="57" t="s">
        <v>929</v>
      </c>
    </row>
    <row r="44" spans="1:32">
      <c r="A44" s="57">
        <v>43</v>
      </c>
      <c r="B44" s="58">
        <v>45860.346388888887</v>
      </c>
      <c r="C44" s="58">
        <v>45860.361863425933</v>
      </c>
      <c r="D44" s="57" t="s">
        <v>930</v>
      </c>
      <c r="E44" s="57" t="s">
        <v>931</v>
      </c>
      <c r="F44" s="58"/>
      <c r="G44" s="57" t="s">
        <v>562</v>
      </c>
      <c r="H44" s="59">
        <v>2</v>
      </c>
      <c r="I44" s="57"/>
      <c r="J44" s="57"/>
      <c r="K44" s="59"/>
      <c r="L44" s="57"/>
      <c r="M44" s="60"/>
      <c r="N44" s="59"/>
      <c r="O44" s="57"/>
      <c r="P44" s="57"/>
      <c r="Q44" s="57" t="s">
        <v>22</v>
      </c>
      <c r="R44" s="57" t="s">
        <v>232</v>
      </c>
      <c r="S44" s="59">
        <v>88607</v>
      </c>
      <c r="T44" s="57" t="s">
        <v>61</v>
      </c>
      <c r="U44" s="60">
        <v>45810</v>
      </c>
      <c r="V44" s="59">
        <v>88607</v>
      </c>
      <c r="W44" s="57" t="s">
        <v>932</v>
      </c>
      <c r="X44" s="57" t="s">
        <v>933</v>
      </c>
      <c r="Y44" s="57" t="s">
        <v>21</v>
      </c>
      <c r="Z44" s="57" t="s">
        <v>320</v>
      </c>
      <c r="AA44" s="59">
        <v>11130</v>
      </c>
      <c r="AB44" s="57" t="s">
        <v>61</v>
      </c>
      <c r="AC44" s="60">
        <v>45847</v>
      </c>
      <c r="AD44" s="59">
        <v>11130</v>
      </c>
      <c r="AE44" s="57" t="s">
        <v>934</v>
      </c>
      <c r="AF44" s="57" t="s">
        <v>935</v>
      </c>
    </row>
    <row r="45" spans="1:32">
      <c r="A45" s="57">
        <v>44</v>
      </c>
      <c r="B45" s="58">
        <v>45860.356504629628</v>
      </c>
      <c r="C45" s="58">
        <v>45860.362766203703</v>
      </c>
      <c r="D45" s="57" t="s">
        <v>936</v>
      </c>
      <c r="E45" s="57" t="s">
        <v>937</v>
      </c>
      <c r="F45" s="58"/>
      <c r="G45" s="57" t="s">
        <v>466</v>
      </c>
      <c r="H45" s="59">
        <v>1</v>
      </c>
      <c r="I45" s="57"/>
      <c r="J45" s="57"/>
      <c r="K45" s="59"/>
      <c r="L45" s="57"/>
      <c r="M45" s="60"/>
      <c r="N45" s="59"/>
      <c r="O45" s="57"/>
      <c r="P45" s="57"/>
      <c r="Q45" s="57"/>
      <c r="R45" s="57"/>
      <c r="S45" s="59"/>
      <c r="T45" s="57"/>
      <c r="U45" s="60"/>
      <c r="V45" s="59"/>
      <c r="W45" s="57"/>
      <c r="X45" s="57"/>
      <c r="Y45" s="57" t="s">
        <v>20</v>
      </c>
      <c r="Z45" s="57" t="s">
        <v>131</v>
      </c>
      <c r="AA45" s="59">
        <v>75455</v>
      </c>
      <c r="AB45" s="57" t="s">
        <v>61</v>
      </c>
      <c r="AC45" s="60">
        <v>45817</v>
      </c>
      <c r="AD45" s="59">
        <v>75455</v>
      </c>
      <c r="AE45" s="57" t="s">
        <v>938</v>
      </c>
      <c r="AF45" s="57" t="s">
        <v>939</v>
      </c>
    </row>
    <row r="46" spans="1:32">
      <c r="A46" s="57">
        <v>45</v>
      </c>
      <c r="B46" s="58">
        <v>45860.362361111111</v>
      </c>
      <c r="C46" s="58">
        <v>45860.363483796304</v>
      </c>
      <c r="D46" s="57" t="s">
        <v>940</v>
      </c>
      <c r="E46" s="57" t="s">
        <v>941</v>
      </c>
      <c r="F46" s="58"/>
      <c r="G46" s="57" t="s">
        <v>688</v>
      </c>
      <c r="H46" s="59">
        <v>2</v>
      </c>
      <c r="I46" s="57"/>
      <c r="J46" s="57"/>
      <c r="K46" s="59"/>
      <c r="L46" s="57"/>
      <c r="M46" s="60"/>
      <c r="N46" s="59"/>
      <c r="O46" s="57"/>
      <c r="P46" s="57"/>
      <c r="Q46" s="57" t="s">
        <v>20</v>
      </c>
      <c r="R46" s="57" t="s">
        <v>942</v>
      </c>
      <c r="S46" s="59">
        <v>73151</v>
      </c>
      <c r="T46" s="57" t="s">
        <v>61</v>
      </c>
      <c r="U46" s="60">
        <v>45846</v>
      </c>
      <c r="V46" s="59">
        <v>73151</v>
      </c>
      <c r="W46" s="57" t="s">
        <v>943</v>
      </c>
      <c r="X46" s="57" t="s">
        <v>944</v>
      </c>
      <c r="Y46" s="57" t="s">
        <v>20</v>
      </c>
      <c r="Z46" s="57" t="s">
        <v>945</v>
      </c>
      <c r="AA46" s="59">
        <v>84938</v>
      </c>
      <c r="AB46" s="57" t="s">
        <v>61</v>
      </c>
      <c r="AC46" s="60">
        <v>45846</v>
      </c>
      <c r="AD46" s="59">
        <v>84938</v>
      </c>
      <c r="AE46" s="57" t="s">
        <v>946</v>
      </c>
      <c r="AF46" s="57" t="s">
        <v>947</v>
      </c>
    </row>
    <row r="47" spans="1:32">
      <c r="A47" s="57">
        <v>46</v>
      </c>
      <c r="B47" s="58">
        <v>45860.356909722221</v>
      </c>
      <c r="C47" s="58">
        <v>45860.364178240743</v>
      </c>
      <c r="D47" s="57" t="s">
        <v>948</v>
      </c>
      <c r="E47" s="57" t="s">
        <v>949</v>
      </c>
      <c r="F47" s="58"/>
      <c r="G47" s="57" t="s">
        <v>463</v>
      </c>
      <c r="H47" s="59">
        <v>1</v>
      </c>
      <c r="I47" s="57"/>
      <c r="J47" s="57"/>
      <c r="K47" s="59"/>
      <c r="L47" s="57"/>
      <c r="M47" s="60"/>
      <c r="N47" s="59"/>
      <c r="O47" s="57"/>
      <c r="P47" s="57"/>
      <c r="Q47" s="57"/>
      <c r="R47" s="57"/>
      <c r="S47" s="59"/>
      <c r="T47" s="57"/>
      <c r="U47" s="60"/>
      <c r="V47" s="59"/>
      <c r="W47" s="57"/>
      <c r="X47" s="57"/>
      <c r="Y47" s="57" t="s">
        <v>21</v>
      </c>
      <c r="Z47" s="57" t="s">
        <v>128</v>
      </c>
      <c r="AA47" s="59">
        <v>18078</v>
      </c>
      <c r="AB47" s="57" t="s">
        <v>61</v>
      </c>
      <c r="AC47" s="60">
        <v>45813</v>
      </c>
      <c r="AD47" s="59">
        <v>18078</v>
      </c>
      <c r="AE47" s="57" t="s">
        <v>950</v>
      </c>
      <c r="AF47" s="57" t="s">
        <v>951</v>
      </c>
    </row>
    <row r="48" spans="1:32">
      <c r="A48" s="57">
        <v>47</v>
      </c>
      <c r="B48" s="58">
        <v>45860.36042824074</v>
      </c>
      <c r="C48" s="58">
        <v>45860.364664351851</v>
      </c>
      <c r="D48" s="57" t="s">
        <v>952</v>
      </c>
      <c r="E48" s="57" t="s">
        <v>953</v>
      </c>
      <c r="F48" s="58"/>
      <c r="G48" s="57" t="s">
        <v>644</v>
      </c>
      <c r="H48" s="59">
        <v>1</v>
      </c>
      <c r="I48" s="57"/>
      <c r="J48" s="57"/>
      <c r="K48" s="59"/>
      <c r="L48" s="57"/>
      <c r="M48" s="60"/>
      <c r="N48" s="59"/>
      <c r="O48" s="57"/>
      <c r="P48" s="57"/>
      <c r="Q48" s="57"/>
      <c r="R48" s="57"/>
      <c r="S48" s="59"/>
      <c r="T48" s="57"/>
      <c r="U48" s="60"/>
      <c r="V48" s="59"/>
      <c r="W48" s="57"/>
      <c r="X48" s="57"/>
      <c r="Y48" s="57" t="s">
        <v>21</v>
      </c>
      <c r="Z48" s="57" t="s">
        <v>339</v>
      </c>
      <c r="AA48" s="59">
        <v>4015</v>
      </c>
      <c r="AB48" s="57" t="s">
        <v>61</v>
      </c>
      <c r="AC48" s="60">
        <v>45726</v>
      </c>
      <c r="AD48" s="59">
        <v>4015</v>
      </c>
      <c r="AE48" s="57" t="s">
        <v>954</v>
      </c>
      <c r="AF48" s="57" t="s">
        <v>955</v>
      </c>
    </row>
    <row r="49" spans="1:32">
      <c r="A49" s="57">
        <v>48</v>
      </c>
      <c r="B49" s="58">
        <v>45860.353182870371</v>
      </c>
      <c r="C49" s="58">
        <v>45860.367291666669</v>
      </c>
      <c r="D49" s="57" t="s">
        <v>956</v>
      </c>
      <c r="E49" s="57" t="s">
        <v>957</v>
      </c>
      <c r="F49" s="58"/>
      <c r="G49" s="57" t="s">
        <v>717</v>
      </c>
      <c r="H49" s="59">
        <v>1</v>
      </c>
      <c r="I49" s="57"/>
      <c r="J49" s="57"/>
      <c r="K49" s="59"/>
      <c r="L49" s="57"/>
      <c r="M49" s="60"/>
      <c r="N49" s="59"/>
      <c r="O49" s="57"/>
      <c r="P49" s="57"/>
      <c r="Q49" s="57"/>
      <c r="R49" s="57"/>
      <c r="S49" s="59"/>
      <c r="T49" s="57"/>
      <c r="U49" s="60"/>
      <c r="V49" s="59"/>
      <c r="W49" s="57"/>
      <c r="X49" s="57"/>
      <c r="Y49" s="57" t="s">
        <v>20</v>
      </c>
      <c r="Z49" s="57" t="s">
        <v>958</v>
      </c>
      <c r="AA49" s="59">
        <v>19762</v>
      </c>
      <c r="AB49" s="57" t="s">
        <v>61</v>
      </c>
      <c r="AC49" s="60">
        <v>45779</v>
      </c>
      <c r="AD49" s="59">
        <v>19762</v>
      </c>
      <c r="AE49" s="57" t="s">
        <v>959</v>
      </c>
      <c r="AF49" s="57" t="s">
        <v>960</v>
      </c>
    </row>
    <row r="50" spans="1:32">
      <c r="A50" s="57">
        <v>49</v>
      </c>
      <c r="B50" s="58">
        <v>45860.357002314813</v>
      </c>
      <c r="C50" s="58">
        <v>45860.367719907408</v>
      </c>
      <c r="D50" s="57" t="s">
        <v>961</v>
      </c>
      <c r="E50" s="57" t="s">
        <v>962</v>
      </c>
      <c r="F50" s="58"/>
      <c r="G50" s="57" t="s">
        <v>655</v>
      </c>
      <c r="H50" s="59">
        <v>1</v>
      </c>
      <c r="I50" s="57"/>
      <c r="J50" s="57"/>
      <c r="K50" s="59"/>
      <c r="L50" s="57"/>
      <c r="M50" s="60"/>
      <c r="N50" s="59"/>
      <c r="O50" s="57"/>
      <c r="P50" s="57"/>
      <c r="Q50" s="57"/>
      <c r="R50" s="57"/>
      <c r="S50" s="59"/>
      <c r="T50" s="57"/>
      <c r="U50" s="60"/>
      <c r="V50" s="59"/>
      <c r="W50" s="57"/>
      <c r="X50" s="57"/>
      <c r="Y50" s="57" t="s">
        <v>21</v>
      </c>
      <c r="Z50" s="57" t="s">
        <v>963</v>
      </c>
      <c r="AA50" s="59">
        <v>26347</v>
      </c>
      <c r="AB50" s="57" t="s">
        <v>61</v>
      </c>
      <c r="AC50" s="60">
        <v>45593</v>
      </c>
      <c r="AD50" s="59">
        <v>26347</v>
      </c>
      <c r="AE50" s="57" t="s">
        <v>964</v>
      </c>
      <c r="AF50" s="57" t="s">
        <v>965</v>
      </c>
    </row>
    <row r="51" spans="1:32">
      <c r="A51" s="57">
        <v>50</v>
      </c>
      <c r="B51" s="58">
        <v>45860.364745370367</v>
      </c>
      <c r="C51" s="58">
        <v>45860.371840277781</v>
      </c>
      <c r="D51" s="57" t="s">
        <v>966</v>
      </c>
      <c r="E51" s="57" t="s">
        <v>967</v>
      </c>
      <c r="F51" s="58"/>
      <c r="G51" s="57" t="s">
        <v>503</v>
      </c>
      <c r="H51" s="59">
        <v>1</v>
      </c>
      <c r="I51" s="57"/>
      <c r="J51" s="57"/>
      <c r="K51" s="59"/>
      <c r="L51" s="57"/>
      <c r="M51" s="60"/>
      <c r="N51" s="59"/>
      <c r="O51" s="57"/>
      <c r="P51" s="57"/>
      <c r="Q51" s="57"/>
      <c r="R51" s="57"/>
      <c r="S51" s="59"/>
      <c r="T51" s="57"/>
      <c r="U51" s="60"/>
      <c r="V51" s="59"/>
      <c r="W51" s="57"/>
      <c r="X51" s="57"/>
      <c r="Y51" s="57" t="s">
        <v>20</v>
      </c>
      <c r="Z51" s="57" t="s">
        <v>169</v>
      </c>
      <c r="AA51" s="59">
        <v>82275</v>
      </c>
      <c r="AB51" s="57" t="s">
        <v>61</v>
      </c>
      <c r="AC51" s="60">
        <v>45796</v>
      </c>
      <c r="AD51" s="59">
        <v>82275</v>
      </c>
      <c r="AE51" s="57" t="s">
        <v>968</v>
      </c>
      <c r="AF51" s="57" t="s">
        <v>969</v>
      </c>
    </row>
    <row r="52" spans="1:32">
      <c r="A52" s="57">
        <v>51</v>
      </c>
      <c r="B52" s="58">
        <v>45860.338726851849</v>
      </c>
      <c r="C52" s="58">
        <v>45860.372928240737</v>
      </c>
      <c r="D52" s="57" t="s">
        <v>970</v>
      </c>
      <c r="E52" s="57" t="s">
        <v>971</v>
      </c>
      <c r="F52" s="58"/>
      <c r="G52" s="57" t="s">
        <v>548</v>
      </c>
      <c r="H52" s="59">
        <v>1</v>
      </c>
      <c r="I52" s="57"/>
      <c r="J52" s="57"/>
      <c r="K52" s="59"/>
      <c r="L52" s="57"/>
      <c r="M52" s="60"/>
      <c r="N52" s="59"/>
      <c r="O52" s="57"/>
      <c r="P52" s="57"/>
      <c r="Q52" s="57"/>
      <c r="R52" s="57"/>
      <c r="S52" s="59"/>
      <c r="T52" s="57"/>
      <c r="U52" s="60"/>
      <c r="V52" s="59"/>
      <c r="W52" s="57"/>
      <c r="X52" s="57"/>
      <c r="Y52" s="57" t="s">
        <v>20</v>
      </c>
      <c r="Z52" s="57" t="s">
        <v>217</v>
      </c>
      <c r="AA52" s="59">
        <v>2387</v>
      </c>
      <c r="AB52" s="57" t="s">
        <v>61</v>
      </c>
      <c r="AC52" s="60">
        <v>45715</v>
      </c>
      <c r="AD52" s="59">
        <v>2387</v>
      </c>
      <c r="AE52" s="57" t="s">
        <v>972</v>
      </c>
      <c r="AF52" s="57" t="s">
        <v>973</v>
      </c>
    </row>
    <row r="53" spans="1:32">
      <c r="A53" s="57">
        <v>52</v>
      </c>
      <c r="B53" s="58">
        <v>45860.348564814813</v>
      </c>
      <c r="C53" s="58">
        <v>45860.379942129628</v>
      </c>
      <c r="D53" s="57" t="s">
        <v>974</v>
      </c>
      <c r="E53" s="57" t="s">
        <v>975</v>
      </c>
      <c r="F53" s="58"/>
      <c r="G53" s="57" t="s">
        <v>499</v>
      </c>
      <c r="H53" s="59">
        <v>2</v>
      </c>
      <c r="I53" s="57"/>
      <c r="J53" s="57"/>
      <c r="K53" s="59"/>
      <c r="L53" s="57"/>
      <c r="M53" s="60"/>
      <c r="N53" s="59"/>
      <c r="O53" s="57"/>
      <c r="P53" s="57"/>
      <c r="Q53" s="57" t="s">
        <v>22</v>
      </c>
      <c r="R53" s="57" t="s">
        <v>165</v>
      </c>
      <c r="S53" s="59">
        <v>32103</v>
      </c>
      <c r="T53" s="57" t="s">
        <v>61</v>
      </c>
      <c r="U53" s="60">
        <v>45785</v>
      </c>
      <c r="V53" s="59">
        <v>32103</v>
      </c>
      <c r="W53" s="57" t="s">
        <v>976</v>
      </c>
      <c r="X53" s="57" t="s">
        <v>977</v>
      </c>
      <c r="Y53" s="57" t="s">
        <v>21</v>
      </c>
      <c r="Z53" s="57" t="s">
        <v>978</v>
      </c>
      <c r="AA53" s="59">
        <v>19492</v>
      </c>
      <c r="AB53" s="57" t="s">
        <v>61</v>
      </c>
      <c r="AC53" s="60">
        <v>45785</v>
      </c>
      <c r="AD53" s="59">
        <v>19492</v>
      </c>
      <c r="AE53" s="57" t="s">
        <v>979</v>
      </c>
      <c r="AF53" s="57" t="s">
        <v>980</v>
      </c>
    </row>
    <row r="54" spans="1:32">
      <c r="A54" s="57">
        <v>53</v>
      </c>
      <c r="B54" s="58">
        <v>45860.355798611112</v>
      </c>
      <c r="C54" s="58">
        <v>45860.39271990741</v>
      </c>
      <c r="D54" s="57" t="s">
        <v>981</v>
      </c>
      <c r="E54" s="57" t="s">
        <v>982</v>
      </c>
      <c r="F54" s="58"/>
      <c r="G54" s="57" t="s">
        <v>628</v>
      </c>
      <c r="H54" s="59">
        <v>1</v>
      </c>
      <c r="I54" s="57"/>
      <c r="J54" s="57"/>
      <c r="K54" s="59"/>
      <c r="L54" s="57"/>
      <c r="M54" s="60"/>
      <c r="N54" s="59"/>
      <c r="O54" s="57"/>
      <c r="P54" s="57"/>
      <c r="Q54" s="57"/>
      <c r="R54" s="57"/>
      <c r="S54" s="59"/>
      <c r="T54" s="57"/>
      <c r="U54" s="60"/>
      <c r="V54" s="59"/>
      <c r="W54" s="57"/>
      <c r="X54" s="57"/>
      <c r="Y54" s="57" t="s">
        <v>21</v>
      </c>
      <c r="Z54" s="57" t="s">
        <v>314</v>
      </c>
      <c r="AA54" s="59">
        <v>5631</v>
      </c>
      <c r="AB54" s="57" t="s">
        <v>61</v>
      </c>
      <c r="AC54" s="60">
        <v>45630</v>
      </c>
      <c r="AD54" s="59">
        <v>5631</v>
      </c>
      <c r="AE54" s="57" t="s">
        <v>983</v>
      </c>
      <c r="AF54" s="57" t="s">
        <v>984</v>
      </c>
    </row>
    <row r="55" spans="1:32">
      <c r="A55" s="57">
        <v>54</v>
      </c>
      <c r="B55" s="58">
        <v>45860.368020833332</v>
      </c>
      <c r="C55" s="58">
        <v>45860.39539351852</v>
      </c>
      <c r="D55" s="57" t="s">
        <v>985</v>
      </c>
      <c r="E55" s="57" t="s">
        <v>986</v>
      </c>
      <c r="F55" s="58"/>
      <c r="G55" s="57" t="s">
        <v>715</v>
      </c>
      <c r="H55" s="59">
        <v>1</v>
      </c>
      <c r="I55" s="57"/>
      <c r="J55" s="57"/>
      <c r="K55" s="59"/>
      <c r="L55" s="57"/>
      <c r="M55" s="60"/>
      <c r="N55" s="59"/>
      <c r="O55" s="57"/>
      <c r="P55" s="57"/>
      <c r="Q55" s="57"/>
      <c r="R55" s="57"/>
      <c r="S55" s="59"/>
      <c r="T55" s="57"/>
      <c r="U55" s="60"/>
      <c r="V55" s="59"/>
      <c r="W55" s="57"/>
      <c r="X55" s="57"/>
      <c r="Y55" s="57" t="s">
        <v>21</v>
      </c>
      <c r="Z55" s="57" t="s">
        <v>987</v>
      </c>
      <c r="AA55" s="59">
        <v>28397</v>
      </c>
      <c r="AB55" s="57" t="s">
        <v>61</v>
      </c>
      <c r="AC55" s="60">
        <v>45831</v>
      </c>
      <c r="AD55" s="59">
        <v>28397</v>
      </c>
      <c r="AE55" s="57" t="s">
        <v>988</v>
      </c>
      <c r="AF55" s="57" t="s">
        <v>989</v>
      </c>
    </row>
    <row r="56" spans="1:32">
      <c r="A56" s="57">
        <v>55</v>
      </c>
      <c r="B56" s="58">
        <v>45860.38726851852</v>
      </c>
      <c r="C56" s="58">
        <v>45860.395636574067</v>
      </c>
      <c r="D56" s="57" t="s">
        <v>990</v>
      </c>
      <c r="E56" s="57" t="s">
        <v>991</v>
      </c>
      <c r="F56" s="58"/>
      <c r="G56" s="57" t="s">
        <v>607</v>
      </c>
      <c r="H56" s="59">
        <v>1</v>
      </c>
      <c r="I56" s="57"/>
      <c r="J56" s="57"/>
      <c r="K56" s="59"/>
      <c r="L56" s="57"/>
      <c r="M56" s="60"/>
      <c r="N56" s="59"/>
      <c r="O56" s="57"/>
      <c r="P56" s="57"/>
      <c r="Q56" s="57"/>
      <c r="R56" s="57"/>
      <c r="S56" s="59"/>
      <c r="T56" s="57"/>
      <c r="U56" s="60"/>
      <c r="V56" s="59"/>
      <c r="W56" s="57"/>
      <c r="X56" s="57"/>
      <c r="Y56" s="57" t="s">
        <v>21</v>
      </c>
      <c r="Z56" s="57" t="s">
        <v>285</v>
      </c>
      <c r="AA56" s="59">
        <v>18566</v>
      </c>
      <c r="AB56" s="57" t="s">
        <v>61</v>
      </c>
      <c r="AC56" s="60">
        <v>45702</v>
      </c>
      <c r="AD56" s="59">
        <v>18566</v>
      </c>
      <c r="AE56" s="57" t="s">
        <v>992</v>
      </c>
      <c r="AF56" s="57" t="s">
        <v>993</v>
      </c>
    </row>
    <row r="57" spans="1:32">
      <c r="A57" s="57">
        <v>56</v>
      </c>
      <c r="B57" s="58">
        <v>45860.398043981477</v>
      </c>
      <c r="C57" s="58">
        <v>45860.398634259262</v>
      </c>
      <c r="D57" s="57" t="s">
        <v>994</v>
      </c>
      <c r="E57" s="57" t="s">
        <v>995</v>
      </c>
      <c r="F57" s="58"/>
      <c r="G57" s="57" t="s">
        <v>720</v>
      </c>
      <c r="H57" s="59">
        <v>1</v>
      </c>
      <c r="I57" s="57"/>
      <c r="J57" s="57"/>
      <c r="K57" s="59"/>
      <c r="L57" s="57"/>
      <c r="M57" s="60"/>
      <c r="N57" s="59"/>
      <c r="O57" s="57"/>
      <c r="P57" s="57"/>
      <c r="Q57" s="57"/>
      <c r="R57" s="57"/>
      <c r="S57" s="59"/>
      <c r="T57" s="57"/>
      <c r="U57" s="60"/>
      <c r="V57" s="59"/>
      <c r="W57" s="57"/>
      <c r="X57" s="57"/>
      <c r="Y57" s="57" t="s">
        <v>21</v>
      </c>
      <c r="Z57" s="57" t="s">
        <v>996</v>
      </c>
      <c r="AA57" s="59">
        <v>54942</v>
      </c>
      <c r="AB57" s="57" t="s">
        <v>61</v>
      </c>
      <c r="AC57" s="60">
        <v>45762</v>
      </c>
      <c r="AD57" s="59">
        <v>54942</v>
      </c>
      <c r="AE57" s="57" t="s">
        <v>997</v>
      </c>
      <c r="AF57" s="57" t="s">
        <v>998</v>
      </c>
    </row>
    <row r="58" spans="1:32">
      <c r="A58" s="57">
        <v>57</v>
      </c>
      <c r="B58" s="58">
        <v>45860.411550925928</v>
      </c>
      <c r="C58" s="58">
        <v>45860.415763888886</v>
      </c>
      <c r="D58" s="57" t="s">
        <v>999</v>
      </c>
      <c r="E58" s="57" t="s">
        <v>1000</v>
      </c>
      <c r="F58" s="58"/>
      <c r="G58" s="57" t="s">
        <v>577</v>
      </c>
      <c r="H58" s="59">
        <v>1</v>
      </c>
      <c r="I58" s="57"/>
      <c r="J58" s="57"/>
      <c r="K58" s="59"/>
      <c r="L58" s="57"/>
      <c r="M58" s="60"/>
      <c r="N58" s="59"/>
      <c r="O58" s="57"/>
      <c r="P58" s="57"/>
      <c r="Q58" s="57"/>
      <c r="R58" s="57"/>
      <c r="S58" s="59"/>
      <c r="T58" s="57"/>
      <c r="U58" s="60"/>
      <c r="V58" s="59"/>
      <c r="W58" s="57"/>
      <c r="X58" s="57"/>
      <c r="Y58" s="57" t="s">
        <v>21</v>
      </c>
      <c r="Z58" s="57" t="s">
        <v>249</v>
      </c>
      <c r="AA58" s="59">
        <v>17716</v>
      </c>
      <c r="AB58" s="57" t="s">
        <v>61</v>
      </c>
      <c r="AC58" s="60">
        <v>45622</v>
      </c>
      <c r="AD58" s="59">
        <v>17716</v>
      </c>
      <c r="AE58" s="57" t="s">
        <v>1001</v>
      </c>
      <c r="AF58" s="57" t="s">
        <v>1002</v>
      </c>
    </row>
    <row r="59" spans="1:32">
      <c r="A59" s="57">
        <v>58</v>
      </c>
      <c r="B59" s="58">
        <v>45860.389745370368</v>
      </c>
      <c r="C59" s="58">
        <v>45860.417372685188</v>
      </c>
      <c r="D59" s="57" t="s">
        <v>1003</v>
      </c>
      <c r="E59" s="57" t="s">
        <v>1004</v>
      </c>
      <c r="F59" s="58"/>
      <c r="G59" s="57" t="s">
        <v>636</v>
      </c>
      <c r="H59" s="59">
        <v>1</v>
      </c>
      <c r="I59" s="57"/>
      <c r="J59" s="57"/>
      <c r="K59" s="59"/>
      <c r="L59" s="57"/>
      <c r="M59" s="60"/>
      <c r="N59" s="59"/>
      <c r="O59" s="57"/>
      <c r="P59" s="57"/>
      <c r="Q59" s="57"/>
      <c r="R59" s="57"/>
      <c r="S59" s="59"/>
      <c r="T59" s="57"/>
      <c r="U59" s="60"/>
      <c r="V59" s="59"/>
      <c r="W59" s="57"/>
      <c r="X59" s="57"/>
      <c r="Y59" s="57" t="s">
        <v>22</v>
      </c>
      <c r="Z59" s="57" t="s">
        <v>329</v>
      </c>
      <c r="AA59" s="59">
        <v>1111</v>
      </c>
      <c r="AB59" s="57" t="s">
        <v>61</v>
      </c>
      <c r="AC59" s="60">
        <v>45712</v>
      </c>
      <c r="AD59" s="59">
        <v>1111</v>
      </c>
      <c r="AE59" s="57" t="s">
        <v>1005</v>
      </c>
      <c r="AF59" s="57" t="s">
        <v>1006</v>
      </c>
    </row>
    <row r="60" spans="1:32">
      <c r="A60" s="57">
        <v>59</v>
      </c>
      <c r="B60" s="58">
        <v>45860.418263888889</v>
      </c>
      <c r="C60" s="58">
        <v>45860.419212962966</v>
      </c>
      <c r="D60" s="57" t="s">
        <v>1007</v>
      </c>
      <c r="E60" s="57" t="s">
        <v>1008</v>
      </c>
      <c r="F60" s="58"/>
      <c r="G60" s="57" t="s">
        <v>528</v>
      </c>
      <c r="H60" s="59">
        <v>2</v>
      </c>
      <c r="I60" s="57"/>
      <c r="J60" s="57"/>
      <c r="K60" s="59"/>
      <c r="L60" s="57"/>
      <c r="M60" s="60"/>
      <c r="N60" s="59"/>
      <c r="O60" s="57"/>
      <c r="P60" s="57"/>
      <c r="Q60" s="57" t="s">
        <v>22</v>
      </c>
      <c r="R60" s="57" t="s">
        <v>195</v>
      </c>
      <c r="S60" s="59">
        <v>40912</v>
      </c>
      <c r="T60" s="57" t="s">
        <v>61</v>
      </c>
      <c r="U60" s="60">
        <v>45820</v>
      </c>
      <c r="V60" s="59">
        <v>40912</v>
      </c>
      <c r="W60" s="57" t="s">
        <v>1009</v>
      </c>
      <c r="X60" s="57" t="s">
        <v>1010</v>
      </c>
      <c r="Y60" s="57" t="s">
        <v>20</v>
      </c>
      <c r="Z60" s="57" t="s">
        <v>1011</v>
      </c>
      <c r="AA60" s="59">
        <v>46564</v>
      </c>
      <c r="AB60" s="57" t="s">
        <v>61</v>
      </c>
      <c r="AC60" s="60">
        <v>45820</v>
      </c>
      <c r="AD60" s="59">
        <v>46564</v>
      </c>
      <c r="AE60" s="57" t="s">
        <v>1012</v>
      </c>
      <c r="AF60" s="57" t="s">
        <v>1013</v>
      </c>
    </row>
    <row r="61" spans="1:32">
      <c r="A61" s="57">
        <v>60</v>
      </c>
      <c r="B61" s="58">
        <v>45860.429548611108</v>
      </c>
      <c r="C61" s="58">
        <v>45860.436493055553</v>
      </c>
      <c r="D61" s="57" t="s">
        <v>1014</v>
      </c>
      <c r="E61" s="57" t="s">
        <v>1015</v>
      </c>
      <c r="F61" s="58"/>
      <c r="G61" s="57" t="s">
        <v>623</v>
      </c>
      <c r="H61" s="59">
        <v>1</v>
      </c>
      <c r="I61" s="57"/>
      <c r="J61" s="57"/>
      <c r="K61" s="59"/>
      <c r="L61" s="57"/>
      <c r="M61" s="60"/>
      <c r="N61" s="59"/>
      <c r="O61" s="57"/>
      <c r="P61" s="57"/>
      <c r="Q61" s="57"/>
      <c r="R61" s="57"/>
      <c r="S61" s="59"/>
      <c r="T61" s="57"/>
      <c r="U61" s="60"/>
      <c r="V61" s="59"/>
      <c r="W61" s="57"/>
      <c r="X61" s="57"/>
      <c r="Y61" s="57" t="s">
        <v>20</v>
      </c>
      <c r="Z61" s="57" t="s">
        <v>305</v>
      </c>
      <c r="AA61" s="59">
        <v>17996</v>
      </c>
      <c r="AB61" s="57" t="s">
        <v>61</v>
      </c>
      <c r="AC61" s="60">
        <v>45728</v>
      </c>
      <c r="AD61" s="59">
        <v>17996</v>
      </c>
      <c r="AE61" s="57" t="s">
        <v>1016</v>
      </c>
      <c r="AF61" s="57" t="s">
        <v>1017</v>
      </c>
    </row>
    <row r="62" spans="1:32">
      <c r="A62" s="57">
        <v>61</v>
      </c>
      <c r="B62" s="58">
        <v>45860.443842592591</v>
      </c>
      <c r="C62" s="58">
        <v>45860.444756944453</v>
      </c>
      <c r="D62" s="57" t="s">
        <v>1018</v>
      </c>
      <c r="E62" s="57" t="s">
        <v>1019</v>
      </c>
      <c r="F62" s="58"/>
      <c r="G62" s="57" t="s">
        <v>472</v>
      </c>
      <c r="H62" s="59">
        <v>1</v>
      </c>
      <c r="I62" s="57"/>
      <c r="J62" s="57"/>
      <c r="K62" s="59"/>
      <c r="L62" s="57"/>
      <c r="M62" s="60"/>
      <c r="N62" s="59"/>
      <c r="O62" s="57"/>
      <c r="P62" s="57"/>
      <c r="Q62" s="57"/>
      <c r="R62" s="57"/>
      <c r="S62" s="59"/>
      <c r="T62" s="57"/>
      <c r="U62" s="60"/>
      <c r="V62" s="59"/>
      <c r="W62" s="57"/>
      <c r="X62" s="57"/>
      <c r="Y62" s="57" t="s">
        <v>20</v>
      </c>
      <c r="Z62" s="57" t="s">
        <v>138</v>
      </c>
      <c r="AA62" s="59">
        <v>46367</v>
      </c>
      <c r="AB62" s="57" t="s">
        <v>61</v>
      </c>
      <c r="AC62" s="60">
        <v>45702</v>
      </c>
      <c r="AD62" s="59">
        <v>46367</v>
      </c>
      <c r="AE62" s="57" t="s">
        <v>1020</v>
      </c>
      <c r="AF62" s="57" t="s">
        <v>1021</v>
      </c>
    </row>
    <row r="63" spans="1:32">
      <c r="A63" s="57">
        <v>62</v>
      </c>
      <c r="B63" s="58">
        <v>45860.448518518519</v>
      </c>
      <c r="C63" s="58">
        <v>45860.450937499998</v>
      </c>
      <c r="D63" s="57" t="s">
        <v>1022</v>
      </c>
      <c r="E63" s="57" t="s">
        <v>1023</v>
      </c>
      <c r="F63" s="58"/>
      <c r="G63" s="57" t="s">
        <v>589</v>
      </c>
      <c r="H63" s="59">
        <v>1</v>
      </c>
      <c r="I63" s="57"/>
      <c r="J63" s="57"/>
      <c r="K63" s="59"/>
      <c r="L63" s="57"/>
      <c r="M63" s="60"/>
      <c r="N63" s="59"/>
      <c r="O63" s="57"/>
      <c r="P63" s="57"/>
      <c r="Q63" s="57"/>
      <c r="R63" s="57"/>
      <c r="S63" s="59"/>
      <c r="T63" s="57"/>
      <c r="U63" s="60"/>
      <c r="V63" s="59"/>
      <c r="W63" s="57"/>
      <c r="X63" s="57"/>
      <c r="Y63" s="57" t="s">
        <v>21</v>
      </c>
      <c r="Z63" s="57" t="s">
        <v>263</v>
      </c>
      <c r="AA63" s="59">
        <v>14294</v>
      </c>
      <c r="AB63" s="57" t="s">
        <v>61</v>
      </c>
      <c r="AC63" s="60">
        <v>45827</v>
      </c>
      <c r="AD63" s="59">
        <v>14294</v>
      </c>
      <c r="AE63" s="57" t="s">
        <v>1024</v>
      </c>
      <c r="AF63" s="57" t="s">
        <v>1025</v>
      </c>
    </row>
    <row r="64" spans="1:32">
      <c r="A64" s="57">
        <v>63</v>
      </c>
      <c r="B64" s="58">
        <v>45860.461099537039</v>
      </c>
      <c r="C64" s="58">
        <v>45860.46539351852</v>
      </c>
      <c r="D64" s="57" t="s">
        <v>1026</v>
      </c>
      <c r="E64" s="57" t="s">
        <v>1027</v>
      </c>
      <c r="F64" s="58"/>
      <c r="G64" s="57" t="s">
        <v>478</v>
      </c>
      <c r="H64" s="59">
        <v>1</v>
      </c>
      <c r="I64" s="57"/>
      <c r="J64" s="57"/>
      <c r="K64" s="59"/>
      <c r="L64" s="57"/>
      <c r="M64" s="60"/>
      <c r="N64" s="59"/>
      <c r="O64" s="57"/>
      <c r="P64" s="57"/>
      <c r="Q64" s="57"/>
      <c r="R64" s="57"/>
      <c r="S64" s="59"/>
      <c r="T64" s="57"/>
      <c r="U64" s="60"/>
      <c r="V64" s="59"/>
      <c r="W64" s="57"/>
      <c r="X64" s="57"/>
      <c r="Y64" s="57" t="s">
        <v>20</v>
      </c>
      <c r="Z64" s="57" t="s">
        <v>144</v>
      </c>
      <c r="AA64" s="59">
        <v>53710</v>
      </c>
      <c r="AB64" s="57" t="s">
        <v>61</v>
      </c>
      <c r="AC64" s="60">
        <v>45815</v>
      </c>
      <c r="AD64" s="59">
        <v>53710</v>
      </c>
      <c r="AE64" s="57" t="s">
        <v>1028</v>
      </c>
      <c r="AF64" s="57" t="s">
        <v>1029</v>
      </c>
    </row>
    <row r="65" spans="1:32">
      <c r="A65" s="57">
        <v>64</v>
      </c>
      <c r="B65" s="58">
        <v>45860.467453703714</v>
      </c>
      <c r="C65" s="58">
        <v>45860.47115740741</v>
      </c>
      <c r="D65" s="57" t="s">
        <v>1030</v>
      </c>
      <c r="E65" s="57" t="s">
        <v>1031</v>
      </c>
      <c r="F65" s="58"/>
      <c r="G65" s="57" t="s">
        <v>687</v>
      </c>
      <c r="H65" s="59">
        <v>1</v>
      </c>
      <c r="I65" s="57"/>
      <c r="J65" s="57"/>
      <c r="K65" s="59"/>
      <c r="L65" s="57"/>
      <c r="M65" s="60"/>
      <c r="N65" s="59"/>
      <c r="O65" s="57"/>
      <c r="P65" s="57"/>
      <c r="Q65" s="57"/>
      <c r="R65" s="57"/>
      <c r="S65" s="59"/>
      <c r="T65" s="57"/>
      <c r="U65" s="60"/>
      <c r="V65" s="59"/>
      <c r="W65" s="57"/>
      <c r="X65" s="57"/>
      <c r="Y65" s="57" t="s">
        <v>21</v>
      </c>
      <c r="Z65" s="57" t="s">
        <v>1032</v>
      </c>
      <c r="AA65" s="59">
        <v>48828</v>
      </c>
      <c r="AB65" s="57" t="s">
        <v>61</v>
      </c>
      <c r="AC65" s="60">
        <v>45860</v>
      </c>
      <c r="AD65" s="59">
        <v>48828</v>
      </c>
      <c r="AE65" s="57" t="s">
        <v>1033</v>
      </c>
      <c r="AF65" s="57" t="s">
        <v>1034</v>
      </c>
    </row>
    <row r="66" spans="1:32">
      <c r="A66" s="57">
        <v>65</v>
      </c>
      <c r="B66" s="58">
        <v>45860.480983796297</v>
      </c>
      <c r="C66" s="58">
        <v>45860.481469907398</v>
      </c>
      <c r="D66" s="57" t="s">
        <v>1035</v>
      </c>
      <c r="E66" s="57" t="s">
        <v>1036</v>
      </c>
      <c r="F66" s="58"/>
      <c r="G66" s="57" t="s">
        <v>695</v>
      </c>
      <c r="H66" s="59">
        <v>1</v>
      </c>
      <c r="I66" s="57"/>
      <c r="J66" s="57"/>
      <c r="K66" s="59"/>
      <c r="L66" s="57"/>
      <c r="M66" s="60"/>
      <c r="N66" s="59"/>
      <c r="O66" s="57"/>
      <c r="P66" s="57"/>
      <c r="Q66" s="57"/>
      <c r="R66" s="57"/>
      <c r="S66" s="59"/>
      <c r="T66" s="57"/>
      <c r="U66" s="60"/>
      <c r="V66" s="59"/>
      <c r="W66" s="57"/>
      <c r="X66" s="57"/>
      <c r="Y66" s="57" t="s">
        <v>21</v>
      </c>
      <c r="Z66" s="57" t="s">
        <v>1037</v>
      </c>
      <c r="AA66" s="59">
        <v>80255</v>
      </c>
      <c r="AB66" s="57" t="s">
        <v>61</v>
      </c>
      <c r="AC66" s="60">
        <v>45793</v>
      </c>
      <c r="AD66" s="59">
        <v>80255</v>
      </c>
      <c r="AE66" s="57" t="s">
        <v>1038</v>
      </c>
      <c r="AF66" s="57" t="s">
        <v>1039</v>
      </c>
    </row>
    <row r="67" spans="1:32">
      <c r="A67" s="57">
        <v>66</v>
      </c>
      <c r="B67" s="58">
        <v>45860.477743055562</v>
      </c>
      <c r="C67" s="58">
        <v>45860.497650462959</v>
      </c>
      <c r="D67" s="57" t="s">
        <v>1040</v>
      </c>
      <c r="E67" s="57" t="s">
        <v>1041</v>
      </c>
      <c r="F67" s="58"/>
      <c r="G67" s="57" t="s">
        <v>719</v>
      </c>
      <c r="H67" s="59">
        <v>1</v>
      </c>
      <c r="I67" s="57"/>
      <c r="J67" s="57"/>
      <c r="K67" s="59"/>
      <c r="L67" s="57"/>
      <c r="M67" s="60"/>
      <c r="N67" s="59"/>
      <c r="O67" s="57"/>
      <c r="P67" s="57"/>
      <c r="Q67" s="57"/>
      <c r="R67" s="57"/>
      <c r="S67" s="59"/>
      <c r="T67" s="57"/>
      <c r="U67" s="60"/>
      <c r="V67" s="59"/>
      <c r="W67" s="57"/>
      <c r="X67" s="57"/>
      <c r="Y67" s="57" t="s">
        <v>21</v>
      </c>
      <c r="Z67" s="57" t="s">
        <v>1042</v>
      </c>
      <c r="AA67" s="59">
        <v>50874</v>
      </c>
      <c r="AB67" s="57" t="s">
        <v>61</v>
      </c>
      <c r="AC67" s="60">
        <v>45723</v>
      </c>
      <c r="AD67" s="59">
        <v>50874</v>
      </c>
      <c r="AE67" s="57" t="s">
        <v>1043</v>
      </c>
      <c r="AF67" s="57" t="s">
        <v>1044</v>
      </c>
    </row>
    <row r="68" spans="1:32">
      <c r="A68" s="57">
        <v>67</v>
      </c>
      <c r="B68" s="58">
        <v>45860.510185185187</v>
      </c>
      <c r="C68" s="58">
        <v>45860.512766203698</v>
      </c>
      <c r="D68" s="57" t="s">
        <v>1045</v>
      </c>
      <c r="E68" s="57" t="s">
        <v>1046</v>
      </c>
      <c r="F68" s="58"/>
      <c r="G68" s="57" t="s">
        <v>610</v>
      </c>
      <c r="H68" s="59">
        <v>1</v>
      </c>
      <c r="I68" s="57"/>
      <c r="J68" s="57"/>
      <c r="K68" s="59"/>
      <c r="L68" s="57"/>
      <c r="M68" s="60"/>
      <c r="N68" s="59"/>
      <c r="O68" s="57"/>
      <c r="P68" s="57"/>
      <c r="Q68" s="57"/>
      <c r="R68" s="57"/>
      <c r="S68" s="59"/>
      <c r="T68" s="57"/>
      <c r="U68" s="60"/>
      <c r="V68" s="59"/>
      <c r="W68" s="57"/>
      <c r="X68" s="57"/>
      <c r="Y68" s="57" t="s">
        <v>21</v>
      </c>
      <c r="Z68" s="57" t="s">
        <v>1047</v>
      </c>
      <c r="AA68" s="59">
        <v>21746</v>
      </c>
      <c r="AB68" s="57" t="s">
        <v>61</v>
      </c>
      <c r="AC68" s="60">
        <v>45667</v>
      </c>
      <c r="AD68" s="59">
        <v>21746</v>
      </c>
      <c r="AE68" s="57" t="s">
        <v>1048</v>
      </c>
      <c r="AF68" s="57" t="s">
        <v>1049</v>
      </c>
    </row>
    <row r="69" spans="1:32">
      <c r="A69" s="57">
        <v>68</v>
      </c>
      <c r="B69" s="58">
        <v>45860.52144675926</v>
      </c>
      <c r="C69" s="58">
        <v>45860.524884259263</v>
      </c>
      <c r="D69" s="57" t="s">
        <v>1050</v>
      </c>
      <c r="E69" s="57" t="s">
        <v>1051</v>
      </c>
      <c r="F69" s="58"/>
      <c r="G69" s="57" t="s">
        <v>590</v>
      </c>
      <c r="H69" s="59">
        <v>2</v>
      </c>
      <c r="I69" s="57"/>
      <c r="J69" s="57"/>
      <c r="K69" s="59"/>
      <c r="L69" s="57"/>
      <c r="M69" s="60"/>
      <c r="N69" s="59"/>
      <c r="O69" s="57"/>
      <c r="P69" s="57"/>
      <c r="Q69" s="57" t="s">
        <v>22</v>
      </c>
      <c r="R69" s="57" t="s">
        <v>1052</v>
      </c>
      <c r="S69" s="59">
        <v>25498</v>
      </c>
      <c r="T69" s="57" t="s">
        <v>61</v>
      </c>
      <c r="U69" s="60">
        <v>45780</v>
      </c>
      <c r="V69" s="59">
        <v>25498</v>
      </c>
      <c r="W69" s="57" t="s">
        <v>1053</v>
      </c>
      <c r="X69" s="57" t="s">
        <v>1054</v>
      </c>
      <c r="Y69" s="57" t="s">
        <v>20</v>
      </c>
      <c r="Z69" s="57" t="s">
        <v>1055</v>
      </c>
      <c r="AA69" s="59">
        <v>44165</v>
      </c>
      <c r="AB69" s="57" t="s">
        <v>61</v>
      </c>
      <c r="AC69" s="60">
        <v>45759</v>
      </c>
      <c r="AD69" s="59">
        <v>44165</v>
      </c>
      <c r="AE69" s="57" t="s">
        <v>1056</v>
      </c>
      <c r="AF69" s="57" t="s">
        <v>1057</v>
      </c>
    </row>
    <row r="70" spans="1:32">
      <c r="A70" s="57">
        <v>69</v>
      </c>
      <c r="B70" s="58">
        <v>45860.527349537027</v>
      </c>
      <c r="C70" s="58">
        <v>45860.530555555553</v>
      </c>
      <c r="D70" s="57" t="s">
        <v>1058</v>
      </c>
      <c r="E70" s="57" t="s">
        <v>1059</v>
      </c>
      <c r="F70" s="58"/>
      <c r="G70" s="57" t="s">
        <v>467</v>
      </c>
      <c r="H70" s="59">
        <v>2</v>
      </c>
      <c r="I70" s="57"/>
      <c r="J70" s="57"/>
      <c r="K70" s="59"/>
      <c r="L70" s="57"/>
      <c r="M70" s="60"/>
      <c r="N70" s="59"/>
      <c r="O70" s="57"/>
      <c r="P70" s="57"/>
      <c r="Q70" s="57" t="s">
        <v>22</v>
      </c>
      <c r="R70" s="57" t="s">
        <v>133</v>
      </c>
      <c r="S70" s="59">
        <v>49867</v>
      </c>
      <c r="T70" s="57" t="s">
        <v>61</v>
      </c>
      <c r="U70" s="60">
        <v>45850</v>
      </c>
      <c r="V70" s="59">
        <v>49867</v>
      </c>
      <c r="W70" s="57" t="s">
        <v>1060</v>
      </c>
      <c r="X70" s="57" t="s">
        <v>1061</v>
      </c>
      <c r="Y70" s="57" t="s">
        <v>21</v>
      </c>
      <c r="Z70" s="57" t="s">
        <v>176</v>
      </c>
      <c r="AA70" s="59">
        <v>33914</v>
      </c>
      <c r="AB70" s="57" t="s">
        <v>61</v>
      </c>
      <c r="AC70" s="60">
        <v>45797</v>
      </c>
      <c r="AD70" s="59">
        <v>33914</v>
      </c>
      <c r="AE70" s="57" t="s">
        <v>1062</v>
      </c>
      <c r="AF70" s="57" t="s">
        <v>1063</v>
      </c>
    </row>
    <row r="71" spans="1:32">
      <c r="A71" s="57">
        <v>70</v>
      </c>
      <c r="B71" s="58">
        <v>45860.560173611113</v>
      </c>
      <c r="C71" s="58">
        <v>45860.560532407413</v>
      </c>
      <c r="D71" s="57" t="s">
        <v>1064</v>
      </c>
      <c r="E71" s="57" t="s">
        <v>1065</v>
      </c>
      <c r="F71" s="58"/>
      <c r="G71" s="57" t="s">
        <v>544</v>
      </c>
      <c r="H71" s="59">
        <v>1</v>
      </c>
      <c r="I71" s="57"/>
      <c r="J71" s="57"/>
      <c r="K71" s="59"/>
      <c r="L71" s="57"/>
      <c r="M71" s="60"/>
      <c r="N71" s="59"/>
      <c r="O71" s="57"/>
      <c r="P71" s="57"/>
      <c r="Q71" s="57"/>
      <c r="R71" s="57"/>
      <c r="S71" s="59"/>
      <c r="T71" s="57"/>
      <c r="U71" s="60"/>
      <c r="V71" s="59"/>
      <c r="W71" s="57"/>
      <c r="X71" s="57"/>
      <c r="Y71" s="57" t="s">
        <v>21</v>
      </c>
      <c r="Z71" s="57" t="s">
        <v>213</v>
      </c>
      <c r="AA71" s="59">
        <v>37013</v>
      </c>
      <c r="AB71" s="57" t="s">
        <v>61</v>
      </c>
      <c r="AC71" s="60">
        <v>45810</v>
      </c>
      <c r="AD71" s="59">
        <v>37013</v>
      </c>
      <c r="AE71" s="57" t="s">
        <v>1066</v>
      </c>
      <c r="AF71" s="57" t="s">
        <v>1067</v>
      </c>
    </row>
    <row r="72" spans="1:32">
      <c r="A72" s="57">
        <v>71</v>
      </c>
      <c r="B72" s="58">
        <v>45860.547303240739</v>
      </c>
      <c r="C72" s="58">
        <v>45860.562106481477</v>
      </c>
      <c r="D72" s="57" t="s">
        <v>1068</v>
      </c>
      <c r="E72" s="57" t="s">
        <v>1069</v>
      </c>
      <c r="F72" s="58"/>
      <c r="G72" s="57" t="s">
        <v>485</v>
      </c>
      <c r="H72" s="59">
        <v>3</v>
      </c>
      <c r="I72" s="57" t="s">
        <v>21</v>
      </c>
      <c r="J72" s="57" t="s">
        <v>151</v>
      </c>
      <c r="K72" s="59">
        <v>28976</v>
      </c>
      <c r="L72" s="57" t="s">
        <v>61</v>
      </c>
      <c r="M72" s="60">
        <v>45764</v>
      </c>
      <c r="N72" s="59">
        <v>28976</v>
      </c>
      <c r="O72" s="57" t="s">
        <v>1070</v>
      </c>
      <c r="P72" s="57" t="s">
        <v>1071</v>
      </c>
      <c r="Q72" s="57" t="s">
        <v>22</v>
      </c>
      <c r="R72" s="57" t="s">
        <v>1072</v>
      </c>
      <c r="S72" s="59">
        <v>100155</v>
      </c>
      <c r="T72" s="57" t="s">
        <v>61</v>
      </c>
      <c r="U72" s="60">
        <v>45761</v>
      </c>
      <c r="V72" s="59">
        <v>100155</v>
      </c>
      <c r="W72" s="57" t="s">
        <v>1073</v>
      </c>
      <c r="X72" s="57" t="s">
        <v>1074</v>
      </c>
      <c r="Y72" s="57" t="s">
        <v>22</v>
      </c>
      <c r="Z72" s="57" t="s">
        <v>1075</v>
      </c>
      <c r="AA72" s="59">
        <v>35177</v>
      </c>
      <c r="AB72" s="57" t="s">
        <v>61</v>
      </c>
      <c r="AC72" s="60">
        <v>45681</v>
      </c>
      <c r="AD72" s="59">
        <v>35177</v>
      </c>
      <c r="AE72" s="57" t="s">
        <v>1076</v>
      </c>
      <c r="AF72" s="57" t="s">
        <v>1077</v>
      </c>
    </row>
    <row r="73" spans="1:32">
      <c r="A73" s="57">
        <v>72</v>
      </c>
      <c r="B73" s="58">
        <v>45860.562303240738</v>
      </c>
      <c r="C73" s="58">
        <v>45860.569282407407</v>
      </c>
      <c r="D73" s="57" t="s">
        <v>1078</v>
      </c>
      <c r="E73" s="57" t="s">
        <v>1079</v>
      </c>
      <c r="F73" s="58"/>
      <c r="G73" s="57" t="s">
        <v>456</v>
      </c>
      <c r="H73" s="59">
        <v>2</v>
      </c>
      <c r="I73" s="57"/>
      <c r="J73" s="57"/>
      <c r="K73" s="59"/>
      <c r="L73" s="57"/>
      <c r="M73" s="60"/>
      <c r="N73" s="59"/>
      <c r="O73" s="57"/>
      <c r="P73" s="57"/>
      <c r="Q73" s="57" t="s">
        <v>22</v>
      </c>
      <c r="R73" s="57" t="s">
        <v>132</v>
      </c>
      <c r="S73" s="59">
        <v>38560</v>
      </c>
      <c r="T73" s="57" t="s">
        <v>61</v>
      </c>
      <c r="U73" s="60">
        <v>45722</v>
      </c>
      <c r="V73" s="59">
        <v>38560</v>
      </c>
      <c r="W73" s="57" t="s">
        <v>1080</v>
      </c>
      <c r="X73" s="57" t="s">
        <v>1081</v>
      </c>
      <c r="Y73" s="57" t="s">
        <v>20</v>
      </c>
      <c r="Z73" s="57" t="s">
        <v>122</v>
      </c>
      <c r="AA73" s="59">
        <v>42798</v>
      </c>
      <c r="AB73" s="57" t="s">
        <v>61</v>
      </c>
      <c r="AC73" s="60">
        <v>45800</v>
      </c>
      <c r="AD73" s="59">
        <v>42798</v>
      </c>
      <c r="AE73" s="57" t="s">
        <v>1082</v>
      </c>
      <c r="AF73" s="57" t="s">
        <v>1083</v>
      </c>
    </row>
    <row r="74" spans="1:32">
      <c r="A74" s="57">
        <v>73</v>
      </c>
      <c r="B74" s="58">
        <v>45860.570150462961</v>
      </c>
      <c r="C74" s="58">
        <v>45860.574178240742</v>
      </c>
      <c r="D74" s="57" t="s">
        <v>1084</v>
      </c>
      <c r="E74" s="57" t="s">
        <v>1085</v>
      </c>
      <c r="F74" s="58"/>
      <c r="G74" s="57" t="s">
        <v>532</v>
      </c>
      <c r="H74" s="59">
        <v>3</v>
      </c>
      <c r="I74" s="57" t="s">
        <v>22</v>
      </c>
      <c r="J74" s="57" t="s">
        <v>200</v>
      </c>
      <c r="K74" s="59">
        <v>99715</v>
      </c>
      <c r="L74" s="57" t="s">
        <v>61</v>
      </c>
      <c r="M74" s="60">
        <v>45808</v>
      </c>
      <c r="N74" s="59">
        <v>99715</v>
      </c>
      <c r="O74" s="57" t="s">
        <v>1086</v>
      </c>
      <c r="P74" s="57" t="s">
        <v>1087</v>
      </c>
      <c r="Q74" s="57" t="s">
        <v>21</v>
      </c>
      <c r="R74" s="57" t="s">
        <v>1088</v>
      </c>
      <c r="S74" s="59">
        <v>81851</v>
      </c>
      <c r="T74" s="57" t="s">
        <v>61</v>
      </c>
      <c r="U74" s="60">
        <v>45812</v>
      </c>
      <c r="V74" s="59">
        <v>81851</v>
      </c>
      <c r="W74" s="57" t="s">
        <v>1089</v>
      </c>
      <c r="X74" s="57" t="s">
        <v>1090</v>
      </c>
      <c r="Y74" s="57" t="s">
        <v>21</v>
      </c>
      <c r="Z74" s="57" t="s">
        <v>379</v>
      </c>
      <c r="AA74" s="59">
        <v>1389</v>
      </c>
      <c r="AB74" s="57" t="s">
        <v>61</v>
      </c>
      <c r="AC74" s="60">
        <v>45808</v>
      </c>
      <c r="AD74" s="59">
        <v>1389</v>
      </c>
      <c r="AE74" s="57" t="s">
        <v>1091</v>
      </c>
      <c r="AF74" s="57" t="s">
        <v>1092</v>
      </c>
    </row>
    <row r="75" spans="1:32">
      <c r="A75" s="57">
        <v>74</v>
      </c>
      <c r="B75" s="58">
        <v>45860.58084490741</v>
      </c>
      <c r="C75" s="58">
        <v>45860.583287037043</v>
      </c>
      <c r="D75" s="57" t="s">
        <v>1093</v>
      </c>
      <c r="E75" s="57" t="s">
        <v>1094</v>
      </c>
      <c r="F75" s="58"/>
      <c r="G75" s="57" t="s">
        <v>617</v>
      </c>
      <c r="H75" s="59">
        <v>1</v>
      </c>
      <c r="I75" s="57"/>
      <c r="J75" s="57"/>
      <c r="K75" s="59"/>
      <c r="L75" s="57"/>
      <c r="M75" s="60"/>
      <c r="N75" s="59"/>
      <c r="O75" s="57"/>
      <c r="P75" s="57"/>
      <c r="Q75" s="57"/>
      <c r="R75" s="57"/>
      <c r="S75" s="59"/>
      <c r="T75" s="57"/>
      <c r="U75" s="60"/>
      <c r="V75" s="59"/>
      <c r="W75" s="57"/>
      <c r="X75" s="57"/>
      <c r="Y75" s="57" t="s">
        <v>20</v>
      </c>
      <c r="Z75" s="57" t="s">
        <v>298</v>
      </c>
      <c r="AA75" s="59">
        <v>31646</v>
      </c>
      <c r="AB75" s="57" t="s">
        <v>61</v>
      </c>
      <c r="AC75" s="60">
        <v>45845</v>
      </c>
      <c r="AD75" s="59">
        <v>31646</v>
      </c>
      <c r="AE75" s="57" t="s">
        <v>1095</v>
      </c>
      <c r="AF75" s="57" t="s">
        <v>1096</v>
      </c>
    </row>
    <row r="76" spans="1:32">
      <c r="A76" s="57">
        <v>75</v>
      </c>
      <c r="B76" s="58">
        <v>45860.58152777778</v>
      </c>
      <c r="C76" s="58">
        <v>45860.588206018518</v>
      </c>
      <c r="D76" s="57" t="s">
        <v>1097</v>
      </c>
      <c r="E76" s="57" t="s">
        <v>1098</v>
      </c>
      <c r="F76" s="58"/>
      <c r="G76" s="57" t="s">
        <v>495</v>
      </c>
      <c r="H76" s="59">
        <v>1</v>
      </c>
      <c r="I76" s="57"/>
      <c r="J76" s="57"/>
      <c r="K76" s="59"/>
      <c r="L76" s="57"/>
      <c r="M76" s="60"/>
      <c r="N76" s="59"/>
      <c r="O76" s="57"/>
      <c r="P76" s="57"/>
      <c r="Q76" s="57"/>
      <c r="R76" s="57"/>
      <c r="S76" s="59"/>
      <c r="T76" s="57"/>
      <c r="U76" s="60"/>
      <c r="V76" s="59"/>
      <c r="W76" s="57"/>
      <c r="X76" s="57"/>
      <c r="Y76" s="57" t="s">
        <v>21</v>
      </c>
      <c r="Z76" s="57" t="s">
        <v>161</v>
      </c>
      <c r="AA76" s="59">
        <v>25746</v>
      </c>
      <c r="AB76" s="57" t="s">
        <v>61</v>
      </c>
      <c r="AC76" s="60">
        <v>45841</v>
      </c>
      <c r="AD76" s="59">
        <v>25746</v>
      </c>
      <c r="AE76" s="57" t="s">
        <v>1099</v>
      </c>
      <c r="AF76" s="57" t="s">
        <v>1100</v>
      </c>
    </row>
    <row r="77" spans="1:32">
      <c r="A77" s="57">
        <v>76</v>
      </c>
      <c r="B77" s="58">
        <v>45860.593310185177</v>
      </c>
      <c r="C77" s="58">
        <v>45860.595300925917</v>
      </c>
      <c r="D77" s="57" t="s">
        <v>1101</v>
      </c>
      <c r="E77" s="57" t="s">
        <v>1102</v>
      </c>
      <c r="F77" s="58"/>
      <c r="G77" s="57" t="s">
        <v>574</v>
      </c>
      <c r="H77" s="59">
        <v>1</v>
      </c>
      <c r="I77" s="57"/>
      <c r="J77" s="57"/>
      <c r="K77" s="59"/>
      <c r="L77" s="57"/>
      <c r="M77" s="60"/>
      <c r="N77" s="59"/>
      <c r="O77" s="57"/>
      <c r="P77" s="57"/>
      <c r="Q77" s="57"/>
      <c r="R77" s="57"/>
      <c r="S77" s="59"/>
      <c r="T77" s="57"/>
      <c r="U77" s="60"/>
      <c r="V77" s="59"/>
      <c r="W77" s="57"/>
      <c r="X77" s="57"/>
      <c r="Y77" s="57" t="s">
        <v>21</v>
      </c>
      <c r="Z77" s="57" t="s">
        <v>246</v>
      </c>
      <c r="AA77" s="59">
        <v>24920</v>
      </c>
      <c r="AB77" s="57" t="s">
        <v>61</v>
      </c>
      <c r="AC77" s="60">
        <v>45710</v>
      </c>
      <c r="AD77" s="59">
        <v>24920</v>
      </c>
      <c r="AE77" s="57" t="s">
        <v>1103</v>
      </c>
      <c r="AF77" s="57" t="s">
        <v>1104</v>
      </c>
    </row>
    <row r="78" spans="1:32">
      <c r="A78" s="57">
        <v>77</v>
      </c>
      <c r="B78" s="58">
        <v>45860.597407407397</v>
      </c>
      <c r="C78" s="58">
        <v>45860.599560185183</v>
      </c>
      <c r="D78" s="57" t="s">
        <v>1105</v>
      </c>
      <c r="E78" s="57" t="s">
        <v>1106</v>
      </c>
      <c r="F78" s="58"/>
      <c r="G78" s="57" t="s">
        <v>652</v>
      </c>
      <c r="H78" s="59">
        <v>1</v>
      </c>
      <c r="I78" s="57"/>
      <c r="J78" s="57"/>
      <c r="K78" s="59"/>
      <c r="L78" s="57"/>
      <c r="M78" s="60"/>
      <c r="N78" s="59"/>
      <c r="O78" s="57"/>
      <c r="P78" s="57"/>
      <c r="Q78" s="57"/>
      <c r="R78" s="57"/>
      <c r="S78" s="59"/>
      <c r="T78" s="57"/>
      <c r="U78" s="60"/>
      <c r="V78" s="59"/>
      <c r="W78" s="57"/>
      <c r="X78" s="57"/>
      <c r="Y78" s="57" t="s">
        <v>21</v>
      </c>
      <c r="Z78" s="57" t="s">
        <v>350</v>
      </c>
      <c r="AA78" s="59">
        <v>4645</v>
      </c>
      <c r="AB78" s="57" t="s">
        <v>61</v>
      </c>
      <c r="AC78" s="60">
        <v>45735</v>
      </c>
      <c r="AD78" s="59">
        <v>4645</v>
      </c>
      <c r="AE78" s="57" t="s">
        <v>1107</v>
      </c>
      <c r="AF78" s="57" t="s">
        <v>1108</v>
      </c>
    </row>
    <row r="79" spans="1:32">
      <c r="A79" s="57">
        <v>78</v>
      </c>
      <c r="B79" s="58">
        <v>45860.60125</v>
      </c>
      <c r="C79" s="58">
        <v>45860.60355324074</v>
      </c>
      <c r="D79" s="57" t="s">
        <v>1109</v>
      </c>
      <c r="E79" s="57" t="s">
        <v>1110</v>
      </c>
      <c r="F79" s="58"/>
      <c r="G79" s="57" t="s">
        <v>718</v>
      </c>
      <c r="H79" s="59">
        <v>1</v>
      </c>
      <c r="I79" s="57"/>
      <c r="J79" s="57"/>
      <c r="K79" s="59"/>
      <c r="L79" s="57"/>
      <c r="M79" s="60"/>
      <c r="N79" s="59"/>
      <c r="O79" s="57"/>
      <c r="P79" s="57"/>
      <c r="Q79" s="57"/>
      <c r="R79" s="57"/>
      <c r="S79" s="59"/>
      <c r="T79" s="57"/>
      <c r="U79" s="60"/>
      <c r="V79" s="59"/>
      <c r="W79" s="57"/>
      <c r="X79" s="57"/>
      <c r="Y79" s="57" t="s">
        <v>20</v>
      </c>
      <c r="Z79" s="57" t="s">
        <v>1111</v>
      </c>
      <c r="AA79" s="59">
        <v>118290</v>
      </c>
      <c r="AB79" s="57" t="s">
        <v>61</v>
      </c>
      <c r="AC79" s="60">
        <v>45801</v>
      </c>
      <c r="AD79" s="59">
        <v>118290</v>
      </c>
      <c r="AE79" s="57" t="s">
        <v>1112</v>
      </c>
      <c r="AF79" s="57" t="s">
        <v>1113</v>
      </c>
    </row>
    <row r="80" spans="1:32">
      <c r="A80" s="57">
        <v>79</v>
      </c>
      <c r="B80" s="58">
        <v>45860.608888888892</v>
      </c>
      <c r="C80" s="58">
        <v>45860.611550925933</v>
      </c>
      <c r="D80" s="57" t="s">
        <v>1114</v>
      </c>
      <c r="E80" s="57" t="s">
        <v>1115</v>
      </c>
      <c r="F80" s="58"/>
      <c r="G80" s="57" t="s">
        <v>597</v>
      </c>
      <c r="H80" s="59">
        <v>2</v>
      </c>
      <c r="I80" s="57"/>
      <c r="J80" s="57"/>
      <c r="K80" s="59"/>
      <c r="L80" s="57"/>
      <c r="M80" s="60"/>
      <c r="N80" s="59"/>
      <c r="O80" s="57"/>
      <c r="P80" s="57"/>
      <c r="Q80" s="57" t="s">
        <v>22</v>
      </c>
      <c r="R80" s="57" t="s">
        <v>273</v>
      </c>
      <c r="S80" s="59">
        <v>31171</v>
      </c>
      <c r="T80" s="57" t="s">
        <v>61</v>
      </c>
      <c r="U80" s="60">
        <v>45818</v>
      </c>
      <c r="V80" s="59">
        <v>31171</v>
      </c>
      <c r="W80" s="57" t="s">
        <v>1116</v>
      </c>
      <c r="X80" s="57" t="s">
        <v>1117</v>
      </c>
      <c r="Y80" s="57" t="s">
        <v>21</v>
      </c>
      <c r="Z80" s="57" t="s">
        <v>324</v>
      </c>
      <c r="AA80" s="59">
        <v>7250</v>
      </c>
      <c r="AB80" s="57" t="s">
        <v>61</v>
      </c>
      <c r="AC80" s="60">
        <v>45708</v>
      </c>
      <c r="AD80" s="59">
        <v>7250</v>
      </c>
      <c r="AE80" s="57" t="s">
        <v>1118</v>
      </c>
      <c r="AF80" s="57" t="s">
        <v>1119</v>
      </c>
    </row>
    <row r="81" spans="1:32">
      <c r="A81" s="57">
        <v>80</v>
      </c>
      <c r="B81" s="58">
        <v>45860.625509259262</v>
      </c>
      <c r="C81" s="58">
        <v>45860.62672453704</v>
      </c>
      <c r="D81" s="57" t="s">
        <v>1120</v>
      </c>
      <c r="E81" s="57" t="s">
        <v>1121</v>
      </c>
      <c r="F81" s="58"/>
      <c r="G81" s="57" t="s">
        <v>556</v>
      </c>
      <c r="H81" s="59">
        <v>2</v>
      </c>
      <c r="I81" s="57"/>
      <c r="J81" s="57"/>
      <c r="K81" s="59"/>
      <c r="L81" s="57"/>
      <c r="M81" s="60"/>
      <c r="N81" s="59"/>
      <c r="O81" s="57"/>
      <c r="P81" s="57"/>
      <c r="Q81" s="57" t="s">
        <v>21</v>
      </c>
      <c r="R81" s="57" t="s">
        <v>1122</v>
      </c>
      <c r="S81" s="59">
        <v>21862</v>
      </c>
      <c r="T81" s="57" t="s">
        <v>61</v>
      </c>
      <c r="U81" s="60">
        <v>45770</v>
      </c>
      <c r="V81" s="59">
        <v>21862</v>
      </c>
      <c r="W81" s="57" t="s">
        <v>1123</v>
      </c>
      <c r="X81" s="57" t="s">
        <v>1124</v>
      </c>
      <c r="Y81" s="57" t="s">
        <v>22</v>
      </c>
      <c r="Z81" s="57" t="s">
        <v>226</v>
      </c>
      <c r="AA81" s="59">
        <v>45989</v>
      </c>
      <c r="AB81" s="57" t="s">
        <v>61</v>
      </c>
      <c r="AC81" s="60">
        <v>45710</v>
      </c>
      <c r="AD81" s="59">
        <v>45989</v>
      </c>
      <c r="AE81" s="57" t="s">
        <v>1125</v>
      </c>
      <c r="AF81" s="57" t="s">
        <v>1126</v>
      </c>
    </row>
    <row r="82" spans="1:32">
      <c r="A82" s="57">
        <v>81</v>
      </c>
      <c r="B82" s="58">
        <v>45860.643240740741</v>
      </c>
      <c r="C82" s="58">
        <v>45860.650821759264</v>
      </c>
      <c r="D82" s="57" t="s">
        <v>1127</v>
      </c>
      <c r="E82" s="57" t="s">
        <v>1128</v>
      </c>
      <c r="F82" s="58"/>
      <c r="G82" s="57" t="s">
        <v>455</v>
      </c>
      <c r="H82" s="59">
        <v>1</v>
      </c>
      <c r="I82" s="57"/>
      <c r="J82" s="57"/>
      <c r="K82" s="59"/>
      <c r="L82" s="57"/>
      <c r="M82" s="60"/>
      <c r="N82" s="59"/>
      <c r="O82" s="57"/>
      <c r="P82" s="57"/>
      <c r="Q82" s="57"/>
      <c r="R82" s="57"/>
      <c r="S82" s="59"/>
      <c r="T82" s="57"/>
      <c r="U82" s="60"/>
      <c r="V82" s="59"/>
      <c r="W82" s="57"/>
      <c r="X82" s="57"/>
      <c r="Y82" s="57" t="s">
        <v>21</v>
      </c>
      <c r="Z82" s="57" t="s">
        <v>121</v>
      </c>
      <c r="AA82" s="59">
        <v>32160</v>
      </c>
      <c r="AB82" s="57" t="s">
        <v>61</v>
      </c>
      <c r="AC82" s="60">
        <v>45736</v>
      </c>
      <c r="AD82" s="59">
        <v>32160</v>
      </c>
      <c r="AE82" s="57" t="s">
        <v>1129</v>
      </c>
      <c r="AF82" s="57" t="s">
        <v>1130</v>
      </c>
    </row>
    <row r="83" spans="1:32">
      <c r="A83" s="57">
        <v>82</v>
      </c>
      <c r="B83" s="58">
        <v>45860.810752314806</v>
      </c>
      <c r="C83" s="58">
        <v>45860.812337962961</v>
      </c>
      <c r="D83" s="57" t="s">
        <v>1131</v>
      </c>
      <c r="E83" s="57" t="s">
        <v>1132</v>
      </c>
      <c r="F83" s="58"/>
      <c r="G83" s="57" t="s">
        <v>615</v>
      </c>
      <c r="H83" s="59">
        <v>1</v>
      </c>
      <c r="I83" s="57"/>
      <c r="J83" s="57"/>
      <c r="K83" s="59"/>
      <c r="L83" s="57"/>
      <c r="M83" s="60"/>
      <c r="N83" s="59"/>
      <c r="O83" s="57"/>
      <c r="P83" s="57"/>
      <c r="Q83" s="57"/>
      <c r="R83" s="57"/>
      <c r="S83" s="59"/>
      <c r="T83" s="57"/>
      <c r="U83" s="60"/>
      <c r="V83" s="59"/>
      <c r="W83" s="57"/>
      <c r="X83" s="57"/>
      <c r="Y83" s="57" t="s">
        <v>21</v>
      </c>
      <c r="Z83" s="57" t="s">
        <v>295</v>
      </c>
      <c r="AA83" s="59">
        <v>9701</v>
      </c>
      <c r="AB83" s="57" t="s">
        <v>61</v>
      </c>
      <c r="AC83" s="60">
        <v>45826</v>
      </c>
      <c r="AD83" s="59">
        <v>9701</v>
      </c>
      <c r="AE83" s="57" t="s">
        <v>1133</v>
      </c>
      <c r="AF83" s="57" t="s">
        <v>1134</v>
      </c>
    </row>
    <row r="84" spans="1:32">
      <c r="A84" s="57">
        <v>83</v>
      </c>
      <c r="B84" s="58">
        <v>45860.836134259262</v>
      </c>
      <c r="C84" s="58">
        <v>45860.840671296297</v>
      </c>
      <c r="D84" s="57" t="s">
        <v>1135</v>
      </c>
      <c r="E84" s="57" t="s">
        <v>1136</v>
      </c>
      <c r="F84" s="58"/>
      <c r="G84" s="57" t="s">
        <v>453</v>
      </c>
      <c r="H84" s="59">
        <v>1</v>
      </c>
      <c r="I84" s="57"/>
      <c r="J84" s="57"/>
      <c r="K84" s="59"/>
      <c r="L84" s="57"/>
      <c r="M84" s="60"/>
      <c r="N84" s="59"/>
      <c r="O84" s="57"/>
      <c r="P84" s="57"/>
      <c r="Q84" s="57"/>
      <c r="R84" s="57"/>
      <c r="S84" s="59"/>
      <c r="T84" s="57"/>
      <c r="U84" s="60"/>
      <c r="V84" s="59"/>
      <c r="W84" s="57"/>
      <c r="X84" s="57"/>
      <c r="Y84" s="57" t="s">
        <v>21</v>
      </c>
      <c r="Z84" s="57" t="s">
        <v>119</v>
      </c>
      <c r="AA84" s="59">
        <v>25904</v>
      </c>
      <c r="AB84" s="57" t="s">
        <v>61</v>
      </c>
      <c r="AC84" s="60">
        <v>45810</v>
      </c>
      <c r="AD84" s="59">
        <v>25904</v>
      </c>
      <c r="AE84" s="57" t="s">
        <v>1137</v>
      </c>
      <c r="AF84" s="57" t="s">
        <v>1138</v>
      </c>
    </row>
    <row r="85" spans="1:32">
      <c r="A85" s="57">
        <v>84</v>
      </c>
      <c r="B85" s="58">
        <v>45861.336284722223</v>
      </c>
      <c r="C85" s="58">
        <v>45861.337337962963</v>
      </c>
      <c r="D85" s="57" t="s">
        <v>1139</v>
      </c>
      <c r="E85" s="57" t="s">
        <v>1140</v>
      </c>
      <c r="F85" s="58"/>
      <c r="G85" s="57" t="s">
        <v>592</v>
      </c>
      <c r="H85" s="59">
        <v>1</v>
      </c>
      <c r="I85" s="57"/>
      <c r="J85" s="57"/>
      <c r="K85" s="59"/>
      <c r="L85" s="57"/>
      <c r="M85" s="60"/>
      <c r="N85" s="59"/>
      <c r="O85" s="57"/>
      <c r="P85" s="57"/>
      <c r="Q85" s="57"/>
      <c r="R85" s="57"/>
      <c r="S85" s="59"/>
      <c r="T85" s="57"/>
      <c r="U85" s="60"/>
      <c r="V85" s="59"/>
      <c r="W85" s="57"/>
      <c r="X85" s="57"/>
      <c r="Y85" s="57" t="s">
        <v>21</v>
      </c>
      <c r="Z85" s="57" t="s">
        <v>268</v>
      </c>
      <c r="AA85" s="59">
        <v>25725</v>
      </c>
      <c r="AB85" s="57" t="s">
        <v>61</v>
      </c>
      <c r="AC85" s="60">
        <v>45817</v>
      </c>
      <c r="AD85" s="59">
        <v>25725</v>
      </c>
      <c r="AE85" s="57" t="s">
        <v>1141</v>
      </c>
      <c r="AF85" s="57" t="s">
        <v>1142</v>
      </c>
    </row>
    <row r="86" spans="1:32">
      <c r="A86" s="57">
        <v>85</v>
      </c>
      <c r="B86" s="58">
        <v>45861.37259259259</v>
      </c>
      <c r="C86" s="58">
        <v>45861.372858796298</v>
      </c>
      <c r="D86" s="57" t="s">
        <v>1143</v>
      </c>
      <c r="E86" s="57" t="s">
        <v>1144</v>
      </c>
      <c r="F86" s="58"/>
      <c r="G86" s="57" t="s">
        <v>630</v>
      </c>
      <c r="H86" s="59">
        <v>1</v>
      </c>
      <c r="I86" s="57"/>
      <c r="J86" s="57"/>
      <c r="K86" s="59"/>
      <c r="L86" s="57"/>
      <c r="M86" s="60"/>
      <c r="N86" s="59"/>
      <c r="O86" s="57"/>
      <c r="P86" s="57"/>
      <c r="Q86" s="57"/>
      <c r="R86" s="57"/>
      <c r="S86" s="59"/>
      <c r="T86" s="57"/>
      <c r="U86" s="60"/>
      <c r="V86" s="59"/>
      <c r="W86" s="57"/>
      <c r="X86" s="57"/>
      <c r="Y86" s="57" t="s">
        <v>20</v>
      </c>
      <c r="Z86" s="57" t="s">
        <v>1145</v>
      </c>
      <c r="AA86" s="59">
        <v>38007</v>
      </c>
      <c r="AB86" s="57" t="s">
        <v>61</v>
      </c>
      <c r="AC86" s="60">
        <v>45757</v>
      </c>
      <c r="AD86" s="59">
        <v>38007</v>
      </c>
      <c r="AE86" s="57" t="s">
        <v>1146</v>
      </c>
      <c r="AF86" s="57" t="s">
        <v>1147</v>
      </c>
    </row>
    <row r="87" spans="1:32">
      <c r="A87" s="57">
        <v>86</v>
      </c>
      <c r="B87" s="58">
        <v>45861.383333333331</v>
      </c>
      <c r="C87" s="58">
        <v>45861.385613425933</v>
      </c>
      <c r="D87" s="57" t="s">
        <v>1148</v>
      </c>
      <c r="E87" s="57" t="s">
        <v>1149</v>
      </c>
      <c r="F87" s="58"/>
      <c r="G87" s="57" t="s">
        <v>609</v>
      </c>
      <c r="H87" s="59">
        <v>2</v>
      </c>
      <c r="I87" s="57"/>
      <c r="J87" s="57"/>
      <c r="K87" s="59"/>
      <c r="L87" s="57"/>
      <c r="M87" s="60"/>
      <c r="N87" s="59"/>
      <c r="O87" s="57"/>
      <c r="P87" s="57"/>
      <c r="Q87" s="57" t="s">
        <v>21</v>
      </c>
      <c r="R87" s="57" t="s">
        <v>1150</v>
      </c>
      <c r="S87" s="59">
        <v>75576</v>
      </c>
      <c r="T87" s="57" t="s">
        <v>61</v>
      </c>
      <c r="U87" s="60">
        <v>45849</v>
      </c>
      <c r="V87" s="59">
        <v>75576</v>
      </c>
      <c r="W87" s="57" t="s">
        <v>1151</v>
      </c>
      <c r="X87" s="57" t="s">
        <v>1152</v>
      </c>
      <c r="Y87" s="57" t="s">
        <v>21</v>
      </c>
      <c r="Z87" s="57" t="s">
        <v>287</v>
      </c>
      <c r="AA87" s="59">
        <v>14683</v>
      </c>
      <c r="AB87" s="57" t="s">
        <v>61</v>
      </c>
      <c r="AC87" s="60">
        <v>45568</v>
      </c>
      <c r="AD87" s="59">
        <v>14683</v>
      </c>
      <c r="AE87" s="57" t="s">
        <v>1153</v>
      </c>
      <c r="AF87" s="57" t="s">
        <v>1154</v>
      </c>
    </row>
    <row r="88" spans="1:32">
      <c r="A88" s="57">
        <v>87</v>
      </c>
      <c r="B88" s="58">
        <v>45861.407916666663</v>
      </c>
      <c r="C88" s="58">
        <v>45861.415625000001</v>
      </c>
      <c r="D88" s="57" t="s">
        <v>1155</v>
      </c>
      <c r="E88" s="57" t="s">
        <v>1156</v>
      </c>
      <c r="F88" s="58"/>
      <c r="G88" s="57" t="s">
        <v>521</v>
      </c>
      <c r="H88" s="59">
        <v>1</v>
      </c>
      <c r="I88" s="57"/>
      <c r="J88" s="57"/>
      <c r="K88" s="59"/>
      <c r="L88" s="57"/>
      <c r="M88" s="60"/>
      <c r="N88" s="59"/>
      <c r="O88" s="57"/>
      <c r="P88" s="57"/>
      <c r="Q88" s="57"/>
      <c r="R88" s="57"/>
      <c r="S88" s="59"/>
      <c r="T88" s="57"/>
      <c r="U88" s="60"/>
      <c r="V88" s="59"/>
      <c r="W88" s="57"/>
      <c r="X88" s="57"/>
      <c r="Y88" s="57" t="s">
        <v>21</v>
      </c>
      <c r="Z88" s="57" t="s">
        <v>188</v>
      </c>
      <c r="AA88" s="59">
        <v>48018</v>
      </c>
      <c r="AB88" s="57" t="s">
        <v>61</v>
      </c>
      <c r="AC88" s="60">
        <v>45583</v>
      </c>
      <c r="AD88" s="59">
        <v>48018</v>
      </c>
      <c r="AE88" s="57" t="s">
        <v>1157</v>
      </c>
      <c r="AF88" s="57" t="s">
        <v>1158</v>
      </c>
    </row>
    <row r="89" spans="1:32">
      <c r="A89" s="57">
        <v>88</v>
      </c>
      <c r="B89" s="58">
        <v>45861.468298611107</v>
      </c>
      <c r="C89" s="58">
        <v>45861.469143518523</v>
      </c>
      <c r="D89" s="57" t="s">
        <v>1159</v>
      </c>
      <c r="E89" s="57" t="s">
        <v>1160</v>
      </c>
      <c r="F89" s="58"/>
      <c r="G89" s="57" t="s">
        <v>551</v>
      </c>
      <c r="H89" s="59">
        <v>1</v>
      </c>
      <c r="I89" s="57"/>
      <c r="J89" s="57"/>
      <c r="K89" s="59"/>
      <c r="L89" s="57"/>
      <c r="M89" s="60"/>
      <c r="N89" s="59"/>
      <c r="O89" s="57"/>
      <c r="P89" s="57"/>
      <c r="Q89" s="57"/>
      <c r="R89" s="57"/>
      <c r="S89" s="59"/>
      <c r="T89" s="57"/>
      <c r="U89" s="60"/>
      <c r="V89" s="59"/>
      <c r="W89" s="57"/>
      <c r="X89" s="57"/>
      <c r="Y89" s="57" t="s">
        <v>20</v>
      </c>
      <c r="Z89" s="57" t="s">
        <v>220</v>
      </c>
      <c r="AA89" s="59">
        <v>37417</v>
      </c>
      <c r="AB89" s="57" t="s">
        <v>61</v>
      </c>
      <c r="AC89" s="60">
        <v>45841</v>
      </c>
      <c r="AD89" s="59">
        <v>37417</v>
      </c>
      <c r="AE89" s="57" t="s">
        <v>1161</v>
      </c>
      <c r="AF89" s="57" t="s">
        <v>1162</v>
      </c>
    </row>
    <row r="90" spans="1:32">
      <c r="A90" s="57">
        <v>89</v>
      </c>
      <c r="B90" s="58">
        <v>45861.486493055563</v>
      </c>
      <c r="C90" s="58">
        <v>45861.500636574077</v>
      </c>
      <c r="D90" s="57" t="s">
        <v>1163</v>
      </c>
      <c r="E90" s="57" t="s">
        <v>1164</v>
      </c>
      <c r="F90" s="58"/>
      <c r="G90" s="57" t="s">
        <v>536</v>
      </c>
      <c r="H90" s="59">
        <v>2</v>
      </c>
      <c r="I90" s="57"/>
      <c r="J90" s="57"/>
      <c r="K90" s="59"/>
      <c r="L90" s="57"/>
      <c r="M90" s="60"/>
      <c r="N90" s="59"/>
      <c r="O90" s="57"/>
      <c r="P90" s="57"/>
      <c r="Q90" s="57" t="s">
        <v>22</v>
      </c>
      <c r="R90" s="57" t="s">
        <v>204</v>
      </c>
      <c r="S90" s="59">
        <v>73213</v>
      </c>
      <c r="T90" s="57" t="s">
        <v>61</v>
      </c>
      <c r="U90" s="60">
        <v>45758</v>
      </c>
      <c r="V90" s="59">
        <v>73213</v>
      </c>
      <c r="W90" s="57" t="s">
        <v>1165</v>
      </c>
      <c r="X90" s="57" t="s">
        <v>1166</v>
      </c>
      <c r="Y90" s="57" t="s">
        <v>21</v>
      </c>
      <c r="Z90" s="57" t="s">
        <v>327</v>
      </c>
      <c r="AA90" s="59">
        <v>8823</v>
      </c>
      <c r="AB90" s="57" t="s">
        <v>61</v>
      </c>
      <c r="AC90" s="60">
        <v>45703</v>
      </c>
      <c r="AD90" s="59">
        <v>8823</v>
      </c>
      <c r="AE90" s="57" t="s">
        <v>1167</v>
      </c>
      <c r="AF90" s="57" t="s">
        <v>1168</v>
      </c>
    </row>
    <row r="91" spans="1:32">
      <c r="A91" s="57">
        <v>90</v>
      </c>
      <c r="B91" s="58">
        <v>45861.558472222219</v>
      </c>
      <c r="C91" s="58">
        <v>45861.564155092587</v>
      </c>
      <c r="D91" s="57" t="s">
        <v>1169</v>
      </c>
      <c r="E91" s="57" t="s">
        <v>1170</v>
      </c>
      <c r="F91" s="58"/>
      <c r="G91" s="57" t="s">
        <v>576</v>
      </c>
      <c r="H91" s="59">
        <v>1</v>
      </c>
      <c r="I91" s="57"/>
      <c r="J91" s="57"/>
      <c r="K91" s="59"/>
      <c r="L91" s="57"/>
      <c r="M91" s="60"/>
      <c r="N91" s="59"/>
      <c r="O91" s="57"/>
      <c r="P91" s="57"/>
      <c r="Q91" s="57"/>
      <c r="R91" s="57"/>
      <c r="S91" s="59"/>
      <c r="T91" s="57"/>
      <c r="U91" s="60"/>
      <c r="V91" s="59"/>
      <c r="W91" s="57"/>
      <c r="X91" s="57"/>
      <c r="Y91" s="57" t="s">
        <v>20</v>
      </c>
      <c r="Z91" s="57" t="s">
        <v>248</v>
      </c>
      <c r="AA91" s="59">
        <v>28010</v>
      </c>
      <c r="AB91" s="57" t="s">
        <v>61</v>
      </c>
      <c r="AC91" s="60">
        <v>45757</v>
      </c>
      <c r="AD91" s="59">
        <v>28010</v>
      </c>
      <c r="AE91" s="57" t="s">
        <v>1171</v>
      </c>
      <c r="AF91" s="57" t="s">
        <v>1172</v>
      </c>
    </row>
    <row r="92" spans="1:32">
      <c r="A92" s="57">
        <v>91</v>
      </c>
      <c r="B92" s="58">
        <v>45861.5622337963</v>
      </c>
      <c r="C92" s="58">
        <v>45861.567962962959</v>
      </c>
      <c r="D92" s="57" t="s">
        <v>1173</v>
      </c>
      <c r="E92" s="57" t="s">
        <v>1174</v>
      </c>
      <c r="F92" s="58"/>
      <c r="G92" s="57" t="s">
        <v>593</v>
      </c>
      <c r="H92" s="59">
        <v>1</v>
      </c>
      <c r="I92" s="57"/>
      <c r="J92" s="57"/>
      <c r="K92" s="59"/>
      <c r="L92" s="57"/>
      <c r="M92" s="60"/>
      <c r="N92" s="59"/>
      <c r="O92" s="57"/>
      <c r="P92" s="57"/>
      <c r="Q92" s="57"/>
      <c r="R92" s="57"/>
      <c r="S92" s="59"/>
      <c r="T92" s="57"/>
      <c r="U92" s="60"/>
      <c r="V92" s="59"/>
      <c r="W92" s="57"/>
      <c r="X92" s="57"/>
      <c r="Y92" s="57" t="s">
        <v>21</v>
      </c>
      <c r="Z92" s="57" t="s">
        <v>269</v>
      </c>
      <c r="AA92" s="59">
        <v>17104</v>
      </c>
      <c r="AB92" s="57" t="s">
        <v>61</v>
      </c>
      <c r="AC92" s="60">
        <v>45861</v>
      </c>
      <c r="AD92" s="59">
        <v>17104</v>
      </c>
      <c r="AE92" s="57" t="s">
        <v>1175</v>
      </c>
      <c r="AF92" s="57" t="s">
        <v>1176</v>
      </c>
    </row>
    <row r="93" spans="1:32">
      <c r="A93" s="57">
        <v>92</v>
      </c>
      <c r="B93" s="58">
        <v>45861.56763888889</v>
      </c>
      <c r="C93" s="58">
        <v>45861.573449074072</v>
      </c>
      <c r="D93" s="57" t="s">
        <v>1177</v>
      </c>
      <c r="E93" s="57" t="s">
        <v>1178</v>
      </c>
      <c r="F93" s="58"/>
      <c r="G93" s="57" t="s">
        <v>497</v>
      </c>
      <c r="H93" s="59">
        <v>1</v>
      </c>
      <c r="I93" s="57"/>
      <c r="J93" s="57"/>
      <c r="K93" s="59"/>
      <c r="L93" s="57"/>
      <c r="M93" s="60"/>
      <c r="N93" s="59"/>
      <c r="O93" s="57"/>
      <c r="P93" s="57"/>
      <c r="Q93" s="57"/>
      <c r="R93" s="57"/>
      <c r="S93" s="59"/>
      <c r="T93" s="57"/>
      <c r="U93" s="60"/>
      <c r="V93" s="59"/>
      <c r="W93" s="57"/>
      <c r="X93" s="57"/>
      <c r="Y93" s="57" t="s">
        <v>21</v>
      </c>
      <c r="Z93" s="57" t="s">
        <v>163</v>
      </c>
      <c r="AA93" s="59">
        <v>14026</v>
      </c>
      <c r="AB93" s="57" t="s">
        <v>61</v>
      </c>
      <c r="AC93" s="60">
        <v>45861</v>
      </c>
      <c r="AD93" s="59">
        <v>14026</v>
      </c>
      <c r="AE93" s="57" t="s">
        <v>1179</v>
      </c>
      <c r="AF93" s="57" t="s">
        <v>1180</v>
      </c>
    </row>
    <row r="94" spans="1:32">
      <c r="A94" s="57">
        <v>93</v>
      </c>
      <c r="B94" s="58">
        <v>45861.583831018521</v>
      </c>
      <c r="C94" s="58">
        <v>45861.58421296296</v>
      </c>
      <c r="D94" s="57" t="s">
        <v>1181</v>
      </c>
      <c r="E94" s="57" t="s">
        <v>1182</v>
      </c>
      <c r="F94" s="58"/>
      <c r="G94" s="57" t="s">
        <v>601</v>
      </c>
      <c r="H94" s="59">
        <v>2</v>
      </c>
      <c r="I94" s="57"/>
      <c r="J94" s="57"/>
      <c r="K94" s="59"/>
      <c r="L94" s="57"/>
      <c r="M94" s="60"/>
      <c r="N94" s="59"/>
      <c r="O94" s="57"/>
      <c r="P94" s="57"/>
      <c r="Q94" s="57" t="s">
        <v>22</v>
      </c>
      <c r="R94" s="57" t="s">
        <v>278</v>
      </c>
      <c r="S94" s="59">
        <v>14540</v>
      </c>
      <c r="T94" s="57" t="s">
        <v>61</v>
      </c>
      <c r="U94" s="60">
        <v>45677</v>
      </c>
      <c r="V94" s="59">
        <v>14540</v>
      </c>
      <c r="W94" s="57" t="s">
        <v>1183</v>
      </c>
      <c r="X94" s="57" t="s">
        <v>1184</v>
      </c>
      <c r="Y94" s="57" t="s">
        <v>21</v>
      </c>
      <c r="Z94" s="57" t="s">
        <v>328</v>
      </c>
      <c r="AA94" s="59">
        <v>2082</v>
      </c>
      <c r="AB94" s="57" t="s">
        <v>61</v>
      </c>
      <c r="AC94" s="60">
        <v>45842</v>
      </c>
      <c r="AD94" s="59">
        <v>2082</v>
      </c>
      <c r="AE94" s="57" t="s">
        <v>1185</v>
      </c>
      <c r="AF94" s="57" t="s">
        <v>1186</v>
      </c>
    </row>
    <row r="95" spans="1:32">
      <c r="A95" s="57">
        <v>94</v>
      </c>
      <c r="B95" s="58">
        <v>45861.586226851847</v>
      </c>
      <c r="C95" s="58">
        <v>45861.592650462961</v>
      </c>
      <c r="D95" s="57" t="s">
        <v>1187</v>
      </c>
      <c r="E95" s="57" t="s">
        <v>1188</v>
      </c>
      <c r="F95" s="58"/>
      <c r="G95" s="57" t="s">
        <v>490</v>
      </c>
      <c r="H95" s="59">
        <v>2</v>
      </c>
      <c r="I95" s="57"/>
      <c r="J95" s="57"/>
      <c r="K95" s="59"/>
      <c r="L95" s="57"/>
      <c r="M95" s="60"/>
      <c r="N95" s="59"/>
      <c r="O95" s="57"/>
      <c r="P95" s="57"/>
      <c r="Q95" s="57" t="s">
        <v>22</v>
      </c>
      <c r="R95" s="57" t="s">
        <v>277</v>
      </c>
      <c r="S95" s="59">
        <v>13568</v>
      </c>
      <c r="T95" s="57" t="s">
        <v>61</v>
      </c>
      <c r="U95" s="60">
        <v>45722</v>
      </c>
      <c r="V95" s="59">
        <v>13568</v>
      </c>
      <c r="W95" s="57" t="s">
        <v>1189</v>
      </c>
      <c r="X95" s="57" t="s">
        <v>1190</v>
      </c>
      <c r="Y95" s="57" t="s">
        <v>21</v>
      </c>
      <c r="Z95" s="57" t="s">
        <v>156</v>
      </c>
      <c r="AA95" s="59">
        <v>17005</v>
      </c>
      <c r="AB95" s="57" t="s">
        <v>61</v>
      </c>
      <c r="AC95" s="60">
        <v>45784</v>
      </c>
      <c r="AD95" s="59">
        <v>17005</v>
      </c>
      <c r="AE95" s="57" t="s">
        <v>1191</v>
      </c>
      <c r="AF95" s="57" t="s">
        <v>1192</v>
      </c>
    </row>
    <row r="96" spans="1:32">
      <c r="A96" s="57">
        <v>95</v>
      </c>
      <c r="B96" s="58">
        <v>45861.587905092587</v>
      </c>
      <c r="C96" s="58">
        <v>45861.592743055553</v>
      </c>
      <c r="D96" s="57" t="s">
        <v>1193</v>
      </c>
      <c r="E96" s="57" t="s">
        <v>1194</v>
      </c>
      <c r="F96" s="58"/>
      <c r="G96" s="57" t="s">
        <v>656</v>
      </c>
      <c r="H96" s="59">
        <v>1</v>
      </c>
      <c r="I96" s="57"/>
      <c r="J96" s="57"/>
      <c r="K96" s="59"/>
      <c r="L96" s="57"/>
      <c r="M96" s="60"/>
      <c r="N96" s="59"/>
      <c r="O96" s="57"/>
      <c r="P96" s="57"/>
      <c r="Q96" s="57"/>
      <c r="R96" s="57"/>
      <c r="S96" s="59"/>
      <c r="T96" s="57"/>
      <c r="U96" s="60"/>
      <c r="V96" s="59"/>
      <c r="W96" s="57"/>
      <c r="X96" s="57"/>
      <c r="Y96" s="57" t="s">
        <v>20</v>
      </c>
      <c r="Z96" s="57" t="s">
        <v>1195</v>
      </c>
      <c r="AA96" s="59">
        <v>48279</v>
      </c>
      <c r="AB96" s="57" t="s">
        <v>61</v>
      </c>
      <c r="AC96" s="60">
        <v>45818</v>
      </c>
      <c r="AD96" s="59">
        <v>48279</v>
      </c>
      <c r="AE96" s="57" t="s">
        <v>1196</v>
      </c>
      <c r="AF96" s="57" t="s">
        <v>1197</v>
      </c>
    </row>
    <row r="97" spans="1:32">
      <c r="A97" s="57">
        <v>96</v>
      </c>
      <c r="B97" s="58">
        <v>45861.627129629633</v>
      </c>
      <c r="C97" s="58">
        <v>45861.630219907413</v>
      </c>
      <c r="D97" s="57" t="s">
        <v>1198</v>
      </c>
      <c r="E97" s="57" t="s">
        <v>1199</v>
      </c>
      <c r="F97" s="58"/>
      <c r="G97" s="57" t="s">
        <v>452</v>
      </c>
      <c r="H97" s="59">
        <v>2</v>
      </c>
      <c r="I97" s="57"/>
      <c r="J97" s="57"/>
      <c r="K97" s="59"/>
      <c r="L97" s="57"/>
      <c r="M97" s="60"/>
      <c r="N97" s="59"/>
      <c r="O97" s="57"/>
      <c r="P97" s="57"/>
      <c r="Q97" s="57" t="s">
        <v>21</v>
      </c>
      <c r="R97" s="57" t="s">
        <v>1200</v>
      </c>
      <c r="S97" s="59">
        <v>72763</v>
      </c>
      <c r="T97" s="57" t="s">
        <v>61</v>
      </c>
      <c r="U97" s="60">
        <v>45642</v>
      </c>
      <c r="V97" s="59">
        <v>72763</v>
      </c>
      <c r="W97" s="57" t="s">
        <v>1201</v>
      </c>
      <c r="X97" s="57" t="s">
        <v>1202</v>
      </c>
      <c r="Y97" s="57" t="s">
        <v>22</v>
      </c>
      <c r="Z97" s="57" t="s">
        <v>118</v>
      </c>
      <c r="AA97" s="59">
        <v>53298</v>
      </c>
      <c r="AB97" s="57" t="s">
        <v>61</v>
      </c>
      <c r="AC97" s="60">
        <v>45713</v>
      </c>
      <c r="AD97" s="59">
        <v>53298</v>
      </c>
      <c r="AE97" s="57" t="s">
        <v>1203</v>
      </c>
      <c r="AF97" s="57" t="s">
        <v>1204</v>
      </c>
    </row>
    <row r="98" spans="1:32">
      <c r="A98" s="57">
        <v>97</v>
      </c>
      <c r="B98" s="58">
        <v>45861.641805555562</v>
      </c>
      <c r="C98" s="58">
        <v>45861.647638888891</v>
      </c>
      <c r="D98" s="57" t="s">
        <v>1205</v>
      </c>
      <c r="E98" s="57" t="s">
        <v>1206</v>
      </c>
      <c r="F98" s="58"/>
      <c r="G98" s="57" t="s">
        <v>474</v>
      </c>
      <c r="H98" s="59">
        <v>1</v>
      </c>
      <c r="I98" s="57"/>
      <c r="J98" s="57"/>
      <c r="K98" s="59"/>
      <c r="L98" s="57"/>
      <c r="M98" s="60"/>
      <c r="N98" s="59"/>
      <c r="O98" s="57"/>
      <c r="P98" s="57"/>
      <c r="Q98" s="57"/>
      <c r="R98" s="57"/>
      <c r="S98" s="59"/>
      <c r="T98" s="57"/>
      <c r="U98" s="60"/>
      <c r="V98" s="59"/>
      <c r="W98" s="57"/>
      <c r="X98" s="57"/>
      <c r="Y98" s="57" t="s">
        <v>21</v>
      </c>
      <c r="Z98" s="57" t="s">
        <v>140</v>
      </c>
      <c r="AA98" s="59">
        <v>18951</v>
      </c>
      <c r="AB98" s="57" t="s">
        <v>61</v>
      </c>
      <c r="AC98" s="60">
        <v>45427</v>
      </c>
      <c r="AD98" s="59">
        <v>18951</v>
      </c>
      <c r="AE98" s="57" t="s">
        <v>1207</v>
      </c>
      <c r="AF98" s="57" t="s">
        <v>1208</v>
      </c>
    </row>
    <row r="99" spans="1:32">
      <c r="A99" s="57">
        <v>98</v>
      </c>
      <c r="B99" s="58">
        <v>45861.688043981478</v>
      </c>
      <c r="C99" s="58">
        <v>45861.689282407409</v>
      </c>
      <c r="D99" s="57" t="s">
        <v>1209</v>
      </c>
      <c r="E99" s="57" t="s">
        <v>1210</v>
      </c>
      <c r="F99" s="58"/>
      <c r="G99" s="57" t="s">
        <v>581</v>
      </c>
      <c r="H99" s="59">
        <v>2</v>
      </c>
      <c r="I99" s="57"/>
      <c r="J99" s="57"/>
      <c r="K99" s="59"/>
      <c r="L99" s="57"/>
      <c r="M99" s="60"/>
      <c r="N99" s="59"/>
      <c r="O99" s="57"/>
      <c r="P99" s="57"/>
      <c r="Q99" s="57" t="s">
        <v>20</v>
      </c>
      <c r="R99" s="57" t="s">
        <v>1211</v>
      </c>
      <c r="S99" s="59">
        <v>38131</v>
      </c>
      <c r="T99" s="57" t="s">
        <v>61</v>
      </c>
      <c r="U99" s="60">
        <v>45713</v>
      </c>
      <c r="V99" s="59">
        <v>38131</v>
      </c>
      <c r="W99" s="57" t="s">
        <v>1212</v>
      </c>
      <c r="X99" s="57" t="s">
        <v>1213</v>
      </c>
      <c r="Y99" s="57" t="s">
        <v>22</v>
      </c>
      <c r="Z99" s="57" t="s">
        <v>255</v>
      </c>
      <c r="AA99" s="59">
        <v>24480</v>
      </c>
      <c r="AB99" s="57" t="s">
        <v>61</v>
      </c>
      <c r="AC99" s="60">
        <v>45763</v>
      </c>
      <c r="AD99" s="59">
        <v>24480</v>
      </c>
      <c r="AE99" s="57" t="s">
        <v>1214</v>
      </c>
      <c r="AF99" s="57" t="s">
        <v>1215</v>
      </c>
    </row>
    <row r="100" spans="1:32">
      <c r="A100" s="57">
        <v>99</v>
      </c>
      <c r="B100" s="58">
        <v>45861.67701388889</v>
      </c>
      <c r="C100" s="58">
        <v>45861.695902777778</v>
      </c>
      <c r="D100" s="57" t="s">
        <v>1216</v>
      </c>
      <c r="E100" s="57" t="s">
        <v>1217</v>
      </c>
      <c r="F100" s="58"/>
      <c r="G100" s="57" t="s">
        <v>684</v>
      </c>
      <c r="H100" s="59">
        <v>3</v>
      </c>
      <c r="I100" s="57" t="s">
        <v>20</v>
      </c>
      <c r="J100" s="57" t="s">
        <v>289</v>
      </c>
      <c r="K100" s="59">
        <v>14369</v>
      </c>
      <c r="L100" s="57" t="s">
        <v>61</v>
      </c>
      <c r="M100" s="60">
        <v>45804</v>
      </c>
      <c r="N100" s="59">
        <v>14369</v>
      </c>
      <c r="O100" s="57" t="s">
        <v>1218</v>
      </c>
      <c r="P100" s="57" t="s">
        <v>1219</v>
      </c>
      <c r="Q100" s="57" t="s">
        <v>20</v>
      </c>
      <c r="R100" s="57" t="s">
        <v>1220</v>
      </c>
      <c r="S100" s="59">
        <v>62014</v>
      </c>
      <c r="T100" s="57" t="s">
        <v>61</v>
      </c>
      <c r="U100" s="60">
        <v>45839</v>
      </c>
      <c r="V100" s="59">
        <v>62014</v>
      </c>
      <c r="W100" s="57" t="s">
        <v>1221</v>
      </c>
      <c r="X100" s="57" t="s">
        <v>1222</v>
      </c>
      <c r="Y100" s="57" t="s">
        <v>20</v>
      </c>
      <c r="Z100" s="57" t="s">
        <v>1223</v>
      </c>
      <c r="AA100" s="59">
        <v>40802</v>
      </c>
      <c r="AB100" s="57" t="s">
        <v>61</v>
      </c>
      <c r="AC100" s="60">
        <v>45785</v>
      </c>
      <c r="AD100" s="59">
        <v>40802</v>
      </c>
      <c r="AE100" s="57" t="s">
        <v>1224</v>
      </c>
      <c r="AF100" s="57" t="s">
        <v>1225</v>
      </c>
    </row>
    <row r="101" spans="1:32">
      <c r="A101" s="57">
        <v>100</v>
      </c>
      <c r="B101" s="58">
        <v>45861.694664351853</v>
      </c>
      <c r="C101" s="58">
        <v>45861.719884259262</v>
      </c>
      <c r="D101" s="57" t="s">
        <v>1226</v>
      </c>
      <c r="E101" s="57" t="s">
        <v>1227</v>
      </c>
      <c r="F101" s="58"/>
      <c r="G101" s="57" t="s">
        <v>526</v>
      </c>
      <c r="H101" s="59">
        <v>2</v>
      </c>
      <c r="I101" s="57"/>
      <c r="J101" s="57"/>
      <c r="K101" s="59"/>
      <c r="L101" s="57"/>
      <c r="M101" s="60"/>
      <c r="N101" s="59"/>
      <c r="O101" s="57"/>
      <c r="P101" s="57"/>
      <c r="Q101" s="57" t="s">
        <v>22</v>
      </c>
      <c r="R101" s="57" t="s">
        <v>193</v>
      </c>
      <c r="S101" s="59">
        <v>30764</v>
      </c>
      <c r="T101" s="57" t="s">
        <v>61</v>
      </c>
      <c r="U101" s="60">
        <v>45798</v>
      </c>
      <c r="V101" s="59">
        <v>30764</v>
      </c>
      <c r="W101" s="57" t="s">
        <v>1228</v>
      </c>
      <c r="X101" s="57" t="s">
        <v>1229</v>
      </c>
      <c r="Y101" s="57" t="s">
        <v>21</v>
      </c>
      <c r="Z101" s="57" t="s">
        <v>372</v>
      </c>
      <c r="AA101" s="59">
        <v>1284</v>
      </c>
      <c r="AB101" s="57" t="s">
        <v>61</v>
      </c>
      <c r="AC101" s="60">
        <v>45796</v>
      </c>
      <c r="AD101" s="59">
        <v>1284</v>
      </c>
      <c r="AE101" s="57" t="s">
        <v>1230</v>
      </c>
      <c r="AF101" s="57" t="s">
        <v>1231</v>
      </c>
    </row>
    <row r="102" spans="1:32">
      <c r="A102" s="57">
        <v>101</v>
      </c>
      <c r="B102" s="58">
        <v>45861.733437499999</v>
      </c>
      <c r="C102" s="58">
        <v>45861.734849537039</v>
      </c>
      <c r="D102" s="57" t="s">
        <v>1232</v>
      </c>
      <c r="E102" s="57" t="s">
        <v>1233</v>
      </c>
      <c r="F102" s="58"/>
      <c r="G102" s="57" t="s">
        <v>706</v>
      </c>
      <c r="H102" s="59">
        <v>1</v>
      </c>
      <c r="I102" s="57"/>
      <c r="J102" s="57"/>
      <c r="K102" s="59"/>
      <c r="L102" s="57"/>
      <c r="M102" s="60"/>
      <c r="N102" s="59"/>
      <c r="O102" s="57"/>
      <c r="P102" s="57"/>
      <c r="Q102" s="57"/>
      <c r="R102" s="57"/>
      <c r="S102" s="59"/>
      <c r="T102" s="57"/>
      <c r="U102" s="60"/>
      <c r="V102" s="59"/>
      <c r="W102" s="57"/>
      <c r="X102" s="57"/>
      <c r="Y102" s="57" t="s">
        <v>21</v>
      </c>
      <c r="Z102" s="57" t="s">
        <v>1234</v>
      </c>
      <c r="AA102" s="59">
        <v>49630</v>
      </c>
      <c r="AB102" s="57" t="s">
        <v>61</v>
      </c>
      <c r="AC102" s="60">
        <v>45666</v>
      </c>
      <c r="AD102" s="59">
        <v>49630</v>
      </c>
      <c r="AE102" s="57" t="s">
        <v>1235</v>
      </c>
      <c r="AF102" s="57" t="s">
        <v>1236</v>
      </c>
    </row>
    <row r="103" spans="1:32">
      <c r="A103" s="57">
        <v>102</v>
      </c>
      <c r="B103" s="58">
        <v>45861.727534722217</v>
      </c>
      <c r="C103" s="58">
        <v>45861.752708333333</v>
      </c>
      <c r="D103" s="57" t="s">
        <v>1237</v>
      </c>
      <c r="E103" s="57" t="s">
        <v>1238</v>
      </c>
      <c r="F103" s="58"/>
      <c r="G103" s="57" t="s">
        <v>579</v>
      </c>
      <c r="H103" s="59">
        <v>2</v>
      </c>
      <c r="I103" s="57"/>
      <c r="J103" s="57"/>
      <c r="K103" s="59"/>
      <c r="L103" s="57"/>
      <c r="M103" s="60"/>
      <c r="N103" s="59"/>
      <c r="O103" s="57"/>
      <c r="P103" s="57"/>
      <c r="Q103" s="57" t="s">
        <v>21</v>
      </c>
      <c r="R103" s="57" t="s">
        <v>1239</v>
      </c>
      <c r="S103" s="59">
        <v>51255</v>
      </c>
      <c r="T103" s="57" t="s">
        <v>61</v>
      </c>
      <c r="U103" s="60">
        <v>45794</v>
      </c>
      <c r="V103" s="59">
        <v>51255</v>
      </c>
      <c r="W103" s="57" t="s">
        <v>1240</v>
      </c>
      <c r="X103" s="57" t="s">
        <v>1241</v>
      </c>
      <c r="Y103" s="57" t="s">
        <v>22</v>
      </c>
      <c r="Z103" s="57" t="s">
        <v>251</v>
      </c>
      <c r="AA103" s="59">
        <v>39763</v>
      </c>
      <c r="AB103" s="57" t="s">
        <v>61</v>
      </c>
      <c r="AC103" s="60">
        <v>45790</v>
      </c>
      <c r="AD103" s="59">
        <v>39763</v>
      </c>
      <c r="AE103" s="57" t="s">
        <v>1242</v>
      </c>
      <c r="AF103" s="57" t="s">
        <v>1243</v>
      </c>
    </row>
    <row r="104" spans="1:32">
      <c r="A104" s="57">
        <v>103</v>
      </c>
      <c r="B104" s="58">
        <v>45861.763611111113</v>
      </c>
      <c r="C104" s="58">
        <v>45861.764201388891</v>
      </c>
      <c r="D104" s="57" t="s">
        <v>1244</v>
      </c>
      <c r="E104" s="57" t="s">
        <v>1245</v>
      </c>
      <c r="F104" s="58"/>
      <c r="G104" s="57" t="s">
        <v>708</v>
      </c>
      <c r="H104" s="59">
        <v>1</v>
      </c>
      <c r="I104" s="57"/>
      <c r="J104" s="57"/>
      <c r="K104" s="59"/>
      <c r="L104" s="57"/>
      <c r="M104" s="60"/>
      <c r="N104" s="59"/>
      <c r="O104" s="57"/>
      <c r="P104" s="57"/>
      <c r="Q104" s="57"/>
      <c r="R104" s="57"/>
      <c r="S104" s="59"/>
      <c r="T104" s="57"/>
      <c r="U104" s="60"/>
      <c r="V104" s="59"/>
      <c r="W104" s="57"/>
      <c r="X104" s="57"/>
      <c r="Y104" s="57" t="s">
        <v>20</v>
      </c>
      <c r="Z104" s="57" t="s">
        <v>1246</v>
      </c>
      <c r="AA104" s="59">
        <v>46275</v>
      </c>
      <c r="AB104" s="57" t="s">
        <v>61</v>
      </c>
      <c r="AC104" s="60">
        <v>45713</v>
      </c>
      <c r="AD104" s="59">
        <v>46275</v>
      </c>
      <c r="AE104" s="57" t="s">
        <v>1247</v>
      </c>
      <c r="AF104" s="57" t="s">
        <v>1248</v>
      </c>
    </row>
    <row r="105" spans="1:32">
      <c r="A105" s="57">
        <v>104</v>
      </c>
      <c r="B105" s="58">
        <v>45861.768518518518</v>
      </c>
      <c r="C105" s="58">
        <v>45861.777858796297</v>
      </c>
      <c r="D105" s="57" t="s">
        <v>1249</v>
      </c>
      <c r="E105" s="57" t="s">
        <v>1250</v>
      </c>
      <c r="F105" s="58"/>
      <c r="G105" s="57" t="s">
        <v>660</v>
      </c>
      <c r="H105" s="59">
        <v>1</v>
      </c>
      <c r="I105" s="57"/>
      <c r="J105" s="57"/>
      <c r="K105" s="59"/>
      <c r="L105" s="57"/>
      <c r="M105" s="60"/>
      <c r="N105" s="59"/>
      <c r="O105" s="57"/>
      <c r="P105" s="57"/>
      <c r="Q105" s="57"/>
      <c r="R105" s="57"/>
      <c r="S105" s="59"/>
      <c r="T105" s="57"/>
      <c r="U105" s="60"/>
      <c r="V105" s="59"/>
      <c r="W105" s="57"/>
      <c r="X105" s="57"/>
      <c r="Y105" s="57" t="s">
        <v>20</v>
      </c>
      <c r="Z105" s="57" t="s">
        <v>1251</v>
      </c>
      <c r="AA105" s="59">
        <v>109805</v>
      </c>
      <c r="AB105" s="57" t="s">
        <v>61</v>
      </c>
      <c r="AC105" s="60">
        <v>45782</v>
      </c>
      <c r="AD105" s="59">
        <v>109805</v>
      </c>
      <c r="AE105" s="57" t="s">
        <v>1252</v>
      </c>
      <c r="AF105" s="57" t="s">
        <v>1253</v>
      </c>
    </row>
    <row r="106" spans="1:32">
      <c r="A106" s="57">
        <v>105</v>
      </c>
      <c r="B106" s="58">
        <v>45861.780185185176</v>
      </c>
      <c r="C106" s="58">
        <v>45861.782407407409</v>
      </c>
      <c r="D106" s="57" t="s">
        <v>1249</v>
      </c>
      <c r="E106" s="57" t="s">
        <v>1250</v>
      </c>
      <c r="F106" s="58"/>
      <c r="G106" s="57" t="s">
        <v>660</v>
      </c>
      <c r="H106" s="59">
        <v>1</v>
      </c>
      <c r="I106" s="57"/>
      <c r="J106" s="57"/>
      <c r="K106" s="59"/>
      <c r="L106" s="57"/>
      <c r="M106" s="60"/>
      <c r="N106" s="59"/>
      <c r="O106" s="57"/>
      <c r="P106" s="57"/>
      <c r="Q106" s="57"/>
      <c r="R106" s="57"/>
      <c r="S106" s="59"/>
      <c r="T106" s="57"/>
      <c r="U106" s="60"/>
      <c r="V106" s="59"/>
      <c r="W106" s="57"/>
      <c r="X106" s="57"/>
      <c r="Y106" s="57" t="s">
        <v>22</v>
      </c>
      <c r="Z106" s="57" t="s">
        <v>361</v>
      </c>
      <c r="AA106" s="59">
        <v>7865</v>
      </c>
      <c r="AB106" s="57" t="s">
        <v>61</v>
      </c>
      <c r="AC106" s="60">
        <v>45793</v>
      </c>
      <c r="AD106" s="59">
        <v>7865</v>
      </c>
      <c r="AE106" s="57" t="s">
        <v>1254</v>
      </c>
      <c r="AF106" s="57" t="s">
        <v>1255</v>
      </c>
    </row>
    <row r="107" spans="1:32">
      <c r="A107" s="57">
        <v>106</v>
      </c>
      <c r="B107" s="58">
        <v>45861.780150462961</v>
      </c>
      <c r="C107" s="58">
        <v>45861.794282407413</v>
      </c>
      <c r="D107" s="57" t="s">
        <v>1256</v>
      </c>
      <c r="E107" s="57" t="s">
        <v>1257</v>
      </c>
      <c r="F107" s="58"/>
      <c r="G107" s="57" t="s">
        <v>473</v>
      </c>
      <c r="H107" s="59">
        <v>1</v>
      </c>
      <c r="I107" s="57"/>
      <c r="J107" s="57"/>
      <c r="K107" s="59"/>
      <c r="L107" s="57"/>
      <c r="M107" s="60"/>
      <c r="N107" s="59"/>
      <c r="O107" s="57"/>
      <c r="P107" s="57"/>
      <c r="Q107" s="57"/>
      <c r="R107" s="57"/>
      <c r="S107" s="59"/>
      <c r="T107" s="57"/>
      <c r="U107" s="60"/>
      <c r="V107" s="59"/>
      <c r="W107" s="57"/>
      <c r="X107" s="57"/>
      <c r="Y107" s="57" t="s">
        <v>21</v>
      </c>
      <c r="Z107" s="57" t="s">
        <v>139</v>
      </c>
      <c r="AA107" s="59">
        <v>95539</v>
      </c>
      <c r="AB107" s="57" t="s">
        <v>61</v>
      </c>
      <c r="AC107" s="60">
        <v>45861</v>
      </c>
      <c r="AD107" s="59">
        <v>95539</v>
      </c>
      <c r="AE107" s="57" t="s">
        <v>1258</v>
      </c>
      <c r="AF107" s="57" t="s">
        <v>1259</v>
      </c>
    </row>
    <row r="108" spans="1:32">
      <c r="A108" s="57">
        <v>107</v>
      </c>
      <c r="B108" s="58">
        <v>45861.803738425922</v>
      </c>
      <c r="C108" s="58">
        <v>45861.809259259258</v>
      </c>
      <c r="D108" s="57" t="s">
        <v>1260</v>
      </c>
      <c r="E108" s="57" t="s">
        <v>1261</v>
      </c>
      <c r="F108" s="58"/>
      <c r="G108" s="57" t="s">
        <v>637</v>
      </c>
      <c r="H108" s="59">
        <v>1</v>
      </c>
      <c r="I108" s="57"/>
      <c r="J108" s="57"/>
      <c r="K108" s="59"/>
      <c r="L108" s="57"/>
      <c r="M108" s="60"/>
      <c r="N108" s="59"/>
      <c r="O108" s="57"/>
      <c r="P108" s="57"/>
      <c r="Q108" s="57"/>
      <c r="R108" s="57"/>
      <c r="S108" s="59"/>
      <c r="T108" s="57"/>
      <c r="U108" s="60"/>
      <c r="V108" s="59"/>
      <c r="W108" s="57"/>
      <c r="X108" s="57"/>
      <c r="Y108" s="57" t="s">
        <v>20</v>
      </c>
      <c r="Z108" s="57" t="s">
        <v>330</v>
      </c>
      <c r="AA108" s="59">
        <v>12522</v>
      </c>
      <c r="AB108" s="57" t="s">
        <v>61</v>
      </c>
      <c r="AC108" s="60">
        <v>45848</v>
      </c>
      <c r="AD108" s="59">
        <v>12522</v>
      </c>
      <c r="AE108" s="57" t="s">
        <v>1262</v>
      </c>
      <c r="AF108" s="57" t="s">
        <v>1263</v>
      </c>
    </row>
    <row r="109" spans="1:32">
      <c r="A109" s="57">
        <v>108</v>
      </c>
      <c r="B109" s="58">
        <v>45861.811018518521</v>
      </c>
      <c r="C109" s="58">
        <v>45861.812986111108</v>
      </c>
      <c r="D109" s="57" t="s">
        <v>1260</v>
      </c>
      <c r="E109" s="57" t="s">
        <v>1261</v>
      </c>
      <c r="F109" s="58"/>
      <c r="G109" s="57" t="s">
        <v>1264</v>
      </c>
      <c r="H109" s="59">
        <v>1</v>
      </c>
      <c r="I109" s="57"/>
      <c r="J109" s="57"/>
      <c r="K109" s="59"/>
      <c r="L109" s="57"/>
      <c r="M109" s="60"/>
      <c r="N109" s="59"/>
      <c r="O109" s="57"/>
      <c r="P109" s="57"/>
      <c r="Q109" s="57"/>
      <c r="R109" s="57"/>
      <c r="S109" s="59"/>
      <c r="T109" s="57"/>
      <c r="U109" s="60"/>
      <c r="V109" s="59"/>
      <c r="W109" s="57"/>
      <c r="X109" s="57"/>
      <c r="Y109" s="57" t="s">
        <v>20</v>
      </c>
      <c r="Z109" s="57" t="s">
        <v>1265</v>
      </c>
      <c r="AA109" s="59">
        <v>29276</v>
      </c>
      <c r="AB109" s="57" t="s">
        <v>61</v>
      </c>
      <c r="AC109" s="60">
        <v>45849</v>
      </c>
      <c r="AD109" s="59">
        <v>29276</v>
      </c>
      <c r="AE109" s="57" t="s">
        <v>1266</v>
      </c>
      <c r="AF109" s="57" t="s">
        <v>1267</v>
      </c>
    </row>
    <row r="110" spans="1:32">
      <c r="A110" s="57">
        <v>109</v>
      </c>
      <c r="B110" s="58">
        <v>45862.323263888888</v>
      </c>
      <c r="C110" s="58">
        <v>45862.324016203696</v>
      </c>
      <c r="D110" s="57" t="s">
        <v>1268</v>
      </c>
      <c r="E110" s="57" t="s">
        <v>1269</v>
      </c>
      <c r="F110" s="58"/>
      <c r="G110" s="57" t="s">
        <v>553</v>
      </c>
      <c r="H110" s="59">
        <v>1</v>
      </c>
      <c r="I110" s="57"/>
      <c r="J110" s="57"/>
      <c r="K110" s="59"/>
      <c r="L110" s="57"/>
      <c r="M110" s="60"/>
      <c r="N110" s="59"/>
      <c r="O110" s="57"/>
      <c r="P110" s="57"/>
      <c r="Q110" s="57"/>
      <c r="R110" s="57"/>
      <c r="S110" s="59"/>
      <c r="T110" s="57"/>
      <c r="U110" s="60"/>
      <c r="V110" s="59"/>
      <c r="W110" s="57"/>
      <c r="X110" s="57"/>
      <c r="Y110" s="57" t="s">
        <v>20</v>
      </c>
      <c r="Z110" s="57" t="s">
        <v>221</v>
      </c>
      <c r="AA110" s="59">
        <v>28689</v>
      </c>
      <c r="AB110" s="57" t="s">
        <v>61</v>
      </c>
      <c r="AC110" s="60">
        <v>45857</v>
      </c>
      <c r="AD110" s="59">
        <v>28689</v>
      </c>
      <c r="AE110" s="57" t="s">
        <v>1270</v>
      </c>
      <c r="AF110" s="57" t="s">
        <v>1271</v>
      </c>
    </row>
    <row r="111" spans="1:32">
      <c r="A111" s="57">
        <v>110</v>
      </c>
      <c r="B111" s="58">
        <v>45862.323368055557</v>
      </c>
      <c r="C111" s="58">
        <v>45862.32984953704</v>
      </c>
      <c r="D111" s="57" t="s">
        <v>1272</v>
      </c>
      <c r="E111" s="57" t="s">
        <v>1273</v>
      </c>
      <c r="F111" s="58"/>
      <c r="G111" s="57" t="s">
        <v>489</v>
      </c>
      <c r="H111" s="59">
        <v>1</v>
      </c>
      <c r="I111" s="57"/>
      <c r="J111" s="57"/>
      <c r="K111" s="59"/>
      <c r="L111" s="57"/>
      <c r="M111" s="60"/>
      <c r="N111" s="59"/>
      <c r="O111" s="57"/>
      <c r="P111" s="57"/>
      <c r="Q111" s="57"/>
      <c r="R111" s="57"/>
      <c r="S111" s="59"/>
      <c r="T111" s="57"/>
      <c r="U111" s="60"/>
      <c r="V111" s="59"/>
      <c r="W111" s="57"/>
      <c r="X111" s="57"/>
      <c r="Y111" s="57" t="s">
        <v>20</v>
      </c>
      <c r="Z111" s="57" t="s">
        <v>155</v>
      </c>
      <c r="AA111" s="59">
        <v>41871</v>
      </c>
      <c r="AB111" s="57" t="s">
        <v>61</v>
      </c>
      <c r="AC111" s="60">
        <v>45860</v>
      </c>
      <c r="AD111" s="59">
        <v>41871</v>
      </c>
      <c r="AE111" s="57" t="s">
        <v>1274</v>
      </c>
      <c r="AF111" s="57" t="s">
        <v>1275</v>
      </c>
    </row>
    <row r="112" spans="1:32">
      <c r="A112" s="57">
        <v>111</v>
      </c>
      <c r="B112" s="58">
        <v>45862.326851851853</v>
      </c>
      <c r="C112" s="58">
        <v>45862.332986111112</v>
      </c>
      <c r="D112" s="57" t="s">
        <v>1276</v>
      </c>
      <c r="E112" s="57" t="s">
        <v>1277</v>
      </c>
      <c r="F112" s="58"/>
      <c r="G112" s="57" t="s">
        <v>668</v>
      </c>
      <c r="H112" s="59">
        <v>2</v>
      </c>
      <c r="I112" s="57"/>
      <c r="J112" s="57"/>
      <c r="K112" s="59"/>
      <c r="L112" s="57"/>
      <c r="M112" s="60"/>
      <c r="N112" s="59"/>
      <c r="O112" s="57"/>
      <c r="P112" s="57"/>
      <c r="Q112" s="57" t="s">
        <v>20</v>
      </c>
      <c r="R112" s="57" t="s">
        <v>378</v>
      </c>
      <c r="S112" s="59">
        <v>1544</v>
      </c>
      <c r="T112" s="57" t="s">
        <v>61</v>
      </c>
      <c r="U112" s="60">
        <v>45833</v>
      </c>
      <c r="V112" s="59">
        <v>1544</v>
      </c>
      <c r="W112" s="57" t="s">
        <v>1278</v>
      </c>
      <c r="X112" s="57" t="s">
        <v>1279</v>
      </c>
      <c r="Y112" s="57" t="s">
        <v>21</v>
      </c>
      <c r="Z112" s="57" t="s">
        <v>1280</v>
      </c>
      <c r="AA112" s="59">
        <v>42523</v>
      </c>
      <c r="AB112" s="57" t="s">
        <v>61</v>
      </c>
      <c r="AC112" s="60">
        <v>45811</v>
      </c>
      <c r="AD112" s="59">
        <v>42523</v>
      </c>
      <c r="AE112" s="57" t="s">
        <v>1281</v>
      </c>
      <c r="AF112" s="57" t="s">
        <v>1282</v>
      </c>
    </row>
    <row r="113" spans="1:32">
      <c r="A113" s="57">
        <v>112</v>
      </c>
      <c r="B113" s="58">
        <v>45862.425983796304</v>
      </c>
      <c r="C113" s="58">
        <v>45862.427106481482</v>
      </c>
      <c r="D113" s="57" t="s">
        <v>1283</v>
      </c>
      <c r="E113" s="57" t="s">
        <v>1284</v>
      </c>
      <c r="F113" s="58"/>
      <c r="G113" s="57" t="s">
        <v>653</v>
      </c>
      <c r="H113" s="59">
        <v>2</v>
      </c>
      <c r="I113" s="57"/>
      <c r="J113" s="57"/>
      <c r="K113" s="59"/>
      <c r="L113" s="57"/>
      <c r="M113" s="60"/>
      <c r="N113" s="59"/>
      <c r="O113" s="57"/>
      <c r="P113" s="57"/>
      <c r="Q113" s="57" t="s">
        <v>22</v>
      </c>
      <c r="R113" s="57" t="s">
        <v>351</v>
      </c>
      <c r="S113" s="59">
        <v>8823</v>
      </c>
      <c r="T113" s="57" t="s">
        <v>61</v>
      </c>
      <c r="U113" s="60">
        <v>45834</v>
      </c>
      <c r="V113" s="59">
        <v>8823</v>
      </c>
      <c r="W113" s="57" t="s">
        <v>1285</v>
      </c>
      <c r="X113" s="57" t="s">
        <v>1286</v>
      </c>
      <c r="Y113" s="57" t="s">
        <v>21</v>
      </c>
      <c r="Z113" s="57" t="s">
        <v>375</v>
      </c>
      <c r="AA113" s="59">
        <v>3392</v>
      </c>
      <c r="AB113" s="57" t="s">
        <v>61</v>
      </c>
      <c r="AC113" s="60">
        <v>45862</v>
      </c>
      <c r="AD113" s="59">
        <v>3392</v>
      </c>
      <c r="AE113" s="57" t="s">
        <v>1287</v>
      </c>
      <c r="AF113" s="57" t="s">
        <v>1288</v>
      </c>
    </row>
    <row r="114" spans="1:32">
      <c r="A114" s="57">
        <v>113</v>
      </c>
      <c r="B114" s="58">
        <v>45862.449976851851</v>
      </c>
      <c r="C114" s="58">
        <v>45862.45103009259</v>
      </c>
      <c r="D114" s="57" t="s">
        <v>1289</v>
      </c>
      <c r="E114" s="57" t="s">
        <v>1290</v>
      </c>
      <c r="F114" s="58"/>
      <c r="G114" s="57" t="s">
        <v>641</v>
      </c>
      <c r="H114" s="59">
        <v>2</v>
      </c>
      <c r="I114" s="57"/>
      <c r="J114" s="57"/>
      <c r="K114" s="59"/>
      <c r="L114" s="57"/>
      <c r="M114" s="60"/>
      <c r="N114" s="59"/>
      <c r="O114" s="57"/>
      <c r="P114" s="57"/>
      <c r="Q114" s="57" t="s">
        <v>21</v>
      </c>
      <c r="R114" s="57" t="s">
        <v>1291</v>
      </c>
      <c r="S114" s="59">
        <v>42348</v>
      </c>
      <c r="T114" s="57" t="s">
        <v>61</v>
      </c>
      <c r="U114" s="60">
        <v>45836</v>
      </c>
      <c r="V114" s="59">
        <v>42348</v>
      </c>
      <c r="W114" s="57" t="s">
        <v>1292</v>
      </c>
      <c r="X114" s="57" t="s">
        <v>1293</v>
      </c>
      <c r="Y114" s="57" t="s">
        <v>21</v>
      </c>
      <c r="Z114" s="57" t="s">
        <v>336</v>
      </c>
      <c r="AA114" s="59">
        <v>6212</v>
      </c>
      <c r="AB114" s="57" t="s">
        <v>61</v>
      </c>
      <c r="AC114" s="60">
        <v>45862</v>
      </c>
      <c r="AD114" s="59">
        <v>6212</v>
      </c>
      <c r="AE114" s="57" t="s">
        <v>1294</v>
      </c>
      <c r="AF114" s="57" t="s">
        <v>1295</v>
      </c>
    </row>
    <row r="115" spans="1:32">
      <c r="A115" s="57">
        <v>114</v>
      </c>
      <c r="B115" s="58">
        <v>45862.451041666667</v>
      </c>
      <c r="C115" s="58">
        <v>45862.455416666657</v>
      </c>
      <c r="D115" s="57" t="s">
        <v>1296</v>
      </c>
      <c r="E115" s="57" t="s">
        <v>1297</v>
      </c>
      <c r="F115" s="58"/>
      <c r="G115" s="57" t="s">
        <v>511</v>
      </c>
      <c r="H115" s="59">
        <v>2</v>
      </c>
      <c r="I115" s="57"/>
      <c r="J115" s="57"/>
      <c r="K115" s="59"/>
      <c r="L115" s="57"/>
      <c r="M115" s="60"/>
      <c r="N115" s="59"/>
      <c r="O115" s="57"/>
      <c r="P115" s="57"/>
      <c r="Q115" s="57" t="s">
        <v>22</v>
      </c>
      <c r="R115" s="57" t="s">
        <v>178</v>
      </c>
      <c r="S115" s="59">
        <v>40955</v>
      </c>
      <c r="T115" s="57" t="s">
        <v>61</v>
      </c>
      <c r="U115" s="60">
        <v>45815</v>
      </c>
      <c r="V115" s="59">
        <v>40955</v>
      </c>
      <c r="W115" s="57" t="s">
        <v>1298</v>
      </c>
      <c r="X115" s="57" t="s">
        <v>1299</v>
      </c>
      <c r="Y115" s="57" t="s">
        <v>21</v>
      </c>
      <c r="Z115" s="57" t="s">
        <v>1300</v>
      </c>
      <c r="AA115" s="59">
        <v>70722</v>
      </c>
      <c r="AB115" s="57" t="s">
        <v>61</v>
      </c>
      <c r="AC115" s="60">
        <v>45840</v>
      </c>
      <c r="AD115" s="59">
        <v>70722</v>
      </c>
      <c r="AE115" s="57" t="s">
        <v>1301</v>
      </c>
      <c r="AF115" s="57" t="s">
        <v>1302</v>
      </c>
    </row>
    <row r="116" spans="1:32">
      <c r="A116" s="57">
        <v>115</v>
      </c>
      <c r="B116" s="58">
        <v>45862.454837962963</v>
      </c>
      <c r="C116" s="58">
        <v>45862.459467592591</v>
      </c>
      <c r="D116" s="57" t="s">
        <v>1303</v>
      </c>
      <c r="E116" s="57" t="s">
        <v>1304</v>
      </c>
      <c r="F116" s="58"/>
      <c r="G116" s="57" t="s">
        <v>558</v>
      </c>
      <c r="H116" s="59">
        <v>2</v>
      </c>
      <c r="I116" s="57"/>
      <c r="J116" s="57"/>
      <c r="K116" s="59"/>
      <c r="L116" s="57"/>
      <c r="M116" s="60"/>
      <c r="N116" s="59"/>
      <c r="O116" s="57"/>
      <c r="P116" s="57"/>
      <c r="Q116" s="57" t="s">
        <v>22</v>
      </c>
      <c r="R116" s="57" t="s">
        <v>228</v>
      </c>
      <c r="S116" s="59">
        <v>50870</v>
      </c>
      <c r="T116" s="57" t="s">
        <v>61</v>
      </c>
      <c r="U116" s="60">
        <v>45681</v>
      </c>
      <c r="V116" s="59">
        <v>50870</v>
      </c>
      <c r="W116" s="57" t="s">
        <v>1305</v>
      </c>
      <c r="X116" s="57" t="s">
        <v>1306</v>
      </c>
      <c r="Y116" s="57" t="s">
        <v>20</v>
      </c>
      <c r="Z116" s="57" t="s">
        <v>313</v>
      </c>
      <c r="AA116" s="59">
        <v>8055</v>
      </c>
      <c r="AB116" s="57" t="s">
        <v>61</v>
      </c>
      <c r="AC116" s="60">
        <v>45840</v>
      </c>
      <c r="AD116" s="59">
        <v>8055</v>
      </c>
      <c r="AE116" s="57" t="s">
        <v>1307</v>
      </c>
      <c r="AF116" s="57" t="s">
        <v>1308</v>
      </c>
    </row>
    <row r="117" spans="1:32">
      <c r="A117" s="57">
        <v>116</v>
      </c>
      <c r="B117" s="58">
        <v>45862.490254629629</v>
      </c>
      <c r="C117" s="58">
        <v>45862.492800925917</v>
      </c>
      <c r="D117" s="57" t="s">
        <v>1309</v>
      </c>
      <c r="E117" s="57" t="s">
        <v>1310</v>
      </c>
      <c r="F117" s="58"/>
      <c r="G117" s="57" t="s">
        <v>613</v>
      </c>
      <c r="H117" s="59">
        <v>2</v>
      </c>
      <c r="I117" s="57"/>
      <c r="J117" s="57"/>
      <c r="K117" s="59"/>
      <c r="L117" s="57"/>
      <c r="M117" s="60"/>
      <c r="N117" s="59"/>
      <c r="O117" s="57"/>
      <c r="P117" s="57"/>
      <c r="Q117" s="57" t="s">
        <v>22</v>
      </c>
      <c r="R117" s="57" t="s">
        <v>369</v>
      </c>
      <c r="S117" s="59">
        <v>4796</v>
      </c>
      <c r="T117" s="57" t="s">
        <v>61</v>
      </c>
      <c r="U117" s="60">
        <v>45797</v>
      </c>
      <c r="V117" s="59">
        <v>4796</v>
      </c>
      <c r="W117" s="57" t="s">
        <v>1311</v>
      </c>
      <c r="X117" s="57" t="s">
        <v>1312</v>
      </c>
      <c r="Y117" s="57" t="s">
        <v>21</v>
      </c>
      <c r="Z117" s="57" t="s">
        <v>293</v>
      </c>
      <c r="AA117" s="59">
        <v>15499</v>
      </c>
      <c r="AB117" s="57" t="s">
        <v>61</v>
      </c>
      <c r="AC117" s="60">
        <v>45801</v>
      </c>
      <c r="AD117" s="59">
        <v>15499</v>
      </c>
      <c r="AE117" s="57" t="s">
        <v>1313</v>
      </c>
      <c r="AF117" s="57" t="s">
        <v>1314</v>
      </c>
    </row>
    <row r="118" spans="1:32">
      <c r="A118" s="57">
        <v>117</v>
      </c>
      <c r="B118" s="58">
        <v>45862.539583333331</v>
      </c>
      <c r="C118" s="58">
        <v>45862.539803240739</v>
      </c>
      <c r="D118" s="57" t="s">
        <v>1260</v>
      </c>
      <c r="E118" s="57" t="s">
        <v>1261</v>
      </c>
      <c r="F118" s="58"/>
      <c r="G118" s="57" t="s">
        <v>637</v>
      </c>
      <c r="H118" s="59">
        <v>1</v>
      </c>
      <c r="I118" s="57"/>
      <c r="J118" s="57"/>
      <c r="K118" s="59"/>
      <c r="L118" s="57"/>
      <c r="M118" s="60"/>
      <c r="N118" s="59"/>
      <c r="O118" s="57"/>
      <c r="P118" s="57"/>
      <c r="Q118" s="57"/>
      <c r="R118" s="57"/>
      <c r="S118" s="59"/>
      <c r="T118" s="57"/>
      <c r="U118" s="60"/>
      <c r="V118" s="59"/>
      <c r="W118" s="57"/>
      <c r="X118" s="57"/>
      <c r="Y118" s="57" t="s">
        <v>20</v>
      </c>
      <c r="Z118" s="57" t="s">
        <v>1315</v>
      </c>
      <c r="AA118" s="59">
        <v>53083</v>
      </c>
      <c r="AB118" s="57" t="s">
        <v>61</v>
      </c>
      <c r="AC118" s="60">
        <v>45849</v>
      </c>
      <c r="AD118" s="59">
        <v>53083</v>
      </c>
      <c r="AE118" s="57" t="s">
        <v>1316</v>
      </c>
      <c r="AF118" s="57" t="s">
        <v>1317</v>
      </c>
    </row>
    <row r="119" spans="1:32">
      <c r="A119" s="57">
        <v>118</v>
      </c>
      <c r="B119" s="58">
        <v>45862.558946759258</v>
      </c>
      <c r="C119" s="58">
        <v>45862.568101851852</v>
      </c>
      <c r="D119" s="57" t="s">
        <v>1318</v>
      </c>
      <c r="E119" s="57" t="s">
        <v>1319</v>
      </c>
      <c r="F119" s="58"/>
      <c r="G119" s="57" t="s">
        <v>587</v>
      </c>
      <c r="H119" s="59">
        <v>1</v>
      </c>
      <c r="I119" s="57"/>
      <c r="J119" s="57"/>
      <c r="K119" s="59"/>
      <c r="L119" s="57"/>
      <c r="M119" s="60"/>
      <c r="N119" s="59"/>
      <c r="O119" s="57"/>
      <c r="P119" s="57"/>
      <c r="Q119" s="57"/>
      <c r="R119" s="57"/>
      <c r="S119" s="59"/>
      <c r="T119" s="57"/>
      <c r="U119" s="60"/>
      <c r="V119" s="59"/>
      <c r="W119" s="57"/>
      <c r="X119" s="57"/>
      <c r="Y119" s="57" t="s">
        <v>21</v>
      </c>
      <c r="Z119" s="57" t="s">
        <v>261</v>
      </c>
      <c r="AA119" s="59">
        <v>25631</v>
      </c>
      <c r="AB119" s="57" t="s">
        <v>61</v>
      </c>
      <c r="AC119" s="60">
        <v>45845</v>
      </c>
      <c r="AD119" s="59">
        <v>25631</v>
      </c>
      <c r="AE119" s="57" t="s">
        <v>1320</v>
      </c>
      <c r="AF119" s="57" t="s">
        <v>1321</v>
      </c>
    </row>
    <row r="120" spans="1:32">
      <c r="A120" s="57">
        <v>119</v>
      </c>
      <c r="B120" s="58">
        <v>45862.639675925922</v>
      </c>
      <c r="C120" s="58">
        <v>45862.641365740739</v>
      </c>
      <c r="D120" s="57" t="s">
        <v>1322</v>
      </c>
      <c r="E120" s="57" t="s">
        <v>1323</v>
      </c>
      <c r="F120" s="58"/>
      <c r="G120" s="57" t="s">
        <v>497</v>
      </c>
      <c r="H120" s="59">
        <v>1</v>
      </c>
      <c r="I120" s="57"/>
      <c r="J120" s="57"/>
      <c r="K120" s="59"/>
      <c r="L120" s="57"/>
      <c r="M120" s="60"/>
      <c r="N120" s="59"/>
      <c r="O120" s="57"/>
      <c r="P120" s="57"/>
      <c r="Q120" s="57"/>
      <c r="R120" s="57"/>
      <c r="S120" s="59"/>
      <c r="T120" s="57"/>
      <c r="U120" s="60"/>
      <c r="V120" s="59"/>
      <c r="W120" s="57"/>
      <c r="X120" s="57"/>
      <c r="Y120" s="57" t="s">
        <v>20</v>
      </c>
      <c r="Z120" s="57" t="s">
        <v>163</v>
      </c>
      <c r="AA120" s="59">
        <v>13220</v>
      </c>
      <c r="AB120" s="57" t="s">
        <v>61</v>
      </c>
      <c r="AC120" s="60">
        <v>45861</v>
      </c>
      <c r="AD120" s="59">
        <v>13220</v>
      </c>
      <c r="AE120" s="57" t="s">
        <v>1324</v>
      </c>
      <c r="AF120" s="57" t="s">
        <v>1325</v>
      </c>
    </row>
    <row r="121" spans="1:32">
      <c r="A121" s="57">
        <v>120</v>
      </c>
      <c r="B121" s="58">
        <v>45863.336469907408</v>
      </c>
      <c r="C121" s="58">
        <v>45863.353703703702</v>
      </c>
      <c r="D121" s="57" t="s">
        <v>1326</v>
      </c>
      <c r="E121" s="57" t="s">
        <v>1327</v>
      </c>
      <c r="F121" s="58"/>
      <c r="G121" s="57" t="s">
        <v>565</v>
      </c>
      <c r="H121" s="59">
        <v>2</v>
      </c>
      <c r="I121" s="57"/>
      <c r="J121" s="57"/>
      <c r="K121" s="59"/>
      <c r="L121" s="57"/>
      <c r="M121" s="60"/>
      <c r="N121" s="59"/>
      <c r="O121" s="57"/>
      <c r="P121" s="57"/>
      <c r="Q121" s="57" t="s">
        <v>20</v>
      </c>
      <c r="R121" s="57" t="s">
        <v>1328</v>
      </c>
      <c r="S121" s="59">
        <v>56142</v>
      </c>
      <c r="T121" s="57" t="s">
        <v>61</v>
      </c>
      <c r="U121" s="60">
        <v>45799</v>
      </c>
      <c r="V121" s="59">
        <v>56142</v>
      </c>
      <c r="W121" s="57" t="s">
        <v>1329</v>
      </c>
      <c r="X121" s="57" t="s">
        <v>1330</v>
      </c>
      <c r="Y121" s="57" t="s">
        <v>21</v>
      </c>
      <c r="Z121" s="57" t="s">
        <v>237</v>
      </c>
      <c r="AA121" s="59">
        <v>31971</v>
      </c>
      <c r="AB121" s="57" t="s">
        <v>61</v>
      </c>
      <c r="AC121" s="60">
        <v>45819</v>
      </c>
      <c r="AD121" s="59">
        <v>31971</v>
      </c>
      <c r="AE121" s="57" t="s">
        <v>1331</v>
      </c>
      <c r="AF121" s="57" t="s">
        <v>1332</v>
      </c>
    </row>
    <row r="122" spans="1:32">
      <c r="A122" s="57">
        <v>121</v>
      </c>
      <c r="B122" s="58">
        <v>45863.594074074077</v>
      </c>
      <c r="C122" s="58">
        <v>45863.599988425929</v>
      </c>
      <c r="D122" s="57" t="s">
        <v>1333</v>
      </c>
      <c r="E122" s="57" t="s">
        <v>1334</v>
      </c>
      <c r="F122" s="58"/>
      <c r="G122" s="57" t="s">
        <v>516</v>
      </c>
      <c r="H122" s="59">
        <v>1</v>
      </c>
      <c r="I122" s="57"/>
      <c r="J122" s="57"/>
      <c r="K122" s="59"/>
      <c r="L122" s="57"/>
      <c r="M122" s="60"/>
      <c r="N122" s="59"/>
      <c r="O122" s="57"/>
      <c r="P122" s="57"/>
      <c r="Q122" s="57"/>
      <c r="R122" s="57"/>
      <c r="S122" s="59"/>
      <c r="T122" s="57"/>
      <c r="U122" s="60"/>
      <c r="V122" s="59"/>
      <c r="W122" s="57"/>
      <c r="X122" s="57"/>
      <c r="Y122" s="57" t="s">
        <v>20</v>
      </c>
      <c r="Z122" s="57" t="s">
        <v>183</v>
      </c>
      <c r="AA122" s="59">
        <v>42677</v>
      </c>
      <c r="AB122" s="57" t="s">
        <v>61</v>
      </c>
      <c r="AC122" s="60">
        <v>45737</v>
      </c>
      <c r="AD122" s="59">
        <v>42677</v>
      </c>
      <c r="AE122" s="57" t="s">
        <v>1335</v>
      </c>
      <c r="AF122" s="57" t="s">
        <v>1336</v>
      </c>
    </row>
    <row r="123" spans="1:32">
      <c r="A123" s="57">
        <v>122</v>
      </c>
      <c r="B123" s="58">
        <v>45864.568449074082</v>
      </c>
      <c r="C123" s="58">
        <v>45864.571087962962</v>
      </c>
      <c r="D123" s="57" t="s">
        <v>1337</v>
      </c>
      <c r="E123" s="57" t="s">
        <v>1338</v>
      </c>
      <c r="F123" s="58"/>
      <c r="G123" s="57" t="s">
        <v>710</v>
      </c>
      <c r="H123" s="59">
        <v>1</v>
      </c>
      <c r="I123" s="57"/>
      <c r="J123" s="57"/>
      <c r="K123" s="59"/>
      <c r="L123" s="57"/>
      <c r="M123" s="60"/>
      <c r="N123" s="59"/>
      <c r="O123" s="57"/>
      <c r="P123" s="57"/>
      <c r="Q123" s="57"/>
      <c r="R123" s="57"/>
      <c r="S123" s="59"/>
      <c r="T123" s="57"/>
      <c r="U123" s="60"/>
      <c r="V123" s="59"/>
      <c r="W123" s="57"/>
      <c r="X123" s="57"/>
      <c r="Y123" s="57" t="s">
        <v>21</v>
      </c>
      <c r="Z123" s="57" t="s">
        <v>1339</v>
      </c>
      <c r="AA123" s="59">
        <v>35100</v>
      </c>
      <c r="AB123" s="57" t="s">
        <v>61</v>
      </c>
      <c r="AC123" s="60">
        <v>45864</v>
      </c>
      <c r="AD123" s="59">
        <v>35100</v>
      </c>
      <c r="AE123" s="57" t="s">
        <v>1340</v>
      </c>
      <c r="AF123" s="57" t="s">
        <v>1341</v>
      </c>
    </row>
    <row r="124" spans="1:32">
      <c r="A124" s="57">
        <v>123</v>
      </c>
      <c r="B124" s="58">
        <v>45865.584872685176</v>
      </c>
      <c r="C124" s="58">
        <v>45865.592650462961</v>
      </c>
      <c r="D124" s="57" t="s">
        <v>1342</v>
      </c>
      <c r="E124" s="57" t="s">
        <v>1343</v>
      </c>
      <c r="F124" s="58"/>
      <c r="G124" s="57" t="s">
        <v>629</v>
      </c>
      <c r="H124" s="59">
        <v>3</v>
      </c>
      <c r="I124" s="57" t="s">
        <v>20</v>
      </c>
      <c r="J124" s="57" t="s">
        <v>315</v>
      </c>
      <c r="K124" s="59">
        <v>20785</v>
      </c>
      <c r="L124" s="57" t="s">
        <v>61</v>
      </c>
      <c r="M124" s="60">
        <v>45779</v>
      </c>
      <c r="N124" s="59">
        <v>20785</v>
      </c>
      <c r="O124" s="57" t="s">
        <v>1344</v>
      </c>
      <c r="P124" s="57" t="s">
        <v>1345</v>
      </c>
      <c r="Q124" s="57" t="s">
        <v>20</v>
      </c>
      <c r="R124" s="57" t="s">
        <v>1346</v>
      </c>
      <c r="S124" s="59">
        <v>61783</v>
      </c>
      <c r="T124" s="57" t="s">
        <v>61</v>
      </c>
      <c r="U124" s="60">
        <v>45811</v>
      </c>
      <c r="V124" s="59">
        <v>61783</v>
      </c>
      <c r="W124" s="57" t="s">
        <v>1347</v>
      </c>
      <c r="X124" s="57" t="s">
        <v>1348</v>
      </c>
      <c r="Y124" s="57" t="s">
        <v>20</v>
      </c>
      <c r="Z124" s="57" t="s">
        <v>789</v>
      </c>
      <c r="AA124" s="59">
        <v>14386</v>
      </c>
      <c r="AB124" s="57" t="s">
        <v>61</v>
      </c>
      <c r="AC124" s="60">
        <v>45765</v>
      </c>
      <c r="AD124" s="59">
        <v>14386</v>
      </c>
      <c r="AE124" s="57" t="s">
        <v>1349</v>
      </c>
      <c r="AF124" s="57" t="s">
        <v>1350</v>
      </c>
    </row>
    <row r="125" spans="1:32">
      <c r="A125" s="57">
        <v>124</v>
      </c>
      <c r="B125" s="58">
        <v>45866.617291666669</v>
      </c>
      <c r="C125" s="58">
        <v>45866.621469907397</v>
      </c>
      <c r="D125" s="57" t="s">
        <v>1351</v>
      </c>
      <c r="E125" s="57" t="s">
        <v>1352</v>
      </c>
      <c r="F125" s="58"/>
      <c r="G125" s="57" t="s">
        <v>673</v>
      </c>
      <c r="H125" s="59">
        <v>1</v>
      </c>
      <c r="I125" s="57"/>
      <c r="J125" s="57"/>
      <c r="K125" s="59"/>
      <c r="L125" s="57"/>
      <c r="M125" s="60"/>
      <c r="N125" s="59"/>
      <c r="O125" s="57"/>
      <c r="P125" s="57"/>
      <c r="Q125" s="57"/>
      <c r="R125" s="57"/>
      <c r="S125" s="59"/>
      <c r="T125" s="57"/>
      <c r="U125" s="60"/>
      <c r="V125" s="59"/>
      <c r="W125" s="57"/>
      <c r="X125" s="57"/>
      <c r="Y125" s="57" t="s">
        <v>20</v>
      </c>
      <c r="Z125" s="57" t="s">
        <v>1353</v>
      </c>
      <c r="AA125" s="59">
        <v>75434</v>
      </c>
      <c r="AB125" s="57" t="s">
        <v>61</v>
      </c>
      <c r="AC125" s="60">
        <v>45863</v>
      </c>
      <c r="AD125" s="59">
        <v>75434</v>
      </c>
      <c r="AE125" s="57" t="s">
        <v>1354</v>
      </c>
      <c r="AF125" s="57" t="s">
        <v>1355</v>
      </c>
    </row>
    <row r="126" spans="1:32">
      <c r="A126" s="57">
        <v>125</v>
      </c>
      <c r="B126" s="58">
        <v>45866.617384259262</v>
      </c>
      <c r="C126" s="58">
        <v>45866.624305555553</v>
      </c>
      <c r="D126" s="57" t="s">
        <v>1356</v>
      </c>
      <c r="E126" s="57" t="s">
        <v>1357</v>
      </c>
      <c r="F126" s="58"/>
      <c r="G126" s="57" t="s">
        <v>690</v>
      </c>
      <c r="H126" s="59">
        <v>1</v>
      </c>
      <c r="I126" s="57"/>
      <c r="J126" s="57"/>
      <c r="K126" s="59"/>
      <c r="L126" s="57"/>
      <c r="M126" s="60"/>
      <c r="N126" s="59"/>
      <c r="O126" s="57"/>
      <c r="P126" s="57"/>
      <c r="Q126" s="57"/>
      <c r="R126" s="57"/>
      <c r="S126" s="59"/>
      <c r="T126" s="57"/>
      <c r="U126" s="60"/>
      <c r="V126" s="59"/>
      <c r="W126" s="57"/>
      <c r="X126" s="57"/>
      <c r="Y126" s="57" t="s">
        <v>21</v>
      </c>
      <c r="Z126" s="57" t="s">
        <v>1358</v>
      </c>
      <c r="AA126" s="59">
        <v>9355</v>
      </c>
      <c r="AB126" s="57" t="s">
        <v>61</v>
      </c>
      <c r="AC126" s="60">
        <v>45761</v>
      </c>
      <c r="AD126" s="59">
        <v>9355</v>
      </c>
      <c r="AE126" s="57" t="s">
        <v>1359</v>
      </c>
      <c r="AF126" s="57" t="s">
        <v>1360</v>
      </c>
    </row>
    <row r="127" spans="1:32">
      <c r="A127" s="57">
        <v>126</v>
      </c>
      <c r="B127" s="58">
        <v>45866.622685185182</v>
      </c>
      <c r="C127" s="58">
        <v>45866.62835648148</v>
      </c>
      <c r="D127" s="57" t="s">
        <v>1361</v>
      </c>
      <c r="E127" s="57" t="s">
        <v>1362</v>
      </c>
      <c r="F127" s="58"/>
      <c r="G127" s="57" t="s">
        <v>487</v>
      </c>
      <c r="H127" s="59">
        <v>1</v>
      </c>
      <c r="I127" s="57"/>
      <c r="J127" s="57"/>
      <c r="K127" s="59"/>
      <c r="L127" s="57"/>
      <c r="M127" s="60"/>
      <c r="N127" s="59"/>
      <c r="O127" s="57"/>
      <c r="P127" s="57"/>
      <c r="Q127" s="57"/>
      <c r="R127" s="57"/>
      <c r="S127" s="59"/>
      <c r="T127" s="57"/>
      <c r="U127" s="60"/>
      <c r="V127" s="59"/>
      <c r="W127" s="57"/>
      <c r="X127" s="57"/>
      <c r="Y127" s="57" t="s">
        <v>21</v>
      </c>
      <c r="Z127" s="57" t="s">
        <v>153</v>
      </c>
      <c r="AA127" s="59">
        <v>18088</v>
      </c>
      <c r="AB127" s="57" t="s">
        <v>61</v>
      </c>
      <c r="AC127" s="60">
        <v>45701</v>
      </c>
      <c r="AD127" s="59">
        <v>18088</v>
      </c>
      <c r="AE127" s="57" t="s">
        <v>1363</v>
      </c>
      <c r="AF127" s="57" t="s">
        <v>1364</v>
      </c>
    </row>
    <row r="128" spans="1:32">
      <c r="A128" s="57">
        <v>127</v>
      </c>
      <c r="B128" s="58">
        <v>45866.62232638889</v>
      </c>
      <c r="C128" s="58">
        <v>45866.629548611112</v>
      </c>
      <c r="D128" s="57" t="s">
        <v>1365</v>
      </c>
      <c r="E128" s="57" t="s">
        <v>1366</v>
      </c>
      <c r="F128" s="58"/>
      <c r="G128" s="57" t="s">
        <v>638</v>
      </c>
      <c r="H128" s="59">
        <v>1</v>
      </c>
      <c r="I128" s="57"/>
      <c r="J128" s="57"/>
      <c r="K128" s="59"/>
      <c r="L128" s="57"/>
      <c r="M128" s="60"/>
      <c r="N128" s="59"/>
      <c r="O128" s="57"/>
      <c r="P128" s="57"/>
      <c r="Q128" s="57"/>
      <c r="R128" s="57"/>
      <c r="S128" s="59"/>
      <c r="T128" s="57"/>
      <c r="U128" s="60"/>
      <c r="V128" s="59"/>
      <c r="W128" s="57"/>
      <c r="X128" s="57"/>
      <c r="Y128" s="57" t="s">
        <v>21</v>
      </c>
      <c r="Z128" s="57" t="s">
        <v>331</v>
      </c>
      <c r="AA128" s="59">
        <v>6744</v>
      </c>
      <c r="AB128" s="57" t="s">
        <v>61</v>
      </c>
      <c r="AC128" s="60">
        <v>45620</v>
      </c>
      <c r="AD128" s="59">
        <v>6744</v>
      </c>
      <c r="AE128" s="57" t="s">
        <v>1367</v>
      </c>
      <c r="AF128" s="57" t="s">
        <v>1368</v>
      </c>
    </row>
    <row r="129" spans="1:32">
      <c r="A129" s="57">
        <v>128</v>
      </c>
      <c r="B129" s="58">
        <v>45866.645925925928</v>
      </c>
      <c r="C129" s="58">
        <v>45866.650856481479</v>
      </c>
      <c r="D129" s="57" t="s">
        <v>809</v>
      </c>
      <c r="E129" s="57" t="s">
        <v>810</v>
      </c>
      <c r="F129" s="58"/>
      <c r="G129" s="57" t="s">
        <v>468</v>
      </c>
      <c r="H129" s="59">
        <v>1</v>
      </c>
      <c r="I129" s="57"/>
      <c r="J129" s="57"/>
      <c r="K129" s="59"/>
      <c r="L129" s="57"/>
      <c r="M129" s="60"/>
      <c r="N129" s="59"/>
      <c r="O129" s="57"/>
      <c r="P129" s="57"/>
      <c r="Q129" s="57"/>
      <c r="R129" s="57"/>
      <c r="S129" s="59"/>
      <c r="T129" s="57"/>
      <c r="U129" s="60"/>
      <c r="V129" s="59"/>
      <c r="W129" s="57"/>
      <c r="X129" s="57"/>
      <c r="Y129" s="57" t="s">
        <v>21</v>
      </c>
      <c r="Z129" s="57" t="s">
        <v>134</v>
      </c>
      <c r="AA129" s="59">
        <v>41886</v>
      </c>
      <c r="AB129" s="57" t="s">
        <v>61</v>
      </c>
      <c r="AC129" s="60">
        <v>45762</v>
      </c>
      <c r="AD129" s="59">
        <v>41886</v>
      </c>
      <c r="AE129" s="57" t="s">
        <v>1369</v>
      </c>
      <c r="AF129" s="57" t="s">
        <v>1370</v>
      </c>
    </row>
    <row r="130" spans="1:32">
      <c r="A130" s="57">
        <v>129</v>
      </c>
      <c r="B130" s="58">
        <v>45866.651597222219</v>
      </c>
      <c r="C130" s="58">
        <v>45866.655277777783</v>
      </c>
      <c r="D130" s="57" t="s">
        <v>1371</v>
      </c>
      <c r="E130" s="57" t="s">
        <v>1372</v>
      </c>
      <c r="F130" s="58"/>
      <c r="G130" s="57" t="s">
        <v>514</v>
      </c>
      <c r="H130" s="59">
        <v>1</v>
      </c>
      <c r="I130" s="57"/>
      <c r="J130" s="57"/>
      <c r="K130" s="59"/>
      <c r="L130" s="57"/>
      <c r="M130" s="60"/>
      <c r="N130" s="59"/>
      <c r="O130" s="57"/>
      <c r="P130" s="57"/>
      <c r="Q130" s="57"/>
      <c r="R130" s="57"/>
      <c r="S130" s="59"/>
      <c r="T130" s="57"/>
      <c r="U130" s="60"/>
      <c r="V130" s="59"/>
      <c r="W130" s="57"/>
      <c r="X130" s="57"/>
      <c r="Y130" s="57" t="s">
        <v>21</v>
      </c>
      <c r="Z130" s="57" t="s">
        <v>181</v>
      </c>
      <c r="AA130" s="59">
        <v>31651</v>
      </c>
      <c r="AB130" s="57" t="s">
        <v>61</v>
      </c>
      <c r="AC130" s="60">
        <v>45813</v>
      </c>
      <c r="AD130" s="59">
        <v>31651</v>
      </c>
      <c r="AE130" s="57" t="s">
        <v>1373</v>
      </c>
      <c r="AF130" s="57" t="s">
        <v>1374</v>
      </c>
    </row>
    <row r="131" spans="1:32">
      <c r="A131" s="57">
        <v>130</v>
      </c>
      <c r="B131" s="58">
        <v>45866.661608796298</v>
      </c>
      <c r="C131" s="58">
        <v>45866.663206018522</v>
      </c>
      <c r="D131" s="57" t="s">
        <v>1375</v>
      </c>
      <c r="E131" s="57" t="s">
        <v>1376</v>
      </c>
      <c r="F131" s="58"/>
      <c r="G131" s="57" t="s">
        <v>681</v>
      </c>
      <c r="H131" s="59">
        <v>1</v>
      </c>
      <c r="I131" s="57"/>
      <c r="J131" s="57"/>
      <c r="K131" s="59"/>
      <c r="L131" s="57"/>
      <c r="M131" s="60"/>
      <c r="N131" s="59"/>
      <c r="O131" s="57"/>
      <c r="P131" s="57"/>
      <c r="Q131" s="57"/>
      <c r="R131" s="57"/>
      <c r="S131" s="59"/>
      <c r="T131" s="57"/>
      <c r="U131" s="60"/>
      <c r="V131" s="59"/>
      <c r="W131" s="57"/>
      <c r="X131" s="57"/>
      <c r="Y131" s="57" t="s">
        <v>20</v>
      </c>
      <c r="Z131" s="57" t="s">
        <v>879</v>
      </c>
      <c r="AA131" s="59">
        <v>69392</v>
      </c>
      <c r="AB131" s="57" t="s">
        <v>61</v>
      </c>
      <c r="AC131" s="60">
        <v>45836</v>
      </c>
      <c r="AD131" s="59">
        <v>69392</v>
      </c>
      <c r="AE131" s="57" t="s">
        <v>1377</v>
      </c>
      <c r="AF131" s="57" t="s">
        <v>1378</v>
      </c>
    </row>
    <row r="132" spans="1:32">
      <c r="A132" s="57">
        <v>131</v>
      </c>
      <c r="B132" s="58">
        <v>45866.672025462962</v>
      </c>
      <c r="C132" s="58">
        <v>45866.679548611108</v>
      </c>
      <c r="D132" s="57" t="s">
        <v>1379</v>
      </c>
      <c r="E132" s="57" t="s">
        <v>1380</v>
      </c>
      <c r="F132" s="58"/>
      <c r="G132" s="57" t="s">
        <v>598</v>
      </c>
      <c r="H132" s="59">
        <v>1</v>
      </c>
      <c r="I132" s="57"/>
      <c r="J132" s="57"/>
      <c r="K132" s="59"/>
      <c r="L132" s="57"/>
      <c r="M132" s="60"/>
      <c r="N132" s="59"/>
      <c r="O132" s="57"/>
      <c r="P132" s="57"/>
      <c r="Q132" s="57"/>
      <c r="R132" s="57"/>
      <c r="S132" s="59"/>
      <c r="T132" s="57"/>
      <c r="U132" s="60"/>
      <c r="V132" s="59"/>
      <c r="W132" s="57"/>
      <c r="X132" s="57"/>
      <c r="Y132" s="57" t="s">
        <v>21</v>
      </c>
      <c r="Z132" s="57" t="s">
        <v>274</v>
      </c>
      <c r="AA132" s="59">
        <v>17821</v>
      </c>
      <c r="AB132" s="57" t="s">
        <v>61</v>
      </c>
      <c r="AC132" s="60">
        <v>45695</v>
      </c>
      <c r="AD132" s="59">
        <v>17821</v>
      </c>
      <c r="AE132" s="57" t="s">
        <v>1381</v>
      </c>
      <c r="AF132" s="57" t="s">
        <v>1382</v>
      </c>
    </row>
    <row r="133" spans="1:32">
      <c r="A133" s="57">
        <v>132</v>
      </c>
      <c r="B133" s="58">
        <v>45866.739201388889</v>
      </c>
      <c r="C133" s="58">
        <v>45866.741712962961</v>
      </c>
      <c r="D133" s="57" t="s">
        <v>1383</v>
      </c>
      <c r="E133" s="57" t="s">
        <v>1384</v>
      </c>
      <c r="F133" s="58"/>
      <c r="G133" s="57" t="s">
        <v>626</v>
      </c>
      <c r="H133" s="59">
        <v>1</v>
      </c>
      <c r="I133" s="57"/>
      <c r="J133" s="57"/>
      <c r="K133" s="59"/>
      <c r="L133" s="57"/>
      <c r="M133" s="60"/>
      <c r="N133" s="59"/>
      <c r="O133" s="57"/>
      <c r="P133" s="57"/>
      <c r="Q133" s="57"/>
      <c r="R133" s="57"/>
      <c r="S133" s="59"/>
      <c r="T133" s="57"/>
      <c r="U133" s="60"/>
      <c r="V133" s="59"/>
      <c r="W133" s="57"/>
      <c r="X133" s="57"/>
      <c r="Y133" s="57" t="s">
        <v>21</v>
      </c>
      <c r="Z133" s="57" t="s">
        <v>309</v>
      </c>
      <c r="AA133" s="59">
        <v>14474</v>
      </c>
      <c r="AB133" s="57" t="s">
        <v>61</v>
      </c>
      <c r="AC133" s="60">
        <v>45805</v>
      </c>
      <c r="AD133" s="59">
        <v>14474</v>
      </c>
      <c r="AE133" s="57" t="s">
        <v>1385</v>
      </c>
      <c r="AF133" s="57" t="s">
        <v>1386</v>
      </c>
    </row>
    <row r="134" spans="1:32">
      <c r="A134" s="57">
        <v>133</v>
      </c>
      <c r="B134" s="58">
        <v>45866.743391203701</v>
      </c>
      <c r="C134" s="58">
        <v>45866.752233796287</v>
      </c>
      <c r="D134" s="57" t="s">
        <v>1387</v>
      </c>
      <c r="E134" s="57" t="s">
        <v>1388</v>
      </c>
      <c r="F134" s="58"/>
      <c r="G134" s="57" t="s">
        <v>462</v>
      </c>
      <c r="H134" s="59">
        <v>1</v>
      </c>
      <c r="I134" s="57"/>
      <c r="J134" s="57"/>
      <c r="K134" s="59"/>
      <c r="L134" s="57"/>
      <c r="M134" s="60"/>
      <c r="N134" s="59"/>
      <c r="O134" s="57"/>
      <c r="P134" s="57"/>
      <c r="Q134" s="57"/>
      <c r="R134" s="57"/>
      <c r="S134" s="59"/>
      <c r="T134" s="57"/>
      <c r="U134" s="60"/>
      <c r="V134" s="59"/>
      <c r="W134" s="57"/>
      <c r="X134" s="57"/>
      <c r="Y134" s="57" t="s">
        <v>21</v>
      </c>
      <c r="Z134" s="57" t="s">
        <v>127</v>
      </c>
      <c r="AA134" s="59">
        <v>19961</v>
      </c>
      <c r="AB134" s="57" t="s">
        <v>61</v>
      </c>
      <c r="AC134" s="60">
        <v>45668</v>
      </c>
      <c r="AD134" s="59">
        <v>19961</v>
      </c>
      <c r="AE134" s="57" t="s">
        <v>1389</v>
      </c>
      <c r="AF134" s="57" t="s">
        <v>1390</v>
      </c>
    </row>
    <row r="135" spans="1:32">
      <c r="A135" s="57">
        <v>134</v>
      </c>
      <c r="B135" s="58">
        <v>45867.346828703703</v>
      </c>
      <c r="C135" s="58">
        <v>45867.349062499998</v>
      </c>
      <c r="D135" s="57" t="s">
        <v>1391</v>
      </c>
      <c r="E135" s="57" t="s">
        <v>1392</v>
      </c>
      <c r="F135" s="58"/>
      <c r="G135" s="57" t="s">
        <v>483</v>
      </c>
      <c r="H135" s="59">
        <v>2</v>
      </c>
      <c r="I135" s="57"/>
      <c r="J135" s="57"/>
      <c r="K135" s="59"/>
      <c r="L135" s="57"/>
      <c r="M135" s="60"/>
      <c r="N135" s="59"/>
      <c r="O135" s="57"/>
      <c r="P135" s="57"/>
      <c r="Q135" s="57" t="s">
        <v>22</v>
      </c>
      <c r="R135" s="57" t="s">
        <v>1393</v>
      </c>
      <c r="S135" s="59">
        <v>98400</v>
      </c>
      <c r="T135" s="57" t="s">
        <v>61</v>
      </c>
      <c r="U135" s="60">
        <v>45762</v>
      </c>
      <c r="V135" s="59">
        <v>98400</v>
      </c>
      <c r="W135" s="57" t="s">
        <v>1394</v>
      </c>
      <c r="X135" s="57" t="s">
        <v>1395</v>
      </c>
      <c r="Y135" s="57" t="s">
        <v>21</v>
      </c>
      <c r="Z135" s="57" t="s">
        <v>355</v>
      </c>
      <c r="AA135" s="59">
        <v>4027</v>
      </c>
      <c r="AB135" s="57" t="s">
        <v>61</v>
      </c>
      <c r="AC135" s="60">
        <v>45827</v>
      </c>
      <c r="AD135" s="59">
        <v>4027</v>
      </c>
      <c r="AE135" s="57" t="s">
        <v>1396</v>
      </c>
      <c r="AF135" s="57" t="s">
        <v>1397</v>
      </c>
    </row>
    <row r="136" spans="1:32">
      <c r="A136" s="57">
        <v>135</v>
      </c>
      <c r="B136" s="58">
        <v>45867.376666666663</v>
      </c>
      <c r="C136" s="58">
        <v>45867.389155092591</v>
      </c>
      <c r="D136" s="57" t="s">
        <v>974</v>
      </c>
      <c r="E136" s="57" t="s">
        <v>975</v>
      </c>
      <c r="F136" s="58"/>
      <c r="G136" s="57" t="s">
        <v>499</v>
      </c>
      <c r="H136" s="59">
        <v>2</v>
      </c>
      <c r="I136" s="57"/>
      <c r="J136" s="57"/>
      <c r="K136" s="59"/>
      <c r="L136" s="57"/>
      <c r="M136" s="60"/>
      <c r="N136" s="59"/>
      <c r="O136" s="57"/>
      <c r="P136" s="57"/>
      <c r="Q136" s="57" t="s">
        <v>22</v>
      </c>
      <c r="R136" s="57" t="s">
        <v>165</v>
      </c>
      <c r="S136" s="59">
        <v>32536</v>
      </c>
      <c r="T136" s="57" t="s">
        <v>61</v>
      </c>
      <c r="U136" s="60">
        <v>45785</v>
      </c>
      <c r="V136" s="59">
        <v>32536</v>
      </c>
      <c r="W136" s="57" t="s">
        <v>1398</v>
      </c>
      <c r="X136" s="57" t="s">
        <v>1399</v>
      </c>
      <c r="Y136" s="57" t="s">
        <v>21</v>
      </c>
      <c r="Z136" s="57" t="s">
        <v>978</v>
      </c>
      <c r="AA136" s="59">
        <v>19799</v>
      </c>
      <c r="AB136" s="57" t="s">
        <v>61</v>
      </c>
      <c r="AC136" s="60">
        <v>45785</v>
      </c>
      <c r="AD136" s="59">
        <v>19799</v>
      </c>
      <c r="AE136" s="57" t="s">
        <v>1400</v>
      </c>
      <c r="AF136" s="57" t="s">
        <v>1401</v>
      </c>
    </row>
    <row r="137" spans="1:32">
      <c r="A137" s="57">
        <v>136</v>
      </c>
      <c r="B137" s="58">
        <v>45867.416539351849</v>
      </c>
      <c r="C137" s="58">
        <v>45867.418333333328</v>
      </c>
      <c r="D137" s="57" t="s">
        <v>1402</v>
      </c>
      <c r="E137" s="57" t="s">
        <v>1403</v>
      </c>
      <c r="F137" s="58"/>
      <c r="G137" s="57" t="s">
        <v>575</v>
      </c>
      <c r="H137" s="59">
        <v>1</v>
      </c>
      <c r="I137" s="57"/>
      <c r="J137" s="57"/>
      <c r="K137" s="59"/>
      <c r="L137" s="57"/>
      <c r="M137" s="60"/>
      <c r="N137" s="59"/>
      <c r="O137" s="57"/>
      <c r="P137" s="57"/>
      <c r="Q137" s="57"/>
      <c r="R137" s="57"/>
      <c r="S137" s="59"/>
      <c r="T137" s="57"/>
      <c r="U137" s="60"/>
      <c r="V137" s="59"/>
      <c r="W137" s="57"/>
      <c r="X137" s="57"/>
      <c r="Y137" s="57" t="s">
        <v>21</v>
      </c>
      <c r="Z137" s="57" t="s">
        <v>247</v>
      </c>
      <c r="AA137" s="59">
        <v>22747</v>
      </c>
      <c r="AB137" s="57" t="s">
        <v>61</v>
      </c>
      <c r="AC137" s="60">
        <v>45701</v>
      </c>
      <c r="AD137" s="59">
        <v>22747</v>
      </c>
      <c r="AE137" s="57" t="s">
        <v>1404</v>
      </c>
      <c r="AF137" s="57" t="s">
        <v>1405</v>
      </c>
    </row>
    <row r="138" spans="1:32">
      <c r="A138" s="57">
        <v>137</v>
      </c>
      <c r="B138" s="58">
        <v>45867.415000000001</v>
      </c>
      <c r="C138" s="58">
        <v>45867.420740740738</v>
      </c>
      <c r="D138" s="57" t="s">
        <v>1406</v>
      </c>
      <c r="E138" s="57" t="s">
        <v>1407</v>
      </c>
      <c r="F138" s="58"/>
      <c r="G138" s="57" t="s">
        <v>531</v>
      </c>
      <c r="H138" s="59">
        <v>1</v>
      </c>
      <c r="I138" s="57"/>
      <c r="J138" s="57"/>
      <c r="K138" s="59"/>
      <c r="L138" s="57"/>
      <c r="M138" s="60"/>
      <c r="N138" s="59"/>
      <c r="O138" s="57"/>
      <c r="P138" s="57"/>
      <c r="Q138" s="57"/>
      <c r="R138" s="57"/>
      <c r="S138" s="59"/>
      <c r="T138" s="57"/>
      <c r="U138" s="60"/>
      <c r="V138" s="59"/>
      <c r="W138" s="57"/>
      <c r="X138" s="57"/>
      <c r="Y138" s="57" t="s">
        <v>21</v>
      </c>
      <c r="Z138" s="57" t="s">
        <v>199</v>
      </c>
      <c r="AA138" s="59">
        <v>21785</v>
      </c>
      <c r="AB138" s="57" t="s">
        <v>61</v>
      </c>
      <c r="AC138" s="60">
        <v>45687</v>
      </c>
      <c r="AD138" s="59">
        <v>21785</v>
      </c>
      <c r="AE138" s="57" t="s">
        <v>1408</v>
      </c>
      <c r="AF138" s="57" t="s">
        <v>1409</v>
      </c>
    </row>
    <row r="139" spans="1:32">
      <c r="A139" s="57">
        <v>138</v>
      </c>
      <c r="B139" s="58">
        <v>45867.434016203697</v>
      </c>
      <c r="C139" s="58">
        <v>45867.437314814822</v>
      </c>
      <c r="D139" s="57" t="s">
        <v>1410</v>
      </c>
      <c r="E139" s="57" t="s">
        <v>1411</v>
      </c>
      <c r="F139" s="58"/>
      <c r="G139" s="57" t="s">
        <v>493</v>
      </c>
      <c r="H139" s="59">
        <v>1</v>
      </c>
      <c r="I139" s="57"/>
      <c r="J139" s="57"/>
      <c r="K139" s="59"/>
      <c r="L139" s="57"/>
      <c r="M139" s="60"/>
      <c r="N139" s="59"/>
      <c r="O139" s="57"/>
      <c r="P139" s="57"/>
      <c r="Q139" s="57"/>
      <c r="R139" s="57"/>
      <c r="S139" s="59"/>
      <c r="T139" s="57"/>
      <c r="U139" s="60"/>
      <c r="V139" s="59"/>
      <c r="W139" s="57"/>
      <c r="X139" s="57"/>
      <c r="Y139" s="57" t="s">
        <v>21</v>
      </c>
      <c r="Z139" s="57" t="s">
        <v>159</v>
      </c>
      <c r="AA139" s="59">
        <v>37524</v>
      </c>
      <c r="AB139" s="57" t="s">
        <v>61</v>
      </c>
      <c r="AC139" s="60">
        <v>45797</v>
      </c>
      <c r="AD139" s="59">
        <v>37524</v>
      </c>
      <c r="AE139" s="57" t="s">
        <v>1412</v>
      </c>
      <c r="AF139" s="57" t="s">
        <v>1413</v>
      </c>
    </row>
    <row r="140" spans="1:32">
      <c r="A140" s="57">
        <v>139</v>
      </c>
      <c r="B140" s="58">
        <v>45867.436469907407</v>
      </c>
      <c r="C140" s="58">
        <v>45867.440868055557</v>
      </c>
      <c r="D140" s="57" t="s">
        <v>1414</v>
      </c>
      <c r="E140" s="57" t="s">
        <v>1415</v>
      </c>
      <c r="F140" s="58"/>
      <c r="G140" s="57" t="s">
        <v>578</v>
      </c>
      <c r="H140" s="59">
        <v>1</v>
      </c>
      <c r="I140" s="57"/>
      <c r="J140" s="57"/>
      <c r="K140" s="59"/>
      <c r="L140" s="57"/>
      <c r="M140" s="60"/>
      <c r="N140" s="59"/>
      <c r="O140" s="57"/>
      <c r="P140" s="57"/>
      <c r="Q140" s="57"/>
      <c r="R140" s="57"/>
      <c r="S140" s="59"/>
      <c r="T140" s="57"/>
      <c r="U140" s="60"/>
      <c r="V140" s="59"/>
      <c r="W140" s="57"/>
      <c r="X140" s="57"/>
      <c r="Y140" s="57" t="s">
        <v>21</v>
      </c>
      <c r="Z140" s="57" t="s">
        <v>1416</v>
      </c>
      <c r="AA140" s="59">
        <v>30646</v>
      </c>
      <c r="AB140" s="57" t="s">
        <v>61</v>
      </c>
      <c r="AC140" s="60">
        <v>45839</v>
      </c>
      <c r="AD140" s="59">
        <v>30646</v>
      </c>
      <c r="AE140" s="57" t="s">
        <v>1417</v>
      </c>
      <c r="AF140" s="57" t="s">
        <v>1418</v>
      </c>
    </row>
    <row r="141" spans="1:32">
      <c r="A141" s="57">
        <v>140</v>
      </c>
      <c r="B141" s="58">
        <v>45867.435624999998</v>
      </c>
      <c r="C141" s="58">
        <v>45867.444467592592</v>
      </c>
      <c r="D141" s="57" t="s">
        <v>1419</v>
      </c>
      <c r="E141" s="57" t="s">
        <v>1420</v>
      </c>
      <c r="F141" s="58"/>
      <c r="G141" s="57" t="s">
        <v>603</v>
      </c>
      <c r="H141" s="59">
        <v>1</v>
      </c>
      <c r="I141" s="57"/>
      <c r="J141" s="57"/>
      <c r="K141" s="59"/>
      <c r="L141" s="57"/>
      <c r="M141" s="60"/>
      <c r="N141" s="59"/>
      <c r="O141" s="57"/>
      <c r="P141" s="57"/>
      <c r="Q141" s="57"/>
      <c r="R141" s="57"/>
      <c r="S141" s="59"/>
      <c r="T141" s="57"/>
      <c r="U141" s="60"/>
      <c r="V141" s="59"/>
      <c r="W141" s="57"/>
      <c r="X141" s="57"/>
      <c r="Y141" s="57" t="s">
        <v>21</v>
      </c>
      <c r="Z141" s="57" t="s">
        <v>280</v>
      </c>
      <c r="AA141" s="59">
        <v>19664</v>
      </c>
      <c r="AB141" s="57" t="s">
        <v>61</v>
      </c>
      <c r="AC141" s="60">
        <v>45703</v>
      </c>
      <c r="AD141" s="59">
        <v>19664</v>
      </c>
      <c r="AE141" s="57" t="s">
        <v>1421</v>
      </c>
      <c r="AF141" s="57" t="s">
        <v>1422</v>
      </c>
    </row>
    <row r="142" spans="1:32">
      <c r="A142" s="57">
        <v>141</v>
      </c>
      <c r="B142" s="58">
        <v>45867.446620370371</v>
      </c>
      <c r="C142" s="58">
        <v>45867.450995370367</v>
      </c>
      <c r="D142" s="57" t="s">
        <v>1365</v>
      </c>
      <c r="E142" s="57" t="s">
        <v>1366</v>
      </c>
      <c r="F142" s="58"/>
      <c r="G142" s="57" t="s">
        <v>638</v>
      </c>
      <c r="H142" s="59">
        <v>1</v>
      </c>
      <c r="I142" s="57"/>
      <c r="J142" s="57"/>
      <c r="K142" s="59"/>
      <c r="L142" s="57"/>
      <c r="M142" s="60"/>
      <c r="N142" s="59"/>
      <c r="O142" s="57"/>
      <c r="P142" s="57"/>
      <c r="Q142" s="57"/>
      <c r="R142" s="57"/>
      <c r="S142" s="59"/>
      <c r="T142" s="57"/>
      <c r="U142" s="60"/>
      <c r="V142" s="59"/>
      <c r="W142" s="57"/>
      <c r="X142" s="57"/>
      <c r="Y142" s="57" t="s">
        <v>21</v>
      </c>
      <c r="Z142" s="57" t="s">
        <v>331</v>
      </c>
      <c r="AA142" s="59">
        <v>7033</v>
      </c>
      <c r="AB142" s="57" t="s">
        <v>61</v>
      </c>
      <c r="AC142" s="60">
        <v>45867</v>
      </c>
      <c r="AD142" s="59">
        <v>7033</v>
      </c>
      <c r="AE142" s="57" t="s">
        <v>1423</v>
      </c>
      <c r="AF142" s="57" t="s">
        <v>1424</v>
      </c>
    </row>
    <row r="143" spans="1:32">
      <c r="A143" s="57">
        <v>142</v>
      </c>
      <c r="B143" s="58">
        <v>45867.443310185183</v>
      </c>
      <c r="C143" s="58">
        <v>45867.452743055554</v>
      </c>
      <c r="D143" s="57" t="s">
        <v>1425</v>
      </c>
      <c r="E143" s="57" t="s">
        <v>1426</v>
      </c>
      <c r="F143" s="58"/>
      <c r="G143" s="57" t="s">
        <v>689</v>
      </c>
      <c r="H143" s="59">
        <v>1</v>
      </c>
      <c r="I143" s="57"/>
      <c r="J143" s="57"/>
      <c r="K143" s="59"/>
      <c r="L143" s="57"/>
      <c r="M143" s="60"/>
      <c r="N143" s="59"/>
      <c r="O143" s="57"/>
      <c r="P143" s="57"/>
      <c r="Q143" s="57"/>
      <c r="R143" s="57"/>
      <c r="S143" s="59"/>
      <c r="T143" s="57"/>
      <c r="U143" s="60"/>
      <c r="V143" s="59"/>
      <c r="W143" s="57"/>
      <c r="X143" s="57"/>
      <c r="Y143" s="57" t="s">
        <v>20</v>
      </c>
      <c r="Z143" s="57" t="s">
        <v>1427</v>
      </c>
      <c r="AA143" s="59">
        <v>114136</v>
      </c>
      <c r="AB143" s="57" t="s">
        <v>61</v>
      </c>
      <c r="AC143" s="60">
        <v>45852</v>
      </c>
      <c r="AD143" s="59">
        <v>114136</v>
      </c>
      <c r="AE143" s="57" t="s">
        <v>1428</v>
      </c>
      <c r="AF143" s="57" t="s">
        <v>1429</v>
      </c>
    </row>
    <row r="144" spans="1:32">
      <c r="A144" s="57">
        <v>143</v>
      </c>
      <c r="B144" s="58">
        <v>45867.450335648151</v>
      </c>
      <c r="C144" s="58">
        <v>45867.452962962961</v>
      </c>
      <c r="D144" s="57" t="s">
        <v>1430</v>
      </c>
      <c r="E144" s="57" t="s">
        <v>1431</v>
      </c>
      <c r="F144" s="58"/>
      <c r="G144" s="57" t="s">
        <v>595</v>
      </c>
      <c r="H144" s="59">
        <v>1</v>
      </c>
      <c r="I144" s="57"/>
      <c r="J144" s="57"/>
      <c r="K144" s="59"/>
      <c r="L144" s="57"/>
      <c r="M144" s="60"/>
      <c r="N144" s="59"/>
      <c r="O144" s="57"/>
      <c r="P144" s="57"/>
      <c r="Q144" s="57"/>
      <c r="R144" s="57"/>
      <c r="S144" s="59"/>
      <c r="T144" s="57"/>
      <c r="U144" s="60"/>
      <c r="V144" s="59"/>
      <c r="W144" s="57"/>
      <c r="X144" s="57"/>
      <c r="Y144" s="57" t="s">
        <v>21</v>
      </c>
      <c r="Z144" s="57" t="s">
        <v>271</v>
      </c>
      <c r="AA144" s="59">
        <v>25013</v>
      </c>
      <c r="AB144" s="57" t="s">
        <v>61</v>
      </c>
      <c r="AC144" s="60">
        <v>45780</v>
      </c>
      <c r="AD144" s="59">
        <v>25013</v>
      </c>
      <c r="AE144" s="57" t="s">
        <v>1432</v>
      </c>
      <c r="AF144" s="57" t="s">
        <v>1433</v>
      </c>
    </row>
    <row r="145" spans="1:32">
      <c r="A145" s="57">
        <v>144</v>
      </c>
      <c r="B145" s="58">
        <v>45867.448530092603</v>
      </c>
      <c r="C145" s="58">
        <v>45867.454988425918</v>
      </c>
      <c r="D145" s="57" t="s">
        <v>1434</v>
      </c>
      <c r="E145" s="57" t="s">
        <v>1435</v>
      </c>
      <c r="F145" s="58"/>
      <c r="G145" s="57" t="s">
        <v>634</v>
      </c>
      <c r="H145" s="59">
        <v>2</v>
      </c>
      <c r="I145" s="57"/>
      <c r="J145" s="57"/>
      <c r="K145" s="59"/>
      <c r="L145" s="57"/>
      <c r="M145" s="60"/>
      <c r="N145" s="59"/>
      <c r="O145" s="57"/>
      <c r="P145" s="57"/>
      <c r="Q145" s="57" t="s">
        <v>20</v>
      </c>
      <c r="R145" s="57" t="s">
        <v>1436</v>
      </c>
      <c r="S145" s="59">
        <v>55276</v>
      </c>
      <c r="T145" s="57" t="s">
        <v>61</v>
      </c>
      <c r="U145" s="60">
        <v>45826</v>
      </c>
      <c r="V145" s="59">
        <v>55276</v>
      </c>
      <c r="W145" s="57" t="s">
        <v>1437</v>
      </c>
      <c r="X145" s="57" t="s">
        <v>1438</v>
      </c>
      <c r="Y145" s="57" t="s">
        <v>20</v>
      </c>
      <c r="Z145" s="57" t="s">
        <v>325</v>
      </c>
      <c r="AA145" s="59">
        <v>9969</v>
      </c>
      <c r="AB145" s="57" t="s">
        <v>61</v>
      </c>
      <c r="AC145" s="60">
        <v>45867</v>
      </c>
      <c r="AD145" s="59">
        <v>9969</v>
      </c>
      <c r="AE145" s="57" t="s">
        <v>1439</v>
      </c>
      <c r="AF145" s="57" t="s">
        <v>1440</v>
      </c>
    </row>
    <row r="146" spans="1:32">
      <c r="A146" s="57">
        <v>145</v>
      </c>
      <c r="B146" s="58">
        <v>45867.449652777781</v>
      </c>
      <c r="C146" s="58">
        <v>45867.457662037043</v>
      </c>
      <c r="D146" s="57" t="s">
        <v>1414</v>
      </c>
      <c r="E146" s="57" t="s">
        <v>1415</v>
      </c>
      <c r="F146" s="58"/>
      <c r="G146" s="57" t="s">
        <v>578</v>
      </c>
      <c r="H146" s="59">
        <v>2</v>
      </c>
      <c r="I146" s="57"/>
      <c r="J146" s="57"/>
      <c r="K146" s="59"/>
      <c r="L146" s="57"/>
      <c r="M146" s="60"/>
      <c r="N146" s="59"/>
      <c r="O146" s="57"/>
      <c r="P146" s="57"/>
      <c r="Q146" s="57" t="s">
        <v>21</v>
      </c>
      <c r="R146" s="57" t="s">
        <v>1416</v>
      </c>
      <c r="S146" s="59">
        <v>29701</v>
      </c>
      <c r="T146" s="57" t="s">
        <v>61</v>
      </c>
      <c r="U146" s="60">
        <v>45839</v>
      </c>
      <c r="V146" s="59">
        <v>29701</v>
      </c>
      <c r="W146" s="57" t="s">
        <v>1441</v>
      </c>
      <c r="X146" s="57" t="s">
        <v>1442</v>
      </c>
      <c r="Y146" s="57" t="s">
        <v>21</v>
      </c>
      <c r="Z146" s="57" t="s">
        <v>250</v>
      </c>
      <c r="AA146" s="59">
        <v>11474</v>
      </c>
      <c r="AB146" s="57" t="s">
        <v>61</v>
      </c>
      <c r="AC146" s="60">
        <v>45720</v>
      </c>
      <c r="AD146" s="59">
        <v>11474</v>
      </c>
      <c r="AE146" s="57" t="s">
        <v>1443</v>
      </c>
      <c r="AF146" s="57" t="s">
        <v>1444</v>
      </c>
    </row>
    <row r="147" spans="1:32">
      <c r="A147" s="57">
        <v>146</v>
      </c>
      <c r="B147" s="58">
        <v>45867.449247685188</v>
      </c>
      <c r="C147" s="58">
        <v>45867.459108796298</v>
      </c>
      <c r="D147" s="57" t="s">
        <v>1445</v>
      </c>
      <c r="E147" s="57" t="s">
        <v>1446</v>
      </c>
      <c r="F147" s="58"/>
      <c r="G147" s="57" t="s">
        <v>596</v>
      </c>
      <c r="H147" s="59">
        <v>2</v>
      </c>
      <c r="I147" s="57"/>
      <c r="J147" s="57"/>
      <c r="K147" s="59"/>
      <c r="L147" s="57"/>
      <c r="M147" s="60"/>
      <c r="N147" s="59"/>
      <c r="O147" s="57"/>
      <c r="P147" s="57"/>
      <c r="Q147" s="57" t="s">
        <v>22</v>
      </c>
      <c r="R147" s="57" t="s">
        <v>1447</v>
      </c>
      <c r="S147" s="59">
        <v>85912</v>
      </c>
      <c r="T147" s="57" t="s">
        <v>61</v>
      </c>
      <c r="U147" s="60">
        <v>45665</v>
      </c>
      <c r="V147" s="59">
        <v>85912</v>
      </c>
      <c r="W147" s="57" t="s">
        <v>1448</v>
      </c>
      <c r="X147" s="57" t="s">
        <v>1449</v>
      </c>
      <c r="Y147" s="57" t="s">
        <v>21</v>
      </c>
      <c r="Z147" s="57" t="s">
        <v>272</v>
      </c>
      <c r="AA147" s="59">
        <v>12961</v>
      </c>
      <c r="AB147" s="57" t="s">
        <v>61</v>
      </c>
      <c r="AC147" s="60">
        <v>45764</v>
      </c>
      <c r="AD147" s="59">
        <v>12961</v>
      </c>
      <c r="AE147" s="57" t="s">
        <v>1450</v>
      </c>
      <c r="AF147" s="57" t="s">
        <v>1451</v>
      </c>
    </row>
    <row r="148" spans="1:32">
      <c r="A148" s="57">
        <v>147</v>
      </c>
      <c r="B148" s="58">
        <v>45867.452534722222</v>
      </c>
      <c r="C148" s="58">
        <v>45867.459328703713</v>
      </c>
      <c r="D148" s="57" t="s">
        <v>1452</v>
      </c>
      <c r="E148" s="57" t="s">
        <v>1453</v>
      </c>
      <c r="F148" s="58"/>
      <c r="G148" s="57" t="s">
        <v>635</v>
      </c>
      <c r="H148" s="59">
        <v>1</v>
      </c>
      <c r="I148" s="57"/>
      <c r="J148" s="57"/>
      <c r="K148" s="59"/>
      <c r="L148" s="57"/>
      <c r="M148" s="60"/>
      <c r="N148" s="59"/>
      <c r="O148" s="57"/>
      <c r="P148" s="57"/>
      <c r="Q148" s="57"/>
      <c r="R148" s="57"/>
      <c r="S148" s="59"/>
      <c r="T148" s="57"/>
      <c r="U148" s="60"/>
      <c r="V148" s="59"/>
      <c r="W148" s="57"/>
      <c r="X148" s="57"/>
      <c r="Y148" s="57" t="s">
        <v>20</v>
      </c>
      <c r="Z148" s="57" t="s">
        <v>326</v>
      </c>
      <c r="AA148" s="59">
        <v>18595</v>
      </c>
      <c r="AB148" s="57" t="s">
        <v>61</v>
      </c>
      <c r="AC148" s="60">
        <v>45864</v>
      </c>
      <c r="AD148" s="59">
        <v>18595</v>
      </c>
      <c r="AE148" s="57" t="s">
        <v>1454</v>
      </c>
      <c r="AF148" s="57" t="s">
        <v>1455</v>
      </c>
    </row>
    <row r="149" spans="1:32">
      <c r="A149" s="57">
        <v>148</v>
      </c>
      <c r="B149" s="58">
        <v>45867.426817129628</v>
      </c>
      <c r="C149" s="58">
        <v>45867.468101851853</v>
      </c>
      <c r="D149" s="57" t="s">
        <v>1456</v>
      </c>
      <c r="E149" s="57" t="s">
        <v>1457</v>
      </c>
      <c r="F149" s="58"/>
      <c r="G149" s="57" t="s">
        <v>547</v>
      </c>
      <c r="H149" s="59">
        <v>2</v>
      </c>
      <c r="I149" s="57"/>
      <c r="J149" s="57"/>
      <c r="K149" s="59"/>
      <c r="L149" s="57"/>
      <c r="M149" s="60"/>
      <c r="N149" s="59"/>
      <c r="O149" s="57"/>
      <c r="P149" s="57"/>
      <c r="Q149" s="57" t="s">
        <v>22</v>
      </c>
      <c r="R149" s="57" t="s">
        <v>225</v>
      </c>
      <c r="S149" s="59">
        <v>86220</v>
      </c>
      <c r="T149" s="57" t="s">
        <v>61</v>
      </c>
      <c r="U149" s="60">
        <v>45841</v>
      </c>
      <c r="V149" s="59">
        <v>86220</v>
      </c>
      <c r="W149" s="57" t="s">
        <v>1458</v>
      </c>
      <c r="X149" s="57" t="s">
        <v>1459</v>
      </c>
      <c r="Y149" s="57" t="s">
        <v>21</v>
      </c>
      <c r="Z149" s="57" t="s">
        <v>1460</v>
      </c>
      <c r="AA149" s="59">
        <v>71223</v>
      </c>
      <c r="AB149" s="57" t="s">
        <v>61</v>
      </c>
      <c r="AC149" s="60">
        <v>45701</v>
      </c>
      <c r="AD149" s="59">
        <v>71223</v>
      </c>
      <c r="AE149" s="57" t="s">
        <v>1461</v>
      </c>
      <c r="AF149" s="57" t="s">
        <v>1462</v>
      </c>
    </row>
    <row r="150" spans="1:32">
      <c r="A150" s="57">
        <v>149</v>
      </c>
      <c r="B150" s="58">
        <v>45867.463576388887</v>
      </c>
      <c r="C150" s="58">
        <v>45867.475138888891</v>
      </c>
      <c r="D150" s="57" t="s">
        <v>1463</v>
      </c>
      <c r="E150" s="57" t="s">
        <v>1464</v>
      </c>
      <c r="F150" s="58"/>
      <c r="G150" s="57" t="s">
        <v>501</v>
      </c>
      <c r="H150" s="59">
        <v>2</v>
      </c>
      <c r="I150" s="57"/>
      <c r="J150" s="57"/>
      <c r="K150" s="59"/>
      <c r="L150" s="57"/>
      <c r="M150" s="60"/>
      <c r="N150" s="59"/>
      <c r="O150" s="57"/>
      <c r="P150" s="57"/>
      <c r="Q150" s="57" t="s">
        <v>22</v>
      </c>
      <c r="R150" s="57" t="s">
        <v>236</v>
      </c>
      <c r="S150" s="59">
        <v>5198</v>
      </c>
      <c r="T150" s="57" t="s">
        <v>61</v>
      </c>
      <c r="U150" s="60">
        <v>45845</v>
      </c>
      <c r="V150" s="59">
        <v>5198</v>
      </c>
      <c r="W150" s="57" t="s">
        <v>1465</v>
      </c>
      <c r="X150" s="57" t="s">
        <v>1466</v>
      </c>
      <c r="Y150" s="57" t="s">
        <v>21</v>
      </c>
      <c r="Z150" s="57" t="s">
        <v>167</v>
      </c>
      <c r="AA150" s="59">
        <v>28384</v>
      </c>
      <c r="AB150" s="57" t="s">
        <v>61</v>
      </c>
      <c r="AC150" s="60">
        <v>45841</v>
      </c>
      <c r="AD150" s="59">
        <v>28384</v>
      </c>
      <c r="AE150" s="57" t="s">
        <v>1467</v>
      </c>
      <c r="AF150" s="57" t="s">
        <v>1468</v>
      </c>
    </row>
    <row r="151" spans="1:32">
      <c r="A151" s="57">
        <v>150</v>
      </c>
      <c r="B151" s="58">
        <v>45867.48096064815</v>
      </c>
      <c r="C151" s="58">
        <v>45867.483726851853</v>
      </c>
      <c r="D151" s="57" t="s">
        <v>1469</v>
      </c>
      <c r="E151" s="57" t="s">
        <v>1470</v>
      </c>
      <c r="F151" s="58"/>
      <c r="G151" s="57" t="s">
        <v>523</v>
      </c>
      <c r="H151" s="59">
        <v>1</v>
      </c>
      <c r="I151" s="57"/>
      <c r="J151" s="57"/>
      <c r="K151" s="59"/>
      <c r="L151" s="57"/>
      <c r="M151" s="60"/>
      <c r="N151" s="59"/>
      <c r="O151" s="57"/>
      <c r="P151" s="57"/>
      <c r="Q151" s="57"/>
      <c r="R151" s="57"/>
      <c r="S151" s="59"/>
      <c r="T151" s="57"/>
      <c r="U151" s="60"/>
      <c r="V151" s="59"/>
      <c r="W151" s="57"/>
      <c r="X151" s="57"/>
      <c r="Y151" s="57" t="s">
        <v>21</v>
      </c>
      <c r="Z151" s="57" t="s">
        <v>190</v>
      </c>
      <c r="AA151" s="59">
        <v>27643</v>
      </c>
      <c r="AB151" s="57" t="s">
        <v>61</v>
      </c>
      <c r="AC151" s="60">
        <v>45722</v>
      </c>
      <c r="AD151" s="59">
        <v>27643</v>
      </c>
      <c r="AE151" s="57" t="s">
        <v>1471</v>
      </c>
      <c r="AF151" s="57" t="s">
        <v>1472</v>
      </c>
    </row>
    <row r="152" spans="1:32">
      <c r="A152" s="57">
        <v>151</v>
      </c>
      <c r="B152" s="58">
        <v>45867.483067129629</v>
      </c>
      <c r="C152" s="58">
        <v>45867.484849537039</v>
      </c>
      <c r="D152" s="57" t="s">
        <v>1473</v>
      </c>
      <c r="E152" s="57" t="s">
        <v>1474</v>
      </c>
      <c r="F152" s="58"/>
      <c r="G152" s="57" t="s">
        <v>494</v>
      </c>
      <c r="H152" s="59">
        <v>2</v>
      </c>
      <c r="I152" s="57"/>
      <c r="J152" s="57"/>
      <c r="K152" s="59"/>
      <c r="L152" s="57"/>
      <c r="M152" s="60"/>
      <c r="N152" s="59"/>
      <c r="O152" s="57"/>
      <c r="P152" s="57"/>
      <c r="Q152" s="57" t="s">
        <v>20</v>
      </c>
      <c r="R152" s="57" t="s">
        <v>160</v>
      </c>
      <c r="S152" s="59">
        <v>32310</v>
      </c>
      <c r="T152" s="57" t="s">
        <v>61</v>
      </c>
      <c r="U152" s="60">
        <v>45866</v>
      </c>
      <c r="V152" s="59">
        <v>32310</v>
      </c>
      <c r="W152" s="57" t="s">
        <v>1475</v>
      </c>
      <c r="X152" s="57" t="s">
        <v>1476</v>
      </c>
      <c r="Y152" s="57" t="s">
        <v>20</v>
      </c>
      <c r="Z152" s="57" t="s">
        <v>1477</v>
      </c>
      <c r="AA152" s="59">
        <v>34902</v>
      </c>
      <c r="AB152" s="57" t="s">
        <v>61</v>
      </c>
      <c r="AC152" s="60">
        <v>45866</v>
      </c>
      <c r="AD152" s="59">
        <v>34902</v>
      </c>
      <c r="AE152" s="57" t="s">
        <v>1478</v>
      </c>
      <c r="AF152" s="57" t="s">
        <v>1479</v>
      </c>
    </row>
    <row r="153" spans="1:32">
      <c r="A153" s="57">
        <v>152</v>
      </c>
      <c r="B153" s="58">
        <v>45867.458587962959</v>
      </c>
      <c r="C153" s="58">
        <v>45867.48847222222</v>
      </c>
      <c r="D153" s="57" t="s">
        <v>1480</v>
      </c>
      <c r="E153" s="57" t="s">
        <v>1481</v>
      </c>
      <c r="F153" s="58"/>
      <c r="G153" s="57" t="s">
        <v>504</v>
      </c>
      <c r="H153" s="59">
        <v>1</v>
      </c>
      <c r="I153" s="57"/>
      <c r="J153" s="57"/>
      <c r="K153" s="59"/>
      <c r="L153" s="57"/>
      <c r="M153" s="60"/>
      <c r="N153" s="59"/>
      <c r="O153" s="57"/>
      <c r="P153" s="57"/>
      <c r="Q153" s="57"/>
      <c r="R153" s="57"/>
      <c r="S153" s="59"/>
      <c r="T153" s="57"/>
      <c r="U153" s="60"/>
      <c r="V153" s="59"/>
      <c r="W153" s="57"/>
      <c r="X153" s="57"/>
      <c r="Y153" s="57" t="s">
        <v>21</v>
      </c>
      <c r="Z153" s="57" t="s">
        <v>1482</v>
      </c>
      <c r="AA153" s="59">
        <v>5821</v>
      </c>
      <c r="AB153" s="57" t="s">
        <v>61</v>
      </c>
      <c r="AC153" s="60">
        <v>45825</v>
      </c>
      <c r="AD153" s="59">
        <v>5821</v>
      </c>
      <c r="AE153" s="57" t="s">
        <v>1483</v>
      </c>
      <c r="AF153" s="57" t="s">
        <v>1484</v>
      </c>
    </row>
    <row r="154" spans="1:32">
      <c r="A154" s="57">
        <v>153</v>
      </c>
      <c r="B154" s="58">
        <v>45867.504699074067</v>
      </c>
      <c r="C154" s="58">
        <v>45867.50571759259</v>
      </c>
      <c r="D154" s="57" t="s">
        <v>1485</v>
      </c>
      <c r="E154" s="57" t="s">
        <v>1486</v>
      </c>
      <c r="F154" s="58"/>
      <c r="G154" s="57" t="s">
        <v>479</v>
      </c>
      <c r="H154" s="59">
        <v>1</v>
      </c>
      <c r="I154" s="57"/>
      <c r="J154" s="57"/>
      <c r="K154" s="59"/>
      <c r="L154" s="57"/>
      <c r="M154" s="60"/>
      <c r="N154" s="59"/>
      <c r="O154" s="57"/>
      <c r="P154" s="57"/>
      <c r="Q154" s="57"/>
      <c r="R154" s="57"/>
      <c r="S154" s="59"/>
      <c r="T154" s="57"/>
      <c r="U154" s="60"/>
      <c r="V154" s="59"/>
      <c r="W154" s="57"/>
      <c r="X154" s="57"/>
      <c r="Y154" s="57" t="s">
        <v>21</v>
      </c>
      <c r="Z154" s="57" t="s">
        <v>145</v>
      </c>
      <c r="AA154" s="59">
        <v>53201</v>
      </c>
      <c r="AB154" s="57" t="s">
        <v>61</v>
      </c>
      <c r="AC154" s="60">
        <v>45695</v>
      </c>
      <c r="AD154" s="59">
        <v>53201</v>
      </c>
      <c r="AE154" s="57" t="s">
        <v>1487</v>
      </c>
      <c r="AF154" s="57" t="s">
        <v>1488</v>
      </c>
    </row>
    <row r="155" spans="1:32">
      <c r="A155" s="57">
        <v>154</v>
      </c>
      <c r="B155" s="58">
        <v>45867.517557870371</v>
      </c>
      <c r="C155" s="58">
        <v>45867.518842592603</v>
      </c>
      <c r="D155" s="57" t="s">
        <v>1489</v>
      </c>
      <c r="E155" s="57" t="s">
        <v>1490</v>
      </c>
      <c r="F155" s="58"/>
      <c r="G155" s="57" t="s">
        <v>648</v>
      </c>
      <c r="H155" s="59">
        <v>1</v>
      </c>
      <c r="I155" s="57"/>
      <c r="J155" s="57"/>
      <c r="K155" s="59"/>
      <c r="L155" s="57"/>
      <c r="M155" s="60"/>
      <c r="N155" s="59"/>
      <c r="O155" s="57"/>
      <c r="P155" s="57"/>
      <c r="Q155" s="57"/>
      <c r="R155" s="57"/>
      <c r="S155" s="59"/>
      <c r="T155" s="57"/>
      <c r="U155" s="60"/>
      <c r="V155" s="59"/>
      <c r="W155" s="57"/>
      <c r="X155" s="57"/>
      <c r="Y155" s="57" t="s">
        <v>21</v>
      </c>
      <c r="Z155" s="57" t="s">
        <v>344</v>
      </c>
      <c r="AA155" s="59">
        <v>5553</v>
      </c>
      <c r="AB155" s="57" t="s">
        <v>61</v>
      </c>
      <c r="AC155" s="60">
        <v>45910</v>
      </c>
      <c r="AD155" s="59">
        <v>5553</v>
      </c>
      <c r="AE155" s="57" t="s">
        <v>1491</v>
      </c>
      <c r="AF155" s="57" t="s">
        <v>1492</v>
      </c>
    </row>
    <row r="156" spans="1:32">
      <c r="A156" s="57">
        <v>155</v>
      </c>
      <c r="B156" s="58">
        <v>45867.531770833331</v>
      </c>
      <c r="C156" s="58">
        <v>45867.53365740741</v>
      </c>
      <c r="D156" s="57" t="s">
        <v>1493</v>
      </c>
      <c r="E156" s="57" t="s">
        <v>1494</v>
      </c>
      <c r="F156" s="58"/>
      <c r="G156" s="57" t="s">
        <v>680</v>
      </c>
      <c r="H156" s="59">
        <v>1</v>
      </c>
      <c r="I156" s="57"/>
      <c r="J156" s="57"/>
      <c r="K156" s="59"/>
      <c r="L156" s="57"/>
      <c r="M156" s="60"/>
      <c r="N156" s="59"/>
      <c r="O156" s="57"/>
      <c r="P156" s="57"/>
      <c r="Q156" s="57"/>
      <c r="R156" s="57"/>
      <c r="S156" s="59"/>
      <c r="T156" s="57"/>
      <c r="U156" s="60"/>
      <c r="V156" s="59"/>
      <c r="W156" s="57"/>
      <c r="X156" s="57"/>
      <c r="Y156" s="57" t="s">
        <v>20</v>
      </c>
      <c r="Z156" s="57" t="s">
        <v>1495</v>
      </c>
      <c r="AA156" s="59">
        <v>42589</v>
      </c>
      <c r="AB156" s="57" t="s">
        <v>61</v>
      </c>
      <c r="AC156" s="60">
        <v>45820</v>
      </c>
      <c r="AD156" s="59">
        <v>42589</v>
      </c>
      <c r="AE156" s="57" t="s">
        <v>1496</v>
      </c>
      <c r="AF156" s="57" t="s">
        <v>1497</v>
      </c>
    </row>
    <row r="157" spans="1:32">
      <c r="A157" s="57">
        <v>156</v>
      </c>
      <c r="B157" s="58">
        <v>45867.519097222219</v>
      </c>
      <c r="C157" s="58">
        <v>45867.538101851853</v>
      </c>
      <c r="D157" s="57" t="s">
        <v>1498</v>
      </c>
      <c r="E157" s="57" t="s">
        <v>1499</v>
      </c>
      <c r="F157" s="58"/>
      <c r="G157" s="57" t="s">
        <v>616</v>
      </c>
      <c r="H157" s="59">
        <v>1</v>
      </c>
      <c r="I157" s="57"/>
      <c r="J157" s="57"/>
      <c r="K157" s="59"/>
      <c r="L157" s="57"/>
      <c r="M157" s="60"/>
      <c r="N157" s="59"/>
      <c r="O157" s="57"/>
      <c r="P157" s="57"/>
      <c r="Q157" s="57"/>
      <c r="R157" s="57"/>
      <c r="S157" s="59"/>
      <c r="T157" s="57"/>
      <c r="U157" s="60"/>
      <c r="V157" s="59"/>
      <c r="W157" s="57"/>
      <c r="X157" s="57"/>
      <c r="Y157" s="57" t="s">
        <v>21</v>
      </c>
      <c r="Z157" s="57" t="s">
        <v>296</v>
      </c>
      <c r="AA157" s="59">
        <v>10948</v>
      </c>
      <c r="AB157" s="57" t="s">
        <v>61</v>
      </c>
      <c r="AC157" s="60">
        <v>45833</v>
      </c>
      <c r="AD157" s="59">
        <v>10948</v>
      </c>
      <c r="AE157" s="57" t="s">
        <v>1500</v>
      </c>
      <c r="AF157" s="57" t="s">
        <v>1501</v>
      </c>
    </row>
    <row r="158" spans="1:32">
      <c r="A158" s="57">
        <v>157</v>
      </c>
      <c r="B158" s="58">
        <v>45867.575520833343</v>
      </c>
      <c r="C158" s="58">
        <v>45867.576157407413</v>
      </c>
      <c r="D158" s="57" t="s">
        <v>1502</v>
      </c>
      <c r="E158" s="57" t="s">
        <v>1503</v>
      </c>
      <c r="F158" s="58"/>
      <c r="G158" s="57" t="s">
        <v>491</v>
      </c>
      <c r="H158" s="59">
        <v>1</v>
      </c>
      <c r="I158" s="57"/>
      <c r="J158" s="57"/>
      <c r="K158" s="59"/>
      <c r="L158" s="57"/>
      <c r="M158" s="60"/>
      <c r="N158" s="59"/>
      <c r="O158" s="57"/>
      <c r="P158" s="57"/>
      <c r="Q158" s="57"/>
      <c r="R158" s="57"/>
      <c r="S158" s="59"/>
      <c r="T158" s="57"/>
      <c r="U158" s="60"/>
      <c r="V158" s="59"/>
      <c r="W158" s="57"/>
      <c r="X158" s="57"/>
      <c r="Y158" s="57" t="s">
        <v>20</v>
      </c>
      <c r="Z158" s="57" t="s">
        <v>157</v>
      </c>
      <c r="AA158" s="59">
        <v>44781</v>
      </c>
      <c r="AB158" s="57" t="s">
        <v>61</v>
      </c>
      <c r="AC158" s="60">
        <v>45852</v>
      </c>
      <c r="AD158" s="59">
        <v>44781</v>
      </c>
      <c r="AE158" s="57" t="s">
        <v>1504</v>
      </c>
      <c r="AF158" s="57" t="s">
        <v>1505</v>
      </c>
    </row>
    <row r="159" spans="1:32">
      <c r="A159" s="57">
        <v>158</v>
      </c>
      <c r="B159" s="58">
        <v>45867.590497685182</v>
      </c>
      <c r="C159" s="58">
        <v>45867.592581018522</v>
      </c>
      <c r="D159" s="57" t="s">
        <v>1506</v>
      </c>
      <c r="E159" s="57" t="s">
        <v>1507</v>
      </c>
      <c r="F159" s="58"/>
      <c r="G159" s="57" t="s">
        <v>477</v>
      </c>
      <c r="H159" s="59">
        <v>1</v>
      </c>
      <c r="I159" s="57"/>
      <c r="J159" s="57"/>
      <c r="K159" s="59"/>
      <c r="L159" s="57"/>
      <c r="M159" s="60"/>
      <c r="N159" s="59"/>
      <c r="O159" s="57"/>
      <c r="P159" s="57"/>
      <c r="Q159" s="57"/>
      <c r="R159" s="57"/>
      <c r="S159" s="59"/>
      <c r="T159" s="57"/>
      <c r="U159" s="60"/>
      <c r="V159" s="59"/>
      <c r="W159" s="57"/>
      <c r="X159" s="57"/>
      <c r="Y159" s="57" t="s">
        <v>20</v>
      </c>
      <c r="Z159" s="57" t="s">
        <v>143</v>
      </c>
      <c r="AA159" s="59">
        <v>69653</v>
      </c>
      <c r="AB159" s="57" t="s">
        <v>61</v>
      </c>
      <c r="AC159" s="60">
        <v>45841</v>
      </c>
      <c r="AD159" s="59">
        <v>69653</v>
      </c>
      <c r="AE159" s="57" t="s">
        <v>1508</v>
      </c>
      <c r="AF159" s="57" t="s">
        <v>1509</v>
      </c>
    </row>
    <row r="160" spans="1:32">
      <c r="A160" s="57">
        <v>159</v>
      </c>
      <c r="B160" s="58">
        <v>45867.592175925929</v>
      </c>
      <c r="C160" s="58">
        <v>45867.598194444443</v>
      </c>
      <c r="D160" s="57" t="s">
        <v>1510</v>
      </c>
      <c r="E160" s="57" t="s">
        <v>1511</v>
      </c>
      <c r="F160" s="58"/>
      <c r="G160" s="57" t="s">
        <v>559</v>
      </c>
      <c r="H160" s="59">
        <v>2</v>
      </c>
      <c r="I160" s="57"/>
      <c r="J160" s="57"/>
      <c r="K160" s="59"/>
      <c r="L160" s="57"/>
      <c r="M160" s="60"/>
      <c r="N160" s="59"/>
      <c r="O160" s="57"/>
      <c r="P160" s="57"/>
      <c r="Q160" s="57" t="s">
        <v>22</v>
      </c>
      <c r="R160" s="57" t="s">
        <v>229</v>
      </c>
      <c r="S160" s="59">
        <v>58039</v>
      </c>
      <c r="T160" s="57" t="s">
        <v>61</v>
      </c>
      <c r="U160" s="60">
        <v>45800</v>
      </c>
      <c r="V160" s="59">
        <v>58039</v>
      </c>
      <c r="W160" s="57" t="s">
        <v>1512</v>
      </c>
      <c r="X160" s="57" t="s">
        <v>1513</v>
      </c>
      <c r="Y160" s="57" t="s">
        <v>20</v>
      </c>
      <c r="Z160" s="57" t="s">
        <v>1514</v>
      </c>
      <c r="AA160" s="59">
        <v>2762</v>
      </c>
      <c r="AB160" s="57" t="s">
        <v>61</v>
      </c>
      <c r="AC160" s="60">
        <v>45717</v>
      </c>
      <c r="AD160" s="59">
        <v>2762</v>
      </c>
      <c r="AE160" s="57" t="s">
        <v>1515</v>
      </c>
      <c r="AF160" s="57" t="s">
        <v>1516</v>
      </c>
    </row>
    <row r="161" spans="1:32">
      <c r="A161" s="57">
        <v>160</v>
      </c>
      <c r="B161" s="58">
        <v>45867.596053240741</v>
      </c>
      <c r="C161" s="58">
        <v>45867.599988425929</v>
      </c>
      <c r="D161" s="57" t="s">
        <v>1517</v>
      </c>
      <c r="E161" s="57" t="s">
        <v>1518</v>
      </c>
      <c r="F161" s="58"/>
      <c r="G161" s="57" t="s">
        <v>585</v>
      </c>
      <c r="H161" s="59">
        <v>1</v>
      </c>
      <c r="I161" s="57"/>
      <c r="J161" s="57"/>
      <c r="K161" s="59"/>
      <c r="L161" s="57"/>
      <c r="M161" s="60"/>
      <c r="N161" s="59"/>
      <c r="O161" s="57"/>
      <c r="P161" s="57"/>
      <c r="Q161" s="57"/>
      <c r="R161" s="57"/>
      <c r="S161" s="59"/>
      <c r="T161" s="57"/>
      <c r="U161" s="60"/>
      <c r="V161" s="59"/>
      <c r="W161" s="57"/>
      <c r="X161" s="57"/>
      <c r="Y161" s="57" t="s">
        <v>20</v>
      </c>
      <c r="Z161" s="57" t="s">
        <v>1519</v>
      </c>
      <c r="AA161" s="59">
        <v>35404</v>
      </c>
      <c r="AB161" s="57" t="s">
        <v>61</v>
      </c>
      <c r="AC161" s="60">
        <v>45826</v>
      </c>
      <c r="AD161" s="59">
        <v>35404</v>
      </c>
      <c r="AE161" s="57" t="s">
        <v>1520</v>
      </c>
      <c r="AF161" s="57" t="s">
        <v>1521</v>
      </c>
    </row>
    <row r="162" spans="1:32">
      <c r="A162" s="57">
        <v>161</v>
      </c>
      <c r="B162" s="58">
        <v>45867.601863425924</v>
      </c>
      <c r="C162" s="58">
        <v>45867.602349537039</v>
      </c>
      <c r="D162" s="57" t="s">
        <v>1522</v>
      </c>
      <c r="E162" s="57" t="s">
        <v>1523</v>
      </c>
      <c r="F162" s="58"/>
      <c r="G162" s="57" t="s">
        <v>696</v>
      </c>
      <c r="H162" s="59">
        <v>1</v>
      </c>
      <c r="I162" s="57"/>
      <c r="J162" s="57"/>
      <c r="K162" s="59"/>
      <c r="L162" s="57"/>
      <c r="M162" s="60"/>
      <c r="N162" s="59"/>
      <c r="O162" s="57"/>
      <c r="P162" s="57"/>
      <c r="Q162" s="57"/>
      <c r="R162" s="57"/>
      <c r="S162" s="59"/>
      <c r="T162" s="57"/>
      <c r="U162" s="60"/>
      <c r="V162" s="59"/>
      <c r="W162" s="57"/>
      <c r="X162" s="57"/>
      <c r="Y162" s="57" t="s">
        <v>21</v>
      </c>
      <c r="Z162" s="57" t="s">
        <v>1524</v>
      </c>
      <c r="AA162" s="59">
        <v>86045</v>
      </c>
      <c r="AB162" s="57" t="s">
        <v>61</v>
      </c>
      <c r="AC162" s="60">
        <v>45708</v>
      </c>
      <c r="AD162" s="59">
        <v>86045</v>
      </c>
      <c r="AE162" s="57" t="s">
        <v>1525</v>
      </c>
      <c r="AF162" s="57" t="s">
        <v>1526</v>
      </c>
    </row>
    <row r="163" spans="1:32">
      <c r="A163" s="57">
        <v>162</v>
      </c>
      <c r="B163" s="58">
        <v>45867.591504629629</v>
      </c>
      <c r="C163" s="58">
        <v>45867.605034722219</v>
      </c>
      <c r="D163" s="57" t="s">
        <v>1527</v>
      </c>
      <c r="E163" s="57" t="s">
        <v>1528</v>
      </c>
      <c r="F163" s="58"/>
      <c r="G163" s="57" t="s">
        <v>484</v>
      </c>
      <c r="H163" s="59">
        <v>3</v>
      </c>
      <c r="I163" s="57" t="s">
        <v>22</v>
      </c>
      <c r="J163" s="57" t="s">
        <v>254</v>
      </c>
      <c r="K163" s="59">
        <v>23257</v>
      </c>
      <c r="L163" s="57" t="s">
        <v>61</v>
      </c>
      <c r="M163" s="60">
        <v>45822</v>
      </c>
      <c r="N163" s="59">
        <v>23257</v>
      </c>
      <c r="O163" s="57" t="s">
        <v>1529</v>
      </c>
      <c r="P163" s="57" t="s">
        <v>1530</v>
      </c>
      <c r="Q163" s="57" t="s">
        <v>21</v>
      </c>
      <c r="R163" s="57" t="s">
        <v>1531</v>
      </c>
      <c r="S163" s="59">
        <v>1951</v>
      </c>
      <c r="T163" s="57" t="s">
        <v>61</v>
      </c>
      <c r="U163" s="60">
        <v>45783</v>
      </c>
      <c r="V163" s="59">
        <v>1951</v>
      </c>
      <c r="W163" s="57" t="s">
        <v>1532</v>
      </c>
      <c r="X163" s="57" t="s">
        <v>1533</v>
      </c>
      <c r="Y163" s="57" t="s">
        <v>21</v>
      </c>
      <c r="Z163" s="57" t="s">
        <v>150</v>
      </c>
      <c r="AA163" s="59">
        <v>33493</v>
      </c>
      <c r="AB163" s="57" t="s">
        <v>61</v>
      </c>
      <c r="AC163" s="60">
        <v>45811</v>
      </c>
      <c r="AD163" s="59">
        <v>33493</v>
      </c>
      <c r="AE163" s="57" t="s">
        <v>1534</v>
      </c>
      <c r="AF163" s="57" t="s">
        <v>1535</v>
      </c>
    </row>
    <row r="164" spans="1:32">
      <c r="A164" s="57">
        <v>163</v>
      </c>
      <c r="B164" s="58">
        <v>45867.602592592593</v>
      </c>
      <c r="C164" s="58">
        <v>45867.606851851851</v>
      </c>
      <c r="D164" s="57" t="s">
        <v>1536</v>
      </c>
      <c r="E164" s="57" t="s">
        <v>1537</v>
      </c>
      <c r="F164" s="58"/>
      <c r="G164" s="57" t="s">
        <v>605</v>
      </c>
      <c r="H164" s="59">
        <v>2</v>
      </c>
      <c r="I164" s="57"/>
      <c r="J164" s="57"/>
      <c r="K164" s="59"/>
      <c r="L164" s="57"/>
      <c r="M164" s="60"/>
      <c r="N164" s="59"/>
      <c r="O164" s="57"/>
      <c r="P164" s="57"/>
      <c r="Q164" s="57" t="s">
        <v>22</v>
      </c>
      <c r="R164" s="57" t="s">
        <v>297</v>
      </c>
      <c r="S164" s="59">
        <v>10923</v>
      </c>
      <c r="T164" s="57" t="s">
        <v>61</v>
      </c>
      <c r="U164" s="60">
        <v>45813</v>
      </c>
      <c r="V164" s="59">
        <v>10923</v>
      </c>
      <c r="W164" s="57" t="s">
        <v>1538</v>
      </c>
      <c r="X164" s="57" t="s">
        <v>1539</v>
      </c>
      <c r="Y164" s="57" t="s">
        <v>20</v>
      </c>
      <c r="Z164" s="57" t="s">
        <v>283</v>
      </c>
      <c r="AA164" s="59">
        <v>12713</v>
      </c>
      <c r="AB164" s="57" t="s">
        <v>61</v>
      </c>
      <c r="AC164" s="60">
        <v>45660</v>
      </c>
      <c r="AD164" s="59">
        <v>12713</v>
      </c>
      <c r="AE164" s="57" t="s">
        <v>1540</v>
      </c>
      <c r="AF164" s="57" t="s">
        <v>1541</v>
      </c>
    </row>
    <row r="165" spans="1:32">
      <c r="A165" s="57">
        <v>164</v>
      </c>
      <c r="B165" s="58">
        <v>45867.629421296297</v>
      </c>
      <c r="C165" s="58">
        <v>45867.630486111113</v>
      </c>
      <c r="D165" s="57" t="s">
        <v>1542</v>
      </c>
      <c r="E165" s="57" t="s">
        <v>1543</v>
      </c>
      <c r="F165" s="58"/>
      <c r="G165" s="57" t="s">
        <v>678</v>
      </c>
      <c r="H165" s="59">
        <v>1</v>
      </c>
      <c r="I165" s="57"/>
      <c r="J165" s="57"/>
      <c r="K165" s="59"/>
      <c r="L165" s="57"/>
      <c r="M165" s="60"/>
      <c r="N165" s="59"/>
      <c r="O165" s="57"/>
      <c r="P165" s="57"/>
      <c r="Q165" s="57"/>
      <c r="R165" s="57"/>
      <c r="S165" s="59"/>
      <c r="T165" s="57"/>
      <c r="U165" s="60"/>
      <c r="V165" s="59"/>
      <c r="W165" s="57"/>
      <c r="X165" s="57"/>
      <c r="Y165" s="57" t="s">
        <v>20</v>
      </c>
      <c r="Z165" s="57" t="s">
        <v>1544</v>
      </c>
      <c r="AA165" s="59">
        <v>26150</v>
      </c>
      <c r="AB165" s="57" t="s">
        <v>61</v>
      </c>
      <c r="AC165" s="60">
        <v>45861</v>
      </c>
      <c r="AD165" s="59">
        <v>26150</v>
      </c>
      <c r="AE165" s="57" t="s">
        <v>1545</v>
      </c>
      <c r="AF165" s="57" t="s">
        <v>1546</v>
      </c>
    </row>
    <row r="166" spans="1:32">
      <c r="A166" s="57">
        <v>165</v>
      </c>
      <c r="B166" s="58">
        <v>45867.637916666667</v>
      </c>
      <c r="C166" s="58">
        <v>45867.639178240737</v>
      </c>
      <c r="D166" s="57" t="s">
        <v>1547</v>
      </c>
      <c r="E166" s="57" t="s">
        <v>1548</v>
      </c>
      <c r="F166" s="58"/>
      <c r="G166" s="57" t="s">
        <v>664</v>
      </c>
      <c r="H166" s="59">
        <v>1</v>
      </c>
      <c r="I166" s="57"/>
      <c r="J166" s="57"/>
      <c r="K166" s="59"/>
      <c r="L166" s="57"/>
      <c r="M166" s="60"/>
      <c r="N166" s="59"/>
      <c r="O166" s="57"/>
      <c r="P166" s="57"/>
      <c r="Q166" s="57"/>
      <c r="R166" s="57"/>
      <c r="S166" s="59"/>
      <c r="T166" s="57"/>
      <c r="U166" s="60"/>
      <c r="V166" s="59"/>
      <c r="W166" s="57"/>
      <c r="X166" s="57"/>
      <c r="Y166" s="57" t="s">
        <v>21</v>
      </c>
      <c r="Z166" s="57" t="s">
        <v>366</v>
      </c>
      <c r="AA166" s="59">
        <v>3047</v>
      </c>
      <c r="AB166" s="57" t="s">
        <v>61</v>
      </c>
      <c r="AC166" s="60">
        <v>45723</v>
      </c>
      <c r="AD166" s="59">
        <v>3047</v>
      </c>
      <c r="AE166" s="57" t="s">
        <v>1549</v>
      </c>
      <c r="AF166" s="57" t="s">
        <v>1550</v>
      </c>
    </row>
    <row r="167" spans="1:32">
      <c r="A167" s="57">
        <v>166</v>
      </c>
      <c r="B167" s="58">
        <v>45867.662349537037</v>
      </c>
      <c r="C167" s="58">
        <v>45867.662442129629</v>
      </c>
      <c r="D167" s="57" t="s">
        <v>1551</v>
      </c>
      <c r="E167" s="57" t="s">
        <v>1552</v>
      </c>
      <c r="F167" s="58"/>
      <c r="G167" s="57" t="s">
        <v>543</v>
      </c>
      <c r="H167" s="59">
        <v>2</v>
      </c>
      <c r="I167" s="57"/>
      <c r="J167" s="57"/>
      <c r="K167" s="59"/>
      <c r="L167" s="57"/>
      <c r="M167" s="60"/>
      <c r="N167" s="59"/>
      <c r="O167" s="57"/>
      <c r="P167" s="57"/>
      <c r="Q167" s="57" t="s">
        <v>22</v>
      </c>
      <c r="R167" s="57" t="s">
        <v>300</v>
      </c>
      <c r="S167" s="59">
        <v>13882</v>
      </c>
      <c r="T167" s="57" t="s">
        <v>61</v>
      </c>
      <c r="U167" s="60">
        <v>45763</v>
      </c>
      <c r="V167" s="59">
        <v>13882</v>
      </c>
      <c r="W167" s="57" t="s">
        <v>1553</v>
      </c>
      <c r="X167" s="57" t="s">
        <v>1554</v>
      </c>
      <c r="Y167" s="57" t="s">
        <v>20</v>
      </c>
      <c r="Z167" s="57" t="s">
        <v>212</v>
      </c>
      <c r="AA167" s="59">
        <v>56258</v>
      </c>
      <c r="AB167" s="57" t="s">
        <v>61</v>
      </c>
      <c r="AC167" s="60">
        <v>45829</v>
      </c>
      <c r="AD167" s="59">
        <v>56258</v>
      </c>
      <c r="AE167" s="57" t="s">
        <v>1555</v>
      </c>
      <c r="AF167" s="57" t="s">
        <v>1556</v>
      </c>
    </row>
    <row r="168" spans="1:32">
      <c r="A168" s="57">
        <v>167</v>
      </c>
      <c r="B168" s="58">
        <v>45867.6718287037</v>
      </c>
      <c r="C168" s="58">
        <v>45867.67287037037</v>
      </c>
      <c r="D168" s="57" t="s">
        <v>1557</v>
      </c>
      <c r="E168" s="57" t="s">
        <v>1558</v>
      </c>
      <c r="F168" s="58"/>
      <c r="G168" s="57" t="s">
        <v>642</v>
      </c>
      <c r="H168" s="59">
        <v>1</v>
      </c>
      <c r="I168" s="57"/>
      <c r="J168" s="57"/>
      <c r="K168" s="59"/>
      <c r="L168" s="57"/>
      <c r="M168" s="60"/>
      <c r="N168" s="59"/>
      <c r="O168" s="57"/>
      <c r="P168" s="57"/>
      <c r="Q168" s="57"/>
      <c r="R168" s="57"/>
      <c r="S168" s="59"/>
      <c r="T168" s="57"/>
      <c r="U168" s="60"/>
      <c r="V168" s="59"/>
      <c r="W168" s="57"/>
      <c r="X168" s="57"/>
      <c r="Y168" s="57" t="s">
        <v>21</v>
      </c>
      <c r="Z168" s="57" t="s">
        <v>337</v>
      </c>
      <c r="AA168" s="59">
        <v>7697</v>
      </c>
      <c r="AB168" s="57" t="s">
        <v>61</v>
      </c>
      <c r="AC168" s="60">
        <v>45720</v>
      </c>
      <c r="AD168" s="59">
        <v>7697</v>
      </c>
      <c r="AE168" s="57" t="s">
        <v>1559</v>
      </c>
      <c r="AF168" s="57" t="s">
        <v>1560</v>
      </c>
    </row>
    <row r="169" spans="1:32">
      <c r="A169" s="57">
        <v>168</v>
      </c>
      <c r="B169" s="58">
        <v>45867.672164351847</v>
      </c>
      <c r="C169" s="58">
        <v>45867.673807870371</v>
      </c>
      <c r="D169" s="57" t="s">
        <v>1561</v>
      </c>
      <c r="E169" s="57" t="s">
        <v>1562</v>
      </c>
      <c r="F169" s="58"/>
      <c r="G169" s="57" t="s">
        <v>658</v>
      </c>
      <c r="H169" s="59">
        <v>2</v>
      </c>
      <c r="I169" s="57"/>
      <c r="J169" s="57"/>
      <c r="K169" s="59"/>
      <c r="L169" s="57"/>
      <c r="M169" s="60"/>
      <c r="N169" s="59"/>
      <c r="O169" s="57"/>
      <c r="P169" s="57"/>
      <c r="Q169" s="57" t="s">
        <v>20</v>
      </c>
      <c r="R169" s="57" t="s">
        <v>359</v>
      </c>
      <c r="S169" s="59">
        <v>7603</v>
      </c>
      <c r="T169" s="57" t="s">
        <v>61</v>
      </c>
      <c r="U169" s="60">
        <v>45850</v>
      </c>
      <c r="V169" s="59">
        <v>7603</v>
      </c>
      <c r="W169" s="57" t="s">
        <v>1563</v>
      </c>
      <c r="X169" s="57" t="s">
        <v>1564</v>
      </c>
      <c r="Y169" s="57" t="s">
        <v>21</v>
      </c>
      <c r="Z169" s="57" t="s">
        <v>1565</v>
      </c>
      <c r="AA169" s="59">
        <v>32602</v>
      </c>
      <c r="AB169" s="57" t="s">
        <v>61</v>
      </c>
      <c r="AC169" s="60">
        <v>45856</v>
      </c>
      <c r="AD169" s="59">
        <v>32602</v>
      </c>
      <c r="AE169" s="57" t="s">
        <v>1566</v>
      </c>
      <c r="AF169" s="57" t="s">
        <v>1567</v>
      </c>
    </row>
    <row r="170" spans="1:32">
      <c r="A170" s="57">
        <v>169</v>
      </c>
      <c r="B170" s="58">
        <v>45867.691018518519</v>
      </c>
      <c r="C170" s="58">
        <v>45867.691550925927</v>
      </c>
      <c r="D170" s="57" t="s">
        <v>1568</v>
      </c>
      <c r="E170" s="57" t="s">
        <v>1569</v>
      </c>
      <c r="F170" s="58"/>
      <c r="G170" s="57" t="s">
        <v>505</v>
      </c>
      <c r="H170" s="59">
        <v>1</v>
      </c>
      <c r="I170" s="57"/>
      <c r="J170" s="57"/>
      <c r="K170" s="59"/>
      <c r="L170" s="57"/>
      <c r="M170" s="60"/>
      <c r="N170" s="59"/>
      <c r="O170" s="57"/>
      <c r="P170" s="57"/>
      <c r="Q170" s="57"/>
      <c r="R170" s="57"/>
      <c r="S170" s="59"/>
      <c r="T170" s="57"/>
      <c r="U170" s="60"/>
      <c r="V170" s="59"/>
      <c r="W170" s="57"/>
      <c r="X170" s="57"/>
      <c r="Y170" s="57" t="s">
        <v>20</v>
      </c>
      <c r="Z170" s="57" t="s">
        <v>171</v>
      </c>
      <c r="AA170" s="59">
        <v>60740</v>
      </c>
      <c r="AB170" s="57" t="s">
        <v>61</v>
      </c>
      <c r="AC170" s="60">
        <v>45818</v>
      </c>
      <c r="AD170" s="59">
        <v>60740</v>
      </c>
      <c r="AE170" s="57" t="s">
        <v>1570</v>
      </c>
      <c r="AF170" s="57" t="s">
        <v>1571</v>
      </c>
    </row>
    <row r="171" spans="1:32">
      <c r="A171" s="57">
        <v>170</v>
      </c>
      <c r="B171" s="58">
        <v>45867.694953703707</v>
      </c>
      <c r="C171" s="58">
        <v>45867.69604166667</v>
      </c>
      <c r="D171" s="57" t="s">
        <v>1572</v>
      </c>
      <c r="E171" s="57" t="s">
        <v>1573</v>
      </c>
      <c r="F171" s="58"/>
      <c r="G171" s="57" t="s">
        <v>640</v>
      </c>
      <c r="H171" s="59">
        <v>1</v>
      </c>
      <c r="I171" s="57"/>
      <c r="J171" s="57"/>
      <c r="K171" s="59"/>
      <c r="L171" s="57"/>
      <c r="M171" s="60"/>
      <c r="N171" s="59"/>
      <c r="O171" s="57"/>
      <c r="P171" s="57"/>
      <c r="Q171" s="57"/>
      <c r="R171" s="57"/>
      <c r="S171" s="59"/>
      <c r="T171" s="57"/>
      <c r="U171" s="60"/>
      <c r="V171" s="59"/>
      <c r="W171" s="57"/>
      <c r="X171" s="57"/>
      <c r="Y171" s="57" t="s">
        <v>21</v>
      </c>
      <c r="Z171" s="57" t="s">
        <v>333</v>
      </c>
      <c r="AA171" s="59">
        <v>8807</v>
      </c>
      <c r="AB171" s="57" t="s">
        <v>61</v>
      </c>
      <c r="AC171" s="60">
        <v>45689</v>
      </c>
      <c r="AD171" s="59">
        <v>8807</v>
      </c>
      <c r="AE171" s="57" t="s">
        <v>1574</v>
      </c>
      <c r="AF171" s="57" t="s">
        <v>1575</v>
      </c>
    </row>
    <row r="172" spans="1:32">
      <c r="A172" s="57">
        <v>171</v>
      </c>
      <c r="B172" s="58">
        <v>45867.689525462964</v>
      </c>
      <c r="C172" s="58">
        <v>45867.697152777779</v>
      </c>
      <c r="D172" s="57" t="s">
        <v>1576</v>
      </c>
      <c r="E172" s="57" t="s">
        <v>1577</v>
      </c>
      <c r="F172" s="58"/>
      <c r="G172" s="57" t="s">
        <v>657</v>
      </c>
      <c r="H172" s="59">
        <v>2</v>
      </c>
      <c r="I172" s="57"/>
      <c r="J172" s="57"/>
      <c r="K172" s="59"/>
      <c r="L172" s="57"/>
      <c r="M172" s="60"/>
      <c r="N172" s="59"/>
      <c r="O172" s="57"/>
      <c r="P172" s="57"/>
      <c r="Q172" s="57" t="s">
        <v>22</v>
      </c>
      <c r="R172" s="57" t="s">
        <v>1578</v>
      </c>
      <c r="S172" s="59">
        <v>90683</v>
      </c>
      <c r="T172" s="57" t="s">
        <v>61</v>
      </c>
      <c r="U172" s="60">
        <v>45841</v>
      </c>
      <c r="V172" s="59">
        <v>90683</v>
      </c>
      <c r="W172" s="57" t="s">
        <v>1579</v>
      </c>
      <c r="X172" s="57" t="s">
        <v>1580</v>
      </c>
      <c r="Y172" s="57" t="s">
        <v>21</v>
      </c>
      <c r="Z172" s="57" t="s">
        <v>358</v>
      </c>
      <c r="AA172" s="59">
        <v>2699</v>
      </c>
      <c r="AB172" s="57" t="s">
        <v>61</v>
      </c>
      <c r="AC172" s="60">
        <v>46001</v>
      </c>
      <c r="AD172" s="59">
        <v>2699</v>
      </c>
      <c r="AE172" s="57" t="s">
        <v>1581</v>
      </c>
      <c r="AF172" s="57" t="s">
        <v>1582</v>
      </c>
    </row>
    <row r="173" spans="1:32">
      <c r="A173" s="57">
        <v>172</v>
      </c>
      <c r="B173" s="58">
        <v>45867.738136574073</v>
      </c>
      <c r="C173" s="58">
        <v>45867.747361111113</v>
      </c>
      <c r="D173" s="57" t="s">
        <v>1583</v>
      </c>
      <c r="E173" s="57" t="s">
        <v>1584</v>
      </c>
      <c r="F173" s="58"/>
      <c r="G173" s="57" t="s">
        <v>537</v>
      </c>
      <c r="H173" s="59">
        <v>2</v>
      </c>
      <c r="I173" s="57"/>
      <c r="J173" s="57"/>
      <c r="K173" s="59"/>
      <c r="L173" s="57"/>
      <c r="M173" s="60"/>
      <c r="N173" s="59"/>
      <c r="O173" s="57"/>
      <c r="P173" s="57"/>
      <c r="Q173" s="57" t="s">
        <v>22</v>
      </c>
      <c r="R173" s="57" t="s">
        <v>205</v>
      </c>
      <c r="S173" s="59">
        <v>32575</v>
      </c>
      <c r="T173" s="57" t="s">
        <v>61</v>
      </c>
      <c r="U173" s="60">
        <v>45850</v>
      </c>
      <c r="V173" s="59">
        <v>32575</v>
      </c>
      <c r="W173" s="57" t="s">
        <v>1585</v>
      </c>
      <c r="X173" s="57" t="s">
        <v>1586</v>
      </c>
      <c r="Y173" s="57" t="s">
        <v>20</v>
      </c>
      <c r="Z173" s="57" t="s">
        <v>1587</v>
      </c>
      <c r="AA173" s="59">
        <v>15066</v>
      </c>
      <c r="AB173" s="57" t="s">
        <v>61</v>
      </c>
      <c r="AC173" s="60">
        <v>45709</v>
      </c>
      <c r="AD173" s="59">
        <v>15066</v>
      </c>
      <c r="AE173" s="57" t="s">
        <v>1588</v>
      </c>
      <c r="AF173" s="57" t="s">
        <v>1589</v>
      </c>
    </row>
    <row r="174" spans="1:32">
      <c r="A174" s="57">
        <v>173</v>
      </c>
      <c r="B174" s="58">
        <v>45867.82236111111</v>
      </c>
      <c r="C174" s="58">
        <v>45867.823692129627</v>
      </c>
      <c r="D174" s="57" t="s">
        <v>1590</v>
      </c>
      <c r="E174" s="57" t="s">
        <v>1591</v>
      </c>
      <c r="F174" s="58"/>
      <c r="G174" s="57" t="s">
        <v>465</v>
      </c>
      <c r="H174" s="59">
        <v>1</v>
      </c>
      <c r="I174" s="57"/>
      <c r="J174" s="57"/>
      <c r="K174" s="59"/>
      <c r="L174" s="57"/>
      <c r="M174" s="60"/>
      <c r="N174" s="59"/>
      <c r="O174" s="57"/>
      <c r="P174" s="57"/>
      <c r="Q174" s="57"/>
      <c r="R174" s="57"/>
      <c r="S174" s="59"/>
      <c r="T174" s="57"/>
      <c r="U174" s="60"/>
      <c r="V174" s="59"/>
      <c r="W174" s="57"/>
      <c r="X174" s="57"/>
      <c r="Y174" s="57" t="s">
        <v>20</v>
      </c>
      <c r="Z174" s="57" t="s">
        <v>130</v>
      </c>
      <c r="AA174" s="59">
        <v>67153</v>
      </c>
      <c r="AB174" s="57" t="s">
        <v>61</v>
      </c>
      <c r="AC174" s="60">
        <v>45828</v>
      </c>
      <c r="AD174" s="59">
        <v>67153</v>
      </c>
      <c r="AE174" s="57" t="s">
        <v>1592</v>
      </c>
      <c r="AF174" s="57" t="s">
        <v>1593</v>
      </c>
    </row>
    <row r="175" spans="1:32">
      <c r="A175" s="57">
        <v>174</v>
      </c>
      <c r="B175" s="58">
        <v>45867.8515625</v>
      </c>
      <c r="C175" s="58">
        <v>45867.854988425926</v>
      </c>
      <c r="D175" s="57" t="s">
        <v>1594</v>
      </c>
      <c r="E175" s="57" t="s">
        <v>1595</v>
      </c>
      <c r="F175" s="58"/>
      <c r="G175" s="57" t="s">
        <v>631</v>
      </c>
      <c r="H175" s="59">
        <v>1</v>
      </c>
      <c r="I175" s="57"/>
      <c r="J175" s="57"/>
      <c r="K175" s="59"/>
      <c r="L175" s="57"/>
      <c r="M175" s="60"/>
      <c r="N175" s="59"/>
      <c r="O175" s="57"/>
      <c r="P175" s="57"/>
      <c r="Q175" s="57"/>
      <c r="R175" s="57"/>
      <c r="S175" s="59"/>
      <c r="T175" s="57"/>
      <c r="U175" s="60"/>
      <c r="V175" s="59"/>
      <c r="W175" s="57"/>
      <c r="X175" s="57"/>
      <c r="Y175" s="57" t="s">
        <v>21</v>
      </c>
      <c r="Z175" s="57" t="s">
        <v>319</v>
      </c>
      <c r="AA175" s="59">
        <v>7149</v>
      </c>
      <c r="AB175" s="57" t="s">
        <v>61</v>
      </c>
      <c r="AC175" s="60">
        <v>45845</v>
      </c>
      <c r="AD175" s="59">
        <v>7149</v>
      </c>
      <c r="AE175" s="57" t="s">
        <v>1596</v>
      </c>
      <c r="AF175" s="57" t="s">
        <v>1597</v>
      </c>
    </row>
    <row r="176" spans="1:32">
      <c r="A176" s="57">
        <v>175</v>
      </c>
      <c r="B176" s="58">
        <v>45867.980891203697</v>
      </c>
      <c r="C176" s="58">
        <v>45867.984016203707</v>
      </c>
      <c r="D176" s="57" t="s">
        <v>1598</v>
      </c>
      <c r="E176" s="57" t="s">
        <v>1599</v>
      </c>
      <c r="F176" s="58"/>
      <c r="G176" s="57" t="s">
        <v>671</v>
      </c>
      <c r="H176" s="59">
        <v>1</v>
      </c>
      <c r="I176" s="57"/>
      <c r="J176" s="57"/>
      <c r="K176" s="59"/>
      <c r="L176" s="57"/>
      <c r="M176" s="60"/>
      <c r="N176" s="59"/>
      <c r="O176" s="57"/>
      <c r="P176" s="57"/>
      <c r="Q176" s="57"/>
      <c r="R176" s="57"/>
      <c r="S176" s="59"/>
      <c r="T176" s="57"/>
      <c r="U176" s="60"/>
      <c r="V176" s="59"/>
      <c r="W176" s="57"/>
      <c r="X176" s="57"/>
      <c r="Y176" s="57" t="s">
        <v>21</v>
      </c>
      <c r="Z176" s="57" t="s">
        <v>1600</v>
      </c>
      <c r="AA176" s="59">
        <v>58824</v>
      </c>
      <c r="AB176" s="57" t="s">
        <v>61</v>
      </c>
      <c r="AC176" s="60">
        <v>45846</v>
      </c>
      <c r="AD176" s="59">
        <v>58824</v>
      </c>
      <c r="AE176" s="57" t="s">
        <v>1601</v>
      </c>
      <c r="AF176" s="57" t="s">
        <v>1602</v>
      </c>
    </row>
    <row r="177" spans="1:32">
      <c r="A177" s="57">
        <v>176</v>
      </c>
      <c r="B177" s="58">
        <v>45868.326458333337</v>
      </c>
      <c r="C177" s="58">
        <v>45868.342789351853</v>
      </c>
      <c r="D177" s="57" t="s">
        <v>1603</v>
      </c>
      <c r="E177" s="57" t="s">
        <v>1604</v>
      </c>
      <c r="F177" s="58"/>
      <c r="G177" s="57" t="s">
        <v>538</v>
      </c>
      <c r="H177" s="59">
        <v>1</v>
      </c>
      <c r="I177" s="57"/>
      <c r="J177" s="57"/>
      <c r="K177" s="59"/>
      <c r="L177" s="57"/>
      <c r="M177" s="60"/>
      <c r="N177" s="59"/>
      <c r="O177" s="57"/>
      <c r="P177" s="57"/>
      <c r="Q177" s="57"/>
      <c r="R177" s="57"/>
      <c r="S177" s="59"/>
      <c r="T177" s="57"/>
      <c r="U177" s="60"/>
      <c r="V177" s="59"/>
      <c r="W177" s="57"/>
      <c r="X177" s="57"/>
      <c r="Y177" s="57" t="s">
        <v>21</v>
      </c>
      <c r="Z177" s="57" t="s">
        <v>206</v>
      </c>
      <c r="AA177" s="59">
        <v>39313</v>
      </c>
      <c r="AB177" s="57" t="s">
        <v>61</v>
      </c>
      <c r="AC177" s="60">
        <v>45818</v>
      </c>
      <c r="AD177" s="59">
        <v>39313</v>
      </c>
      <c r="AE177" s="57" t="s">
        <v>1605</v>
      </c>
      <c r="AF177" s="57" t="s">
        <v>1606</v>
      </c>
    </row>
    <row r="178" spans="1:32">
      <c r="A178" s="57">
        <v>177</v>
      </c>
      <c r="B178" s="58">
        <v>45868.338009259263</v>
      </c>
      <c r="C178" s="58">
        <v>45868.34747685185</v>
      </c>
      <c r="D178" s="57" t="s">
        <v>1607</v>
      </c>
      <c r="E178" s="57" t="s">
        <v>1608</v>
      </c>
      <c r="F178" s="58"/>
      <c r="G178" s="57" t="s">
        <v>682</v>
      </c>
      <c r="H178" s="59">
        <v>1</v>
      </c>
      <c r="I178" s="57"/>
      <c r="J178" s="57"/>
      <c r="K178" s="59"/>
      <c r="L178" s="57"/>
      <c r="M178" s="60"/>
      <c r="N178" s="59"/>
      <c r="O178" s="57"/>
      <c r="P178" s="57"/>
      <c r="Q178" s="57"/>
      <c r="R178" s="57"/>
      <c r="S178" s="59"/>
      <c r="T178" s="57"/>
      <c r="U178" s="60"/>
      <c r="V178" s="59"/>
      <c r="W178" s="57"/>
      <c r="X178" s="57"/>
      <c r="Y178" s="57" t="s">
        <v>21</v>
      </c>
      <c r="Z178" s="57" t="s">
        <v>1609</v>
      </c>
      <c r="AA178" s="59">
        <v>37248</v>
      </c>
      <c r="AB178" s="57" t="s">
        <v>61</v>
      </c>
      <c r="AC178" s="60">
        <v>45712</v>
      </c>
      <c r="AD178" s="59">
        <v>37248</v>
      </c>
      <c r="AE178" s="57" t="s">
        <v>1610</v>
      </c>
      <c r="AF178" s="57" t="s">
        <v>1611</v>
      </c>
    </row>
    <row r="179" spans="1:32">
      <c r="A179" s="57">
        <v>178</v>
      </c>
      <c r="B179" s="58">
        <v>45868.352361111109</v>
      </c>
      <c r="C179" s="58">
        <v>45868.354409722233</v>
      </c>
      <c r="D179" s="57" t="s">
        <v>1612</v>
      </c>
      <c r="E179" s="57" t="s">
        <v>1613</v>
      </c>
      <c r="F179" s="58"/>
      <c r="G179" s="57" t="s">
        <v>711</v>
      </c>
      <c r="H179" s="59">
        <v>1</v>
      </c>
      <c r="I179" s="57"/>
      <c r="J179" s="57"/>
      <c r="K179" s="59"/>
      <c r="L179" s="57"/>
      <c r="M179" s="60"/>
      <c r="N179" s="59"/>
      <c r="O179" s="57"/>
      <c r="P179" s="57"/>
      <c r="Q179" s="57"/>
      <c r="R179" s="57"/>
      <c r="S179" s="59"/>
      <c r="T179" s="57"/>
      <c r="U179" s="60"/>
      <c r="V179" s="59"/>
      <c r="W179" s="57"/>
      <c r="X179" s="57"/>
      <c r="Y179" s="57" t="s">
        <v>21</v>
      </c>
      <c r="Z179" s="57" t="s">
        <v>1614</v>
      </c>
      <c r="AA179" s="59">
        <v>89682</v>
      </c>
      <c r="AB179" s="57" t="s">
        <v>61</v>
      </c>
      <c r="AC179" s="60">
        <v>45833</v>
      </c>
      <c r="AD179" s="59">
        <v>89682</v>
      </c>
      <c r="AE179" s="57" t="s">
        <v>1615</v>
      </c>
      <c r="AF179" s="57" t="s">
        <v>1616</v>
      </c>
    </row>
    <row r="180" spans="1:32">
      <c r="A180" s="57">
        <v>179</v>
      </c>
      <c r="B180" s="58">
        <v>45868.342129629629</v>
      </c>
      <c r="C180" s="58">
        <v>45868.378969907397</v>
      </c>
      <c r="D180" s="57" t="s">
        <v>1617</v>
      </c>
      <c r="E180" s="57" t="s">
        <v>1618</v>
      </c>
      <c r="F180" s="58"/>
      <c r="G180" s="57" t="s">
        <v>625</v>
      </c>
      <c r="H180" s="59">
        <v>2</v>
      </c>
      <c r="I180" s="57"/>
      <c r="J180" s="57"/>
      <c r="K180" s="59"/>
      <c r="L180" s="57"/>
      <c r="M180" s="60"/>
      <c r="N180" s="59"/>
      <c r="O180" s="57"/>
      <c r="P180" s="57"/>
      <c r="Q180" s="57" t="s">
        <v>22</v>
      </c>
      <c r="R180" s="57" t="s">
        <v>1619</v>
      </c>
      <c r="S180" s="59">
        <v>10037</v>
      </c>
      <c r="T180" s="57" t="s">
        <v>61</v>
      </c>
      <c r="U180" s="60">
        <v>45866</v>
      </c>
      <c r="V180" s="59">
        <v>10037</v>
      </c>
      <c r="W180" s="57" t="s">
        <v>1620</v>
      </c>
      <c r="X180" s="57" t="s">
        <v>1621</v>
      </c>
      <c r="Y180" s="57" t="s">
        <v>21</v>
      </c>
      <c r="Z180" s="57" t="s">
        <v>307</v>
      </c>
      <c r="AA180" s="59">
        <v>15962</v>
      </c>
      <c r="AB180" s="57" t="s">
        <v>61</v>
      </c>
      <c r="AC180" s="60">
        <v>45799</v>
      </c>
      <c r="AD180" s="59">
        <v>15962</v>
      </c>
      <c r="AE180" s="57" t="s">
        <v>1622</v>
      </c>
      <c r="AF180" s="57" t="s">
        <v>1623</v>
      </c>
    </row>
    <row r="181" spans="1:32">
      <c r="A181" s="57">
        <v>180</v>
      </c>
      <c r="B181" s="58">
        <v>45868.379826388889</v>
      </c>
      <c r="C181" s="58">
        <v>45868.385034722232</v>
      </c>
      <c r="D181" s="57" t="s">
        <v>1624</v>
      </c>
      <c r="E181" s="57" t="s">
        <v>1625</v>
      </c>
      <c r="F181" s="58"/>
      <c r="G181" s="57" t="s">
        <v>470</v>
      </c>
      <c r="H181" s="59">
        <v>1</v>
      </c>
      <c r="I181" s="57"/>
      <c r="J181" s="57"/>
      <c r="K181" s="59"/>
      <c r="L181" s="57"/>
      <c r="M181" s="60"/>
      <c r="N181" s="59"/>
      <c r="O181" s="57"/>
      <c r="P181" s="57"/>
      <c r="Q181" s="57"/>
      <c r="R181" s="57"/>
      <c r="S181" s="59"/>
      <c r="T181" s="57"/>
      <c r="U181" s="60"/>
      <c r="V181" s="59"/>
      <c r="W181" s="57"/>
      <c r="X181" s="57"/>
      <c r="Y181" s="57" t="s">
        <v>20</v>
      </c>
      <c r="Z181" s="57" t="s">
        <v>136</v>
      </c>
      <c r="AA181" s="59">
        <v>72039</v>
      </c>
      <c r="AB181" s="57" t="s">
        <v>61</v>
      </c>
      <c r="AC181" s="60">
        <v>45787</v>
      </c>
      <c r="AD181" s="59">
        <v>72039</v>
      </c>
      <c r="AE181" s="57" t="s">
        <v>1626</v>
      </c>
      <c r="AF181" s="57" t="s">
        <v>1627</v>
      </c>
    </row>
    <row r="182" spans="1:32">
      <c r="A182" s="57">
        <v>181</v>
      </c>
      <c r="B182" s="58">
        <v>45868.380590277768</v>
      </c>
      <c r="C182" s="58">
        <v>45868.412152777782</v>
      </c>
      <c r="D182" s="57" t="s">
        <v>1628</v>
      </c>
      <c r="E182" s="57" t="s">
        <v>1629</v>
      </c>
      <c r="F182" s="58"/>
      <c r="G182" s="57" t="s">
        <v>705</v>
      </c>
      <c r="H182" s="59">
        <v>1</v>
      </c>
      <c r="I182" s="57"/>
      <c r="J182" s="57"/>
      <c r="K182" s="59"/>
      <c r="L182" s="57"/>
      <c r="M182" s="60"/>
      <c r="N182" s="59"/>
      <c r="O182" s="57"/>
      <c r="P182" s="57"/>
      <c r="Q182" s="57"/>
      <c r="R182" s="57"/>
      <c r="S182" s="59"/>
      <c r="T182" s="57"/>
      <c r="U182" s="60"/>
      <c r="V182" s="59"/>
      <c r="W182" s="57"/>
      <c r="X182" s="57"/>
      <c r="Y182" s="57" t="s">
        <v>21</v>
      </c>
      <c r="Z182" s="57" t="s">
        <v>1630</v>
      </c>
      <c r="AA182" s="59">
        <v>30535</v>
      </c>
      <c r="AB182" s="57" t="s">
        <v>61</v>
      </c>
      <c r="AC182" s="60">
        <v>45867</v>
      </c>
      <c r="AD182" s="59">
        <v>30535</v>
      </c>
      <c r="AE182" s="57" t="s">
        <v>1631</v>
      </c>
      <c r="AF182" s="57" t="s">
        <v>1632</v>
      </c>
    </row>
    <row r="183" spans="1:32">
      <c r="A183" s="57">
        <v>182</v>
      </c>
      <c r="B183" s="58">
        <v>45868.445393518523</v>
      </c>
      <c r="C183" s="58">
        <v>45868.455416666657</v>
      </c>
      <c r="D183" s="57" t="s">
        <v>1633</v>
      </c>
      <c r="E183" s="57" t="s">
        <v>1634</v>
      </c>
      <c r="F183" s="58"/>
      <c r="G183" s="57" t="s">
        <v>679</v>
      </c>
      <c r="H183" s="59">
        <v>1</v>
      </c>
      <c r="I183" s="57"/>
      <c r="J183" s="57"/>
      <c r="K183" s="59"/>
      <c r="L183" s="57"/>
      <c r="M183" s="60"/>
      <c r="N183" s="59"/>
      <c r="O183" s="57"/>
      <c r="P183" s="57"/>
      <c r="Q183" s="57"/>
      <c r="R183" s="57"/>
      <c r="S183" s="59"/>
      <c r="T183" s="57"/>
      <c r="U183" s="60"/>
      <c r="V183" s="59"/>
      <c r="W183" s="57"/>
      <c r="X183" s="57"/>
      <c r="Y183" s="57" t="s">
        <v>20</v>
      </c>
      <c r="Z183" s="57" t="s">
        <v>1635</v>
      </c>
      <c r="AA183" s="59">
        <v>35552</v>
      </c>
      <c r="AB183" s="57" t="s">
        <v>61</v>
      </c>
      <c r="AC183" s="60">
        <v>45852</v>
      </c>
      <c r="AD183" s="59">
        <v>35552</v>
      </c>
      <c r="AE183" s="57" t="s">
        <v>1636</v>
      </c>
      <c r="AF183" s="57" t="s">
        <v>1637</v>
      </c>
    </row>
    <row r="184" spans="1:32">
      <c r="A184" s="57">
        <v>183</v>
      </c>
      <c r="B184" s="58">
        <v>45868.464432870373</v>
      </c>
      <c r="C184" s="58">
        <v>45868.467210648138</v>
      </c>
      <c r="D184" s="57" t="s">
        <v>1638</v>
      </c>
      <c r="E184" s="57" t="s">
        <v>1639</v>
      </c>
      <c r="F184" s="58"/>
      <c r="G184" s="57" t="s">
        <v>639</v>
      </c>
      <c r="H184" s="59">
        <v>2</v>
      </c>
      <c r="I184" s="57"/>
      <c r="J184" s="57"/>
      <c r="K184" s="59"/>
      <c r="L184" s="57"/>
      <c r="M184" s="60"/>
      <c r="N184" s="59"/>
      <c r="O184" s="57"/>
      <c r="P184" s="57"/>
      <c r="Q184" s="57" t="s">
        <v>22</v>
      </c>
      <c r="R184" s="57" t="s">
        <v>243</v>
      </c>
      <c r="S184" s="59">
        <v>41099</v>
      </c>
      <c r="T184" s="57" t="s">
        <v>61</v>
      </c>
      <c r="U184" s="60">
        <v>45799</v>
      </c>
      <c r="V184" s="59">
        <v>41099</v>
      </c>
      <c r="W184" s="57" t="s">
        <v>1640</v>
      </c>
      <c r="X184" s="57" t="s">
        <v>1641</v>
      </c>
      <c r="Y184" s="57" t="s">
        <v>20</v>
      </c>
      <c r="Z184" s="57" t="s">
        <v>332</v>
      </c>
      <c r="AA184" s="59">
        <v>6717</v>
      </c>
      <c r="AB184" s="57" t="s">
        <v>61</v>
      </c>
      <c r="AC184" s="60">
        <v>45710</v>
      </c>
      <c r="AD184" s="59">
        <v>6717</v>
      </c>
      <c r="AE184" s="57" t="s">
        <v>1642</v>
      </c>
      <c r="AF184" s="57" t="s">
        <v>1643</v>
      </c>
    </row>
    <row r="185" spans="1:32">
      <c r="A185" s="57">
        <v>184</v>
      </c>
      <c r="B185" s="58">
        <v>45868.484849537039</v>
      </c>
      <c r="C185" s="58">
        <v>45868.485081018523</v>
      </c>
      <c r="D185" s="57" t="s">
        <v>1644</v>
      </c>
      <c r="E185" s="57" t="s">
        <v>1645</v>
      </c>
      <c r="F185" s="58"/>
      <c r="G185" s="57" t="s">
        <v>649</v>
      </c>
      <c r="H185" s="59">
        <v>1</v>
      </c>
      <c r="I185" s="57"/>
      <c r="J185" s="57"/>
      <c r="K185" s="59"/>
      <c r="L185" s="57"/>
      <c r="M185" s="60"/>
      <c r="N185" s="59"/>
      <c r="O185" s="57"/>
      <c r="P185" s="57"/>
      <c r="Q185" s="57"/>
      <c r="R185" s="57"/>
      <c r="S185" s="59"/>
      <c r="T185" s="57"/>
      <c r="U185" s="60"/>
      <c r="V185" s="59"/>
      <c r="W185" s="57"/>
      <c r="X185" s="57"/>
      <c r="Y185" s="57" t="s">
        <v>21</v>
      </c>
      <c r="Z185" s="57" t="s">
        <v>345</v>
      </c>
      <c r="AA185" s="59">
        <v>6199</v>
      </c>
      <c r="AB185" s="57" t="s">
        <v>61</v>
      </c>
      <c r="AC185" s="60">
        <v>45755</v>
      </c>
      <c r="AD185" s="59">
        <v>6199</v>
      </c>
      <c r="AE185" s="57" t="s">
        <v>1646</v>
      </c>
      <c r="AF185" s="57" t="s">
        <v>1647</v>
      </c>
    </row>
    <row r="186" spans="1:32">
      <c r="A186" s="57">
        <v>185</v>
      </c>
      <c r="B186" s="58">
        <v>45868.567013888889</v>
      </c>
      <c r="C186" s="58">
        <v>45868.576435185183</v>
      </c>
      <c r="D186" s="57" t="s">
        <v>1648</v>
      </c>
      <c r="E186" s="57" t="s">
        <v>1649</v>
      </c>
      <c r="F186" s="58"/>
      <c r="G186" s="57" t="s">
        <v>654</v>
      </c>
      <c r="H186" s="59">
        <v>2</v>
      </c>
      <c r="I186" s="57"/>
      <c r="J186" s="57"/>
      <c r="K186" s="59"/>
      <c r="L186" s="57"/>
      <c r="M186" s="60"/>
      <c r="N186" s="59"/>
      <c r="O186" s="57"/>
      <c r="P186" s="57"/>
      <c r="Q186" s="57" t="s">
        <v>21</v>
      </c>
      <c r="R186" s="57" t="s">
        <v>1650</v>
      </c>
      <c r="S186" s="59">
        <v>44122</v>
      </c>
      <c r="T186" s="57" t="s">
        <v>61</v>
      </c>
      <c r="U186" s="60">
        <v>45757</v>
      </c>
      <c r="V186" s="59">
        <v>44122</v>
      </c>
      <c r="W186" s="57" t="s">
        <v>1651</v>
      </c>
      <c r="X186" s="57" t="s">
        <v>1652</v>
      </c>
      <c r="Y186" s="57" t="s">
        <v>22</v>
      </c>
      <c r="Z186" s="57" t="s">
        <v>352</v>
      </c>
      <c r="AA186" s="59">
        <v>7517</v>
      </c>
      <c r="AB186" s="57" t="s">
        <v>61</v>
      </c>
      <c r="AC186" s="60">
        <v>45772</v>
      </c>
      <c r="AD186" s="59">
        <v>7517</v>
      </c>
      <c r="AE186" s="57" t="s">
        <v>1653</v>
      </c>
      <c r="AF186" s="57" t="s">
        <v>1654</v>
      </c>
    </row>
    <row r="187" spans="1:32">
      <c r="A187" s="57">
        <v>186</v>
      </c>
      <c r="B187" s="58">
        <v>45868.585138888891</v>
      </c>
      <c r="C187" s="58">
        <v>45868.590173611112</v>
      </c>
      <c r="D187" s="57" t="s">
        <v>1655</v>
      </c>
      <c r="E187" s="57" t="s">
        <v>1656</v>
      </c>
      <c r="F187" s="58"/>
      <c r="G187" s="57" t="s">
        <v>549</v>
      </c>
      <c r="H187" s="59">
        <v>2</v>
      </c>
      <c r="I187" s="57"/>
      <c r="J187" s="57"/>
      <c r="K187" s="59"/>
      <c r="L187" s="57"/>
      <c r="M187" s="60"/>
      <c r="N187" s="59"/>
      <c r="O187" s="57"/>
      <c r="P187" s="57"/>
      <c r="Q187" s="57" t="s">
        <v>22</v>
      </c>
      <c r="R187" s="57" t="s">
        <v>218</v>
      </c>
      <c r="S187" s="59">
        <v>65695</v>
      </c>
      <c r="T187" s="57" t="s">
        <v>61</v>
      </c>
      <c r="U187" s="60">
        <v>45762</v>
      </c>
      <c r="V187" s="59">
        <v>65695</v>
      </c>
      <c r="W187" s="57" t="s">
        <v>1657</v>
      </c>
      <c r="X187" s="57" t="s">
        <v>1658</v>
      </c>
      <c r="Y187" s="57" t="s">
        <v>21</v>
      </c>
      <c r="Z187" s="57" t="s">
        <v>253</v>
      </c>
      <c r="AA187" s="59">
        <v>19197</v>
      </c>
      <c r="AB187" s="57" t="s">
        <v>61</v>
      </c>
      <c r="AC187" s="60">
        <v>45854</v>
      </c>
      <c r="AD187" s="59">
        <v>19197</v>
      </c>
      <c r="AE187" s="57" t="s">
        <v>1659</v>
      </c>
      <c r="AF187" s="57" t="s">
        <v>1660</v>
      </c>
    </row>
    <row r="188" spans="1:32">
      <c r="A188" s="57">
        <v>187</v>
      </c>
      <c r="B188" s="58">
        <v>45868.634872685187</v>
      </c>
      <c r="C188" s="58">
        <v>45868.640451388892</v>
      </c>
      <c r="D188" s="57" t="s">
        <v>1661</v>
      </c>
      <c r="E188" s="57" t="s">
        <v>1662</v>
      </c>
      <c r="F188" s="58"/>
      <c r="G188" s="57" t="s">
        <v>591</v>
      </c>
      <c r="H188" s="59">
        <v>2</v>
      </c>
      <c r="I188" s="57"/>
      <c r="J188" s="57"/>
      <c r="K188" s="59"/>
      <c r="L188" s="57"/>
      <c r="M188" s="60"/>
      <c r="N188" s="59"/>
      <c r="O188" s="57"/>
      <c r="P188" s="57"/>
      <c r="Q188" s="57" t="s">
        <v>20</v>
      </c>
      <c r="R188" s="57" t="s">
        <v>266</v>
      </c>
      <c r="S188" s="59">
        <v>29549</v>
      </c>
      <c r="T188" s="57" t="s">
        <v>61</v>
      </c>
      <c r="U188" s="60">
        <v>45799</v>
      </c>
      <c r="V188" s="59">
        <v>29549</v>
      </c>
      <c r="W188" s="57" t="s">
        <v>1663</v>
      </c>
      <c r="X188" s="57" t="s">
        <v>1664</v>
      </c>
      <c r="Y188" s="57" t="s">
        <v>20</v>
      </c>
      <c r="Z188" s="57" t="s">
        <v>1665</v>
      </c>
      <c r="AA188" s="59">
        <v>48876</v>
      </c>
      <c r="AB188" s="57" t="s">
        <v>61</v>
      </c>
      <c r="AC188" s="60">
        <v>45793</v>
      </c>
      <c r="AD188" s="59">
        <v>48876</v>
      </c>
      <c r="AE188" s="57" t="s">
        <v>1666</v>
      </c>
      <c r="AF188" s="57" t="s">
        <v>1667</v>
      </c>
    </row>
    <row r="189" spans="1:32">
      <c r="A189" s="57">
        <v>188</v>
      </c>
      <c r="B189" s="58">
        <v>45868.638078703712</v>
      </c>
      <c r="C189" s="58">
        <v>45868.656111111108</v>
      </c>
      <c r="D189" s="57" t="s">
        <v>1668</v>
      </c>
      <c r="E189" s="57" t="s">
        <v>1669</v>
      </c>
      <c r="F189" s="58"/>
      <c r="G189" s="57" t="s">
        <v>622</v>
      </c>
      <c r="H189" s="59">
        <v>2</v>
      </c>
      <c r="I189" s="57"/>
      <c r="J189" s="57"/>
      <c r="K189" s="59"/>
      <c r="L189" s="57"/>
      <c r="M189" s="60"/>
      <c r="N189" s="59"/>
      <c r="O189" s="57"/>
      <c r="P189" s="57"/>
      <c r="Q189" s="57" t="s">
        <v>22</v>
      </c>
      <c r="R189" s="57" t="s">
        <v>304</v>
      </c>
      <c r="S189" s="59">
        <v>15123</v>
      </c>
      <c r="T189" s="57" t="s">
        <v>61</v>
      </c>
      <c r="U189" s="60">
        <v>45785</v>
      </c>
      <c r="V189" s="59">
        <v>15123</v>
      </c>
      <c r="W189" s="57" t="s">
        <v>1670</v>
      </c>
      <c r="X189" s="57" t="s">
        <v>1671</v>
      </c>
      <c r="Y189" s="57" t="s">
        <v>21</v>
      </c>
      <c r="Z189" s="57" t="s">
        <v>308</v>
      </c>
      <c r="AA189" s="59">
        <v>7570</v>
      </c>
      <c r="AB189" s="57" t="s">
        <v>61</v>
      </c>
      <c r="AC189" s="60">
        <v>45863</v>
      </c>
      <c r="AD189" s="59">
        <v>7570</v>
      </c>
      <c r="AE189" s="57" t="s">
        <v>1672</v>
      </c>
      <c r="AF189" s="57" t="s">
        <v>1673</v>
      </c>
    </row>
    <row r="190" spans="1:32">
      <c r="A190" s="57">
        <v>189</v>
      </c>
      <c r="B190" s="58">
        <v>45869.494849537034</v>
      </c>
      <c r="C190" s="58">
        <v>45869.504502314812</v>
      </c>
      <c r="D190" s="57" t="s">
        <v>1674</v>
      </c>
      <c r="E190" s="57" t="s">
        <v>1675</v>
      </c>
      <c r="F190" s="58"/>
      <c r="G190" s="57" t="s">
        <v>515</v>
      </c>
      <c r="H190" s="59">
        <v>1</v>
      </c>
      <c r="I190" s="57"/>
      <c r="J190" s="57"/>
      <c r="K190" s="59"/>
      <c r="L190" s="57"/>
      <c r="M190" s="60"/>
      <c r="N190" s="59"/>
      <c r="O190" s="57"/>
      <c r="P190" s="57"/>
      <c r="Q190" s="57"/>
      <c r="R190" s="57"/>
      <c r="S190" s="59"/>
      <c r="T190" s="57"/>
      <c r="U190" s="60"/>
      <c r="V190" s="59"/>
      <c r="W190" s="57"/>
      <c r="X190" s="57"/>
      <c r="Y190" s="57" t="s">
        <v>21</v>
      </c>
      <c r="Z190" s="57" t="s">
        <v>182</v>
      </c>
      <c r="AA190" s="59">
        <v>29602</v>
      </c>
      <c r="AB190" s="57" t="s">
        <v>61</v>
      </c>
      <c r="AC190" s="60">
        <v>45715</v>
      </c>
      <c r="AD190" s="59">
        <v>29602</v>
      </c>
      <c r="AE190" s="57" t="s">
        <v>1676</v>
      </c>
      <c r="AF190" s="57" t="s">
        <v>1677</v>
      </c>
    </row>
    <row r="191" spans="1:32">
      <c r="A191" s="57">
        <v>190</v>
      </c>
      <c r="B191" s="58">
        <v>45869.670810185176</v>
      </c>
      <c r="C191" s="58">
        <v>45869.672800925917</v>
      </c>
      <c r="D191" s="57" t="s">
        <v>1678</v>
      </c>
      <c r="E191" s="57" t="s">
        <v>1679</v>
      </c>
      <c r="F191" s="58"/>
      <c r="G191" s="57" t="s">
        <v>522</v>
      </c>
      <c r="H191" s="59">
        <v>1</v>
      </c>
      <c r="I191" s="57"/>
      <c r="J191" s="57"/>
      <c r="K191" s="59"/>
      <c r="L191" s="57"/>
      <c r="M191" s="60"/>
      <c r="N191" s="59"/>
      <c r="O191" s="57"/>
      <c r="P191" s="57"/>
      <c r="Q191" s="57"/>
      <c r="R191" s="57"/>
      <c r="S191" s="59"/>
      <c r="T191" s="57"/>
      <c r="U191" s="60"/>
      <c r="V191" s="59"/>
      <c r="W191" s="57"/>
      <c r="X191" s="57"/>
      <c r="Y191" s="57" t="s">
        <v>20</v>
      </c>
      <c r="Z191" s="57" t="s">
        <v>189</v>
      </c>
      <c r="AA191" s="59">
        <v>26758</v>
      </c>
      <c r="AB191" s="57" t="s">
        <v>61</v>
      </c>
      <c r="AC191" s="60">
        <v>45847</v>
      </c>
      <c r="AD191" s="59">
        <v>26758</v>
      </c>
      <c r="AE191" s="57" t="s">
        <v>1680</v>
      </c>
      <c r="AF191" s="57" t="s">
        <v>1681</v>
      </c>
    </row>
    <row r="192" spans="1:32">
      <c r="A192" s="57">
        <v>191</v>
      </c>
      <c r="B192" s="58">
        <v>45869.817094907397</v>
      </c>
      <c r="C192" s="58">
        <v>45869.827974537038</v>
      </c>
      <c r="D192" s="57" t="s">
        <v>1682</v>
      </c>
      <c r="E192" s="57" t="s">
        <v>1683</v>
      </c>
      <c r="F192" s="58"/>
      <c r="G192" s="57" t="s">
        <v>606</v>
      </c>
      <c r="H192" s="59">
        <v>3</v>
      </c>
      <c r="I192" s="57" t="s">
        <v>20</v>
      </c>
      <c r="J192" s="57" t="s">
        <v>1684</v>
      </c>
      <c r="K192" s="59">
        <v>61543</v>
      </c>
      <c r="L192" s="57" t="s">
        <v>61</v>
      </c>
      <c r="M192" s="60">
        <v>45726</v>
      </c>
      <c r="N192" s="59">
        <v>61543</v>
      </c>
      <c r="O192" s="57" t="s">
        <v>1685</v>
      </c>
      <c r="P192" s="57" t="s">
        <v>1686</v>
      </c>
      <c r="Q192" s="57" t="s">
        <v>21</v>
      </c>
      <c r="R192" s="57" t="s">
        <v>364</v>
      </c>
      <c r="S192" s="59">
        <v>7374</v>
      </c>
      <c r="T192" s="57" t="s">
        <v>61</v>
      </c>
      <c r="U192" s="60">
        <v>45900</v>
      </c>
      <c r="V192" s="59">
        <v>7374</v>
      </c>
      <c r="W192" s="57" t="s">
        <v>1687</v>
      </c>
      <c r="X192" s="57" t="s">
        <v>1688</v>
      </c>
      <c r="Y192" s="57" t="s">
        <v>22</v>
      </c>
      <c r="Z192" s="57" t="s">
        <v>284</v>
      </c>
      <c r="AA192" s="59">
        <v>10038</v>
      </c>
      <c r="AB192" s="57" t="s">
        <v>61</v>
      </c>
      <c r="AC192" s="60">
        <v>45831</v>
      </c>
      <c r="AD192" s="59">
        <v>10038</v>
      </c>
      <c r="AE192" s="57" t="s">
        <v>1689</v>
      </c>
      <c r="AF192" s="57" t="s">
        <v>1690</v>
      </c>
    </row>
    <row r="193" spans="1:32">
      <c r="A193" s="57">
        <v>192</v>
      </c>
      <c r="B193" s="58">
        <v>45870.424062500002</v>
      </c>
      <c r="C193" s="58">
        <v>45870.459675925929</v>
      </c>
      <c r="D193" s="57" t="s">
        <v>1691</v>
      </c>
      <c r="E193" s="57" t="s">
        <v>1692</v>
      </c>
      <c r="F193" s="58"/>
      <c r="G193" s="57" t="s">
        <v>512</v>
      </c>
      <c r="H193" s="59">
        <v>2</v>
      </c>
      <c r="I193" s="57"/>
      <c r="J193" s="57"/>
      <c r="K193" s="59"/>
      <c r="L193" s="57"/>
      <c r="M193" s="60"/>
      <c r="N193" s="59"/>
      <c r="O193" s="57"/>
      <c r="P193" s="57"/>
      <c r="Q193" s="57" t="s">
        <v>20</v>
      </c>
      <c r="R193" s="57" t="s">
        <v>1693</v>
      </c>
      <c r="S193" s="59">
        <v>93138</v>
      </c>
      <c r="T193" s="57" t="s">
        <v>61</v>
      </c>
      <c r="U193" s="60">
        <v>45784</v>
      </c>
      <c r="V193" s="59">
        <v>93138</v>
      </c>
      <c r="W193" s="57" t="s">
        <v>1694</v>
      </c>
      <c r="X193" s="57" t="s">
        <v>1695</v>
      </c>
      <c r="Y193" s="57" t="s">
        <v>20</v>
      </c>
      <c r="Z193" s="57" t="s">
        <v>179</v>
      </c>
      <c r="AA193" s="59">
        <v>58142</v>
      </c>
      <c r="AB193" s="57" t="s">
        <v>61</v>
      </c>
      <c r="AC193" s="60">
        <v>45784</v>
      </c>
      <c r="AD193" s="59">
        <v>58142</v>
      </c>
      <c r="AE193" s="57" t="s">
        <v>1696</v>
      </c>
      <c r="AF193" s="57" t="s">
        <v>1697</v>
      </c>
    </row>
    <row r="194" spans="1:32">
      <c r="A194" s="57">
        <v>193</v>
      </c>
      <c r="B194" s="58">
        <v>45870.460370370369</v>
      </c>
      <c r="C194" s="58">
        <v>45870.462905092587</v>
      </c>
      <c r="D194" s="57" t="s">
        <v>1698</v>
      </c>
      <c r="E194" s="57" t="s">
        <v>1699</v>
      </c>
      <c r="F194" s="58"/>
      <c r="G194" s="57" t="s">
        <v>676</v>
      </c>
      <c r="H194" s="59">
        <v>1</v>
      </c>
      <c r="I194" s="57"/>
      <c r="J194" s="57"/>
      <c r="K194" s="59"/>
      <c r="L194" s="57"/>
      <c r="M194" s="60"/>
      <c r="N194" s="59"/>
      <c r="O194" s="57"/>
      <c r="P194" s="57"/>
      <c r="Q194" s="57"/>
      <c r="R194" s="57"/>
      <c r="S194" s="59"/>
      <c r="T194" s="57"/>
      <c r="U194" s="60"/>
      <c r="V194" s="59"/>
      <c r="W194" s="57"/>
      <c r="X194" s="57"/>
      <c r="Y194" s="57" t="s">
        <v>20</v>
      </c>
      <c r="Z194" s="57" t="s">
        <v>1700</v>
      </c>
      <c r="AA194" s="59">
        <v>93667</v>
      </c>
      <c r="AB194" s="57" t="s">
        <v>61</v>
      </c>
      <c r="AC194" s="60">
        <v>45826</v>
      </c>
      <c r="AD194" s="59">
        <v>93667</v>
      </c>
      <c r="AE194" s="57" t="s">
        <v>1701</v>
      </c>
      <c r="AF194" s="57" t="s">
        <v>1702</v>
      </c>
    </row>
    <row r="195" spans="1:32">
      <c r="A195" s="57">
        <v>194</v>
      </c>
      <c r="B195" s="58">
        <v>45870.458113425928</v>
      </c>
      <c r="C195" s="58">
        <v>45870.464016203703</v>
      </c>
      <c r="D195" s="57" t="s">
        <v>1703</v>
      </c>
      <c r="E195" s="57" t="s">
        <v>1704</v>
      </c>
      <c r="F195" s="58"/>
      <c r="G195" s="57" t="s">
        <v>524</v>
      </c>
      <c r="H195" s="59">
        <v>2</v>
      </c>
      <c r="I195" s="57"/>
      <c r="J195" s="57"/>
      <c r="K195" s="59"/>
      <c r="L195" s="57"/>
      <c r="M195" s="60"/>
      <c r="N195" s="59"/>
      <c r="O195" s="57"/>
      <c r="P195" s="57"/>
      <c r="Q195" s="57" t="s">
        <v>22</v>
      </c>
      <c r="R195" s="57" t="s">
        <v>191</v>
      </c>
      <c r="S195" s="59">
        <v>48797</v>
      </c>
      <c r="T195" s="57" t="s">
        <v>61</v>
      </c>
      <c r="U195" s="60">
        <v>45768</v>
      </c>
      <c r="V195" s="59">
        <v>48797</v>
      </c>
      <c r="W195" s="57" t="s">
        <v>1705</v>
      </c>
      <c r="X195" s="57" t="s">
        <v>1706</v>
      </c>
      <c r="Y195" s="57" t="s">
        <v>20</v>
      </c>
      <c r="Z195" s="57" t="s">
        <v>311</v>
      </c>
      <c r="AA195" s="59">
        <v>13610</v>
      </c>
      <c r="AB195" s="57" t="s">
        <v>61</v>
      </c>
      <c r="AC195" s="60">
        <v>45840</v>
      </c>
      <c r="AD195" s="59">
        <v>13610</v>
      </c>
      <c r="AE195" s="57" t="s">
        <v>1707</v>
      </c>
      <c r="AF195" s="57" t="s">
        <v>1708</v>
      </c>
    </row>
    <row r="196" spans="1:32">
      <c r="A196" s="57">
        <v>195</v>
      </c>
      <c r="B196" s="58">
        <v>45870.475995370369</v>
      </c>
      <c r="C196" s="58">
        <v>45870.479039351849</v>
      </c>
      <c r="D196" s="57" t="s">
        <v>1709</v>
      </c>
      <c r="E196" s="57" t="s">
        <v>1710</v>
      </c>
      <c r="F196" s="58"/>
      <c r="G196" s="57" t="s">
        <v>533</v>
      </c>
      <c r="H196" s="59">
        <v>1</v>
      </c>
      <c r="I196" s="57"/>
      <c r="J196" s="57"/>
      <c r="K196" s="59"/>
      <c r="L196" s="57"/>
      <c r="M196" s="60"/>
      <c r="N196" s="59"/>
      <c r="O196" s="57"/>
      <c r="P196" s="57"/>
      <c r="Q196" s="57"/>
      <c r="R196" s="57"/>
      <c r="S196" s="59"/>
      <c r="T196" s="57"/>
      <c r="U196" s="60"/>
      <c r="V196" s="59"/>
      <c r="W196" s="57"/>
      <c r="X196" s="57"/>
      <c r="Y196" s="57" t="s">
        <v>20</v>
      </c>
      <c r="Z196" s="57" t="s">
        <v>201</v>
      </c>
      <c r="AA196" s="59">
        <v>46284</v>
      </c>
      <c r="AB196" s="57" t="s">
        <v>61</v>
      </c>
      <c r="AC196" s="60">
        <v>45897</v>
      </c>
      <c r="AD196" s="59">
        <v>46284</v>
      </c>
      <c r="AE196" s="57" t="s">
        <v>1711</v>
      </c>
      <c r="AF196" s="57" t="s">
        <v>1712</v>
      </c>
    </row>
    <row r="197" spans="1:32">
      <c r="A197" s="57">
        <v>196</v>
      </c>
      <c r="B197" s="58">
        <v>45870.516863425917</v>
      </c>
      <c r="C197" s="58">
        <v>45870.524282407408</v>
      </c>
      <c r="D197" s="57" t="s">
        <v>1713</v>
      </c>
      <c r="E197" s="57" t="s">
        <v>1714</v>
      </c>
      <c r="F197" s="58"/>
      <c r="G197" s="57" t="s">
        <v>608</v>
      </c>
      <c r="H197" s="59">
        <v>1</v>
      </c>
      <c r="I197" s="57"/>
      <c r="J197" s="57"/>
      <c r="K197" s="59"/>
      <c r="L197" s="57"/>
      <c r="M197" s="60"/>
      <c r="N197" s="59"/>
      <c r="O197" s="57"/>
      <c r="P197" s="57"/>
      <c r="Q197" s="57"/>
      <c r="R197" s="57"/>
      <c r="S197" s="59"/>
      <c r="T197" s="57"/>
      <c r="U197" s="60"/>
      <c r="V197" s="59"/>
      <c r="W197" s="57"/>
      <c r="X197" s="57"/>
      <c r="Y197" s="57" t="s">
        <v>21</v>
      </c>
      <c r="Z197" s="57" t="s">
        <v>286</v>
      </c>
      <c r="AA197" s="59">
        <v>7399</v>
      </c>
      <c r="AB197" s="57" t="s">
        <v>61</v>
      </c>
      <c r="AC197" s="60">
        <v>45849</v>
      </c>
      <c r="AD197" s="59">
        <v>7399</v>
      </c>
      <c r="AE197" s="57" t="s">
        <v>1715</v>
      </c>
      <c r="AF197" s="57" t="s">
        <v>1716</v>
      </c>
    </row>
    <row r="198" spans="1:32">
      <c r="A198" s="57">
        <v>197</v>
      </c>
      <c r="B198" s="58">
        <v>45870.558333333327</v>
      </c>
      <c r="C198" s="58">
        <v>45870.571516203701</v>
      </c>
      <c r="D198" s="57" t="s">
        <v>1717</v>
      </c>
      <c r="E198" s="57" t="s">
        <v>1718</v>
      </c>
      <c r="F198" s="58"/>
      <c r="G198" s="57" t="s">
        <v>570</v>
      </c>
      <c r="H198" s="59">
        <v>2</v>
      </c>
      <c r="I198" s="57"/>
      <c r="J198" s="57"/>
      <c r="K198" s="59"/>
      <c r="L198" s="57"/>
      <c r="M198" s="60"/>
      <c r="N198" s="59"/>
      <c r="O198" s="57"/>
      <c r="P198" s="57"/>
      <c r="Q198" s="57" t="s">
        <v>22</v>
      </c>
      <c r="R198" s="57" t="s">
        <v>242</v>
      </c>
      <c r="S198" s="59">
        <v>8674</v>
      </c>
      <c r="T198" s="57" t="s">
        <v>61</v>
      </c>
      <c r="U198" s="60">
        <v>45848</v>
      </c>
      <c r="V198" s="59">
        <v>8674</v>
      </c>
      <c r="W198" s="57" t="s">
        <v>1719</v>
      </c>
      <c r="X198" s="57" t="s">
        <v>1720</v>
      </c>
      <c r="Y198" s="57" t="s">
        <v>21</v>
      </c>
      <c r="Z198" s="57" t="s">
        <v>312</v>
      </c>
      <c r="AA198" s="59">
        <v>1178</v>
      </c>
      <c r="AB198" s="57" t="s">
        <v>61</v>
      </c>
      <c r="AC198" s="60">
        <v>45870</v>
      </c>
      <c r="AD198" s="59">
        <v>1178</v>
      </c>
      <c r="AE198" s="57" t="s">
        <v>1721</v>
      </c>
      <c r="AF198" s="57" t="s">
        <v>1722</v>
      </c>
    </row>
    <row r="199" spans="1:32">
      <c r="A199" s="57">
        <v>198</v>
      </c>
      <c r="B199" s="58">
        <v>45870.559560185182</v>
      </c>
      <c r="C199" s="58">
        <v>45870.579004629632</v>
      </c>
      <c r="D199" s="57" t="s">
        <v>1723</v>
      </c>
      <c r="E199" s="57" t="s">
        <v>1724</v>
      </c>
      <c r="F199" s="58"/>
      <c r="G199" s="57" t="s">
        <v>700</v>
      </c>
      <c r="H199" s="59">
        <v>1</v>
      </c>
      <c r="I199" s="57"/>
      <c r="J199" s="57"/>
      <c r="K199" s="59"/>
      <c r="L199" s="57"/>
      <c r="M199" s="60"/>
      <c r="N199" s="59"/>
      <c r="O199" s="57"/>
      <c r="P199" s="57"/>
      <c r="Q199" s="57"/>
      <c r="R199" s="57"/>
      <c r="S199" s="59"/>
      <c r="T199" s="57"/>
      <c r="U199" s="60"/>
      <c r="V199" s="59"/>
      <c r="W199" s="57"/>
      <c r="X199" s="57"/>
      <c r="Y199" s="57" t="s">
        <v>21</v>
      </c>
      <c r="Z199" s="57" t="s">
        <v>1725</v>
      </c>
      <c r="AA199" s="59">
        <v>27787</v>
      </c>
      <c r="AB199" s="57" t="s">
        <v>61</v>
      </c>
      <c r="AC199" s="60">
        <v>45828</v>
      </c>
      <c r="AD199" s="59">
        <v>27787</v>
      </c>
      <c r="AE199" s="57" t="s">
        <v>1726</v>
      </c>
      <c r="AF199" s="57" t="s">
        <v>1727</v>
      </c>
    </row>
    <row r="200" spans="1:32">
      <c r="A200" s="57">
        <v>199</v>
      </c>
      <c r="B200" s="58">
        <v>45870.600937499999</v>
      </c>
      <c r="C200" s="58">
        <v>45870.604259259257</v>
      </c>
      <c r="D200" s="57" t="s">
        <v>1728</v>
      </c>
      <c r="E200" s="57" t="s">
        <v>1729</v>
      </c>
      <c r="F200" s="58"/>
      <c r="G200" s="57" t="s">
        <v>561</v>
      </c>
      <c r="H200" s="59">
        <v>2</v>
      </c>
      <c r="I200" s="57"/>
      <c r="J200" s="57"/>
      <c r="K200" s="59"/>
      <c r="L200" s="57"/>
      <c r="M200" s="60"/>
      <c r="N200" s="59"/>
      <c r="O200" s="57"/>
      <c r="P200" s="57"/>
      <c r="Q200" s="57" t="s">
        <v>22</v>
      </c>
      <c r="R200" s="57" t="s">
        <v>231</v>
      </c>
      <c r="S200" s="59">
        <v>58198</v>
      </c>
      <c r="T200" s="57" t="s">
        <v>61</v>
      </c>
      <c r="U200" s="60">
        <v>45819</v>
      </c>
      <c r="V200" s="59">
        <v>58198</v>
      </c>
      <c r="W200" s="57" t="s">
        <v>1730</v>
      </c>
      <c r="X200" s="57" t="s">
        <v>1731</v>
      </c>
      <c r="Y200" s="57" t="s">
        <v>21</v>
      </c>
      <c r="Z200" s="57" t="s">
        <v>1732</v>
      </c>
      <c r="AA200" s="59">
        <v>23743</v>
      </c>
      <c r="AB200" s="57" t="s">
        <v>61</v>
      </c>
      <c r="AC200" s="60">
        <v>45769</v>
      </c>
      <c r="AD200" s="59">
        <v>23743</v>
      </c>
      <c r="AE200" s="57" t="s">
        <v>1733</v>
      </c>
      <c r="AF200" s="57" t="s">
        <v>1734</v>
      </c>
    </row>
    <row r="201" spans="1:32">
      <c r="A201" s="57">
        <v>200</v>
      </c>
      <c r="B201" s="58">
        <v>45870.614872685182</v>
      </c>
      <c r="C201" s="58">
        <v>45870.63559027778</v>
      </c>
      <c r="D201" s="57" t="s">
        <v>1735</v>
      </c>
      <c r="E201" s="57" t="s">
        <v>1736</v>
      </c>
      <c r="F201" s="58"/>
      <c r="G201" s="57" t="s">
        <v>569</v>
      </c>
      <c r="H201" s="59">
        <v>2</v>
      </c>
      <c r="I201" s="57"/>
      <c r="J201" s="57"/>
      <c r="K201" s="59"/>
      <c r="L201" s="57"/>
      <c r="M201" s="60"/>
      <c r="N201" s="59"/>
      <c r="O201" s="57"/>
      <c r="P201" s="57"/>
      <c r="Q201" s="57" t="s">
        <v>22</v>
      </c>
      <c r="R201" s="57" t="s">
        <v>241</v>
      </c>
      <c r="S201" s="59">
        <v>30534</v>
      </c>
      <c r="T201" s="57" t="s">
        <v>61</v>
      </c>
      <c r="U201" s="60">
        <v>45689</v>
      </c>
      <c r="V201" s="59">
        <v>30534</v>
      </c>
      <c r="W201" s="57" t="s">
        <v>1737</v>
      </c>
      <c r="X201" s="57" t="s">
        <v>1738</v>
      </c>
      <c r="Y201" s="57" t="s">
        <v>21</v>
      </c>
      <c r="Z201" s="57" t="s">
        <v>334</v>
      </c>
      <c r="AA201" s="59">
        <v>2867</v>
      </c>
      <c r="AB201" s="57" t="s">
        <v>61</v>
      </c>
      <c r="AC201" s="60">
        <v>45720</v>
      </c>
      <c r="AD201" s="59">
        <v>2867</v>
      </c>
      <c r="AE201" s="57" t="s">
        <v>1739</v>
      </c>
      <c r="AF201" s="57" t="s">
        <v>1740</v>
      </c>
    </row>
    <row r="202" spans="1:32">
      <c r="A202" s="57">
        <v>201</v>
      </c>
      <c r="B202" s="58">
        <v>45870.671932870369</v>
      </c>
      <c r="C202" s="58">
        <v>45870.672488425917</v>
      </c>
      <c r="D202" s="57" t="s">
        <v>1741</v>
      </c>
      <c r="E202" s="57" t="s">
        <v>1742</v>
      </c>
      <c r="F202" s="58"/>
      <c r="G202" s="57" t="s">
        <v>509</v>
      </c>
      <c r="H202" s="59">
        <v>1</v>
      </c>
      <c r="I202" s="57"/>
      <c r="J202" s="57"/>
      <c r="K202" s="59"/>
      <c r="L202" s="57"/>
      <c r="M202" s="60"/>
      <c r="N202" s="59"/>
      <c r="O202" s="57"/>
      <c r="P202" s="57"/>
      <c r="Q202" s="57"/>
      <c r="R202" s="57"/>
      <c r="S202" s="59"/>
      <c r="T202" s="57"/>
      <c r="U202" s="60"/>
      <c r="V202" s="59"/>
      <c r="W202" s="57"/>
      <c r="X202" s="57"/>
      <c r="Y202" s="57" t="s">
        <v>21</v>
      </c>
      <c r="Z202" s="57" t="s">
        <v>175</v>
      </c>
      <c r="AA202" s="59">
        <v>33779</v>
      </c>
      <c r="AB202" s="57" t="s">
        <v>61</v>
      </c>
      <c r="AC202" s="60">
        <v>45727</v>
      </c>
      <c r="AD202" s="59">
        <v>33779</v>
      </c>
      <c r="AE202" s="57" t="s">
        <v>1743</v>
      </c>
      <c r="AF202" s="57" t="s">
        <v>1744</v>
      </c>
    </row>
    <row r="203" spans="1:32">
      <c r="A203" s="57">
        <v>202</v>
      </c>
      <c r="B203" s="58">
        <v>45871.600891203707</v>
      </c>
      <c r="C203" s="58">
        <v>45871.607673611114</v>
      </c>
      <c r="D203" s="57" t="s">
        <v>1745</v>
      </c>
      <c r="E203" s="57" t="s">
        <v>1746</v>
      </c>
      <c r="F203" s="58"/>
      <c r="G203" s="57" t="s">
        <v>557</v>
      </c>
      <c r="H203" s="59">
        <v>1</v>
      </c>
      <c r="I203" s="57"/>
      <c r="J203" s="57"/>
      <c r="K203" s="59"/>
      <c r="L203" s="57"/>
      <c r="M203" s="60"/>
      <c r="N203" s="59"/>
      <c r="O203" s="57"/>
      <c r="P203" s="57"/>
      <c r="Q203" s="57"/>
      <c r="R203" s="57"/>
      <c r="S203" s="59"/>
      <c r="T203" s="57"/>
      <c r="U203" s="60"/>
      <c r="V203" s="59"/>
      <c r="W203" s="57"/>
      <c r="X203" s="57"/>
      <c r="Y203" s="57" t="s">
        <v>20</v>
      </c>
      <c r="Z203" s="57" t="s">
        <v>1747</v>
      </c>
      <c r="AA203" s="59">
        <v>101315</v>
      </c>
      <c r="AB203" s="57" t="s">
        <v>61</v>
      </c>
      <c r="AC203" s="60">
        <v>45839</v>
      </c>
      <c r="AD203" s="59">
        <v>101315</v>
      </c>
      <c r="AE203" s="57" t="s">
        <v>1748</v>
      </c>
      <c r="AF203" s="57" t="s">
        <v>1749</v>
      </c>
    </row>
    <row r="204" spans="1:32">
      <c r="A204" s="57">
        <v>203</v>
      </c>
      <c r="B204" s="58">
        <v>45873.41778935185</v>
      </c>
      <c r="C204" s="58">
        <v>45873.426805555559</v>
      </c>
      <c r="D204" s="57" t="s">
        <v>1750</v>
      </c>
      <c r="E204" s="57" t="s">
        <v>1751</v>
      </c>
      <c r="F204" s="58"/>
      <c r="G204" s="57" t="s">
        <v>530</v>
      </c>
      <c r="H204" s="59">
        <v>1</v>
      </c>
      <c r="I204" s="57"/>
      <c r="J204" s="57"/>
      <c r="K204" s="59"/>
      <c r="L204" s="57"/>
      <c r="M204" s="60"/>
      <c r="N204" s="59"/>
      <c r="O204" s="57"/>
      <c r="P204" s="57"/>
      <c r="Q204" s="57"/>
      <c r="R204" s="57"/>
      <c r="S204" s="59"/>
      <c r="T204" s="57"/>
      <c r="U204" s="60"/>
      <c r="V204" s="59"/>
      <c r="W204" s="57"/>
      <c r="X204" s="57"/>
      <c r="Y204" s="57" t="s">
        <v>21</v>
      </c>
      <c r="Z204" s="57" t="s">
        <v>197</v>
      </c>
      <c r="AA204" s="59">
        <v>26348</v>
      </c>
      <c r="AB204" s="57" t="s">
        <v>61</v>
      </c>
      <c r="AC204" s="60">
        <v>45699</v>
      </c>
      <c r="AD204" s="59">
        <v>26348</v>
      </c>
      <c r="AE204" s="57" t="s">
        <v>1752</v>
      </c>
      <c r="AF204" s="57" t="s">
        <v>1753</v>
      </c>
    </row>
    <row r="205" spans="1:32">
      <c r="A205" s="57">
        <v>204</v>
      </c>
      <c r="B205" s="58">
        <v>45873.430115740739</v>
      </c>
      <c r="C205" s="58">
        <v>45873.434201388889</v>
      </c>
      <c r="D205" s="57" t="s">
        <v>1754</v>
      </c>
      <c r="E205" s="57" t="s">
        <v>1755</v>
      </c>
      <c r="F205" s="58"/>
      <c r="G205" s="57" t="s">
        <v>620</v>
      </c>
      <c r="H205" s="59">
        <v>2</v>
      </c>
      <c r="I205" s="57"/>
      <c r="J205" s="57"/>
      <c r="K205" s="59"/>
      <c r="L205" s="57"/>
      <c r="M205" s="60"/>
      <c r="N205" s="59"/>
      <c r="O205" s="57"/>
      <c r="P205" s="57"/>
      <c r="Q205" s="57" t="s">
        <v>22</v>
      </c>
      <c r="R205" s="57" t="s">
        <v>302</v>
      </c>
      <c r="S205" s="59">
        <v>12955</v>
      </c>
      <c r="T205" s="57" t="s">
        <v>61</v>
      </c>
      <c r="U205" s="60">
        <v>45809</v>
      </c>
      <c r="V205" s="59">
        <v>12955</v>
      </c>
      <c r="W205" s="57" t="s">
        <v>1756</v>
      </c>
      <c r="X205" s="57" t="s">
        <v>1757</v>
      </c>
      <c r="Y205" s="57" t="s">
        <v>21</v>
      </c>
      <c r="Z205" s="57" t="s">
        <v>357</v>
      </c>
      <c r="AA205" s="59">
        <v>3824</v>
      </c>
      <c r="AB205" s="57" t="s">
        <v>61</v>
      </c>
      <c r="AC205" s="60">
        <v>45854</v>
      </c>
      <c r="AD205" s="59">
        <v>3824</v>
      </c>
      <c r="AE205" s="57" t="s">
        <v>1758</v>
      </c>
      <c r="AF205" s="57" t="s">
        <v>1759</v>
      </c>
    </row>
    <row r="206" spans="1:32">
      <c r="A206" s="57">
        <v>205</v>
      </c>
      <c r="B206" s="58">
        <v>45873.596909722219</v>
      </c>
      <c r="C206" s="58">
        <v>45873.609895833331</v>
      </c>
      <c r="D206" s="57" t="s">
        <v>1760</v>
      </c>
      <c r="E206" s="57" t="s">
        <v>1761</v>
      </c>
      <c r="F206" s="58"/>
      <c r="G206" s="57" t="s">
        <v>488</v>
      </c>
      <c r="H206" s="59">
        <v>1</v>
      </c>
      <c r="I206" s="57"/>
      <c r="J206" s="57"/>
      <c r="K206" s="59"/>
      <c r="L206" s="57"/>
      <c r="M206" s="60"/>
      <c r="N206" s="59"/>
      <c r="O206" s="57"/>
      <c r="P206" s="57"/>
      <c r="Q206" s="57"/>
      <c r="R206" s="57"/>
      <c r="S206" s="59"/>
      <c r="T206" s="57"/>
      <c r="U206" s="60"/>
      <c r="V206" s="59"/>
      <c r="W206" s="57"/>
      <c r="X206" s="57"/>
      <c r="Y206" s="57" t="s">
        <v>20</v>
      </c>
      <c r="Z206" s="57" t="s">
        <v>1762</v>
      </c>
      <c r="AA206" s="59">
        <v>10873</v>
      </c>
      <c r="AB206" s="57" t="s">
        <v>61</v>
      </c>
      <c r="AC206" s="60">
        <v>45405</v>
      </c>
      <c r="AD206" s="59">
        <v>10873</v>
      </c>
      <c r="AE206" s="57" t="s">
        <v>1763</v>
      </c>
      <c r="AF206" s="57" t="s">
        <v>1764</v>
      </c>
    </row>
    <row r="207" spans="1:32">
      <c r="A207" s="57">
        <v>206</v>
      </c>
      <c r="B207" s="58">
        <v>45873.672824074078</v>
      </c>
      <c r="C207" s="58">
        <v>45873.682337962957</v>
      </c>
      <c r="D207" s="57" t="s">
        <v>1127</v>
      </c>
      <c r="E207" s="57" t="s">
        <v>1128</v>
      </c>
      <c r="F207" s="58"/>
      <c r="G207" s="57" t="s">
        <v>455</v>
      </c>
      <c r="H207" s="59">
        <v>1</v>
      </c>
      <c r="I207" s="57"/>
      <c r="J207" s="57"/>
      <c r="K207" s="59"/>
      <c r="L207" s="57"/>
      <c r="M207" s="60"/>
      <c r="N207" s="59"/>
      <c r="O207" s="57"/>
      <c r="P207" s="57"/>
      <c r="Q207" s="57"/>
      <c r="R207" s="57"/>
      <c r="S207" s="59"/>
      <c r="T207" s="57"/>
      <c r="U207" s="60"/>
      <c r="V207" s="59"/>
      <c r="W207" s="57"/>
      <c r="X207" s="57"/>
      <c r="Y207" s="57" t="s">
        <v>21</v>
      </c>
      <c r="Z207" s="57" t="s">
        <v>121</v>
      </c>
      <c r="AA207" s="59">
        <v>34026</v>
      </c>
      <c r="AB207" s="57" t="s">
        <v>61</v>
      </c>
      <c r="AC207" s="60">
        <v>45736</v>
      </c>
      <c r="AD207" s="59">
        <v>34026</v>
      </c>
      <c r="AE207" s="57" t="s">
        <v>1765</v>
      </c>
      <c r="AF207" s="57" t="s">
        <v>1766</v>
      </c>
    </row>
    <row r="208" spans="1:32">
      <c r="A208" s="57">
        <v>207</v>
      </c>
      <c r="B208" s="58">
        <v>45873.736851851849</v>
      </c>
      <c r="C208" s="58">
        <v>45873.743692129632</v>
      </c>
      <c r="D208" s="57" t="s">
        <v>1767</v>
      </c>
      <c r="E208" s="57" t="s">
        <v>1768</v>
      </c>
      <c r="F208" s="58"/>
      <c r="G208" s="57" t="s">
        <v>541</v>
      </c>
      <c r="H208" s="59">
        <v>1</v>
      </c>
      <c r="I208" s="57"/>
      <c r="J208" s="57"/>
      <c r="K208" s="59"/>
      <c r="L208" s="57"/>
      <c r="M208" s="60"/>
      <c r="N208" s="59"/>
      <c r="O208" s="57"/>
      <c r="P208" s="57"/>
      <c r="Q208" s="57"/>
      <c r="R208" s="57"/>
      <c r="S208" s="59"/>
      <c r="T208" s="57"/>
      <c r="U208" s="60"/>
      <c r="V208" s="59"/>
      <c r="W208" s="57"/>
      <c r="X208" s="57"/>
      <c r="Y208" s="57" t="s">
        <v>21</v>
      </c>
      <c r="Z208" s="57" t="s">
        <v>210</v>
      </c>
      <c r="AA208" s="59">
        <v>49598</v>
      </c>
      <c r="AB208" s="57" t="s">
        <v>61</v>
      </c>
      <c r="AC208" s="60">
        <v>45862</v>
      </c>
      <c r="AD208" s="59">
        <v>49598</v>
      </c>
      <c r="AE208" s="57" t="s">
        <v>1769</v>
      </c>
      <c r="AF208" s="57" t="s">
        <v>1770</v>
      </c>
    </row>
    <row r="209" spans="1:32">
      <c r="A209" s="57">
        <v>208</v>
      </c>
      <c r="B209" s="58">
        <v>45875.748553240737</v>
      </c>
      <c r="C209" s="58">
        <v>45875.750138888892</v>
      </c>
      <c r="D209" s="57" t="s">
        <v>966</v>
      </c>
      <c r="E209" s="57" t="s">
        <v>967</v>
      </c>
      <c r="F209" s="58"/>
      <c r="G209" s="57" t="s">
        <v>503</v>
      </c>
      <c r="H209" s="59">
        <v>1</v>
      </c>
      <c r="I209" s="57"/>
      <c r="J209" s="57"/>
      <c r="K209" s="59"/>
      <c r="L209" s="57"/>
      <c r="M209" s="60"/>
      <c r="N209" s="59"/>
      <c r="O209" s="57"/>
      <c r="P209" s="57"/>
      <c r="Q209" s="57"/>
      <c r="R209" s="57"/>
      <c r="S209" s="59"/>
      <c r="T209" s="57"/>
      <c r="U209" s="60"/>
      <c r="V209" s="59"/>
      <c r="W209" s="57"/>
      <c r="X209" s="57"/>
      <c r="Y209" s="57" t="s">
        <v>20</v>
      </c>
      <c r="Z209" s="57" t="s">
        <v>169</v>
      </c>
      <c r="AA209" s="59">
        <v>75850</v>
      </c>
      <c r="AB209" s="57" t="s">
        <v>61</v>
      </c>
      <c r="AC209" s="60">
        <v>45874</v>
      </c>
      <c r="AD209" s="59">
        <v>75850</v>
      </c>
      <c r="AE209" s="57" t="s">
        <v>1771</v>
      </c>
      <c r="AF209" s="57" t="s">
        <v>1772</v>
      </c>
    </row>
    <row r="210" spans="1:32">
      <c r="A210" s="57">
        <v>209</v>
      </c>
      <c r="B210" s="58">
        <v>45876.460636574076</v>
      </c>
      <c r="C210" s="58">
        <v>45876.465567129628</v>
      </c>
      <c r="D210" s="57" t="s">
        <v>1773</v>
      </c>
      <c r="E210" s="57" t="s">
        <v>1774</v>
      </c>
      <c r="F210" s="58"/>
      <c r="G210" s="57" t="s">
        <v>539</v>
      </c>
      <c r="H210" s="59">
        <v>2</v>
      </c>
      <c r="I210" s="57"/>
      <c r="J210" s="57"/>
      <c r="K210" s="59"/>
      <c r="L210" s="57"/>
      <c r="M210" s="60"/>
      <c r="N210" s="59"/>
      <c r="O210" s="57"/>
      <c r="P210" s="57"/>
      <c r="Q210" s="57" t="s">
        <v>20</v>
      </c>
      <c r="R210" s="57" t="s">
        <v>1775</v>
      </c>
      <c r="S210" s="59">
        <v>89320</v>
      </c>
      <c r="T210" s="57" t="s">
        <v>61</v>
      </c>
      <c r="U210" s="60">
        <v>45821</v>
      </c>
      <c r="V210" s="59">
        <v>89320</v>
      </c>
      <c r="W210" s="57" t="s">
        <v>1776</v>
      </c>
      <c r="X210" s="57" t="s">
        <v>1777</v>
      </c>
      <c r="Y210" s="57" t="s">
        <v>20</v>
      </c>
      <c r="Z210" s="57" t="s">
        <v>207</v>
      </c>
      <c r="AA210" s="59">
        <v>38482</v>
      </c>
      <c r="AB210" s="57" t="s">
        <v>61</v>
      </c>
      <c r="AC210" s="60">
        <v>45821</v>
      </c>
      <c r="AD210" s="59">
        <v>38482</v>
      </c>
      <c r="AE210" s="57" t="s">
        <v>1778</v>
      </c>
      <c r="AF210" s="57" t="s">
        <v>1779</v>
      </c>
    </row>
    <row r="211" spans="1:32">
      <c r="A211" s="57">
        <v>210</v>
      </c>
      <c r="B211" s="58">
        <v>45876.651759259257</v>
      </c>
      <c r="C211" s="58">
        <v>45876.652395833327</v>
      </c>
      <c r="D211" s="57" t="s">
        <v>1780</v>
      </c>
      <c r="E211" s="57" t="s">
        <v>1781</v>
      </c>
      <c r="F211" s="58"/>
      <c r="G211" s="57" t="s">
        <v>599</v>
      </c>
      <c r="H211" s="59">
        <v>2</v>
      </c>
      <c r="I211" s="57"/>
      <c r="J211" s="57"/>
      <c r="K211" s="59"/>
      <c r="L211" s="57"/>
      <c r="M211" s="60"/>
      <c r="N211" s="59"/>
      <c r="O211" s="57"/>
      <c r="P211" s="57"/>
      <c r="Q211" s="57" t="s">
        <v>20</v>
      </c>
      <c r="R211" s="57" t="s">
        <v>1782</v>
      </c>
      <c r="S211" s="59">
        <v>54122</v>
      </c>
      <c r="T211" s="57" t="s">
        <v>61</v>
      </c>
      <c r="U211" s="60">
        <v>45728</v>
      </c>
      <c r="V211" s="59">
        <v>54122</v>
      </c>
      <c r="W211" s="57" t="s">
        <v>1783</v>
      </c>
      <c r="X211" s="57" t="s">
        <v>1784</v>
      </c>
      <c r="Y211" s="57" t="s">
        <v>20</v>
      </c>
      <c r="Z211" s="57" t="s">
        <v>275</v>
      </c>
      <c r="AA211" s="59">
        <v>32663</v>
      </c>
      <c r="AB211" s="57" t="s">
        <v>61</v>
      </c>
      <c r="AC211" s="60">
        <v>45824</v>
      </c>
      <c r="AD211" s="59">
        <v>32663</v>
      </c>
      <c r="AE211" s="57" t="s">
        <v>1785</v>
      </c>
      <c r="AF211" s="57" t="s">
        <v>1786</v>
      </c>
    </row>
    <row r="212" spans="1:32">
      <c r="A212" s="57">
        <v>211</v>
      </c>
      <c r="B212" s="58">
        <v>45876.670810185176</v>
      </c>
      <c r="C212" s="58">
        <v>45876.687604166669</v>
      </c>
      <c r="D212" s="57" t="s">
        <v>1787</v>
      </c>
      <c r="E212" s="57" t="s">
        <v>1788</v>
      </c>
      <c r="F212" s="58"/>
      <c r="G212" s="57" t="s">
        <v>496</v>
      </c>
      <c r="H212" s="59">
        <v>1</v>
      </c>
      <c r="I212" s="57"/>
      <c r="J212" s="57"/>
      <c r="K212" s="59"/>
      <c r="L212" s="57"/>
      <c r="M212" s="60"/>
      <c r="N212" s="59"/>
      <c r="O212" s="57"/>
      <c r="P212" s="57"/>
      <c r="Q212" s="57"/>
      <c r="R212" s="57"/>
      <c r="S212" s="59"/>
      <c r="T212" s="57"/>
      <c r="U212" s="60"/>
      <c r="V212" s="59"/>
      <c r="W212" s="57"/>
      <c r="X212" s="57"/>
      <c r="Y212" s="57" t="s">
        <v>20</v>
      </c>
      <c r="Z212" s="57" t="s">
        <v>162</v>
      </c>
      <c r="AA212" s="59">
        <v>27648</v>
      </c>
      <c r="AB212" s="57" t="s">
        <v>61</v>
      </c>
      <c r="AC212" s="60">
        <v>45849</v>
      </c>
      <c r="AD212" s="59">
        <v>27648</v>
      </c>
      <c r="AE212" s="57" t="s">
        <v>1789</v>
      </c>
      <c r="AF212" s="57" t="s">
        <v>1790</v>
      </c>
    </row>
    <row r="213" spans="1:32">
      <c r="A213" s="57">
        <v>212</v>
      </c>
      <c r="B213" s="58">
        <v>45877.646423611113</v>
      </c>
      <c r="C213" s="58">
        <v>45877.666805555556</v>
      </c>
      <c r="D213" s="57" t="s">
        <v>1791</v>
      </c>
      <c r="E213" s="57" t="s">
        <v>1792</v>
      </c>
      <c r="F213" s="58"/>
      <c r="G213" s="57" t="s">
        <v>621</v>
      </c>
      <c r="H213" s="59">
        <v>1</v>
      </c>
      <c r="I213" s="57"/>
      <c r="J213" s="57"/>
      <c r="K213" s="59"/>
      <c r="L213" s="57"/>
      <c r="M213" s="60"/>
      <c r="N213" s="59"/>
      <c r="O213" s="57"/>
      <c r="P213" s="57"/>
      <c r="Q213" s="57"/>
      <c r="R213" s="57"/>
      <c r="S213" s="59"/>
      <c r="T213" s="57"/>
      <c r="U213" s="60"/>
      <c r="V213" s="59"/>
      <c r="W213" s="57"/>
      <c r="X213" s="57"/>
      <c r="Y213" s="57" t="s">
        <v>21</v>
      </c>
      <c r="Z213" s="57" t="s">
        <v>303</v>
      </c>
      <c r="AA213" s="59">
        <v>9640</v>
      </c>
      <c r="AB213" s="57" t="s">
        <v>61</v>
      </c>
      <c r="AC213" s="60">
        <v>45846</v>
      </c>
      <c r="AD213" s="59">
        <v>9640</v>
      </c>
      <c r="AE213" s="57" t="s">
        <v>1793</v>
      </c>
      <c r="AF213" s="57" t="s">
        <v>1794</v>
      </c>
    </row>
    <row r="214" spans="1:32">
      <c r="A214" s="57">
        <v>213</v>
      </c>
      <c r="B214" s="58">
        <v>45878.501319444447</v>
      </c>
      <c r="C214" s="58">
        <v>45878.596585648149</v>
      </c>
      <c r="D214" s="57" t="s">
        <v>1795</v>
      </c>
      <c r="E214" s="57" t="s">
        <v>1796</v>
      </c>
      <c r="F214" s="58"/>
      <c r="G214" s="57" t="s">
        <v>632</v>
      </c>
      <c r="H214" s="59">
        <v>2</v>
      </c>
      <c r="I214" s="57"/>
      <c r="J214" s="57"/>
      <c r="K214" s="59"/>
      <c r="L214" s="57"/>
      <c r="M214" s="60"/>
      <c r="N214" s="59"/>
      <c r="O214" s="57"/>
      <c r="P214" s="57"/>
      <c r="Q214" s="57" t="s">
        <v>22</v>
      </c>
      <c r="R214" s="57" t="s">
        <v>1797</v>
      </c>
      <c r="S214" s="59">
        <v>32372</v>
      </c>
      <c r="T214" s="57" t="s">
        <v>61</v>
      </c>
      <c r="U214" s="60">
        <v>45723</v>
      </c>
      <c r="V214" s="59">
        <v>32372</v>
      </c>
      <c r="W214" s="57" t="s">
        <v>1798</v>
      </c>
      <c r="X214" s="57" t="s">
        <v>1799</v>
      </c>
      <c r="Y214" s="57" t="s">
        <v>21</v>
      </c>
      <c r="Z214" s="57" t="s">
        <v>321</v>
      </c>
      <c r="AA214" s="59">
        <v>1629</v>
      </c>
      <c r="AB214" s="57" t="s">
        <v>61</v>
      </c>
      <c r="AC214" s="60">
        <v>45878</v>
      </c>
      <c r="AD214" s="59">
        <v>1629</v>
      </c>
      <c r="AE214" s="57" t="s">
        <v>1800</v>
      </c>
      <c r="AF214" s="57" t="s">
        <v>1801</v>
      </c>
    </row>
    <row r="215" spans="1:32">
      <c r="A215" s="57">
        <v>214</v>
      </c>
      <c r="B215" s="58">
        <v>45880.575254629628</v>
      </c>
      <c r="C215" s="58">
        <v>45880.579652777778</v>
      </c>
      <c r="D215" s="57" t="s">
        <v>1802</v>
      </c>
      <c r="E215" s="57" t="s">
        <v>1803</v>
      </c>
      <c r="F215" s="58"/>
      <c r="G215" s="57" t="s">
        <v>535</v>
      </c>
      <c r="H215" s="59">
        <v>2</v>
      </c>
      <c r="I215" s="57"/>
      <c r="J215" s="57"/>
      <c r="K215" s="59"/>
      <c r="L215" s="57"/>
      <c r="M215" s="60"/>
      <c r="N215" s="59"/>
      <c r="O215" s="57"/>
      <c r="P215" s="57"/>
      <c r="Q215" s="57" t="s">
        <v>20</v>
      </c>
      <c r="R215" s="57" t="s">
        <v>203</v>
      </c>
      <c r="S215" s="59">
        <v>19067</v>
      </c>
      <c r="T215" s="57" t="s">
        <v>61</v>
      </c>
      <c r="U215" s="60">
        <v>45854</v>
      </c>
      <c r="V215" s="59">
        <v>19067</v>
      </c>
      <c r="W215" s="57" t="s">
        <v>1804</v>
      </c>
      <c r="X215" s="57" t="s">
        <v>1805</v>
      </c>
      <c r="Y215" s="57" t="s">
        <v>22</v>
      </c>
      <c r="Z215" s="57" t="s">
        <v>209</v>
      </c>
      <c r="AA215" s="59">
        <v>65858</v>
      </c>
      <c r="AB215" s="57" t="s">
        <v>61</v>
      </c>
      <c r="AC215" s="60">
        <v>45785</v>
      </c>
      <c r="AD215" s="59">
        <v>65858</v>
      </c>
      <c r="AE215" s="57" t="s">
        <v>1806</v>
      </c>
      <c r="AF215" s="57" t="s">
        <v>1807</v>
      </c>
    </row>
    <row r="216" spans="1:32">
      <c r="A216" s="57">
        <v>215</v>
      </c>
      <c r="B216" s="58">
        <v>45880.604490740741</v>
      </c>
      <c r="C216" s="58">
        <v>45880.625011574077</v>
      </c>
      <c r="D216" s="57" t="s">
        <v>1045</v>
      </c>
      <c r="E216" s="57" t="s">
        <v>1046</v>
      </c>
      <c r="F216" s="58"/>
      <c r="G216" s="57" t="s">
        <v>610</v>
      </c>
      <c r="H216" s="59">
        <v>1</v>
      </c>
      <c r="I216" s="57"/>
      <c r="J216" s="57"/>
      <c r="K216" s="59"/>
      <c r="L216" s="57"/>
      <c r="M216" s="60"/>
      <c r="N216" s="59"/>
      <c r="O216" s="57"/>
      <c r="P216" s="57"/>
      <c r="Q216" s="57"/>
      <c r="R216" s="57"/>
      <c r="S216" s="59"/>
      <c r="T216" s="57"/>
      <c r="U216" s="60"/>
      <c r="V216" s="59"/>
      <c r="W216" s="57"/>
      <c r="X216" s="57"/>
      <c r="Y216" s="57" t="s">
        <v>21</v>
      </c>
      <c r="Z216" s="57" t="s">
        <v>1047</v>
      </c>
      <c r="AA216" s="59">
        <v>22539</v>
      </c>
      <c r="AB216" s="57" t="s">
        <v>61</v>
      </c>
      <c r="AC216" s="60">
        <v>45875</v>
      </c>
      <c r="AD216" s="59">
        <v>22539</v>
      </c>
      <c r="AE216" s="57" t="s">
        <v>1808</v>
      </c>
      <c r="AF216" s="57" t="s">
        <v>1809</v>
      </c>
    </row>
    <row r="217" spans="1:32">
      <c r="A217" s="57">
        <v>216</v>
      </c>
      <c r="B217" s="58">
        <v>45881.642592592587</v>
      </c>
      <c r="C217" s="58">
        <v>45882.595381944448</v>
      </c>
      <c r="D217" s="57" t="s">
        <v>1536</v>
      </c>
      <c r="E217" s="57" t="s">
        <v>1537</v>
      </c>
      <c r="F217" s="58"/>
      <c r="G217" s="57" t="s">
        <v>605</v>
      </c>
      <c r="H217" s="59">
        <v>2</v>
      </c>
      <c r="I217" s="57"/>
      <c r="J217" s="57"/>
      <c r="K217" s="59"/>
      <c r="L217" s="57"/>
      <c r="M217" s="60"/>
      <c r="N217" s="59"/>
      <c r="O217" s="57"/>
      <c r="P217" s="57"/>
      <c r="Q217" s="57" t="s">
        <v>22</v>
      </c>
      <c r="R217" s="57" t="s">
        <v>297</v>
      </c>
      <c r="S217" s="59">
        <v>236</v>
      </c>
      <c r="T217" s="57" t="s">
        <v>61</v>
      </c>
      <c r="U217" s="60">
        <v>45813</v>
      </c>
      <c r="V217" s="59">
        <v>236</v>
      </c>
      <c r="W217" s="57" t="s">
        <v>1810</v>
      </c>
      <c r="X217" s="57" t="s">
        <v>1811</v>
      </c>
      <c r="Y217" s="57" t="s">
        <v>21</v>
      </c>
      <c r="Z217" s="57" t="s">
        <v>283</v>
      </c>
      <c r="AA217" s="59">
        <v>12707</v>
      </c>
      <c r="AB217" s="57" t="s">
        <v>61</v>
      </c>
      <c r="AC217" s="60">
        <v>45878</v>
      </c>
      <c r="AD217" s="59">
        <v>12707</v>
      </c>
      <c r="AE217" s="57" t="s">
        <v>1812</v>
      </c>
      <c r="AF217" s="57" t="s">
        <v>1813</v>
      </c>
    </row>
    <row r="218" spans="1:32">
      <c r="A218" s="57">
        <v>217</v>
      </c>
      <c r="B218" s="58">
        <v>45944.63790509259</v>
      </c>
      <c r="C218" s="58">
        <v>45944.640185185177</v>
      </c>
      <c r="D218" s="57" t="s">
        <v>1814</v>
      </c>
      <c r="E218" s="57" t="s">
        <v>1815</v>
      </c>
      <c r="F218" s="58"/>
      <c r="G218" s="57" t="s">
        <v>459</v>
      </c>
      <c r="H218" s="59">
        <v>2</v>
      </c>
      <c r="I218" s="57"/>
      <c r="J218" s="57"/>
      <c r="K218" s="59"/>
      <c r="L218" s="57"/>
      <c r="M218" s="60"/>
      <c r="N218" s="59"/>
      <c r="O218" s="57"/>
      <c r="P218" s="57"/>
      <c r="Q218" s="57" t="s">
        <v>22</v>
      </c>
      <c r="R218" s="57" t="s">
        <v>267</v>
      </c>
      <c r="S218" s="59">
        <v>23777</v>
      </c>
      <c r="T218" s="57" t="s">
        <v>61</v>
      </c>
      <c r="U218" s="60">
        <v>45895</v>
      </c>
      <c r="V218" s="59">
        <v>23777</v>
      </c>
      <c r="W218" s="57" t="s">
        <v>1816</v>
      </c>
      <c r="X218" s="57" t="s">
        <v>1817</v>
      </c>
      <c r="Y218" s="57" t="s">
        <v>21</v>
      </c>
      <c r="Z218" s="57" t="s">
        <v>125</v>
      </c>
      <c r="AA218" s="59">
        <v>19947</v>
      </c>
      <c r="AB218" s="57" t="s">
        <v>61</v>
      </c>
      <c r="AC218" s="60">
        <v>45941</v>
      </c>
      <c r="AD218" s="59">
        <v>19947</v>
      </c>
      <c r="AE218" s="57" t="s">
        <v>1818</v>
      </c>
      <c r="AF218" s="57" t="s">
        <v>1819</v>
      </c>
    </row>
    <row r="219" spans="1:32">
      <c r="A219" s="57">
        <v>218</v>
      </c>
      <c r="B219" s="58">
        <v>45890.651782407411</v>
      </c>
      <c r="C219" s="58">
        <v>45890.659849537027</v>
      </c>
      <c r="D219" s="57" t="s">
        <v>1820</v>
      </c>
      <c r="E219" s="57" t="s">
        <v>1821</v>
      </c>
      <c r="F219" s="58"/>
      <c r="G219" s="57" t="s">
        <v>476</v>
      </c>
      <c r="H219" s="59">
        <v>1</v>
      </c>
      <c r="I219" s="57"/>
      <c r="J219" s="57"/>
      <c r="K219" s="59"/>
      <c r="L219" s="57"/>
      <c r="M219" s="60"/>
      <c r="N219" s="59"/>
      <c r="O219" s="57"/>
      <c r="P219" s="57"/>
      <c r="Q219" s="57"/>
      <c r="R219" s="57"/>
      <c r="S219" s="59"/>
      <c r="T219" s="57"/>
      <c r="U219" s="60"/>
      <c r="V219" s="59"/>
      <c r="W219" s="57"/>
      <c r="X219" s="57"/>
      <c r="Y219" s="57" t="s">
        <v>21</v>
      </c>
      <c r="Z219" s="57" t="s">
        <v>142</v>
      </c>
      <c r="AA219" s="59">
        <v>40043</v>
      </c>
      <c r="AB219" s="57" t="s">
        <v>61</v>
      </c>
      <c r="AC219" s="60">
        <v>45889</v>
      </c>
      <c r="AD219" s="59">
        <v>40043</v>
      </c>
      <c r="AE219" s="57" t="s">
        <v>1822</v>
      </c>
      <c r="AF219" s="57" t="s">
        <v>1823</v>
      </c>
    </row>
    <row r="220" spans="1:32">
      <c r="A220" s="57">
        <v>219</v>
      </c>
      <c r="B220" s="58">
        <v>45890.65425925926</v>
      </c>
      <c r="C220" s="58">
        <v>45890.661249999997</v>
      </c>
      <c r="D220" s="57" t="s">
        <v>813</v>
      </c>
      <c r="E220" s="57" t="s">
        <v>814</v>
      </c>
      <c r="F220" s="58"/>
      <c r="G220" s="57" t="s">
        <v>471</v>
      </c>
      <c r="H220" s="59">
        <v>1</v>
      </c>
      <c r="I220" s="57"/>
      <c r="J220" s="57"/>
      <c r="K220" s="59"/>
      <c r="L220" s="57"/>
      <c r="M220" s="60"/>
      <c r="N220" s="59"/>
      <c r="O220" s="57"/>
      <c r="P220" s="57"/>
      <c r="Q220" s="57"/>
      <c r="R220" s="57"/>
      <c r="S220" s="59"/>
      <c r="T220" s="57"/>
      <c r="U220" s="60"/>
      <c r="V220" s="59"/>
      <c r="W220" s="57"/>
      <c r="X220" s="57"/>
      <c r="Y220" s="57" t="s">
        <v>21</v>
      </c>
      <c r="Z220" s="57" t="s">
        <v>137</v>
      </c>
      <c r="AA220" s="59">
        <v>83692</v>
      </c>
      <c r="AB220" s="57" t="s">
        <v>61</v>
      </c>
      <c r="AC220" s="60">
        <v>45794</v>
      </c>
      <c r="AD220" s="59">
        <v>83692</v>
      </c>
      <c r="AE220" s="57" t="s">
        <v>1824</v>
      </c>
      <c r="AF220" s="57" t="s">
        <v>1825</v>
      </c>
    </row>
    <row r="221" spans="1:32">
      <c r="A221" s="57">
        <v>220</v>
      </c>
      <c r="B221" s="58">
        <v>45890.652418981481</v>
      </c>
      <c r="C221" s="58">
        <v>45890.66128472222</v>
      </c>
      <c r="D221" s="57" t="s">
        <v>1333</v>
      </c>
      <c r="E221" s="57" t="s">
        <v>1334</v>
      </c>
      <c r="F221" s="58"/>
      <c r="G221" s="57" t="s">
        <v>516</v>
      </c>
      <c r="H221" s="59">
        <v>1</v>
      </c>
      <c r="I221" s="57"/>
      <c r="J221" s="57"/>
      <c r="K221" s="59"/>
      <c r="L221" s="57"/>
      <c r="M221" s="60"/>
      <c r="N221" s="59"/>
      <c r="O221" s="57"/>
      <c r="P221" s="57"/>
      <c r="Q221" s="57"/>
      <c r="R221" s="57"/>
      <c r="S221" s="59"/>
      <c r="T221" s="57"/>
      <c r="U221" s="60"/>
      <c r="V221" s="59"/>
      <c r="W221" s="57"/>
      <c r="X221" s="57"/>
      <c r="Y221" s="57" t="s">
        <v>20</v>
      </c>
      <c r="Z221" s="57" t="s">
        <v>183</v>
      </c>
      <c r="AA221" s="59">
        <v>43450</v>
      </c>
      <c r="AB221" s="57" t="s">
        <v>61</v>
      </c>
      <c r="AC221" s="60">
        <v>45876</v>
      </c>
      <c r="AD221" s="59">
        <v>43450</v>
      </c>
      <c r="AE221" s="57" t="s">
        <v>1826</v>
      </c>
      <c r="AF221" s="57" t="s">
        <v>1827</v>
      </c>
    </row>
    <row r="222" spans="1:32">
      <c r="A222" s="57">
        <v>221</v>
      </c>
      <c r="B222" s="58">
        <v>45890.659155092602</v>
      </c>
      <c r="C222" s="58">
        <v>45890.663657407407</v>
      </c>
      <c r="D222" s="57" t="s">
        <v>1097</v>
      </c>
      <c r="E222" s="57" t="s">
        <v>1098</v>
      </c>
      <c r="F222" s="58"/>
      <c r="G222" s="57" t="s">
        <v>495</v>
      </c>
      <c r="H222" s="59">
        <v>1</v>
      </c>
      <c r="I222" s="57"/>
      <c r="J222" s="57"/>
      <c r="K222" s="59"/>
      <c r="L222" s="57"/>
      <c r="M222" s="60"/>
      <c r="N222" s="59"/>
      <c r="O222" s="57"/>
      <c r="P222" s="57"/>
      <c r="Q222" s="57"/>
      <c r="R222" s="57"/>
      <c r="S222" s="59"/>
      <c r="T222" s="57"/>
      <c r="U222" s="60"/>
      <c r="V222" s="59"/>
      <c r="W222" s="57"/>
      <c r="X222" s="57"/>
      <c r="Y222" s="57" t="s">
        <v>21</v>
      </c>
      <c r="Z222" s="57" t="s">
        <v>161</v>
      </c>
      <c r="AA222" s="59">
        <v>26097</v>
      </c>
      <c r="AB222" s="57" t="s">
        <v>61</v>
      </c>
      <c r="AC222" s="60">
        <v>45841</v>
      </c>
      <c r="AD222" s="59">
        <v>26097</v>
      </c>
      <c r="AE222" s="57" t="s">
        <v>1828</v>
      </c>
      <c r="AF222" s="57" t="s">
        <v>1829</v>
      </c>
    </row>
    <row r="223" spans="1:32">
      <c r="A223" s="57">
        <v>222</v>
      </c>
      <c r="B223" s="58">
        <v>45890.657048611109</v>
      </c>
      <c r="C223" s="58">
        <v>45890.665254629632</v>
      </c>
      <c r="D223" s="57" t="s">
        <v>1830</v>
      </c>
      <c r="E223" s="57" t="s">
        <v>1831</v>
      </c>
      <c r="F223" s="58"/>
      <c r="G223" s="57" t="s">
        <v>507</v>
      </c>
      <c r="H223" s="59">
        <v>3</v>
      </c>
      <c r="I223" s="57" t="s">
        <v>20</v>
      </c>
      <c r="J223" s="57" t="s">
        <v>1832</v>
      </c>
      <c r="K223" s="59">
        <v>31499</v>
      </c>
      <c r="L223" s="57" t="s">
        <v>61</v>
      </c>
      <c r="M223" s="60">
        <v>45881</v>
      </c>
      <c r="N223" s="59">
        <v>31499</v>
      </c>
      <c r="O223" s="57" t="s">
        <v>1833</v>
      </c>
      <c r="P223" s="57" t="s">
        <v>1834</v>
      </c>
      <c r="Q223" s="57" t="s">
        <v>21</v>
      </c>
      <c r="R223" s="57" t="s">
        <v>371</v>
      </c>
      <c r="S223" s="59">
        <v>4161</v>
      </c>
      <c r="T223" s="57" t="s">
        <v>61</v>
      </c>
      <c r="U223" s="60">
        <v>45881</v>
      </c>
      <c r="V223" s="59">
        <v>4161</v>
      </c>
      <c r="W223" s="57" t="s">
        <v>1835</v>
      </c>
      <c r="X223" s="57" t="s">
        <v>1836</v>
      </c>
      <c r="Y223" s="57" t="s">
        <v>22</v>
      </c>
      <c r="Z223" s="57" t="s">
        <v>173</v>
      </c>
      <c r="AA223" s="59">
        <v>55745</v>
      </c>
      <c r="AB223" s="57" t="s">
        <v>61</v>
      </c>
      <c r="AC223" s="60">
        <v>45881</v>
      </c>
      <c r="AD223" s="59">
        <v>55745</v>
      </c>
      <c r="AE223" s="57" t="s">
        <v>1837</v>
      </c>
      <c r="AF223" s="57" t="s">
        <v>1838</v>
      </c>
    </row>
    <row r="224" spans="1:32">
      <c r="A224" s="57">
        <v>223</v>
      </c>
      <c r="B224" s="58">
        <v>45890.661759259259</v>
      </c>
      <c r="C224" s="58">
        <v>45890.665625000001</v>
      </c>
      <c r="D224" s="57" t="s">
        <v>1337</v>
      </c>
      <c r="E224" s="57" t="s">
        <v>1338</v>
      </c>
      <c r="F224" s="58"/>
      <c r="G224" s="57" t="s">
        <v>710</v>
      </c>
      <c r="H224" s="59">
        <v>1</v>
      </c>
      <c r="I224" s="57"/>
      <c r="J224" s="57"/>
      <c r="K224" s="59"/>
      <c r="L224" s="57"/>
      <c r="M224" s="60"/>
      <c r="N224" s="59"/>
      <c r="O224" s="57"/>
      <c r="P224" s="57"/>
      <c r="Q224" s="57"/>
      <c r="R224" s="57"/>
      <c r="S224" s="59"/>
      <c r="T224" s="57"/>
      <c r="U224" s="60"/>
      <c r="V224" s="59"/>
      <c r="W224" s="57"/>
      <c r="X224" s="57"/>
      <c r="Y224" s="57" t="s">
        <v>21</v>
      </c>
      <c r="Z224" s="57" t="s">
        <v>1339</v>
      </c>
      <c r="AA224" s="59">
        <v>39655</v>
      </c>
      <c r="AB224" s="57" t="s">
        <v>61</v>
      </c>
      <c r="AC224" s="60">
        <v>45864</v>
      </c>
      <c r="AD224" s="59">
        <v>39655</v>
      </c>
      <c r="AE224" s="57" t="s">
        <v>1839</v>
      </c>
      <c r="AF224" s="57" t="s">
        <v>1840</v>
      </c>
    </row>
    <row r="225" spans="1:32">
      <c r="A225" s="57">
        <v>224</v>
      </c>
      <c r="B225" s="58">
        <v>45890.661793981482</v>
      </c>
      <c r="C225" s="58">
        <v>45890.669085648151</v>
      </c>
      <c r="D225" s="57" t="s">
        <v>1205</v>
      </c>
      <c r="E225" s="57" t="s">
        <v>1206</v>
      </c>
      <c r="F225" s="58"/>
      <c r="G225" s="57" t="s">
        <v>474</v>
      </c>
      <c r="H225" s="59">
        <v>1</v>
      </c>
      <c r="I225" s="57"/>
      <c r="J225" s="57"/>
      <c r="K225" s="59"/>
      <c r="L225" s="57"/>
      <c r="M225" s="60"/>
      <c r="N225" s="59"/>
      <c r="O225" s="57"/>
      <c r="P225" s="57"/>
      <c r="Q225" s="57"/>
      <c r="R225" s="57"/>
      <c r="S225" s="59"/>
      <c r="T225" s="57"/>
      <c r="U225" s="60"/>
      <c r="V225" s="59"/>
      <c r="W225" s="57"/>
      <c r="X225" s="57"/>
      <c r="Y225" s="57" t="s">
        <v>21</v>
      </c>
      <c r="Z225" s="57" t="s">
        <v>140</v>
      </c>
      <c r="AA225" s="59">
        <v>20844</v>
      </c>
      <c r="AB225" s="57" t="s">
        <v>61</v>
      </c>
      <c r="AC225" s="60">
        <v>45427</v>
      </c>
      <c r="AD225" s="59">
        <v>20844</v>
      </c>
      <c r="AE225" s="57" t="s">
        <v>1841</v>
      </c>
      <c r="AF225" s="57" t="s">
        <v>1842</v>
      </c>
    </row>
    <row r="226" spans="1:32">
      <c r="A226" s="57">
        <v>225</v>
      </c>
      <c r="B226" s="58">
        <v>45890.656388888892</v>
      </c>
      <c r="C226" s="58">
        <v>45890.669606481482</v>
      </c>
      <c r="D226" s="57" t="s">
        <v>1485</v>
      </c>
      <c r="E226" s="57" t="s">
        <v>1486</v>
      </c>
      <c r="F226" s="58"/>
      <c r="G226" s="57" t="s">
        <v>479</v>
      </c>
      <c r="H226" s="59">
        <v>1</v>
      </c>
      <c r="I226" s="57"/>
      <c r="J226" s="57"/>
      <c r="K226" s="59"/>
      <c r="L226" s="57"/>
      <c r="M226" s="60"/>
      <c r="N226" s="59"/>
      <c r="O226" s="57"/>
      <c r="P226" s="57"/>
      <c r="Q226" s="57"/>
      <c r="R226" s="57"/>
      <c r="S226" s="59"/>
      <c r="T226" s="57"/>
      <c r="U226" s="60"/>
      <c r="V226" s="59"/>
      <c r="W226" s="57"/>
      <c r="X226" s="57"/>
      <c r="Y226" s="57" t="s">
        <v>21</v>
      </c>
      <c r="Z226" s="57" t="s">
        <v>145</v>
      </c>
      <c r="AA226" s="59">
        <v>49511</v>
      </c>
      <c r="AB226" s="57" t="s">
        <v>61</v>
      </c>
      <c r="AC226" s="60">
        <v>45870</v>
      </c>
      <c r="AD226" s="59">
        <v>49511</v>
      </c>
      <c r="AE226" s="57" t="s">
        <v>1843</v>
      </c>
      <c r="AF226" s="57" t="s">
        <v>1844</v>
      </c>
    </row>
    <row r="227" spans="1:32">
      <c r="A227" s="57">
        <v>226</v>
      </c>
      <c r="B227" s="58">
        <v>45890.667013888888</v>
      </c>
      <c r="C227" s="58">
        <v>45890.673958333333</v>
      </c>
      <c r="D227" s="57" t="s">
        <v>1402</v>
      </c>
      <c r="E227" s="57" t="s">
        <v>1403</v>
      </c>
      <c r="F227" s="58"/>
      <c r="G227" s="57" t="s">
        <v>575</v>
      </c>
      <c r="H227" s="59">
        <v>1</v>
      </c>
      <c r="I227" s="57"/>
      <c r="J227" s="57"/>
      <c r="K227" s="59"/>
      <c r="L227" s="57"/>
      <c r="M227" s="60"/>
      <c r="N227" s="59"/>
      <c r="O227" s="57"/>
      <c r="P227" s="57"/>
      <c r="Q227" s="57"/>
      <c r="R227" s="57"/>
      <c r="S227" s="59"/>
      <c r="T227" s="57"/>
      <c r="U227" s="60"/>
      <c r="V227" s="59"/>
      <c r="W227" s="57"/>
      <c r="X227" s="57"/>
      <c r="Y227" s="57" t="s">
        <v>21</v>
      </c>
      <c r="Z227" s="57" t="s">
        <v>247</v>
      </c>
      <c r="AA227" s="59">
        <v>21540</v>
      </c>
      <c r="AB227" s="57" t="s">
        <v>61</v>
      </c>
      <c r="AC227" s="60">
        <v>45888</v>
      </c>
      <c r="AD227" s="59">
        <v>21540</v>
      </c>
      <c r="AE227" s="57" t="s">
        <v>1845</v>
      </c>
      <c r="AF227" s="57" t="s">
        <v>1846</v>
      </c>
    </row>
    <row r="228" spans="1:32">
      <c r="A228" s="57">
        <v>227</v>
      </c>
      <c r="B228" s="58">
        <v>45890.666307870371</v>
      </c>
      <c r="C228" s="58">
        <v>45890.675949074073</v>
      </c>
      <c r="D228" s="57" t="s">
        <v>1547</v>
      </c>
      <c r="E228" s="57" t="s">
        <v>1548</v>
      </c>
      <c r="F228" s="58"/>
      <c r="G228" s="57" t="s">
        <v>664</v>
      </c>
      <c r="H228" s="59">
        <v>1</v>
      </c>
      <c r="I228" s="57"/>
      <c r="J228" s="57"/>
      <c r="K228" s="59"/>
      <c r="L228" s="57"/>
      <c r="M228" s="60"/>
      <c r="N228" s="59"/>
      <c r="O228" s="57"/>
      <c r="P228" s="57"/>
      <c r="Q228" s="57"/>
      <c r="R228" s="57"/>
      <c r="S228" s="59"/>
      <c r="T228" s="57"/>
      <c r="U228" s="60"/>
      <c r="V228" s="59"/>
      <c r="W228" s="57"/>
      <c r="X228" s="57"/>
      <c r="Y228" s="57" t="s">
        <v>21</v>
      </c>
      <c r="Z228" s="57" t="s">
        <v>366</v>
      </c>
      <c r="AA228" s="59">
        <v>3018</v>
      </c>
      <c r="AB228" s="57" t="s">
        <v>61</v>
      </c>
      <c r="AC228" s="60">
        <v>45783</v>
      </c>
      <c r="AD228" s="59">
        <v>3018</v>
      </c>
      <c r="AE228" s="57" t="s">
        <v>1847</v>
      </c>
      <c r="AF228" s="57" t="s">
        <v>1848</v>
      </c>
    </row>
    <row r="229" spans="1:32">
      <c r="A229" s="57">
        <v>228</v>
      </c>
      <c r="B229" s="58">
        <v>45890.672118055547</v>
      </c>
      <c r="C229" s="58">
        <v>45890.677187499998</v>
      </c>
      <c r="D229" s="57" t="s">
        <v>734</v>
      </c>
      <c r="E229" s="57" t="s">
        <v>735</v>
      </c>
      <c r="F229" s="58"/>
      <c r="G229" s="57" t="s">
        <v>691</v>
      </c>
      <c r="H229" s="59">
        <v>1</v>
      </c>
      <c r="I229" s="57"/>
      <c r="J229" s="57"/>
      <c r="K229" s="59"/>
      <c r="L229" s="57"/>
      <c r="M229" s="60"/>
      <c r="N229" s="59"/>
      <c r="O229" s="57"/>
      <c r="P229" s="57"/>
      <c r="Q229" s="57"/>
      <c r="R229" s="57"/>
      <c r="S229" s="59"/>
      <c r="T229" s="57"/>
      <c r="U229" s="60"/>
      <c r="V229" s="59"/>
      <c r="W229" s="57"/>
      <c r="X229" s="57"/>
      <c r="Y229" s="57" t="s">
        <v>20</v>
      </c>
      <c r="Z229" s="57" t="s">
        <v>736</v>
      </c>
      <c r="AA229" s="59">
        <v>80573</v>
      </c>
      <c r="AB229" s="57" t="s">
        <v>61</v>
      </c>
      <c r="AC229" s="60">
        <v>45859</v>
      </c>
      <c r="AD229" s="59">
        <v>80573</v>
      </c>
      <c r="AE229" s="57" t="s">
        <v>1849</v>
      </c>
      <c r="AF229" s="57" t="s">
        <v>1850</v>
      </c>
    </row>
    <row r="230" spans="1:32">
      <c r="A230" s="57">
        <v>229</v>
      </c>
      <c r="B230" s="58">
        <v>45890.67491898148</v>
      </c>
      <c r="C230" s="58">
        <v>45890.677743055552</v>
      </c>
      <c r="D230" s="57" t="s">
        <v>981</v>
      </c>
      <c r="E230" s="57" t="s">
        <v>982</v>
      </c>
      <c r="F230" s="58"/>
      <c r="G230" s="57" t="s">
        <v>628</v>
      </c>
      <c r="H230" s="59">
        <v>1</v>
      </c>
      <c r="I230" s="57"/>
      <c r="J230" s="57"/>
      <c r="K230" s="59"/>
      <c r="L230" s="57"/>
      <c r="M230" s="60"/>
      <c r="N230" s="59"/>
      <c r="O230" s="57"/>
      <c r="P230" s="57"/>
      <c r="Q230" s="57"/>
      <c r="R230" s="57"/>
      <c r="S230" s="59"/>
      <c r="T230" s="57"/>
      <c r="U230" s="60"/>
      <c r="V230" s="59"/>
      <c r="W230" s="57"/>
      <c r="X230" s="57"/>
      <c r="Y230" s="57" t="s">
        <v>21</v>
      </c>
      <c r="Z230" s="57" t="s">
        <v>314</v>
      </c>
      <c r="AA230" s="59">
        <v>5845</v>
      </c>
      <c r="AB230" s="57" t="s">
        <v>61</v>
      </c>
      <c r="AC230" s="60">
        <v>45860</v>
      </c>
      <c r="AD230" s="59">
        <v>5845</v>
      </c>
      <c r="AE230" s="57" t="s">
        <v>1851</v>
      </c>
      <c r="AF230" s="57" t="s">
        <v>1852</v>
      </c>
    </row>
    <row r="231" spans="1:32">
      <c r="A231" s="57">
        <v>230</v>
      </c>
      <c r="B231" s="58">
        <v>45890.658437500002</v>
      </c>
      <c r="C231" s="58">
        <v>45890.678622685176</v>
      </c>
      <c r="D231" s="57" t="s">
        <v>999</v>
      </c>
      <c r="E231" s="57" t="s">
        <v>1000</v>
      </c>
      <c r="F231" s="58"/>
      <c r="G231" s="57" t="s">
        <v>577</v>
      </c>
      <c r="H231" s="59">
        <v>1</v>
      </c>
      <c r="I231" s="57"/>
      <c r="J231" s="57"/>
      <c r="K231" s="59"/>
      <c r="L231" s="57"/>
      <c r="M231" s="60"/>
      <c r="N231" s="59"/>
      <c r="O231" s="57"/>
      <c r="P231" s="57"/>
      <c r="Q231" s="57"/>
      <c r="R231" s="57"/>
      <c r="S231" s="59"/>
      <c r="T231" s="57"/>
      <c r="U231" s="60"/>
      <c r="V231" s="59"/>
      <c r="W231" s="57"/>
      <c r="X231" s="57"/>
      <c r="Y231" s="57" t="s">
        <v>21</v>
      </c>
      <c r="Z231" s="57" t="s">
        <v>249</v>
      </c>
      <c r="AA231" s="59">
        <v>18657</v>
      </c>
      <c r="AB231" s="57" t="s">
        <v>61</v>
      </c>
      <c r="AC231" s="60">
        <v>45622</v>
      </c>
      <c r="AD231" s="59">
        <v>18657</v>
      </c>
      <c r="AE231" s="57" t="s">
        <v>1853</v>
      </c>
      <c r="AF231" s="57" t="s">
        <v>1854</v>
      </c>
    </row>
    <row r="232" spans="1:32">
      <c r="A232" s="57">
        <v>231</v>
      </c>
      <c r="B232" s="58">
        <v>45890.675243055557</v>
      </c>
      <c r="C232" s="58">
        <v>45890.67864583333</v>
      </c>
      <c r="D232" s="57" t="s">
        <v>1030</v>
      </c>
      <c r="E232" s="57" t="s">
        <v>1031</v>
      </c>
      <c r="F232" s="58"/>
      <c r="G232" s="57" t="s">
        <v>687</v>
      </c>
      <c r="H232" s="59">
        <v>1</v>
      </c>
      <c r="I232" s="57"/>
      <c r="J232" s="57"/>
      <c r="K232" s="59"/>
      <c r="L232" s="57"/>
      <c r="M232" s="60"/>
      <c r="N232" s="59"/>
      <c r="O232" s="57"/>
      <c r="P232" s="57"/>
      <c r="Q232" s="57"/>
      <c r="R232" s="57"/>
      <c r="S232" s="59"/>
      <c r="T232" s="57"/>
      <c r="U232" s="60"/>
      <c r="V232" s="59"/>
      <c r="W232" s="57"/>
      <c r="X232" s="57"/>
      <c r="Y232" s="57" t="s">
        <v>21</v>
      </c>
      <c r="Z232" s="57" t="s">
        <v>1032</v>
      </c>
      <c r="AA232" s="59">
        <v>53002</v>
      </c>
      <c r="AB232" s="57" t="s">
        <v>61</v>
      </c>
      <c r="AC232" s="60">
        <v>45860</v>
      </c>
      <c r="AD232" s="59">
        <v>53002</v>
      </c>
      <c r="AE232" s="57" t="s">
        <v>1855</v>
      </c>
      <c r="AF232" s="57" t="s">
        <v>1856</v>
      </c>
    </row>
    <row r="233" spans="1:32">
      <c r="A233" s="57">
        <v>232</v>
      </c>
      <c r="B233" s="58">
        <v>45890.675740740742</v>
      </c>
      <c r="C233" s="58">
        <v>45890.678900462961</v>
      </c>
      <c r="D233" s="57" t="s">
        <v>1713</v>
      </c>
      <c r="E233" s="57" t="s">
        <v>1714</v>
      </c>
      <c r="F233" s="58"/>
      <c r="G233" s="57" t="s">
        <v>608</v>
      </c>
      <c r="H233" s="59">
        <v>1</v>
      </c>
      <c r="I233" s="57"/>
      <c r="J233" s="57"/>
      <c r="K233" s="59"/>
      <c r="L233" s="57"/>
      <c r="M233" s="60"/>
      <c r="N233" s="59"/>
      <c r="O233" s="57"/>
      <c r="P233" s="57"/>
      <c r="Q233" s="57"/>
      <c r="R233" s="57"/>
      <c r="S233" s="59"/>
      <c r="T233" s="57"/>
      <c r="U233" s="60"/>
      <c r="V233" s="59"/>
      <c r="W233" s="57"/>
      <c r="X233" s="57"/>
      <c r="Y233" s="57" t="s">
        <v>21</v>
      </c>
      <c r="Z233" s="57" t="s">
        <v>286</v>
      </c>
      <c r="AA233" s="59">
        <v>7215</v>
      </c>
      <c r="AB233" s="57" t="s">
        <v>61</v>
      </c>
      <c r="AC233" s="60">
        <v>45849</v>
      </c>
      <c r="AD233" s="59">
        <v>7215</v>
      </c>
      <c r="AE233" s="57" t="s">
        <v>1857</v>
      </c>
      <c r="AF233" s="57" t="s">
        <v>1858</v>
      </c>
    </row>
    <row r="234" spans="1:32">
      <c r="A234" s="57">
        <v>233</v>
      </c>
      <c r="B234" s="58">
        <v>45890.677824074082</v>
      </c>
      <c r="C234" s="58">
        <v>45890.679386574076</v>
      </c>
      <c r="D234" s="57" t="s">
        <v>981</v>
      </c>
      <c r="E234" s="57" t="s">
        <v>982</v>
      </c>
      <c r="F234" s="58"/>
      <c r="G234" s="57" t="s">
        <v>628</v>
      </c>
      <c r="H234" s="59">
        <v>1</v>
      </c>
      <c r="I234" s="57"/>
      <c r="J234" s="57"/>
      <c r="K234" s="59"/>
      <c r="L234" s="57"/>
      <c r="M234" s="60"/>
      <c r="N234" s="59"/>
      <c r="O234" s="57"/>
      <c r="P234" s="57"/>
      <c r="Q234" s="57"/>
      <c r="R234" s="57"/>
      <c r="S234" s="59"/>
      <c r="T234" s="57"/>
      <c r="U234" s="60"/>
      <c r="V234" s="59"/>
      <c r="W234" s="57"/>
      <c r="X234" s="57"/>
      <c r="Y234" s="57" t="s">
        <v>22</v>
      </c>
      <c r="Z234" s="57" t="s">
        <v>390</v>
      </c>
      <c r="AA234" s="59">
        <v>297</v>
      </c>
      <c r="AB234" s="57" t="s">
        <v>61</v>
      </c>
      <c r="AC234" s="60">
        <v>45890</v>
      </c>
      <c r="AD234" s="59">
        <v>297</v>
      </c>
      <c r="AE234" s="57" t="s">
        <v>1859</v>
      </c>
      <c r="AF234" s="57" t="s">
        <v>1860</v>
      </c>
    </row>
    <row r="235" spans="1:32">
      <c r="A235" s="57">
        <v>234</v>
      </c>
      <c r="B235" s="58">
        <v>45890.676446759258</v>
      </c>
      <c r="C235" s="58">
        <v>45890.681643518517</v>
      </c>
      <c r="D235" s="57" t="s">
        <v>1173</v>
      </c>
      <c r="E235" s="57" t="s">
        <v>1174</v>
      </c>
      <c r="F235" s="58"/>
      <c r="G235" s="57" t="s">
        <v>593</v>
      </c>
      <c r="H235" s="59">
        <v>1</v>
      </c>
      <c r="I235" s="57"/>
      <c r="J235" s="57"/>
      <c r="K235" s="59"/>
      <c r="L235" s="57"/>
      <c r="M235" s="60"/>
      <c r="N235" s="59"/>
      <c r="O235" s="57"/>
      <c r="P235" s="57"/>
      <c r="Q235" s="57"/>
      <c r="R235" s="57"/>
      <c r="S235" s="59"/>
      <c r="T235" s="57"/>
      <c r="U235" s="60"/>
      <c r="V235" s="59"/>
      <c r="W235" s="57"/>
      <c r="X235" s="57"/>
      <c r="Y235" s="57" t="s">
        <v>21</v>
      </c>
      <c r="Z235" s="57" t="s">
        <v>269</v>
      </c>
      <c r="AA235" s="59">
        <v>19360</v>
      </c>
      <c r="AB235" s="57" t="s">
        <v>61</v>
      </c>
      <c r="AC235" s="60">
        <v>45860</v>
      </c>
      <c r="AD235" s="59">
        <v>19360</v>
      </c>
      <c r="AE235" s="57" t="s">
        <v>1861</v>
      </c>
      <c r="AF235" s="57" t="s">
        <v>1862</v>
      </c>
    </row>
    <row r="236" spans="1:32">
      <c r="A236" s="57">
        <v>235</v>
      </c>
      <c r="B236" s="58">
        <v>45890.652025462958</v>
      </c>
      <c r="C236" s="58">
        <v>45890.682511574072</v>
      </c>
      <c r="D236" s="57" t="s">
        <v>985</v>
      </c>
      <c r="E236" s="57" t="s">
        <v>986</v>
      </c>
      <c r="F236" s="58"/>
      <c r="G236" s="57" t="s">
        <v>715</v>
      </c>
      <c r="H236" s="59">
        <v>1</v>
      </c>
      <c r="I236" s="57"/>
      <c r="J236" s="57"/>
      <c r="K236" s="59"/>
      <c r="L236" s="57"/>
      <c r="M236" s="60"/>
      <c r="N236" s="59"/>
      <c r="O236" s="57"/>
      <c r="P236" s="57"/>
      <c r="Q236" s="57"/>
      <c r="R236" s="57"/>
      <c r="S236" s="59"/>
      <c r="T236" s="57"/>
      <c r="U236" s="60"/>
      <c r="V236" s="59"/>
      <c r="W236" s="57"/>
      <c r="X236" s="57"/>
      <c r="Y236" s="57" t="s">
        <v>21</v>
      </c>
      <c r="Z236" s="57" t="s">
        <v>987</v>
      </c>
      <c r="AA236" s="59">
        <v>28193</v>
      </c>
      <c r="AB236" s="57" t="s">
        <v>61</v>
      </c>
      <c r="AC236" s="60">
        <v>45831</v>
      </c>
      <c r="AD236" s="59">
        <v>28193</v>
      </c>
      <c r="AE236" s="57" t="s">
        <v>1863</v>
      </c>
      <c r="AF236" s="57" t="s">
        <v>1864</v>
      </c>
    </row>
    <row r="237" spans="1:32">
      <c r="A237" s="57">
        <v>236</v>
      </c>
      <c r="B237" s="58">
        <v>45890.669560185182</v>
      </c>
      <c r="C237" s="58">
        <v>45890.682916666658</v>
      </c>
      <c r="D237" s="57" t="s">
        <v>1120</v>
      </c>
      <c r="E237" s="57" t="s">
        <v>1121</v>
      </c>
      <c r="F237" s="58"/>
      <c r="G237" s="57" t="s">
        <v>556</v>
      </c>
      <c r="H237" s="59">
        <v>2</v>
      </c>
      <c r="I237" s="57"/>
      <c r="J237" s="57"/>
      <c r="K237" s="59"/>
      <c r="L237" s="57"/>
      <c r="M237" s="60"/>
      <c r="N237" s="59"/>
      <c r="O237" s="57"/>
      <c r="P237" s="57"/>
      <c r="Q237" s="57" t="s">
        <v>22</v>
      </c>
      <c r="R237" s="57" t="s">
        <v>226</v>
      </c>
      <c r="S237" s="59">
        <v>21933</v>
      </c>
      <c r="T237" s="57" t="s">
        <v>61</v>
      </c>
      <c r="U237" s="60">
        <v>45876</v>
      </c>
      <c r="V237" s="59">
        <v>21933</v>
      </c>
      <c r="W237" s="57" t="s">
        <v>1865</v>
      </c>
      <c r="X237" s="57" t="s">
        <v>1866</v>
      </c>
      <c r="Y237" s="57" t="s">
        <v>21</v>
      </c>
      <c r="Z237" s="57" t="s">
        <v>1122</v>
      </c>
      <c r="AA237" s="59">
        <v>53632</v>
      </c>
      <c r="AB237" s="57" t="s">
        <v>61</v>
      </c>
      <c r="AC237" s="60">
        <v>45770</v>
      </c>
      <c r="AD237" s="59">
        <v>53632</v>
      </c>
      <c r="AE237" s="57" t="s">
        <v>1867</v>
      </c>
      <c r="AF237" s="57" t="s">
        <v>1868</v>
      </c>
    </row>
    <row r="238" spans="1:32">
      <c r="A238" s="57">
        <v>237</v>
      </c>
      <c r="B238" s="58">
        <v>45890.676307870373</v>
      </c>
      <c r="C238" s="58">
        <v>45890.682939814818</v>
      </c>
      <c r="D238" s="57" t="s">
        <v>1105</v>
      </c>
      <c r="E238" s="57" t="s">
        <v>1106</v>
      </c>
      <c r="F238" s="58"/>
      <c r="G238" s="57" t="s">
        <v>652</v>
      </c>
      <c r="H238" s="59">
        <v>1</v>
      </c>
      <c r="I238" s="57"/>
      <c r="J238" s="57"/>
      <c r="K238" s="59"/>
      <c r="L238" s="57"/>
      <c r="M238" s="60"/>
      <c r="N238" s="59"/>
      <c r="O238" s="57"/>
      <c r="P238" s="57"/>
      <c r="Q238" s="57"/>
      <c r="R238" s="57"/>
      <c r="S238" s="59"/>
      <c r="T238" s="57"/>
      <c r="U238" s="60"/>
      <c r="V238" s="59"/>
      <c r="W238" s="57"/>
      <c r="X238" s="57"/>
      <c r="Y238" s="57" t="s">
        <v>21</v>
      </c>
      <c r="Z238" s="57" t="s">
        <v>350</v>
      </c>
      <c r="AA238" s="59">
        <v>6465</v>
      </c>
      <c r="AB238" s="57" t="s">
        <v>61</v>
      </c>
      <c r="AC238" s="60">
        <v>45884</v>
      </c>
      <c r="AD238" s="59">
        <v>6465</v>
      </c>
      <c r="AE238" s="57" t="s">
        <v>1869</v>
      </c>
      <c r="AF238" s="57" t="s">
        <v>1870</v>
      </c>
    </row>
    <row r="239" spans="1:32">
      <c r="A239" s="57">
        <v>238</v>
      </c>
      <c r="B239" s="58">
        <v>45890.674641203703</v>
      </c>
      <c r="C239" s="58">
        <v>45890.686377314807</v>
      </c>
      <c r="D239" s="57" t="s">
        <v>822</v>
      </c>
      <c r="E239" s="57" t="s">
        <v>823</v>
      </c>
      <c r="F239" s="58"/>
      <c r="G239" s="57" t="s">
        <v>721</v>
      </c>
      <c r="H239" s="59">
        <v>1</v>
      </c>
      <c r="I239" s="57"/>
      <c r="J239" s="57"/>
      <c r="K239" s="59"/>
      <c r="L239" s="57"/>
      <c r="M239" s="60"/>
      <c r="N239" s="59"/>
      <c r="O239" s="57"/>
      <c r="P239" s="57"/>
      <c r="Q239" s="57"/>
      <c r="R239" s="57"/>
      <c r="S239" s="59"/>
      <c r="T239" s="57"/>
      <c r="U239" s="60"/>
      <c r="V239" s="59"/>
      <c r="W239" s="57"/>
      <c r="X239" s="57"/>
      <c r="Y239" s="57" t="s">
        <v>20</v>
      </c>
      <c r="Z239" s="57" t="s">
        <v>824</v>
      </c>
      <c r="AA239" s="59">
        <v>75523</v>
      </c>
      <c r="AB239" s="57" t="s">
        <v>61</v>
      </c>
      <c r="AC239" s="60">
        <v>45831</v>
      </c>
      <c r="AD239" s="59">
        <v>75523</v>
      </c>
      <c r="AE239" s="57" t="s">
        <v>1871</v>
      </c>
      <c r="AF239" s="57" t="s">
        <v>1872</v>
      </c>
    </row>
    <row r="240" spans="1:32">
      <c r="A240" s="57">
        <v>239</v>
      </c>
      <c r="B240" s="58">
        <v>45890.677152777767</v>
      </c>
      <c r="C240" s="58">
        <v>45890.686469907407</v>
      </c>
      <c r="D240" s="57" t="s">
        <v>1698</v>
      </c>
      <c r="E240" s="57" t="s">
        <v>1699</v>
      </c>
      <c r="F240" s="58"/>
      <c r="G240" s="57" t="s">
        <v>676</v>
      </c>
      <c r="H240" s="59">
        <v>1</v>
      </c>
      <c r="I240" s="57"/>
      <c r="J240" s="57"/>
      <c r="K240" s="59"/>
      <c r="L240" s="57"/>
      <c r="M240" s="60"/>
      <c r="N240" s="59"/>
      <c r="O240" s="57"/>
      <c r="P240" s="57"/>
      <c r="Q240" s="57"/>
      <c r="R240" s="57"/>
      <c r="S240" s="59"/>
      <c r="T240" s="57"/>
      <c r="U240" s="60"/>
      <c r="V240" s="59"/>
      <c r="W240" s="57"/>
      <c r="X240" s="57"/>
      <c r="Y240" s="57" t="s">
        <v>20</v>
      </c>
      <c r="Z240" s="57" t="s">
        <v>389</v>
      </c>
      <c r="AA240" s="59">
        <v>1491</v>
      </c>
      <c r="AB240" s="57" t="s">
        <v>61</v>
      </c>
      <c r="AC240" s="60">
        <v>45870</v>
      </c>
      <c r="AD240" s="59">
        <v>1491</v>
      </c>
      <c r="AE240" s="57" t="s">
        <v>1873</v>
      </c>
      <c r="AF240" s="57" t="s">
        <v>1874</v>
      </c>
    </row>
    <row r="241" spans="1:32">
      <c r="A241" s="57">
        <v>240</v>
      </c>
      <c r="B241" s="58">
        <v>45890.68068287037</v>
      </c>
      <c r="C241" s="58">
        <v>45890.686782407407</v>
      </c>
      <c r="D241" s="57" t="s">
        <v>1375</v>
      </c>
      <c r="E241" s="57" t="s">
        <v>1376</v>
      </c>
      <c r="F241" s="58"/>
      <c r="G241" s="57" t="s">
        <v>681</v>
      </c>
      <c r="H241" s="59">
        <v>1</v>
      </c>
      <c r="I241" s="57"/>
      <c r="J241" s="57"/>
      <c r="K241" s="59"/>
      <c r="L241" s="57"/>
      <c r="M241" s="60"/>
      <c r="N241" s="59"/>
      <c r="O241" s="57"/>
      <c r="P241" s="57"/>
      <c r="Q241" s="57"/>
      <c r="R241" s="57"/>
      <c r="S241" s="59"/>
      <c r="T241" s="57"/>
      <c r="U241" s="60"/>
      <c r="V241" s="59"/>
      <c r="W241" s="57"/>
      <c r="X241" s="57"/>
      <c r="Y241" s="57" t="s">
        <v>20</v>
      </c>
      <c r="Z241" s="57" t="s">
        <v>879</v>
      </c>
      <c r="AA241" s="59">
        <v>65728</v>
      </c>
      <c r="AB241" s="57" t="s">
        <v>61</v>
      </c>
      <c r="AC241" s="60">
        <v>45839</v>
      </c>
      <c r="AD241" s="59">
        <v>65728</v>
      </c>
      <c r="AE241" s="57" t="s">
        <v>1875</v>
      </c>
      <c r="AF241" s="57" t="s">
        <v>1876</v>
      </c>
    </row>
    <row r="242" spans="1:32">
      <c r="A242" s="57">
        <v>241</v>
      </c>
      <c r="B242" s="58">
        <v>45890.682303240741</v>
      </c>
      <c r="C242" s="58">
        <v>45890.689108796287</v>
      </c>
      <c r="D242" s="57" t="s">
        <v>765</v>
      </c>
      <c r="E242" s="57" t="s">
        <v>766</v>
      </c>
      <c r="F242" s="58"/>
      <c r="G242" s="57" t="s">
        <v>458</v>
      </c>
      <c r="H242" s="59">
        <v>1</v>
      </c>
      <c r="I242" s="57"/>
      <c r="J242" s="57"/>
      <c r="K242" s="59"/>
      <c r="L242" s="57"/>
      <c r="M242" s="60"/>
      <c r="N242" s="59"/>
      <c r="O242" s="57"/>
      <c r="P242" s="57"/>
      <c r="Q242" s="57"/>
      <c r="R242" s="57"/>
      <c r="S242" s="59"/>
      <c r="T242" s="57"/>
      <c r="U242" s="60"/>
      <c r="V242" s="59"/>
      <c r="W242" s="57"/>
      <c r="X242" s="57"/>
      <c r="Y242" s="57" t="s">
        <v>21</v>
      </c>
      <c r="Z242" s="57" t="s">
        <v>124</v>
      </c>
      <c r="AA242" s="59">
        <v>34660</v>
      </c>
      <c r="AB242" s="57" t="s">
        <v>61</v>
      </c>
      <c r="AC242" s="60">
        <v>45731</v>
      </c>
      <c r="AD242" s="59">
        <v>34660</v>
      </c>
      <c r="AE242" s="57" t="s">
        <v>1877</v>
      </c>
      <c r="AF242" s="57" t="s">
        <v>1878</v>
      </c>
    </row>
    <row r="243" spans="1:32">
      <c r="A243" s="57">
        <v>242</v>
      </c>
      <c r="B243" s="58">
        <v>45890.675543981481</v>
      </c>
      <c r="C243" s="58">
        <v>45890.690335648149</v>
      </c>
      <c r="D243" s="57" t="s">
        <v>726</v>
      </c>
      <c r="E243" s="57" t="s">
        <v>727</v>
      </c>
      <c r="F243" s="58"/>
      <c r="G243" s="57" t="s">
        <v>540</v>
      </c>
      <c r="H243" s="59">
        <v>1</v>
      </c>
      <c r="I243" s="57"/>
      <c r="J243" s="57"/>
      <c r="K243" s="59"/>
      <c r="L243" s="57"/>
      <c r="M243" s="60"/>
      <c r="N243" s="59"/>
      <c r="O243" s="57"/>
      <c r="P243" s="57"/>
      <c r="Q243" s="57"/>
      <c r="R243" s="57"/>
      <c r="S243" s="59"/>
      <c r="T243" s="57"/>
      <c r="U243" s="60"/>
      <c r="V243" s="59"/>
      <c r="W243" s="57"/>
      <c r="X243" s="57"/>
      <c r="Y243" s="57" t="s">
        <v>20</v>
      </c>
      <c r="Z243" s="57" t="s">
        <v>208</v>
      </c>
      <c r="AA243" s="59">
        <v>57582</v>
      </c>
      <c r="AB243" s="57" t="s">
        <v>61</v>
      </c>
      <c r="AC243" s="60">
        <v>45813</v>
      </c>
      <c r="AD243" s="59">
        <v>57582</v>
      </c>
      <c r="AE243" s="57" t="s">
        <v>1879</v>
      </c>
      <c r="AF243" s="57" t="s">
        <v>1880</v>
      </c>
    </row>
    <row r="244" spans="1:32">
      <c r="A244" s="57">
        <v>243</v>
      </c>
      <c r="B244" s="58">
        <v>45890.686979166669</v>
      </c>
      <c r="C244" s="58">
        <v>45890.691076388888</v>
      </c>
      <c r="D244" s="57" t="s">
        <v>1612</v>
      </c>
      <c r="E244" s="57" t="s">
        <v>1613</v>
      </c>
      <c r="F244" s="58"/>
      <c r="G244" s="57" t="s">
        <v>711</v>
      </c>
      <c r="H244" s="59">
        <v>1</v>
      </c>
      <c r="I244" s="57"/>
      <c r="J244" s="57"/>
      <c r="K244" s="59"/>
      <c r="L244" s="57"/>
      <c r="M244" s="60"/>
      <c r="N244" s="59"/>
      <c r="O244" s="57"/>
      <c r="P244" s="57"/>
      <c r="Q244" s="57"/>
      <c r="R244" s="57"/>
      <c r="S244" s="59"/>
      <c r="T244" s="57"/>
      <c r="U244" s="60"/>
      <c r="V244" s="59"/>
      <c r="W244" s="57"/>
      <c r="X244" s="57"/>
      <c r="Y244" s="57" t="s">
        <v>21</v>
      </c>
      <c r="Z244" s="57" t="s">
        <v>1614</v>
      </c>
      <c r="AA244" s="59">
        <v>92158</v>
      </c>
      <c r="AB244" s="57" t="s">
        <v>61</v>
      </c>
      <c r="AC244" s="60">
        <v>45833</v>
      </c>
      <c r="AD244" s="59">
        <v>92158</v>
      </c>
      <c r="AE244" s="57" t="s">
        <v>1881</v>
      </c>
      <c r="AF244" s="57" t="s">
        <v>1882</v>
      </c>
    </row>
    <row r="245" spans="1:32">
      <c r="A245" s="57">
        <v>244</v>
      </c>
      <c r="B245" s="58">
        <v>45890.670555555553</v>
      </c>
      <c r="C245" s="58">
        <v>45890.691481481481</v>
      </c>
      <c r="D245" s="57" t="s">
        <v>1590</v>
      </c>
      <c r="E245" s="57" t="s">
        <v>1591</v>
      </c>
      <c r="F245" s="58"/>
      <c r="G245" s="57" t="s">
        <v>465</v>
      </c>
      <c r="H245" s="59">
        <v>1</v>
      </c>
      <c r="I245" s="57"/>
      <c r="J245" s="57"/>
      <c r="K245" s="59"/>
      <c r="L245" s="57"/>
      <c r="M245" s="60"/>
      <c r="N245" s="59"/>
      <c r="O245" s="57"/>
      <c r="P245" s="57"/>
      <c r="Q245" s="57"/>
      <c r="R245" s="57"/>
      <c r="S245" s="59"/>
      <c r="T245" s="57"/>
      <c r="U245" s="60"/>
      <c r="V245" s="59"/>
      <c r="W245" s="57"/>
      <c r="X245" s="57"/>
      <c r="Y245" s="57" t="s">
        <v>20</v>
      </c>
      <c r="Z245" s="57" t="s">
        <v>130</v>
      </c>
      <c r="AA245" s="59">
        <v>72623</v>
      </c>
      <c r="AB245" s="57" t="s">
        <v>61</v>
      </c>
      <c r="AC245" s="60">
        <v>45828</v>
      </c>
      <c r="AD245" s="59">
        <v>72623</v>
      </c>
      <c r="AE245" s="57" t="s">
        <v>1883</v>
      </c>
      <c r="AF245" s="57" t="s">
        <v>1884</v>
      </c>
    </row>
    <row r="246" spans="1:32">
      <c r="A246" s="57">
        <v>245</v>
      </c>
      <c r="B246" s="58">
        <v>45890.682500000003</v>
      </c>
      <c r="C246" s="58">
        <v>45890.696018518523</v>
      </c>
      <c r="D246" s="57" t="s">
        <v>1885</v>
      </c>
      <c r="E246" s="57" t="s">
        <v>1886</v>
      </c>
      <c r="F246" s="58"/>
      <c r="G246" s="57" t="s">
        <v>486</v>
      </c>
      <c r="H246" s="59">
        <v>2</v>
      </c>
      <c r="I246" s="57"/>
      <c r="J246" s="57"/>
      <c r="K246" s="59"/>
      <c r="L246" s="57"/>
      <c r="M246" s="60"/>
      <c r="N246" s="59"/>
      <c r="O246" s="57"/>
      <c r="P246" s="57"/>
      <c r="Q246" s="57" t="s">
        <v>20</v>
      </c>
      <c r="R246" s="57" t="s">
        <v>152</v>
      </c>
      <c r="S246" s="59">
        <v>41660</v>
      </c>
      <c r="T246" s="57" t="s">
        <v>61</v>
      </c>
      <c r="U246" s="60">
        <v>45770</v>
      </c>
      <c r="V246" s="59">
        <v>41660</v>
      </c>
      <c r="W246" s="57" t="s">
        <v>1887</v>
      </c>
      <c r="X246" s="57" t="s">
        <v>1888</v>
      </c>
      <c r="Y246" s="57" t="s">
        <v>20</v>
      </c>
      <c r="Z246" s="57" t="s">
        <v>1889</v>
      </c>
      <c r="AA246" s="59">
        <v>49948</v>
      </c>
      <c r="AB246" s="57" t="s">
        <v>61</v>
      </c>
      <c r="AC246" s="60">
        <v>45794</v>
      </c>
      <c r="AD246" s="59">
        <v>49948</v>
      </c>
      <c r="AE246" s="57" t="s">
        <v>1890</v>
      </c>
      <c r="AF246" s="57" t="s">
        <v>1891</v>
      </c>
    </row>
    <row r="247" spans="1:32">
      <c r="A247" s="57">
        <v>246</v>
      </c>
      <c r="B247" s="58">
        <v>45890.692986111113</v>
      </c>
      <c r="C247" s="58">
        <v>45890.698055555556</v>
      </c>
      <c r="D247" s="57" t="s">
        <v>1101</v>
      </c>
      <c r="E247" s="57" t="s">
        <v>1102</v>
      </c>
      <c r="F247" s="58"/>
      <c r="G247" s="57" t="s">
        <v>574</v>
      </c>
      <c r="H247" s="59">
        <v>1</v>
      </c>
      <c r="I247" s="57"/>
      <c r="J247" s="57"/>
      <c r="K247" s="59"/>
      <c r="L247" s="57"/>
      <c r="M247" s="60"/>
      <c r="N247" s="59"/>
      <c r="O247" s="57"/>
      <c r="P247" s="57"/>
      <c r="Q247" s="57"/>
      <c r="R247" s="57"/>
      <c r="S247" s="59"/>
      <c r="T247" s="57"/>
      <c r="U247" s="60"/>
      <c r="V247" s="59"/>
      <c r="W247" s="57"/>
      <c r="X247" s="57"/>
      <c r="Y247" s="57" t="s">
        <v>21</v>
      </c>
      <c r="Z247" s="57" t="s">
        <v>246</v>
      </c>
      <c r="AA247" s="59">
        <v>23612</v>
      </c>
      <c r="AB247" s="57" t="s">
        <v>61</v>
      </c>
      <c r="AC247" s="60">
        <v>45885</v>
      </c>
      <c r="AD247" s="59">
        <v>23612</v>
      </c>
      <c r="AE247" s="57" t="s">
        <v>1892</v>
      </c>
      <c r="AF247" s="57" t="s">
        <v>1893</v>
      </c>
    </row>
    <row r="248" spans="1:32">
      <c r="A248" s="57">
        <v>247</v>
      </c>
      <c r="B248" s="58">
        <v>45890.679456018523</v>
      </c>
      <c r="C248" s="58">
        <v>45890.70616898148</v>
      </c>
      <c r="D248" s="57" t="s">
        <v>849</v>
      </c>
      <c r="E248" s="57" t="s">
        <v>850</v>
      </c>
      <c r="F248" s="58"/>
      <c r="G248" s="57" t="s">
        <v>627</v>
      </c>
      <c r="H248" s="59">
        <v>1</v>
      </c>
      <c r="I248" s="57"/>
      <c r="J248" s="57"/>
      <c r="K248" s="59"/>
      <c r="L248" s="57"/>
      <c r="M248" s="60"/>
      <c r="N248" s="59"/>
      <c r="O248" s="57"/>
      <c r="P248" s="57"/>
      <c r="Q248" s="57"/>
      <c r="R248" s="57"/>
      <c r="S248" s="59"/>
      <c r="T248" s="57"/>
      <c r="U248" s="60"/>
      <c r="V248" s="59"/>
      <c r="W248" s="57"/>
      <c r="X248" s="57"/>
      <c r="Y248" s="57" t="s">
        <v>21</v>
      </c>
      <c r="Z248" s="57" t="s">
        <v>310</v>
      </c>
      <c r="AA248" s="59">
        <v>7199</v>
      </c>
      <c r="AB248" s="57" t="s">
        <v>61</v>
      </c>
      <c r="AC248" s="60">
        <v>45827</v>
      </c>
      <c r="AD248" s="59">
        <v>7199</v>
      </c>
      <c r="AE248" s="57" t="s">
        <v>1894</v>
      </c>
      <c r="AF248" s="57" t="s">
        <v>1895</v>
      </c>
    </row>
    <row r="249" spans="1:32">
      <c r="A249" s="57">
        <v>248</v>
      </c>
      <c r="B249" s="58">
        <v>45890.712708333333</v>
      </c>
      <c r="C249" s="58">
        <v>45890.715277777781</v>
      </c>
      <c r="D249" s="57" t="s">
        <v>722</v>
      </c>
      <c r="E249" s="57" t="s">
        <v>723</v>
      </c>
      <c r="F249" s="58"/>
      <c r="G249" s="57" t="s">
        <v>525</v>
      </c>
      <c r="H249" s="59">
        <v>1</v>
      </c>
      <c r="I249" s="57"/>
      <c r="J249" s="57"/>
      <c r="K249" s="59"/>
      <c r="L249" s="57"/>
      <c r="M249" s="60"/>
      <c r="N249" s="59"/>
      <c r="O249" s="57"/>
      <c r="P249" s="57"/>
      <c r="Q249" s="57"/>
      <c r="R249" s="57"/>
      <c r="S249" s="59"/>
      <c r="T249" s="57"/>
      <c r="U249" s="60"/>
      <c r="V249" s="59"/>
      <c r="W249" s="57"/>
      <c r="X249" s="57"/>
      <c r="Y249" s="57" t="s">
        <v>21</v>
      </c>
      <c r="Z249" s="57" t="s">
        <v>192</v>
      </c>
      <c r="AA249" s="59">
        <v>92401</v>
      </c>
      <c r="AB249" s="57" t="s">
        <v>61</v>
      </c>
      <c r="AC249" s="60">
        <v>45825</v>
      </c>
      <c r="AD249" s="59">
        <v>92401</v>
      </c>
      <c r="AE249" s="57" t="s">
        <v>1896</v>
      </c>
      <c r="AF249" s="57" t="s">
        <v>1897</v>
      </c>
    </row>
    <row r="250" spans="1:32">
      <c r="A250" s="57">
        <v>249</v>
      </c>
      <c r="B250" s="58">
        <v>45890.680868055562</v>
      </c>
      <c r="C250" s="58">
        <v>45890.717835648153</v>
      </c>
      <c r="D250" s="57" t="s">
        <v>840</v>
      </c>
      <c r="E250" s="57" t="s">
        <v>841</v>
      </c>
      <c r="F250" s="58"/>
      <c r="G250" s="57" t="s">
        <v>564</v>
      </c>
      <c r="H250" s="59">
        <v>1</v>
      </c>
      <c r="I250" s="57"/>
      <c r="J250" s="57"/>
      <c r="K250" s="59"/>
      <c r="L250" s="57"/>
      <c r="M250" s="60"/>
      <c r="N250" s="59"/>
      <c r="O250" s="57"/>
      <c r="P250" s="57"/>
      <c r="Q250" s="57"/>
      <c r="R250" s="57"/>
      <c r="S250" s="59"/>
      <c r="T250" s="57"/>
      <c r="U250" s="60"/>
      <c r="V250" s="59"/>
      <c r="W250" s="57"/>
      <c r="X250" s="57"/>
      <c r="Y250" s="57" t="s">
        <v>20</v>
      </c>
      <c r="Z250" s="57" t="s">
        <v>235</v>
      </c>
      <c r="AA250" s="59">
        <v>14738</v>
      </c>
      <c r="AB250" s="57" t="s">
        <v>61</v>
      </c>
      <c r="AC250" s="60">
        <v>45812</v>
      </c>
      <c r="AD250" s="59">
        <v>14738</v>
      </c>
      <c r="AE250" s="57" t="s">
        <v>1898</v>
      </c>
      <c r="AF250" s="57" t="s">
        <v>1899</v>
      </c>
    </row>
    <row r="251" spans="1:32">
      <c r="A251" s="57">
        <v>250</v>
      </c>
      <c r="B251" s="58">
        <v>45890.712858796287</v>
      </c>
      <c r="C251" s="58">
        <v>45890.71979166667</v>
      </c>
      <c r="D251" s="57" t="s">
        <v>905</v>
      </c>
      <c r="E251" s="57" t="s">
        <v>906</v>
      </c>
      <c r="F251" s="58"/>
      <c r="G251" s="57" t="s">
        <v>661</v>
      </c>
      <c r="H251" s="59">
        <v>1</v>
      </c>
      <c r="I251" s="57"/>
      <c r="J251" s="57"/>
      <c r="K251" s="59"/>
      <c r="L251" s="57"/>
      <c r="M251" s="60"/>
      <c r="N251" s="59"/>
      <c r="O251" s="57"/>
      <c r="P251" s="57"/>
      <c r="Q251" s="57"/>
      <c r="R251" s="57"/>
      <c r="S251" s="59"/>
      <c r="T251" s="57"/>
      <c r="U251" s="60"/>
      <c r="V251" s="59"/>
      <c r="W251" s="57"/>
      <c r="X251" s="57"/>
      <c r="Y251" s="57" t="s">
        <v>22</v>
      </c>
      <c r="Z251" s="57" t="s">
        <v>362</v>
      </c>
      <c r="AA251" s="59">
        <v>3903</v>
      </c>
      <c r="AB251" s="57" t="s">
        <v>61</v>
      </c>
      <c r="AC251" s="60">
        <v>45883</v>
      </c>
      <c r="AD251" s="59">
        <v>3903</v>
      </c>
      <c r="AE251" s="57" t="s">
        <v>1900</v>
      </c>
      <c r="AF251" s="57" t="s">
        <v>1901</v>
      </c>
    </row>
    <row r="252" spans="1:32">
      <c r="A252" s="57">
        <v>251</v>
      </c>
      <c r="B252" s="58">
        <v>45890.714699074073</v>
      </c>
      <c r="C252" s="58">
        <v>45890.720196759263</v>
      </c>
      <c r="D252" s="57" t="s">
        <v>936</v>
      </c>
      <c r="E252" s="57" t="s">
        <v>937</v>
      </c>
      <c r="F252" s="58"/>
      <c r="G252" s="57" t="s">
        <v>466</v>
      </c>
      <c r="H252" s="59">
        <v>1</v>
      </c>
      <c r="I252" s="57"/>
      <c r="J252" s="57"/>
      <c r="K252" s="59"/>
      <c r="L252" s="57"/>
      <c r="M252" s="60"/>
      <c r="N252" s="59"/>
      <c r="O252" s="57"/>
      <c r="P252" s="57"/>
      <c r="Q252" s="57"/>
      <c r="R252" s="57"/>
      <c r="S252" s="59"/>
      <c r="T252" s="57"/>
      <c r="U252" s="60"/>
      <c r="V252" s="59"/>
      <c r="W252" s="57"/>
      <c r="X252" s="57"/>
      <c r="Y252" s="57" t="s">
        <v>20</v>
      </c>
      <c r="Z252" s="57" t="s">
        <v>131</v>
      </c>
      <c r="AA252" s="59">
        <v>84603</v>
      </c>
      <c r="AB252" s="57" t="s">
        <v>61</v>
      </c>
      <c r="AC252" s="60">
        <v>45817</v>
      </c>
      <c r="AD252" s="59">
        <v>84603</v>
      </c>
      <c r="AE252" s="57" t="s">
        <v>1902</v>
      </c>
      <c r="AF252" s="57" t="s">
        <v>1903</v>
      </c>
    </row>
    <row r="253" spans="1:32">
      <c r="A253" s="57">
        <v>252</v>
      </c>
      <c r="B253" s="58">
        <v>45890.724652777782</v>
      </c>
      <c r="C253" s="58">
        <v>45890.729733796303</v>
      </c>
      <c r="D253" s="57" t="s">
        <v>1064</v>
      </c>
      <c r="E253" s="57" t="s">
        <v>1065</v>
      </c>
      <c r="F253" s="58"/>
      <c r="G253" s="57" t="s">
        <v>544</v>
      </c>
      <c r="H253" s="59">
        <v>1</v>
      </c>
      <c r="I253" s="57"/>
      <c r="J253" s="57"/>
      <c r="K253" s="59"/>
      <c r="L253" s="57"/>
      <c r="M253" s="60"/>
      <c r="N253" s="59"/>
      <c r="O253" s="57"/>
      <c r="P253" s="57"/>
      <c r="Q253" s="57"/>
      <c r="R253" s="57"/>
      <c r="S253" s="59"/>
      <c r="T253" s="57"/>
      <c r="U253" s="60"/>
      <c r="V253" s="59"/>
      <c r="W253" s="57"/>
      <c r="X253" s="57"/>
      <c r="Y253" s="57" t="s">
        <v>21</v>
      </c>
      <c r="Z253" s="57" t="s">
        <v>213</v>
      </c>
      <c r="AA253" s="59">
        <v>39846</v>
      </c>
      <c r="AB253" s="57" t="s">
        <v>61</v>
      </c>
      <c r="AC253" s="60">
        <v>45814</v>
      </c>
      <c r="AD253" s="59">
        <v>39846</v>
      </c>
      <c r="AE253" s="57" t="s">
        <v>1904</v>
      </c>
      <c r="AF253" s="57" t="s">
        <v>1905</v>
      </c>
    </row>
    <row r="254" spans="1:32">
      <c r="A254" s="57">
        <v>253</v>
      </c>
      <c r="B254" s="58">
        <v>45890.674432870372</v>
      </c>
      <c r="C254" s="58">
        <v>45890.73364583333</v>
      </c>
      <c r="D254" s="57" t="s">
        <v>1114</v>
      </c>
      <c r="E254" s="57" t="s">
        <v>1115</v>
      </c>
      <c r="F254" s="58"/>
      <c r="G254" s="57" t="s">
        <v>597</v>
      </c>
      <c r="H254" s="59">
        <v>2</v>
      </c>
      <c r="I254" s="57"/>
      <c r="J254" s="57"/>
      <c r="K254" s="59"/>
      <c r="L254" s="57"/>
      <c r="M254" s="60"/>
      <c r="N254" s="59"/>
      <c r="O254" s="57"/>
      <c r="P254" s="57"/>
      <c r="Q254" s="57" t="s">
        <v>22</v>
      </c>
      <c r="R254" s="57" t="s">
        <v>273</v>
      </c>
      <c r="S254" s="59">
        <v>37616</v>
      </c>
      <c r="T254" s="57" t="s">
        <v>61</v>
      </c>
      <c r="U254" s="60">
        <v>45818</v>
      </c>
      <c r="V254" s="59">
        <v>37616</v>
      </c>
      <c r="W254" s="57" t="s">
        <v>1906</v>
      </c>
      <c r="X254" s="57" t="s">
        <v>1907</v>
      </c>
      <c r="Y254" s="57" t="s">
        <v>21</v>
      </c>
      <c r="Z254" s="57" t="s">
        <v>324</v>
      </c>
      <c r="AA254" s="59">
        <v>9519</v>
      </c>
      <c r="AB254" s="57" t="s">
        <v>61</v>
      </c>
      <c r="AC254" s="60">
        <v>45708</v>
      </c>
      <c r="AD254" s="59">
        <v>9519</v>
      </c>
      <c r="AE254" s="57" t="s">
        <v>1908</v>
      </c>
      <c r="AF254" s="57" t="s">
        <v>1909</v>
      </c>
    </row>
    <row r="255" spans="1:32">
      <c r="A255" s="57">
        <v>254</v>
      </c>
      <c r="B255" s="58">
        <v>45890.729398148149</v>
      </c>
      <c r="C255" s="58">
        <v>45890.741990740738</v>
      </c>
      <c r="D255" s="57" t="s">
        <v>882</v>
      </c>
      <c r="E255" s="57" t="s">
        <v>883</v>
      </c>
      <c r="F255" s="58"/>
      <c r="G255" s="57" t="s">
        <v>500</v>
      </c>
      <c r="H255" s="59">
        <v>2</v>
      </c>
      <c r="I255" s="57"/>
      <c r="J255" s="57"/>
      <c r="K255" s="59"/>
      <c r="L255" s="57"/>
      <c r="M255" s="60"/>
      <c r="N255" s="59"/>
      <c r="O255" s="57"/>
      <c r="P255" s="57"/>
      <c r="Q255" s="57" t="s">
        <v>20</v>
      </c>
      <c r="R255" s="57" t="s">
        <v>166</v>
      </c>
      <c r="S255" s="59">
        <v>28019</v>
      </c>
      <c r="T255" s="57" t="s">
        <v>61</v>
      </c>
      <c r="U255" s="60">
        <v>45845</v>
      </c>
      <c r="V255" s="59">
        <v>28019</v>
      </c>
      <c r="W255" s="57" t="s">
        <v>1910</v>
      </c>
      <c r="X255" s="57" t="s">
        <v>1911</v>
      </c>
      <c r="Y255" s="57" t="s">
        <v>21</v>
      </c>
      <c r="Z255" s="57" t="s">
        <v>886</v>
      </c>
      <c r="AA255" s="59">
        <v>42959</v>
      </c>
      <c r="AB255" s="57" t="s">
        <v>61</v>
      </c>
      <c r="AC255" s="60">
        <v>45771</v>
      </c>
      <c r="AD255" s="59">
        <v>42959</v>
      </c>
      <c r="AE255" s="57" t="s">
        <v>1912</v>
      </c>
      <c r="AF255" s="57" t="s">
        <v>1913</v>
      </c>
    </row>
    <row r="256" spans="1:32">
      <c r="A256" s="57">
        <v>255</v>
      </c>
      <c r="B256" s="58">
        <v>45890.743726851862</v>
      </c>
      <c r="C256" s="58">
        <v>45890.747615740736</v>
      </c>
      <c r="D256" s="57" t="s">
        <v>1365</v>
      </c>
      <c r="E256" s="57" t="s">
        <v>1366</v>
      </c>
      <c r="F256" s="58"/>
      <c r="G256" s="57" t="s">
        <v>638</v>
      </c>
      <c r="H256" s="59">
        <v>1</v>
      </c>
      <c r="I256" s="57"/>
      <c r="J256" s="57"/>
      <c r="K256" s="59"/>
      <c r="L256" s="57"/>
      <c r="M256" s="60"/>
      <c r="N256" s="59"/>
      <c r="O256" s="57"/>
      <c r="P256" s="57"/>
      <c r="Q256" s="57"/>
      <c r="R256" s="57"/>
      <c r="S256" s="59"/>
      <c r="T256" s="57"/>
      <c r="U256" s="60"/>
      <c r="V256" s="59"/>
      <c r="W256" s="57"/>
      <c r="X256" s="57"/>
      <c r="Y256" s="57" t="s">
        <v>21</v>
      </c>
      <c r="Z256" s="57" t="s">
        <v>331</v>
      </c>
      <c r="AA256" s="59">
        <v>7430</v>
      </c>
      <c r="AB256" s="57" t="s">
        <v>61</v>
      </c>
      <c r="AC256" s="60">
        <v>45867</v>
      </c>
      <c r="AD256" s="59">
        <v>7430</v>
      </c>
      <c r="AE256" s="57" t="s">
        <v>1914</v>
      </c>
      <c r="AF256" s="57" t="s">
        <v>1915</v>
      </c>
    </row>
    <row r="257" spans="1:32">
      <c r="A257" s="57">
        <v>256</v>
      </c>
      <c r="B257" s="58">
        <v>45890.741423611107</v>
      </c>
      <c r="C257" s="58">
        <v>45890.748530092591</v>
      </c>
      <c r="D257" s="57" t="s">
        <v>853</v>
      </c>
      <c r="E257" s="57" t="s">
        <v>854</v>
      </c>
      <c r="F257" s="58"/>
      <c r="G257" s="57" t="s">
        <v>571</v>
      </c>
      <c r="H257" s="59">
        <v>1</v>
      </c>
      <c r="I257" s="57"/>
      <c r="J257" s="57"/>
      <c r="K257" s="59"/>
      <c r="L257" s="57"/>
      <c r="M257" s="60"/>
      <c r="N257" s="59"/>
      <c r="O257" s="57"/>
      <c r="P257" s="57"/>
      <c r="Q257" s="57"/>
      <c r="R257" s="57"/>
      <c r="S257" s="59"/>
      <c r="T257" s="57"/>
      <c r="U257" s="60"/>
      <c r="V257" s="59"/>
      <c r="W257" s="57"/>
      <c r="X257" s="57"/>
      <c r="Y257" s="57" t="s">
        <v>21</v>
      </c>
      <c r="Z257" s="57" t="s">
        <v>346</v>
      </c>
      <c r="AA257" s="59">
        <v>8632</v>
      </c>
      <c r="AB257" s="57" t="s">
        <v>61</v>
      </c>
      <c r="AC257" s="60">
        <v>45743</v>
      </c>
      <c r="AD257" s="59">
        <v>8632</v>
      </c>
      <c r="AE257" s="57" t="s">
        <v>1916</v>
      </c>
      <c r="AF257" s="57" t="s">
        <v>1917</v>
      </c>
    </row>
    <row r="258" spans="1:32">
      <c r="A258" s="57">
        <v>257</v>
      </c>
      <c r="B258" s="58">
        <v>45890.750937500001</v>
      </c>
      <c r="C258" s="58">
        <v>45890.751550925917</v>
      </c>
      <c r="D258" s="57" t="s">
        <v>966</v>
      </c>
      <c r="E258" s="57" t="s">
        <v>967</v>
      </c>
      <c r="F258" s="58"/>
      <c r="G258" s="57" t="s">
        <v>503</v>
      </c>
      <c r="H258" s="59">
        <v>1</v>
      </c>
      <c r="I258" s="57"/>
      <c r="J258" s="57"/>
      <c r="K258" s="59"/>
      <c r="L258" s="57"/>
      <c r="M258" s="60"/>
      <c r="N258" s="59"/>
      <c r="O258" s="57"/>
      <c r="P258" s="57"/>
      <c r="Q258" s="57"/>
      <c r="R258" s="57"/>
      <c r="S258" s="59"/>
      <c r="T258" s="57"/>
      <c r="U258" s="60"/>
      <c r="V258" s="59"/>
      <c r="W258" s="57"/>
      <c r="X258" s="57"/>
      <c r="Y258" s="57" t="s">
        <v>20</v>
      </c>
      <c r="Z258" s="57" t="s">
        <v>169</v>
      </c>
      <c r="AA258" s="59">
        <v>88370</v>
      </c>
      <c r="AB258" s="57" t="s">
        <v>61</v>
      </c>
      <c r="AC258" s="60">
        <v>45874</v>
      </c>
      <c r="AD258" s="59">
        <v>88370</v>
      </c>
      <c r="AE258" s="57" t="s">
        <v>1918</v>
      </c>
      <c r="AF258" s="57" t="s">
        <v>1919</v>
      </c>
    </row>
    <row r="259" spans="1:32">
      <c r="A259" s="57">
        <v>258</v>
      </c>
      <c r="B259" s="58">
        <v>45890.781967592593</v>
      </c>
      <c r="C259" s="58">
        <v>45890.785682870373</v>
      </c>
      <c r="D259" s="57" t="s">
        <v>1135</v>
      </c>
      <c r="E259" s="57" t="s">
        <v>1136</v>
      </c>
      <c r="F259" s="58"/>
      <c r="G259" s="57" t="s">
        <v>453</v>
      </c>
      <c r="H259" s="59">
        <v>1</v>
      </c>
      <c r="I259" s="57"/>
      <c r="J259" s="57"/>
      <c r="K259" s="59"/>
      <c r="L259" s="57"/>
      <c r="M259" s="60"/>
      <c r="N259" s="59"/>
      <c r="O259" s="57"/>
      <c r="P259" s="57"/>
      <c r="Q259" s="57"/>
      <c r="R259" s="57"/>
      <c r="S259" s="59"/>
      <c r="T259" s="57"/>
      <c r="U259" s="60"/>
      <c r="V259" s="59"/>
      <c r="W259" s="57"/>
      <c r="X259" s="57"/>
      <c r="Y259" s="57" t="s">
        <v>21</v>
      </c>
      <c r="Z259" s="57" t="s">
        <v>119</v>
      </c>
      <c r="AA259" s="59">
        <v>25306</v>
      </c>
      <c r="AB259" s="57" t="s">
        <v>61</v>
      </c>
      <c r="AC259" s="60">
        <v>45810</v>
      </c>
      <c r="AD259" s="59">
        <v>25306</v>
      </c>
      <c r="AE259" s="57" t="s">
        <v>1920</v>
      </c>
      <c r="AF259" s="57" t="s">
        <v>1921</v>
      </c>
    </row>
    <row r="260" spans="1:32">
      <c r="A260" s="57">
        <v>259</v>
      </c>
      <c r="B260" s="58">
        <v>45890.796747685177</v>
      </c>
      <c r="C260" s="58">
        <v>45890.800381944442</v>
      </c>
      <c r="D260" s="57" t="s">
        <v>866</v>
      </c>
      <c r="E260" s="57" t="s">
        <v>867</v>
      </c>
      <c r="F260" s="58"/>
      <c r="G260" s="57" t="s">
        <v>580</v>
      </c>
      <c r="H260" s="59">
        <v>2</v>
      </c>
      <c r="I260" s="57"/>
      <c r="J260" s="57"/>
      <c r="K260" s="59"/>
      <c r="L260" s="57"/>
      <c r="M260" s="60"/>
      <c r="N260" s="59"/>
      <c r="O260" s="57"/>
      <c r="P260" s="57"/>
      <c r="Q260" s="57" t="s">
        <v>21</v>
      </c>
      <c r="R260" s="57" t="s">
        <v>252</v>
      </c>
      <c r="S260" s="59">
        <v>16814</v>
      </c>
      <c r="T260" s="57" t="s">
        <v>61</v>
      </c>
      <c r="U260" s="60">
        <v>45736</v>
      </c>
      <c r="V260" s="59">
        <v>16814</v>
      </c>
      <c r="W260" s="57" t="s">
        <v>1922</v>
      </c>
      <c r="X260" s="57" t="s">
        <v>1923</v>
      </c>
      <c r="Y260" s="57" t="s">
        <v>22</v>
      </c>
      <c r="Z260" s="57" t="s">
        <v>1924</v>
      </c>
      <c r="AA260" s="59">
        <v>27012</v>
      </c>
      <c r="AB260" s="57" t="s">
        <v>61</v>
      </c>
      <c r="AC260" s="60">
        <v>45875</v>
      </c>
      <c r="AD260" s="59">
        <v>27012</v>
      </c>
      <c r="AE260" s="57" t="s">
        <v>1925</v>
      </c>
      <c r="AF260" s="57" t="s">
        <v>1926</v>
      </c>
    </row>
    <row r="261" spans="1:32">
      <c r="A261" s="57">
        <v>260</v>
      </c>
      <c r="B261" s="58">
        <v>45890.82267361111</v>
      </c>
      <c r="C261" s="58">
        <v>45890.824560185189</v>
      </c>
      <c r="D261" s="57" t="s">
        <v>1927</v>
      </c>
      <c r="E261" s="57" t="s">
        <v>1928</v>
      </c>
      <c r="F261" s="58"/>
      <c r="G261" s="57" t="s">
        <v>663</v>
      </c>
      <c r="H261" s="59">
        <v>1</v>
      </c>
      <c r="I261" s="57"/>
      <c r="J261" s="57"/>
      <c r="K261" s="59"/>
      <c r="L261" s="57"/>
      <c r="M261" s="60"/>
      <c r="N261" s="59"/>
      <c r="O261" s="57"/>
      <c r="P261" s="57"/>
      <c r="Q261" s="57"/>
      <c r="R261" s="57"/>
      <c r="S261" s="59"/>
      <c r="T261" s="57"/>
      <c r="U261" s="60"/>
      <c r="V261" s="59"/>
      <c r="W261" s="57"/>
      <c r="X261" s="57"/>
      <c r="Y261" s="57" t="s">
        <v>20</v>
      </c>
      <c r="Z261" s="57" t="s">
        <v>365</v>
      </c>
      <c r="AA261" s="59">
        <v>8561</v>
      </c>
      <c r="AB261" s="57" t="s">
        <v>61</v>
      </c>
      <c r="AC261" s="60">
        <v>45778</v>
      </c>
      <c r="AD261" s="59">
        <v>8561</v>
      </c>
      <c r="AE261" s="57" t="s">
        <v>1929</v>
      </c>
      <c r="AF261" s="57" t="s">
        <v>1930</v>
      </c>
    </row>
    <row r="262" spans="1:32">
      <c r="A262" s="57">
        <v>261</v>
      </c>
      <c r="B262" s="58">
        <v>45891.285451388889</v>
      </c>
      <c r="C262" s="58">
        <v>45891.290578703702</v>
      </c>
      <c r="D262" s="57" t="s">
        <v>1931</v>
      </c>
      <c r="E262" s="57" t="s">
        <v>1932</v>
      </c>
      <c r="F262" s="58"/>
      <c r="G262" s="57" t="s">
        <v>498</v>
      </c>
      <c r="H262" s="59">
        <v>1</v>
      </c>
      <c r="I262" s="57"/>
      <c r="J262" s="57"/>
      <c r="K262" s="59"/>
      <c r="L262" s="57"/>
      <c r="M262" s="60"/>
      <c r="N262" s="59"/>
      <c r="O262" s="57"/>
      <c r="P262" s="57"/>
      <c r="Q262" s="57"/>
      <c r="R262" s="57"/>
      <c r="S262" s="59"/>
      <c r="T262" s="57"/>
      <c r="U262" s="60"/>
      <c r="V262" s="59"/>
      <c r="W262" s="57"/>
      <c r="X262" s="57"/>
      <c r="Y262" s="57" t="s">
        <v>20</v>
      </c>
      <c r="Z262" s="57" t="s">
        <v>164</v>
      </c>
      <c r="AA262" s="59">
        <v>82798</v>
      </c>
      <c r="AB262" s="57" t="s">
        <v>61</v>
      </c>
      <c r="AC262" s="60">
        <v>45845</v>
      </c>
      <c r="AD262" s="59">
        <v>82798</v>
      </c>
      <c r="AE262" s="57" t="s">
        <v>1933</v>
      </c>
      <c r="AF262" s="57" t="s">
        <v>1934</v>
      </c>
    </row>
    <row r="263" spans="1:32">
      <c r="A263" s="57">
        <v>262</v>
      </c>
      <c r="B263" s="58">
        <v>45891.29886574074</v>
      </c>
      <c r="C263" s="58">
        <v>45891.306643518517</v>
      </c>
      <c r="D263" s="57" t="s">
        <v>769</v>
      </c>
      <c r="E263" s="57" t="s">
        <v>770</v>
      </c>
      <c r="F263" s="58"/>
      <c r="G263" s="57" t="s">
        <v>582</v>
      </c>
      <c r="H263" s="59">
        <v>2</v>
      </c>
      <c r="I263" s="57"/>
      <c r="J263" s="57"/>
      <c r="K263" s="59"/>
      <c r="L263" s="57"/>
      <c r="M263" s="60"/>
      <c r="N263" s="59"/>
      <c r="O263" s="57"/>
      <c r="P263" s="57"/>
      <c r="Q263" s="57" t="s">
        <v>21</v>
      </c>
      <c r="R263" s="57" t="s">
        <v>257</v>
      </c>
      <c r="S263" s="59">
        <v>23018</v>
      </c>
      <c r="T263" s="57" t="s">
        <v>61</v>
      </c>
      <c r="U263" s="60">
        <v>45861</v>
      </c>
      <c r="V263" s="59">
        <v>23018</v>
      </c>
      <c r="W263" s="57" t="s">
        <v>1935</v>
      </c>
      <c r="X263" s="57" t="s">
        <v>1936</v>
      </c>
      <c r="Y263" s="57" t="s">
        <v>21</v>
      </c>
      <c r="Z263" s="57" t="s">
        <v>256</v>
      </c>
      <c r="AA263" s="59">
        <v>32161</v>
      </c>
      <c r="AB263" s="57" t="s">
        <v>61</v>
      </c>
      <c r="AC263" s="60">
        <v>45841</v>
      </c>
      <c r="AD263" s="59">
        <v>32161</v>
      </c>
      <c r="AE263" s="57" t="s">
        <v>1937</v>
      </c>
      <c r="AF263" s="57" t="s">
        <v>1938</v>
      </c>
    </row>
    <row r="264" spans="1:32">
      <c r="A264" s="57">
        <v>263</v>
      </c>
      <c r="B264" s="58">
        <v>45891.308055555557</v>
      </c>
      <c r="C264" s="58">
        <v>45891.319768518522</v>
      </c>
      <c r="D264" s="57" t="s">
        <v>1517</v>
      </c>
      <c r="E264" s="57" t="s">
        <v>1518</v>
      </c>
      <c r="F264" s="58"/>
      <c r="G264" s="57" t="s">
        <v>585</v>
      </c>
      <c r="H264" s="59">
        <v>1</v>
      </c>
      <c r="I264" s="57"/>
      <c r="J264" s="57"/>
      <c r="K264" s="59"/>
      <c r="L264" s="57"/>
      <c r="M264" s="60"/>
      <c r="N264" s="59"/>
      <c r="O264" s="57"/>
      <c r="P264" s="57"/>
      <c r="Q264" s="57"/>
      <c r="R264" s="57"/>
      <c r="S264" s="59"/>
      <c r="T264" s="57"/>
      <c r="U264" s="60"/>
      <c r="V264" s="59"/>
      <c r="W264" s="57"/>
      <c r="X264" s="57"/>
      <c r="Y264" s="57" t="s">
        <v>20</v>
      </c>
      <c r="Z264" s="57" t="s">
        <v>1519</v>
      </c>
      <c r="AA264" s="59">
        <v>37574</v>
      </c>
      <c r="AB264" s="57" t="s">
        <v>61</v>
      </c>
      <c r="AC264" s="60">
        <v>45828</v>
      </c>
      <c r="AD264" s="59">
        <v>37574</v>
      </c>
      <c r="AE264" s="57" t="s">
        <v>1939</v>
      </c>
      <c r="AF264" s="57" t="s">
        <v>1940</v>
      </c>
    </row>
    <row r="265" spans="1:32">
      <c r="A265" s="57">
        <v>264</v>
      </c>
      <c r="B265" s="58">
        <v>45891.313750000001</v>
      </c>
      <c r="C265" s="58">
        <v>45891.322164351863</v>
      </c>
      <c r="D265" s="57" t="s">
        <v>893</v>
      </c>
      <c r="E265" s="57" t="s">
        <v>894</v>
      </c>
      <c r="F265" s="58"/>
      <c r="G265" s="57" t="s">
        <v>508</v>
      </c>
      <c r="H265" s="59">
        <v>1</v>
      </c>
      <c r="I265" s="57"/>
      <c r="J265" s="57"/>
      <c r="K265" s="59"/>
      <c r="L265" s="57"/>
      <c r="M265" s="60"/>
      <c r="N265" s="59"/>
      <c r="O265" s="57"/>
      <c r="P265" s="57"/>
      <c r="Q265" s="57"/>
      <c r="R265" s="57"/>
      <c r="S265" s="59"/>
      <c r="T265" s="57"/>
      <c r="U265" s="60"/>
      <c r="V265" s="59"/>
      <c r="W265" s="57"/>
      <c r="X265" s="57"/>
      <c r="Y265" s="57" t="s">
        <v>20</v>
      </c>
      <c r="Z265" s="57" t="s">
        <v>174</v>
      </c>
      <c r="AA265" s="59">
        <v>46844</v>
      </c>
      <c r="AB265" s="57" t="s">
        <v>61</v>
      </c>
      <c r="AC265" s="60">
        <v>45781</v>
      </c>
      <c r="AD265" s="59">
        <v>46844</v>
      </c>
      <c r="AE265" s="57" t="s">
        <v>1941</v>
      </c>
      <c r="AF265" s="57" t="s">
        <v>1942</v>
      </c>
    </row>
    <row r="266" spans="1:32">
      <c r="A266" s="57">
        <v>265</v>
      </c>
      <c r="B266" s="58">
        <v>45891.301712962973</v>
      </c>
      <c r="C266" s="58">
        <v>45891.322870370372</v>
      </c>
      <c r="D266" s="57" t="s">
        <v>1780</v>
      </c>
      <c r="E266" s="57" t="s">
        <v>1781</v>
      </c>
      <c r="F266" s="58"/>
      <c r="G266" s="57" t="s">
        <v>599</v>
      </c>
      <c r="H266" s="59">
        <v>2</v>
      </c>
      <c r="I266" s="57"/>
      <c r="J266" s="57"/>
      <c r="K266" s="59"/>
      <c r="L266" s="57"/>
      <c r="M266" s="60"/>
      <c r="N266" s="59"/>
      <c r="O266" s="57"/>
      <c r="P266" s="57"/>
      <c r="Q266" s="57" t="s">
        <v>20</v>
      </c>
      <c r="R266" s="57" t="s">
        <v>1782</v>
      </c>
      <c r="S266" s="59">
        <v>58114</v>
      </c>
      <c r="T266" s="57" t="s">
        <v>61</v>
      </c>
      <c r="U266" s="60">
        <v>45737</v>
      </c>
      <c r="V266" s="59">
        <v>58114</v>
      </c>
      <c r="W266" s="57" t="s">
        <v>1943</v>
      </c>
      <c r="X266" s="57" t="s">
        <v>1944</v>
      </c>
      <c r="Y266" s="57" t="s">
        <v>20</v>
      </c>
      <c r="Z266" s="57" t="s">
        <v>275</v>
      </c>
      <c r="AA266" s="59">
        <v>32839</v>
      </c>
      <c r="AB266" s="57" t="s">
        <v>61</v>
      </c>
      <c r="AC266" s="60">
        <v>45824</v>
      </c>
      <c r="AD266" s="59">
        <v>32839</v>
      </c>
      <c r="AE266" s="57" t="s">
        <v>1945</v>
      </c>
      <c r="AF266" s="57" t="s">
        <v>1946</v>
      </c>
    </row>
    <row r="267" spans="1:32">
      <c r="A267" s="57">
        <v>266</v>
      </c>
      <c r="B267" s="58">
        <v>45891.320439814823</v>
      </c>
      <c r="C267" s="58">
        <v>45891.329293981478</v>
      </c>
      <c r="D267" s="57" t="s">
        <v>961</v>
      </c>
      <c r="E267" s="57" t="s">
        <v>962</v>
      </c>
      <c r="F267" s="58"/>
      <c r="G267" s="57" t="s">
        <v>655</v>
      </c>
      <c r="H267" s="59">
        <v>1</v>
      </c>
      <c r="I267" s="57"/>
      <c r="J267" s="57"/>
      <c r="K267" s="59"/>
      <c r="L267" s="57"/>
      <c r="M267" s="60"/>
      <c r="N267" s="59"/>
      <c r="O267" s="57"/>
      <c r="P267" s="57"/>
      <c r="Q267" s="57"/>
      <c r="R267" s="57"/>
      <c r="S267" s="59"/>
      <c r="T267" s="57"/>
      <c r="U267" s="60"/>
      <c r="V267" s="59"/>
      <c r="W267" s="57"/>
      <c r="X267" s="57"/>
      <c r="Y267" s="57" t="s">
        <v>21</v>
      </c>
      <c r="Z267" s="57" t="s">
        <v>963</v>
      </c>
      <c r="AA267" s="59">
        <v>27969</v>
      </c>
      <c r="AB267" s="57" t="s">
        <v>61</v>
      </c>
      <c r="AC267" s="60">
        <v>45593</v>
      </c>
      <c r="AD267" s="59">
        <v>27969</v>
      </c>
      <c r="AE267" s="57" t="s">
        <v>1947</v>
      </c>
      <c r="AF267" s="57" t="s">
        <v>1948</v>
      </c>
    </row>
    <row r="268" spans="1:32">
      <c r="A268" s="57">
        <v>267</v>
      </c>
      <c r="B268" s="58">
        <v>45891.32539351852</v>
      </c>
      <c r="C268" s="58">
        <v>45891.33315972222</v>
      </c>
      <c r="D268" s="57" t="s">
        <v>809</v>
      </c>
      <c r="E268" s="57" t="s">
        <v>810</v>
      </c>
      <c r="F268" s="58"/>
      <c r="G268" s="57" t="s">
        <v>468</v>
      </c>
      <c r="H268" s="59">
        <v>1</v>
      </c>
      <c r="I268" s="57"/>
      <c r="J268" s="57"/>
      <c r="K268" s="59"/>
      <c r="L268" s="57"/>
      <c r="M268" s="60"/>
      <c r="N268" s="59"/>
      <c r="O268" s="57"/>
      <c r="P268" s="57"/>
      <c r="Q268" s="57"/>
      <c r="R268" s="57"/>
      <c r="S268" s="59"/>
      <c r="T268" s="57"/>
      <c r="U268" s="60"/>
      <c r="V268" s="59"/>
      <c r="W268" s="57"/>
      <c r="X268" s="57"/>
      <c r="Y268" s="57" t="s">
        <v>21</v>
      </c>
      <c r="Z268" s="57" t="s">
        <v>134</v>
      </c>
      <c r="AA268" s="59">
        <v>42311</v>
      </c>
      <c r="AB268" s="57" t="s">
        <v>61</v>
      </c>
      <c r="AC268" s="60">
        <v>45762</v>
      </c>
      <c r="AD268" s="59">
        <v>42311</v>
      </c>
      <c r="AE268" s="57" t="s">
        <v>1949</v>
      </c>
      <c r="AF268" s="57" t="s">
        <v>1950</v>
      </c>
    </row>
    <row r="269" spans="1:32">
      <c r="A269" s="57">
        <v>268</v>
      </c>
      <c r="B269" s="58">
        <v>45891.348599537043</v>
      </c>
      <c r="C269" s="58">
        <v>45891.35355324074</v>
      </c>
      <c r="D269" s="57" t="s">
        <v>1414</v>
      </c>
      <c r="E269" s="57" t="s">
        <v>1415</v>
      </c>
      <c r="F269" s="58"/>
      <c r="G269" s="57" t="s">
        <v>578</v>
      </c>
      <c r="H269" s="59">
        <v>2</v>
      </c>
      <c r="I269" s="57"/>
      <c r="J269" s="57"/>
      <c r="K269" s="59"/>
      <c r="L269" s="57"/>
      <c r="M269" s="60"/>
      <c r="N269" s="59"/>
      <c r="O269" s="57"/>
      <c r="P269" s="57"/>
      <c r="Q269" s="57" t="s">
        <v>21</v>
      </c>
      <c r="R269" s="57" t="s">
        <v>1416</v>
      </c>
      <c r="S269" s="59">
        <v>30012</v>
      </c>
      <c r="T269" s="57" t="s">
        <v>61</v>
      </c>
      <c r="U269" s="60">
        <v>45839</v>
      </c>
      <c r="V269" s="59">
        <v>30012</v>
      </c>
      <c r="W269" s="57" t="s">
        <v>1951</v>
      </c>
      <c r="X269" s="57" t="s">
        <v>1952</v>
      </c>
      <c r="Y269" s="57" t="s">
        <v>21</v>
      </c>
      <c r="Z269" s="57" t="s">
        <v>1953</v>
      </c>
      <c r="AA269" s="59">
        <v>12125</v>
      </c>
      <c r="AB269" s="57" t="s">
        <v>61</v>
      </c>
      <c r="AC269" s="60">
        <v>45720</v>
      </c>
      <c r="AD269" s="59">
        <v>12125</v>
      </c>
      <c r="AE269" s="57" t="s">
        <v>1954</v>
      </c>
      <c r="AF269" s="57" t="s">
        <v>1955</v>
      </c>
    </row>
    <row r="270" spans="1:32">
      <c r="A270" s="57">
        <v>269</v>
      </c>
      <c r="B270" s="58">
        <v>45891.338726851849</v>
      </c>
      <c r="C270" s="58">
        <v>45891.358425925922</v>
      </c>
      <c r="D270" s="57" t="s">
        <v>862</v>
      </c>
      <c r="E270" s="57" t="s">
        <v>863</v>
      </c>
      <c r="F270" s="58"/>
      <c r="G270" s="57" t="s">
        <v>568</v>
      </c>
      <c r="H270" s="59">
        <v>1</v>
      </c>
      <c r="I270" s="57"/>
      <c r="J270" s="57"/>
      <c r="K270" s="59"/>
      <c r="L270" s="57"/>
      <c r="M270" s="60"/>
      <c r="N270" s="59"/>
      <c r="O270" s="57"/>
      <c r="P270" s="57"/>
      <c r="Q270" s="57"/>
      <c r="R270" s="57"/>
      <c r="S270" s="59"/>
      <c r="T270" s="57"/>
      <c r="U270" s="60"/>
      <c r="V270" s="59"/>
      <c r="W270" s="57"/>
      <c r="X270" s="57"/>
      <c r="Y270" s="57" t="s">
        <v>20</v>
      </c>
      <c r="Z270" s="57" t="s">
        <v>1956</v>
      </c>
      <c r="AA270" s="59">
        <v>33518</v>
      </c>
      <c r="AB270" s="57" t="s">
        <v>61</v>
      </c>
      <c r="AC270" s="60">
        <v>45759</v>
      </c>
      <c r="AD270" s="59">
        <v>33518</v>
      </c>
      <c r="AE270" s="57" t="s">
        <v>1957</v>
      </c>
      <c r="AF270" s="57" t="s">
        <v>1958</v>
      </c>
    </row>
    <row r="271" spans="1:32">
      <c r="A271" s="57">
        <v>270</v>
      </c>
      <c r="B271" s="58">
        <v>45891.356585648151</v>
      </c>
      <c r="C271" s="58">
        <v>45891.362708333327</v>
      </c>
      <c r="D271" s="57" t="s">
        <v>1445</v>
      </c>
      <c r="E271" s="57" t="s">
        <v>1446</v>
      </c>
      <c r="F271" s="58"/>
      <c r="G271" s="57" t="s">
        <v>596</v>
      </c>
      <c r="H271" s="59">
        <v>2</v>
      </c>
      <c r="I271" s="57"/>
      <c r="J271" s="57"/>
      <c r="K271" s="59"/>
      <c r="L271" s="57"/>
      <c r="M271" s="60"/>
      <c r="N271" s="59"/>
      <c r="O271" s="57"/>
      <c r="P271" s="57"/>
      <c r="Q271" s="57" t="s">
        <v>22</v>
      </c>
      <c r="R271" s="57" t="s">
        <v>1447</v>
      </c>
      <c r="S271" s="59">
        <v>91486</v>
      </c>
      <c r="T271" s="57" t="s">
        <v>61</v>
      </c>
      <c r="U271" s="60">
        <v>45876</v>
      </c>
      <c r="V271" s="59">
        <v>91486</v>
      </c>
      <c r="W271" s="57" t="s">
        <v>1959</v>
      </c>
      <c r="X271" s="57" t="s">
        <v>1960</v>
      </c>
      <c r="Y271" s="57" t="s">
        <v>21</v>
      </c>
      <c r="Z271" s="57" t="s">
        <v>272</v>
      </c>
      <c r="AA271" s="59">
        <v>13793</v>
      </c>
      <c r="AB271" s="57" t="s">
        <v>61</v>
      </c>
      <c r="AC271" s="60">
        <v>45764</v>
      </c>
      <c r="AD271" s="59">
        <v>13793</v>
      </c>
      <c r="AE271" s="57" t="s">
        <v>1961</v>
      </c>
      <c r="AF271" s="57" t="s">
        <v>1962</v>
      </c>
    </row>
    <row r="272" spans="1:32">
      <c r="A272" s="57">
        <v>271</v>
      </c>
      <c r="B272" s="58">
        <v>45891.359085648153</v>
      </c>
      <c r="C272" s="58">
        <v>45891.373194444437</v>
      </c>
      <c r="D272" s="57" t="s">
        <v>1084</v>
      </c>
      <c r="E272" s="57" t="s">
        <v>1085</v>
      </c>
      <c r="F272" s="58"/>
      <c r="G272" s="57" t="s">
        <v>532</v>
      </c>
      <c r="H272" s="59">
        <v>3</v>
      </c>
      <c r="I272" s="57" t="s">
        <v>22</v>
      </c>
      <c r="J272" s="57" t="s">
        <v>200</v>
      </c>
      <c r="K272" s="59">
        <v>99985</v>
      </c>
      <c r="L272" s="57" t="s">
        <v>61</v>
      </c>
      <c r="M272" s="60">
        <v>45808</v>
      </c>
      <c r="N272" s="59">
        <v>99985</v>
      </c>
      <c r="O272" s="57" t="s">
        <v>1963</v>
      </c>
      <c r="P272" s="57" t="s">
        <v>1964</v>
      </c>
      <c r="Q272" s="57" t="s">
        <v>21</v>
      </c>
      <c r="R272" s="57" t="s">
        <v>379</v>
      </c>
      <c r="S272" s="59">
        <v>2464</v>
      </c>
      <c r="T272" s="57" t="s">
        <v>61</v>
      </c>
      <c r="U272" s="60">
        <v>45838</v>
      </c>
      <c r="V272" s="59">
        <v>2464</v>
      </c>
      <c r="W272" s="57" t="s">
        <v>1965</v>
      </c>
      <c r="X272" s="57" t="s">
        <v>1966</v>
      </c>
      <c r="Y272" s="57" t="s">
        <v>21</v>
      </c>
      <c r="Z272" s="57" t="s">
        <v>1088</v>
      </c>
      <c r="AA272" s="59">
        <v>85825</v>
      </c>
      <c r="AB272" s="57" t="s">
        <v>61</v>
      </c>
      <c r="AC272" s="60">
        <v>45812</v>
      </c>
      <c r="AD272" s="59">
        <v>85825</v>
      </c>
      <c r="AE272" s="57" t="s">
        <v>1967</v>
      </c>
      <c r="AF272" s="57" t="s">
        <v>1968</v>
      </c>
    </row>
    <row r="273" spans="1:32">
      <c r="A273" s="57">
        <v>272</v>
      </c>
      <c r="B273" s="58">
        <v>45891.369062500002</v>
      </c>
      <c r="C273" s="58">
        <v>45891.375462962962</v>
      </c>
      <c r="D273" s="57" t="s">
        <v>909</v>
      </c>
      <c r="E273" s="57" t="s">
        <v>910</v>
      </c>
      <c r="F273" s="58"/>
      <c r="G273" s="57" t="s">
        <v>712</v>
      </c>
      <c r="H273" s="59">
        <v>1</v>
      </c>
      <c r="I273" s="57"/>
      <c r="J273" s="57"/>
      <c r="K273" s="59"/>
      <c r="L273" s="57"/>
      <c r="M273" s="60"/>
      <c r="N273" s="59"/>
      <c r="O273" s="57"/>
      <c r="P273" s="57"/>
      <c r="Q273" s="57"/>
      <c r="R273" s="57"/>
      <c r="S273" s="59"/>
      <c r="T273" s="57"/>
      <c r="U273" s="60"/>
      <c r="V273" s="59"/>
      <c r="W273" s="57"/>
      <c r="X273" s="57"/>
      <c r="Y273" s="57" t="s">
        <v>21</v>
      </c>
      <c r="Z273" s="57" t="s">
        <v>911</v>
      </c>
      <c r="AA273" s="59">
        <v>53739</v>
      </c>
      <c r="AB273" s="57" t="s">
        <v>61</v>
      </c>
      <c r="AC273" s="60">
        <v>45885</v>
      </c>
      <c r="AD273" s="59">
        <v>53739</v>
      </c>
      <c r="AE273" s="57" t="s">
        <v>1969</v>
      </c>
      <c r="AF273" s="57" t="s">
        <v>1970</v>
      </c>
    </row>
    <row r="274" spans="1:32">
      <c r="A274" s="57">
        <v>273</v>
      </c>
      <c r="B274" s="58">
        <v>45891.372997685183</v>
      </c>
      <c r="C274" s="58">
        <v>45891.375821759262</v>
      </c>
      <c r="D274" s="57" t="s">
        <v>1661</v>
      </c>
      <c r="E274" s="57" t="s">
        <v>1662</v>
      </c>
      <c r="F274" s="58"/>
      <c r="G274" s="57" t="s">
        <v>591</v>
      </c>
      <c r="H274" s="59">
        <v>2</v>
      </c>
      <c r="I274" s="57"/>
      <c r="J274" s="57"/>
      <c r="K274" s="59"/>
      <c r="L274" s="57"/>
      <c r="M274" s="60"/>
      <c r="N274" s="59"/>
      <c r="O274" s="57"/>
      <c r="P274" s="57"/>
      <c r="Q274" s="57" t="s">
        <v>20</v>
      </c>
      <c r="R274" s="57" t="s">
        <v>266</v>
      </c>
      <c r="S274" s="59">
        <v>33443</v>
      </c>
      <c r="T274" s="57" t="s">
        <v>61</v>
      </c>
      <c r="U274" s="60">
        <v>45793</v>
      </c>
      <c r="V274" s="59">
        <v>33443</v>
      </c>
      <c r="W274" s="57" t="s">
        <v>1971</v>
      </c>
      <c r="X274" s="57" t="s">
        <v>1972</v>
      </c>
      <c r="Y274" s="57" t="s">
        <v>21</v>
      </c>
      <c r="Z274" s="57" t="s">
        <v>1665</v>
      </c>
      <c r="AA274" s="59">
        <v>49070</v>
      </c>
      <c r="AB274" s="57" t="s">
        <v>61</v>
      </c>
      <c r="AC274" s="60">
        <v>45793</v>
      </c>
      <c r="AD274" s="59">
        <v>49070</v>
      </c>
      <c r="AE274" s="57" t="s">
        <v>1973</v>
      </c>
      <c r="AF274" s="57" t="s">
        <v>1974</v>
      </c>
    </row>
    <row r="275" spans="1:32">
      <c r="A275" s="57">
        <v>274</v>
      </c>
      <c r="B275" s="58">
        <v>45891.373206018521</v>
      </c>
      <c r="C275" s="58">
        <v>45891.379293981481</v>
      </c>
      <c r="D275" s="57" t="s">
        <v>1131</v>
      </c>
      <c r="E275" s="57" t="s">
        <v>1132</v>
      </c>
      <c r="F275" s="58"/>
      <c r="G275" s="57" t="s">
        <v>615</v>
      </c>
      <c r="H275" s="59">
        <v>1</v>
      </c>
      <c r="I275" s="57"/>
      <c r="J275" s="57"/>
      <c r="K275" s="59"/>
      <c r="L275" s="57"/>
      <c r="M275" s="60"/>
      <c r="N275" s="59"/>
      <c r="O275" s="57"/>
      <c r="P275" s="57"/>
      <c r="Q275" s="57"/>
      <c r="R275" s="57"/>
      <c r="S275" s="59"/>
      <c r="T275" s="57"/>
      <c r="U275" s="60"/>
      <c r="V275" s="59"/>
      <c r="W275" s="57"/>
      <c r="X275" s="57"/>
      <c r="Y275" s="57" t="s">
        <v>21</v>
      </c>
      <c r="Z275" s="57" t="s">
        <v>295</v>
      </c>
      <c r="AA275" s="59">
        <v>11509</v>
      </c>
      <c r="AB275" s="57" t="s">
        <v>61</v>
      </c>
      <c r="AC275" s="60">
        <v>45826</v>
      </c>
      <c r="AD275" s="59">
        <v>11509</v>
      </c>
      <c r="AE275" s="57" t="s">
        <v>1975</v>
      </c>
      <c r="AF275" s="57" t="s">
        <v>1976</v>
      </c>
    </row>
    <row r="276" spans="1:32">
      <c r="A276" s="57">
        <v>275</v>
      </c>
      <c r="B276" s="58">
        <v>45891.38385416667</v>
      </c>
      <c r="C276" s="58">
        <v>45891.384131944447</v>
      </c>
      <c r="D276" s="57" t="s">
        <v>1226</v>
      </c>
      <c r="E276" s="57" t="s">
        <v>1227</v>
      </c>
      <c r="F276" s="58"/>
      <c r="G276" s="57" t="s">
        <v>526</v>
      </c>
      <c r="H276" s="59">
        <v>2</v>
      </c>
      <c r="I276" s="57"/>
      <c r="J276" s="57"/>
      <c r="K276" s="59"/>
      <c r="L276" s="57"/>
      <c r="M276" s="60"/>
      <c r="N276" s="59"/>
      <c r="O276" s="57"/>
      <c r="P276" s="57"/>
      <c r="Q276" s="57" t="s">
        <v>22</v>
      </c>
      <c r="R276" s="57" t="s">
        <v>193</v>
      </c>
      <c r="S276" s="59">
        <v>32083</v>
      </c>
      <c r="T276" s="57" t="s">
        <v>61</v>
      </c>
      <c r="U276" s="60">
        <v>45798</v>
      </c>
      <c r="V276" s="59">
        <v>32083</v>
      </c>
      <c r="W276" s="57" t="s">
        <v>1977</v>
      </c>
      <c r="X276" s="57" t="s">
        <v>1978</v>
      </c>
      <c r="Y276" s="57" t="s">
        <v>21</v>
      </c>
      <c r="Z276" s="57" t="s">
        <v>372</v>
      </c>
      <c r="AA276" s="59">
        <v>1547</v>
      </c>
      <c r="AB276" s="57" t="s">
        <v>61</v>
      </c>
      <c r="AC276" s="60">
        <v>45796</v>
      </c>
      <c r="AD276" s="59">
        <v>1547</v>
      </c>
      <c r="AE276" s="57" t="s">
        <v>1979</v>
      </c>
      <c r="AF276" s="57" t="s">
        <v>1980</v>
      </c>
    </row>
    <row r="277" spans="1:32">
      <c r="A277" s="57">
        <v>276</v>
      </c>
      <c r="B277" s="58">
        <v>45891.385763888888</v>
      </c>
      <c r="C277" s="58">
        <v>45891.386087962957</v>
      </c>
      <c r="D277" s="57" t="s">
        <v>730</v>
      </c>
      <c r="E277" s="57" t="s">
        <v>731</v>
      </c>
      <c r="F277" s="58"/>
      <c r="G277" s="57" t="s">
        <v>604</v>
      </c>
      <c r="H277" s="59">
        <v>1</v>
      </c>
      <c r="I277" s="57"/>
      <c r="J277" s="57"/>
      <c r="K277" s="59"/>
      <c r="L277" s="57"/>
      <c r="M277" s="60"/>
      <c r="N277" s="59"/>
      <c r="O277" s="57"/>
      <c r="P277" s="57"/>
      <c r="Q277" s="57"/>
      <c r="R277" s="57"/>
      <c r="S277" s="59"/>
      <c r="T277" s="57"/>
      <c r="U277" s="60"/>
      <c r="V277" s="59"/>
      <c r="W277" s="57"/>
      <c r="X277" s="57"/>
      <c r="Y277" s="57" t="s">
        <v>20</v>
      </c>
      <c r="Z277" s="57" t="s">
        <v>282</v>
      </c>
      <c r="AA277" s="59">
        <v>31730</v>
      </c>
      <c r="AB277" s="57" t="s">
        <v>61</v>
      </c>
      <c r="AC277" s="60">
        <v>45821</v>
      </c>
      <c r="AD277" s="59">
        <v>31730</v>
      </c>
      <c r="AE277" s="57" t="s">
        <v>1981</v>
      </c>
      <c r="AF277" s="57" t="s">
        <v>1982</v>
      </c>
    </row>
    <row r="278" spans="1:32">
      <c r="A278" s="57">
        <v>277</v>
      </c>
      <c r="B278" s="58">
        <v>45891.395798611113</v>
      </c>
      <c r="C278" s="58">
        <v>45891.397858796299</v>
      </c>
      <c r="D278" s="57" t="s">
        <v>1127</v>
      </c>
      <c r="E278" s="57" t="s">
        <v>1128</v>
      </c>
      <c r="F278" s="58"/>
      <c r="G278" s="57" t="s">
        <v>455</v>
      </c>
      <c r="H278" s="59">
        <v>1</v>
      </c>
      <c r="I278" s="57"/>
      <c r="J278" s="57"/>
      <c r="K278" s="59"/>
      <c r="L278" s="57"/>
      <c r="M278" s="60"/>
      <c r="N278" s="59"/>
      <c r="O278" s="57"/>
      <c r="P278" s="57"/>
      <c r="Q278" s="57"/>
      <c r="R278" s="57"/>
      <c r="S278" s="59"/>
      <c r="T278" s="57"/>
      <c r="U278" s="60"/>
      <c r="V278" s="59"/>
      <c r="W278" s="57"/>
      <c r="X278" s="57"/>
      <c r="Y278" s="57" t="s">
        <v>21</v>
      </c>
      <c r="Z278" s="57" t="s">
        <v>121</v>
      </c>
      <c r="AA278" s="59">
        <v>31810</v>
      </c>
      <c r="AB278" s="57" t="s">
        <v>61</v>
      </c>
      <c r="AC278" s="60">
        <v>45736</v>
      </c>
      <c r="AD278" s="59">
        <v>31810</v>
      </c>
      <c r="AE278" s="57" t="s">
        <v>1983</v>
      </c>
      <c r="AF278" s="57" t="s">
        <v>1984</v>
      </c>
    </row>
    <row r="279" spans="1:32">
      <c r="A279" s="57">
        <v>278</v>
      </c>
      <c r="B279" s="58">
        <v>45890.678564814807</v>
      </c>
      <c r="C279" s="58">
        <v>45891.402071759258</v>
      </c>
      <c r="D279" s="57" t="s">
        <v>1181</v>
      </c>
      <c r="E279" s="57" t="s">
        <v>1182</v>
      </c>
      <c r="F279" s="58"/>
      <c r="G279" s="57" t="s">
        <v>601</v>
      </c>
      <c r="H279" s="59">
        <v>2</v>
      </c>
      <c r="I279" s="57"/>
      <c r="J279" s="57"/>
      <c r="K279" s="59"/>
      <c r="L279" s="57"/>
      <c r="M279" s="60"/>
      <c r="N279" s="59"/>
      <c r="O279" s="57"/>
      <c r="P279" s="57"/>
      <c r="Q279" s="57" t="s">
        <v>22</v>
      </c>
      <c r="R279" s="57" t="s">
        <v>278</v>
      </c>
      <c r="S279" s="59">
        <v>14603</v>
      </c>
      <c r="T279" s="57" t="s">
        <v>61</v>
      </c>
      <c r="U279" s="60">
        <v>45862</v>
      </c>
      <c r="V279" s="59">
        <v>14603</v>
      </c>
      <c r="W279" s="57" t="s">
        <v>1985</v>
      </c>
      <c r="X279" s="57" t="s">
        <v>1986</v>
      </c>
      <c r="Y279" s="57" t="s">
        <v>21</v>
      </c>
      <c r="Z279" s="57" t="s">
        <v>1987</v>
      </c>
      <c r="AA279" s="59">
        <v>2268</v>
      </c>
      <c r="AB279" s="57" t="s">
        <v>61</v>
      </c>
      <c r="AC279" s="60">
        <v>45842</v>
      </c>
      <c r="AD279" s="59">
        <v>2268</v>
      </c>
      <c r="AE279" s="57" t="s">
        <v>1988</v>
      </c>
      <c r="AF279" s="57" t="s">
        <v>1989</v>
      </c>
    </row>
    <row r="280" spans="1:32">
      <c r="A280" s="57">
        <v>279</v>
      </c>
      <c r="B280" s="58">
        <v>45891.393993055557</v>
      </c>
      <c r="C280" s="58">
        <v>45891.404791666668</v>
      </c>
      <c r="D280" s="57" t="s">
        <v>1018</v>
      </c>
      <c r="E280" s="57" t="s">
        <v>1019</v>
      </c>
      <c r="F280" s="58"/>
      <c r="G280" s="57" t="s">
        <v>472</v>
      </c>
      <c r="H280" s="59">
        <v>1</v>
      </c>
      <c r="I280" s="57"/>
      <c r="J280" s="57"/>
      <c r="K280" s="59"/>
      <c r="L280" s="57"/>
      <c r="M280" s="60"/>
      <c r="N280" s="59"/>
      <c r="O280" s="57"/>
      <c r="P280" s="57"/>
      <c r="Q280" s="57"/>
      <c r="R280" s="57"/>
      <c r="S280" s="59"/>
      <c r="T280" s="57"/>
      <c r="U280" s="60"/>
      <c r="V280" s="59"/>
      <c r="W280" s="57"/>
      <c r="X280" s="57"/>
      <c r="Y280" s="57" t="s">
        <v>20</v>
      </c>
      <c r="Z280" s="57" t="s">
        <v>138</v>
      </c>
      <c r="AA280" s="59">
        <v>42783</v>
      </c>
      <c r="AB280" s="57" t="s">
        <v>61</v>
      </c>
      <c r="AC280" s="60">
        <v>45819</v>
      </c>
      <c r="AD280" s="59">
        <v>42783</v>
      </c>
      <c r="AE280" s="57" t="s">
        <v>1990</v>
      </c>
      <c r="AF280" s="57" t="s">
        <v>1991</v>
      </c>
    </row>
    <row r="281" spans="1:32">
      <c r="A281" s="57">
        <v>280</v>
      </c>
      <c r="B281" s="58">
        <v>45891.382650462961</v>
      </c>
      <c r="C281" s="58">
        <v>45891.414236111108</v>
      </c>
      <c r="D281" s="57" t="s">
        <v>970</v>
      </c>
      <c r="E281" s="57" t="s">
        <v>971</v>
      </c>
      <c r="F281" s="58"/>
      <c r="G281" s="57" t="s">
        <v>548</v>
      </c>
      <c r="H281" s="59">
        <v>1</v>
      </c>
      <c r="I281" s="57"/>
      <c r="J281" s="57"/>
      <c r="K281" s="59"/>
      <c r="L281" s="57"/>
      <c r="M281" s="60"/>
      <c r="N281" s="59"/>
      <c r="O281" s="57"/>
      <c r="P281" s="57"/>
      <c r="Q281" s="57"/>
      <c r="R281" s="57"/>
      <c r="S281" s="59"/>
      <c r="T281" s="57"/>
      <c r="U281" s="60"/>
      <c r="V281" s="59"/>
      <c r="W281" s="57"/>
      <c r="X281" s="57"/>
      <c r="Y281" s="57" t="s">
        <v>20</v>
      </c>
      <c r="Z281" s="57" t="s">
        <v>233</v>
      </c>
      <c r="AA281" s="59">
        <v>6159</v>
      </c>
      <c r="AB281" s="57" t="s">
        <v>61</v>
      </c>
      <c r="AC281" s="60">
        <v>45880</v>
      </c>
      <c r="AD281" s="59">
        <v>6159</v>
      </c>
      <c r="AE281" s="57" t="s">
        <v>1992</v>
      </c>
      <c r="AF281" s="57" t="s">
        <v>1993</v>
      </c>
    </row>
    <row r="282" spans="1:32">
      <c r="A282" s="57">
        <v>281</v>
      </c>
      <c r="B282" s="58">
        <v>45891.425497685188</v>
      </c>
      <c r="C282" s="58">
        <v>45891.427129629628</v>
      </c>
      <c r="D282" s="57" t="s">
        <v>990</v>
      </c>
      <c r="E282" s="57" t="s">
        <v>991</v>
      </c>
      <c r="F282" s="58"/>
      <c r="G282" s="57" t="s">
        <v>607</v>
      </c>
      <c r="H282" s="59">
        <v>1</v>
      </c>
      <c r="I282" s="57"/>
      <c r="J282" s="57"/>
      <c r="K282" s="59"/>
      <c r="L282" s="57"/>
      <c r="M282" s="60"/>
      <c r="N282" s="59"/>
      <c r="O282" s="57"/>
      <c r="P282" s="57"/>
      <c r="Q282" s="57"/>
      <c r="R282" s="57"/>
      <c r="S282" s="59"/>
      <c r="T282" s="57"/>
      <c r="U282" s="60"/>
      <c r="V282" s="59"/>
      <c r="W282" s="57"/>
      <c r="X282" s="57"/>
      <c r="Y282" s="57" t="s">
        <v>21</v>
      </c>
      <c r="Z282" s="57" t="s">
        <v>285</v>
      </c>
      <c r="AA282" s="59">
        <v>20091</v>
      </c>
      <c r="AB282" s="57" t="s">
        <v>61</v>
      </c>
      <c r="AC282" s="60">
        <v>45890</v>
      </c>
      <c r="AD282" s="59">
        <v>20091</v>
      </c>
      <c r="AE282" s="57" t="s">
        <v>1994</v>
      </c>
      <c r="AF282" s="57" t="s">
        <v>1995</v>
      </c>
    </row>
    <row r="283" spans="1:32">
      <c r="A283" s="57">
        <v>282</v>
      </c>
      <c r="B283" s="58">
        <v>45891.423842592587</v>
      </c>
      <c r="C283" s="58">
        <v>45891.428425925929</v>
      </c>
      <c r="D283" s="57" t="s">
        <v>1078</v>
      </c>
      <c r="E283" s="57" t="s">
        <v>1079</v>
      </c>
      <c r="F283" s="58"/>
      <c r="G283" s="57" t="s">
        <v>456</v>
      </c>
      <c r="H283" s="59">
        <v>2</v>
      </c>
      <c r="I283" s="57"/>
      <c r="J283" s="57"/>
      <c r="K283" s="59"/>
      <c r="L283" s="57"/>
      <c r="M283" s="60"/>
      <c r="N283" s="59"/>
      <c r="O283" s="57"/>
      <c r="P283" s="57"/>
      <c r="Q283" s="57" t="s">
        <v>22</v>
      </c>
      <c r="R283" s="57" t="s">
        <v>132</v>
      </c>
      <c r="S283" s="59">
        <v>42914</v>
      </c>
      <c r="T283" s="57" t="s">
        <v>61</v>
      </c>
      <c r="U283" s="60">
        <v>45889</v>
      </c>
      <c r="V283" s="59">
        <v>42914</v>
      </c>
      <c r="W283" s="57" t="s">
        <v>1996</v>
      </c>
      <c r="X283" s="57" t="s">
        <v>1997</v>
      </c>
      <c r="Y283" s="57" t="s">
        <v>20</v>
      </c>
      <c r="Z283" s="57" t="s">
        <v>122</v>
      </c>
      <c r="AA283" s="59">
        <v>48501</v>
      </c>
      <c r="AB283" s="57" t="s">
        <v>61</v>
      </c>
      <c r="AC283" s="60">
        <v>45889</v>
      </c>
      <c r="AD283" s="59">
        <v>48501</v>
      </c>
      <c r="AE283" s="57" t="s">
        <v>1998</v>
      </c>
      <c r="AF283" s="57" t="s">
        <v>1999</v>
      </c>
    </row>
    <row r="284" spans="1:32">
      <c r="A284" s="57">
        <v>283</v>
      </c>
      <c r="B284" s="58">
        <v>45891.424780092602</v>
      </c>
      <c r="C284" s="58">
        <v>45891.429895833331</v>
      </c>
      <c r="D284" s="57" t="s">
        <v>857</v>
      </c>
      <c r="E284" s="57" t="s">
        <v>858</v>
      </c>
      <c r="F284" s="58"/>
      <c r="G284" s="57" t="s">
        <v>702</v>
      </c>
      <c r="H284" s="59">
        <v>1</v>
      </c>
      <c r="I284" s="57"/>
      <c r="J284" s="57"/>
      <c r="K284" s="59"/>
      <c r="L284" s="57"/>
      <c r="M284" s="60"/>
      <c r="N284" s="59"/>
      <c r="O284" s="57"/>
      <c r="P284" s="57"/>
      <c r="Q284" s="57"/>
      <c r="R284" s="57"/>
      <c r="S284" s="59"/>
      <c r="T284" s="57"/>
      <c r="U284" s="60"/>
      <c r="V284" s="59"/>
      <c r="W284" s="57"/>
      <c r="X284" s="57"/>
      <c r="Y284" s="57" t="s">
        <v>21</v>
      </c>
      <c r="Z284" s="57" t="s">
        <v>859</v>
      </c>
      <c r="AA284" s="59">
        <v>32118</v>
      </c>
      <c r="AB284" s="57" t="s">
        <v>61</v>
      </c>
      <c r="AC284" s="60">
        <v>45888</v>
      </c>
      <c r="AD284" s="59">
        <v>32118</v>
      </c>
      <c r="AE284" s="57" t="s">
        <v>2000</v>
      </c>
      <c r="AF284" s="57" t="s">
        <v>2001</v>
      </c>
    </row>
    <row r="285" spans="1:32">
      <c r="A285" s="57">
        <v>284</v>
      </c>
      <c r="B285" s="58">
        <v>45891.353958333333</v>
      </c>
      <c r="C285" s="58">
        <v>45891.441354166673</v>
      </c>
      <c r="D285" s="57" t="s">
        <v>2002</v>
      </c>
      <c r="E285" s="57" t="s">
        <v>2003</v>
      </c>
      <c r="F285" s="58"/>
      <c r="G285" s="57" t="s">
        <v>454</v>
      </c>
      <c r="H285" s="59">
        <v>1</v>
      </c>
      <c r="I285" s="57"/>
      <c r="J285" s="57"/>
      <c r="K285" s="59"/>
      <c r="L285" s="57"/>
      <c r="M285" s="60"/>
      <c r="N285" s="59"/>
      <c r="O285" s="57"/>
      <c r="P285" s="57"/>
      <c r="Q285" s="57"/>
      <c r="R285" s="57"/>
      <c r="S285" s="59"/>
      <c r="T285" s="57"/>
      <c r="U285" s="60"/>
      <c r="V285" s="59"/>
      <c r="W285" s="57"/>
      <c r="X285" s="57"/>
      <c r="Y285" s="57" t="s">
        <v>21</v>
      </c>
      <c r="Z285" s="57" t="s">
        <v>120</v>
      </c>
      <c r="AA285" s="59">
        <v>100657</v>
      </c>
      <c r="AB285" s="57" t="s">
        <v>61</v>
      </c>
      <c r="AC285" s="60">
        <v>45820</v>
      </c>
      <c r="AD285" s="59">
        <v>100657</v>
      </c>
      <c r="AE285" s="57" t="s">
        <v>2004</v>
      </c>
      <c r="AF285" s="57" t="s">
        <v>2005</v>
      </c>
    </row>
    <row r="286" spans="1:32">
      <c r="A286" s="57">
        <v>285</v>
      </c>
      <c r="B286" s="58">
        <v>45891.395995370367</v>
      </c>
      <c r="C286" s="58">
        <v>45891.442685185182</v>
      </c>
      <c r="D286" s="57" t="s">
        <v>2006</v>
      </c>
      <c r="E286" s="57" t="s">
        <v>2007</v>
      </c>
      <c r="F286" s="58"/>
      <c r="G286" s="57" t="s">
        <v>545</v>
      </c>
      <c r="H286" s="59">
        <v>2</v>
      </c>
      <c r="I286" s="57"/>
      <c r="J286" s="57"/>
      <c r="K286" s="59"/>
      <c r="L286" s="57"/>
      <c r="M286" s="60"/>
      <c r="N286" s="59"/>
      <c r="O286" s="57"/>
      <c r="P286" s="57"/>
      <c r="Q286" s="57" t="s">
        <v>20</v>
      </c>
      <c r="R286" s="57" t="s">
        <v>2008</v>
      </c>
      <c r="S286" s="59">
        <v>39192</v>
      </c>
      <c r="T286" s="57" t="s">
        <v>61</v>
      </c>
      <c r="U286" s="60">
        <v>45891</v>
      </c>
      <c r="V286" s="59">
        <v>39192</v>
      </c>
      <c r="W286" s="57" t="s">
        <v>2009</v>
      </c>
      <c r="X286" s="57" t="s">
        <v>2010</v>
      </c>
      <c r="Y286" s="57" t="s">
        <v>21</v>
      </c>
      <c r="Z286" s="57" t="s">
        <v>214</v>
      </c>
      <c r="AA286" s="59">
        <v>39629</v>
      </c>
      <c r="AB286" s="57" t="s">
        <v>61</v>
      </c>
      <c r="AC286" s="60">
        <v>45814</v>
      </c>
      <c r="AD286" s="59">
        <v>39629</v>
      </c>
      <c r="AE286" s="57" t="s">
        <v>2011</v>
      </c>
      <c r="AF286" s="57" t="s">
        <v>2012</v>
      </c>
    </row>
    <row r="287" spans="1:32">
      <c r="A287" s="57">
        <v>286</v>
      </c>
      <c r="B287" s="58">
        <v>45891.435902777783</v>
      </c>
      <c r="C287" s="58">
        <v>45891.445694444446</v>
      </c>
      <c r="D287" s="57" t="s">
        <v>889</v>
      </c>
      <c r="E287" s="57" t="s">
        <v>890</v>
      </c>
      <c r="F287" s="58"/>
      <c r="G287" s="57" t="s">
        <v>510</v>
      </c>
      <c r="H287" s="59">
        <v>1</v>
      </c>
      <c r="I287" s="57"/>
      <c r="J287" s="57"/>
      <c r="K287" s="59"/>
      <c r="L287" s="57"/>
      <c r="M287" s="60"/>
      <c r="N287" s="59"/>
      <c r="O287" s="57"/>
      <c r="P287" s="57"/>
      <c r="Q287" s="57"/>
      <c r="R287" s="57"/>
      <c r="S287" s="59"/>
      <c r="T287" s="57"/>
      <c r="U287" s="60"/>
      <c r="V287" s="59"/>
      <c r="W287" s="57"/>
      <c r="X287" s="57"/>
      <c r="Y287" s="57" t="s">
        <v>20</v>
      </c>
      <c r="Z287" s="57" t="s">
        <v>2013</v>
      </c>
      <c r="AA287" s="59">
        <v>50523</v>
      </c>
      <c r="AB287" s="57" t="s">
        <v>61</v>
      </c>
      <c r="AC287" s="60">
        <v>45726</v>
      </c>
      <c r="AD287" s="59">
        <v>50523</v>
      </c>
      <c r="AE287" s="57" t="s">
        <v>2014</v>
      </c>
      <c r="AF287" s="57" t="s">
        <v>2015</v>
      </c>
    </row>
    <row r="288" spans="1:32">
      <c r="A288" s="57">
        <v>287</v>
      </c>
      <c r="B288" s="58">
        <v>45891.444537037038</v>
      </c>
      <c r="C288" s="58">
        <v>45891.468946759262</v>
      </c>
      <c r="D288" s="57" t="s">
        <v>2016</v>
      </c>
      <c r="E288" s="57" t="s">
        <v>2017</v>
      </c>
      <c r="F288" s="58"/>
      <c r="G288" s="57" t="s">
        <v>645</v>
      </c>
      <c r="H288" s="59">
        <v>1</v>
      </c>
      <c r="I288" s="57"/>
      <c r="J288" s="57"/>
      <c r="K288" s="59"/>
      <c r="L288" s="57"/>
      <c r="M288" s="60"/>
      <c r="N288" s="59"/>
      <c r="O288" s="57"/>
      <c r="P288" s="57"/>
      <c r="Q288" s="57"/>
      <c r="R288" s="57"/>
      <c r="S288" s="59"/>
      <c r="T288" s="57"/>
      <c r="U288" s="60"/>
      <c r="V288" s="59"/>
      <c r="W288" s="57"/>
      <c r="X288" s="57"/>
      <c r="Y288" s="57" t="s">
        <v>21</v>
      </c>
      <c r="Z288" s="57" t="s">
        <v>340</v>
      </c>
      <c r="AA288" s="59">
        <v>8332</v>
      </c>
      <c r="AB288" s="57" t="s">
        <v>61</v>
      </c>
      <c r="AC288" s="60">
        <v>45723</v>
      </c>
      <c r="AD288" s="59">
        <v>8332</v>
      </c>
      <c r="AE288" s="57" t="s">
        <v>2018</v>
      </c>
      <c r="AF288" s="57" t="s">
        <v>2019</v>
      </c>
    </row>
    <row r="289" spans="1:32">
      <c r="A289" s="57">
        <v>288</v>
      </c>
      <c r="B289" s="58">
        <v>45891.347581018519</v>
      </c>
      <c r="C289" s="58">
        <v>45891.505729166667</v>
      </c>
      <c r="D289" s="57" t="s">
        <v>799</v>
      </c>
      <c r="E289" s="57" t="s">
        <v>800</v>
      </c>
      <c r="F289" s="58"/>
      <c r="G289" s="57" t="s">
        <v>618</v>
      </c>
      <c r="H289" s="59">
        <v>2</v>
      </c>
      <c r="I289" s="57"/>
      <c r="J289" s="57"/>
      <c r="K289" s="59"/>
      <c r="L289" s="57"/>
      <c r="M289" s="60"/>
      <c r="N289" s="59"/>
      <c r="O289" s="57"/>
      <c r="P289" s="57"/>
      <c r="Q289" s="57" t="s">
        <v>22</v>
      </c>
      <c r="R289" s="57" t="s">
        <v>299</v>
      </c>
      <c r="S289" s="59">
        <v>18360</v>
      </c>
      <c r="T289" s="57" t="s">
        <v>61</v>
      </c>
      <c r="U289" s="60">
        <v>45852</v>
      </c>
      <c r="V289" s="59">
        <v>18360</v>
      </c>
      <c r="W289" s="57" t="s">
        <v>2020</v>
      </c>
      <c r="X289" s="57" t="s">
        <v>2021</v>
      </c>
      <c r="Y289" s="57" t="s">
        <v>21</v>
      </c>
      <c r="Z289" s="57" t="s">
        <v>370</v>
      </c>
      <c r="AA289" s="59">
        <v>5616</v>
      </c>
      <c r="AB289" s="57" t="s">
        <v>61</v>
      </c>
      <c r="AC289" s="60">
        <v>45792</v>
      </c>
      <c r="AD289" s="59">
        <v>5616</v>
      </c>
      <c r="AE289" s="57" t="s">
        <v>2022</v>
      </c>
      <c r="AF289" s="57" t="s">
        <v>2023</v>
      </c>
    </row>
    <row r="290" spans="1:32">
      <c r="A290" s="57">
        <v>289</v>
      </c>
      <c r="B290" s="58">
        <v>45891.522349537037</v>
      </c>
      <c r="C290" s="58">
        <v>45891.523715277777</v>
      </c>
      <c r="D290" s="57" t="s">
        <v>782</v>
      </c>
      <c r="E290" s="57" t="s">
        <v>783</v>
      </c>
      <c r="F290" s="58"/>
      <c r="G290" s="57" t="s">
        <v>685</v>
      </c>
      <c r="H290" s="59">
        <v>1</v>
      </c>
      <c r="I290" s="57"/>
      <c r="J290" s="57"/>
      <c r="K290" s="59"/>
      <c r="L290" s="57"/>
      <c r="M290" s="60"/>
      <c r="N290" s="59"/>
      <c r="O290" s="57"/>
      <c r="P290" s="57"/>
      <c r="Q290" s="57"/>
      <c r="R290" s="57"/>
      <c r="S290" s="59"/>
      <c r="T290" s="57"/>
      <c r="U290" s="60"/>
      <c r="V290" s="59"/>
      <c r="W290" s="57"/>
      <c r="X290" s="57"/>
      <c r="Y290" s="57" t="s">
        <v>20</v>
      </c>
      <c r="Z290" s="57" t="s">
        <v>784</v>
      </c>
      <c r="AA290" s="59">
        <v>39446</v>
      </c>
      <c r="AB290" s="57" t="s">
        <v>61</v>
      </c>
      <c r="AC290" s="60">
        <v>45819</v>
      </c>
      <c r="AD290" s="59">
        <v>39446</v>
      </c>
      <c r="AE290" s="57" t="s">
        <v>2024</v>
      </c>
      <c r="AF290" s="57" t="s">
        <v>2025</v>
      </c>
    </row>
    <row r="291" spans="1:32">
      <c r="A291" s="57">
        <v>290</v>
      </c>
      <c r="B291" s="58">
        <v>45891.574212962973</v>
      </c>
      <c r="C291" s="58">
        <v>45891.574884259258</v>
      </c>
      <c r="D291" s="57" t="s">
        <v>2026</v>
      </c>
      <c r="E291" s="57" t="s">
        <v>2027</v>
      </c>
      <c r="F291" s="58"/>
      <c r="G291" s="57" t="s">
        <v>579</v>
      </c>
      <c r="H291" s="59">
        <v>2</v>
      </c>
      <c r="I291" s="57"/>
      <c r="J291" s="57"/>
      <c r="K291" s="59"/>
      <c r="L291" s="57"/>
      <c r="M291" s="60"/>
      <c r="N291" s="59"/>
      <c r="O291" s="57"/>
      <c r="P291" s="57"/>
      <c r="Q291" s="57" t="s">
        <v>22</v>
      </c>
      <c r="R291" s="57" t="s">
        <v>251</v>
      </c>
      <c r="S291" s="59">
        <v>41363</v>
      </c>
      <c r="T291" s="57" t="s">
        <v>61</v>
      </c>
      <c r="U291" s="60">
        <v>45790</v>
      </c>
      <c r="V291" s="59">
        <v>41363</v>
      </c>
      <c r="W291" s="57" t="s">
        <v>2028</v>
      </c>
      <c r="X291" s="57" t="s">
        <v>2029</v>
      </c>
      <c r="Y291" s="57" t="s">
        <v>21</v>
      </c>
      <c r="Z291" s="57" t="s">
        <v>1239</v>
      </c>
      <c r="AA291" s="59">
        <v>52215</v>
      </c>
      <c r="AB291" s="57" t="s">
        <v>61</v>
      </c>
      <c r="AC291" s="60">
        <v>45794</v>
      </c>
      <c r="AD291" s="59">
        <v>52215</v>
      </c>
      <c r="AE291" s="57" t="s">
        <v>2030</v>
      </c>
      <c r="AF291" s="57" t="s">
        <v>2031</v>
      </c>
    </row>
    <row r="292" spans="1:32">
      <c r="A292" s="57">
        <v>291</v>
      </c>
      <c r="B292" s="58">
        <v>45891.396724537037</v>
      </c>
      <c r="C292" s="58">
        <v>45891.599687499998</v>
      </c>
      <c r="D292" s="57" t="s">
        <v>792</v>
      </c>
      <c r="E292" s="57" t="s">
        <v>793</v>
      </c>
      <c r="F292" s="58"/>
      <c r="G292" s="57" t="s">
        <v>555</v>
      </c>
      <c r="H292" s="59">
        <v>2</v>
      </c>
      <c r="I292" s="57"/>
      <c r="J292" s="57"/>
      <c r="K292" s="59"/>
      <c r="L292" s="57"/>
      <c r="M292" s="60"/>
      <c r="N292" s="59"/>
      <c r="O292" s="57"/>
      <c r="P292" s="57"/>
      <c r="Q292" s="57" t="s">
        <v>22</v>
      </c>
      <c r="R292" s="57" t="s">
        <v>224</v>
      </c>
      <c r="S292" s="59">
        <v>38168</v>
      </c>
      <c r="T292" s="57" t="s">
        <v>61</v>
      </c>
      <c r="U292" s="60">
        <v>45825</v>
      </c>
      <c r="V292" s="59">
        <v>38168</v>
      </c>
      <c r="W292" s="57" t="s">
        <v>2032</v>
      </c>
      <c r="X292" s="57" t="s">
        <v>2033</v>
      </c>
      <c r="Y292" s="57" t="s">
        <v>21</v>
      </c>
      <c r="Z292" s="57" t="s">
        <v>796</v>
      </c>
      <c r="AA292" s="59">
        <v>17568</v>
      </c>
      <c r="AB292" s="57" t="s">
        <v>61</v>
      </c>
      <c r="AC292" s="60">
        <v>45825</v>
      </c>
      <c r="AD292" s="59">
        <v>17568</v>
      </c>
      <c r="AE292" s="57" t="s">
        <v>2034</v>
      </c>
      <c r="AF292" s="57" t="s">
        <v>2035</v>
      </c>
    </row>
    <row r="293" spans="1:32">
      <c r="A293" s="57">
        <v>292</v>
      </c>
      <c r="B293" s="58">
        <v>45891.600787037038</v>
      </c>
      <c r="C293" s="58">
        <v>45891.613206018519</v>
      </c>
      <c r="D293" s="57" t="s">
        <v>2036</v>
      </c>
      <c r="E293" s="57" t="s">
        <v>2037</v>
      </c>
      <c r="F293" s="58"/>
      <c r="G293" s="57" t="s">
        <v>534</v>
      </c>
      <c r="H293" s="59">
        <v>1</v>
      </c>
      <c r="I293" s="57"/>
      <c r="J293" s="57"/>
      <c r="K293" s="59"/>
      <c r="L293" s="57"/>
      <c r="M293" s="60"/>
      <c r="N293" s="59"/>
      <c r="O293" s="57"/>
      <c r="P293" s="57"/>
      <c r="Q293" s="57"/>
      <c r="R293" s="57"/>
      <c r="S293" s="59"/>
      <c r="T293" s="57"/>
      <c r="U293" s="60"/>
      <c r="V293" s="59"/>
      <c r="W293" s="57"/>
      <c r="X293" s="57"/>
      <c r="Y293" s="57" t="s">
        <v>20</v>
      </c>
      <c r="Z293" s="57" t="s">
        <v>202</v>
      </c>
      <c r="AA293" s="59">
        <v>31257</v>
      </c>
      <c r="AB293" s="57" t="s">
        <v>61</v>
      </c>
      <c r="AC293" s="60">
        <v>45882</v>
      </c>
      <c r="AD293" s="59">
        <v>31257</v>
      </c>
      <c r="AE293" s="57" t="s">
        <v>2038</v>
      </c>
      <c r="AF293" s="57" t="s">
        <v>2039</v>
      </c>
    </row>
    <row r="294" spans="1:32">
      <c r="A294" s="57">
        <v>293</v>
      </c>
      <c r="B294" s="58">
        <v>45891.598298611112</v>
      </c>
      <c r="C294" s="58">
        <v>45891.613564814812</v>
      </c>
      <c r="D294" s="57" t="s">
        <v>2040</v>
      </c>
      <c r="E294" s="57" t="s">
        <v>2041</v>
      </c>
      <c r="F294" s="58"/>
      <c r="G294" s="57" t="s">
        <v>573</v>
      </c>
      <c r="H294" s="59">
        <v>2</v>
      </c>
      <c r="I294" s="57"/>
      <c r="J294" s="57"/>
      <c r="K294" s="59"/>
      <c r="L294" s="57"/>
      <c r="M294" s="60"/>
      <c r="N294" s="59"/>
      <c r="O294" s="57"/>
      <c r="P294" s="57"/>
      <c r="Q294" s="57" t="s">
        <v>22</v>
      </c>
      <c r="R294" s="57" t="s">
        <v>245</v>
      </c>
      <c r="S294" s="59">
        <v>26434</v>
      </c>
      <c r="T294" s="57" t="s">
        <v>61</v>
      </c>
      <c r="U294" s="60">
        <v>45756</v>
      </c>
      <c r="V294" s="59">
        <v>26434</v>
      </c>
      <c r="W294" s="57" t="s">
        <v>2042</v>
      </c>
      <c r="X294" s="57" t="s">
        <v>2043</v>
      </c>
      <c r="Y294" s="57" t="s">
        <v>21</v>
      </c>
      <c r="Z294" s="57" t="s">
        <v>2044</v>
      </c>
      <c r="AA294" s="59">
        <v>52163</v>
      </c>
      <c r="AB294" s="57" t="s">
        <v>61</v>
      </c>
      <c r="AC294" s="60">
        <v>45741</v>
      </c>
      <c r="AD294" s="59">
        <v>52163</v>
      </c>
      <c r="AE294" s="57" t="s">
        <v>2045</v>
      </c>
      <c r="AF294" s="57" t="s">
        <v>2046</v>
      </c>
    </row>
    <row r="295" spans="1:32">
      <c r="A295" s="57">
        <v>294</v>
      </c>
      <c r="B295" s="58">
        <v>45891.613946759258</v>
      </c>
      <c r="C295" s="58">
        <v>45891.614722222221</v>
      </c>
      <c r="D295" s="57" t="s">
        <v>1155</v>
      </c>
      <c r="E295" s="57" t="s">
        <v>1156</v>
      </c>
      <c r="F295" s="58"/>
      <c r="G295" s="57" t="s">
        <v>521</v>
      </c>
      <c r="H295" s="59">
        <v>1</v>
      </c>
      <c r="I295" s="57"/>
      <c r="J295" s="57"/>
      <c r="K295" s="59"/>
      <c r="L295" s="57"/>
      <c r="M295" s="60"/>
      <c r="N295" s="59"/>
      <c r="O295" s="57"/>
      <c r="P295" s="57"/>
      <c r="Q295" s="57"/>
      <c r="R295" s="57"/>
      <c r="S295" s="59"/>
      <c r="T295" s="57"/>
      <c r="U295" s="60"/>
      <c r="V295" s="59"/>
      <c r="W295" s="57"/>
      <c r="X295" s="57"/>
      <c r="Y295" s="57" t="s">
        <v>21</v>
      </c>
      <c r="Z295" s="57" t="s">
        <v>2047</v>
      </c>
      <c r="AA295" s="59">
        <v>54854</v>
      </c>
      <c r="AB295" s="57" t="s">
        <v>61</v>
      </c>
      <c r="AC295" s="60">
        <v>45583</v>
      </c>
      <c r="AD295" s="59">
        <v>54854</v>
      </c>
      <c r="AE295" s="57" t="s">
        <v>2048</v>
      </c>
      <c r="AF295" s="57" t="s">
        <v>2049</v>
      </c>
    </row>
    <row r="296" spans="1:32">
      <c r="A296" s="57">
        <v>295</v>
      </c>
      <c r="B296" s="58">
        <v>45891.44121527778</v>
      </c>
      <c r="C296" s="58">
        <v>45891.61515046296</v>
      </c>
      <c r="D296" s="57" t="s">
        <v>1143</v>
      </c>
      <c r="E296" s="57" t="s">
        <v>1144</v>
      </c>
      <c r="F296" s="58"/>
      <c r="G296" s="57" t="s">
        <v>630</v>
      </c>
      <c r="H296" s="59">
        <v>1</v>
      </c>
      <c r="I296" s="57"/>
      <c r="J296" s="57"/>
      <c r="K296" s="59"/>
      <c r="L296" s="57"/>
      <c r="M296" s="60"/>
      <c r="N296" s="59"/>
      <c r="O296" s="57"/>
      <c r="P296" s="57"/>
      <c r="Q296" s="57"/>
      <c r="R296" s="57"/>
      <c r="S296" s="59"/>
      <c r="T296" s="57"/>
      <c r="U296" s="60"/>
      <c r="V296" s="59"/>
      <c r="W296" s="57"/>
      <c r="X296" s="57"/>
      <c r="Y296" s="57" t="s">
        <v>20</v>
      </c>
      <c r="Z296" s="57" t="s">
        <v>1145</v>
      </c>
      <c r="AA296" s="59">
        <v>39695</v>
      </c>
      <c r="AB296" s="57" t="s">
        <v>61</v>
      </c>
      <c r="AC296" s="60">
        <v>45757</v>
      </c>
      <c r="AD296" s="59">
        <v>39695</v>
      </c>
      <c r="AE296" s="57" t="s">
        <v>2050</v>
      </c>
      <c r="AF296" s="57" t="s">
        <v>2051</v>
      </c>
    </row>
    <row r="297" spans="1:32">
      <c r="A297" s="57">
        <v>296</v>
      </c>
      <c r="B297" s="58">
        <v>45891.600138888891</v>
      </c>
      <c r="C297" s="58">
        <v>45891.615972222222</v>
      </c>
      <c r="D297" s="57" t="s">
        <v>1026</v>
      </c>
      <c r="E297" s="57" t="s">
        <v>1027</v>
      </c>
      <c r="F297" s="58"/>
      <c r="G297" s="57" t="s">
        <v>478</v>
      </c>
      <c r="H297" s="59">
        <v>1</v>
      </c>
      <c r="I297" s="57"/>
      <c r="J297" s="57"/>
      <c r="K297" s="59"/>
      <c r="L297" s="57"/>
      <c r="M297" s="60"/>
      <c r="N297" s="59"/>
      <c r="O297" s="57"/>
      <c r="P297" s="57"/>
      <c r="Q297" s="57"/>
      <c r="R297" s="57"/>
      <c r="S297" s="59"/>
      <c r="T297" s="57"/>
      <c r="U297" s="60"/>
      <c r="V297" s="59"/>
      <c r="W297" s="57"/>
      <c r="X297" s="57"/>
      <c r="Y297" s="57" t="s">
        <v>20</v>
      </c>
      <c r="Z297" s="57" t="s">
        <v>144</v>
      </c>
      <c r="AA297" s="59">
        <v>49417</v>
      </c>
      <c r="AB297" s="57" t="s">
        <v>61</v>
      </c>
      <c r="AC297" s="60">
        <v>45844</v>
      </c>
      <c r="AD297" s="59">
        <v>49417</v>
      </c>
      <c r="AE297" s="57" t="s">
        <v>2052</v>
      </c>
      <c r="AF297" s="57" t="s">
        <v>2053</v>
      </c>
    </row>
    <row r="298" spans="1:32">
      <c r="A298" s="57">
        <v>297</v>
      </c>
      <c r="B298" s="58">
        <v>45891.589502314811</v>
      </c>
      <c r="C298" s="58">
        <v>45891.619027777779</v>
      </c>
      <c r="D298" s="57" t="s">
        <v>1007</v>
      </c>
      <c r="E298" s="57" t="s">
        <v>1008</v>
      </c>
      <c r="F298" s="58"/>
      <c r="G298" s="57" t="s">
        <v>528</v>
      </c>
      <c r="H298" s="59">
        <v>2</v>
      </c>
      <c r="I298" s="57"/>
      <c r="J298" s="57"/>
      <c r="K298" s="59"/>
      <c r="L298" s="57"/>
      <c r="M298" s="60"/>
      <c r="N298" s="59"/>
      <c r="O298" s="57"/>
      <c r="P298" s="57"/>
      <c r="Q298" s="57" t="s">
        <v>20</v>
      </c>
      <c r="R298" s="57" t="s">
        <v>1011</v>
      </c>
      <c r="S298" s="59">
        <v>46217</v>
      </c>
      <c r="T298" s="57" t="s">
        <v>61</v>
      </c>
      <c r="U298" s="60">
        <v>45820</v>
      </c>
      <c r="V298" s="59">
        <v>46217</v>
      </c>
      <c r="W298" s="57" t="s">
        <v>2054</v>
      </c>
      <c r="X298" s="57" t="s">
        <v>2055</v>
      </c>
      <c r="Y298" s="57" t="s">
        <v>22</v>
      </c>
      <c r="Z298" s="57" t="s">
        <v>195</v>
      </c>
      <c r="AA298" s="59">
        <v>40613</v>
      </c>
      <c r="AB298" s="57" t="s">
        <v>61</v>
      </c>
      <c r="AC298" s="60">
        <v>45820</v>
      </c>
      <c r="AD298" s="59">
        <v>40613</v>
      </c>
      <c r="AE298" s="57" t="s">
        <v>2056</v>
      </c>
      <c r="AF298" s="57" t="s">
        <v>2057</v>
      </c>
    </row>
    <row r="299" spans="1:32">
      <c r="A299" s="57">
        <v>298</v>
      </c>
      <c r="B299" s="58">
        <v>45891.619606481479</v>
      </c>
      <c r="C299" s="58">
        <v>45891.619976851849</v>
      </c>
      <c r="D299" s="57" t="s">
        <v>952</v>
      </c>
      <c r="E299" s="57" t="s">
        <v>953</v>
      </c>
      <c r="F299" s="58"/>
      <c r="G299" s="57" t="s">
        <v>644</v>
      </c>
      <c r="H299" s="59">
        <v>1</v>
      </c>
      <c r="I299" s="57"/>
      <c r="J299" s="57"/>
      <c r="K299" s="59"/>
      <c r="L299" s="57"/>
      <c r="M299" s="60"/>
      <c r="N299" s="59"/>
      <c r="O299" s="57"/>
      <c r="P299" s="57"/>
      <c r="Q299" s="57"/>
      <c r="R299" s="57"/>
      <c r="S299" s="59"/>
      <c r="T299" s="57"/>
      <c r="U299" s="60"/>
      <c r="V299" s="59"/>
      <c r="W299" s="57"/>
      <c r="X299" s="57"/>
      <c r="Y299" s="57" t="s">
        <v>21</v>
      </c>
      <c r="Z299" s="57" t="s">
        <v>339</v>
      </c>
      <c r="AA299" s="59">
        <v>4829</v>
      </c>
      <c r="AB299" s="57" t="s">
        <v>61</v>
      </c>
      <c r="AC299" s="60">
        <v>45891</v>
      </c>
      <c r="AD299" s="59">
        <v>4829</v>
      </c>
      <c r="AE299" s="57" t="s">
        <v>2058</v>
      </c>
      <c r="AF299" s="57" t="s">
        <v>2059</v>
      </c>
    </row>
    <row r="300" spans="1:32">
      <c r="A300" s="57">
        <v>299</v>
      </c>
      <c r="B300" s="58">
        <v>45891.613726851851</v>
      </c>
      <c r="C300" s="58">
        <v>45891.620740740742</v>
      </c>
      <c r="D300" s="57" t="s">
        <v>777</v>
      </c>
      <c r="E300" s="57" t="s">
        <v>778</v>
      </c>
      <c r="F300" s="58"/>
      <c r="G300" s="57" t="s">
        <v>701</v>
      </c>
      <c r="H300" s="59">
        <v>1</v>
      </c>
      <c r="I300" s="57"/>
      <c r="J300" s="57"/>
      <c r="K300" s="59"/>
      <c r="L300" s="57"/>
      <c r="M300" s="60"/>
      <c r="N300" s="59"/>
      <c r="O300" s="57"/>
      <c r="P300" s="57"/>
      <c r="Q300" s="57"/>
      <c r="R300" s="57"/>
      <c r="S300" s="59"/>
      <c r="T300" s="57"/>
      <c r="U300" s="60"/>
      <c r="V300" s="59"/>
      <c r="W300" s="57"/>
      <c r="X300" s="57"/>
      <c r="Y300" s="57" t="s">
        <v>21</v>
      </c>
      <c r="Z300" s="57" t="s">
        <v>779</v>
      </c>
      <c r="AA300" s="59">
        <v>55645</v>
      </c>
      <c r="AB300" s="57" t="s">
        <v>61</v>
      </c>
      <c r="AC300" s="60">
        <v>45831</v>
      </c>
      <c r="AD300" s="59">
        <v>55645</v>
      </c>
      <c r="AE300" s="57" t="s">
        <v>2060</v>
      </c>
      <c r="AF300" s="57" t="s">
        <v>2061</v>
      </c>
    </row>
    <row r="301" spans="1:32">
      <c r="A301" s="57">
        <v>300</v>
      </c>
      <c r="B301" s="58">
        <v>45891.613993055558</v>
      </c>
      <c r="C301" s="58">
        <v>45891.626689814817</v>
      </c>
      <c r="D301" s="57" t="s">
        <v>1014</v>
      </c>
      <c r="E301" s="57" t="s">
        <v>1015</v>
      </c>
      <c r="F301" s="58"/>
      <c r="G301" s="57" t="s">
        <v>623</v>
      </c>
      <c r="H301" s="59">
        <v>1</v>
      </c>
      <c r="I301" s="57"/>
      <c r="J301" s="57"/>
      <c r="K301" s="59"/>
      <c r="L301" s="57"/>
      <c r="M301" s="60"/>
      <c r="N301" s="59"/>
      <c r="O301" s="57"/>
      <c r="P301" s="57"/>
      <c r="Q301" s="57"/>
      <c r="R301" s="57"/>
      <c r="S301" s="59"/>
      <c r="T301" s="57"/>
      <c r="U301" s="60"/>
      <c r="V301" s="59"/>
      <c r="W301" s="57"/>
      <c r="X301" s="57"/>
      <c r="Y301" s="57" t="s">
        <v>20</v>
      </c>
      <c r="Z301" s="57" t="s">
        <v>305</v>
      </c>
      <c r="AA301" s="59">
        <v>18636</v>
      </c>
      <c r="AB301" s="57" t="s">
        <v>61</v>
      </c>
      <c r="AC301" s="60">
        <v>45881</v>
      </c>
      <c r="AD301" s="59">
        <v>18636</v>
      </c>
      <c r="AE301" s="57" t="s">
        <v>2062</v>
      </c>
      <c r="AF301" s="57" t="s">
        <v>2063</v>
      </c>
    </row>
    <row r="302" spans="1:32">
      <c r="A302" s="57">
        <v>301</v>
      </c>
      <c r="B302" s="58">
        <v>45891.639155092591</v>
      </c>
      <c r="C302" s="58">
        <v>45891.651331018518</v>
      </c>
      <c r="D302" s="57" t="s">
        <v>1289</v>
      </c>
      <c r="E302" s="57" t="s">
        <v>1290</v>
      </c>
      <c r="F302" s="58"/>
      <c r="G302" s="57" t="s">
        <v>641</v>
      </c>
      <c r="H302" s="59">
        <v>2</v>
      </c>
      <c r="I302" s="57"/>
      <c r="J302" s="57"/>
      <c r="K302" s="59"/>
      <c r="L302" s="57"/>
      <c r="M302" s="60"/>
      <c r="N302" s="59"/>
      <c r="O302" s="57"/>
      <c r="P302" s="57"/>
      <c r="Q302" s="57" t="s">
        <v>21</v>
      </c>
      <c r="R302" s="57" t="s">
        <v>1291</v>
      </c>
      <c r="S302" s="59">
        <v>43703</v>
      </c>
      <c r="T302" s="57" t="s">
        <v>61</v>
      </c>
      <c r="U302" s="60">
        <v>45836</v>
      </c>
      <c r="V302" s="59">
        <v>43703</v>
      </c>
      <c r="W302" s="57" t="s">
        <v>2064</v>
      </c>
      <c r="X302" s="57" t="s">
        <v>2065</v>
      </c>
      <c r="Y302" s="57" t="s">
        <v>21</v>
      </c>
      <c r="Z302" s="57" t="s">
        <v>336</v>
      </c>
      <c r="AA302" s="59">
        <v>8609</v>
      </c>
      <c r="AB302" s="57" t="s">
        <v>61</v>
      </c>
      <c r="AC302" s="60">
        <v>45724</v>
      </c>
      <c r="AD302" s="59">
        <v>8609</v>
      </c>
      <c r="AE302" s="57" t="s">
        <v>2066</v>
      </c>
      <c r="AF302" s="57" t="s">
        <v>2067</v>
      </c>
    </row>
    <row r="303" spans="1:32">
      <c r="A303" s="57">
        <v>302</v>
      </c>
      <c r="B303" s="58">
        <v>45891.432233796288</v>
      </c>
      <c r="C303" s="58">
        <v>45891.654131944437</v>
      </c>
      <c r="D303" s="57" t="s">
        <v>2068</v>
      </c>
      <c r="E303" s="57" t="s">
        <v>2069</v>
      </c>
      <c r="F303" s="58"/>
      <c r="G303" s="57" t="s">
        <v>643</v>
      </c>
      <c r="H303" s="59">
        <v>1</v>
      </c>
      <c r="I303" s="57"/>
      <c r="J303" s="57"/>
      <c r="K303" s="59"/>
      <c r="L303" s="57"/>
      <c r="M303" s="60"/>
      <c r="N303" s="59"/>
      <c r="O303" s="57"/>
      <c r="P303" s="57"/>
      <c r="Q303" s="57"/>
      <c r="R303" s="57"/>
      <c r="S303" s="59"/>
      <c r="T303" s="57"/>
      <c r="U303" s="60"/>
      <c r="V303" s="59"/>
      <c r="W303" s="57"/>
      <c r="X303" s="57"/>
      <c r="Y303" s="57" t="s">
        <v>21</v>
      </c>
      <c r="Z303" s="57" t="s">
        <v>338</v>
      </c>
      <c r="AA303" s="59">
        <v>8788</v>
      </c>
      <c r="AB303" s="57" t="s">
        <v>61</v>
      </c>
      <c r="AC303" s="60">
        <v>45726</v>
      </c>
      <c r="AD303" s="59">
        <v>8788</v>
      </c>
      <c r="AE303" s="57" t="s">
        <v>2070</v>
      </c>
      <c r="AF303" s="57" t="s">
        <v>2071</v>
      </c>
    </row>
    <row r="304" spans="1:32">
      <c r="A304" s="57">
        <v>303</v>
      </c>
      <c r="B304" s="58">
        <v>45891.64266203704</v>
      </c>
      <c r="C304" s="58">
        <v>45891.657233796293</v>
      </c>
      <c r="D304" s="57" t="s">
        <v>1318</v>
      </c>
      <c r="E304" s="57" t="s">
        <v>1319</v>
      </c>
      <c r="F304" s="58"/>
      <c r="G304" s="57" t="s">
        <v>587</v>
      </c>
      <c r="H304" s="59">
        <v>1</v>
      </c>
      <c r="I304" s="57"/>
      <c r="J304" s="57"/>
      <c r="K304" s="59"/>
      <c r="L304" s="57"/>
      <c r="M304" s="60"/>
      <c r="N304" s="59"/>
      <c r="O304" s="57"/>
      <c r="P304" s="57"/>
      <c r="Q304" s="57"/>
      <c r="R304" s="57"/>
      <c r="S304" s="59"/>
      <c r="T304" s="57"/>
      <c r="U304" s="60"/>
      <c r="V304" s="59"/>
      <c r="W304" s="57"/>
      <c r="X304" s="57"/>
      <c r="Y304" s="57" t="s">
        <v>21</v>
      </c>
      <c r="Z304" s="57" t="s">
        <v>261</v>
      </c>
      <c r="AA304" s="59">
        <v>25887</v>
      </c>
      <c r="AB304" s="57" t="s">
        <v>61</v>
      </c>
      <c r="AC304" s="60">
        <v>45845</v>
      </c>
      <c r="AD304" s="59">
        <v>25887</v>
      </c>
      <c r="AE304" s="57" t="s">
        <v>2072</v>
      </c>
      <c r="AF304" s="57" t="s">
        <v>2073</v>
      </c>
    </row>
    <row r="305" spans="1:32">
      <c r="A305" s="57">
        <v>304</v>
      </c>
      <c r="B305" s="58">
        <v>45891.666689814818</v>
      </c>
      <c r="C305" s="58">
        <v>45891.671875</v>
      </c>
      <c r="D305" s="57" t="s">
        <v>897</v>
      </c>
      <c r="E305" s="57" t="s">
        <v>898</v>
      </c>
      <c r="F305" s="58"/>
      <c r="G305" s="57" t="s">
        <v>697</v>
      </c>
      <c r="H305" s="59">
        <v>2</v>
      </c>
      <c r="I305" s="57"/>
      <c r="J305" s="57"/>
      <c r="K305" s="59"/>
      <c r="L305" s="57"/>
      <c r="M305" s="60"/>
      <c r="N305" s="59"/>
      <c r="O305" s="57"/>
      <c r="P305" s="57"/>
      <c r="Q305" s="57" t="s">
        <v>20</v>
      </c>
      <c r="R305" s="57" t="s">
        <v>902</v>
      </c>
      <c r="S305" s="59">
        <v>17603</v>
      </c>
      <c r="T305" s="57" t="s">
        <v>61</v>
      </c>
      <c r="U305" s="60">
        <v>45812</v>
      </c>
      <c r="V305" s="59">
        <v>17603</v>
      </c>
      <c r="W305" s="57" t="s">
        <v>2074</v>
      </c>
      <c r="X305" s="57" t="s">
        <v>2075</v>
      </c>
      <c r="Y305" s="57" t="s">
        <v>21</v>
      </c>
      <c r="Z305" s="57" t="s">
        <v>899</v>
      </c>
      <c r="AA305" s="59">
        <v>49316</v>
      </c>
      <c r="AB305" s="57" t="s">
        <v>61</v>
      </c>
      <c r="AC305" s="60">
        <v>45752</v>
      </c>
      <c r="AD305" s="59">
        <v>49316</v>
      </c>
      <c r="AE305" s="57" t="s">
        <v>2076</v>
      </c>
      <c r="AF305" s="57" t="s">
        <v>2077</v>
      </c>
    </row>
    <row r="306" spans="1:32">
      <c r="A306" s="57">
        <v>305</v>
      </c>
      <c r="B306" s="58">
        <v>45891.670671296299</v>
      </c>
      <c r="C306" s="58">
        <v>45891.688020833331</v>
      </c>
      <c r="D306" s="57" t="s">
        <v>2078</v>
      </c>
      <c r="E306" s="57" t="s">
        <v>2079</v>
      </c>
      <c r="F306" s="58"/>
      <c r="G306" s="57" t="s">
        <v>616</v>
      </c>
      <c r="H306" s="59">
        <v>1</v>
      </c>
      <c r="I306" s="57"/>
      <c r="J306" s="57"/>
      <c r="K306" s="59"/>
      <c r="L306" s="57"/>
      <c r="M306" s="60"/>
      <c r="N306" s="59"/>
      <c r="O306" s="57"/>
      <c r="P306" s="57"/>
      <c r="Q306" s="57"/>
      <c r="R306" s="57"/>
      <c r="S306" s="59"/>
      <c r="T306" s="57"/>
      <c r="U306" s="60"/>
      <c r="V306" s="59"/>
      <c r="W306" s="57"/>
      <c r="X306" s="57"/>
      <c r="Y306" s="57" t="s">
        <v>21</v>
      </c>
      <c r="Z306" s="57" t="s">
        <v>296</v>
      </c>
      <c r="AA306" s="59">
        <v>12035</v>
      </c>
      <c r="AB306" s="57" t="s">
        <v>61</v>
      </c>
      <c r="AC306" s="60">
        <v>45833</v>
      </c>
      <c r="AD306" s="59">
        <v>12035</v>
      </c>
      <c r="AE306" s="57" t="s">
        <v>2080</v>
      </c>
      <c r="AF306" s="57" t="s">
        <v>2081</v>
      </c>
    </row>
    <row r="307" spans="1:32">
      <c r="A307" s="57">
        <v>306</v>
      </c>
      <c r="B307" s="58">
        <v>45891.648402777777</v>
      </c>
      <c r="C307" s="58">
        <v>45891.689884259264</v>
      </c>
      <c r="D307" s="57" t="s">
        <v>827</v>
      </c>
      <c r="E307" s="57" t="s">
        <v>828</v>
      </c>
      <c r="F307" s="58"/>
      <c r="G307" s="57" t="s">
        <v>566</v>
      </c>
      <c r="H307" s="59">
        <v>3</v>
      </c>
      <c r="I307" s="57" t="s">
        <v>22</v>
      </c>
      <c r="J307" s="57" t="s">
        <v>238</v>
      </c>
      <c r="K307" s="59">
        <v>56705</v>
      </c>
      <c r="L307" s="57" t="s">
        <v>61</v>
      </c>
      <c r="M307" s="60">
        <v>45792</v>
      </c>
      <c r="N307" s="59">
        <v>56705</v>
      </c>
      <c r="O307" s="57" t="s">
        <v>2082</v>
      </c>
      <c r="P307" s="57" t="s">
        <v>2083</v>
      </c>
      <c r="Q307" s="57" t="s">
        <v>20</v>
      </c>
      <c r="R307" s="57" t="s">
        <v>377</v>
      </c>
      <c r="S307" s="59">
        <v>1485</v>
      </c>
      <c r="T307" s="57" t="s">
        <v>61</v>
      </c>
      <c r="U307" s="60">
        <v>45861</v>
      </c>
      <c r="V307" s="59">
        <v>1485</v>
      </c>
      <c r="W307" s="57" t="s">
        <v>2084</v>
      </c>
      <c r="X307" s="57" t="s">
        <v>2085</v>
      </c>
      <c r="Y307" s="57" t="s">
        <v>21</v>
      </c>
      <c r="Z307" s="57" t="s">
        <v>833</v>
      </c>
      <c r="AA307" s="59">
        <v>86550</v>
      </c>
      <c r="AB307" s="57" t="s">
        <v>61</v>
      </c>
      <c r="AC307" s="60">
        <v>45846</v>
      </c>
      <c r="AD307" s="59">
        <v>86550</v>
      </c>
      <c r="AE307" s="57" t="s">
        <v>2086</v>
      </c>
      <c r="AF307" s="57" t="s">
        <v>2087</v>
      </c>
    </row>
    <row r="308" spans="1:32">
      <c r="A308" s="57">
        <v>307</v>
      </c>
      <c r="B308" s="58">
        <v>45891.706909722219</v>
      </c>
      <c r="C308" s="58">
        <v>45891.709641203714</v>
      </c>
      <c r="D308" s="57" t="s">
        <v>2088</v>
      </c>
      <c r="E308" s="57" t="s">
        <v>2089</v>
      </c>
      <c r="F308" s="58"/>
      <c r="G308" s="57" t="s">
        <v>692</v>
      </c>
      <c r="H308" s="59">
        <v>1</v>
      </c>
      <c r="I308" s="57"/>
      <c r="J308" s="57"/>
      <c r="K308" s="59"/>
      <c r="L308" s="57"/>
      <c r="M308" s="60"/>
      <c r="N308" s="59"/>
      <c r="O308" s="57"/>
      <c r="P308" s="57"/>
      <c r="Q308" s="57"/>
      <c r="R308" s="57"/>
      <c r="S308" s="59"/>
      <c r="T308" s="57"/>
      <c r="U308" s="60"/>
      <c r="V308" s="59"/>
      <c r="W308" s="57"/>
      <c r="X308" s="57"/>
      <c r="Y308" s="57" t="s">
        <v>21</v>
      </c>
      <c r="Z308" s="57" t="s">
        <v>2090</v>
      </c>
      <c r="AA308" s="59">
        <v>68739</v>
      </c>
      <c r="AB308" s="57" t="s">
        <v>61</v>
      </c>
      <c r="AC308" s="60">
        <v>45799</v>
      </c>
      <c r="AD308" s="59">
        <v>68739</v>
      </c>
      <c r="AE308" s="57" t="s">
        <v>2091</v>
      </c>
      <c r="AF308" s="57" t="s">
        <v>2092</v>
      </c>
    </row>
    <row r="309" spans="1:32">
      <c r="A309" s="57">
        <v>308</v>
      </c>
      <c r="B309" s="58">
        <v>45891.701435185183</v>
      </c>
      <c r="C309" s="58">
        <v>45891.70988425926</v>
      </c>
      <c r="D309" s="57" t="s">
        <v>1572</v>
      </c>
      <c r="E309" s="57" t="s">
        <v>1573</v>
      </c>
      <c r="F309" s="58"/>
      <c r="G309" s="57" t="s">
        <v>640</v>
      </c>
      <c r="H309" s="59">
        <v>1</v>
      </c>
      <c r="I309" s="57"/>
      <c r="J309" s="57"/>
      <c r="K309" s="59"/>
      <c r="L309" s="57"/>
      <c r="M309" s="60"/>
      <c r="N309" s="59"/>
      <c r="O309" s="57"/>
      <c r="P309" s="57"/>
      <c r="Q309" s="57"/>
      <c r="R309" s="57"/>
      <c r="S309" s="59"/>
      <c r="T309" s="57"/>
      <c r="U309" s="60"/>
      <c r="V309" s="59"/>
      <c r="W309" s="57"/>
      <c r="X309" s="57"/>
      <c r="Y309" s="57" t="s">
        <v>21</v>
      </c>
      <c r="Z309" s="57" t="s">
        <v>333</v>
      </c>
      <c r="AA309" s="59">
        <v>8800</v>
      </c>
      <c r="AB309" s="57" t="s">
        <v>61</v>
      </c>
      <c r="AC309" s="60">
        <v>45881</v>
      </c>
      <c r="AD309" s="59">
        <v>8800</v>
      </c>
      <c r="AE309" s="57" t="s">
        <v>2093</v>
      </c>
      <c r="AF309" s="57" t="s">
        <v>2094</v>
      </c>
    </row>
    <row r="310" spans="1:32">
      <c r="A310" s="57">
        <v>309</v>
      </c>
      <c r="B310" s="58">
        <v>45891.735983796287</v>
      </c>
      <c r="C310" s="58">
        <v>45891.738865740743</v>
      </c>
      <c r="D310" s="57" t="s">
        <v>1767</v>
      </c>
      <c r="E310" s="57" t="s">
        <v>1768</v>
      </c>
      <c r="F310" s="58"/>
      <c r="G310" s="57" t="s">
        <v>541</v>
      </c>
      <c r="H310" s="59">
        <v>2</v>
      </c>
      <c r="I310" s="57"/>
      <c r="J310" s="57"/>
      <c r="K310" s="59"/>
      <c r="L310" s="57"/>
      <c r="M310" s="60"/>
      <c r="N310" s="59"/>
      <c r="O310" s="57"/>
      <c r="P310" s="57"/>
      <c r="Q310" s="57" t="s">
        <v>21</v>
      </c>
      <c r="R310" s="57" t="s">
        <v>323</v>
      </c>
      <c r="S310" s="59">
        <v>14009</v>
      </c>
      <c r="T310" s="57" t="s">
        <v>61</v>
      </c>
      <c r="U310" s="60">
        <v>45766</v>
      </c>
      <c r="V310" s="59">
        <v>14009</v>
      </c>
      <c r="W310" s="57" t="s">
        <v>2095</v>
      </c>
      <c r="X310" s="57" t="s">
        <v>2096</v>
      </c>
      <c r="Y310" s="57" t="s">
        <v>21</v>
      </c>
      <c r="Z310" s="57" t="s">
        <v>210</v>
      </c>
      <c r="AA310" s="59">
        <v>51516</v>
      </c>
      <c r="AB310" s="57" t="s">
        <v>61</v>
      </c>
      <c r="AC310" s="60">
        <v>45862</v>
      </c>
      <c r="AD310" s="59">
        <v>51516</v>
      </c>
      <c r="AE310" s="57" t="s">
        <v>2097</v>
      </c>
      <c r="AF310" s="57" t="s">
        <v>2098</v>
      </c>
    </row>
    <row r="311" spans="1:32">
      <c r="A311" s="57">
        <v>310</v>
      </c>
      <c r="B311" s="58">
        <v>45891.734733796293</v>
      </c>
      <c r="C311" s="58">
        <v>45891.739351851851</v>
      </c>
      <c r="D311" s="57" t="s">
        <v>1598</v>
      </c>
      <c r="E311" s="57" t="s">
        <v>1599</v>
      </c>
      <c r="F311" s="58"/>
      <c r="G311" s="57" t="s">
        <v>671</v>
      </c>
      <c r="H311" s="59">
        <v>2</v>
      </c>
      <c r="I311" s="57"/>
      <c r="J311" s="57"/>
      <c r="K311" s="59"/>
      <c r="L311" s="57"/>
      <c r="M311" s="60"/>
      <c r="N311" s="59"/>
      <c r="O311" s="57"/>
      <c r="P311" s="57"/>
      <c r="Q311" s="57" t="s">
        <v>21</v>
      </c>
      <c r="R311" s="57" t="s">
        <v>1600</v>
      </c>
      <c r="S311" s="59">
        <v>57802</v>
      </c>
      <c r="T311" s="57" t="s">
        <v>61</v>
      </c>
      <c r="U311" s="60">
        <v>45845</v>
      </c>
      <c r="V311" s="59">
        <v>57802</v>
      </c>
      <c r="W311" s="57" t="s">
        <v>2099</v>
      </c>
      <c r="X311" s="57" t="s">
        <v>2100</v>
      </c>
      <c r="Y311" s="57" t="s">
        <v>22</v>
      </c>
      <c r="Z311" s="57" t="s">
        <v>383</v>
      </c>
      <c r="AA311" s="59">
        <v>1320</v>
      </c>
      <c r="AB311" s="57" t="s">
        <v>61</v>
      </c>
      <c r="AC311" s="60">
        <v>45861</v>
      </c>
      <c r="AD311" s="59">
        <v>1320</v>
      </c>
      <c r="AE311" s="57" t="s">
        <v>2101</v>
      </c>
      <c r="AF311" s="57" t="s">
        <v>2102</v>
      </c>
    </row>
    <row r="312" spans="1:32">
      <c r="A312" s="57">
        <v>311</v>
      </c>
      <c r="B312" s="58">
        <v>45891.764085648138</v>
      </c>
      <c r="C312" s="58">
        <v>45891.787222222221</v>
      </c>
      <c r="D312" s="57" t="s">
        <v>1068</v>
      </c>
      <c r="E312" s="57" t="s">
        <v>1069</v>
      </c>
      <c r="F312" s="58"/>
      <c r="G312" s="57" t="s">
        <v>485</v>
      </c>
      <c r="H312" s="59">
        <v>3</v>
      </c>
      <c r="I312" s="57" t="s">
        <v>22</v>
      </c>
      <c r="J312" s="57" t="s">
        <v>1072</v>
      </c>
      <c r="K312" s="59">
        <v>102761</v>
      </c>
      <c r="L312" s="57" t="s">
        <v>61</v>
      </c>
      <c r="M312" s="60">
        <v>45761</v>
      </c>
      <c r="N312" s="59">
        <v>102761</v>
      </c>
      <c r="O312" s="57" t="s">
        <v>2103</v>
      </c>
      <c r="P312" s="57" t="s">
        <v>2104</v>
      </c>
      <c r="Q312" s="57" t="s">
        <v>20</v>
      </c>
      <c r="R312" s="57" t="s">
        <v>151</v>
      </c>
      <c r="S312" s="59">
        <v>28211</v>
      </c>
      <c r="T312" s="57" t="s">
        <v>61</v>
      </c>
      <c r="U312" s="60">
        <v>45764</v>
      </c>
      <c r="V312" s="59">
        <v>28211</v>
      </c>
      <c r="W312" s="57" t="s">
        <v>2105</v>
      </c>
      <c r="X312" s="57" t="s">
        <v>2106</v>
      </c>
      <c r="Y312" s="57" t="s">
        <v>22</v>
      </c>
      <c r="Z312" s="57" t="s">
        <v>1075</v>
      </c>
      <c r="AA312" s="59">
        <v>38573</v>
      </c>
      <c r="AB312" s="57" t="s">
        <v>61</v>
      </c>
      <c r="AC312" s="60">
        <v>45681</v>
      </c>
      <c r="AD312" s="59">
        <v>38573</v>
      </c>
      <c r="AE312" s="57" t="s">
        <v>2107</v>
      </c>
      <c r="AF312" s="57" t="s">
        <v>2108</v>
      </c>
    </row>
    <row r="313" spans="1:32">
      <c r="A313" s="57">
        <v>312</v>
      </c>
      <c r="B313" s="58">
        <v>45891.841874999998</v>
      </c>
      <c r="C313" s="58">
        <v>45891.848599537043</v>
      </c>
      <c r="D313" s="57" t="s">
        <v>2109</v>
      </c>
      <c r="E313" s="57" t="s">
        <v>2110</v>
      </c>
      <c r="F313" s="58"/>
      <c r="G313" s="57" t="s">
        <v>662</v>
      </c>
      <c r="H313" s="59">
        <v>2</v>
      </c>
      <c r="I313" s="57"/>
      <c r="J313" s="57"/>
      <c r="K313" s="59"/>
      <c r="L313" s="57"/>
      <c r="M313" s="60"/>
      <c r="N313" s="59"/>
      <c r="O313" s="57"/>
      <c r="P313" s="57"/>
      <c r="Q313" s="57" t="s">
        <v>21</v>
      </c>
      <c r="R313" s="57" t="s">
        <v>2111</v>
      </c>
      <c r="S313" s="59">
        <v>6147</v>
      </c>
      <c r="T313" s="57" t="s">
        <v>61</v>
      </c>
      <c r="U313" s="60">
        <v>45878</v>
      </c>
      <c r="V313" s="59">
        <v>6147</v>
      </c>
      <c r="W313" s="57" t="s">
        <v>2112</v>
      </c>
      <c r="X313" s="57" t="s">
        <v>2113</v>
      </c>
      <c r="Y313" s="57" t="s">
        <v>21</v>
      </c>
      <c r="Z313" s="57" t="s">
        <v>363</v>
      </c>
      <c r="AA313" s="59">
        <v>2685</v>
      </c>
      <c r="AB313" s="57" t="s">
        <v>61</v>
      </c>
      <c r="AC313" s="60">
        <v>45891</v>
      </c>
      <c r="AD313" s="59">
        <v>2685</v>
      </c>
      <c r="AE313" s="57" t="s">
        <v>2114</v>
      </c>
      <c r="AF313" s="57" t="s">
        <v>2115</v>
      </c>
    </row>
    <row r="314" spans="1:32">
      <c r="A314" s="57">
        <v>313</v>
      </c>
      <c r="B314" s="58">
        <v>45891.798738425918</v>
      </c>
      <c r="C314" s="58">
        <v>45891.878506944442</v>
      </c>
      <c r="D314" s="57" t="s">
        <v>974</v>
      </c>
      <c r="E314" s="57" t="s">
        <v>975</v>
      </c>
      <c r="F314" s="58"/>
      <c r="G314" s="57" t="s">
        <v>499</v>
      </c>
      <c r="H314" s="59">
        <v>2</v>
      </c>
      <c r="I314" s="57"/>
      <c r="J314" s="57"/>
      <c r="K314" s="59"/>
      <c r="L314" s="57"/>
      <c r="M314" s="60"/>
      <c r="N314" s="59"/>
      <c r="O314" s="57"/>
      <c r="P314" s="57"/>
      <c r="Q314" s="57" t="s">
        <v>22</v>
      </c>
      <c r="R314" s="57" t="s">
        <v>165</v>
      </c>
      <c r="S314" s="59">
        <v>30018</v>
      </c>
      <c r="T314" s="57" t="s">
        <v>61</v>
      </c>
      <c r="U314" s="60">
        <v>45785</v>
      </c>
      <c r="V314" s="59">
        <v>30018</v>
      </c>
      <c r="W314" s="57" t="s">
        <v>2116</v>
      </c>
      <c r="X314" s="57" t="s">
        <v>2117</v>
      </c>
      <c r="Y314" s="57" t="s">
        <v>21</v>
      </c>
      <c r="Z314" s="57" t="s">
        <v>978</v>
      </c>
      <c r="AA314" s="59">
        <v>20248</v>
      </c>
      <c r="AB314" s="57" t="s">
        <v>61</v>
      </c>
      <c r="AC314" s="60">
        <v>45785</v>
      </c>
      <c r="AD314" s="59">
        <v>20248</v>
      </c>
      <c r="AE314" s="57" t="s">
        <v>2118</v>
      </c>
      <c r="AF314" s="57" t="s">
        <v>2119</v>
      </c>
    </row>
    <row r="315" spans="1:32">
      <c r="A315" s="57">
        <v>314</v>
      </c>
      <c r="B315" s="58">
        <v>45892.337372685193</v>
      </c>
      <c r="C315" s="58">
        <v>45892.33965277778</v>
      </c>
      <c r="D315" s="57" t="s">
        <v>1456</v>
      </c>
      <c r="E315" s="57" t="s">
        <v>1457</v>
      </c>
      <c r="F315" s="58"/>
      <c r="G315" s="57" t="s">
        <v>547</v>
      </c>
      <c r="H315" s="59">
        <v>2</v>
      </c>
      <c r="I315" s="57"/>
      <c r="J315" s="57"/>
      <c r="K315" s="59"/>
      <c r="L315" s="57"/>
      <c r="M315" s="60"/>
      <c r="N315" s="59"/>
      <c r="O315" s="57"/>
      <c r="P315" s="57"/>
      <c r="Q315" s="57" t="s">
        <v>21</v>
      </c>
      <c r="R315" s="57" t="s">
        <v>2120</v>
      </c>
      <c r="S315" s="59">
        <v>74586</v>
      </c>
      <c r="T315" s="57" t="s">
        <v>61</v>
      </c>
      <c r="U315" s="60">
        <v>45701</v>
      </c>
      <c r="V315" s="59">
        <v>74586</v>
      </c>
      <c r="W315" s="57" t="s">
        <v>2121</v>
      </c>
      <c r="X315" s="57" t="s">
        <v>2122</v>
      </c>
      <c r="Y315" s="57" t="s">
        <v>22</v>
      </c>
      <c r="Z315" s="57" t="s">
        <v>225</v>
      </c>
      <c r="AA315" s="59">
        <v>88067</v>
      </c>
      <c r="AB315" s="57" t="s">
        <v>61</v>
      </c>
      <c r="AC315" s="60">
        <v>45841</v>
      </c>
      <c r="AD315" s="59">
        <v>88067</v>
      </c>
      <c r="AE315" s="57" t="s">
        <v>2123</v>
      </c>
      <c r="AF315" s="57" t="s">
        <v>2124</v>
      </c>
    </row>
    <row r="316" spans="1:32">
      <c r="A316" s="57">
        <v>315</v>
      </c>
      <c r="B316" s="58">
        <v>45892.337210648147</v>
      </c>
      <c r="C316" s="58">
        <v>45892.342638888891</v>
      </c>
      <c r="D316" s="57" t="s">
        <v>1644</v>
      </c>
      <c r="E316" s="57" t="s">
        <v>1645</v>
      </c>
      <c r="F316" s="58"/>
      <c r="G316" s="57" t="s">
        <v>649</v>
      </c>
      <c r="H316" s="59">
        <v>1</v>
      </c>
      <c r="I316" s="57"/>
      <c r="J316" s="57"/>
      <c r="K316" s="59"/>
      <c r="L316" s="57"/>
      <c r="M316" s="60"/>
      <c r="N316" s="59"/>
      <c r="O316" s="57"/>
      <c r="P316" s="57"/>
      <c r="Q316" s="57"/>
      <c r="R316" s="57"/>
      <c r="S316" s="59"/>
      <c r="T316" s="57"/>
      <c r="U316" s="60"/>
      <c r="V316" s="59"/>
      <c r="W316" s="57"/>
      <c r="X316" s="57"/>
      <c r="Y316" s="57" t="s">
        <v>21</v>
      </c>
      <c r="Z316" s="57" t="s">
        <v>345</v>
      </c>
      <c r="AA316" s="59">
        <v>7293</v>
      </c>
      <c r="AB316" s="57" t="s">
        <v>61</v>
      </c>
      <c r="AC316" s="60">
        <v>46113</v>
      </c>
      <c r="AD316" s="59">
        <v>7293</v>
      </c>
      <c r="AE316" s="57" t="s">
        <v>2125</v>
      </c>
      <c r="AF316" s="57" t="s">
        <v>2126</v>
      </c>
    </row>
    <row r="317" spans="1:32">
      <c r="A317" s="57">
        <v>316</v>
      </c>
      <c r="B317" s="58">
        <v>45892.345011574071</v>
      </c>
      <c r="C317" s="58">
        <v>45892.355636574073</v>
      </c>
      <c r="D317" s="57" t="s">
        <v>1326</v>
      </c>
      <c r="E317" s="57" t="s">
        <v>1327</v>
      </c>
      <c r="F317" s="58"/>
      <c r="G317" s="57" t="s">
        <v>565</v>
      </c>
      <c r="H317" s="59">
        <v>2</v>
      </c>
      <c r="I317" s="57"/>
      <c r="J317" s="57"/>
      <c r="K317" s="59"/>
      <c r="L317" s="57"/>
      <c r="M317" s="60"/>
      <c r="N317" s="59"/>
      <c r="O317" s="57"/>
      <c r="P317" s="57"/>
      <c r="Q317" s="57" t="s">
        <v>20</v>
      </c>
      <c r="R317" s="57" t="s">
        <v>1328</v>
      </c>
      <c r="S317" s="59">
        <v>55140</v>
      </c>
      <c r="T317" s="57" t="s">
        <v>61</v>
      </c>
      <c r="U317" s="60">
        <v>45799</v>
      </c>
      <c r="V317" s="59">
        <v>55140</v>
      </c>
      <c r="W317" s="57" t="s">
        <v>2127</v>
      </c>
      <c r="X317" s="57" t="s">
        <v>2128</v>
      </c>
      <c r="Y317" s="57" t="s">
        <v>22</v>
      </c>
      <c r="Z317" s="57" t="s">
        <v>237</v>
      </c>
      <c r="AA317" s="59">
        <v>33277</v>
      </c>
      <c r="AB317" s="57" t="s">
        <v>61</v>
      </c>
      <c r="AC317" s="60">
        <v>45819</v>
      </c>
      <c r="AD317" s="59">
        <v>33277</v>
      </c>
      <c r="AE317" s="57" t="s">
        <v>2129</v>
      </c>
      <c r="AF317" s="57" t="s">
        <v>2130</v>
      </c>
    </row>
    <row r="318" spans="1:32">
      <c r="A318" s="57">
        <v>317</v>
      </c>
      <c r="B318" s="58">
        <v>45891.604224537034</v>
      </c>
      <c r="C318" s="58">
        <v>45892.359837962962</v>
      </c>
      <c r="D318" s="57" t="s">
        <v>2131</v>
      </c>
      <c r="E318" s="57" t="s">
        <v>2132</v>
      </c>
      <c r="F318" s="58"/>
      <c r="G318" s="57" t="s">
        <v>651</v>
      </c>
      <c r="H318" s="59">
        <v>1</v>
      </c>
      <c r="I318" s="57"/>
      <c r="J318" s="57"/>
      <c r="K318" s="59"/>
      <c r="L318" s="57"/>
      <c r="M318" s="60"/>
      <c r="N318" s="59"/>
      <c r="O318" s="57"/>
      <c r="P318" s="57"/>
      <c r="Q318" s="57"/>
      <c r="R318" s="57"/>
      <c r="S318" s="59"/>
      <c r="T318" s="57"/>
      <c r="U318" s="60"/>
      <c r="V318" s="59"/>
      <c r="W318" s="57"/>
      <c r="X318" s="57"/>
      <c r="Y318" s="57" t="s">
        <v>21</v>
      </c>
      <c r="Z318" s="57" t="s">
        <v>348</v>
      </c>
      <c r="AA318" s="59">
        <v>11973</v>
      </c>
      <c r="AB318" s="57" t="s">
        <v>61</v>
      </c>
      <c r="AC318" s="60">
        <v>45854</v>
      </c>
      <c r="AD318" s="59">
        <v>11973</v>
      </c>
      <c r="AE318" s="57" t="s">
        <v>2133</v>
      </c>
      <c r="AF318" s="57" t="s">
        <v>2134</v>
      </c>
    </row>
    <row r="319" spans="1:32">
      <c r="A319" s="57">
        <v>318</v>
      </c>
      <c r="B319" s="58">
        <v>45892.381828703707</v>
      </c>
      <c r="C319" s="58">
        <v>45892.383275462962</v>
      </c>
      <c r="D319" s="57" t="s">
        <v>1723</v>
      </c>
      <c r="E319" s="57" t="s">
        <v>1724</v>
      </c>
      <c r="F319" s="58"/>
      <c r="G319" s="57" t="s">
        <v>700</v>
      </c>
      <c r="H319" s="59">
        <v>1</v>
      </c>
      <c r="I319" s="57"/>
      <c r="J319" s="57"/>
      <c r="K319" s="59"/>
      <c r="L319" s="57"/>
      <c r="M319" s="60"/>
      <c r="N319" s="59"/>
      <c r="O319" s="57"/>
      <c r="P319" s="57"/>
      <c r="Q319" s="57"/>
      <c r="R319" s="57"/>
      <c r="S319" s="59"/>
      <c r="T319" s="57"/>
      <c r="U319" s="60"/>
      <c r="V319" s="59"/>
      <c r="W319" s="57"/>
      <c r="X319" s="57"/>
      <c r="Y319" s="57" t="s">
        <v>21</v>
      </c>
      <c r="Z319" s="57" t="s">
        <v>2135</v>
      </c>
      <c r="AA319" s="59">
        <v>27457</v>
      </c>
      <c r="AB319" s="57" t="s">
        <v>61</v>
      </c>
      <c r="AC319" s="60">
        <v>45717</v>
      </c>
      <c r="AD319" s="59">
        <v>27457</v>
      </c>
      <c r="AE319" s="57" t="s">
        <v>2136</v>
      </c>
      <c r="AF319" s="57" t="s">
        <v>2137</v>
      </c>
    </row>
    <row r="320" spans="1:32">
      <c r="A320" s="57">
        <v>319</v>
      </c>
      <c r="B320" s="58">
        <v>45892.376261574071</v>
      </c>
      <c r="C320" s="58">
        <v>45892.385891203703</v>
      </c>
      <c r="D320" s="57" t="s">
        <v>1576</v>
      </c>
      <c r="E320" s="57" t="s">
        <v>1577</v>
      </c>
      <c r="F320" s="58"/>
      <c r="G320" s="57" t="s">
        <v>657</v>
      </c>
      <c r="H320" s="59">
        <v>2</v>
      </c>
      <c r="I320" s="57"/>
      <c r="J320" s="57"/>
      <c r="K320" s="59"/>
      <c r="L320" s="57"/>
      <c r="M320" s="60"/>
      <c r="N320" s="59"/>
      <c r="O320" s="57"/>
      <c r="P320" s="57"/>
      <c r="Q320" s="57" t="s">
        <v>22</v>
      </c>
      <c r="R320" s="57" t="s">
        <v>1578</v>
      </c>
      <c r="S320" s="59">
        <v>105449</v>
      </c>
      <c r="T320" s="57" t="s">
        <v>61</v>
      </c>
      <c r="U320" s="60">
        <v>45841</v>
      </c>
      <c r="V320" s="59">
        <v>105449</v>
      </c>
      <c r="W320" s="57" t="s">
        <v>2138</v>
      </c>
      <c r="X320" s="57" t="s">
        <v>2139</v>
      </c>
      <c r="Y320" s="57" t="s">
        <v>21</v>
      </c>
      <c r="Z320" s="57" t="s">
        <v>358</v>
      </c>
      <c r="AA320" s="59">
        <v>3341</v>
      </c>
      <c r="AB320" s="57" t="s">
        <v>61</v>
      </c>
      <c r="AC320" s="60">
        <v>45756</v>
      </c>
      <c r="AD320" s="59">
        <v>3341</v>
      </c>
      <c r="AE320" s="57" t="s">
        <v>2140</v>
      </c>
      <c r="AF320" s="57" t="s">
        <v>2141</v>
      </c>
    </row>
    <row r="321" spans="1:32">
      <c r="A321" s="57">
        <v>320</v>
      </c>
      <c r="B321" s="58">
        <v>45892.403310185182</v>
      </c>
      <c r="C321" s="58">
        <v>45892.40351851852</v>
      </c>
      <c r="D321" s="57" t="s">
        <v>1419</v>
      </c>
      <c r="E321" s="57" t="s">
        <v>1420</v>
      </c>
      <c r="F321" s="58"/>
      <c r="G321" s="57" t="s">
        <v>603</v>
      </c>
      <c r="H321" s="59">
        <v>1</v>
      </c>
      <c r="I321" s="57"/>
      <c r="J321" s="57"/>
      <c r="K321" s="59"/>
      <c r="L321" s="57"/>
      <c r="M321" s="60"/>
      <c r="N321" s="59"/>
      <c r="O321" s="57"/>
      <c r="P321" s="57"/>
      <c r="Q321" s="57"/>
      <c r="R321" s="57"/>
      <c r="S321" s="59"/>
      <c r="T321" s="57"/>
      <c r="U321" s="60"/>
      <c r="V321" s="59"/>
      <c r="W321" s="57"/>
      <c r="X321" s="57"/>
      <c r="Y321" s="57" t="s">
        <v>21</v>
      </c>
      <c r="Z321" s="57" t="s">
        <v>2142</v>
      </c>
      <c r="AA321" s="59">
        <v>18116</v>
      </c>
      <c r="AB321" s="57" t="s">
        <v>61</v>
      </c>
      <c r="AC321" s="60">
        <v>45885</v>
      </c>
      <c r="AD321" s="59">
        <v>18116</v>
      </c>
      <c r="AE321" s="57" t="s">
        <v>2143</v>
      </c>
      <c r="AF321" s="57" t="s">
        <v>2144</v>
      </c>
    </row>
    <row r="322" spans="1:32">
      <c r="A322" s="57">
        <v>321</v>
      </c>
      <c r="B322" s="58">
        <v>45892.388773148137</v>
      </c>
      <c r="C322" s="58">
        <v>45892.421701388892</v>
      </c>
      <c r="D322" s="57" t="s">
        <v>748</v>
      </c>
      <c r="E322" s="57" t="s">
        <v>749</v>
      </c>
      <c r="F322" s="58"/>
      <c r="G322" s="57" t="s">
        <v>619</v>
      </c>
      <c r="H322" s="59">
        <v>2</v>
      </c>
      <c r="I322" s="57"/>
      <c r="J322" s="57"/>
      <c r="K322" s="59"/>
      <c r="L322" s="57"/>
      <c r="M322" s="60"/>
      <c r="N322" s="59"/>
      <c r="O322" s="57"/>
      <c r="P322" s="57"/>
      <c r="Q322" s="57" t="s">
        <v>22</v>
      </c>
      <c r="R322" s="57" t="s">
        <v>301</v>
      </c>
      <c r="S322" s="59">
        <v>275</v>
      </c>
      <c r="T322" s="57" t="s">
        <v>61</v>
      </c>
      <c r="U322" s="60">
        <v>45875</v>
      </c>
      <c r="V322" s="59">
        <v>275</v>
      </c>
      <c r="W322" s="57" t="s">
        <v>2145</v>
      </c>
      <c r="X322" s="57" t="s">
        <v>2146</v>
      </c>
      <c r="Y322" s="57" t="s">
        <v>20</v>
      </c>
      <c r="Z322" s="57" t="s">
        <v>752</v>
      </c>
      <c r="AA322" s="59">
        <v>65851</v>
      </c>
      <c r="AB322" s="57" t="s">
        <v>61</v>
      </c>
      <c r="AC322" s="60">
        <v>45876</v>
      </c>
      <c r="AD322" s="59">
        <v>65851</v>
      </c>
      <c r="AE322" s="57" t="s">
        <v>2147</v>
      </c>
      <c r="AF322" s="57" t="s">
        <v>2148</v>
      </c>
    </row>
    <row r="323" spans="1:32">
      <c r="A323" s="57">
        <v>322</v>
      </c>
      <c r="B323" s="58">
        <v>45892.425092592603</v>
      </c>
      <c r="C323" s="58">
        <v>45892.425266203703</v>
      </c>
      <c r="D323" s="57" t="s">
        <v>1193</v>
      </c>
      <c r="E323" s="57" t="s">
        <v>1194</v>
      </c>
      <c r="F323" s="58"/>
      <c r="G323" s="57" t="s">
        <v>656</v>
      </c>
      <c r="H323" s="59">
        <v>1</v>
      </c>
      <c r="I323" s="57"/>
      <c r="J323" s="57"/>
      <c r="K323" s="59"/>
      <c r="L323" s="57"/>
      <c r="M323" s="60"/>
      <c r="N323" s="59"/>
      <c r="O323" s="57"/>
      <c r="P323" s="57"/>
      <c r="Q323" s="57"/>
      <c r="R323" s="57"/>
      <c r="S323" s="59"/>
      <c r="T323" s="57"/>
      <c r="U323" s="60"/>
      <c r="V323" s="59"/>
      <c r="W323" s="57"/>
      <c r="X323" s="57"/>
      <c r="Y323" s="57" t="s">
        <v>20</v>
      </c>
      <c r="Z323" s="57" t="s">
        <v>1195</v>
      </c>
      <c r="AA323" s="59">
        <v>47289</v>
      </c>
      <c r="AB323" s="57" t="s">
        <v>61</v>
      </c>
      <c r="AC323" s="60">
        <v>45882</v>
      </c>
      <c r="AD323" s="59">
        <v>47289</v>
      </c>
      <c r="AE323" s="57" t="s">
        <v>2149</v>
      </c>
      <c r="AF323" s="57" t="s">
        <v>2150</v>
      </c>
    </row>
    <row r="324" spans="1:32">
      <c r="A324" s="57">
        <v>323</v>
      </c>
      <c r="B324" s="58">
        <v>45892.453182870369</v>
      </c>
      <c r="C324" s="58">
        <v>45892.467870370368</v>
      </c>
      <c r="D324" s="57" t="s">
        <v>2151</v>
      </c>
      <c r="E324" s="57" t="s">
        <v>2152</v>
      </c>
      <c r="F324" s="58"/>
      <c r="G324" s="57" t="s">
        <v>554</v>
      </c>
      <c r="H324" s="59">
        <v>1</v>
      </c>
      <c r="I324" s="57"/>
      <c r="J324" s="57"/>
      <c r="K324" s="59"/>
      <c r="L324" s="57"/>
      <c r="M324" s="60"/>
      <c r="N324" s="59"/>
      <c r="O324" s="57"/>
      <c r="P324" s="57"/>
      <c r="Q324" s="57"/>
      <c r="R324" s="57"/>
      <c r="S324" s="59"/>
      <c r="T324" s="57"/>
      <c r="U324" s="60"/>
      <c r="V324" s="59"/>
      <c r="W324" s="57"/>
      <c r="X324" s="57"/>
      <c r="Y324" s="57" t="s">
        <v>21</v>
      </c>
      <c r="Z324" s="57" t="s">
        <v>2153</v>
      </c>
      <c r="AA324" s="59">
        <v>20975</v>
      </c>
      <c r="AB324" s="57" t="s">
        <v>61</v>
      </c>
      <c r="AC324" s="60">
        <v>45794</v>
      </c>
      <c r="AD324" s="59">
        <v>20975</v>
      </c>
      <c r="AE324" s="57" t="s">
        <v>2154</v>
      </c>
      <c r="AF324" s="57" t="s">
        <v>2155</v>
      </c>
    </row>
    <row r="325" spans="1:32">
      <c r="A325" s="57">
        <v>324</v>
      </c>
      <c r="B325" s="58">
        <v>45892.451516203713</v>
      </c>
      <c r="C325" s="58">
        <v>45892.473391203697</v>
      </c>
      <c r="D325" s="57" t="s">
        <v>836</v>
      </c>
      <c r="E325" s="57" t="s">
        <v>837</v>
      </c>
      <c r="F325" s="58"/>
      <c r="G325" s="57" t="s">
        <v>614</v>
      </c>
      <c r="H325" s="59">
        <v>1</v>
      </c>
      <c r="I325" s="57"/>
      <c r="J325" s="57"/>
      <c r="K325" s="59"/>
      <c r="L325" s="57"/>
      <c r="M325" s="60"/>
      <c r="N325" s="59"/>
      <c r="O325" s="57"/>
      <c r="P325" s="57"/>
      <c r="Q325" s="57"/>
      <c r="R325" s="57"/>
      <c r="S325" s="59"/>
      <c r="T325" s="57"/>
      <c r="U325" s="60"/>
      <c r="V325" s="59"/>
      <c r="W325" s="57"/>
      <c r="X325" s="57"/>
      <c r="Y325" s="57" t="s">
        <v>22</v>
      </c>
      <c r="Z325" s="57" t="s">
        <v>2156</v>
      </c>
      <c r="AA325" s="59">
        <v>63083</v>
      </c>
      <c r="AB325" s="57" t="s">
        <v>61</v>
      </c>
      <c r="AC325" s="60">
        <v>45840</v>
      </c>
      <c r="AD325" s="59">
        <v>63083</v>
      </c>
      <c r="AE325" s="57" t="s">
        <v>2157</v>
      </c>
      <c r="AF325" s="57" t="s">
        <v>2158</v>
      </c>
    </row>
    <row r="326" spans="1:32">
      <c r="A326" s="57">
        <v>325</v>
      </c>
      <c r="B326" s="58">
        <v>45892.498263888891</v>
      </c>
      <c r="C326" s="58">
        <v>45892.500983796293</v>
      </c>
      <c r="D326" s="57" t="s">
        <v>930</v>
      </c>
      <c r="E326" s="57" t="s">
        <v>931</v>
      </c>
      <c r="F326" s="58"/>
      <c r="G326" s="57" t="s">
        <v>562</v>
      </c>
      <c r="H326" s="59">
        <v>2</v>
      </c>
      <c r="I326" s="57"/>
      <c r="J326" s="57"/>
      <c r="K326" s="59"/>
      <c r="L326" s="57"/>
      <c r="M326" s="60"/>
      <c r="N326" s="59"/>
      <c r="O326" s="57"/>
      <c r="P326" s="57"/>
      <c r="Q326" s="57" t="s">
        <v>22</v>
      </c>
      <c r="R326" s="57" t="s">
        <v>232</v>
      </c>
      <c r="S326" s="59">
        <v>87728</v>
      </c>
      <c r="T326" s="57" t="s">
        <v>61</v>
      </c>
      <c r="U326" s="60">
        <v>45810</v>
      </c>
      <c r="V326" s="59">
        <v>87728</v>
      </c>
      <c r="W326" s="57" t="s">
        <v>2159</v>
      </c>
      <c r="X326" s="57" t="s">
        <v>2160</v>
      </c>
      <c r="Y326" s="57" t="s">
        <v>21</v>
      </c>
      <c r="Z326" s="57" t="s">
        <v>320</v>
      </c>
      <c r="AA326" s="59">
        <v>12071</v>
      </c>
      <c r="AB326" s="57" t="s">
        <v>61</v>
      </c>
      <c r="AC326" s="60">
        <v>45847</v>
      </c>
      <c r="AD326" s="59">
        <v>12071</v>
      </c>
      <c r="AE326" s="57" t="s">
        <v>2161</v>
      </c>
      <c r="AF326" s="57" t="s">
        <v>2162</v>
      </c>
    </row>
    <row r="327" spans="1:32">
      <c r="A327" s="57">
        <v>326</v>
      </c>
      <c r="B327" s="58">
        <v>45892.495636574073</v>
      </c>
      <c r="C327" s="58">
        <v>45892.511111111111</v>
      </c>
      <c r="D327" s="57" t="s">
        <v>2163</v>
      </c>
      <c r="E327" s="57" t="s">
        <v>2164</v>
      </c>
      <c r="F327" s="58"/>
      <c r="G327" s="57" t="s">
        <v>484</v>
      </c>
      <c r="H327" s="59">
        <v>3</v>
      </c>
      <c r="I327" s="57" t="s">
        <v>21</v>
      </c>
      <c r="J327" s="57" t="s">
        <v>2165</v>
      </c>
      <c r="K327" s="59">
        <v>3219</v>
      </c>
      <c r="L327" s="57" t="s">
        <v>61</v>
      </c>
      <c r="M327" s="60">
        <v>45783</v>
      </c>
      <c r="N327" s="59">
        <v>3219</v>
      </c>
      <c r="O327" s="57" t="s">
        <v>2166</v>
      </c>
      <c r="P327" s="57" t="s">
        <v>2167</v>
      </c>
      <c r="Q327" s="57" t="s">
        <v>22</v>
      </c>
      <c r="R327" s="57" t="s">
        <v>254</v>
      </c>
      <c r="S327" s="59">
        <v>24567</v>
      </c>
      <c r="T327" s="57" t="s">
        <v>61</v>
      </c>
      <c r="U327" s="60">
        <v>45822</v>
      </c>
      <c r="V327" s="59">
        <v>24567</v>
      </c>
      <c r="W327" s="57" t="s">
        <v>2168</v>
      </c>
      <c r="X327" s="57" t="s">
        <v>2169</v>
      </c>
      <c r="Y327" s="57" t="s">
        <v>21</v>
      </c>
      <c r="Z327" s="57" t="s">
        <v>150</v>
      </c>
      <c r="AA327" s="59">
        <v>32457</v>
      </c>
      <c r="AB327" s="57" t="s">
        <v>61</v>
      </c>
      <c r="AC327" s="60">
        <v>45811</v>
      </c>
      <c r="AD327" s="59">
        <v>32457</v>
      </c>
      <c r="AE327" s="57" t="s">
        <v>2170</v>
      </c>
      <c r="AF327" s="57" t="s">
        <v>2171</v>
      </c>
    </row>
    <row r="328" spans="1:32">
      <c r="A328" s="57">
        <v>327</v>
      </c>
      <c r="B328" s="58">
        <v>45892.577418981477</v>
      </c>
      <c r="C328" s="58">
        <v>45892.584861111107</v>
      </c>
      <c r="D328" s="57" t="s">
        <v>2172</v>
      </c>
      <c r="E328" s="57" t="s">
        <v>2173</v>
      </c>
      <c r="F328" s="58"/>
      <c r="G328" s="57" t="s">
        <v>515</v>
      </c>
      <c r="H328" s="59">
        <v>1</v>
      </c>
      <c r="I328" s="57"/>
      <c r="J328" s="57"/>
      <c r="K328" s="59"/>
      <c r="L328" s="57"/>
      <c r="M328" s="60"/>
      <c r="N328" s="59"/>
      <c r="O328" s="57"/>
      <c r="P328" s="57"/>
      <c r="Q328" s="57"/>
      <c r="R328" s="57"/>
      <c r="S328" s="59"/>
      <c r="T328" s="57"/>
      <c r="U328" s="60"/>
      <c r="V328" s="59"/>
      <c r="W328" s="57"/>
      <c r="X328" s="57"/>
      <c r="Y328" s="57" t="s">
        <v>21</v>
      </c>
      <c r="Z328" s="57" t="s">
        <v>182</v>
      </c>
      <c r="AA328" s="59">
        <v>32497</v>
      </c>
      <c r="AB328" s="57" t="s">
        <v>61</v>
      </c>
      <c r="AC328" s="60">
        <v>45715</v>
      </c>
      <c r="AD328" s="59">
        <v>32497</v>
      </c>
      <c r="AE328" s="57" t="s">
        <v>2174</v>
      </c>
      <c r="AF328" s="57" t="s">
        <v>2175</v>
      </c>
    </row>
    <row r="329" spans="1:32">
      <c r="A329" s="57">
        <v>328</v>
      </c>
      <c r="B329" s="58">
        <v>45892.590949074067</v>
      </c>
      <c r="C329" s="58">
        <v>45892.593229166669</v>
      </c>
      <c r="D329" s="57" t="s">
        <v>1209</v>
      </c>
      <c r="E329" s="57" t="s">
        <v>1210</v>
      </c>
      <c r="F329" s="58"/>
      <c r="G329" s="57" t="s">
        <v>581</v>
      </c>
      <c r="H329" s="59">
        <v>2</v>
      </c>
      <c r="I329" s="57"/>
      <c r="J329" s="57"/>
      <c r="K329" s="59"/>
      <c r="L329" s="57"/>
      <c r="M329" s="60"/>
      <c r="N329" s="59"/>
      <c r="O329" s="57"/>
      <c r="P329" s="57"/>
      <c r="Q329" s="57" t="s">
        <v>22</v>
      </c>
      <c r="R329" s="57" t="s">
        <v>255</v>
      </c>
      <c r="S329" s="59">
        <v>23768</v>
      </c>
      <c r="T329" s="57" t="s">
        <v>61</v>
      </c>
      <c r="U329" s="60">
        <v>45763</v>
      </c>
      <c r="V329" s="59">
        <v>23768</v>
      </c>
      <c r="W329" s="57" t="s">
        <v>2176</v>
      </c>
      <c r="X329" s="57" t="s">
        <v>2177</v>
      </c>
      <c r="Y329" s="57" t="s">
        <v>20</v>
      </c>
      <c r="Z329" s="57" t="s">
        <v>1211</v>
      </c>
      <c r="AA329" s="59">
        <v>42364</v>
      </c>
      <c r="AB329" s="57" t="s">
        <v>61</v>
      </c>
      <c r="AC329" s="60">
        <v>45881</v>
      </c>
      <c r="AD329" s="59">
        <v>42364</v>
      </c>
      <c r="AE329" s="57" t="s">
        <v>2178</v>
      </c>
      <c r="AF329" s="57" t="s">
        <v>2179</v>
      </c>
    </row>
    <row r="330" spans="1:32">
      <c r="A330" s="57">
        <v>329</v>
      </c>
      <c r="B330" s="58">
        <v>45892.581134259257</v>
      </c>
      <c r="C330" s="58">
        <v>45892.615590277783</v>
      </c>
      <c r="D330" s="57" t="s">
        <v>2180</v>
      </c>
      <c r="E330" s="57" t="s">
        <v>2181</v>
      </c>
      <c r="F330" s="58"/>
      <c r="G330" s="57" t="s">
        <v>590</v>
      </c>
      <c r="H330" s="59">
        <v>2</v>
      </c>
      <c r="I330" s="57"/>
      <c r="J330" s="57"/>
      <c r="K330" s="59"/>
      <c r="L330" s="57"/>
      <c r="M330" s="60"/>
      <c r="N330" s="59"/>
      <c r="O330" s="57"/>
      <c r="P330" s="57"/>
      <c r="Q330" s="57" t="s">
        <v>22</v>
      </c>
      <c r="R330" s="57" t="s">
        <v>264</v>
      </c>
      <c r="S330" s="59">
        <v>25752</v>
      </c>
      <c r="T330" s="57" t="s">
        <v>61</v>
      </c>
      <c r="U330" s="60">
        <v>45780</v>
      </c>
      <c r="V330" s="59">
        <v>25752</v>
      </c>
      <c r="W330" s="57" t="s">
        <v>2182</v>
      </c>
      <c r="X330" s="57" t="s">
        <v>2183</v>
      </c>
      <c r="Y330" s="57" t="s">
        <v>20</v>
      </c>
      <c r="Z330" s="57" t="s">
        <v>382</v>
      </c>
      <c r="AA330" s="59">
        <v>1986</v>
      </c>
      <c r="AB330" s="57" t="s">
        <v>61</v>
      </c>
      <c r="AC330" s="60">
        <v>45836</v>
      </c>
      <c r="AD330" s="59">
        <v>1986</v>
      </c>
      <c r="AE330" s="57" t="s">
        <v>2184</v>
      </c>
      <c r="AF330" s="57" t="s">
        <v>2185</v>
      </c>
    </row>
    <row r="331" spans="1:32">
      <c r="A331" s="57">
        <v>330</v>
      </c>
      <c r="B331" s="58">
        <v>45892.817766203712</v>
      </c>
      <c r="C331" s="58">
        <v>45892.821030092593</v>
      </c>
      <c r="D331" s="57" t="s">
        <v>1502</v>
      </c>
      <c r="E331" s="57" t="s">
        <v>1503</v>
      </c>
      <c r="F331" s="58"/>
      <c r="G331" s="57" t="s">
        <v>491</v>
      </c>
      <c r="H331" s="59">
        <v>1</v>
      </c>
      <c r="I331" s="57"/>
      <c r="J331" s="57"/>
      <c r="K331" s="59"/>
      <c r="L331" s="57"/>
      <c r="M331" s="60"/>
      <c r="N331" s="59"/>
      <c r="O331" s="57"/>
      <c r="P331" s="57"/>
      <c r="Q331" s="57"/>
      <c r="R331" s="57"/>
      <c r="S331" s="59"/>
      <c r="T331" s="57"/>
      <c r="U331" s="60"/>
      <c r="V331" s="59"/>
      <c r="W331" s="57"/>
      <c r="X331" s="57"/>
      <c r="Y331" s="57" t="s">
        <v>22</v>
      </c>
      <c r="Z331" s="57" t="s">
        <v>157</v>
      </c>
      <c r="AA331" s="59">
        <v>48399</v>
      </c>
      <c r="AB331" s="57" t="s">
        <v>61</v>
      </c>
      <c r="AC331" s="60">
        <v>45852</v>
      </c>
      <c r="AD331" s="59">
        <v>48399</v>
      </c>
      <c r="AE331" s="57" t="s">
        <v>2186</v>
      </c>
      <c r="AF331" s="57" t="s">
        <v>2187</v>
      </c>
    </row>
    <row r="332" spans="1:32">
      <c r="A332" s="57">
        <v>331</v>
      </c>
      <c r="B332" s="58">
        <v>45894.368726851862</v>
      </c>
      <c r="C332" s="58">
        <v>45894.381863425922</v>
      </c>
      <c r="D332" s="57" t="s">
        <v>2188</v>
      </c>
      <c r="E332" s="57" t="s">
        <v>2189</v>
      </c>
      <c r="F332" s="58"/>
      <c r="G332" s="57" t="s">
        <v>683</v>
      </c>
      <c r="H332" s="59">
        <v>2</v>
      </c>
      <c r="I332" s="57"/>
      <c r="J332" s="57"/>
      <c r="K332" s="59"/>
      <c r="L332" s="57"/>
      <c r="M332" s="60"/>
      <c r="N332" s="59"/>
      <c r="O332" s="57"/>
      <c r="P332" s="57"/>
      <c r="Q332" s="57" t="s">
        <v>21</v>
      </c>
      <c r="R332" s="57" t="s">
        <v>2190</v>
      </c>
      <c r="S332" s="59">
        <v>123569</v>
      </c>
      <c r="T332" s="57" t="s">
        <v>61</v>
      </c>
      <c r="U332" s="60">
        <v>45832</v>
      </c>
      <c r="V332" s="59">
        <v>123569</v>
      </c>
      <c r="W332" s="57" t="s">
        <v>2191</v>
      </c>
      <c r="X332" s="57" t="s">
        <v>2192</v>
      </c>
      <c r="Y332" s="57" t="s">
        <v>21</v>
      </c>
      <c r="Z332" s="57" t="s">
        <v>2193</v>
      </c>
      <c r="AA332" s="59">
        <v>65455</v>
      </c>
      <c r="AB332" s="57" t="s">
        <v>61</v>
      </c>
      <c r="AC332" s="60">
        <v>45786</v>
      </c>
      <c r="AD332" s="59">
        <v>65455</v>
      </c>
      <c r="AE332" s="57" t="s">
        <v>2194</v>
      </c>
      <c r="AF332" s="57" t="s">
        <v>2195</v>
      </c>
    </row>
    <row r="333" spans="1:32">
      <c r="A333" s="57">
        <v>332</v>
      </c>
      <c r="B333" s="58">
        <v>45894.383113425924</v>
      </c>
      <c r="C333" s="58">
        <v>45894.38585648148</v>
      </c>
      <c r="D333" s="57" t="s">
        <v>1276</v>
      </c>
      <c r="E333" s="57" t="s">
        <v>1277</v>
      </c>
      <c r="F333" s="58"/>
      <c r="G333" s="57" t="s">
        <v>668</v>
      </c>
      <c r="H333" s="59">
        <v>2</v>
      </c>
      <c r="I333" s="57"/>
      <c r="J333" s="57"/>
      <c r="K333" s="59"/>
      <c r="L333" s="57"/>
      <c r="M333" s="60"/>
      <c r="N333" s="59"/>
      <c r="O333" s="57"/>
      <c r="P333" s="57"/>
      <c r="Q333" s="57" t="s">
        <v>20</v>
      </c>
      <c r="R333" s="57" t="s">
        <v>378</v>
      </c>
      <c r="S333" s="59">
        <v>3387</v>
      </c>
      <c r="T333" s="57" t="s">
        <v>61</v>
      </c>
      <c r="U333" s="60">
        <v>45811</v>
      </c>
      <c r="V333" s="59">
        <v>3387</v>
      </c>
      <c r="W333" s="57" t="s">
        <v>2196</v>
      </c>
      <c r="X333" s="57" t="s">
        <v>2197</v>
      </c>
      <c r="Y333" s="57" t="s">
        <v>21</v>
      </c>
      <c r="Z333" s="57" t="s">
        <v>1280</v>
      </c>
      <c r="AA333" s="59">
        <v>44648</v>
      </c>
      <c r="AB333" s="57" t="s">
        <v>61</v>
      </c>
      <c r="AC333" s="60">
        <v>45811</v>
      </c>
      <c r="AD333" s="59">
        <v>44648</v>
      </c>
      <c r="AE333" s="57" t="s">
        <v>2198</v>
      </c>
      <c r="AF333" s="57" t="s">
        <v>2199</v>
      </c>
    </row>
    <row r="334" spans="1:32">
      <c r="A334" s="57">
        <v>333</v>
      </c>
      <c r="B334" s="58">
        <v>45894.405173611107</v>
      </c>
      <c r="C334" s="58">
        <v>45894.405763888892</v>
      </c>
      <c r="D334" s="57" t="s">
        <v>1617</v>
      </c>
      <c r="E334" s="57" t="s">
        <v>1618</v>
      </c>
      <c r="F334" s="58"/>
      <c r="G334" s="57" t="s">
        <v>625</v>
      </c>
      <c r="H334" s="59">
        <v>1</v>
      </c>
      <c r="I334" s="57"/>
      <c r="J334" s="57"/>
      <c r="K334" s="59"/>
      <c r="L334" s="57"/>
      <c r="M334" s="60"/>
      <c r="N334" s="59"/>
      <c r="O334" s="57"/>
      <c r="P334" s="57"/>
      <c r="Q334" s="57"/>
      <c r="R334" s="57"/>
      <c r="S334" s="59"/>
      <c r="T334" s="57"/>
      <c r="U334" s="60"/>
      <c r="V334" s="59"/>
      <c r="W334" s="57"/>
      <c r="X334" s="57"/>
      <c r="Y334" s="57" t="s">
        <v>21</v>
      </c>
      <c r="Z334" s="57" t="s">
        <v>307</v>
      </c>
      <c r="AA334" s="59">
        <v>18077</v>
      </c>
      <c r="AB334" s="57" t="s">
        <v>61</v>
      </c>
      <c r="AC334" s="60">
        <v>45799</v>
      </c>
      <c r="AD334" s="59">
        <v>18077</v>
      </c>
      <c r="AE334" s="57" t="s">
        <v>2200</v>
      </c>
      <c r="AF334" s="57" t="s">
        <v>2201</v>
      </c>
    </row>
    <row r="335" spans="1:32">
      <c r="A335" s="57">
        <v>334</v>
      </c>
      <c r="B335" s="58">
        <v>45894.40283564815</v>
      </c>
      <c r="C335" s="58">
        <v>45894.412141203713</v>
      </c>
      <c r="D335" s="57" t="s">
        <v>1272</v>
      </c>
      <c r="E335" s="57" t="s">
        <v>1273</v>
      </c>
      <c r="F335" s="58"/>
      <c r="G335" s="57" t="s">
        <v>489</v>
      </c>
      <c r="H335" s="59">
        <v>1</v>
      </c>
      <c r="I335" s="57"/>
      <c r="J335" s="57"/>
      <c r="K335" s="59"/>
      <c r="L335" s="57"/>
      <c r="M335" s="60"/>
      <c r="N335" s="59"/>
      <c r="O335" s="57"/>
      <c r="P335" s="57"/>
      <c r="Q335" s="57"/>
      <c r="R335" s="57"/>
      <c r="S335" s="59"/>
      <c r="T335" s="57"/>
      <c r="U335" s="60"/>
      <c r="V335" s="59"/>
      <c r="W335" s="57"/>
      <c r="X335" s="57"/>
      <c r="Y335" s="57" t="s">
        <v>20</v>
      </c>
      <c r="Z335" s="57" t="s">
        <v>155</v>
      </c>
      <c r="AA335" s="59">
        <v>40018</v>
      </c>
      <c r="AB335" s="57" t="s">
        <v>61</v>
      </c>
      <c r="AC335" s="60">
        <v>45860</v>
      </c>
      <c r="AD335" s="59">
        <v>40018</v>
      </c>
      <c r="AE335" s="57" t="s">
        <v>2202</v>
      </c>
      <c r="AF335" s="57" t="s">
        <v>2203</v>
      </c>
    </row>
    <row r="336" spans="1:32">
      <c r="A336" s="57">
        <v>335</v>
      </c>
      <c r="B336" s="58">
        <v>45894.406331018523</v>
      </c>
      <c r="C336" s="58">
        <v>45894.412604166668</v>
      </c>
      <c r="D336" s="57" t="s">
        <v>1617</v>
      </c>
      <c r="E336" s="57" t="s">
        <v>1618</v>
      </c>
      <c r="F336" s="58"/>
      <c r="G336" s="57" t="s">
        <v>625</v>
      </c>
      <c r="H336" s="59">
        <v>2</v>
      </c>
      <c r="I336" s="57"/>
      <c r="J336" s="57"/>
      <c r="K336" s="59"/>
      <c r="L336" s="57"/>
      <c r="M336" s="60"/>
      <c r="N336" s="59"/>
      <c r="O336" s="57"/>
      <c r="P336" s="57"/>
      <c r="Q336" s="57" t="s">
        <v>22</v>
      </c>
      <c r="R336" s="57" t="s">
        <v>349</v>
      </c>
      <c r="S336" s="59">
        <v>13256</v>
      </c>
      <c r="T336" s="57" t="s">
        <v>61</v>
      </c>
      <c r="U336" s="60">
        <v>45866</v>
      </c>
      <c r="V336" s="59">
        <v>13256</v>
      </c>
      <c r="W336" s="57" t="s">
        <v>2204</v>
      </c>
      <c r="X336" s="57" t="s">
        <v>2205</v>
      </c>
      <c r="Y336" s="57" t="s">
        <v>21</v>
      </c>
      <c r="Z336" s="57" t="s">
        <v>307</v>
      </c>
      <c r="AA336" s="59">
        <v>19186</v>
      </c>
      <c r="AB336" s="57" t="s">
        <v>61</v>
      </c>
      <c r="AC336" s="60">
        <v>45799</v>
      </c>
      <c r="AD336" s="59">
        <v>19186</v>
      </c>
      <c r="AE336" s="57" t="s">
        <v>2206</v>
      </c>
      <c r="AF336" s="57" t="s">
        <v>2207</v>
      </c>
    </row>
    <row r="337" spans="1:32">
      <c r="A337" s="57">
        <v>336</v>
      </c>
      <c r="B337" s="58">
        <v>45894.433125000003</v>
      </c>
      <c r="C337" s="58">
        <v>45894.436122685183</v>
      </c>
      <c r="D337" s="57" t="s">
        <v>726</v>
      </c>
      <c r="E337" s="57" t="s">
        <v>727</v>
      </c>
      <c r="F337" s="58"/>
      <c r="G337" s="57" t="s">
        <v>540</v>
      </c>
      <c r="H337" s="59">
        <v>1</v>
      </c>
      <c r="I337" s="57"/>
      <c r="J337" s="57"/>
      <c r="K337" s="59"/>
      <c r="L337" s="57"/>
      <c r="M337" s="60"/>
      <c r="N337" s="59"/>
      <c r="O337" s="57"/>
      <c r="P337" s="57"/>
      <c r="Q337" s="57"/>
      <c r="R337" s="57"/>
      <c r="S337" s="59"/>
      <c r="T337" s="57"/>
      <c r="U337" s="60"/>
      <c r="V337" s="59"/>
      <c r="W337" s="57"/>
      <c r="X337" s="57"/>
      <c r="Y337" s="57" t="s">
        <v>20</v>
      </c>
      <c r="Z337" s="57" t="s">
        <v>208</v>
      </c>
      <c r="AA337" s="59">
        <v>40503</v>
      </c>
      <c r="AB337" s="57" t="s">
        <v>61</v>
      </c>
      <c r="AC337" s="60">
        <v>45892</v>
      </c>
      <c r="AD337" s="59">
        <v>40503</v>
      </c>
      <c r="AE337" s="57" t="s">
        <v>2208</v>
      </c>
      <c r="AF337" s="57" t="s">
        <v>2209</v>
      </c>
    </row>
    <row r="338" spans="1:32">
      <c r="A338" s="57">
        <v>337</v>
      </c>
      <c r="B338" s="58">
        <v>45894.467916666668</v>
      </c>
      <c r="C338" s="58">
        <v>45894.469490740739</v>
      </c>
      <c r="D338" s="57" t="s">
        <v>1603</v>
      </c>
      <c r="E338" s="57" t="s">
        <v>1604</v>
      </c>
      <c r="F338" s="58"/>
      <c r="G338" s="57" t="s">
        <v>538</v>
      </c>
      <c r="H338" s="59">
        <v>1</v>
      </c>
      <c r="I338" s="57"/>
      <c r="J338" s="57"/>
      <c r="K338" s="59"/>
      <c r="L338" s="57"/>
      <c r="M338" s="60"/>
      <c r="N338" s="59"/>
      <c r="O338" s="57"/>
      <c r="P338" s="57"/>
      <c r="Q338" s="57"/>
      <c r="R338" s="57"/>
      <c r="S338" s="59"/>
      <c r="T338" s="57"/>
      <c r="U338" s="60"/>
      <c r="V338" s="59"/>
      <c r="W338" s="57"/>
      <c r="X338" s="57"/>
      <c r="Y338" s="57" t="s">
        <v>21</v>
      </c>
      <c r="Z338" s="57" t="s">
        <v>206</v>
      </c>
      <c r="AA338" s="59">
        <v>43042</v>
      </c>
      <c r="AB338" s="57" t="s">
        <v>61</v>
      </c>
      <c r="AC338" s="60">
        <v>45818</v>
      </c>
      <c r="AD338" s="59">
        <v>43042</v>
      </c>
      <c r="AE338" s="57" t="s">
        <v>2210</v>
      </c>
      <c r="AF338" s="57" t="s">
        <v>2211</v>
      </c>
    </row>
    <row r="339" spans="1:32">
      <c r="A339" s="57">
        <v>338</v>
      </c>
      <c r="B339" s="58">
        <v>45894.471168981479</v>
      </c>
      <c r="C339" s="58">
        <v>45894.488298611112</v>
      </c>
      <c r="D339" s="57" t="s">
        <v>2212</v>
      </c>
      <c r="E339" s="57" t="s">
        <v>2213</v>
      </c>
      <c r="F339" s="58"/>
      <c r="G339" s="57" t="s">
        <v>707</v>
      </c>
      <c r="H339" s="59">
        <v>1</v>
      </c>
      <c r="I339" s="57"/>
      <c r="J339" s="57"/>
      <c r="K339" s="59"/>
      <c r="L339" s="57"/>
      <c r="M339" s="60"/>
      <c r="N339" s="59"/>
      <c r="O339" s="57"/>
      <c r="P339" s="57"/>
      <c r="Q339" s="57"/>
      <c r="R339" s="57"/>
      <c r="S339" s="59"/>
      <c r="T339" s="57"/>
      <c r="U339" s="60"/>
      <c r="V339" s="59"/>
      <c r="W339" s="57"/>
      <c r="X339" s="57"/>
      <c r="Y339" s="57" t="s">
        <v>20</v>
      </c>
      <c r="Z339" s="57" t="s">
        <v>2214</v>
      </c>
      <c r="AA339" s="59">
        <v>14207</v>
      </c>
      <c r="AB339" s="57" t="s">
        <v>61</v>
      </c>
      <c r="AC339" s="60">
        <v>45894</v>
      </c>
      <c r="AD339" s="59">
        <v>14207</v>
      </c>
      <c r="AE339" s="57" t="s">
        <v>2215</v>
      </c>
      <c r="AF339" s="57" t="s">
        <v>2216</v>
      </c>
    </row>
    <row r="340" spans="1:32">
      <c r="A340" s="57">
        <v>339</v>
      </c>
      <c r="B340" s="58">
        <v>45894.471342592587</v>
      </c>
      <c r="C340" s="58">
        <v>45894.501840277779</v>
      </c>
      <c r="D340" s="57" t="s">
        <v>2217</v>
      </c>
      <c r="E340" s="57" t="s">
        <v>2218</v>
      </c>
      <c r="F340" s="58"/>
      <c r="G340" s="57" t="s">
        <v>546</v>
      </c>
      <c r="H340" s="59">
        <v>2</v>
      </c>
      <c r="I340" s="57"/>
      <c r="J340" s="57"/>
      <c r="K340" s="59"/>
      <c r="L340" s="57"/>
      <c r="M340" s="60"/>
      <c r="N340" s="59"/>
      <c r="O340" s="57"/>
      <c r="P340" s="57"/>
      <c r="Q340" s="57" t="s">
        <v>20</v>
      </c>
      <c r="R340" s="57" t="s">
        <v>920</v>
      </c>
      <c r="S340" s="59">
        <v>95532</v>
      </c>
      <c r="T340" s="57" t="s">
        <v>61</v>
      </c>
      <c r="U340" s="60">
        <v>45819</v>
      </c>
      <c r="V340" s="59">
        <v>95532</v>
      </c>
      <c r="W340" s="57" t="s">
        <v>2219</v>
      </c>
      <c r="X340" s="57" t="s">
        <v>2220</v>
      </c>
      <c r="Y340" s="57" t="s">
        <v>21</v>
      </c>
      <c r="Z340" s="57" t="s">
        <v>215</v>
      </c>
      <c r="AA340" s="59">
        <v>51553</v>
      </c>
      <c r="AB340" s="57" t="s">
        <v>61</v>
      </c>
      <c r="AC340" s="60">
        <v>45819</v>
      </c>
      <c r="AD340" s="59">
        <v>51553</v>
      </c>
      <c r="AE340" s="57" t="s">
        <v>2221</v>
      </c>
      <c r="AF340" s="57" t="s">
        <v>2222</v>
      </c>
    </row>
    <row r="341" spans="1:32">
      <c r="A341" s="57">
        <v>340</v>
      </c>
      <c r="B341" s="58">
        <v>45894.374756944453</v>
      </c>
      <c r="C341" s="58">
        <v>45894.521828703713</v>
      </c>
      <c r="D341" s="57" t="s">
        <v>1371</v>
      </c>
      <c r="E341" s="57" t="s">
        <v>1372</v>
      </c>
      <c r="F341" s="58"/>
      <c r="G341" s="57" t="s">
        <v>514</v>
      </c>
      <c r="H341" s="59">
        <v>1</v>
      </c>
      <c r="I341" s="57"/>
      <c r="J341" s="57"/>
      <c r="K341" s="59"/>
      <c r="L341" s="57"/>
      <c r="M341" s="60"/>
      <c r="N341" s="59"/>
      <c r="O341" s="57"/>
      <c r="P341" s="57"/>
      <c r="Q341" s="57"/>
      <c r="R341" s="57"/>
      <c r="S341" s="59"/>
      <c r="T341" s="57"/>
      <c r="U341" s="60"/>
      <c r="V341" s="59"/>
      <c r="W341" s="57"/>
      <c r="X341" s="57"/>
      <c r="Y341" s="57" t="s">
        <v>21</v>
      </c>
      <c r="Z341" s="57" t="s">
        <v>181</v>
      </c>
      <c r="AA341" s="59">
        <v>32018</v>
      </c>
      <c r="AB341" s="57" t="s">
        <v>61</v>
      </c>
      <c r="AC341" s="60">
        <v>45813</v>
      </c>
      <c r="AD341" s="59">
        <v>32018</v>
      </c>
      <c r="AE341" s="57" t="s">
        <v>2223</v>
      </c>
      <c r="AF341" s="57" t="s">
        <v>2224</v>
      </c>
    </row>
    <row r="342" spans="1:32">
      <c r="A342" s="57">
        <v>341</v>
      </c>
      <c r="B342" s="58">
        <v>45894.533599537041</v>
      </c>
      <c r="C342" s="58">
        <v>45894.534988425927</v>
      </c>
      <c r="D342" s="57" t="s">
        <v>726</v>
      </c>
      <c r="E342" s="57" t="s">
        <v>727</v>
      </c>
      <c r="F342" s="58"/>
      <c r="G342" s="57" t="s">
        <v>540</v>
      </c>
      <c r="H342" s="59">
        <v>1</v>
      </c>
      <c r="I342" s="57"/>
      <c r="J342" s="57"/>
      <c r="K342" s="59"/>
      <c r="L342" s="57"/>
      <c r="M342" s="60"/>
      <c r="N342" s="59"/>
      <c r="O342" s="57"/>
      <c r="P342" s="57"/>
      <c r="Q342" s="57"/>
      <c r="R342" s="57"/>
      <c r="S342" s="59"/>
      <c r="T342" s="57"/>
      <c r="U342" s="60"/>
      <c r="V342" s="59"/>
      <c r="W342" s="57"/>
      <c r="X342" s="57"/>
      <c r="Y342" s="57" t="s">
        <v>20</v>
      </c>
      <c r="Z342" s="57" t="s">
        <v>2225</v>
      </c>
      <c r="AA342" s="59">
        <v>46780</v>
      </c>
      <c r="AB342" s="57" t="s">
        <v>61</v>
      </c>
      <c r="AC342" s="60">
        <v>45892</v>
      </c>
      <c r="AD342" s="59">
        <v>46780</v>
      </c>
      <c r="AE342" s="57" t="s">
        <v>2226</v>
      </c>
      <c r="AF342" s="57" t="s">
        <v>2227</v>
      </c>
    </row>
    <row r="343" spans="1:32">
      <c r="A343" s="57">
        <v>342</v>
      </c>
      <c r="B343" s="58">
        <v>45894.575023148151</v>
      </c>
      <c r="C343" s="58">
        <v>45894.580694444441</v>
      </c>
      <c r="D343" s="57" t="s">
        <v>1309</v>
      </c>
      <c r="E343" s="57" t="s">
        <v>1310</v>
      </c>
      <c r="F343" s="58"/>
      <c r="G343" s="57" t="s">
        <v>613</v>
      </c>
      <c r="H343" s="59">
        <v>2</v>
      </c>
      <c r="I343" s="57"/>
      <c r="J343" s="57"/>
      <c r="K343" s="59"/>
      <c r="L343" s="57"/>
      <c r="M343" s="60"/>
      <c r="N343" s="59"/>
      <c r="O343" s="57"/>
      <c r="P343" s="57"/>
      <c r="Q343" s="57" t="s">
        <v>22</v>
      </c>
      <c r="R343" s="57" t="s">
        <v>369</v>
      </c>
      <c r="S343" s="59">
        <v>5891</v>
      </c>
      <c r="T343" s="57" t="s">
        <v>61</v>
      </c>
      <c r="U343" s="60">
        <v>45894</v>
      </c>
      <c r="V343" s="59">
        <v>5891</v>
      </c>
      <c r="W343" s="57" t="s">
        <v>2228</v>
      </c>
      <c r="X343" s="57" t="s">
        <v>2229</v>
      </c>
      <c r="Y343" s="57" t="s">
        <v>21</v>
      </c>
      <c r="Z343" s="57" t="s">
        <v>293</v>
      </c>
      <c r="AA343" s="59">
        <v>17543</v>
      </c>
      <c r="AB343" s="57" t="s">
        <v>61</v>
      </c>
      <c r="AC343" s="60">
        <v>45801</v>
      </c>
      <c r="AD343" s="59">
        <v>17543</v>
      </c>
      <c r="AE343" s="57" t="s">
        <v>2230</v>
      </c>
      <c r="AF343" s="57" t="s">
        <v>2231</v>
      </c>
    </row>
    <row r="344" spans="1:32">
      <c r="A344" s="57">
        <v>343</v>
      </c>
      <c r="B344" s="58">
        <v>45894.613518518519</v>
      </c>
      <c r="C344" s="58">
        <v>45894.617245370369</v>
      </c>
      <c r="D344" s="57" t="s">
        <v>2232</v>
      </c>
      <c r="E344" s="57" t="s">
        <v>2233</v>
      </c>
      <c r="F344" s="58"/>
      <c r="G344" s="57" t="s">
        <v>600</v>
      </c>
      <c r="H344" s="59">
        <v>1</v>
      </c>
      <c r="I344" s="57"/>
      <c r="J344" s="57"/>
      <c r="K344" s="59"/>
      <c r="L344" s="57"/>
      <c r="M344" s="60"/>
      <c r="N344" s="59"/>
      <c r="O344" s="57"/>
      <c r="P344" s="57"/>
      <c r="Q344" s="57"/>
      <c r="R344" s="57"/>
      <c r="S344" s="59"/>
      <c r="T344" s="57"/>
      <c r="U344" s="60"/>
      <c r="V344" s="59"/>
      <c r="W344" s="57"/>
      <c r="X344" s="57"/>
      <c r="Y344" s="57" t="s">
        <v>20</v>
      </c>
      <c r="Z344" s="57" t="s">
        <v>276</v>
      </c>
      <c r="AA344" s="59">
        <v>20278</v>
      </c>
      <c r="AB344" s="57" t="s">
        <v>61</v>
      </c>
      <c r="AC344" s="60">
        <v>45889</v>
      </c>
      <c r="AD344" s="59">
        <v>20278</v>
      </c>
      <c r="AE344" s="57" t="s">
        <v>2234</v>
      </c>
      <c r="AF344" s="57" t="s">
        <v>2235</v>
      </c>
    </row>
    <row r="345" spans="1:32">
      <c r="A345" s="57">
        <v>344</v>
      </c>
      <c r="B345" s="58">
        <v>45894.632951388892</v>
      </c>
      <c r="C345" s="58">
        <v>45894.63554398148</v>
      </c>
      <c r="D345" s="57" t="s">
        <v>1351</v>
      </c>
      <c r="E345" s="57" t="s">
        <v>1352</v>
      </c>
      <c r="F345" s="58"/>
      <c r="G345" s="57" t="s">
        <v>673</v>
      </c>
      <c r="H345" s="59">
        <v>1</v>
      </c>
      <c r="I345" s="57"/>
      <c r="J345" s="57"/>
      <c r="K345" s="59"/>
      <c r="L345" s="57"/>
      <c r="M345" s="60"/>
      <c r="N345" s="59"/>
      <c r="O345" s="57"/>
      <c r="P345" s="57"/>
      <c r="Q345" s="57"/>
      <c r="R345" s="57"/>
      <c r="S345" s="59"/>
      <c r="T345" s="57"/>
      <c r="U345" s="60"/>
      <c r="V345" s="59"/>
      <c r="W345" s="57"/>
      <c r="X345" s="57"/>
      <c r="Y345" s="57" t="s">
        <v>20</v>
      </c>
      <c r="Z345" s="57" t="s">
        <v>1353</v>
      </c>
      <c r="AA345" s="59">
        <v>74977</v>
      </c>
      <c r="AB345" s="57" t="s">
        <v>61</v>
      </c>
      <c r="AC345" s="60">
        <v>45863</v>
      </c>
      <c r="AD345" s="59">
        <v>74977</v>
      </c>
      <c r="AE345" s="57" t="s">
        <v>2236</v>
      </c>
      <c r="AF345" s="57" t="s">
        <v>2237</v>
      </c>
    </row>
    <row r="346" spans="1:32">
      <c r="A346" s="57">
        <v>345</v>
      </c>
      <c r="B346" s="58">
        <v>45894.63212962963</v>
      </c>
      <c r="C346" s="58">
        <v>45894.652858796297</v>
      </c>
      <c r="D346" s="57" t="s">
        <v>2238</v>
      </c>
      <c r="E346" s="57" t="s">
        <v>2239</v>
      </c>
      <c r="F346" s="58"/>
      <c r="G346" s="57" t="s">
        <v>475</v>
      </c>
      <c r="H346" s="59">
        <v>2</v>
      </c>
      <c r="I346" s="57"/>
      <c r="J346" s="57"/>
      <c r="K346" s="59"/>
      <c r="L346" s="57"/>
      <c r="M346" s="60"/>
      <c r="N346" s="59"/>
      <c r="O346" s="57"/>
      <c r="P346" s="57"/>
      <c r="Q346" s="57" t="s">
        <v>21</v>
      </c>
      <c r="R346" s="57" t="s">
        <v>141</v>
      </c>
      <c r="S346" s="59">
        <v>102974</v>
      </c>
      <c r="T346" s="57" t="s">
        <v>61</v>
      </c>
      <c r="U346" s="60">
        <v>45825</v>
      </c>
      <c r="V346" s="59">
        <v>102974</v>
      </c>
      <c r="W346" s="57" t="s">
        <v>2240</v>
      </c>
      <c r="X346" s="57" t="s">
        <v>2241</v>
      </c>
      <c r="Y346" s="57" t="s">
        <v>21</v>
      </c>
      <c r="Z346" s="57" t="s">
        <v>2242</v>
      </c>
      <c r="AA346" s="59">
        <v>21470</v>
      </c>
      <c r="AB346" s="57" t="s">
        <v>61</v>
      </c>
      <c r="AC346" s="60">
        <v>45821</v>
      </c>
      <c r="AD346" s="59">
        <v>21470</v>
      </c>
      <c r="AE346" s="57" t="s">
        <v>2243</v>
      </c>
      <c r="AF346" s="57" t="s">
        <v>2244</v>
      </c>
    </row>
    <row r="347" spans="1:32">
      <c r="A347" s="57">
        <v>346</v>
      </c>
      <c r="B347" s="58">
        <v>45894.650277777779</v>
      </c>
      <c r="C347" s="58">
        <v>45894.670219907413</v>
      </c>
      <c r="D347" s="57" t="s">
        <v>1754</v>
      </c>
      <c r="E347" s="57" t="s">
        <v>1755</v>
      </c>
      <c r="F347" s="58"/>
      <c r="G347" s="57" t="s">
        <v>620</v>
      </c>
      <c r="H347" s="59">
        <v>2</v>
      </c>
      <c r="I347" s="57"/>
      <c r="J347" s="57"/>
      <c r="K347" s="59"/>
      <c r="L347" s="57"/>
      <c r="M347" s="60"/>
      <c r="N347" s="59"/>
      <c r="O347" s="57"/>
      <c r="P347" s="57"/>
      <c r="Q347" s="57" t="s">
        <v>22</v>
      </c>
      <c r="R347" s="57" t="s">
        <v>302</v>
      </c>
      <c r="S347" s="59">
        <v>14673</v>
      </c>
      <c r="T347" s="57" t="s">
        <v>61</v>
      </c>
      <c r="U347" s="60">
        <v>45890</v>
      </c>
      <c r="V347" s="59">
        <v>14673</v>
      </c>
      <c r="W347" s="57" t="s">
        <v>2245</v>
      </c>
      <c r="X347" s="57" t="s">
        <v>2246</v>
      </c>
      <c r="Y347" s="57" t="s">
        <v>21</v>
      </c>
      <c r="Z347" s="57" t="s">
        <v>357</v>
      </c>
      <c r="AA347" s="59">
        <v>4474</v>
      </c>
      <c r="AB347" s="57" t="s">
        <v>61</v>
      </c>
      <c r="AC347" s="60">
        <v>45809</v>
      </c>
      <c r="AD347" s="59">
        <v>4474</v>
      </c>
      <c r="AE347" s="57" t="s">
        <v>2247</v>
      </c>
      <c r="AF347" s="57" t="s">
        <v>2248</v>
      </c>
    </row>
    <row r="348" spans="1:32">
      <c r="A348" s="57">
        <v>347</v>
      </c>
      <c r="B348" s="58">
        <v>45894.674224537041</v>
      </c>
      <c r="C348" s="58">
        <v>45894.685914351852</v>
      </c>
      <c r="D348" s="57" t="s">
        <v>1045</v>
      </c>
      <c r="E348" s="57" t="s">
        <v>1046</v>
      </c>
      <c r="F348" s="58"/>
      <c r="G348" s="57" t="s">
        <v>610</v>
      </c>
      <c r="H348" s="59">
        <v>1</v>
      </c>
      <c r="I348" s="57"/>
      <c r="J348" s="57"/>
      <c r="K348" s="59"/>
      <c r="L348" s="57"/>
      <c r="M348" s="60"/>
      <c r="N348" s="59"/>
      <c r="O348" s="57"/>
      <c r="P348" s="57"/>
      <c r="Q348" s="57"/>
      <c r="R348" s="57"/>
      <c r="S348" s="59"/>
      <c r="T348" s="57"/>
      <c r="U348" s="60"/>
      <c r="V348" s="59"/>
      <c r="W348" s="57"/>
      <c r="X348" s="57"/>
      <c r="Y348" s="57" t="s">
        <v>21</v>
      </c>
      <c r="Z348" s="57" t="s">
        <v>1047</v>
      </c>
      <c r="AA348" s="59">
        <v>21231</v>
      </c>
      <c r="AB348" s="57" t="s">
        <v>61</v>
      </c>
      <c r="AC348" s="60">
        <v>45875</v>
      </c>
      <c r="AD348" s="59">
        <v>21231</v>
      </c>
      <c r="AE348" s="57" t="s">
        <v>2249</v>
      </c>
      <c r="AF348" s="57" t="s">
        <v>2250</v>
      </c>
    </row>
    <row r="349" spans="1:32">
      <c r="A349" s="57">
        <v>348</v>
      </c>
      <c r="B349" s="58">
        <v>45894.678969907407</v>
      </c>
      <c r="C349" s="58">
        <v>45894.69127314815</v>
      </c>
      <c r="D349" s="57" t="s">
        <v>1198</v>
      </c>
      <c r="E349" s="57" t="s">
        <v>1199</v>
      </c>
      <c r="F349" s="58"/>
      <c r="G349" s="57" t="s">
        <v>452</v>
      </c>
      <c r="H349" s="59">
        <v>2</v>
      </c>
      <c r="I349" s="57"/>
      <c r="J349" s="57"/>
      <c r="K349" s="59"/>
      <c r="L349" s="57"/>
      <c r="M349" s="60"/>
      <c r="N349" s="59"/>
      <c r="O349" s="57"/>
      <c r="P349" s="57"/>
      <c r="Q349" s="57" t="s">
        <v>22</v>
      </c>
      <c r="R349" s="57" t="s">
        <v>118</v>
      </c>
      <c r="S349" s="59">
        <v>58708</v>
      </c>
      <c r="T349" s="57" t="s">
        <v>61</v>
      </c>
      <c r="U349" s="60">
        <v>45713</v>
      </c>
      <c r="V349" s="59">
        <v>58708</v>
      </c>
      <c r="W349" s="57" t="s">
        <v>2251</v>
      </c>
      <c r="X349" s="57" t="s">
        <v>2252</v>
      </c>
      <c r="Y349" s="57" t="s">
        <v>21</v>
      </c>
      <c r="Z349" s="57" t="s">
        <v>1200</v>
      </c>
      <c r="AA349" s="59">
        <v>66280</v>
      </c>
      <c r="AB349" s="57" t="s">
        <v>61</v>
      </c>
      <c r="AC349" s="60">
        <v>45873</v>
      </c>
      <c r="AD349" s="59">
        <v>66280</v>
      </c>
      <c r="AE349" s="57" t="s">
        <v>2253</v>
      </c>
      <c r="AF349" s="57" t="s">
        <v>2254</v>
      </c>
    </row>
    <row r="350" spans="1:32">
      <c r="A350" s="57">
        <v>349</v>
      </c>
      <c r="B350" s="58">
        <v>45894.688125000001</v>
      </c>
      <c r="C350" s="58">
        <v>45894.691701388889</v>
      </c>
      <c r="D350" s="57" t="s">
        <v>1410</v>
      </c>
      <c r="E350" s="57" t="s">
        <v>1411</v>
      </c>
      <c r="F350" s="58"/>
      <c r="G350" s="57" t="s">
        <v>493</v>
      </c>
      <c r="H350" s="59">
        <v>1</v>
      </c>
      <c r="I350" s="57"/>
      <c r="J350" s="57"/>
      <c r="K350" s="59"/>
      <c r="L350" s="57"/>
      <c r="M350" s="60"/>
      <c r="N350" s="59"/>
      <c r="O350" s="57"/>
      <c r="P350" s="57"/>
      <c r="Q350" s="57"/>
      <c r="R350" s="57"/>
      <c r="S350" s="59"/>
      <c r="T350" s="57"/>
      <c r="U350" s="60"/>
      <c r="V350" s="59"/>
      <c r="W350" s="57"/>
      <c r="X350" s="57"/>
      <c r="Y350" s="57" t="s">
        <v>21</v>
      </c>
      <c r="Z350" s="57" t="s">
        <v>159</v>
      </c>
      <c r="AA350" s="59">
        <v>41779</v>
      </c>
      <c r="AB350" s="57" t="s">
        <v>61</v>
      </c>
      <c r="AC350" s="60">
        <v>45796</v>
      </c>
      <c r="AD350" s="59">
        <v>41779</v>
      </c>
      <c r="AE350" s="57" t="s">
        <v>2255</v>
      </c>
      <c r="AF350" s="57" t="s">
        <v>2256</v>
      </c>
    </row>
    <row r="351" spans="1:32">
      <c r="A351" s="57">
        <v>350</v>
      </c>
      <c r="B351" s="58">
        <v>45894.679965277777</v>
      </c>
      <c r="C351" s="58">
        <v>45894.693344907413</v>
      </c>
      <c r="D351" s="57" t="s">
        <v>1594</v>
      </c>
      <c r="E351" s="57" t="s">
        <v>1595</v>
      </c>
      <c r="F351" s="58"/>
      <c r="G351" s="57" t="s">
        <v>631</v>
      </c>
      <c r="H351" s="59">
        <v>1</v>
      </c>
      <c r="I351" s="57"/>
      <c r="J351" s="57"/>
      <c r="K351" s="59"/>
      <c r="L351" s="57"/>
      <c r="M351" s="60"/>
      <c r="N351" s="59"/>
      <c r="O351" s="57"/>
      <c r="P351" s="57"/>
      <c r="Q351" s="57"/>
      <c r="R351" s="57"/>
      <c r="S351" s="59"/>
      <c r="T351" s="57"/>
      <c r="U351" s="60"/>
      <c r="V351" s="59"/>
      <c r="W351" s="57"/>
      <c r="X351" s="57"/>
      <c r="Y351" s="57" t="s">
        <v>21</v>
      </c>
      <c r="Z351" s="57" t="s">
        <v>319</v>
      </c>
      <c r="AA351" s="59">
        <v>7161</v>
      </c>
      <c r="AB351" s="57" t="s">
        <v>61</v>
      </c>
      <c r="AC351" s="60">
        <v>45845</v>
      </c>
      <c r="AD351" s="59">
        <v>7161</v>
      </c>
      <c r="AE351" s="57" t="s">
        <v>2257</v>
      </c>
      <c r="AF351" s="57" t="s">
        <v>2258</v>
      </c>
    </row>
    <row r="352" spans="1:32">
      <c r="A352" s="57">
        <v>351</v>
      </c>
      <c r="B352" s="58">
        <v>45894.712465277778</v>
      </c>
      <c r="C352" s="58">
        <v>45894.715497685182</v>
      </c>
      <c r="D352" s="57" t="s">
        <v>1691</v>
      </c>
      <c r="E352" s="57" t="s">
        <v>1692</v>
      </c>
      <c r="F352" s="58"/>
      <c r="G352" s="57" t="s">
        <v>512</v>
      </c>
      <c r="H352" s="59">
        <v>2</v>
      </c>
      <c r="I352" s="57"/>
      <c r="J352" s="57"/>
      <c r="K352" s="59"/>
      <c r="L352" s="57"/>
      <c r="M352" s="60"/>
      <c r="N352" s="59"/>
      <c r="O352" s="57"/>
      <c r="P352" s="57"/>
      <c r="Q352" s="57" t="s">
        <v>20</v>
      </c>
      <c r="R352" s="57" t="s">
        <v>1693</v>
      </c>
      <c r="S352" s="59">
        <v>100938</v>
      </c>
      <c r="T352" s="57" t="s">
        <v>61</v>
      </c>
      <c r="U352" s="60">
        <v>45877</v>
      </c>
      <c r="V352" s="59">
        <v>100938</v>
      </c>
      <c r="W352" s="57" t="s">
        <v>2259</v>
      </c>
      <c r="X352" s="57" t="s">
        <v>2260</v>
      </c>
      <c r="Y352" s="57" t="s">
        <v>20</v>
      </c>
      <c r="Z352" s="57" t="s">
        <v>179</v>
      </c>
      <c r="AA352" s="59">
        <v>64469</v>
      </c>
      <c r="AB352" s="57" t="s">
        <v>61</v>
      </c>
      <c r="AC352" s="60">
        <v>45877</v>
      </c>
      <c r="AD352" s="59">
        <v>64469</v>
      </c>
      <c r="AE352" s="57" t="s">
        <v>2261</v>
      </c>
      <c r="AF352" s="57" t="s">
        <v>2262</v>
      </c>
    </row>
    <row r="353" spans="1:32">
      <c r="A353" s="57">
        <v>352</v>
      </c>
      <c r="B353" s="58">
        <v>45894.695636574077</v>
      </c>
      <c r="C353" s="58">
        <v>45894.719872685193</v>
      </c>
      <c r="D353" s="57" t="s">
        <v>2263</v>
      </c>
      <c r="E353" s="57" t="s">
        <v>2264</v>
      </c>
      <c r="F353" s="58"/>
      <c r="G353" s="57" t="s">
        <v>694</v>
      </c>
      <c r="H353" s="59">
        <v>1</v>
      </c>
      <c r="I353" s="57"/>
      <c r="J353" s="57"/>
      <c r="K353" s="59"/>
      <c r="L353" s="57"/>
      <c r="M353" s="60"/>
      <c r="N353" s="59"/>
      <c r="O353" s="57"/>
      <c r="P353" s="57"/>
      <c r="Q353" s="57"/>
      <c r="R353" s="57"/>
      <c r="S353" s="59"/>
      <c r="T353" s="57"/>
      <c r="U353" s="60"/>
      <c r="V353" s="59"/>
      <c r="W353" s="57"/>
      <c r="X353" s="57"/>
      <c r="Y353" s="57" t="s">
        <v>21</v>
      </c>
      <c r="Z353" s="57" t="s">
        <v>874</v>
      </c>
      <c r="AA353" s="59">
        <v>48764</v>
      </c>
      <c r="AB353" s="57" t="s">
        <v>61</v>
      </c>
      <c r="AC353" s="60">
        <v>45833</v>
      </c>
      <c r="AD353" s="59">
        <v>48764</v>
      </c>
      <c r="AE353" s="57" t="s">
        <v>2265</v>
      </c>
      <c r="AF353" s="57" t="s">
        <v>2266</v>
      </c>
    </row>
    <row r="354" spans="1:32">
      <c r="A354" s="57">
        <v>353</v>
      </c>
      <c r="B354" s="58">
        <v>45894.689305555563</v>
      </c>
      <c r="C354" s="58">
        <v>45894.720011574071</v>
      </c>
      <c r="D354" s="57" t="s">
        <v>2267</v>
      </c>
      <c r="E354" s="57" t="s">
        <v>2268</v>
      </c>
      <c r="F354" s="58"/>
      <c r="G354" s="57" t="s">
        <v>518</v>
      </c>
      <c r="H354" s="59">
        <v>3</v>
      </c>
      <c r="I354" s="57" t="s">
        <v>22</v>
      </c>
      <c r="J354" s="57" t="s">
        <v>265</v>
      </c>
      <c r="K354" s="59">
        <v>43361</v>
      </c>
      <c r="L354" s="57" t="s">
        <v>61</v>
      </c>
      <c r="M354" s="60">
        <v>45829</v>
      </c>
      <c r="N354" s="59">
        <v>43361</v>
      </c>
      <c r="O354" s="57" t="s">
        <v>2269</v>
      </c>
      <c r="P354" s="57" t="s">
        <v>2270</v>
      </c>
      <c r="Q354" s="57" t="s">
        <v>20</v>
      </c>
      <c r="R354" s="57" t="s">
        <v>185</v>
      </c>
      <c r="S354" s="59">
        <v>49717</v>
      </c>
      <c r="T354" s="57" t="s">
        <v>61</v>
      </c>
      <c r="U354" s="60">
        <v>45888</v>
      </c>
      <c r="V354" s="59">
        <v>49717</v>
      </c>
      <c r="W354" s="57" t="s">
        <v>2271</v>
      </c>
      <c r="X354" s="57" t="s">
        <v>2272</v>
      </c>
      <c r="Y354" s="57" t="s">
        <v>20</v>
      </c>
      <c r="Z354" s="57" t="s">
        <v>2273</v>
      </c>
      <c r="AA354" s="59">
        <v>88788</v>
      </c>
      <c r="AB354" s="57" t="s">
        <v>61</v>
      </c>
      <c r="AC354" s="60">
        <v>45802</v>
      </c>
      <c r="AD354" s="59">
        <v>88788</v>
      </c>
      <c r="AE354" s="57" t="s">
        <v>2274</v>
      </c>
      <c r="AF354" s="57" t="s">
        <v>2275</v>
      </c>
    </row>
    <row r="355" spans="1:32">
      <c r="A355" s="57">
        <v>354</v>
      </c>
      <c r="B355" s="58">
        <v>45894.719537037039</v>
      </c>
      <c r="C355" s="58">
        <v>45894.722743055558</v>
      </c>
      <c r="D355" s="57" t="s">
        <v>1379</v>
      </c>
      <c r="E355" s="57" t="s">
        <v>1380</v>
      </c>
      <c r="F355" s="58"/>
      <c r="G355" s="57" t="s">
        <v>598</v>
      </c>
      <c r="H355" s="59">
        <v>1</v>
      </c>
      <c r="I355" s="57"/>
      <c r="J355" s="57"/>
      <c r="K355" s="59"/>
      <c r="L355" s="57"/>
      <c r="M355" s="60"/>
      <c r="N355" s="59"/>
      <c r="O355" s="57"/>
      <c r="P355" s="57"/>
      <c r="Q355" s="57"/>
      <c r="R355" s="57"/>
      <c r="S355" s="59"/>
      <c r="T355" s="57"/>
      <c r="U355" s="60"/>
      <c r="V355" s="59"/>
      <c r="W355" s="57"/>
      <c r="X355" s="57"/>
      <c r="Y355" s="57" t="s">
        <v>21</v>
      </c>
      <c r="Z355" s="57" t="s">
        <v>274</v>
      </c>
      <c r="AA355" s="59">
        <v>20491</v>
      </c>
      <c r="AB355" s="57" t="s">
        <v>61</v>
      </c>
      <c r="AC355" s="60">
        <v>45889</v>
      </c>
      <c r="AD355" s="59">
        <v>20491</v>
      </c>
      <c r="AE355" s="57" t="s">
        <v>2276</v>
      </c>
      <c r="AF355" s="57" t="s">
        <v>2277</v>
      </c>
    </row>
    <row r="356" spans="1:32">
      <c r="A356" s="57">
        <v>355</v>
      </c>
      <c r="B356" s="58">
        <v>45894.740381944437</v>
      </c>
      <c r="C356" s="58">
        <v>45894.743831018517</v>
      </c>
      <c r="D356" s="57" t="s">
        <v>1058</v>
      </c>
      <c r="E356" s="57" t="s">
        <v>1059</v>
      </c>
      <c r="F356" s="58"/>
      <c r="G356" s="57" t="s">
        <v>467</v>
      </c>
      <c r="H356" s="59">
        <v>2</v>
      </c>
      <c r="I356" s="57"/>
      <c r="J356" s="57"/>
      <c r="K356" s="59"/>
      <c r="L356" s="57"/>
      <c r="M356" s="60"/>
      <c r="N356" s="59"/>
      <c r="O356" s="57"/>
      <c r="P356" s="57"/>
      <c r="Q356" s="57" t="s">
        <v>22</v>
      </c>
      <c r="R356" s="57" t="s">
        <v>133</v>
      </c>
      <c r="S356" s="59">
        <v>54473</v>
      </c>
      <c r="T356" s="57" t="s">
        <v>61</v>
      </c>
      <c r="U356" s="60">
        <v>45850</v>
      </c>
      <c r="V356" s="59">
        <v>54473</v>
      </c>
      <c r="W356" s="57" t="s">
        <v>2278</v>
      </c>
      <c r="X356" s="57" t="s">
        <v>2279</v>
      </c>
      <c r="Y356" s="57" t="s">
        <v>21</v>
      </c>
      <c r="Z356" s="57" t="s">
        <v>176</v>
      </c>
      <c r="AA356" s="59">
        <v>31293</v>
      </c>
      <c r="AB356" s="57" t="s">
        <v>61</v>
      </c>
      <c r="AC356" s="60">
        <v>45797</v>
      </c>
      <c r="AD356" s="59">
        <v>31293</v>
      </c>
      <c r="AE356" s="57" t="s">
        <v>2280</v>
      </c>
      <c r="AF356" s="57" t="s">
        <v>2281</v>
      </c>
    </row>
    <row r="357" spans="1:32">
      <c r="A357" s="57">
        <v>356</v>
      </c>
      <c r="B357" s="58">
        <v>45894.748472222222</v>
      </c>
      <c r="C357" s="58">
        <v>45894.754259259258</v>
      </c>
      <c r="D357" s="57" t="s">
        <v>1638</v>
      </c>
      <c r="E357" s="57" t="s">
        <v>1639</v>
      </c>
      <c r="F357" s="58"/>
      <c r="G357" s="57" t="s">
        <v>639</v>
      </c>
      <c r="H357" s="59">
        <v>2</v>
      </c>
      <c r="I357" s="57"/>
      <c r="J357" s="57"/>
      <c r="K357" s="59"/>
      <c r="L357" s="57"/>
      <c r="M357" s="60"/>
      <c r="N357" s="59"/>
      <c r="O357" s="57"/>
      <c r="P357" s="57"/>
      <c r="Q357" s="57" t="s">
        <v>22</v>
      </c>
      <c r="R357" s="57" t="s">
        <v>243</v>
      </c>
      <c r="S357" s="59">
        <v>39197</v>
      </c>
      <c r="T357" s="57" t="s">
        <v>61</v>
      </c>
      <c r="U357" s="60">
        <v>45799</v>
      </c>
      <c r="V357" s="59">
        <v>39197</v>
      </c>
      <c r="W357" s="57" t="s">
        <v>2282</v>
      </c>
      <c r="X357" s="57" t="s">
        <v>2283</v>
      </c>
      <c r="Y357" s="57" t="s">
        <v>20</v>
      </c>
      <c r="Z357" s="57" t="s">
        <v>332</v>
      </c>
      <c r="AA357" s="59">
        <v>7200</v>
      </c>
      <c r="AB357" s="57" t="s">
        <v>61</v>
      </c>
      <c r="AC357" s="60">
        <v>45710</v>
      </c>
      <c r="AD357" s="59">
        <v>7200</v>
      </c>
      <c r="AE357" s="57" t="s">
        <v>2284</v>
      </c>
      <c r="AF357" s="57" t="s">
        <v>2285</v>
      </c>
    </row>
    <row r="358" spans="1:32">
      <c r="A358" s="57">
        <v>357</v>
      </c>
      <c r="B358" s="58">
        <v>45894.739236111112</v>
      </c>
      <c r="C358" s="58">
        <v>45894.759340277778</v>
      </c>
      <c r="D358" s="57" t="s">
        <v>1682</v>
      </c>
      <c r="E358" s="57" t="s">
        <v>1683</v>
      </c>
      <c r="F358" s="58"/>
      <c r="G358" s="57" t="s">
        <v>606</v>
      </c>
      <c r="H358" s="59">
        <v>3</v>
      </c>
      <c r="I358" s="57" t="s">
        <v>22</v>
      </c>
      <c r="J358" s="57" t="s">
        <v>284</v>
      </c>
      <c r="K358" s="59">
        <v>10343</v>
      </c>
      <c r="L358" s="57" t="s">
        <v>61</v>
      </c>
      <c r="M358" s="60">
        <v>45915</v>
      </c>
      <c r="N358" s="59">
        <v>10343</v>
      </c>
      <c r="O358" s="57" t="s">
        <v>2286</v>
      </c>
      <c r="P358" s="57" t="s">
        <v>2287</v>
      </c>
      <c r="Q358" s="57" t="s">
        <v>21</v>
      </c>
      <c r="R358" s="57" t="s">
        <v>364</v>
      </c>
      <c r="S358" s="59">
        <v>9013</v>
      </c>
      <c r="T358" s="57" t="s">
        <v>61</v>
      </c>
      <c r="U358" s="60">
        <v>45930</v>
      </c>
      <c r="V358" s="59">
        <v>9013</v>
      </c>
      <c r="W358" s="57" t="s">
        <v>2288</v>
      </c>
      <c r="X358" s="57" t="s">
        <v>2289</v>
      </c>
      <c r="Y358" s="57" t="s">
        <v>20</v>
      </c>
      <c r="Z358" s="57" t="s">
        <v>1684</v>
      </c>
      <c r="AA358" s="59">
        <v>64216</v>
      </c>
      <c r="AB358" s="57" t="s">
        <v>61</v>
      </c>
      <c r="AC358" s="60">
        <v>45719</v>
      </c>
      <c r="AD358" s="59">
        <v>64216</v>
      </c>
      <c r="AE358" s="57" t="s">
        <v>2290</v>
      </c>
      <c r="AF358" s="57" t="s">
        <v>2291</v>
      </c>
    </row>
    <row r="359" spans="1:32">
      <c r="A359" s="57">
        <v>358</v>
      </c>
      <c r="B359" s="58">
        <v>45894.822314814817</v>
      </c>
      <c r="C359" s="58">
        <v>45894.826608796298</v>
      </c>
      <c r="D359" s="57" t="s">
        <v>1139</v>
      </c>
      <c r="E359" s="57" t="s">
        <v>1140</v>
      </c>
      <c r="F359" s="58"/>
      <c r="G359" s="57" t="s">
        <v>592</v>
      </c>
      <c r="H359" s="59">
        <v>1</v>
      </c>
      <c r="I359" s="57"/>
      <c r="J359" s="57"/>
      <c r="K359" s="59"/>
      <c r="L359" s="57"/>
      <c r="M359" s="60"/>
      <c r="N359" s="59"/>
      <c r="O359" s="57"/>
      <c r="P359" s="57"/>
      <c r="Q359" s="57"/>
      <c r="R359" s="57"/>
      <c r="S359" s="59"/>
      <c r="T359" s="57"/>
      <c r="U359" s="60"/>
      <c r="V359" s="59"/>
      <c r="W359" s="57"/>
      <c r="X359" s="57"/>
      <c r="Y359" s="57" t="s">
        <v>21</v>
      </c>
      <c r="Z359" s="57" t="s">
        <v>268</v>
      </c>
      <c r="AA359" s="59">
        <v>24299</v>
      </c>
      <c r="AB359" s="57" t="s">
        <v>61</v>
      </c>
      <c r="AC359" s="60">
        <v>45817</v>
      </c>
      <c r="AD359" s="59">
        <v>24299</v>
      </c>
      <c r="AE359" s="57" t="s">
        <v>2292</v>
      </c>
      <c r="AF359" s="57" t="s">
        <v>2293</v>
      </c>
    </row>
    <row r="360" spans="1:32">
      <c r="A360" s="57">
        <v>359</v>
      </c>
      <c r="B360" s="58">
        <v>45895.334699074083</v>
      </c>
      <c r="C360" s="58">
        <v>45895.341249999998</v>
      </c>
      <c r="D360" s="57" t="s">
        <v>1283</v>
      </c>
      <c r="E360" s="57" t="s">
        <v>1284</v>
      </c>
      <c r="F360" s="58"/>
      <c r="G360" s="57" t="s">
        <v>653</v>
      </c>
      <c r="H360" s="59">
        <v>2</v>
      </c>
      <c r="I360" s="57"/>
      <c r="J360" s="57"/>
      <c r="K360" s="59"/>
      <c r="L360" s="57"/>
      <c r="M360" s="60"/>
      <c r="N360" s="59"/>
      <c r="O360" s="57"/>
      <c r="P360" s="57"/>
      <c r="Q360" s="57" t="s">
        <v>22</v>
      </c>
      <c r="R360" s="57" t="s">
        <v>351</v>
      </c>
      <c r="S360" s="59">
        <v>11138</v>
      </c>
      <c r="T360" s="57" t="s">
        <v>61</v>
      </c>
      <c r="U360" s="60">
        <v>45833</v>
      </c>
      <c r="V360" s="59">
        <v>11138</v>
      </c>
      <c r="W360" s="57" t="s">
        <v>2294</v>
      </c>
      <c r="X360" s="57" t="s">
        <v>2295</v>
      </c>
      <c r="Y360" s="57" t="s">
        <v>21</v>
      </c>
      <c r="Z360" s="57" t="s">
        <v>375</v>
      </c>
      <c r="AA360" s="59">
        <v>5146</v>
      </c>
      <c r="AB360" s="57" t="s">
        <v>61</v>
      </c>
      <c r="AC360" s="60">
        <v>45871</v>
      </c>
      <c r="AD360" s="59">
        <v>5146</v>
      </c>
      <c r="AE360" s="57" t="s">
        <v>2296</v>
      </c>
      <c r="AF360" s="57" t="s">
        <v>2297</v>
      </c>
    </row>
    <row r="361" spans="1:32">
      <c r="A361" s="57">
        <v>360</v>
      </c>
      <c r="B361" s="58">
        <v>45895.425185185188</v>
      </c>
      <c r="C361" s="58">
        <v>45895.426354166673</v>
      </c>
      <c r="D361" s="57" t="s">
        <v>744</v>
      </c>
      <c r="E361" s="57" t="s">
        <v>745</v>
      </c>
      <c r="F361" s="58"/>
      <c r="G361" s="57" t="s">
        <v>572</v>
      </c>
      <c r="H361" s="59">
        <v>1</v>
      </c>
      <c r="I361" s="57"/>
      <c r="J361" s="57"/>
      <c r="K361" s="59"/>
      <c r="L361" s="57"/>
      <c r="M361" s="60"/>
      <c r="N361" s="59"/>
      <c r="O361" s="57"/>
      <c r="P361" s="57"/>
      <c r="Q361" s="57"/>
      <c r="R361" s="57"/>
      <c r="S361" s="59"/>
      <c r="T361" s="57"/>
      <c r="U361" s="60"/>
      <c r="V361" s="59"/>
      <c r="W361" s="57"/>
      <c r="X361" s="57"/>
      <c r="Y361" s="57" t="s">
        <v>21</v>
      </c>
      <c r="Z361" s="57" t="s">
        <v>244</v>
      </c>
      <c r="AA361" s="59">
        <v>17872</v>
      </c>
      <c r="AB361" s="57" t="s">
        <v>61</v>
      </c>
      <c r="AC361" s="60">
        <v>45840</v>
      </c>
      <c r="AD361" s="59">
        <v>17872</v>
      </c>
      <c r="AE361" s="57" t="s">
        <v>2298</v>
      </c>
      <c r="AF361" s="57" t="s">
        <v>2299</v>
      </c>
    </row>
    <row r="362" spans="1:32">
      <c r="A362" s="57">
        <v>361</v>
      </c>
      <c r="B362" s="58">
        <v>45895.425254629627</v>
      </c>
      <c r="C362" s="58">
        <v>45895.429525462961</v>
      </c>
      <c r="D362" s="57" t="s">
        <v>1406</v>
      </c>
      <c r="E362" s="57" t="s">
        <v>1407</v>
      </c>
      <c r="F362" s="58"/>
      <c r="G362" s="57" t="s">
        <v>531</v>
      </c>
      <c r="H362" s="59">
        <v>1</v>
      </c>
      <c r="I362" s="57"/>
      <c r="J362" s="57"/>
      <c r="K362" s="59"/>
      <c r="L362" s="57"/>
      <c r="M362" s="60"/>
      <c r="N362" s="59"/>
      <c r="O362" s="57"/>
      <c r="P362" s="57"/>
      <c r="Q362" s="57"/>
      <c r="R362" s="57"/>
      <c r="S362" s="59"/>
      <c r="T362" s="57"/>
      <c r="U362" s="60"/>
      <c r="V362" s="59"/>
      <c r="W362" s="57"/>
      <c r="X362" s="57"/>
      <c r="Y362" s="57" t="s">
        <v>21</v>
      </c>
      <c r="Z362" s="57" t="s">
        <v>199</v>
      </c>
      <c r="AA362" s="59">
        <v>23523</v>
      </c>
      <c r="AB362" s="57" t="s">
        <v>61</v>
      </c>
      <c r="AC362" s="60">
        <v>45688</v>
      </c>
      <c r="AD362" s="59">
        <v>23523</v>
      </c>
      <c r="AE362" s="57" t="s">
        <v>2300</v>
      </c>
      <c r="AF362" s="57" t="s">
        <v>2301</v>
      </c>
    </row>
    <row r="363" spans="1:32">
      <c r="A363" s="57">
        <v>362</v>
      </c>
      <c r="B363" s="58">
        <v>45895.435023148151</v>
      </c>
      <c r="C363" s="58">
        <v>45895.483958333331</v>
      </c>
      <c r="D363" s="57" t="s">
        <v>1745</v>
      </c>
      <c r="E363" s="57" t="s">
        <v>1746</v>
      </c>
      <c r="F363" s="58"/>
      <c r="G363" s="57" t="s">
        <v>557</v>
      </c>
      <c r="H363" s="59">
        <v>2</v>
      </c>
      <c r="I363" s="57"/>
      <c r="J363" s="57"/>
      <c r="K363" s="59"/>
      <c r="L363" s="57"/>
      <c r="M363" s="60"/>
      <c r="N363" s="59"/>
      <c r="O363" s="57"/>
      <c r="P363" s="57"/>
      <c r="Q363" s="57" t="s">
        <v>22</v>
      </c>
      <c r="R363" s="57" t="s">
        <v>227</v>
      </c>
      <c r="S363" s="59">
        <v>62095</v>
      </c>
      <c r="T363" s="57" t="s">
        <v>61</v>
      </c>
      <c r="U363" s="60">
        <v>45895</v>
      </c>
      <c r="V363" s="59">
        <v>62095</v>
      </c>
      <c r="W363" s="57" t="s">
        <v>2302</v>
      </c>
      <c r="X363" s="57" t="s">
        <v>2303</v>
      </c>
      <c r="Y363" s="57" t="s">
        <v>20</v>
      </c>
      <c r="Z363" s="57" t="s">
        <v>1747</v>
      </c>
      <c r="AA363" s="59">
        <v>102844</v>
      </c>
      <c r="AB363" s="57" t="s">
        <v>61</v>
      </c>
      <c r="AC363" s="60">
        <v>45839</v>
      </c>
      <c r="AD363" s="59">
        <v>102844</v>
      </c>
      <c r="AE363" s="57" t="s">
        <v>2304</v>
      </c>
      <c r="AF363" s="57" t="s">
        <v>2305</v>
      </c>
    </row>
    <row r="364" spans="1:32">
      <c r="A364" s="57">
        <v>363</v>
      </c>
      <c r="B364" s="58">
        <v>45895.513726851852</v>
      </c>
      <c r="C364" s="58">
        <v>45895.517511574071</v>
      </c>
      <c r="D364" s="57" t="s">
        <v>1260</v>
      </c>
      <c r="E364" s="57" t="s">
        <v>1261</v>
      </c>
      <c r="F364" s="58"/>
      <c r="G364" s="57" t="s">
        <v>637</v>
      </c>
      <c r="H364" s="59">
        <v>1</v>
      </c>
      <c r="I364" s="57"/>
      <c r="J364" s="57"/>
      <c r="K364" s="59"/>
      <c r="L364" s="57"/>
      <c r="M364" s="60"/>
      <c r="N364" s="59"/>
      <c r="O364" s="57"/>
      <c r="P364" s="57"/>
      <c r="Q364" s="57"/>
      <c r="R364" s="57"/>
      <c r="S364" s="59"/>
      <c r="T364" s="57"/>
      <c r="U364" s="60"/>
      <c r="V364" s="59"/>
      <c r="W364" s="57"/>
      <c r="X364" s="57"/>
      <c r="Y364" s="57" t="s">
        <v>20</v>
      </c>
      <c r="Z364" s="57" t="s">
        <v>330</v>
      </c>
      <c r="AA364" s="59">
        <v>18068</v>
      </c>
      <c r="AB364" s="57" t="s">
        <v>61</v>
      </c>
      <c r="AC364" s="60">
        <v>45848</v>
      </c>
      <c r="AD364" s="59">
        <v>18068</v>
      </c>
      <c r="AE364" s="57" t="s">
        <v>2306</v>
      </c>
      <c r="AF364" s="57" t="s">
        <v>2307</v>
      </c>
    </row>
    <row r="365" spans="1:32">
      <c r="A365" s="57">
        <v>364</v>
      </c>
      <c r="B365" s="58">
        <v>45895.518055555563</v>
      </c>
      <c r="C365" s="58">
        <v>45895.519236111111</v>
      </c>
      <c r="D365" s="57" t="s">
        <v>1260</v>
      </c>
      <c r="E365" s="57" t="s">
        <v>1261</v>
      </c>
      <c r="F365" s="58"/>
      <c r="G365" s="57" t="s">
        <v>1264</v>
      </c>
      <c r="H365" s="59">
        <v>1</v>
      </c>
      <c r="I365" s="57"/>
      <c r="J365" s="57"/>
      <c r="K365" s="59"/>
      <c r="L365" s="57"/>
      <c r="M365" s="60"/>
      <c r="N365" s="59"/>
      <c r="O365" s="57"/>
      <c r="P365" s="57"/>
      <c r="Q365" s="57"/>
      <c r="R365" s="57"/>
      <c r="S365" s="59"/>
      <c r="T365" s="57"/>
      <c r="U365" s="60"/>
      <c r="V365" s="59"/>
      <c r="W365" s="57"/>
      <c r="X365" s="57"/>
      <c r="Y365" s="57" t="s">
        <v>20</v>
      </c>
      <c r="Z365" s="57" t="s">
        <v>1265</v>
      </c>
      <c r="AA365" s="59">
        <v>29176</v>
      </c>
      <c r="AB365" s="57" t="s">
        <v>61</v>
      </c>
      <c r="AC365" s="60">
        <v>45848</v>
      </c>
      <c r="AD365" s="59">
        <v>29176</v>
      </c>
      <c r="AE365" s="57" t="s">
        <v>2308</v>
      </c>
      <c r="AF365" s="57" t="s">
        <v>2309</v>
      </c>
    </row>
    <row r="366" spans="1:32">
      <c r="A366" s="57">
        <v>365</v>
      </c>
      <c r="B366" s="58">
        <v>45895.519537037027</v>
      </c>
      <c r="C366" s="58">
        <v>45895.520613425928</v>
      </c>
      <c r="D366" s="57" t="s">
        <v>1260</v>
      </c>
      <c r="E366" s="57" t="s">
        <v>1261</v>
      </c>
      <c r="F366" s="58"/>
      <c r="G366" s="57" t="s">
        <v>637</v>
      </c>
      <c r="H366" s="59">
        <v>1</v>
      </c>
      <c r="I366" s="57"/>
      <c r="J366" s="57"/>
      <c r="K366" s="59"/>
      <c r="L366" s="57"/>
      <c r="M366" s="60"/>
      <c r="N366" s="59"/>
      <c r="O366" s="57"/>
      <c r="P366" s="57"/>
      <c r="Q366" s="57"/>
      <c r="R366" s="57"/>
      <c r="S366" s="59"/>
      <c r="T366" s="57"/>
      <c r="U366" s="60"/>
      <c r="V366" s="59"/>
      <c r="W366" s="57"/>
      <c r="X366" s="57"/>
      <c r="Y366" s="57" t="s">
        <v>20</v>
      </c>
      <c r="Z366" s="57" t="s">
        <v>2310</v>
      </c>
      <c r="AA366" s="59">
        <v>53655</v>
      </c>
      <c r="AB366" s="57" t="s">
        <v>61</v>
      </c>
      <c r="AC366" s="60">
        <v>45848</v>
      </c>
      <c r="AD366" s="59">
        <v>53655</v>
      </c>
      <c r="AE366" s="57" t="s">
        <v>2311</v>
      </c>
      <c r="AF366" s="57" t="s">
        <v>2312</v>
      </c>
    </row>
    <row r="367" spans="1:32">
      <c r="A367" s="57">
        <v>366</v>
      </c>
      <c r="B367" s="58">
        <v>45895.514814814807</v>
      </c>
      <c r="C367" s="58">
        <v>45895.528993055559</v>
      </c>
      <c r="D367" s="57" t="s">
        <v>1542</v>
      </c>
      <c r="E367" s="57" t="s">
        <v>1543</v>
      </c>
      <c r="F367" s="58"/>
      <c r="G367" s="57" t="s">
        <v>678</v>
      </c>
      <c r="H367" s="59">
        <v>2</v>
      </c>
      <c r="I367" s="57"/>
      <c r="J367" s="57"/>
      <c r="K367" s="59"/>
      <c r="L367" s="57"/>
      <c r="M367" s="60"/>
      <c r="N367" s="59"/>
      <c r="O367" s="57"/>
      <c r="P367" s="57"/>
      <c r="Q367" s="57" t="s">
        <v>20</v>
      </c>
      <c r="R367" s="57" t="s">
        <v>392</v>
      </c>
      <c r="S367" s="59">
        <v>1190</v>
      </c>
      <c r="T367" s="57" t="s">
        <v>61</v>
      </c>
      <c r="U367" s="60">
        <v>45877</v>
      </c>
      <c r="V367" s="59">
        <v>1190</v>
      </c>
      <c r="W367" s="57" t="s">
        <v>2313</v>
      </c>
      <c r="X367" s="57" t="s">
        <v>2314</v>
      </c>
      <c r="Y367" s="57" t="s">
        <v>20</v>
      </c>
      <c r="Z367" s="57" t="s">
        <v>1544</v>
      </c>
      <c r="AA367" s="59">
        <v>28722</v>
      </c>
      <c r="AB367" s="57" t="s">
        <v>61</v>
      </c>
      <c r="AC367" s="60">
        <v>45861</v>
      </c>
      <c r="AD367" s="59">
        <v>28722</v>
      </c>
      <c r="AE367" s="57" t="s">
        <v>2315</v>
      </c>
      <c r="AF367" s="57" t="s">
        <v>2316</v>
      </c>
    </row>
    <row r="368" spans="1:32">
      <c r="A368" s="57">
        <v>367</v>
      </c>
      <c r="B368" s="58">
        <v>45895.585636574076</v>
      </c>
      <c r="C368" s="58">
        <v>45895.588969907411</v>
      </c>
      <c r="D368" s="57" t="s">
        <v>1463</v>
      </c>
      <c r="E368" s="57" t="s">
        <v>1464</v>
      </c>
      <c r="F368" s="58"/>
      <c r="G368" s="57" t="s">
        <v>501</v>
      </c>
      <c r="H368" s="59">
        <v>2</v>
      </c>
      <c r="I368" s="57"/>
      <c r="J368" s="57"/>
      <c r="K368" s="59"/>
      <c r="L368" s="57"/>
      <c r="M368" s="60"/>
      <c r="N368" s="59"/>
      <c r="O368" s="57"/>
      <c r="P368" s="57"/>
      <c r="Q368" s="57" t="s">
        <v>22</v>
      </c>
      <c r="R368" s="57" t="s">
        <v>236</v>
      </c>
      <c r="S368" s="59">
        <v>54404</v>
      </c>
      <c r="T368" s="57" t="s">
        <v>61</v>
      </c>
      <c r="U368" s="60">
        <v>45845</v>
      </c>
      <c r="V368" s="59">
        <v>54404</v>
      </c>
      <c r="W368" s="57" t="s">
        <v>2317</v>
      </c>
      <c r="X368" s="57" t="s">
        <v>2318</v>
      </c>
      <c r="Y368" s="57" t="s">
        <v>21</v>
      </c>
      <c r="Z368" s="57" t="s">
        <v>167</v>
      </c>
      <c r="AA368" s="59">
        <v>32053</v>
      </c>
      <c r="AB368" s="57" t="s">
        <v>61</v>
      </c>
      <c r="AC368" s="60">
        <v>45841</v>
      </c>
      <c r="AD368" s="59">
        <v>32053</v>
      </c>
      <c r="AE368" s="57" t="s">
        <v>2319</v>
      </c>
      <c r="AF368" s="57" t="s">
        <v>2320</v>
      </c>
    </row>
    <row r="369" spans="1:32">
      <c r="A369" s="57">
        <v>368</v>
      </c>
      <c r="B369" s="58">
        <v>45895.586006944453</v>
      </c>
      <c r="C369" s="58">
        <v>45895.590208333328</v>
      </c>
      <c r="D369" s="57" t="s">
        <v>1489</v>
      </c>
      <c r="E369" s="57" t="s">
        <v>1490</v>
      </c>
      <c r="F369" s="58"/>
      <c r="G369" s="57" t="s">
        <v>648</v>
      </c>
      <c r="H369" s="59">
        <v>1</v>
      </c>
      <c r="I369" s="57"/>
      <c r="J369" s="57"/>
      <c r="K369" s="59"/>
      <c r="L369" s="57"/>
      <c r="M369" s="60"/>
      <c r="N369" s="59"/>
      <c r="O369" s="57"/>
      <c r="P369" s="57"/>
      <c r="Q369" s="57"/>
      <c r="R369" s="57"/>
      <c r="S369" s="59"/>
      <c r="T369" s="57"/>
      <c r="U369" s="60"/>
      <c r="V369" s="59"/>
      <c r="W369" s="57"/>
      <c r="X369" s="57"/>
      <c r="Y369" s="57" t="s">
        <v>21</v>
      </c>
      <c r="Z369" s="57" t="s">
        <v>2321</v>
      </c>
      <c r="AA369" s="59">
        <v>6916</v>
      </c>
      <c r="AB369" s="57" t="s">
        <v>61</v>
      </c>
      <c r="AC369" s="60">
        <v>45919</v>
      </c>
      <c r="AD369" s="59">
        <v>6916</v>
      </c>
      <c r="AE369" s="57" t="s">
        <v>2322</v>
      </c>
      <c r="AF369" s="57" t="s">
        <v>2323</v>
      </c>
    </row>
    <row r="370" spans="1:32">
      <c r="A370" s="57">
        <v>369</v>
      </c>
      <c r="B370" s="58">
        <v>45895.583113425928</v>
      </c>
      <c r="C370" s="58">
        <v>45895.590405092589</v>
      </c>
      <c r="D370" s="57" t="s">
        <v>2324</v>
      </c>
      <c r="E370" s="57" t="s">
        <v>2325</v>
      </c>
      <c r="F370" s="58"/>
      <c r="G370" s="57" t="s">
        <v>2326</v>
      </c>
      <c r="H370" s="59">
        <v>2</v>
      </c>
      <c r="I370" s="57"/>
      <c r="J370" s="57"/>
      <c r="K370" s="59"/>
      <c r="L370" s="57"/>
      <c r="M370" s="60"/>
      <c r="N370" s="59"/>
      <c r="O370" s="57"/>
      <c r="P370" s="57"/>
      <c r="Q370" s="57" t="s">
        <v>20</v>
      </c>
      <c r="R370" s="57" t="s">
        <v>2327</v>
      </c>
      <c r="S370" s="59">
        <v>40535</v>
      </c>
      <c r="T370" s="57" t="s">
        <v>61</v>
      </c>
      <c r="U370" s="60">
        <v>45810</v>
      </c>
      <c r="V370" s="59">
        <v>40535</v>
      </c>
      <c r="W370" s="57" t="s">
        <v>2328</v>
      </c>
      <c r="X370" s="57" t="s">
        <v>2329</v>
      </c>
      <c r="Y370" s="57" t="s">
        <v>20</v>
      </c>
      <c r="Z370" s="57" t="s">
        <v>374</v>
      </c>
      <c r="AA370" s="59">
        <v>2968</v>
      </c>
      <c r="AB370" s="57" t="s">
        <v>61</v>
      </c>
      <c r="AC370" s="60">
        <v>45895</v>
      </c>
      <c r="AD370" s="59">
        <v>2968</v>
      </c>
      <c r="AE370" s="57" t="s">
        <v>2330</v>
      </c>
      <c r="AF370" s="57" t="s">
        <v>2331</v>
      </c>
    </row>
    <row r="371" spans="1:32">
      <c r="A371" s="57">
        <v>370</v>
      </c>
      <c r="B371" s="58">
        <v>45895.586342592593</v>
      </c>
      <c r="C371" s="58">
        <v>45895.592743055553</v>
      </c>
      <c r="D371" s="57" t="s">
        <v>1361</v>
      </c>
      <c r="E371" s="57" t="s">
        <v>1362</v>
      </c>
      <c r="F371" s="58"/>
      <c r="G371" s="57" t="s">
        <v>487</v>
      </c>
      <c r="H371" s="59">
        <v>1</v>
      </c>
      <c r="I371" s="57"/>
      <c r="J371" s="57"/>
      <c r="K371" s="59"/>
      <c r="L371" s="57"/>
      <c r="M371" s="60"/>
      <c r="N371" s="59"/>
      <c r="O371" s="57"/>
      <c r="P371" s="57"/>
      <c r="Q371" s="57"/>
      <c r="R371" s="57"/>
      <c r="S371" s="59"/>
      <c r="T371" s="57"/>
      <c r="U371" s="60"/>
      <c r="V371" s="59"/>
      <c r="W371" s="57"/>
      <c r="X371" s="57"/>
      <c r="Y371" s="57" t="s">
        <v>21</v>
      </c>
      <c r="Z371" s="57" t="s">
        <v>153</v>
      </c>
      <c r="AA371" s="59">
        <v>17470</v>
      </c>
      <c r="AB371" s="57" t="s">
        <v>61</v>
      </c>
      <c r="AC371" s="60">
        <v>45701</v>
      </c>
      <c r="AD371" s="59">
        <v>17470</v>
      </c>
      <c r="AE371" s="57" t="s">
        <v>2332</v>
      </c>
      <c r="AF371" s="57" t="s">
        <v>2333</v>
      </c>
    </row>
    <row r="372" spans="1:32">
      <c r="A372" s="57">
        <v>371</v>
      </c>
      <c r="B372" s="58">
        <v>45895.592870370368</v>
      </c>
      <c r="C372" s="58">
        <v>45895.596180555563</v>
      </c>
      <c r="D372" s="57" t="s">
        <v>2334</v>
      </c>
      <c r="E372" s="57" t="s">
        <v>2335</v>
      </c>
      <c r="F372" s="58"/>
      <c r="G372" s="57" t="s">
        <v>519</v>
      </c>
      <c r="H372" s="59">
        <v>2</v>
      </c>
      <c r="I372" s="57"/>
      <c r="J372" s="57"/>
      <c r="K372" s="59"/>
      <c r="L372" s="57"/>
      <c r="M372" s="60"/>
      <c r="N372" s="59"/>
      <c r="O372" s="57"/>
      <c r="P372" s="57"/>
      <c r="Q372" s="57" t="s">
        <v>21</v>
      </c>
      <c r="R372" s="57" t="s">
        <v>186</v>
      </c>
      <c r="S372" s="59">
        <v>21028</v>
      </c>
      <c r="T372" s="57" t="s">
        <v>61</v>
      </c>
      <c r="U372" s="60">
        <v>45889</v>
      </c>
      <c r="V372" s="59">
        <v>21028</v>
      </c>
      <c r="W372" s="57" t="s">
        <v>2336</v>
      </c>
      <c r="X372" s="57" t="s">
        <v>2337</v>
      </c>
      <c r="Y372" s="57" t="s">
        <v>22</v>
      </c>
      <c r="Z372" s="57" t="s">
        <v>222</v>
      </c>
      <c r="AA372" s="59">
        <v>27803</v>
      </c>
      <c r="AB372" s="57" t="s">
        <v>61</v>
      </c>
      <c r="AC372" s="60">
        <v>45758</v>
      </c>
      <c r="AD372" s="59">
        <v>27803</v>
      </c>
      <c r="AE372" s="57" t="s">
        <v>2338</v>
      </c>
      <c r="AF372" s="57" t="s">
        <v>2339</v>
      </c>
    </row>
    <row r="373" spans="1:32">
      <c r="A373" s="57">
        <v>372</v>
      </c>
      <c r="B373" s="58">
        <v>45895.584606481483</v>
      </c>
      <c r="C373" s="58">
        <v>45895.596631944441</v>
      </c>
      <c r="D373" s="57" t="s">
        <v>1717</v>
      </c>
      <c r="E373" s="57" t="s">
        <v>1718</v>
      </c>
      <c r="F373" s="58"/>
      <c r="G373" s="57" t="s">
        <v>570</v>
      </c>
      <c r="H373" s="59">
        <v>2</v>
      </c>
      <c r="I373" s="57"/>
      <c r="J373" s="57"/>
      <c r="K373" s="59"/>
      <c r="L373" s="57"/>
      <c r="M373" s="60"/>
      <c r="N373" s="59"/>
      <c r="O373" s="57"/>
      <c r="P373" s="57"/>
      <c r="Q373" s="57" t="s">
        <v>21</v>
      </c>
      <c r="R373" s="57" t="s">
        <v>312</v>
      </c>
      <c r="S373" s="59">
        <v>1192</v>
      </c>
      <c r="T373" s="57" t="s">
        <v>61</v>
      </c>
      <c r="U373" s="60">
        <v>45883</v>
      </c>
      <c r="V373" s="59">
        <v>1192</v>
      </c>
      <c r="W373" s="57" t="s">
        <v>2340</v>
      </c>
      <c r="X373" s="57" t="s">
        <v>2341</v>
      </c>
      <c r="Y373" s="57" t="s">
        <v>22</v>
      </c>
      <c r="Z373" s="57" t="s">
        <v>242</v>
      </c>
      <c r="AA373" s="59">
        <v>93473</v>
      </c>
      <c r="AB373" s="57" t="s">
        <v>61</v>
      </c>
      <c r="AC373" s="60">
        <v>45848</v>
      </c>
      <c r="AD373" s="59">
        <v>93473</v>
      </c>
      <c r="AE373" s="57" t="s">
        <v>2342</v>
      </c>
      <c r="AF373" s="57" t="s">
        <v>2343</v>
      </c>
    </row>
    <row r="374" spans="1:32">
      <c r="A374" s="57">
        <v>373</v>
      </c>
      <c r="B374" s="58">
        <v>45895.581724537027</v>
      </c>
      <c r="C374" s="58">
        <v>45895.598738425928</v>
      </c>
      <c r="D374" s="57" t="s">
        <v>1003</v>
      </c>
      <c r="E374" s="57" t="s">
        <v>1004</v>
      </c>
      <c r="F374" s="58"/>
      <c r="G374" s="57" t="s">
        <v>636</v>
      </c>
      <c r="H374" s="59">
        <v>1</v>
      </c>
      <c r="I374" s="57"/>
      <c r="J374" s="57"/>
      <c r="K374" s="59"/>
      <c r="L374" s="57"/>
      <c r="M374" s="60"/>
      <c r="N374" s="59"/>
      <c r="O374" s="57"/>
      <c r="P374" s="57"/>
      <c r="Q374" s="57"/>
      <c r="R374" s="57"/>
      <c r="S374" s="59"/>
      <c r="T374" s="57"/>
      <c r="U374" s="60"/>
      <c r="V374" s="59"/>
      <c r="W374" s="57"/>
      <c r="X374" s="57"/>
      <c r="Y374" s="57" t="s">
        <v>22</v>
      </c>
      <c r="Z374" s="57" t="s">
        <v>329</v>
      </c>
      <c r="AA374" s="59">
        <v>1212</v>
      </c>
      <c r="AB374" s="57" t="s">
        <v>61</v>
      </c>
      <c r="AC374" s="60">
        <v>45712</v>
      </c>
      <c r="AD374" s="59">
        <v>1212</v>
      </c>
      <c r="AE374" s="57" t="s">
        <v>2344</v>
      </c>
      <c r="AF374" s="57" t="s">
        <v>2345</v>
      </c>
    </row>
    <row r="375" spans="1:32">
      <c r="A375" s="57">
        <v>374</v>
      </c>
      <c r="B375" s="58">
        <v>45895.59710648148</v>
      </c>
      <c r="C375" s="58">
        <v>45895.601284722223</v>
      </c>
      <c r="D375" s="57" t="s">
        <v>805</v>
      </c>
      <c r="E375" s="57" t="s">
        <v>806</v>
      </c>
      <c r="F375" s="58"/>
      <c r="G375" s="57" t="s">
        <v>481</v>
      </c>
      <c r="H375" s="59">
        <v>1</v>
      </c>
      <c r="I375" s="57"/>
      <c r="J375" s="57"/>
      <c r="K375" s="59"/>
      <c r="L375" s="57"/>
      <c r="M375" s="60"/>
      <c r="N375" s="59"/>
      <c r="O375" s="57"/>
      <c r="P375" s="57"/>
      <c r="Q375" s="57"/>
      <c r="R375" s="57"/>
      <c r="S375" s="59"/>
      <c r="T375" s="57"/>
      <c r="U375" s="60"/>
      <c r="V375" s="59"/>
      <c r="W375" s="57"/>
      <c r="X375" s="57"/>
      <c r="Y375" s="57" t="s">
        <v>21</v>
      </c>
      <c r="Z375" s="57" t="s">
        <v>147</v>
      </c>
      <c r="AA375" s="59">
        <v>35362</v>
      </c>
      <c r="AB375" s="57" t="s">
        <v>61</v>
      </c>
      <c r="AC375" s="60">
        <v>45820</v>
      </c>
      <c r="AD375" s="59">
        <v>35362</v>
      </c>
      <c r="AE375" s="57" t="s">
        <v>2346</v>
      </c>
      <c r="AF375" s="57" t="s">
        <v>2347</v>
      </c>
    </row>
    <row r="376" spans="1:32">
      <c r="A376" s="57">
        <v>375</v>
      </c>
      <c r="B376" s="58">
        <v>45895.601273148153</v>
      </c>
      <c r="C376" s="58">
        <v>45895.603217592587</v>
      </c>
      <c r="D376" s="57" t="s">
        <v>1506</v>
      </c>
      <c r="E376" s="57" t="s">
        <v>1507</v>
      </c>
      <c r="F376" s="58"/>
      <c r="G376" s="57" t="s">
        <v>477</v>
      </c>
      <c r="H376" s="59">
        <v>1</v>
      </c>
      <c r="I376" s="57"/>
      <c r="J376" s="57"/>
      <c r="K376" s="59"/>
      <c r="L376" s="57"/>
      <c r="M376" s="60"/>
      <c r="N376" s="59"/>
      <c r="O376" s="57"/>
      <c r="P376" s="57"/>
      <c r="Q376" s="57"/>
      <c r="R376" s="57"/>
      <c r="S376" s="59"/>
      <c r="T376" s="57"/>
      <c r="U376" s="60"/>
      <c r="V376" s="59"/>
      <c r="W376" s="57"/>
      <c r="X376" s="57"/>
      <c r="Y376" s="57" t="s">
        <v>20</v>
      </c>
      <c r="Z376" s="57" t="s">
        <v>143</v>
      </c>
      <c r="AA376" s="59">
        <v>78921</v>
      </c>
      <c r="AB376" s="57" t="s">
        <v>61</v>
      </c>
      <c r="AC376" s="60">
        <v>45841</v>
      </c>
      <c r="AD376" s="59">
        <v>78921</v>
      </c>
      <c r="AE376" s="57" t="s">
        <v>2348</v>
      </c>
      <c r="AF376" s="57" t="s">
        <v>2349</v>
      </c>
    </row>
    <row r="377" spans="1:32">
      <c r="A377" s="57">
        <v>376</v>
      </c>
      <c r="B377" s="58">
        <v>45895.585856481477</v>
      </c>
      <c r="C377" s="58">
        <v>45895.604444444441</v>
      </c>
      <c r="D377" s="57" t="s">
        <v>2350</v>
      </c>
      <c r="E377" s="57" t="s">
        <v>2351</v>
      </c>
      <c r="F377" s="58"/>
      <c r="G377" s="57" t="s">
        <v>704</v>
      </c>
      <c r="H377" s="59">
        <v>1</v>
      </c>
      <c r="I377" s="57"/>
      <c r="J377" s="57"/>
      <c r="K377" s="59"/>
      <c r="L377" s="57"/>
      <c r="M377" s="60"/>
      <c r="N377" s="59"/>
      <c r="O377" s="57"/>
      <c r="P377" s="57"/>
      <c r="Q377" s="57"/>
      <c r="R377" s="57"/>
      <c r="S377" s="59"/>
      <c r="T377" s="57"/>
      <c r="U377" s="60"/>
      <c r="V377" s="59"/>
      <c r="W377" s="57"/>
      <c r="X377" s="57"/>
      <c r="Y377" s="57" t="s">
        <v>21</v>
      </c>
      <c r="Z377" s="57" t="s">
        <v>2352</v>
      </c>
      <c r="AA377" s="59">
        <v>32217</v>
      </c>
      <c r="AB377" s="57" t="s">
        <v>61</v>
      </c>
      <c r="AC377" s="60">
        <v>45762</v>
      </c>
      <c r="AD377" s="59">
        <v>32217</v>
      </c>
      <c r="AE377" s="57" t="s">
        <v>2353</v>
      </c>
      <c r="AF377" s="57" t="s">
        <v>2354</v>
      </c>
    </row>
    <row r="378" spans="1:32">
      <c r="A378" s="57">
        <v>377</v>
      </c>
      <c r="B378" s="58">
        <v>45895.603310185194</v>
      </c>
      <c r="C378" s="58">
        <v>45895.608310185176</v>
      </c>
      <c r="D378" s="57" t="s">
        <v>755</v>
      </c>
      <c r="E378" s="57" t="s">
        <v>756</v>
      </c>
      <c r="F378" s="58"/>
      <c r="G378" s="57" t="s">
        <v>506</v>
      </c>
      <c r="H378" s="59">
        <v>2</v>
      </c>
      <c r="I378" s="57"/>
      <c r="J378" s="57"/>
      <c r="K378" s="59"/>
      <c r="L378" s="57"/>
      <c r="M378" s="60"/>
      <c r="N378" s="59"/>
      <c r="O378" s="57"/>
      <c r="P378" s="57"/>
      <c r="Q378" s="57" t="s">
        <v>22</v>
      </c>
      <c r="R378" s="57" t="s">
        <v>198</v>
      </c>
      <c r="S378" s="59">
        <v>49080</v>
      </c>
      <c r="T378" s="57" t="s">
        <v>61</v>
      </c>
      <c r="U378" s="60">
        <v>45887</v>
      </c>
      <c r="V378" s="59">
        <v>49080</v>
      </c>
      <c r="W378" s="57" t="s">
        <v>2355</v>
      </c>
      <c r="X378" s="57" t="s">
        <v>2356</v>
      </c>
      <c r="Y378" s="57" t="s">
        <v>20</v>
      </c>
      <c r="Z378" s="57" t="s">
        <v>2357</v>
      </c>
      <c r="AA378" s="59">
        <v>19569</v>
      </c>
      <c r="AB378" s="57" t="s">
        <v>61</v>
      </c>
      <c r="AC378" s="60">
        <v>45764</v>
      </c>
      <c r="AD378" s="59">
        <v>19569</v>
      </c>
      <c r="AE378" s="57" t="s">
        <v>2358</v>
      </c>
      <c r="AF378" s="57" t="s">
        <v>2359</v>
      </c>
    </row>
    <row r="379" spans="1:32">
      <c r="A379" s="57">
        <v>378</v>
      </c>
      <c r="B379" s="58">
        <v>45895.613437499997</v>
      </c>
      <c r="C379" s="58">
        <v>45895.619733796288</v>
      </c>
      <c r="D379" s="57" t="s">
        <v>1356</v>
      </c>
      <c r="E379" s="57" t="s">
        <v>1357</v>
      </c>
      <c r="F379" s="58"/>
      <c r="G379" s="57" t="s">
        <v>690</v>
      </c>
      <c r="H379" s="59">
        <v>1</v>
      </c>
      <c r="I379" s="57"/>
      <c r="J379" s="57"/>
      <c r="K379" s="59"/>
      <c r="L379" s="57"/>
      <c r="M379" s="60"/>
      <c r="N379" s="59"/>
      <c r="O379" s="57"/>
      <c r="P379" s="57"/>
      <c r="Q379" s="57"/>
      <c r="R379" s="57"/>
      <c r="S379" s="59"/>
      <c r="T379" s="57"/>
      <c r="U379" s="60"/>
      <c r="V379" s="59"/>
      <c r="W379" s="57"/>
      <c r="X379" s="57"/>
      <c r="Y379" s="57" t="s">
        <v>21</v>
      </c>
      <c r="Z379" s="57" t="s">
        <v>1358</v>
      </c>
      <c r="AA379" s="59">
        <v>8780</v>
      </c>
      <c r="AB379" s="57" t="s">
        <v>61</v>
      </c>
      <c r="AC379" s="60">
        <v>45883</v>
      </c>
      <c r="AD379" s="59">
        <v>8780</v>
      </c>
      <c r="AE379" s="57" t="s">
        <v>2360</v>
      </c>
      <c r="AF379" s="57" t="s">
        <v>2361</v>
      </c>
    </row>
    <row r="380" spans="1:32">
      <c r="A380" s="57">
        <v>379</v>
      </c>
      <c r="B380" s="58">
        <v>45895.616261574083</v>
      </c>
      <c r="C380" s="58">
        <v>45895.621550925927</v>
      </c>
      <c r="D380" s="57" t="s">
        <v>940</v>
      </c>
      <c r="E380" s="57" t="s">
        <v>941</v>
      </c>
      <c r="F380" s="58"/>
      <c r="G380" s="57" t="s">
        <v>688</v>
      </c>
      <c r="H380" s="59">
        <v>2</v>
      </c>
      <c r="I380" s="57"/>
      <c r="J380" s="57"/>
      <c r="K380" s="59"/>
      <c r="L380" s="57"/>
      <c r="M380" s="60"/>
      <c r="N380" s="59"/>
      <c r="O380" s="57"/>
      <c r="P380" s="57"/>
      <c r="Q380" s="57" t="s">
        <v>20</v>
      </c>
      <c r="R380" s="57" t="s">
        <v>945</v>
      </c>
      <c r="S380" s="59">
        <v>94025</v>
      </c>
      <c r="T380" s="57" t="s">
        <v>61</v>
      </c>
      <c r="U380" s="60">
        <v>45846</v>
      </c>
      <c r="V380" s="59">
        <v>94025</v>
      </c>
      <c r="W380" s="57" t="s">
        <v>2362</v>
      </c>
      <c r="X380" s="57" t="s">
        <v>2363</v>
      </c>
      <c r="Y380" s="57" t="s">
        <v>20</v>
      </c>
      <c r="Z380" s="57" t="s">
        <v>942</v>
      </c>
      <c r="AA380" s="59">
        <v>80297</v>
      </c>
      <c r="AB380" s="57" t="s">
        <v>61</v>
      </c>
      <c r="AC380" s="60">
        <v>45846</v>
      </c>
      <c r="AD380" s="59">
        <v>80297</v>
      </c>
      <c r="AE380" s="57" t="s">
        <v>2364</v>
      </c>
      <c r="AF380" s="57" t="s">
        <v>2365</v>
      </c>
    </row>
    <row r="381" spans="1:32">
      <c r="A381" s="57">
        <v>380</v>
      </c>
      <c r="B381" s="58">
        <v>45895.614953703713</v>
      </c>
      <c r="C381" s="58">
        <v>45895.623738425929</v>
      </c>
      <c r="D381" s="57" t="s">
        <v>2366</v>
      </c>
      <c r="E381" s="57" t="s">
        <v>2367</v>
      </c>
      <c r="F381" s="58"/>
      <c r="G381" s="57" t="s">
        <v>457</v>
      </c>
      <c r="H381" s="59">
        <v>1</v>
      </c>
      <c r="I381" s="57"/>
      <c r="J381" s="57"/>
      <c r="K381" s="59"/>
      <c r="L381" s="57"/>
      <c r="M381" s="60"/>
      <c r="N381" s="59"/>
      <c r="O381" s="57"/>
      <c r="P381" s="57"/>
      <c r="Q381" s="57"/>
      <c r="R381" s="57"/>
      <c r="S381" s="59"/>
      <c r="T381" s="57"/>
      <c r="U381" s="60"/>
      <c r="V381" s="59"/>
      <c r="W381" s="57"/>
      <c r="X381" s="57"/>
      <c r="Y381" s="57" t="s">
        <v>20</v>
      </c>
      <c r="Z381" s="57" t="s">
        <v>123</v>
      </c>
      <c r="AA381" s="59">
        <v>34678</v>
      </c>
      <c r="AB381" s="57" t="s">
        <v>61</v>
      </c>
      <c r="AC381" s="60">
        <v>45880</v>
      </c>
      <c r="AD381" s="59">
        <v>34678</v>
      </c>
      <c r="AE381" s="57" t="s">
        <v>2368</v>
      </c>
      <c r="AF381" s="57" t="s">
        <v>2369</v>
      </c>
    </row>
    <row r="382" spans="1:32">
      <c r="A382" s="57">
        <v>381</v>
      </c>
      <c r="B382" s="58">
        <v>45895.621574074074</v>
      </c>
      <c r="C382" s="58">
        <v>45895.6249537037</v>
      </c>
      <c r="D382" s="57" t="s">
        <v>1709</v>
      </c>
      <c r="E382" s="57" t="s">
        <v>1710</v>
      </c>
      <c r="F382" s="58"/>
      <c r="G382" s="57" t="s">
        <v>533</v>
      </c>
      <c r="H382" s="59">
        <v>1</v>
      </c>
      <c r="I382" s="57"/>
      <c r="J382" s="57"/>
      <c r="K382" s="59"/>
      <c r="L382" s="57"/>
      <c r="M382" s="60"/>
      <c r="N382" s="59"/>
      <c r="O382" s="57"/>
      <c r="P382" s="57"/>
      <c r="Q382" s="57"/>
      <c r="R382" s="57"/>
      <c r="S382" s="59"/>
      <c r="T382" s="57"/>
      <c r="U382" s="60"/>
      <c r="V382" s="59"/>
      <c r="W382" s="57"/>
      <c r="X382" s="57"/>
      <c r="Y382" s="57" t="s">
        <v>20</v>
      </c>
      <c r="Z382" s="57" t="s">
        <v>201</v>
      </c>
      <c r="AA382" s="59">
        <v>47377</v>
      </c>
      <c r="AB382" s="57" t="s">
        <v>61</v>
      </c>
      <c r="AC382" s="60">
        <v>45736</v>
      </c>
      <c r="AD382" s="59">
        <v>47377</v>
      </c>
      <c r="AE382" s="57" t="s">
        <v>2370</v>
      </c>
      <c r="AF382" s="57" t="s">
        <v>2371</v>
      </c>
    </row>
    <row r="383" spans="1:32">
      <c r="A383" s="57">
        <v>382</v>
      </c>
      <c r="B383" s="58">
        <v>45895.611875000002</v>
      </c>
      <c r="C383" s="58">
        <v>45895.625196759262</v>
      </c>
      <c r="D383" s="57" t="s">
        <v>2372</v>
      </c>
      <c r="E383" s="57" t="s">
        <v>2373</v>
      </c>
      <c r="F383" s="58"/>
      <c r="G383" s="57" t="s">
        <v>517</v>
      </c>
      <c r="H383" s="59">
        <v>1</v>
      </c>
      <c r="I383" s="57"/>
      <c r="J383" s="57"/>
      <c r="K383" s="59"/>
      <c r="L383" s="57"/>
      <c r="M383" s="60"/>
      <c r="N383" s="59"/>
      <c r="O383" s="57"/>
      <c r="P383" s="57"/>
      <c r="Q383" s="57"/>
      <c r="R383" s="57"/>
      <c r="S383" s="59"/>
      <c r="T383" s="57"/>
      <c r="U383" s="60"/>
      <c r="V383" s="59"/>
      <c r="W383" s="57"/>
      <c r="X383" s="57"/>
      <c r="Y383" s="57" t="s">
        <v>21</v>
      </c>
      <c r="Z383" s="57" t="s">
        <v>184</v>
      </c>
      <c r="AA383" s="59">
        <v>53314</v>
      </c>
      <c r="AB383" s="57" t="s">
        <v>61</v>
      </c>
      <c r="AC383" s="60">
        <v>45769</v>
      </c>
      <c r="AD383" s="59">
        <v>53314</v>
      </c>
      <c r="AE383" s="57" t="s">
        <v>2374</v>
      </c>
      <c r="AF383" s="57" t="s">
        <v>2375</v>
      </c>
    </row>
    <row r="384" spans="1:32">
      <c r="A384" s="57">
        <v>383</v>
      </c>
      <c r="B384" s="58">
        <v>45895.624513888892</v>
      </c>
      <c r="C384" s="58">
        <v>45895.62773148148</v>
      </c>
      <c r="D384" s="57" t="s">
        <v>914</v>
      </c>
      <c r="E384" s="57" t="s">
        <v>915</v>
      </c>
      <c r="F384" s="58"/>
      <c r="G384" s="57" t="s">
        <v>480</v>
      </c>
      <c r="H384" s="59">
        <v>1</v>
      </c>
      <c r="I384" s="57"/>
      <c r="J384" s="57"/>
      <c r="K384" s="59"/>
      <c r="L384" s="57"/>
      <c r="M384" s="60"/>
      <c r="N384" s="59"/>
      <c r="O384" s="57"/>
      <c r="P384" s="57"/>
      <c r="Q384" s="57"/>
      <c r="R384" s="57"/>
      <c r="S384" s="59"/>
      <c r="T384" s="57"/>
      <c r="U384" s="60"/>
      <c r="V384" s="59"/>
      <c r="W384" s="57"/>
      <c r="X384" s="57"/>
      <c r="Y384" s="57" t="s">
        <v>20</v>
      </c>
      <c r="Z384" s="57" t="s">
        <v>146</v>
      </c>
      <c r="AA384" s="59">
        <v>56208</v>
      </c>
      <c r="AB384" s="57" t="s">
        <v>61</v>
      </c>
      <c r="AC384" s="60">
        <v>45848</v>
      </c>
      <c r="AD384" s="59">
        <v>56208</v>
      </c>
      <c r="AE384" s="57" t="s">
        <v>2376</v>
      </c>
      <c r="AF384" s="57" t="s">
        <v>2377</v>
      </c>
    </row>
    <row r="385" spans="1:32">
      <c r="A385" s="57">
        <v>384</v>
      </c>
      <c r="B385" s="58">
        <v>45895.624409722222</v>
      </c>
      <c r="C385" s="58">
        <v>45895.628321759257</v>
      </c>
      <c r="D385" s="57" t="s">
        <v>2378</v>
      </c>
      <c r="E385" s="57" t="s">
        <v>2379</v>
      </c>
      <c r="F385" s="58"/>
      <c r="G385" s="57" t="s">
        <v>576</v>
      </c>
      <c r="H385" s="59">
        <v>1</v>
      </c>
      <c r="I385" s="57"/>
      <c r="J385" s="57"/>
      <c r="K385" s="59"/>
      <c r="L385" s="57"/>
      <c r="M385" s="60"/>
      <c r="N385" s="59"/>
      <c r="O385" s="57"/>
      <c r="P385" s="57"/>
      <c r="Q385" s="57"/>
      <c r="R385" s="57"/>
      <c r="S385" s="59"/>
      <c r="T385" s="57"/>
      <c r="U385" s="60"/>
      <c r="V385" s="59"/>
      <c r="W385" s="57"/>
      <c r="X385" s="57"/>
      <c r="Y385" s="57" t="s">
        <v>20</v>
      </c>
      <c r="Z385" s="57" t="s">
        <v>248</v>
      </c>
      <c r="AA385" s="59">
        <v>31453</v>
      </c>
      <c r="AB385" s="57" t="s">
        <v>61</v>
      </c>
      <c r="AC385" s="60">
        <v>45888</v>
      </c>
      <c r="AD385" s="59">
        <v>31453</v>
      </c>
      <c r="AE385" s="57" t="s">
        <v>2380</v>
      </c>
      <c r="AF385" s="57" t="s">
        <v>2381</v>
      </c>
    </row>
    <row r="386" spans="1:32">
      <c r="A386" s="57">
        <v>385</v>
      </c>
      <c r="B386" s="58">
        <v>45895.635798611111</v>
      </c>
      <c r="C386" s="58">
        <v>45895.637488425928</v>
      </c>
      <c r="D386" s="57" t="s">
        <v>1322</v>
      </c>
      <c r="E386" s="57" t="s">
        <v>1323</v>
      </c>
      <c r="F386" s="58"/>
      <c r="G386" s="57" t="s">
        <v>497</v>
      </c>
      <c r="H386" s="59">
        <v>1</v>
      </c>
      <c r="I386" s="57"/>
      <c r="J386" s="57"/>
      <c r="K386" s="59"/>
      <c r="L386" s="57"/>
      <c r="M386" s="60"/>
      <c r="N386" s="59"/>
      <c r="O386" s="57"/>
      <c r="P386" s="57"/>
      <c r="Q386" s="57"/>
      <c r="R386" s="57"/>
      <c r="S386" s="59"/>
      <c r="T386" s="57"/>
      <c r="U386" s="60"/>
      <c r="V386" s="59"/>
      <c r="W386" s="57"/>
      <c r="X386" s="57"/>
      <c r="Y386" s="57" t="s">
        <v>20</v>
      </c>
      <c r="Z386" s="57" t="s">
        <v>2382</v>
      </c>
      <c r="AA386" s="59">
        <v>14327</v>
      </c>
      <c r="AB386" s="57" t="s">
        <v>61</v>
      </c>
      <c r="AC386" s="60">
        <v>45861</v>
      </c>
      <c r="AD386" s="59">
        <v>14327</v>
      </c>
      <c r="AE386" s="57" t="s">
        <v>2383</v>
      </c>
      <c r="AF386" s="57" t="s">
        <v>2384</v>
      </c>
    </row>
    <row r="387" spans="1:32">
      <c r="A387" s="57">
        <v>386</v>
      </c>
      <c r="B387" s="58">
        <v>45895.59615740741</v>
      </c>
      <c r="C387" s="58">
        <v>45895.638101851851</v>
      </c>
      <c r="D387" s="57" t="s">
        <v>1624</v>
      </c>
      <c r="E387" s="57" t="s">
        <v>1625</v>
      </c>
      <c r="F387" s="58"/>
      <c r="G387" s="57" t="s">
        <v>470</v>
      </c>
      <c r="H387" s="59">
        <v>1</v>
      </c>
      <c r="I387" s="57"/>
      <c r="J387" s="57"/>
      <c r="K387" s="59"/>
      <c r="L387" s="57"/>
      <c r="M387" s="60"/>
      <c r="N387" s="59"/>
      <c r="O387" s="57"/>
      <c r="P387" s="57"/>
      <c r="Q387" s="57"/>
      <c r="R387" s="57"/>
      <c r="S387" s="59"/>
      <c r="T387" s="57"/>
      <c r="U387" s="60"/>
      <c r="V387" s="59"/>
      <c r="W387" s="57"/>
      <c r="X387" s="57"/>
      <c r="Y387" s="57" t="s">
        <v>20</v>
      </c>
      <c r="Z387" s="57" t="s">
        <v>136</v>
      </c>
      <c r="AA387" s="59">
        <v>73429</v>
      </c>
      <c r="AB387" s="57" t="s">
        <v>61</v>
      </c>
      <c r="AC387" s="60">
        <v>45847</v>
      </c>
      <c r="AD387" s="59">
        <v>73429</v>
      </c>
      <c r="AE387" s="57" t="s">
        <v>2385</v>
      </c>
      <c r="AF387" s="57" t="s">
        <v>2386</v>
      </c>
    </row>
    <row r="388" spans="1:32">
      <c r="A388" s="57">
        <v>387</v>
      </c>
      <c r="B388" s="58">
        <v>45895.621504629627</v>
      </c>
      <c r="C388" s="58">
        <v>45895.639872685177</v>
      </c>
      <c r="D388" s="57" t="s">
        <v>1607</v>
      </c>
      <c r="E388" s="57" t="s">
        <v>1608</v>
      </c>
      <c r="F388" s="58"/>
      <c r="G388" s="57" t="s">
        <v>682</v>
      </c>
      <c r="H388" s="59">
        <v>1</v>
      </c>
      <c r="I388" s="57"/>
      <c r="J388" s="57"/>
      <c r="K388" s="59"/>
      <c r="L388" s="57"/>
      <c r="M388" s="60"/>
      <c r="N388" s="59"/>
      <c r="O388" s="57"/>
      <c r="P388" s="57"/>
      <c r="Q388" s="57"/>
      <c r="R388" s="57"/>
      <c r="S388" s="59"/>
      <c r="T388" s="57"/>
      <c r="U388" s="60"/>
      <c r="V388" s="59"/>
      <c r="W388" s="57"/>
      <c r="X388" s="57"/>
      <c r="Y388" s="57" t="s">
        <v>21</v>
      </c>
      <c r="Z388" s="57" t="s">
        <v>1609</v>
      </c>
      <c r="AA388" s="59">
        <v>36968</v>
      </c>
      <c r="AB388" s="57" t="s">
        <v>61</v>
      </c>
      <c r="AC388" s="60">
        <v>45882</v>
      </c>
      <c r="AD388" s="59">
        <v>36968</v>
      </c>
      <c r="AE388" s="57" t="s">
        <v>2387</v>
      </c>
      <c r="AF388" s="57" t="s">
        <v>2388</v>
      </c>
    </row>
    <row r="389" spans="1:32">
      <c r="A389" s="57">
        <v>388</v>
      </c>
      <c r="B389" s="58">
        <v>45895.639872685177</v>
      </c>
      <c r="C389" s="58">
        <v>45895.643113425933</v>
      </c>
      <c r="D389" s="57" t="s">
        <v>1469</v>
      </c>
      <c r="E389" s="57" t="s">
        <v>1470</v>
      </c>
      <c r="F389" s="58"/>
      <c r="G389" s="57" t="s">
        <v>523</v>
      </c>
      <c r="H389" s="59">
        <v>1</v>
      </c>
      <c r="I389" s="57"/>
      <c r="J389" s="57"/>
      <c r="K389" s="59"/>
      <c r="L389" s="57"/>
      <c r="M389" s="60"/>
      <c r="N389" s="59"/>
      <c r="O389" s="57"/>
      <c r="P389" s="57"/>
      <c r="Q389" s="57"/>
      <c r="R389" s="57"/>
      <c r="S389" s="59"/>
      <c r="T389" s="57"/>
      <c r="U389" s="60"/>
      <c r="V389" s="59"/>
      <c r="W389" s="57"/>
      <c r="X389" s="57"/>
      <c r="Y389" s="57" t="s">
        <v>21</v>
      </c>
      <c r="Z389" s="57" t="s">
        <v>190</v>
      </c>
      <c r="AA389" s="59">
        <v>30022</v>
      </c>
      <c r="AB389" s="57" t="s">
        <v>61</v>
      </c>
      <c r="AC389" s="60">
        <v>45722</v>
      </c>
      <c r="AD389" s="59">
        <v>30022</v>
      </c>
      <c r="AE389" s="57" t="s">
        <v>2389</v>
      </c>
      <c r="AF389" s="57" t="s">
        <v>2390</v>
      </c>
    </row>
    <row r="390" spans="1:32">
      <c r="A390" s="57">
        <v>389</v>
      </c>
      <c r="B390" s="58">
        <v>45895.639884259261</v>
      </c>
      <c r="C390" s="58">
        <v>45895.643518518518</v>
      </c>
      <c r="D390" s="57" t="s">
        <v>2391</v>
      </c>
      <c r="E390" s="57" t="s">
        <v>2392</v>
      </c>
      <c r="F390" s="58"/>
      <c r="G390" s="57" t="s">
        <v>669</v>
      </c>
      <c r="H390" s="59">
        <v>1</v>
      </c>
      <c r="I390" s="57"/>
      <c r="J390" s="57"/>
      <c r="K390" s="59"/>
      <c r="L390" s="57"/>
      <c r="M390" s="60"/>
      <c r="N390" s="59"/>
      <c r="O390" s="57"/>
      <c r="P390" s="57"/>
      <c r="Q390" s="57"/>
      <c r="R390" s="57"/>
      <c r="S390" s="59"/>
      <c r="T390" s="57"/>
      <c r="U390" s="60"/>
      <c r="V390" s="59"/>
      <c r="W390" s="57"/>
      <c r="X390" s="57"/>
      <c r="Y390" s="57" t="s">
        <v>21</v>
      </c>
      <c r="Z390" s="57" t="s">
        <v>380</v>
      </c>
      <c r="AA390" s="59">
        <v>527</v>
      </c>
      <c r="AB390" s="57" t="s">
        <v>61</v>
      </c>
      <c r="AC390" s="60">
        <v>45842</v>
      </c>
      <c r="AD390" s="59">
        <v>527</v>
      </c>
      <c r="AE390" s="57" t="s">
        <v>2393</v>
      </c>
      <c r="AF390" s="57" t="s">
        <v>2394</v>
      </c>
    </row>
    <row r="391" spans="1:32">
      <c r="A391" s="57">
        <v>390</v>
      </c>
      <c r="B391" s="58">
        <v>45895.621030092603</v>
      </c>
      <c r="C391" s="58">
        <v>45895.649687500001</v>
      </c>
      <c r="D391" s="57" t="s">
        <v>2395</v>
      </c>
      <c r="E391" s="57" t="s">
        <v>2396</v>
      </c>
      <c r="F391" s="58"/>
      <c r="G391" s="57" t="s">
        <v>513</v>
      </c>
      <c r="H391" s="59">
        <v>1</v>
      </c>
      <c r="I391" s="57"/>
      <c r="J391" s="57"/>
      <c r="K391" s="59"/>
      <c r="L391" s="57"/>
      <c r="M391" s="60"/>
      <c r="N391" s="59"/>
      <c r="O391" s="57"/>
      <c r="P391" s="57"/>
      <c r="Q391" s="57"/>
      <c r="R391" s="57"/>
      <c r="S391" s="59"/>
      <c r="T391" s="57"/>
      <c r="U391" s="60"/>
      <c r="V391" s="59"/>
      <c r="W391" s="57"/>
      <c r="X391" s="57"/>
      <c r="Y391" s="57" t="s">
        <v>21</v>
      </c>
      <c r="Z391" s="57" t="s">
        <v>180</v>
      </c>
      <c r="AA391" s="59">
        <v>27669</v>
      </c>
      <c r="AB391" s="57" t="s">
        <v>61</v>
      </c>
      <c r="AC391" s="60">
        <v>45763</v>
      </c>
      <c r="AD391" s="59">
        <v>27669</v>
      </c>
      <c r="AE391" s="57" t="s">
        <v>2397</v>
      </c>
      <c r="AF391" s="57" t="s">
        <v>2398</v>
      </c>
    </row>
    <row r="392" spans="1:32">
      <c r="A392" s="57">
        <v>391</v>
      </c>
      <c r="B392" s="58">
        <v>45895.641157407408</v>
      </c>
      <c r="C392" s="58">
        <v>45895.649895833332</v>
      </c>
      <c r="D392" s="57" t="s">
        <v>1583</v>
      </c>
      <c r="E392" s="57" t="s">
        <v>1584</v>
      </c>
      <c r="F392" s="58"/>
      <c r="G392" s="57" t="s">
        <v>537</v>
      </c>
      <c r="H392" s="59">
        <v>1</v>
      </c>
      <c r="I392" s="57"/>
      <c r="J392" s="57"/>
      <c r="K392" s="59"/>
      <c r="L392" s="57"/>
      <c r="M392" s="60"/>
      <c r="N392" s="59"/>
      <c r="O392" s="57"/>
      <c r="P392" s="57"/>
      <c r="Q392" s="57"/>
      <c r="R392" s="57"/>
      <c r="S392" s="59"/>
      <c r="T392" s="57"/>
      <c r="U392" s="60"/>
      <c r="V392" s="59"/>
      <c r="W392" s="57"/>
      <c r="X392" s="57"/>
      <c r="Y392" s="57" t="s">
        <v>22</v>
      </c>
      <c r="Z392" s="57" t="s">
        <v>205</v>
      </c>
      <c r="AA392" s="59">
        <v>33740</v>
      </c>
      <c r="AB392" s="57" t="s">
        <v>61</v>
      </c>
      <c r="AC392" s="60">
        <v>45850</v>
      </c>
      <c r="AD392" s="59">
        <v>33740</v>
      </c>
      <c r="AE392" s="57" t="s">
        <v>2399</v>
      </c>
      <c r="AF392" s="57" t="s">
        <v>2400</v>
      </c>
    </row>
    <row r="393" spans="1:32">
      <c r="A393" s="57">
        <v>392</v>
      </c>
      <c r="B393" s="58">
        <v>45895.646550925929</v>
      </c>
      <c r="C393" s="58">
        <v>45895.653865740736</v>
      </c>
      <c r="D393" s="57" t="s">
        <v>1296</v>
      </c>
      <c r="E393" s="57" t="s">
        <v>1297</v>
      </c>
      <c r="F393" s="58"/>
      <c r="G393" s="57" t="s">
        <v>511</v>
      </c>
      <c r="H393" s="59">
        <v>2</v>
      </c>
      <c r="I393" s="57"/>
      <c r="J393" s="57"/>
      <c r="K393" s="59"/>
      <c r="L393" s="57"/>
      <c r="M393" s="60"/>
      <c r="N393" s="59"/>
      <c r="O393" s="57"/>
      <c r="P393" s="57"/>
      <c r="Q393" s="57" t="s">
        <v>21</v>
      </c>
      <c r="R393" s="57" t="s">
        <v>1300</v>
      </c>
      <c r="S393" s="59">
        <v>72993</v>
      </c>
      <c r="T393" s="57" t="s">
        <v>61</v>
      </c>
      <c r="U393" s="60">
        <v>45840</v>
      </c>
      <c r="V393" s="59">
        <v>72993</v>
      </c>
      <c r="W393" s="57" t="s">
        <v>2401</v>
      </c>
      <c r="X393" s="57" t="s">
        <v>2402</v>
      </c>
      <c r="Y393" s="57" t="s">
        <v>22</v>
      </c>
      <c r="Z393" s="57" t="s">
        <v>178</v>
      </c>
      <c r="AA393" s="59">
        <v>95685</v>
      </c>
      <c r="AB393" s="57" t="s">
        <v>61</v>
      </c>
      <c r="AC393" s="60">
        <v>45815</v>
      </c>
      <c r="AD393" s="59">
        <v>95685</v>
      </c>
      <c r="AE393" s="57" t="s">
        <v>2403</v>
      </c>
      <c r="AF393" s="57" t="s">
        <v>2404</v>
      </c>
    </row>
    <row r="394" spans="1:32">
      <c r="A394" s="57">
        <v>393</v>
      </c>
      <c r="B394" s="58">
        <v>45895.654768518521</v>
      </c>
      <c r="C394" s="58">
        <v>45895.655081018522</v>
      </c>
      <c r="D394" s="57" t="s">
        <v>1750</v>
      </c>
      <c r="E394" s="57" t="s">
        <v>1751</v>
      </c>
      <c r="F394" s="58"/>
      <c r="G394" s="57" t="s">
        <v>530</v>
      </c>
      <c r="H394" s="59">
        <v>1</v>
      </c>
      <c r="I394" s="57"/>
      <c r="J394" s="57"/>
      <c r="K394" s="59"/>
      <c r="L394" s="57"/>
      <c r="M394" s="60"/>
      <c r="N394" s="59"/>
      <c r="O394" s="57"/>
      <c r="P394" s="57"/>
      <c r="Q394" s="57"/>
      <c r="R394" s="57"/>
      <c r="S394" s="59"/>
      <c r="T394" s="57"/>
      <c r="U394" s="60"/>
      <c r="V394" s="59"/>
      <c r="W394" s="57"/>
      <c r="X394" s="57"/>
      <c r="Y394" s="57" t="s">
        <v>21</v>
      </c>
      <c r="Z394" s="57" t="s">
        <v>197</v>
      </c>
      <c r="AA394" s="59">
        <v>27906</v>
      </c>
      <c r="AB394" s="57" t="s">
        <v>61</v>
      </c>
      <c r="AC394" s="60">
        <v>45699</v>
      </c>
      <c r="AD394" s="59">
        <v>27906</v>
      </c>
      <c r="AE394" s="57" t="s">
        <v>2405</v>
      </c>
      <c r="AF394" s="57" t="s">
        <v>2406</v>
      </c>
    </row>
    <row r="395" spans="1:32">
      <c r="A395" s="57">
        <v>394</v>
      </c>
      <c r="B395" s="58">
        <v>45895.651585648149</v>
      </c>
      <c r="C395" s="58">
        <v>45895.65729166667</v>
      </c>
      <c r="D395" s="57" t="s">
        <v>2407</v>
      </c>
      <c r="E395" s="57" t="s">
        <v>2408</v>
      </c>
      <c r="F395" s="58"/>
      <c r="G395" s="57" t="s">
        <v>672</v>
      </c>
      <c r="H395" s="59">
        <v>2</v>
      </c>
      <c r="I395" s="57"/>
      <c r="J395" s="57"/>
      <c r="K395" s="59"/>
      <c r="L395" s="57"/>
      <c r="M395" s="60"/>
      <c r="N395" s="59"/>
      <c r="O395" s="57"/>
      <c r="P395" s="57"/>
      <c r="Q395" s="57" t="s">
        <v>20</v>
      </c>
      <c r="R395" s="57" t="s">
        <v>2409</v>
      </c>
      <c r="S395" s="59">
        <v>40944</v>
      </c>
      <c r="T395" s="57" t="s">
        <v>61</v>
      </c>
      <c r="U395" s="60">
        <v>45822</v>
      </c>
      <c r="V395" s="59">
        <v>40944</v>
      </c>
      <c r="W395" s="57" t="s">
        <v>2410</v>
      </c>
      <c r="X395" s="57" t="s">
        <v>2411</v>
      </c>
      <c r="Y395" s="57" t="s">
        <v>20</v>
      </c>
      <c r="Z395" s="57" t="s">
        <v>2412</v>
      </c>
      <c r="AA395" s="59">
        <v>0</v>
      </c>
      <c r="AB395" s="57" t="s">
        <v>61</v>
      </c>
      <c r="AC395" s="60">
        <v>45822</v>
      </c>
      <c r="AD395" s="59">
        <v>0</v>
      </c>
      <c r="AE395" s="57" t="s">
        <v>2413</v>
      </c>
      <c r="AF395" s="57" t="s">
        <v>2414</v>
      </c>
    </row>
    <row r="396" spans="1:32">
      <c r="A396" s="57">
        <v>395</v>
      </c>
      <c r="B396" s="58">
        <v>45895.657430555562</v>
      </c>
      <c r="C396" s="58">
        <v>45895.662395833337</v>
      </c>
      <c r="D396" s="57" t="s">
        <v>1109</v>
      </c>
      <c r="E396" s="57" t="s">
        <v>1110</v>
      </c>
      <c r="F396" s="58"/>
      <c r="G396" s="57" t="s">
        <v>718</v>
      </c>
      <c r="H396" s="59">
        <v>2</v>
      </c>
      <c r="I396" s="57"/>
      <c r="J396" s="57"/>
      <c r="K396" s="59"/>
      <c r="L396" s="57"/>
      <c r="M396" s="60"/>
      <c r="N396" s="59"/>
      <c r="O396" s="57"/>
      <c r="P396" s="57"/>
      <c r="Q396" s="57" t="s">
        <v>20</v>
      </c>
      <c r="R396" s="57" t="s">
        <v>1111</v>
      </c>
      <c r="S396" s="59">
        <v>122096</v>
      </c>
      <c r="T396" s="57" t="s">
        <v>61</v>
      </c>
      <c r="U396" s="60">
        <v>45801</v>
      </c>
      <c r="V396" s="59">
        <v>122096</v>
      </c>
      <c r="W396" s="57" t="s">
        <v>2415</v>
      </c>
      <c r="X396" s="57" t="s">
        <v>2416</v>
      </c>
      <c r="Y396" s="57" t="s">
        <v>20</v>
      </c>
      <c r="Z396" s="57" t="s">
        <v>2417</v>
      </c>
      <c r="AA396" s="59">
        <v>122394</v>
      </c>
      <c r="AB396" s="57" t="s">
        <v>61</v>
      </c>
      <c r="AC396" s="60">
        <v>45755</v>
      </c>
      <c r="AD396" s="59">
        <v>122394</v>
      </c>
      <c r="AE396" s="57" t="s">
        <v>2418</v>
      </c>
      <c r="AF396" s="57" t="s">
        <v>2419</v>
      </c>
    </row>
    <row r="397" spans="1:32">
      <c r="A397" s="57">
        <v>396</v>
      </c>
      <c r="B397" s="58">
        <v>45895.644988425927</v>
      </c>
      <c r="C397" s="58">
        <v>45895.663807870369</v>
      </c>
      <c r="D397" s="57" t="s">
        <v>2420</v>
      </c>
      <c r="E397" s="57" t="s">
        <v>2421</v>
      </c>
      <c r="F397" s="58"/>
      <c r="G397" s="57" t="s">
        <v>611</v>
      </c>
      <c r="H397" s="59">
        <v>1</v>
      </c>
      <c r="I397" s="57"/>
      <c r="J397" s="57"/>
      <c r="K397" s="59"/>
      <c r="L397" s="57"/>
      <c r="M397" s="60"/>
      <c r="N397" s="59"/>
      <c r="O397" s="57"/>
      <c r="P397" s="57"/>
      <c r="Q397" s="57"/>
      <c r="R397" s="57"/>
      <c r="S397" s="59"/>
      <c r="T397" s="57"/>
      <c r="U397" s="60"/>
      <c r="V397" s="59"/>
      <c r="W397" s="57"/>
      <c r="X397" s="57"/>
      <c r="Y397" s="57" t="s">
        <v>21</v>
      </c>
      <c r="Z397" s="57" t="s">
        <v>291</v>
      </c>
      <c r="AA397" s="59">
        <v>7754</v>
      </c>
      <c r="AB397" s="57" t="s">
        <v>61</v>
      </c>
      <c r="AC397" s="60">
        <v>45815</v>
      </c>
      <c r="AD397" s="59">
        <v>7754</v>
      </c>
      <c r="AE397" s="57" t="s">
        <v>2422</v>
      </c>
      <c r="AF397" s="57" t="s">
        <v>2423</v>
      </c>
    </row>
    <row r="398" spans="1:32">
      <c r="A398" s="57">
        <v>397</v>
      </c>
      <c r="B398" s="58">
        <v>45895.684537037043</v>
      </c>
      <c r="C398" s="58">
        <v>45895.685694444437</v>
      </c>
      <c r="D398" s="57" t="s">
        <v>1741</v>
      </c>
      <c r="E398" s="57" t="s">
        <v>1742</v>
      </c>
      <c r="F398" s="58"/>
      <c r="G398" s="57" t="s">
        <v>509</v>
      </c>
      <c r="H398" s="59">
        <v>1</v>
      </c>
      <c r="I398" s="57"/>
      <c r="J398" s="57"/>
      <c r="K398" s="59"/>
      <c r="L398" s="57"/>
      <c r="M398" s="60"/>
      <c r="N398" s="59"/>
      <c r="O398" s="57"/>
      <c r="P398" s="57"/>
      <c r="Q398" s="57"/>
      <c r="R398" s="57"/>
      <c r="S398" s="59"/>
      <c r="T398" s="57"/>
      <c r="U398" s="60"/>
      <c r="V398" s="59"/>
      <c r="W398" s="57"/>
      <c r="X398" s="57"/>
      <c r="Y398" s="57" t="s">
        <v>21</v>
      </c>
      <c r="Z398" s="57" t="s">
        <v>175</v>
      </c>
      <c r="AA398" s="59">
        <v>35416</v>
      </c>
      <c r="AB398" s="57" t="s">
        <v>61</v>
      </c>
      <c r="AC398" s="60">
        <v>45727</v>
      </c>
      <c r="AD398" s="59">
        <v>35416</v>
      </c>
      <c r="AE398" s="57" t="s">
        <v>2424</v>
      </c>
      <c r="AF398" s="57" t="s">
        <v>2425</v>
      </c>
    </row>
    <row r="399" spans="1:32">
      <c r="A399" s="57">
        <v>398</v>
      </c>
      <c r="B399" s="58">
        <v>45895.692847222221</v>
      </c>
      <c r="C399" s="58">
        <v>45895.693668981483</v>
      </c>
      <c r="D399" s="57" t="s">
        <v>769</v>
      </c>
      <c r="E399" s="57" t="s">
        <v>770</v>
      </c>
      <c r="F399" s="58"/>
      <c r="G399" s="57" t="s">
        <v>583</v>
      </c>
      <c r="H399" s="59">
        <v>1</v>
      </c>
      <c r="I399" s="57"/>
      <c r="J399" s="57"/>
      <c r="K399" s="59"/>
      <c r="L399" s="57"/>
      <c r="M399" s="60"/>
      <c r="N399" s="59"/>
      <c r="O399" s="57"/>
      <c r="P399" s="57"/>
      <c r="Q399" s="57"/>
      <c r="R399" s="57"/>
      <c r="S399" s="59"/>
      <c r="T399" s="57"/>
      <c r="U399" s="60"/>
      <c r="V399" s="59"/>
      <c r="W399" s="57"/>
      <c r="X399" s="57"/>
      <c r="Y399" s="57" t="s">
        <v>21</v>
      </c>
      <c r="Z399" s="57" t="s">
        <v>257</v>
      </c>
      <c r="AA399" s="59">
        <v>25324</v>
      </c>
      <c r="AB399" s="57" t="s">
        <v>61</v>
      </c>
      <c r="AC399" s="60">
        <v>45861</v>
      </c>
      <c r="AD399" s="59">
        <v>25324</v>
      </c>
      <c r="AE399" s="57" t="s">
        <v>2426</v>
      </c>
      <c r="AF399" s="57" t="s">
        <v>2427</v>
      </c>
    </row>
    <row r="400" spans="1:32">
      <c r="A400" s="57">
        <v>399</v>
      </c>
      <c r="B400" s="58">
        <v>45895.693182870367</v>
      </c>
      <c r="C400" s="58">
        <v>45895.70034722222</v>
      </c>
      <c r="D400" s="57" t="s">
        <v>1391</v>
      </c>
      <c r="E400" s="57" t="s">
        <v>1392</v>
      </c>
      <c r="F400" s="58"/>
      <c r="G400" s="57" t="s">
        <v>483</v>
      </c>
      <c r="H400" s="59">
        <v>2</v>
      </c>
      <c r="I400" s="57"/>
      <c r="J400" s="57"/>
      <c r="K400" s="59"/>
      <c r="L400" s="57"/>
      <c r="M400" s="60"/>
      <c r="N400" s="59"/>
      <c r="O400" s="57"/>
      <c r="P400" s="57"/>
      <c r="Q400" s="57" t="s">
        <v>22</v>
      </c>
      <c r="R400" s="57" t="s">
        <v>149</v>
      </c>
      <c r="S400" s="59">
        <v>94061</v>
      </c>
      <c r="T400" s="57" t="s">
        <v>61</v>
      </c>
      <c r="U400" s="60">
        <v>45762</v>
      </c>
      <c r="V400" s="59">
        <v>94061</v>
      </c>
      <c r="W400" s="57" t="s">
        <v>2428</v>
      </c>
      <c r="X400" s="57" t="s">
        <v>2429</v>
      </c>
      <c r="Y400" s="57" t="s">
        <v>21</v>
      </c>
      <c r="Z400" s="57" t="s">
        <v>355</v>
      </c>
      <c r="AA400" s="59">
        <v>4254</v>
      </c>
      <c r="AB400" s="57" t="s">
        <v>61</v>
      </c>
      <c r="AC400" s="60">
        <v>45827</v>
      </c>
      <c r="AD400" s="59">
        <v>4254</v>
      </c>
      <c r="AE400" s="57" t="s">
        <v>2430</v>
      </c>
      <c r="AF400" s="57" t="s">
        <v>2431</v>
      </c>
    </row>
    <row r="401" spans="1:32">
      <c r="A401" s="57">
        <v>400</v>
      </c>
      <c r="B401" s="58">
        <v>45895.698310185187</v>
      </c>
      <c r="C401" s="58">
        <v>45895.705266203702</v>
      </c>
      <c r="D401" s="57" t="s">
        <v>2432</v>
      </c>
      <c r="E401" s="57" t="s">
        <v>2433</v>
      </c>
      <c r="F401" s="58"/>
      <c r="G401" s="57" t="s">
        <v>2434</v>
      </c>
      <c r="H401" s="59">
        <v>2</v>
      </c>
      <c r="I401" s="57"/>
      <c r="J401" s="57"/>
      <c r="K401" s="59"/>
      <c r="L401" s="57"/>
      <c r="M401" s="60"/>
      <c r="N401" s="59"/>
      <c r="O401" s="57"/>
      <c r="P401" s="57"/>
      <c r="Q401" s="57" t="s">
        <v>20</v>
      </c>
      <c r="R401" s="57" t="s">
        <v>2435</v>
      </c>
      <c r="S401" s="59">
        <v>66549</v>
      </c>
      <c r="T401" s="57" t="s">
        <v>61</v>
      </c>
      <c r="U401" s="60">
        <v>45848</v>
      </c>
      <c r="V401" s="59">
        <v>66549</v>
      </c>
      <c r="W401" s="57" t="s">
        <v>2436</v>
      </c>
      <c r="X401" s="57" t="s">
        <v>2437</v>
      </c>
      <c r="Y401" s="57" t="s">
        <v>20</v>
      </c>
      <c r="Z401" s="57" t="s">
        <v>387</v>
      </c>
      <c r="AA401" s="59">
        <v>1914</v>
      </c>
      <c r="AB401" s="57" t="s">
        <v>61</v>
      </c>
      <c r="AC401" s="60">
        <v>45895</v>
      </c>
      <c r="AD401" s="59">
        <v>1914</v>
      </c>
      <c r="AE401" s="57" t="s">
        <v>2438</v>
      </c>
      <c r="AF401" s="57" t="s">
        <v>2439</v>
      </c>
    </row>
    <row r="402" spans="1:32">
      <c r="A402" s="57">
        <v>401</v>
      </c>
      <c r="B402" s="58">
        <v>45895.691041666672</v>
      </c>
      <c r="C402" s="58">
        <v>45895.709918981483</v>
      </c>
      <c r="D402" s="57" t="s">
        <v>2440</v>
      </c>
      <c r="E402" s="57" t="s">
        <v>2441</v>
      </c>
      <c r="F402" s="58"/>
      <c r="G402" s="57" t="s">
        <v>588</v>
      </c>
      <c r="H402" s="59">
        <v>1</v>
      </c>
      <c r="I402" s="57"/>
      <c r="J402" s="57"/>
      <c r="K402" s="59"/>
      <c r="L402" s="57"/>
      <c r="M402" s="60"/>
      <c r="N402" s="59"/>
      <c r="O402" s="57"/>
      <c r="P402" s="57"/>
      <c r="Q402" s="57"/>
      <c r="R402" s="57"/>
      <c r="S402" s="59"/>
      <c r="T402" s="57"/>
      <c r="U402" s="60"/>
      <c r="V402" s="59"/>
      <c r="W402" s="57"/>
      <c r="X402" s="57"/>
      <c r="Y402" s="57" t="s">
        <v>21</v>
      </c>
      <c r="Z402" s="57" t="s">
        <v>262</v>
      </c>
      <c r="AA402" s="59">
        <v>46720</v>
      </c>
      <c r="AB402" s="57" t="s">
        <v>61</v>
      </c>
      <c r="AC402" s="60">
        <v>45825</v>
      </c>
      <c r="AD402" s="59">
        <v>46720</v>
      </c>
      <c r="AE402" s="57" t="s">
        <v>2442</v>
      </c>
      <c r="AF402" s="57" t="s">
        <v>2443</v>
      </c>
    </row>
    <row r="403" spans="1:32">
      <c r="A403" s="57">
        <v>402</v>
      </c>
      <c r="B403" s="58">
        <v>45895.709490740737</v>
      </c>
      <c r="C403" s="58">
        <v>45895.713009259263</v>
      </c>
      <c r="D403" s="57" t="s">
        <v>2444</v>
      </c>
      <c r="E403" s="57" t="s">
        <v>2445</v>
      </c>
      <c r="F403" s="58"/>
      <c r="G403" s="57" t="s">
        <v>624</v>
      </c>
      <c r="H403" s="59">
        <v>1</v>
      </c>
      <c r="I403" s="57"/>
      <c r="J403" s="57"/>
      <c r="K403" s="59"/>
      <c r="L403" s="57"/>
      <c r="M403" s="60"/>
      <c r="N403" s="59"/>
      <c r="O403" s="57"/>
      <c r="P403" s="57"/>
      <c r="Q403" s="57"/>
      <c r="R403" s="57"/>
      <c r="S403" s="59"/>
      <c r="T403" s="57"/>
      <c r="U403" s="60"/>
      <c r="V403" s="59"/>
      <c r="W403" s="57"/>
      <c r="X403" s="57"/>
      <c r="Y403" s="57" t="s">
        <v>21</v>
      </c>
      <c r="Z403" s="57" t="s">
        <v>306</v>
      </c>
      <c r="AA403" s="59">
        <v>10355</v>
      </c>
      <c r="AB403" s="57" t="s">
        <v>61</v>
      </c>
      <c r="AC403" s="60">
        <v>45820</v>
      </c>
      <c r="AD403" s="59">
        <v>10355</v>
      </c>
      <c r="AE403" s="57" t="s">
        <v>2446</v>
      </c>
      <c r="AF403" s="57" t="s">
        <v>2447</v>
      </c>
    </row>
    <row r="404" spans="1:32">
      <c r="A404" s="57">
        <v>403</v>
      </c>
      <c r="B404" s="58">
        <v>45895.715717592589</v>
      </c>
      <c r="C404" s="58">
        <v>45895.721747685187</v>
      </c>
      <c r="D404" s="57" t="s">
        <v>1561</v>
      </c>
      <c r="E404" s="57" t="s">
        <v>1562</v>
      </c>
      <c r="F404" s="58"/>
      <c r="G404" s="57" t="s">
        <v>658</v>
      </c>
      <c r="H404" s="59">
        <v>2</v>
      </c>
      <c r="I404" s="57"/>
      <c r="J404" s="57"/>
      <c r="K404" s="59"/>
      <c r="L404" s="57"/>
      <c r="M404" s="60"/>
      <c r="N404" s="59"/>
      <c r="O404" s="57"/>
      <c r="P404" s="57"/>
      <c r="Q404" s="57" t="s">
        <v>21</v>
      </c>
      <c r="R404" s="57" t="s">
        <v>1565</v>
      </c>
      <c r="S404" s="59">
        <v>30212</v>
      </c>
      <c r="T404" s="57" t="s">
        <v>61</v>
      </c>
      <c r="U404" s="60">
        <v>45895</v>
      </c>
      <c r="V404" s="59">
        <v>30212</v>
      </c>
      <c r="W404" s="57" t="s">
        <v>2448</v>
      </c>
      <c r="X404" s="57" t="s">
        <v>2449</v>
      </c>
      <c r="Y404" s="57" t="s">
        <v>20</v>
      </c>
      <c r="Z404" s="57" t="s">
        <v>359</v>
      </c>
      <c r="AA404" s="59">
        <v>9796</v>
      </c>
      <c r="AB404" s="57" t="s">
        <v>61</v>
      </c>
      <c r="AC404" s="60">
        <v>45891</v>
      </c>
      <c r="AD404" s="59">
        <v>9796</v>
      </c>
      <c r="AE404" s="57" t="s">
        <v>2450</v>
      </c>
      <c r="AF404" s="57" t="s">
        <v>2451</v>
      </c>
    </row>
    <row r="405" spans="1:32">
      <c r="A405" s="57">
        <v>404</v>
      </c>
      <c r="B405" s="58">
        <v>45895.735543981478</v>
      </c>
      <c r="C405" s="58">
        <v>45895.736759259264</v>
      </c>
      <c r="D405" s="57" t="s">
        <v>2452</v>
      </c>
      <c r="E405" s="57" t="s">
        <v>2453</v>
      </c>
      <c r="F405" s="58"/>
      <c r="G405" s="57" t="s">
        <v>675</v>
      </c>
      <c r="H405" s="59">
        <v>1</v>
      </c>
      <c r="I405" s="57"/>
      <c r="J405" s="57"/>
      <c r="K405" s="59"/>
      <c r="L405" s="57"/>
      <c r="M405" s="60"/>
      <c r="N405" s="59"/>
      <c r="O405" s="57"/>
      <c r="P405" s="57"/>
      <c r="Q405" s="57"/>
      <c r="R405" s="57"/>
      <c r="S405" s="59"/>
      <c r="T405" s="57"/>
      <c r="U405" s="60"/>
      <c r="V405" s="59"/>
      <c r="W405" s="57"/>
      <c r="X405" s="57"/>
      <c r="Y405" s="57" t="s">
        <v>20</v>
      </c>
      <c r="Z405" s="57" t="s">
        <v>2454</v>
      </c>
      <c r="AA405" s="59">
        <v>21225</v>
      </c>
      <c r="AB405" s="57" t="s">
        <v>61</v>
      </c>
      <c r="AC405" s="60">
        <v>45895</v>
      </c>
      <c r="AD405" s="59">
        <v>21225</v>
      </c>
      <c r="AE405" s="57" t="s">
        <v>2455</v>
      </c>
      <c r="AF405" s="57" t="s">
        <v>2456</v>
      </c>
    </row>
    <row r="406" spans="1:32">
      <c r="A406" s="57">
        <v>405</v>
      </c>
      <c r="B406" s="58">
        <v>45895.739351851851</v>
      </c>
      <c r="C406" s="58">
        <v>45895.743333333332</v>
      </c>
      <c r="D406" s="57" t="s">
        <v>817</v>
      </c>
      <c r="E406" s="57" t="s">
        <v>818</v>
      </c>
      <c r="F406" s="58"/>
      <c r="G406" s="57" t="s">
        <v>713</v>
      </c>
      <c r="H406" s="59">
        <v>1</v>
      </c>
      <c r="I406" s="57"/>
      <c r="J406" s="57"/>
      <c r="K406" s="59"/>
      <c r="L406" s="57"/>
      <c r="M406" s="60"/>
      <c r="N406" s="59"/>
      <c r="O406" s="57"/>
      <c r="P406" s="57"/>
      <c r="Q406" s="57"/>
      <c r="R406" s="57"/>
      <c r="S406" s="59"/>
      <c r="T406" s="57"/>
      <c r="U406" s="60"/>
      <c r="V406" s="59"/>
      <c r="W406" s="57"/>
      <c r="X406" s="57"/>
      <c r="Y406" s="57" t="s">
        <v>21</v>
      </c>
      <c r="Z406" s="57" t="s">
        <v>819</v>
      </c>
      <c r="AA406" s="59">
        <v>44346</v>
      </c>
      <c r="AB406" s="57" t="s">
        <v>61</v>
      </c>
      <c r="AC406" s="60">
        <v>45708</v>
      </c>
      <c r="AD406" s="59">
        <v>44346</v>
      </c>
      <c r="AE406" s="57" t="s">
        <v>2457</v>
      </c>
      <c r="AF406" s="57" t="s">
        <v>2458</v>
      </c>
    </row>
    <row r="407" spans="1:32">
      <c r="A407" s="57">
        <v>406</v>
      </c>
      <c r="B407" s="58">
        <v>45895.745289351849</v>
      </c>
      <c r="C407" s="58">
        <v>45895.746365740742</v>
      </c>
      <c r="D407" s="57" t="s">
        <v>761</v>
      </c>
      <c r="E407" s="57" t="s">
        <v>762</v>
      </c>
      <c r="F407" s="58"/>
      <c r="G407" s="57" t="s">
        <v>693</v>
      </c>
      <c r="H407" s="59">
        <v>1</v>
      </c>
      <c r="I407" s="57"/>
      <c r="J407" s="57"/>
      <c r="K407" s="59"/>
      <c r="L407" s="57"/>
      <c r="M407" s="60"/>
      <c r="N407" s="59"/>
      <c r="O407" s="57"/>
      <c r="P407" s="57"/>
      <c r="Q407" s="57"/>
      <c r="R407" s="57"/>
      <c r="S407" s="59"/>
      <c r="T407" s="57"/>
      <c r="U407" s="60"/>
      <c r="V407" s="59"/>
      <c r="W407" s="57"/>
      <c r="X407" s="57"/>
      <c r="Y407" s="57" t="s">
        <v>21</v>
      </c>
      <c r="Z407" s="57" t="s">
        <v>290</v>
      </c>
      <c r="AA407" s="59">
        <v>17403</v>
      </c>
      <c r="AB407" s="57" t="s">
        <v>61</v>
      </c>
      <c r="AC407" s="60">
        <v>45768</v>
      </c>
      <c r="AD407" s="59">
        <v>17403</v>
      </c>
      <c r="AE407" s="57" t="s">
        <v>2459</v>
      </c>
      <c r="AF407" s="57" t="s">
        <v>2460</v>
      </c>
    </row>
    <row r="408" spans="1:32">
      <c r="A408" s="57">
        <v>407</v>
      </c>
      <c r="B408" s="58">
        <v>45895.757280092592</v>
      </c>
      <c r="C408" s="58">
        <v>45895.760659722233</v>
      </c>
      <c r="D408" s="57" t="s">
        <v>956</v>
      </c>
      <c r="E408" s="57" t="s">
        <v>957</v>
      </c>
      <c r="F408" s="58"/>
      <c r="G408" s="57" t="s">
        <v>717</v>
      </c>
      <c r="H408" s="59">
        <v>1</v>
      </c>
      <c r="I408" s="57"/>
      <c r="J408" s="57"/>
      <c r="K408" s="59"/>
      <c r="L408" s="57"/>
      <c r="M408" s="60"/>
      <c r="N408" s="59"/>
      <c r="O408" s="57"/>
      <c r="P408" s="57"/>
      <c r="Q408" s="57"/>
      <c r="R408" s="57"/>
      <c r="S408" s="59"/>
      <c r="T408" s="57"/>
      <c r="U408" s="60"/>
      <c r="V408" s="59"/>
      <c r="W408" s="57"/>
      <c r="X408" s="57"/>
      <c r="Y408" s="57" t="s">
        <v>20</v>
      </c>
      <c r="Z408" s="57" t="s">
        <v>958</v>
      </c>
      <c r="AA408" s="59">
        <v>20771</v>
      </c>
      <c r="AB408" s="57" t="s">
        <v>61</v>
      </c>
      <c r="AC408" s="60">
        <v>45779</v>
      </c>
      <c r="AD408" s="59">
        <v>20771</v>
      </c>
      <c r="AE408" s="57" t="s">
        <v>2461</v>
      </c>
      <c r="AF408" s="57" t="s">
        <v>2462</v>
      </c>
    </row>
    <row r="409" spans="1:32">
      <c r="A409" s="57">
        <v>408</v>
      </c>
      <c r="B409" s="58">
        <v>45895.853171296287</v>
      </c>
      <c r="C409" s="58">
        <v>45895.854548611111</v>
      </c>
      <c r="D409" s="57" t="s">
        <v>1244</v>
      </c>
      <c r="E409" s="57" t="s">
        <v>1245</v>
      </c>
      <c r="F409" s="58"/>
      <c r="G409" s="57" t="s">
        <v>708</v>
      </c>
      <c r="H409" s="59">
        <v>1</v>
      </c>
      <c r="I409" s="57"/>
      <c r="J409" s="57"/>
      <c r="K409" s="59"/>
      <c r="L409" s="57"/>
      <c r="M409" s="60"/>
      <c r="N409" s="59"/>
      <c r="O409" s="57"/>
      <c r="P409" s="57"/>
      <c r="Q409" s="57"/>
      <c r="R409" s="57"/>
      <c r="S409" s="59"/>
      <c r="T409" s="57"/>
      <c r="U409" s="60"/>
      <c r="V409" s="59"/>
      <c r="W409" s="57"/>
      <c r="X409" s="57"/>
      <c r="Y409" s="57" t="s">
        <v>20</v>
      </c>
      <c r="Z409" s="57" t="s">
        <v>1246</v>
      </c>
      <c r="AA409" s="59">
        <v>48745</v>
      </c>
      <c r="AB409" s="57" t="s">
        <v>61</v>
      </c>
      <c r="AC409" s="60">
        <v>45873</v>
      </c>
      <c r="AD409" s="59">
        <v>48745</v>
      </c>
      <c r="AE409" s="57" t="s">
        <v>2463</v>
      </c>
      <c r="AF409" s="57" t="s">
        <v>2464</v>
      </c>
    </row>
    <row r="410" spans="1:32">
      <c r="A410" s="57">
        <v>409</v>
      </c>
      <c r="B410" s="58">
        <v>45896.323460648149</v>
      </c>
      <c r="C410" s="58">
        <v>45896.326585648138</v>
      </c>
      <c r="D410" s="57" t="s">
        <v>739</v>
      </c>
      <c r="E410" s="57" t="s">
        <v>740</v>
      </c>
      <c r="F410" s="58"/>
      <c r="G410" s="57" t="s">
        <v>686</v>
      </c>
      <c r="H410" s="59">
        <v>1</v>
      </c>
      <c r="I410" s="57"/>
      <c r="J410" s="57"/>
      <c r="K410" s="59"/>
      <c r="L410" s="57"/>
      <c r="M410" s="60"/>
      <c r="N410" s="59"/>
      <c r="O410" s="57"/>
      <c r="P410" s="57"/>
      <c r="Q410" s="57"/>
      <c r="R410" s="57"/>
      <c r="S410" s="59"/>
      <c r="T410" s="57"/>
      <c r="U410" s="60"/>
      <c r="V410" s="59"/>
      <c r="W410" s="57"/>
      <c r="X410" s="57"/>
      <c r="Y410" s="57" t="s">
        <v>21</v>
      </c>
      <c r="Z410" s="57" t="s">
        <v>741</v>
      </c>
      <c r="AA410" s="59">
        <v>49284</v>
      </c>
      <c r="AB410" s="57" t="s">
        <v>61</v>
      </c>
      <c r="AC410" s="60">
        <v>45798</v>
      </c>
      <c r="AD410" s="59">
        <v>49284</v>
      </c>
      <c r="AE410" s="57" t="s">
        <v>2465</v>
      </c>
      <c r="AF410" s="57" t="s">
        <v>2466</v>
      </c>
    </row>
    <row r="411" spans="1:32">
      <c r="A411" s="57">
        <v>410</v>
      </c>
      <c r="B411" s="58">
        <v>45896.334444444437</v>
      </c>
      <c r="C411" s="58">
        <v>45896.338252314818</v>
      </c>
      <c r="D411" s="57" t="s">
        <v>2467</v>
      </c>
      <c r="E411" s="57" t="s">
        <v>2468</v>
      </c>
      <c r="F411" s="58"/>
      <c r="G411" s="57" t="s">
        <v>650</v>
      </c>
      <c r="H411" s="59">
        <v>1</v>
      </c>
      <c r="I411" s="57"/>
      <c r="J411" s="57"/>
      <c r="K411" s="59"/>
      <c r="L411" s="57"/>
      <c r="M411" s="60"/>
      <c r="N411" s="59"/>
      <c r="O411" s="57"/>
      <c r="P411" s="57"/>
      <c r="Q411" s="57"/>
      <c r="R411" s="57"/>
      <c r="S411" s="59"/>
      <c r="T411" s="57"/>
      <c r="U411" s="60"/>
      <c r="V411" s="59"/>
      <c r="W411" s="57"/>
      <c r="X411" s="57"/>
      <c r="Y411" s="57" t="s">
        <v>21</v>
      </c>
      <c r="Z411" s="57" t="s">
        <v>347</v>
      </c>
      <c r="AA411" s="59">
        <v>5504</v>
      </c>
      <c r="AB411" s="57" t="s">
        <v>61</v>
      </c>
      <c r="AC411" s="60">
        <v>45658</v>
      </c>
      <c r="AD411" s="59">
        <v>5504</v>
      </c>
      <c r="AE411" s="57" t="s">
        <v>2469</v>
      </c>
      <c r="AF411" s="57" t="s">
        <v>2470</v>
      </c>
    </row>
    <row r="412" spans="1:32">
      <c r="A412" s="57">
        <v>411</v>
      </c>
      <c r="B412" s="58">
        <v>45896.337384259263</v>
      </c>
      <c r="C412" s="58">
        <v>45896.340624999997</v>
      </c>
      <c r="D412" s="57" t="s">
        <v>1383</v>
      </c>
      <c r="E412" s="57" t="s">
        <v>1384</v>
      </c>
      <c r="F412" s="58"/>
      <c r="G412" s="57" t="s">
        <v>626</v>
      </c>
      <c r="H412" s="59">
        <v>1</v>
      </c>
      <c r="I412" s="57"/>
      <c r="J412" s="57"/>
      <c r="K412" s="59"/>
      <c r="L412" s="57"/>
      <c r="M412" s="60"/>
      <c r="N412" s="59"/>
      <c r="O412" s="57"/>
      <c r="P412" s="57"/>
      <c r="Q412" s="57"/>
      <c r="R412" s="57"/>
      <c r="S412" s="59"/>
      <c r="T412" s="57"/>
      <c r="U412" s="60"/>
      <c r="V412" s="59"/>
      <c r="W412" s="57"/>
      <c r="X412" s="57"/>
      <c r="Y412" s="57" t="s">
        <v>21</v>
      </c>
      <c r="Z412" s="57" t="s">
        <v>309</v>
      </c>
      <c r="AA412" s="59">
        <v>17185</v>
      </c>
      <c r="AB412" s="57" t="s">
        <v>61</v>
      </c>
      <c r="AC412" s="60">
        <v>45805</v>
      </c>
      <c r="AD412" s="59">
        <v>17185</v>
      </c>
      <c r="AE412" s="57" t="s">
        <v>2471</v>
      </c>
      <c r="AF412" s="57" t="s">
        <v>2472</v>
      </c>
    </row>
    <row r="413" spans="1:32">
      <c r="A413" s="57">
        <v>412</v>
      </c>
      <c r="B413" s="58">
        <v>45896.315844907411</v>
      </c>
      <c r="C413" s="58">
        <v>45896.344768518517</v>
      </c>
      <c r="D413" s="57" t="s">
        <v>1303</v>
      </c>
      <c r="E413" s="57" t="s">
        <v>1304</v>
      </c>
      <c r="F413" s="58"/>
      <c r="G413" s="57" t="s">
        <v>558</v>
      </c>
      <c r="H413" s="59">
        <v>2</v>
      </c>
      <c r="I413" s="57"/>
      <c r="J413" s="57"/>
      <c r="K413" s="59"/>
      <c r="L413" s="57"/>
      <c r="M413" s="60"/>
      <c r="N413" s="59"/>
      <c r="O413" s="57"/>
      <c r="P413" s="57"/>
      <c r="Q413" s="57" t="s">
        <v>22</v>
      </c>
      <c r="R413" s="57" t="s">
        <v>228</v>
      </c>
      <c r="S413" s="59">
        <v>52087</v>
      </c>
      <c r="T413" s="57" t="s">
        <v>61</v>
      </c>
      <c r="U413" s="60">
        <v>45866</v>
      </c>
      <c r="V413" s="59">
        <v>52087</v>
      </c>
      <c r="W413" s="57" t="s">
        <v>2473</v>
      </c>
      <c r="X413" s="57" t="s">
        <v>2474</v>
      </c>
      <c r="Y413" s="57" t="s">
        <v>20</v>
      </c>
      <c r="Z413" s="57" t="s">
        <v>313</v>
      </c>
      <c r="AA413" s="59">
        <v>9284</v>
      </c>
      <c r="AB413" s="57" t="s">
        <v>61</v>
      </c>
      <c r="AC413" s="60">
        <v>45840</v>
      </c>
      <c r="AD413" s="59">
        <v>9284</v>
      </c>
      <c r="AE413" s="57" t="s">
        <v>2475</v>
      </c>
      <c r="AF413" s="57" t="s">
        <v>2476</v>
      </c>
    </row>
    <row r="414" spans="1:32">
      <c r="A414" s="57">
        <v>413</v>
      </c>
      <c r="B414" s="58">
        <v>45896.341493055559</v>
      </c>
      <c r="C414" s="58">
        <v>45896.345381944448</v>
      </c>
      <c r="D414" s="57" t="s">
        <v>2477</v>
      </c>
      <c r="E414" s="57" t="s">
        <v>2478</v>
      </c>
      <c r="F414" s="58"/>
      <c r="G414" s="57" t="s">
        <v>666</v>
      </c>
      <c r="H414" s="59">
        <v>1</v>
      </c>
      <c r="I414" s="57"/>
      <c r="J414" s="57"/>
      <c r="K414" s="59"/>
      <c r="L414" s="57"/>
      <c r="M414" s="60"/>
      <c r="N414" s="59"/>
      <c r="O414" s="57"/>
      <c r="P414" s="57"/>
      <c r="Q414" s="57"/>
      <c r="R414" s="57"/>
      <c r="S414" s="59"/>
      <c r="T414" s="57"/>
      <c r="U414" s="60"/>
      <c r="V414" s="59"/>
      <c r="W414" s="57"/>
      <c r="X414" s="57"/>
      <c r="Y414" s="57" t="s">
        <v>21</v>
      </c>
      <c r="Z414" s="57" t="s">
        <v>376</v>
      </c>
      <c r="AA414" s="59">
        <v>4232</v>
      </c>
      <c r="AB414" s="57" t="s">
        <v>61</v>
      </c>
      <c r="AC414" s="60">
        <v>45800</v>
      </c>
      <c r="AD414" s="59">
        <v>4232</v>
      </c>
      <c r="AE414" s="57" t="s">
        <v>2479</v>
      </c>
      <c r="AF414" s="57" t="s">
        <v>2480</v>
      </c>
    </row>
    <row r="415" spans="1:32">
      <c r="A415" s="57">
        <v>414</v>
      </c>
      <c r="B415" s="58">
        <v>45896.345775462964</v>
      </c>
      <c r="C415" s="58">
        <v>45896.353344907409</v>
      </c>
      <c r="D415" s="57" t="s">
        <v>2481</v>
      </c>
      <c r="E415" s="57" t="s">
        <v>2482</v>
      </c>
      <c r="F415" s="58"/>
      <c r="G415" s="57" t="s">
        <v>642</v>
      </c>
      <c r="H415" s="59">
        <v>1</v>
      </c>
      <c r="I415" s="57"/>
      <c r="J415" s="57"/>
      <c r="K415" s="59"/>
      <c r="L415" s="57"/>
      <c r="M415" s="60"/>
      <c r="N415" s="59"/>
      <c r="O415" s="57"/>
      <c r="P415" s="57"/>
      <c r="Q415" s="57"/>
      <c r="R415" s="57"/>
      <c r="S415" s="59"/>
      <c r="T415" s="57"/>
      <c r="U415" s="60"/>
      <c r="V415" s="59"/>
      <c r="W415" s="57"/>
      <c r="X415" s="57"/>
      <c r="Y415" s="57" t="s">
        <v>21</v>
      </c>
      <c r="Z415" s="57" t="s">
        <v>337</v>
      </c>
      <c r="AA415" s="59">
        <v>9567</v>
      </c>
      <c r="AB415" s="57" t="s">
        <v>61</v>
      </c>
      <c r="AC415" s="60">
        <v>45720</v>
      </c>
      <c r="AD415" s="59">
        <v>9567</v>
      </c>
      <c r="AE415" s="57" t="s">
        <v>2483</v>
      </c>
      <c r="AF415" s="57" t="s">
        <v>2484</v>
      </c>
    </row>
    <row r="416" spans="1:32">
      <c r="A416" s="57">
        <v>415</v>
      </c>
      <c r="B416" s="58">
        <v>45896.341921296298</v>
      </c>
      <c r="C416" s="58">
        <v>45896.354375000003</v>
      </c>
      <c r="D416" s="57" t="s">
        <v>1551</v>
      </c>
      <c r="E416" s="57" t="s">
        <v>1552</v>
      </c>
      <c r="F416" s="58"/>
      <c r="G416" s="57" t="s">
        <v>543</v>
      </c>
      <c r="H416" s="59">
        <v>2</v>
      </c>
      <c r="I416" s="57"/>
      <c r="J416" s="57"/>
      <c r="K416" s="59"/>
      <c r="L416" s="57"/>
      <c r="M416" s="60"/>
      <c r="N416" s="59"/>
      <c r="O416" s="57"/>
      <c r="P416" s="57"/>
      <c r="Q416" s="57" t="s">
        <v>20</v>
      </c>
      <c r="R416" s="57" t="s">
        <v>212</v>
      </c>
      <c r="S416" s="59">
        <v>58953</v>
      </c>
      <c r="T416" s="57" t="s">
        <v>61</v>
      </c>
      <c r="U416" s="60">
        <v>45795</v>
      </c>
      <c r="V416" s="59">
        <v>58953</v>
      </c>
      <c r="W416" s="57" t="s">
        <v>2485</v>
      </c>
      <c r="X416" s="57" t="s">
        <v>2486</v>
      </c>
      <c r="Y416" s="57" t="s">
        <v>22</v>
      </c>
      <c r="Z416" s="57" t="s">
        <v>300</v>
      </c>
      <c r="AA416" s="59">
        <v>15228</v>
      </c>
      <c r="AB416" s="57" t="s">
        <v>61</v>
      </c>
      <c r="AC416" s="60">
        <v>45761</v>
      </c>
      <c r="AD416" s="59">
        <v>15228</v>
      </c>
      <c r="AE416" s="57" t="s">
        <v>2487</v>
      </c>
      <c r="AF416" s="57" t="s">
        <v>2488</v>
      </c>
    </row>
    <row r="417" spans="1:32">
      <c r="A417" s="57">
        <v>416</v>
      </c>
      <c r="B417" s="58">
        <v>45896.376377314817</v>
      </c>
      <c r="C417" s="58">
        <v>45896.403854166667</v>
      </c>
      <c r="D417" s="57" t="s">
        <v>1735</v>
      </c>
      <c r="E417" s="57" t="s">
        <v>1736</v>
      </c>
      <c r="F417" s="58"/>
      <c r="G417" s="57" t="s">
        <v>569</v>
      </c>
      <c r="H417" s="59">
        <v>2</v>
      </c>
      <c r="I417" s="57"/>
      <c r="J417" s="57"/>
      <c r="K417" s="59"/>
      <c r="L417" s="57"/>
      <c r="M417" s="60"/>
      <c r="N417" s="59"/>
      <c r="O417" s="57"/>
      <c r="P417" s="57"/>
      <c r="Q417" s="57" t="s">
        <v>22</v>
      </c>
      <c r="R417" s="57" t="s">
        <v>2489</v>
      </c>
      <c r="S417" s="59">
        <v>31648</v>
      </c>
      <c r="T417" s="57" t="s">
        <v>61</v>
      </c>
      <c r="U417" s="60">
        <v>45892</v>
      </c>
      <c r="V417" s="59">
        <v>31648</v>
      </c>
      <c r="W417" s="57" t="s">
        <v>2490</v>
      </c>
      <c r="X417" s="57" t="s">
        <v>2491</v>
      </c>
      <c r="Y417" s="57" t="s">
        <v>21</v>
      </c>
      <c r="Z417" s="57" t="s">
        <v>334</v>
      </c>
      <c r="AA417" s="59">
        <v>2755</v>
      </c>
      <c r="AB417" s="57" t="s">
        <v>61</v>
      </c>
      <c r="AC417" s="60">
        <v>45720</v>
      </c>
      <c r="AD417" s="59">
        <v>2755</v>
      </c>
      <c r="AE417" s="57" t="s">
        <v>2492</v>
      </c>
      <c r="AF417" s="57" t="s">
        <v>2493</v>
      </c>
    </row>
    <row r="418" spans="1:32">
      <c r="A418" s="57">
        <v>417</v>
      </c>
      <c r="B418" s="58">
        <v>45896.403958333343</v>
      </c>
      <c r="C418" s="58">
        <v>45896.405833333331</v>
      </c>
      <c r="D418" s="57" t="s">
        <v>2494</v>
      </c>
      <c r="E418" s="57" t="s">
        <v>2495</v>
      </c>
      <c r="F418" s="58"/>
      <c r="G418" s="57" t="s">
        <v>670</v>
      </c>
      <c r="H418" s="59">
        <v>2</v>
      </c>
      <c r="I418" s="57"/>
      <c r="J418" s="57"/>
      <c r="K418" s="59"/>
      <c r="L418" s="57"/>
      <c r="M418" s="60"/>
      <c r="N418" s="59"/>
      <c r="O418" s="57"/>
      <c r="P418" s="57"/>
      <c r="Q418" s="57" t="s">
        <v>21</v>
      </c>
      <c r="R418" s="57" t="s">
        <v>126</v>
      </c>
      <c r="S418" s="59">
        <v>23182</v>
      </c>
      <c r="T418" s="57" t="s">
        <v>61</v>
      </c>
      <c r="U418" s="60">
        <v>45859</v>
      </c>
      <c r="V418" s="59">
        <v>23182</v>
      </c>
      <c r="W418" s="57" t="s">
        <v>2496</v>
      </c>
      <c r="X418" s="57" t="s">
        <v>2497</v>
      </c>
      <c r="Y418" s="57" t="s">
        <v>21</v>
      </c>
      <c r="Z418" s="57" t="s">
        <v>381</v>
      </c>
      <c r="AA418" s="59">
        <v>2321</v>
      </c>
      <c r="AB418" s="57" t="s">
        <v>61</v>
      </c>
      <c r="AC418" s="60">
        <v>45832</v>
      </c>
      <c r="AD418" s="59">
        <v>2321</v>
      </c>
      <c r="AE418" s="57" t="s">
        <v>2498</v>
      </c>
      <c r="AF418" s="57" t="s">
        <v>2499</v>
      </c>
    </row>
    <row r="419" spans="1:32">
      <c r="A419" s="57">
        <v>418</v>
      </c>
      <c r="B419" s="58">
        <v>45896.407731481479</v>
      </c>
      <c r="C419" s="58">
        <v>45896.411678240736</v>
      </c>
      <c r="D419" s="57" t="s">
        <v>2494</v>
      </c>
      <c r="E419" s="57" t="s">
        <v>2495</v>
      </c>
      <c r="F419" s="58"/>
      <c r="G419" s="57" t="s">
        <v>670</v>
      </c>
      <c r="H419" s="59">
        <v>2</v>
      </c>
      <c r="I419" s="57"/>
      <c r="J419" s="57"/>
      <c r="K419" s="59"/>
      <c r="L419" s="57"/>
      <c r="M419" s="60"/>
      <c r="N419" s="59"/>
      <c r="O419" s="57"/>
      <c r="P419" s="57"/>
      <c r="Q419" s="57" t="s">
        <v>21</v>
      </c>
      <c r="R419" s="57" t="s">
        <v>126</v>
      </c>
      <c r="S419" s="59">
        <v>23239</v>
      </c>
      <c r="T419" s="57" t="s">
        <v>61</v>
      </c>
      <c r="U419" s="60">
        <v>45859</v>
      </c>
      <c r="V419" s="59">
        <v>23239</v>
      </c>
      <c r="W419" s="57" t="s">
        <v>2500</v>
      </c>
      <c r="X419" s="57" t="s">
        <v>2501</v>
      </c>
      <c r="Y419" s="57" t="s">
        <v>21</v>
      </c>
      <c r="Z419" s="57" t="s">
        <v>381</v>
      </c>
      <c r="AA419" s="59">
        <v>2077</v>
      </c>
      <c r="AB419" s="57" t="s">
        <v>61</v>
      </c>
      <c r="AC419" s="60">
        <v>45832</v>
      </c>
      <c r="AD419" s="59">
        <v>2077</v>
      </c>
      <c r="AE419" s="57" t="s">
        <v>2502</v>
      </c>
      <c r="AF419" s="57" t="s">
        <v>2503</v>
      </c>
    </row>
    <row r="420" spans="1:32">
      <c r="A420" s="57">
        <v>419</v>
      </c>
      <c r="B420" s="58">
        <v>45896.418530092589</v>
      </c>
      <c r="C420" s="58">
        <v>45896.428935185177</v>
      </c>
      <c r="D420" s="57" t="s">
        <v>1668</v>
      </c>
      <c r="E420" s="57" t="s">
        <v>1669</v>
      </c>
      <c r="F420" s="58"/>
      <c r="G420" s="57" t="s">
        <v>622</v>
      </c>
      <c r="H420" s="59">
        <v>2</v>
      </c>
      <c r="I420" s="57"/>
      <c r="J420" s="57"/>
      <c r="K420" s="59"/>
      <c r="L420" s="57"/>
      <c r="M420" s="60"/>
      <c r="N420" s="59"/>
      <c r="O420" s="57"/>
      <c r="P420" s="57"/>
      <c r="Q420" s="57" t="s">
        <v>22</v>
      </c>
      <c r="R420" s="57" t="s">
        <v>304</v>
      </c>
      <c r="S420" s="59">
        <v>17151</v>
      </c>
      <c r="T420" s="57" t="s">
        <v>61</v>
      </c>
      <c r="U420" s="60">
        <v>45785</v>
      </c>
      <c r="V420" s="59">
        <v>17151</v>
      </c>
      <c r="W420" s="57" t="s">
        <v>2504</v>
      </c>
      <c r="X420" s="57" t="s">
        <v>2505</v>
      </c>
      <c r="Y420" s="57" t="s">
        <v>21</v>
      </c>
      <c r="Z420" s="57" t="s">
        <v>308</v>
      </c>
      <c r="AA420" s="59">
        <v>7602</v>
      </c>
      <c r="AB420" s="57" t="s">
        <v>61</v>
      </c>
      <c r="AC420" s="60">
        <v>45863</v>
      </c>
      <c r="AD420" s="59">
        <v>7602</v>
      </c>
      <c r="AE420" s="57" t="s">
        <v>2506</v>
      </c>
      <c r="AF420" s="57" t="s">
        <v>2507</v>
      </c>
    </row>
    <row r="421" spans="1:32">
      <c r="A421" s="57">
        <v>420</v>
      </c>
      <c r="B421" s="58">
        <v>45896.418032407397</v>
      </c>
      <c r="C421" s="58">
        <v>45896.443993055553</v>
      </c>
      <c r="D421" s="57" t="s">
        <v>2508</v>
      </c>
      <c r="E421" s="57" t="s">
        <v>2509</v>
      </c>
      <c r="F421" s="58"/>
      <c r="G421" s="57" t="s">
        <v>633</v>
      </c>
      <c r="H421" s="59">
        <v>3</v>
      </c>
      <c r="I421" s="57" t="s">
        <v>20</v>
      </c>
      <c r="J421" s="57" t="s">
        <v>322</v>
      </c>
      <c r="K421" s="59">
        <v>12080</v>
      </c>
      <c r="L421" s="57" t="s">
        <v>61</v>
      </c>
      <c r="M421" s="60">
        <v>45825</v>
      </c>
      <c r="N421" s="59">
        <v>12080</v>
      </c>
      <c r="O421" s="57" t="s">
        <v>2510</v>
      </c>
      <c r="P421" s="57" t="s">
        <v>2511</v>
      </c>
      <c r="Q421" s="57" t="s">
        <v>20</v>
      </c>
      <c r="R421" s="57" t="s">
        <v>356</v>
      </c>
      <c r="S421" s="59">
        <v>12432</v>
      </c>
      <c r="T421" s="57" t="s">
        <v>61</v>
      </c>
      <c r="U421" s="60">
        <v>45818</v>
      </c>
      <c r="V421" s="59">
        <v>12432</v>
      </c>
      <c r="W421" s="57" t="s">
        <v>2512</v>
      </c>
      <c r="X421" s="57" t="s">
        <v>2513</v>
      </c>
      <c r="Y421" s="57" t="s">
        <v>22</v>
      </c>
      <c r="Z421" s="57" t="s">
        <v>386</v>
      </c>
      <c r="AA421" s="59">
        <v>265</v>
      </c>
      <c r="AB421" s="57" t="s">
        <v>61</v>
      </c>
      <c r="AC421" s="60">
        <v>45869</v>
      </c>
      <c r="AD421" s="59">
        <v>265</v>
      </c>
      <c r="AE421" s="57" t="s">
        <v>2514</v>
      </c>
      <c r="AF421" s="57" t="s">
        <v>2515</v>
      </c>
    </row>
    <row r="422" spans="1:32">
      <c r="A422" s="57">
        <v>421</v>
      </c>
      <c r="B422" s="58">
        <v>45896.454293981478</v>
      </c>
      <c r="C422" s="58">
        <v>45896.464189814818</v>
      </c>
      <c r="D422" s="57" t="s">
        <v>1795</v>
      </c>
      <c r="E422" s="57" t="s">
        <v>1796</v>
      </c>
      <c r="F422" s="58"/>
      <c r="G422" s="57" t="s">
        <v>632</v>
      </c>
      <c r="H422" s="59">
        <v>2</v>
      </c>
      <c r="I422" s="57"/>
      <c r="J422" s="57"/>
      <c r="K422" s="59"/>
      <c r="L422" s="57"/>
      <c r="M422" s="60"/>
      <c r="N422" s="59"/>
      <c r="O422" s="57"/>
      <c r="P422" s="57"/>
      <c r="Q422" s="57" t="s">
        <v>22</v>
      </c>
      <c r="R422" s="57" t="s">
        <v>1797</v>
      </c>
      <c r="S422" s="59">
        <v>34744</v>
      </c>
      <c r="T422" s="57" t="s">
        <v>61</v>
      </c>
      <c r="U422" s="60">
        <v>45888</v>
      </c>
      <c r="V422" s="59">
        <v>34744</v>
      </c>
      <c r="W422" s="57" t="s">
        <v>2516</v>
      </c>
      <c r="X422" s="57" t="s">
        <v>2517</v>
      </c>
      <c r="Y422" s="57" t="s">
        <v>21</v>
      </c>
      <c r="Z422" s="57" t="s">
        <v>321</v>
      </c>
      <c r="AA422" s="59">
        <v>1995</v>
      </c>
      <c r="AB422" s="57" t="s">
        <v>61</v>
      </c>
      <c r="AC422" s="60">
        <v>45890</v>
      </c>
      <c r="AD422" s="59">
        <v>1995</v>
      </c>
      <c r="AE422" s="57" t="s">
        <v>2518</v>
      </c>
      <c r="AF422" s="57" t="s">
        <v>2519</v>
      </c>
    </row>
    <row r="423" spans="1:32">
      <c r="A423" s="57">
        <v>422</v>
      </c>
      <c r="B423" s="58">
        <v>45896.498356481483</v>
      </c>
      <c r="C423" s="58">
        <v>45896.499155092592</v>
      </c>
      <c r="D423" s="57" t="s">
        <v>1159</v>
      </c>
      <c r="E423" s="57" t="s">
        <v>1160</v>
      </c>
      <c r="F423" s="58"/>
      <c r="G423" s="57" t="s">
        <v>551</v>
      </c>
      <c r="H423" s="59">
        <v>1</v>
      </c>
      <c r="I423" s="57"/>
      <c r="J423" s="57"/>
      <c r="K423" s="59"/>
      <c r="L423" s="57"/>
      <c r="M423" s="60"/>
      <c r="N423" s="59"/>
      <c r="O423" s="57"/>
      <c r="P423" s="57"/>
      <c r="Q423" s="57"/>
      <c r="R423" s="57"/>
      <c r="S423" s="59"/>
      <c r="T423" s="57"/>
      <c r="U423" s="60"/>
      <c r="V423" s="59"/>
      <c r="W423" s="57"/>
      <c r="X423" s="57"/>
      <c r="Y423" s="57" t="s">
        <v>20</v>
      </c>
      <c r="Z423" s="57" t="s">
        <v>220</v>
      </c>
      <c r="AA423" s="59">
        <v>41175</v>
      </c>
      <c r="AB423" s="57" t="s">
        <v>61</v>
      </c>
      <c r="AC423" s="60">
        <v>45841</v>
      </c>
      <c r="AD423" s="59">
        <v>41175</v>
      </c>
      <c r="AE423" s="57" t="s">
        <v>2520</v>
      </c>
      <c r="AF423" s="57" t="s">
        <v>2521</v>
      </c>
    </row>
    <row r="424" spans="1:32">
      <c r="A424" s="57">
        <v>423</v>
      </c>
      <c r="B424" s="58">
        <v>45896.509120370371</v>
      </c>
      <c r="C424" s="58">
        <v>45896.528043981481</v>
      </c>
      <c r="D424" s="57" t="s">
        <v>2522</v>
      </c>
      <c r="E424" s="57" t="s">
        <v>2523</v>
      </c>
      <c r="F424" s="58"/>
      <c r="G424" s="57" t="s">
        <v>464</v>
      </c>
      <c r="H424" s="59">
        <v>2</v>
      </c>
      <c r="I424" s="57"/>
      <c r="J424" s="57"/>
      <c r="K424" s="59"/>
      <c r="L424" s="57"/>
      <c r="M424" s="60"/>
      <c r="N424" s="59"/>
      <c r="O424" s="57"/>
      <c r="P424" s="57"/>
      <c r="Q424" s="57" t="s">
        <v>22</v>
      </c>
      <c r="R424" s="57" t="s">
        <v>2524</v>
      </c>
      <c r="S424" s="59">
        <v>78898</v>
      </c>
      <c r="T424" s="57" t="s">
        <v>61</v>
      </c>
      <c r="U424" s="60">
        <v>45839</v>
      </c>
      <c r="V424" s="59">
        <v>78898</v>
      </c>
      <c r="W424" s="57" t="s">
        <v>2525</v>
      </c>
      <c r="X424" s="57" t="s">
        <v>2526</v>
      </c>
      <c r="Y424" s="57" t="s">
        <v>21</v>
      </c>
      <c r="Z424" s="57" t="s">
        <v>2527</v>
      </c>
      <c r="AA424" s="59">
        <v>8024</v>
      </c>
      <c r="AB424" s="57" t="s">
        <v>61</v>
      </c>
      <c r="AC424" s="60">
        <v>45809</v>
      </c>
      <c r="AD424" s="59">
        <v>8024</v>
      </c>
      <c r="AE424" s="57" t="s">
        <v>2528</v>
      </c>
      <c r="AF424" s="57" t="s">
        <v>2529</v>
      </c>
    </row>
    <row r="425" spans="1:32">
      <c r="A425" s="57">
        <v>424</v>
      </c>
      <c r="B425" s="58">
        <v>45896.547199074077</v>
      </c>
      <c r="C425" s="58">
        <v>45896.551469907397</v>
      </c>
      <c r="D425" s="57" t="s">
        <v>2530</v>
      </c>
      <c r="E425" s="57" t="s">
        <v>2531</v>
      </c>
      <c r="F425" s="58"/>
      <c r="G425" s="57" t="s">
        <v>659</v>
      </c>
      <c r="H425" s="59">
        <v>1</v>
      </c>
      <c r="I425" s="57"/>
      <c r="J425" s="57"/>
      <c r="K425" s="59"/>
      <c r="L425" s="57"/>
      <c r="M425" s="60"/>
      <c r="N425" s="59"/>
      <c r="O425" s="57"/>
      <c r="P425" s="57"/>
      <c r="Q425" s="57"/>
      <c r="R425" s="57"/>
      <c r="S425" s="59"/>
      <c r="T425" s="57"/>
      <c r="U425" s="60"/>
      <c r="V425" s="59"/>
      <c r="W425" s="57"/>
      <c r="X425" s="57"/>
      <c r="Y425" s="57" t="s">
        <v>21</v>
      </c>
      <c r="Z425" s="57" t="s">
        <v>360</v>
      </c>
      <c r="AA425" s="59">
        <v>8476</v>
      </c>
      <c r="AB425" s="57" t="s">
        <v>61</v>
      </c>
      <c r="AC425" s="60">
        <v>45747</v>
      </c>
      <c r="AD425" s="59">
        <v>8476</v>
      </c>
      <c r="AE425" s="57" t="s">
        <v>2532</v>
      </c>
      <c r="AF425" s="57" t="s">
        <v>2533</v>
      </c>
    </row>
    <row r="426" spans="1:32">
      <c r="A426" s="57">
        <v>425</v>
      </c>
      <c r="B426" s="58">
        <v>45896.561712962961</v>
      </c>
      <c r="C426" s="58">
        <v>45896.565312500003</v>
      </c>
      <c r="D426" s="57" t="s">
        <v>1022</v>
      </c>
      <c r="E426" s="57" t="s">
        <v>1023</v>
      </c>
      <c r="F426" s="58"/>
      <c r="G426" s="57" t="s">
        <v>589</v>
      </c>
      <c r="H426" s="59">
        <v>1</v>
      </c>
      <c r="I426" s="57"/>
      <c r="J426" s="57"/>
      <c r="K426" s="59"/>
      <c r="L426" s="57"/>
      <c r="M426" s="60"/>
      <c r="N426" s="59"/>
      <c r="O426" s="57"/>
      <c r="P426" s="57"/>
      <c r="Q426" s="57"/>
      <c r="R426" s="57"/>
      <c r="S426" s="59"/>
      <c r="T426" s="57"/>
      <c r="U426" s="60"/>
      <c r="V426" s="59"/>
      <c r="W426" s="57"/>
      <c r="X426" s="57"/>
      <c r="Y426" s="57" t="s">
        <v>21</v>
      </c>
      <c r="Z426" s="57" t="s">
        <v>263</v>
      </c>
      <c r="AA426" s="59">
        <v>15257</v>
      </c>
      <c r="AB426" s="57" t="s">
        <v>61</v>
      </c>
      <c r="AC426" s="60">
        <v>45827</v>
      </c>
      <c r="AD426" s="59">
        <v>15257</v>
      </c>
      <c r="AE426" s="57" t="s">
        <v>2534</v>
      </c>
      <c r="AF426" s="57" t="s">
        <v>2535</v>
      </c>
    </row>
    <row r="427" spans="1:32">
      <c r="A427" s="57">
        <v>426</v>
      </c>
      <c r="B427" s="58">
        <v>45896.570555555547</v>
      </c>
      <c r="C427" s="58">
        <v>45896.573935185188</v>
      </c>
      <c r="D427" s="57" t="s">
        <v>1163</v>
      </c>
      <c r="E427" s="57" t="s">
        <v>1164</v>
      </c>
      <c r="F427" s="58"/>
      <c r="G427" s="57" t="s">
        <v>536</v>
      </c>
      <c r="H427" s="59">
        <v>2</v>
      </c>
      <c r="I427" s="57"/>
      <c r="J427" s="57"/>
      <c r="K427" s="59"/>
      <c r="L427" s="57"/>
      <c r="M427" s="60"/>
      <c r="N427" s="59"/>
      <c r="O427" s="57"/>
      <c r="P427" s="57"/>
      <c r="Q427" s="57" t="s">
        <v>22</v>
      </c>
      <c r="R427" s="57" t="s">
        <v>204</v>
      </c>
      <c r="S427" s="59">
        <v>75646</v>
      </c>
      <c r="T427" s="57" t="s">
        <v>61</v>
      </c>
      <c r="U427" s="60">
        <v>45882</v>
      </c>
      <c r="V427" s="59">
        <v>75646</v>
      </c>
      <c r="W427" s="57" t="s">
        <v>2536</v>
      </c>
      <c r="X427" s="57" t="s">
        <v>2537</v>
      </c>
      <c r="Y427" s="57" t="s">
        <v>21</v>
      </c>
      <c r="Z427" s="57" t="s">
        <v>327</v>
      </c>
      <c r="AA427" s="59">
        <v>9430</v>
      </c>
      <c r="AB427" s="57" t="s">
        <v>61</v>
      </c>
      <c r="AC427" s="60">
        <v>45874</v>
      </c>
      <c r="AD427" s="59">
        <v>9430</v>
      </c>
      <c r="AE427" s="57" t="s">
        <v>2538</v>
      </c>
      <c r="AF427" s="57" t="s">
        <v>2539</v>
      </c>
    </row>
    <row r="428" spans="1:32">
      <c r="A428" s="57">
        <v>427</v>
      </c>
      <c r="B428" s="58">
        <v>45896.655034722222</v>
      </c>
      <c r="C428" s="58">
        <v>45896.655324074083</v>
      </c>
      <c r="D428" s="57" t="s">
        <v>1760</v>
      </c>
      <c r="E428" s="57" t="s">
        <v>1761</v>
      </c>
      <c r="F428" s="58"/>
      <c r="G428" s="57" t="s">
        <v>488</v>
      </c>
      <c r="H428" s="59">
        <v>1</v>
      </c>
      <c r="I428" s="57"/>
      <c r="J428" s="57"/>
      <c r="K428" s="59"/>
      <c r="L428" s="57"/>
      <c r="M428" s="60"/>
      <c r="N428" s="59"/>
      <c r="O428" s="57"/>
      <c r="P428" s="57"/>
      <c r="Q428" s="57"/>
      <c r="R428" s="57"/>
      <c r="S428" s="59"/>
      <c r="T428" s="57"/>
      <c r="U428" s="60"/>
      <c r="V428" s="59"/>
      <c r="W428" s="57"/>
      <c r="X428" s="57"/>
      <c r="Y428" s="57" t="s">
        <v>21</v>
      </c>
      <c r="Z428" s="57" t="s">
        <v>154</v>
      </c>
      <c r="AA428" s="59">
        <v>39392</v>
      </c>
      <c r="AB428" s="57" t="s">
        <v>61</v>
      </c>
      <c r="AC428" s="60">
        <v>45820</v>
      </c>
      <c r="AD428" s="59">
        <v>39392</v>
      </c>
      <c r="AE428" s="57" t="s">
        <v>2540</v>
      </c>
      <c r="AF428" s="57" t="s">
        <v>2541</v>
      </c>
    </row>
    <row r="429" spans="1:32">
      <c r="A429" s="57">
        <v>428</v>
      </c>
      <c r="B429" s="58">
        <v>45896.679062499999</v>
      </c>
      <c r="C429" s="58">
        <v>45896.686944444453</v>
      </c>
      <c r="D429" s="57" t="s">
        <v>2542</v>
      </c>
      <c r="E429" s="57" t="s">
        <v>2543</v>
      </c>
      <c r="F429" s="58"/>
      <c r="G429" s="57" t="s">
        <v>560</v>
      </c>
      <c r="H429" s="59">
        <v>2</v>
      </c>
      <c r="I429" s="57"/>
      <c r="J429" s="57"/>
      <c r="K429" s="59"/>
      <c r="L429" s="57"/>
      <c r="M429" s="60"/>
      <c r="N429" s="59"/>
      <c r="O429" s="57"/>
      <c r="P429" s="57"/>
      <c r="Q429" s="57" t="s">
        <v>22</v>
      </c>
      <c r="R429" s="57" t="s">
        <v>230</v>
      </c>
      <c r="S429" s="59">
        <v>20997</v>
      </c>
      <c r="T429" s="57" t="s">
        <v>61</v>
      </c>
      <c r="U429" s="60">
        <v>45802</v>
      </c>
      <c r="V429" s="59">
        <v>20997</v>
      </c>
      <c r="W429" s="57" t="s">
        <v>2544</v>
      </c>
      <c r="X429" s="57" t="s">
        <v>2545</v>
      </c>
      <c r="Y429" s="57" t="s">
        <v>21</v>
      </c>
      <c r="Z429" s="57" t="s">
        <v>2546</v>
      </c>
      <c r="AA429" s="59">
        <v>3315</v>
      </c>
      <c r="AB429" s="57" t="s">
        <v>61</v>
      </c>
      <c r="AC429" s="60">
        <v>45883</v>
      </c>
      <c r="AD429" s="59">
        <v>3315</v>
      </c>
      <c r="AE429" s="57" t="s">
        <v>2547</v>
      </c>
      <c r="AF429" s="57" t="s">
        <v>2548</v>
      </c>
    </row>
    <row r="430" spans="1:32">
      <c r="A430" s="57">
        <v>429</v>
      </c>
      <c r="B430" s="58">
        <v>45896.728136574071</v>
      </c>
      <c r="C430" s="58">
        <v>45896.750439814823</v>
      </c>
      <c r="D430" s="57" t="s">
        <v>2549</v>
      </c>
      <c r="E430" s="57" t="s">
        <v>2550</v>
      </c>
      <c r="F430" s="58"/>
      <c r="G430" s="57" t="s">
        <v>654</v>
      </c>
      <c r="H430" s="59">
        <v>3</v>
      </c>
      <c r="I430" s="57" t="s">
        <v>22</v>
      </c>
      <c r="J430" s="57" t="s">
        <v>352</v>
      </c>
      <c r="K430" s="59">
        <v>920</v>
      </c>
      <c r="L430" s="57" t="s">
        <v>61</v>
      </c>
      <c r="M430" s="60">
        <v>45772</v>
      </c>
      <c r="N430" s="59">
        <v>920</v>
      </c>
      <c r="O430" s="57" t="s">
        <v>2551</v>
      </c>
      <c r="P430" s="57" t="s">
        <v>2552</v>
      </c>
      <c r="Q430" s="57" t="s">
        <v>21</v>
      </c>
      <c r="R430" s="57" t="s">
        <v>1650</v>
      </c>
      <c r="S430" s="59">
        <v>49040</v>
      </c>
      <c r="T430" s="57" t="s">
        <v>61</v>
      </c>
      <c r="U430" s="60">
        <v>45757</v>
      </c>
      <c r="V430" s="59">
        <v>49040</v>
      </c>
      <c r="W430" s="57" t="s">
        <v>2553</v>
      </c>
      <c r="X430" s="57" t="s">
        <v>2554</v>
      </c>
      <c r="Y430" s="57" t="s">
        <v>21</v>
      </c>
      <c r="Z430" s="57" t="s">
        <v>394</v>
      </c>
      <c r="AA430" s="59">
        <v>944</v>
      </c>
      <c r="AB430" s="57" t="s">
        <v>61</v>
      </c>
      <c r="AC430" s="60">
        <v>45757</v>
      </c>
      <c r="AD430" s="59">
        <v>944</v>
      </c>
      <c r="AE430" s="57" t="s">
        <v>2555</v>
      </c>
      <c r="AF430" s="57" t="s">
        <v>2556</v>
      </c>
    </row>
    <row r="431" spans="1:32">
      <c r="A431" s="57">
        <v>430</v>
      </c>
      <c r="B431" s="58">
        <v>45897.348935185182</v>
      </c>
      <c r="C431" s="58">
        <v>45897.353622685187</v>
      </c>
      <c r="D431" s="57" t="s">
        <v>1148</v>
      </c>
      <c r="E431" s="57" t="s">
        <v>1149</v>
      </c>
      <c r="F431" s="58"/>
      <c r="G431" s="57" t="s">
        <v>609</v>
      </c>
      <c r="H431" s="59">
        <v>2</v>
      </c>
      <c r="I431" s="57"/>
      <c r="J431" s="57"/>
      <c r="K431" s="59"/>
      <c r="L431" s="57"/>
      <c r="M431" s="60"/>
      <c r="N431" s="59"/>
      <c r="O431" s="57"/>
      <c r="P431" s="57"/>
      <c r="Q431" s="57" t="s">
        <v>21</v>
      </c>
      <c r="R431" s="57" t="s">
        <v>1150</v>
      </c>
      <c r="S431" s="59">
        <v>76887</v>
      </c>
      <c r="T431" s="57" t="s">
        <v>61</v>
      </c>
      <c r="U431" s="60">
        <v>45849</v>
      </c>
      <c r="V431" s="59">
        <v>76887</v>
      </c>
      <c r="W431" s="57" t="s">
        <v>2557</v>
      </c>
      <c r="X431" s="57" t="s">
        <v>2558</v>
      </c>
      <c r="Y431" s="57" t="s">
        <v>21</v>
      </c>
      <c r="Z431" s="57" t="s">
        <v>287</v>
      </c>
      <c r="AA431" s="59">
        <v>16517</v>
      </c>
      <c r="AB431" s="57" t="s">
        <v>61</v>
      </c>
      <c r="AC431" s="60">
        <v>45568</v>
      </c>
      <c r="AD431" s="59">
        <v>16517</v>
      </c>
      <c r="AE431" s="57" t="s">
        <v>2559</v>
      </c>
      <c r="AF431" s="57" t="s">
        <v>2560</v>
      </c>
    </row>
    <row r="432" spans="1:32">
      <c r="A432" s="57">
        <v>431</v>
      </c>
      <c r="B432" s="58">
        <v>45897.330717592587</v>
      </c>
      <c r="C432" s="58">
        <v>45897.361921296288</v>
      </c>
      <c r="D432" s="57" t="s">
        <v>1517</v>
      </c>
      <c r="E432" s="57" t="s">
        <v>1518</v>
      </c>
      <c r="F432" s="58"/>
      <c r="G432" s="57" t="s">
        <v>585</v>
      </c>
      <c r="H432" s="59">
        <v>2</v>
      </c>
      <c r="I432" s="57"/>
      <c r="J432" s="57"/>
      <c r="K432" s="59"/>
      <c r="L432" s="57"/>
      <c r="M432" s="60"/>
      <c r="N432" s="59"/>
      <c r="O432" s="57"/>
      <c r="P432" s="57"/>
      <c r="Q432" s="57" t="s">
        <v>20</v>
      </c>
      <c r="R432" s="57" t="s">
        <v>2561</v>
      </c>
      <c r="S432" s="59">
        <v>40204</v>
      </c>
      <c r="T432" s="57" t="s">
        <v>61</v>
      </c>
      <c r="U432" s="60">
        <v>45843</v>
      </c>
      <c r="V432" s="59">
        <v>40204</v>
      </c>
      <c r="W432" s="57" t="s">
        <v>2562</v>
      </c>
      <c r="X432" s="57" t="s">
        <v>2563</v>
      </c>
      <c r="Y432" s="57" t="s">
        <v>21</v>
      </c>
      <c r="Z432" s="57" t="s">
        <v>259</v>
      </c>
      <c r="AA432" s="59">
        <v>33188</v>
      </c>
      <c r="AB432" s="57" t="s">
        <v>61</v>
      </c>
      <c r="AC432" s="60">
        <v>45849</v>
      </c>
      <c r="AD432" s="59">
        <v>33188</v>
      </c>
      <c r="AE432" s="57" t="s">
        <v>2564</v>
      </c>
      <c r="AF432" s="57" t="s">
        <v>2565</v>
      </c>
    </row>
    <row r="433" spans="1:32">
      <c r="A433" s="57">
        <v>432</v>
      </c>
      <c r="B433" s="58">
        <v>45897.427870370368</v>
      </c>
      <c r="C433" s="58">
        <v>45897.428819444453</v>
      </c>
      <c r="D433" s="57" t="s">
        <v>1655</v>
      </c>
      <c r="E433" s="57" t="s">
        <v>1656</v>
      </c>
      <c r="F433" s="58"/>
      <c r="G433" s="57" t="s">
        <v>549</v>
      </c>
      <c r="H433" s="59">
        <v>2</v>
      </c>
      <c r="I433" s="57"/>
      <c r="J433" s="57"/>
      <c r="K433" s="59"/>
      <c r="L433" s="57"/>
      <c r="M433" s="60"/>
      <c r="N433" s="59"/>
      <c r="O433" s="57"/>
      <c r="P433" s="57"/>
      <c r="Q433" s="57" t="s">
        <v>22</v>
      </c>
      <c r="R433" s="57" t="s">
        <v>218</v>
      </c>
      <c r="S433" s="59">
        <v>72430</v>
      </c>
      <c r="T433" s="57" t="s">
        <v>61</v>
      </c>
      <c r="U433" s="60">
        <v>45876</v>
      </c>
      <c r="V433" s="59">
        <v>72430</v>
      </c>
      <c r="W433" s="57" t="s">
        <v>2566</v>
      </c>
      <c r="X433" s="57" t="s">
        <v>2567</v>
      </c>
      <c r="Y433" s="57" t="s">
        <v>21</v>
      </c>
      <c r="Z433" s="57" t="s">
        <v>253</v>
      </c>
      <c r="AA433" s="59">
        <v>20866</v>
      </c>
      <c r="AB433" s="57" t="s">
        <v>61</v>
      </c>
      <c r="AC433" s="60">
        <v>45854</v>
      </c>
      <c r="AD433" s="59">
        <v>20866</v>
      </c>
      <c r="AE433" s="57" t="s">
        <v>2568</v>
      </c>
      <c r="AF433" s="57" t="s">
        <v>2569</v>
      </c>
    </row>
    <row r="434" spans="1:32">
      <c r="A434" s="57">
        <v>433</v>
      </c>
      <c r="B434" s="58">
        <v>45897.449328703697</v>
      </c>
      <c r="C434" s="58">
        <v>45897.454571759263</v>
      </c>
      <c r="D434" s="57" t="s">
        <v>2172</v>
      </c>
      <c r="E434" s="57" t="s">
        <v>2173</v>
      </c>
      <c r="F434" s="58"/>
      <c r="G434" s="57" t="s">
        <v>515</v>
      </c>
      <c r="H434" s="59">
        <v>1</v>
      </c>
      <c r="I434" s="57"/>
      <c r="J434" s="57"/>
      <c r="K434" s="59"/>
      <c r="L434" s="57"/>
      <c r="M434" s="60"/>
      <c r="N434" s="59"/>
      <c r="O434" s="57"/>
      <c r="P434" s="57"/>
      <c r="Q434" s="57"/>
      <c r="R434" s="57"/>
      <c r="S434" s="59"/>
      <c r="T434" s="57"/>
      <c r="U434" s="60"/>
      <c r="V434" s="59"/>
      <c r="W434" s="57"/>
      <c r="X434" s="57"/>
      <c r="Y434" s="57" t="s">
        <v>21</v>
      </c>
      <c r="Z434" s="57" t="s">
        <v>182</v>
      </c>
      <c r="AA434" s="59">
        <v>34426</v>
      </c>
      <c r="AB434" s="57" t="s">
        <v>61</v>
      </c>
      <c r="AC434" s="60">
        <v>45895</v>
      </c>
      <c r="AD434" s="59">
        <v>34426</v>
      </c>
      <c r="AE434" s="57" t="s">
        <v>2570</v>
      </c>
      <c r="AF434" s="57" t="s">
        <v>2571</v>
      </c>
    </row>
    <row r="435" spans="1:32">
      <c r="A435" s="57">
        <v>434</v>
      </c>
      <c r="B435" s="58">
        <v>45897.624884259261</v>
      </c>
      <c r="C435" s="58">
        <v>45897.635254629633</v>
      </c>
      <c r="D435" s="57" t="s">
        <v>1187</v>
      </c>
      <c r="E435" s="57" t="s">
        <v>1188</v>
      </c>
      <c r="F435" s="58"/>
      <c r="G435" s="57" t="s">
        <v>490</v>
      </c>
      <c r="H435" s="59">
        <v>2</v>
      </c>
      <c r="I435" s="57"/>
      <c r="J435" s="57"/>
      <c r="K435" s="59"/>
      <c r="L435" s="57"/>
      <c r="M435" s="60"/>
      <c r="N435" s="59"/>
      <c r="O435" s="57"/>
      <c r="P435" s="57"/>
      <c r="Q435" s="57" t="s">
        <v>22</v>
      </c>
      <c r="R435" s="57" t="s">
        <v>277</v>
      </c>
      <c r="S435" s="59">
        <v>15240</v>
      </c>
      <c r="T435" s="57" t="s">
        <v>61</v>
      </c>
      <c r="U435" s="60">
        <v>45722</v>
      </c>
      <c r="V435" s="59">
        <v>15240</v>
      </c>
      <c r="W435" s="57" t="s">
        <v>2572</v>
      </c>
      <c r="X435" s="57" t="s">
        <v>2573</v>
      </c>
      <c r="Y435" s="57" t="s">
        <v>21</v>
      </c>
      <c r="Z435" s="57" t="s">
        <v>156</v>
      </c>
      <c r="AA435" s="59">
        <v>15748</v>
      </c>
      <c r="AB435" s="57" t="s">
        <v>61</v>
      </c>
      <c r="AC435" s="60">
        <v>45784</v>
      </c>
      <c r="AD435" s="59">
        <v>15748</v>
      </c>
      <c r="AE435" s="57" t="s">
        <v>2574</v>
      </c>
      <c r="AF435" s="57" t="s">
        <v>2575</v>
      </c>
    </row>
    <row r="436" spans="1:32">
      <c r="A436" s="57">
        <v>435</v>
      </c>
      <c r="B436" s="58">
        <v>45897.652268518519</v>
      </c>
      <c r="C436" s="58">
        <v>45897.655115740738</v>
      </c>
      <c r="D436" s="57" t="s">
        <v>1452</v>
      </c>
      <c r="E436" s="57" t="s">
        <v>1453</v>
      </c>
      <c r="F436" s="58"/>
      <c r="G436" s="57" t="s">
        <v>635</v>
      </c>
      <c r="H436" s="59">
        <v>1</v>
      </c>
      <c r="I436" s="57"/>
      <c r="J436" s="57"/>
      <c r="K436" s="59"/>
      <c r="L436" s="57"/>
      <c r="M436" s="60"/>
      <c r="N436" s="59"/>
      <c r="O436" s="57"/>
      <c r="P436" s="57"/>
      <c r="Q436" s="57"/>
      <c r="R436" s="57"/>
      <c r="S436" s="59"/>
      <c r="T436" s="57"/>
      <c r="U436" s="60"/>
      <c r="V436" s="59"/>
      <c r="W436" s="57"/>
      <c r="X436" s="57"/>
      <c r="Y436" s="57" t="s">
        <v>20</v>
      </c>
      <c r="Z436" s="57" t="s">
        <v>326</v>
      </c>
      <c r="AA436" s="59">
        <v>26037</v>
      </c>
      <c r="AB436" s="57" t="s">
        <v>61</v>
      </c>
      <c r="AC436" s="60">
        <v>45864</v>
      </c>
      <c r="AD436" s="59">
        <v>26037</v>
      </c>
      <c r="AE436" s="57" t="s">
        <v>2576</v>
      </c>
      <c r="AF436" s="57" t="s">
        <v>2577</v>
      </c>
    </row>
    <row r="437" spans="1:32">
      <c r="A437" s="57">
        <v>436</v>
      </c>
      <c r="B437" s="58">
        <v>45897.660763888889</v>
      </c>
      <c r="C437" s="58">
        <v>45897.662557870368</v>
      </c>
      <c r="D437" s="57" t="s">
        <v>1522</v>
      </c>
      <c r="E437" s="57" t="s">
        <v>1523</v>
      </c>
      <c r="F437" s="58"/>
      <c r="G437" s="57" t="s">
        <v>696</v>
      </c>
      <c r="H437" s="59">
        <v>1</v>
      </c>
      <c r="I437" s="57"/>
      <c r="J437" s="57"/>
      <c r="K437" s="59"/>
      <c r="L437" s="57"/>
      <c r="M437" s="60"/>
      <c r="N437" s="59"/>
      <c r="O437" s="57"/>
      <c r="P437" s="57"/>
      <c r="Q437" s="57"/>
      <c r="R437" s="57"/>
      <c r="S437" s="59"/>
      <c r="T437" s="57"/>
      <c r="U437" s="60"/>
      <c r="V437" s="59"/>
      <c r="W437" s="57"/>
      <c r="X437" s="57"/>
      <c r="Y437" s="57" t="s">
        <v>21</v>
      </c>
      <c r="Z437" s="57" t="s">
        <v>1524</v>
      </c>
      <c r="AA437" s="59">
        <v>92911</v>
      </c>
      <c r="AB437" s="57" t="s">
        <v>61</v>
      </c>
      <c r="AC437" s="60">
        <v>45895</v>
      </c>
      <c r="AD437" s="59">
        <v>92911</v>
      </c>
      <c r="AE437" s="57" t="s">
        <v>2578</v>
      </c>
      <c r="AF437" s="57" t="s">
        <v>2579</v>
      </c>
    </row>
    <row r="438" spans="1:32">
      <c r="A438" s="57">
        <v>437</v>
      </c>
      <c r="B438" s="58">
        <v>45897.612673611111</v>
      </c>
      <c r="C438" s="58">
        <v>45897.744085648148</v>
      </c>
      <c r="D438" s="57" t="s">
        <v>1342</v>
      </c>
      <c r="E438" s="57" t="s">
        <v>1343</v>
      </c>
      <c r="F438" s="58"/>
      <c r="G438" s="57" t="s">
        <v>629</v>
      </c>
      <c r="H438" s="59">
        <v>3</v>
      </c>
      <c r="I438" s="57" t="s">
        <v>20</v>
      </c>
      <c r="J438" s="57" t="s">
        <v>315</v>
      </c>
      <c r="K438" s="59">
        <v>25384</v>
      </c>
      <c r="L438" s="57" t="s">
        <v>61</v>
      </c>
      <c r="M438" s="60">
        <v>45779</v>
      </c>
      <c r="N438" s="59">
        <v>25384</v>
      </c>
      <c r="O438" s="57" t="s">
        <v>2580</v>
      </c>
      <c r="P438" s="57" t="s">
        <v>2581</v>
      </c>
      <c r="Q438" s="57" t="s">
        <v>20</v>
      </c>
      <c r="R438" s="57" t="s">
        <v>789</v>
      </c>
      <c r="S438" s="59">
        <v>14381</v>
      </c>
      <c r="T438" s="57" t="s">
        <v>61</v>
      </c>
      <c r="U438" s="60">
        <v>45765</v>
      </c>
      <c r="V438" s="59">
        <v>14381</v>
      </c>
      <c r="W438" s="57" t="s">
        <v>2582</v>
      </c>
      <c r="X438" s="57" t="s">
        <v>2583</v>
      </c>
      <c r="Y438" s="57" t="s">
        <v>20</v>
      </c>
      <c r="Z438" s="57" t="s">
        <v>1346</v>
      </c>
      <c r="AA438" s="59">
        <v>68106</v>
      </c>
      <c r="AB438" s="57" t="s">
        <v>61</v>
      </c>
      <c r="AC438" s="60">
        <v>45811</v>
      </c>
      <c r="AD438" s="59">
        <v>68106</v>
      </c>
      <c r="AE438" s="57" t="s">
        <v>2584</v>
      </c>
      <c r="AF438" s="57" t="s">
        <v>2585</v>
      </c>
    </row>
    <row r="439" spans="1:32">
      <c r="A439" s="57">
        <v>438</v>
      </c>
      <c r="B439" s="58">
        <v>45898.354490740741</v>
      </c>
      <c r="C439" s="58">
        <v>45898.357129629629</v>
      </c>
      <c r="D439" s="57" t="s">
        <v>1456</v>
      </c>
      <c r="E439" s="57" t="s">
        <v>1457</v>
      </c>
      <c r="F439" s="58"/>
      <c r="G439" s="57" t="s">
        <v>547</v>
      </c>
      <c r="H439" s="59">
        <v>2</v>
      </c>
      <c r="I439" s="57"/>
      <c r="J439" s="57"/>
      <c r="K439" s="59"/>
      <c r="L439" s="57"/>
      <c r="M439" s="60"/>
      <c r="N439" s="59"/>
      <c r="O439" s="57"/>
      <c r="P439" s="57"/>
      <c r="Q439" s="57" t="s">
        <v>21</v>
      </c>
      <c r="R439" s="57" t="s">
        <v>2120</v>
      </c>
      <c r="S439" s="59">
        <v>72371</v>
      </c>
      <c r="T439" s="57" t="s">
        <v>61</v>
      </c>
      <c r="U439" s="60">
        <v>45895</v>
      </c>
      <c r="V439" s="59">
        <v>72371</v>
      </c>
      <c r="W439" s="57" t="s">
        <v>2586</v>
      </c>
      <c r="X439" s="57" t="s">
        <v>2587</v>
      </c>
      <c r="Y439" s="57" t="s">
        <v>22</v>
      </c>
      <c r="Z439" s="57" t="s">
        <v>225</v>
      </c>
      <c r="AA439" s="59">
        <v>87537</v>
      </c>
      <c r="AB439" s="57" t="s">
        <v>61</v>
      </c>
      <c r="AC439" s="60">
        <v>45841</v>
      </c>
      <c r="AD439" s="59">
        <v>87537</v>
      </c>
      <c r="AE439" s="57" t="s">
        <v>2588</v>
      </c>
      <c r="AF439" s="57" t="s">
        <v>2589</v>
      </c>
    </row>
    <row r="440" spans="1:32">
      <c r="A440" s="57">
        <v>439</v>
      </c>
      <c r="B440" s="58">
        <v>45898.384004629632</v>
      </c>
      <c r="C440" s="58">
        <v>45898.397129629629</v>
      </c>
      <c r="D440" s="57" t="s">
        <v>1425</v>
      </c>
      <c r="E440" s="57" t="s">
        <v>1426</v>
      </c>
      <c r="F440" s="58"/>
      <c r="G440" s="57" t="s">
        <v>689</v>
      </c>
      <c r="H440" s="59">
        <v>1</v>
      </c>
      <c r="I440" s="57"/>
      <c r="J440" s="57"/>
      <c r="K440" s="59"/>
      <c r="L440" s="57"/>
      <c r="M440" s="60"/>
      <c r="N440" s="59"/>
      <c r="O440" s="57"/>
      <c r="P440" s="57"/>
      <c r="Q440" s="57"/>
      <c r="R440" s="57"/>
      <c r="S440" s="59"/>
      <c r="T440" s="57"/>
      <c r="U440" s="60"/>
      <c r="V440" s="59"/>
      <c r="W440" s="57"/>
      <c r="X440" s="57"/>
      <c r="Y440" s="57" t="s">
        <v>20</v>
      </c>
      <c r="Z440" s="57" t="s">
        <v>1427</v>
      </c>
      <c r="AA440" s="59">
        <v>103710</v>
      </c>
      <c r="AB440" s="57" t="s">
        <v>61</v>
      </c>
      <c r="AC440" s="60">
        <v>45852</v>
      </c>
      <c r="AD440" s="59">
        <v>103710</v>
      </c>
      <c r="AE440" s="57" t="s">
        <v>2590</v>
      </c>
      <c r="AF440" s="57" t="s">
        <v>2591</v>
      </c>
    </row>
    <row r="441" spans="1:32">
      <c r="A441" s="57">
        <v>440</v>
      </c>
      <c r="B441" s="58">
        <v>45898.426192129627</v>
      </c>
      <c r="C441" s="58">
        <v>45898.431469907409</v>
      </c>
      <c r="D441" s="57" t="s">
        <v>1628</v>
      </c>
      <c r="E441" s="57" t="s">
        <v>1629</v>
      </c>
      <c r="F441" s="58"/>
      <c r="G441" s="57" t="s">
        <v>705</v>
      </c>
      <c r="H441" s="59">
        <v>1</v>
      </c>
      <c r="I441" s="57"/>
      <c r="J441" s="57"/>
      <c r="K441" s="59"/>
      <c r="L441" s="57"/>
      <c r="M441" s="60"/>
      <c r="N441" s="59"/>
      <c r="O441" s="57"/>
      <c r="P441" s="57"/>
      <c r="Q441" s="57"/>
      <c r="R441" s="57"/>
      <c r="S441" s="59"/>
      <c r="T441" s="57"/>
      <c r="U441" s="60"/>
      <c r="V441" s="59"/>
      <c r="W441" s="57"/>
      <c r="X441" s="57"/>
      <c r="Y441" s="57" t="s">
        <v>21</v>
      </c>
      <c r="Z441" s="57" t="s">
        <v>1630</v>
      </c>
      <c r="AA441" s="59">
        <v>32398</v>
      </c>
      <c r="AB441" s="57" t="s">
        <v>61</v>
      </c>
      <c r="AC441" s="60">
        <v>45867</v>
      </c>
      <c r="AD441" s="59">
        <v>32398</v>
      </c>
      <c r="AE441" s="57" t="s">
        <v>2592</v>
      </c>
      <c r="AF441" s="57" t="s">
        <v>2593</v>
      </c>
    </row>
    <row r="442" spans="1:32">
      <c r="A442" s="57">
        <v>441</v>
      </c>
      <c r="B442" s="58">
        <v>45898.445520833331</v>
      </c>
      <c r="C442" s="58">
        <v>45898.451620370368</v>
      </c>
      <c r="D442" s="57" t="s">
        <v>2452</v>
      </c>
      <c r="E442" s="57" t="s">
        <v>2453</v>
      </c>
      <c r="F442" s="58"/>
      <c r="G442" s="57" t="s">
        <v>675</v>
      </c>
      <c r="H442" s="59">
        <v>2</v>
      </c>
      <c r="I442" s="57"/>
      <c r="J442" s="57"/>
      <c r="K442" s="59"/>
      <c r="L442" s="57"/>
      <c r="M442" s="60"/>
      <c r="N442" s="59"/>
      <c r="O442" s="57"/>
      <c r="P442" s="57"/>
      <c r="Q442" s="57" t="s">
        <v>22</v>
      </c>
      <c r="R442" s="57" t="s">
        <v>388</v>
      </c>
      <c r="S442" s="59">
        <v>670</v>
      </c>
      <c r="T442" s="57" t="s">
        <v>61</v>
      </c>
      <c r="U442" s="60">
        <v>45871</v>
      </c>
      <c r="V442" s="59">
        <v>670</v>
      </c>
      <c r="W442" s="57" t="s">
        <v>2594</v>
      </c>
      <c r="X442" s="57" t="s">
        <v>2595</v>
      </c>
      <c r="Y442" s="57" t="s">
        <v>20</v>
      </c>
      <c r="Z442" s="57" t="s">
        <v>2454</v>
      </c>
      <c r="AA442" s="59">
        <v>22763</v>
      </c>
      <c r="AB442" s="57" t="s">
        <v>61</v>
      </c>
      <c r="AC442" s="60">
        <v>45895</v>
      </c>
      <c r="AD442" s="59">
        <v>22763</v>
      </c>
      <c r="AE442" s="57" t="s">
        <v>2596</v>
      </c>
      <c r="AF442" s="57" t="s">
        <v>2597</v>
      </c>
    </row>
    <row r="443" spans="1:32">
      <c r="A443" s="57">
        <v>442</v>
      </c>
      <c r="B443" s="58">
        <v>45898.56827546296</v>
      </c>
      <c r="C443" s="58">
        <v>45898.570555555547</v>
      </c>
      <c r="D443" s="57" t="s">
        <v>2598</v>
      </c>
      <c r="E443" s="57" t="s">
        <v>2599</v>
      </c>
      <c r="F443" s="58"/>
      <c r="G443" s="57" t="s">
        <v>584</v>
      </c>
      <c r="H443" s="59">
        <v>1</v>
      </c>
      <c r="I443" s="57"/>
      <c r="J443" s="57"/>
      <c r="K443" s="59"/>
      <c r="L443" s="57"/>
      <c r="M443" s="60"/>
      <c r="N443" s="59"/>
      <c r="O443" s="57"/>
      <c r="P443" s="57"/>
      <c r="Q443" s="57"/>
      <c r="R443" s="57"/>
      <c r="S443" s="59"/>
      <c r="T443" s="57"/>
      <c r="U443" s="60"/>
      <c r="V443" s="59"/>
      <c r="W443" s="57"/>
      <c r="X443" s="57"/>
      <c r="Y443" s="57" t="s">
        <v>21</v>
      </c>
      <c r="Z443" s="57" t="s">
        <v>2600</v>
      </c>
      <c r="AA443" s="59">
        <v>11697</v>
      </c>
      <c r="AB443" s="57" t="s">
        <v>61</v>
      </c>
      <c r="AC443" s="60">
        <v>45726</v>
      </c>
      <c r="AD443" s="59">
        <v>11697</v>
      </c>
      <c r="AE443" s="57" t="s">
        <v>2601</v>
      </c>
      <c r="AF443" s="57" t="s">
        <v>2602</v>
      </c>
    </row>
    <row r="444" spans="1:32">
      <c r="A444" s="57">
        <v>443</v>
      </c>
      <c r="B444" s="58">
        <v>45898.577615740738</v>
      </c>
      <c r="C444" s="58">
        <v>45898.57980324074</v>
      </c>
      <c r="D444" s="57" t="s">
        <v>1773</v>
      </c>
      <c r="E444" s="57" t="s">
        <v>1774</v>
      </c>
      <c r="F444" s="58"/>
      <c r="G444" s="57" t="s">
        <v>539</v>
      </c>
      <c r="H444" s="59">
        <v>1</v>
      </c>
      <c r="I444" s="57"/>
      <c r="J444" s="57"/>
      <c r="K444" s="59"/>
      <c r="L444" s="57"/>
      <c r="M444" s="60"/>
      <c r="N444" s="59"/>
      <c r="O444" s="57"/>
      <c r="P444" s="57"/>
      <c r="Q444" s="57"/>
      <c r="R444" s="57"/>
      <c r="S444" s="59"/>
      <c r="T444" s="57"/>
      <c r="U444" s="60"/>
      <c r="V444" s="59"/>
      <c r="W444" s="57"/>
      <c r="X444" s="57"/>
      <c r="Y444" s="57" t="s">
        <v>20</v>
      </c>
      <c r="Z444" s="57" t="s">
        <v>1775</v>
      </c>
      <c r="AA444" s="59">
        <v>100261</v>
      </c>
      <c r="AB444" s="57" t="s">
        <v>61</v>
      </c>
      <c r="AC444" s="60">
        <v>45821</v>
      </c>
      <c r="AD444" s="59">
        <v>100261</v>
      </c>
      <c r="AE444" s="57" t="s">
        <v>2603</v>
      </c>
      <c r="AF444" s="57" t="s">
        <v>2604</v>
      </c>
    </row>
    <row r="445" spans="1:32">
      <c r="A445" s="57">
        <v>444</v>
      </c>
      <c r="B445" s="58">
        <v>45898.611655092587</v>
      </c>
      <c r="C445" s="58">
        <v>45898.633206018523</v>
      </c>
      <c r="D445" s="57" t="s">
        <v>1430</v>
      </c>
      <c r="E445" s="57" t="s">
        <v>1431</v>
      </c>
      <c r="F445" s="58"/>
      <c r="G445" s="57" t="s">
        <v>595</v>
      </c>
      <c r="H445" s="59">
        <v>1</v>
      </c>
      <c r="I445" s="57"/>
      <c r="J445" s="57"/>
      <c r="K445" s="59"/>
      <c r="L445" s="57"/>
      <c r="M445" s="60"/>
      <c r="N445" s="59"/>
      <c r="O445" s="57"/>
      <c r="P445" s="57"/>
      <c r="Q445" s="57"/>
      <c r="R445" s="57"/>
      <c r="S445" s="59"/>
      <c r="T445" s="57"/>
      <c r="U445" s="60"/>
      <c r="V445" s="59"/>
      <c r="W445" s="57"/>
      <c r="X445" s="57"/>
      <c r="Y445" s="57" t="s">
        <v>21</v>
      </c>
      <c r="Z445" s="57" t="s">
        <v>271</v>
      </c>
      <c r="AA445" s="59">
        <v>26751</v>
      </c>
      <c r="AB445" s="57" t="s">
        <v>61</v>
      </c>
      <c r="AC445" s="60">
        <v>45822</v>
      </c>
      <c r="AD445" s="59">
        <v>26751</v>
      </c>
      <c r="AE445" s="57" t="s">
        <v>2605</v>
      </c>
      <c r="AF445" s="57" t="s">
        <v>2606</v>
      </c>
    </row>
    <row r="446" spans="1:32">
      <c r="A446" s="57">
        <v>445</v>
      </c>
      <c r="B446" s="58">
        <v>45898.646493055552</v>
      </c>
      <c r="C446" s="58">
        <v>45898.649837962963</v>
      </c>
      <c r="D446" s="57" t="s">
        <v>773</v>
      </c>
      <c r="E446" s="57" t="s">
        <v>774</v>
      </c>
      <c r="F446" s="58"/>
      <c r="G446" s="57" t="s">
        <v>594</v>
      </c>
      <c r="H446" s="59">
        <v>1</v>
      </c>
      <c r="I446" s="57"/>
      <c r="J446" s="57"/>
      <c r="K446" s="59"/>
      <c r="L446" s="57"/>
      <c r="M446" s="60"/>
      <c r="N446" s="59"/>
      <c r="O446" s="57"/>
      <c r="P446" s="57"/>
      <c r="Q446" s="57"/>
      <c r="R446" s="57"/>
      <c r="S446" s="59"/>
      <c r="T446" s="57"/>
      <c r="U446" s="60"/>
      <c r="V446" s="59"/>
      <c r="W446" s="57"/>
      <c r="X446" s="57"/>
      <c r="Y446" s="57" t="s">
        <v>20</v>
      </c>
      <c r="Z446" s="57" t="s">
        <v>270</v>
      </c>
      <c r="AA446" s="59">
        <v>16971</v>
      </c>
      <c r="AB446" s="57" t="s">
        <v>61</v>
      </c>
      <c r="AC446" s="60">
        <v>45724</v>
      </c>
      <c r="AD446" s="59">
        <v>16971</v>
      </c>
      <c r="AE446" s="57" t="s">
        <v>2607</v>
      </c>
      <c r="AF446" s="57" t="s">
        <v>2608</v>
      </c>
    </row>
    <row r="447" spans="1:32">
      <c r="A447" s="57">
        <v>446</v>
      </c>
      <c r="B447" s="58">
        <v>45898.683749999997</v>
      </c>
      <c r="C447" s="58">
        <v>45898.686701388891</v>
      </c>
      <c r="D447" s="57" t="s">
        <v>1249</v>
      </c>
      <c r="E447" s="57" t="s">
        <v>1250</v>
      </c>
      <c r="F447" s="58"/>
      <c r="G447" s="57" t="s">
        <v>660</v>
      </c>
      <c r="H447" s="59">
        <v>2</v>
      </c>
      <c r="I447" s="57"/>
      <c r="J447" s="57"/>
      <c r="K447" s="59"/>
      <c r="L447" s="57"/>
      <c r="M447" s="60"/>
      <c r="N447" s="59"/>
      <c r="O447" s="57"/>
      <c r="P447" s="57"/>
      <c r="Q447" s="57" t="s">
        <v>22</v>
      </c>
      <c r="R447" s="57" t="s">
        <v>361</v>
      </c>
      <c r="S447" s="59">
        <v>10996</v>
      </c>
      <c r="T447" s="57" t="s">
        <v>61</v>
      </c>
      <c r="U447" s="60">
        <v>45793</v>
      </c>
      <c r="V447" s="59">
        <v>10996</v>
      </c>
      <c r="W447" s="57" t="s">
        <v>2609</v>
      </c>
      <c r="X447" s="57" t="s">
        <v>2610</v>
      </c>
      <c r="Y447" s="57" t="s">
        <v>20</v>
      </c>
      <c r="Z447" s="57" t="s">
        <v>1251</v>
      </c>
      <c r="AA447" s="59">
        <v>107457</v>
      </c>
      <c r="AB447" s="57" t="s">
        <v>61</v>
      </c>
      <c r="AC447" s="60">
        <v>45875</v>
      </c>
      <c r="AD447" s="59">
        <v>107457</v>
      </c>
      <c r="AE447" s="57" t="s">
        <v>2611</v>
      </c>
      <c r="AF447" s="57" t="s">
        <v>2612</v>
      </c>
    </row>
    <row r="448" spans="1:32">
      <c r="A448" s="57">
        <v>447</v>
      </c>
      <c r="B448" s="58">
        <v>45898.65824074074</v>
      </c>
      <c r="C448" s="58">
        <v>45898.697789351849</v>
      </c>
      <c r="D448" s="57" t="s">
        <v>2613</v>
      </c>
      <c r="E448" s="57" t="s">
        <v>2614</v>
      </c>
      <c r="F448" s="58"/>
      <c r="G448" s="57" t="s">
        <v>482</v>
      </c>
      <c r="H448" s="59">
        <v>2</v>
      </c>
      <c r="I448" s="57"/>
      <c r="J448" s="57"/>
      <c r="K448" s="59"/>
      <c r="L448" s="57"/>
      <c r="M448" s="60"/>
      <c r="N448" s="59"/>
      <c r="O448" s="57"/>
      <c r="P448" s="57"/>
      <c r="Q448" s="57" t="s">
        <v>22</v>
      </c>
      <c r="R448" s="57" t="s">
        <v>148</v>
      </c>
      <c r="S448" s="59">
        <v>49769</v>
      </c>
      <c r="T448" s="57" t="s">
        <v>61</v>
      </c>
      <c r="U448" s="60">
        <v>45847</v>
      </c>
      <c r="V448" s="59">
        <v>49769</v>
      </c>
      <c r="W448" s="57" t="s">
        <v>2615</v>
      </c>
      <c r="X448" s="57" t="s">
        <v>2616</v>
      </c>
      <c r="Y448" s="57" t="s">
        <v>21</v>
      </c>
      <c r="Z448" s="57" t="s">
        <v>316</v>
      </c>
      <c r="AA448" s="59">
        <v>6482</v>
      </c>
      <c r="AB448" s="57" t="s">
        <v>61</v>
      </c>
      <c r="AC448" s="60">
        <v>45814</v>
      </c>
      <c r="AD448" s="59">
        <v>6482</v>
      </c>
      <c r="AE448" s="57" t="s">
        <v>2617</v>
      </c>
      <c r="AF448" s="57" t="s">
        <v>2618</v>
      </c>
    </row>
    <row r="449" spans="1:32">
      <c r="A449" s="57">
        <v>448</v>
      </c>
      <c r="B449" s="58">
        <v>45898.737175925933</v>
      </c>
      <c r="C449" s="58">
        <v>45898.747384259259</v>
      </c>
      <c r="D449" s="57" t="s">
        <v>2619</v>
      </c>
      <c r="E449" s="57" t="s">
        <v>2620</v>
      </c>
      <c r="F449" s="58"/>
      <c r="G449" s="57" t="s">
        <v>550</v>
      </c>
      <c r="H449" s="59">
        <v>2</v>
      </c>
      <c r="I449" s="57"/>
      <c r="J449" s="57"/>
      <c r="K449" s="59"/>
      <c r="L449" s="57"/>
      <c r="M449" s="60"/>
      <c r="N449" s="59"/>
      <c r="O449" s="57"/>
      <c r="P449" s="57"/>
      <c r="Q449" s="57" t="s">
        <v>22</v>
      </c>
      <c r="R449" s="57" t="s">
        <v>219</v>
      </c>
      <c r="S449" s="59">
        <v>58963</v>
      </c>
      <c r="T449" s="57" t="s">
        <v>61</v>
      </c>
      <c r="U449" s="60">
        <v>45876</v>
      </c>
      <c r="V449" s="59">
        <v>58963</v>
      </c>
      <c r="W449" s="57" t="s">
        <v>2621</v>
      </c>
      <c r="X449" s="57" t="s">
        <v>2622</v>
      </c>
      <c r="Y449" s="57" t="s">
        <v>21</v>
      </c>
      <c r="Z449" s="57" t="s">
        <v>335</v>
      </c>
      <c r="AA449" s="59">
        <v>5999</v>
      </c>
      <c r="AB449" s="57" t="s">
        <v>61</v>
      </c>
      <c r="AC449" s="60">
        <v>45656</v>
      </c>
      <c r="AD449" s="59">
        <v>5999</v>
      </c>
      <c r="AE449" s="57" t="s">
        <v>2623</v>
      </c>
      <c r="AF449" s="57" t="s">
        <v>2624</v>
      </c>
    </row>
    <row r="450" spans="1:32">
      <c r="A450" s="57">
        <v>449</v>
      </c>
      <c r="B450" s="58">
        <v>45898.820138888892</v>
      </c>
      <c r="C450" s="58">
        <v>45898.821979166663</v>
      </c>
      <c r="D450" s="57" t="s">
        <v>1678</v>
      </c>
      <c r="E450" s="57" t="s">
        <v>1679</v>
      </c>
      <c r="F450" s="58"/>
      <c r="G450" s="57" t="s">
        <v>522</v>
      </c>
      <c r="H450" s="59">
        <v>1</v>
      </c>
      <c r="I450" s="57"/>
      <c r="J450" s="57"/>
      <c r="K450" s="59"/>
      <c r="L450" s="57"/>
      <c r="M450" s="60"/>
      <c r="N450" s="59"/>
      <c r="O450" s="57"/>
      <c r="P450" s="57"/>
      <c r="Q450" s="57"/>
      <c r="R450" s="57"/>
      <c r="S450" s="59"/>
      <c r="T450" s="57"/>
      <c r="U450" s="60"/>
      <c r="V450" s="59"/>
      <c r="W450" s="57"/>
      <c r="X450" s="57"/>
      <c r="Y450" s="57" t="s">
        <v>20</v>
      </c>
      <c r="Z450" s="57" t="s">
        <v>189</v>
      </c>
      <c r="AA450" s="59">
        <v>24255</v>
      </c>
      <c r="AB450" s="57" t="s">
        <v>61</v>
      </c>
      <c r="AC450" s="60">
        <v>45847</v>
      </c>
      <c r="AD450" s="59">
        <v>24255</v>
      </c>
      <c r="AE450" s="57" t="s">
        <v>2625</v>
      </c>
      <c r="AF450" s="57" t="s">
        <v>2626</v>
      </c>
    </row>
    <row r="451" spans="1:32">
      <c r="A451" s="57">
        <v>450</v>
      </c>
      <c r="B451" s="58">
        <v>45898.835127314807</v>
      </c>
      <c r="C451" s="58">
        <v>45898.839074074072</v>
      </c>
      <c r="D451" s="57" t="s">
        <v>1728</v>
      </c>
      <c r="E451" s="57" t="s">
        <v>1729</v>
      </c>
      <c r="F451" s="58"/>
      <c r="G451" s="57" t="s">
        <v>561</v>
      </c>
      <c r="H451" s="59">
        <v>2</v>
      </c>
      <c r="I451" s="57"/>
      <c r="J451" s="57"/>
      <c r="K451" s="59"/>
      <c r="L451" s="57"/>
      <c r="M451" s="60"/>
      <c r="N451" s="59"/>
      <c r="O451" s="57"/>
      <c r="P451" s="57"/>
      <c r="Q451" s="57" t="s">
        <v>22</v>
      </c>
      <c r="R451" s="57" t="s">
        <v>231</v>
      </c>
      <c r="S451" s="59">
        <v>59318</v>
      </c>
      <c r="T451" s="57" t="s">
        <v>61</v>
      </c>
      <c r="U451" s="60">
        <v>45819</v>
      </c>
      <c r="V451" s="59">
        <v>59318</v>
      </c>
      <c r="W451" s="57" t="s">
        <v>2627</v>
      </c>
      <c r="X451" s="57" t="s">
        <v>2628</v>
      </c>
      <c r="Y451" s="57" t="s">
        <v>21</v>
      </c>
      <c r="Z451" s="57" t="s">
        <v>1732</v>
      </c>
      <c r="AA451" s="59">
        <v>23782</v>
      </c>
      <c r="AB451" s="57" t="s">
        <v>61</v>
      </c>
      <c r="AC451" s="60">
        <v>45769</v>
      </c>
      <c r="AD451" s="59">
        <v>23782</v>
      </c>
      <c r="AE451" s="57" t="s">
        <v>2629</v>
      </c>
      <c r="AF451" s="57" t="s">
        <v>2630</v>
      </c>
    </row>
    <row r="452" spans="1:32">
      <c r="A452" s="57">
        <v>451</v>
      </c>
      <c r="B452" s="58">
        <v>45899.41002314815</v>
      </c>
      <c r="C452" s="58">
        <v>45899.427268518521</v>
      </c>
      <c r="D452" s="57" t="s">
        <v>1473</v>
      </c>
      <c r="E452" s="57" t="s">
        <v>1474</v>
      </c>
      <c r="F452" s="58"/>
      <c r="G452" s="57" t="s">
        <v>494</v>
      </c>
      <c r="H452" s="59">
        <v>2</v>
      </c>
      <c r="I452" s="57"/>
      <c r="J452" s="57"/>
      <c r="K452" s="59"/>
      <c r="L452" s="57"/>
      <c r="M452" s="60"/>
      <c r="N452" s="59"/>
      <c r="O452" s="57"/>
      <c r="P452" s="57"/>
      <c r="Q452" s="57" t="s">
        <v>20</v>
      </c>
      <c r="R452" s="57" t="s">
        <v>1477</v>
      </c>
      <c r="S452" s="59">
        <v>36499</v>
      </c>
      <c r="T452" s="57" t="s">
        <v>61</v>
      </c>
      <c r="U452" s="60">
        <v>45728</v>
      </c>
      <c r="V452" s="59">
        <v>36499</v>
      </c>
      <c r="W452" s="57" t="s">
        <v>2631</v>
      </c>
      <c r="X452" s="57" t="s">
        <v>2632</v>
      </c>
      <c r="Y452" s="57" t="s">
        <v>20</v>
      </c>
      <c r="Z452" s="57" t="s">
        <v>160</v>
      </c>
      <c r="AA452" s="59">
        <v>31517</v>
      </c>
      <c r="AB452" s="57" t="s">
        <v>61</v>
      </c>
      <c r="AC452" s="60">
        <v>45848</v>
      </c>
      <c r="AD452" s="59">
        <v>31517</v>
      </c>
      <c r="AE452" s="57" t="s">
        <v>2633</v>
      </c>
      <c r="AF452" s="57" t="s">
        <v>2634</v>
      </c>
    </row>
    <row r="453" spans="1:32">
      <c r="A453" s="57">
        <v>452</v>
      </c>
      <c r="B453" s="58">
        <v>45899.442106481481</v>
      </c>
      <c r="C453" s="58">
        <v>45899.444513888891</v>
      </c>
      <c r="D453" s="57" t="s">
        <v>2635</v>
      </c>
      <c r="E453" s="57" t="s">
        <v>2636</v>
      </c>
      <c r="F453" s="58"/>
      <c r="G453" s="57" t="s">
        <v>492</v>
      </c>
      <c r="H453" s="59">
        <v>2</v>
      </c>
      <c r="I453" s="57"/>
      <c r="J453" s="57"/>
      <c r="K453" s="59"/>
      <c r="L453" s="57"/>
      <c r="M453" s="60"/>
      <c r="N453" s="59"/>
      <c r="O453" s="57"/>
      <c r="P453" s="57"/>
      <c r="Q453" s="57" t="s">
        <v>22</v>
      </c>
      <c r="R453" s="57" t="s">
        <v>223</v>
      </c>
      <c r="S453" s="59">
        <v>99524</v>
      </c>
      <c r="T453" s="57" t="s">
        <v>61</v>
      </c>
      <c r="U453" s="60">
        <v>45876</v>
      </c>
      <c r="V453" s="59">
        <v>99524</v>
      </c>
      <c r="W453" s="57" t="s">
        <v>2637</v>
      </c>
      <c r="X453" s="57" t="s">
        <v>2638</v>
      </c>
      <c r="Y453" s="57" t="s">
        <v>21</v>
      </c>
      <c r="Z453" s="57" t="s">
        <v>158</v>
      </c>
      <c r="AA453" s="59">
        <v>52400</v>
      </c>
      <c r="AB453" s="57" t="s">
        <v>61</v>
      </c>
      <c r="AC453" s="60">
        <v>45875</v>
      </c>
      <c r="AD453" s="59">
        <v>52400</v>
      </c>
      <c r="AE453" s="57" t="s">
        <v>2639</v>
      </c>
      <c r="AF453" s="57" t="s">
        <v>2640</v>
      </c>
    </row>
    <row r="454" spans="1:32">
      <c r="A454" s="57">
        <v>453</v>
      </c>
      <c r="B454" s="58">
        <v>45899.346782407411</v>
      </c>
      <c r="C454" s="58">
        <v>45899.455405092587</v>
      </c>
      <c r="D454" s="57" t="s">
        <v>1633</v>
      </c>
      <c r="E454" s="57" t="s">
        <v>1634</v>
      </c>
      <c r="F454" s="58"/>
      <c r="G454" s="57" t="s">
        <v>679</v>
      </c>
      <c r="H454" s="59">
        <v>3</v>
      </c>
      <c r="I454" s="57" t="s">
        <v>20</v>
      </c>
      <c r="J454" s="57" t="s">
        <v>2641</v>
      </c>
      <c r="K454" s="59">
        <v>14547</v>
      </c>
      <c r="L454" s="57" t="s">
        <v>61</v>
      </c>
      <c r="M454" s="60">
        <v>45808</v>
      </c>
      <c r="N454" s="59">
        <v>14547</v>
      </c>
      <c r="O454" s="57" t="s">
        <v>2642</v>
      </c>
      <c r="P454" s="57" t="s">
        <v>2643</v>
      </c>
      <c r="Q454" s="57" t="s">
        <v>20</v>
      </c>
      <c r="R454" s="57" t="s">
        <v>1635</v>
      </c>
      <c r="S454" s="59">
        <v>38719</v>
      </c>
      <c r="T454" s="57" t="s">
        <v>61</v>
      </c>
      <c r="U454" s="60">
        <v>45852</v>
      </c>
      <c r="V454" s="59">
        <v>38719</v>
      </c>
      <c r="W454" s="57" t="s">
        <v>2644</v>
      </c>
      <c r="X454" s="57" t="s">
        <v>2645</v>
      </c>
      <c r="Y454" s="57" t="s">
        <v>21</v>
      </c>
      <c r="Z454" s="57" t="s">
        <v>393</v>
      </c>
      <c r="AA454" s="59">
        <v>677</v>
      </c>
      <c r="AB454" s="57" t="s">
        <v>61</v>
      </c>
      <c r="AC454" s="60">
        <v>45880</v>
      </c>
      <c r="AD454" s="59">
        <v>677</v>
      </c>
      <c r="AE454" s="57" t="s">
        <v>2646</v>
      </c>
      <c r="AF454" s="57" t="s">
        <v>2647</v>
      </c>
    </row>
    <row r="455" spans="1:32">
      <c r="A455" s="57">
        <v>454</v>
      </c>
      <c r="B455" s="58">
        <v>45899.423622685194</v>
      </c>
      <c r="C455" s="58">
        <v>45899.505810185183</v>
      </c>
      <c r="D455" s="57" t="s">
        <v>1256</v>
      </c>
      <c r="E455" s="57" t="s">
        <v>1257</v>
      </c>
      <c r="F455" s="58"/>
      <c r="G455" s="57" t="s">
        <v>473</v>
      </c>
      <c r="H455" s="59">
        <v>1</v>
      </c>
      <c r="I455" s="57"/>
      <c r="J455" s="57"/>
      <c r="K455" s="59"/>
      <c r="L455" s="57"/>
      <c r="M455" s="60"/>
      <c r="N455" s="59"/>
      <c r="O455" s="57"/>
      <c r="P455" s="57"/>
      <c r="Q455" s="57"/>
      <c r="R455" s="57"/>
      <c r="S455" s="59"/>
      <c r="T455" s="57"/>
      <c r="U455" s="60"/>
      <c r="V455" s="59"/>
      <c r="W455" s="57"/>
      <c r="X455" s="57"/>
      <c r="Y455" s="57" t="s">
        <v>21</v>
      </c>
      <c r="Z455" s="57" t="s">
        <v>139</v>
      </c>
      <c r="AA455" s="59">
        <v>88344</v>
      </c>
      <c r="AB455" s="57" t="s">
        <v>61</v>
      </c>
      <c r="AC455" s="60">
        <v>45861</v>
      </c>
      <c r="AD455" s="59">
        <v>88344</v>
      </c>
      <c r="AE455" s="57" t="s">
        <v>2648</v>
      </c>
      <c r="AF455" s="57" t="s">
        <v>2649</v>
      </c>
    </row>
    <row r="456" spans="1:32">
      <c r="A456" s="57">
        <v>455</v>
      </c>
      <c r="B456" s="58">
        <v>45899.602349537039</v>
      </c>
      <c r="C456" s="58">
        <v>45899.604513888888</v>
      </c>
      <c r="D456" s="57" t="s">
        <v>2650</v>
      </c>
      <c r="E456" s="57" t="s">
        <v>2651</v>
      </c>
      <c r="F456" s="58"/>
      <c r="G456" s="57" t="s">
        <v>527</v>
      </c>
      <c r="H456" s="59">
        <v>1</v>
      </c>
      <c r="I456" s="57"/>
      <c r="J456" s="57"/>
      <c r="K456" s="59"/>
      <c r="L456" s="57"/>
      <c r="M456" s="60"/>
      <c r="N456" s="59"/>
      <c r="O456" s="57"/>
      <c r="P456" s="57"/>
      <c r="Q456" s="57"/>
      <c r="R456" s="57"/>
      <c r="S456" s="59"/>
      <c r="T456" s="57"/>
      <c r="U456" s="60"/>
      <c r="V456" s="59"/>
      <c r="W456" s="57"/>
      <c r="X456" s="57"/>
      <c r="Y456" s="57" t="s">
        <v>21</v>
      </c>
      <c r="Z456" s="57" t="s">
        <v>2652</v>
      </c>
      <c r="AA456" s="59">
        <v>55007</v>
      </c>
      <c r="AB456" s="57" t="s">
        <v>61</v>
      </c>
      <c r="AC456" s="60">
        <v>45820</v>
      </c>
      <c r="AD456" s="59">
        <v>55007</v>
      </c>
      <c r="AE456" s="57" t="s">
        <v>2653</v>
      </c>
      <c r="AF456" s="57" t="s">
        <v>2654</v>
      </c>
    </row>
    <row r="457" spans="1:32">
      <c r="A457" s="57">
        <v>456</v>
      </c>
      <c r="B457" s="58">
        <v>45900.422465277778</v>
      </c>
      <c r="C457" s="58">
        <v>45900.428796296299</v>
      </c>
      <c r="D457" s="57" t="s">
        <v>2655</v>
      </c>
      <c r="E457" s="57" t="s">
        <v>2656</v>
      </c>
      <c r="F457" s="58"/>
      <c r="G457" s="57" t="s">
        <v>647</v>
      </c>
      <c r="H457" s="59">
        <v>2</v>
      </c>
      <c r="I457" s="57"/>
      <c r="J457" s="57"/>
      <c r="K457" s="59"/>
      <c r="L457" s="57"/>
      <c r="M457" s="60"/>
      <c r="N457" s="59"/>
      <c r="O457" s="57"/>
      <c r="P457" s="57"/>
      <c r="Q457" s="57" t="s">
        <v>21</v>
      </c>
      <c r="R457" s="57" t="s">
        <v>342</v>
      </c>
      <c r="S457" s="59">
        <v>6551</v>
      </c>
      <c r="T457" s="57" t="s">
        <v>61</v>
      </c>
      <c r="U457" s="60">
        <v>45724</v>
      </c>
      <c r="V457" s="59">
        <v>6551</v>
      </c>
      <c r="W457" s="57" t="s">
        <v>2657</v>
      </c>
      <c r="X457" s="57" t="s">
        <v>2658</v>
      </c>
      <c r="Y457" s="57" t="s">
        <v>21</v>
      </c>
      <c r="Z457" s="57" t="s">
        <v>353</v>
      </c>
      <c r="AA457" s="59">
        <v>6633</v>
      </c>
      <c r="AB457" s="57" t="s">
        <v>61</v>
      </c>
      <c r="AC457" s="60">
        <v>45737</v>
      </c>
      <c r="AD457" s="59">
        <v>6633</v>
      </c>
      <c r="AE457" s="57" t="s">
        <v>2659</v>
      </c>
      <c r="AF457" s="57" t="s">
        <v>2660</v>
      </c>
    </row>
    <row r="458" spans="1:32">
      <c r="A458" s="57">
        <v>457</v>
      </c>
      <c r="B458" s="58">
        <v>45900.704062500001</v>
      </c>
      <c r="C458" s="58">
        <v>45900.713530092587</v>
      </c>
      <c r="D458" s="57" t="s">
        <v>1216</v>
      </c>
      <c r="E458" s="57" t="s">
        <v>1217</v>
      </c>
      <c r="F458" s="58"/>
      <c r="G458" s="57" t="s">
        <v>684</v>
      </c>
      <c r="H458" s="59">
        <v>3</v>
      </c>
      <c r="I458" s="57" t="s">
        <v>20</v>
      </c>
      <c r="J458" s="57" t="s">
        <v>289</v>
      </c>
      <c r="K458" s="59">
        <v>16137</v>
      </c>
      <c r="L458" s="57" t="s">
        <v>61</v>
      </c>
      <c r="M458" s="60">
        <v>45804</v>
      </c>
      <c r="N458" s="59">
        <v>16137</v>
      </c>
      <c r="O458" s="57" t="s">
        <v>2661</v>
      </c>
      <c r="P458" s="57" t="s">
        <v>2662</v>
      </c>
      <c r="Q458" s="57" t="s">
        <v>20</v>
      </c>
      <c r="R458" s="57" t="s">
        <v>2663</v>
      </c>
      <c r="S458" s="59">
        <v>56900</v>
      </c>
      <c r="T458" s="57" t="s">
        <v>61</v>
      </c>
      <c r="U458" s="60">
        <v>45839</v>
      </c>
      <c r="V458" s="59">
        <v>56900</v>
      </c>
      <c r="W458" s="57" t="s">
        <v>2664</v>
      </c>
      <c r="X458" s="57" t="s">
        <v>2665</v>
      </c>
      <c r="Y458" s="57" t="s">
        <v>20</v>
      </c>
      <c r="Z458" s="57" t="s">
        <v>1223</v>
      </c>
      <c r="AA458" s="59">
        <v>35805</v>
      </c>
      <c r="AB458" s="57" t="s">
        <v>61</v>
      </c>
      <c r="AC458" s="60">
        <v>45889</v>
      </c>
      <c r="AD458" s="59">
        <v>35805</v>
      </c>
      <c r="AE458" s="57" t="s">
        <v>2666</v>
      </c>
      <c r="AF458" s="57" t="s">
        <v>2667</v>
      </c>
    </row>
    <row r="459" spans="1:32">
      <c r="A459" s="57">
        <v>458</v>
      </c>
      <c r="B459" s="58">
        <v>45900.736006944448</v>
      </c>
      <c r="C459" s="58">
        <v>45900.754293981481</v>
      </c>
      <c r="D459" s="57" t="s">
        <v>2668</v>
      </c>
      <c r="E459" s="57" t="s">
        <v>2669</v>
      </c>
      <c r="F459" s="58"/>
      <c r="G459" s="57" t="s">
        <v>469</v>
      </c>
      <c r="H459" s="59">
        <v>1</v>
      </c>
      <c r="I459" s="57"/>
      <c r="J459" s="57"/>
      <c r="K459" s="59"/>
      <c r="L459" s="57"/>
      <c r="M459" s="60"/>
      <c r="N459" s="59"/>
      <c r="O459" s="57"/>
      <c r="P459" s="57"/>
      <c r="Q459" s="57"/>
      <c r="R459" s="57"/>
      <c r="S459" s="59"/>
      <c r="T459" s="57"/>
      <c r="U459" s="60"/>
      <c r="V459" s="59"/>
      <c r="W459" s="57"/>
      <c r="X459" s="57"/>
      <c r="Y459" s="57" t="s">
        <v>21</v>
      </c>
      <c r="Z459" s="57" t="s">
        <v>135</v>
      </c>
      <c r="AA459" s="59">
        <v>72340</v>
      </c>
      <c r="AB459" s="57" t="s">
        <v>61</v>
      </c>
      <c r="AC459" s="60">
        <v>45757</v>
      </c>
      <c r="AD459" s="59">
        <v>72340</v>
      </c>
      <c r="AE459" s="57" t="s">
        <v>2670</v>
      </c>
      <c r="AF459" s="57" t="s">
        <v>2671</v>
      </c>
    </row>
    <row r="460" spans="1:32">
      <c r="A460" s="57">
        <v>459</v>
      </c>
      <c r="B460" s="58">
        <v>45900.763506944437</v>
      </c>
      <c r="C460" s="58">
        <v>45900.795219907413</v>
      </c>
      <c r="D460" s="57" t="s">
        <v>1536</v>
      </c>
      <c r="E460" s="57" t="s">
        <v>1537</v>
      </c>
      <c r="F460" s="58"/>
      <c r="G460" s="57" t="s">
        <v>605</v>
      </c>
      <c r="H460" s="59">
        <v>2</v>
      </c>
      <c r="I460" s="57"/>
      <c r="J460" s="57"/>
      <c r="K460" s="59"/>
      <c r="L460" s="57"/>
      <c r="M460" s="60"/>
      <c r="N460" s="59"/>
      <c r="O460" s="57"/>
      <c r="P460" s="57"/>
      <c r="Q460" s="57" t="s">
        <v>22</v>
      </c>
      <c r="R460" s="57" t="s">
        <v>297</v>
      </c>
      <c r="S460" s="59">
        <v>10543</v>
      </c>
      <c r="T460" s="57" t="s">
        <v>61</v>
      </c>
      <c r="U460" s="60">
        <v>45813</v>
      </c>
      <c r="V460" s="59">
        <v>10543</v>
      </c>
      <c r="W460" s="57" t="s">
        <v>2672</v>
      </c>
      <c r="X460" s="57" t="s">
        <v>2673</v>
      </c>
      <c r="Y460" s="57" t="s">
        <v>21</v>
      </c>
      <c r="Z460" s="57" t="s">
        <v>283</v>
      </c>
      <c r="AA460" s="59">
        <v>13302</v>
      </c>
      <c r="AB460" s="57" t="s">
        <v>61</v>
      </c>
      <c r="AC460" s="60">
        <v>45878</v>
      </c>
      <c r="AD460" s="59">
        <v>13302</v>
      </c>
      <c r="AE460" s="57" t="s">
        <v>2674</v>
      </c>
      <c r="AF460" s="57" t="s">
        <v>2675</v>
      </c>
    </row>
    <row r="461" spans="1:32">
      <c r="A461" s="57">
        <v>460</v>
      </c>
      <c r="B461" s="58">
        <v>45900.80909722222</v>
      </c>
      <c r="C461" s="58">
        <v>45900.824050925927</v>
      </c>
      <c r="D461" s="57" t="s">
        <v>1387</v>
      </c>
      <c r="E461" s="57" t="s">
        <v>1388</v>
      </c>
      <c r="F461" s="58"/>
      <c r="G461" s="57" t="s">
        <v>462</v>
      </c>
      <c r="H461" s="59">
        <v>1</v>
      </c>
      <c r="I461" s="57"/>
      <c r="J461" s="57"/>
      <c r="K461" s="59"/>
      <c r="L461" s="57"/>
      <c r="M461" s="60"/>
      <c r="N461" s="59"/>
      <c r="O461" s="57"/>
      <c r="P461" s="57"/>
      <c r="Q461" s="57"/>
      <c r="R461" s="57"/>
      <c r="S461" s="59"/>
      <c r="T461" s="57"/>
      <c r="U461" s="60"/>
      <c r="V461" s="59"/>
      <c r="W461" s="57"/>
      <c r="X461" s="57"/>
      <c r="Y461" s="57" t="s">
        <v>21</v>
      </c>
      <c r="Z461" s="57" t="s">
        <v>127</v>
      </c>
      <c r="AA461" s="59">
        <v>20073</v>
      </c>
      <c r="AB461" s="57" t="s">
        <v>61</v>
      </c>
      <c r="AC461" s="60">
        <v>45668</v>
      </c>
      <c r="AD461" s="59">
        <v>20073</v>
      </c>
      <c r="AE461" s="57" t="s">
        <v>2676</v>
      </c>
      <c r="AF461" s="57" t="s">
        <v>2677</v>
      </c>
    </row>
    <row r="462" spans="1:32">
      <c r="A462" s="57">
        <v>461</v>
      </c>
      <c r="B462" s="58">
        <v>45902.577314814807</v>
      </c>
      <c r="C462" s="58">
        <v>45902.581770833327</v>
      </c>
      <c r="D462" s="57" t="s">
        <v>1814</v>
      </c>
      <c r="E462" s="57" t="s">
        <v>1815</v>
      </c>
      <c r="F462" s="58"/>
      <c r="G462" s="57" t="s">
        <v>459</v>
      </c>
      <c r="H462" s="59">
        <v>2</v>
      </c>
      <c r="I462" s="57"/>
      <c r="J462" s="57"/>
      <c r="K462" s="59"/>
      <c r="L462" s="57"/>
      <c r="M462" s="60"/>
      <c r="N462" s="59"/>
      <c r="O462" s="57"/>
      <c r="P462" s="57"/>
      <c r="Q462" s="57" t="s">
        <v>22</v>
      </c>
      <c r="R462" s="57" t="s">
        <v>267</v>
      </c>
      <c r="S462" s="59">
        <v>22348</v>
      </c>
      <c r="T462" s="57" t="s">
        <v>61</v>
      </c>
      <c r="U462" s="60">
        <v>45839</v>
      </c>
      <c r="V462" s="59">
        <v>22348</v>
      </c>
      <c r="W462" s="57" t="s">
        <v>2678</v>
      </c>
      <c r="X462" s="57" t="s">
        <v>2679</v>
      </c>
      <c r="Y462" s="57" t="s">
        <v>21</v>
      </c>
      <c r="Z462" s="57" t="s">
        <v>125</v>
      </c>
      <c r="AA462" s="59">
        <v>18942</v>
      </c>
      <c r="AB462" s="57" t="s">
        <v>61</v>
      </c>
      <c r="AC462" s="60">
        <v>45717</v>
      </c>
      <c r="AD462" s="59">
        <v>18942</v>
      </c>
      <c r="AE462" s="57" t="s">
        <v>2680</v>
      </c>
      <c r="AF462" s="57" t="s">
        <v>2681</v>
      </c>
    </row>
    <row r="463" spans="1:32">
      <c r="A463" s="57">
        <v>462</v>
      </c>
      <c r="B463" s="58">
        <v>45898.466689814813</v>
      </c>
      <c r="C463" s="58">
        <v>45898.47351851852</v>
      </c>
      <c r="D463" s="57" t="s">
        <v>2267</v>
      </c>
      <c r="E463" s="57" t="s">
        <v>2268</v>
      </c>
      <c r="F463" s="58"/>
      <c r="G463" s="57" t="s">
        <v>518</v>
      </c>
      <c r="H463" s="59">
        <v>1</v>
      </c>
      <c r="I463" s="57"/>
      <c r="J463" s="57"/>
      <c r="K463" s="59"/>
      <c r="L463" s="57"/>
      <c r="M463" s="60"/>
      <c r="N463" s="59"/>
      <c r="O463" s="57"/>
      <c r="P463" s="57"/>
      <c r="Q463" s="57"/>
      <c r="R463" s="57"/>
      <c r="S463" s="59"/>
      <c r="T463" s="57"/>
      <c r="U463" s="60"/>
      <c r="V463" s="59"/>
      <c r="W463" s="57"/>
      <c r="X463" s="57"/>
      <c r="Y463" s="57" t="s">
        <v>20</v>
      </c>
      <c r="Z463" s="57" t="s">
        <v>2273</v>
      </c>
      <c r="AA463" s="59">
        <v>89141</v>
      </c>
      <c r="AB463" s="57" t="s">
        <v>61</v>
      </c>
      <c r="AC463" s="60">
        <v>45731</v>
      </c>
      <c r="AD463" s="59">
        <v>89141</v>
      </c>
      <c r="AE463" s="57" t="s">
        <v>2682</v>
      </c>
      <c r="AF463" s="57" t="s">
        <v>2683</v>
      </c>
    </row>
    <row r="464" spans="1:32">
      <c r="A464" s="57">
        <v>463</v>
      </c>
      <c r="B464" s="58">
        <v>45898.513877314806</v>
      </c>
      <c r="C464" s="58">
        <v>45898.522245370368</v>
      </c>
      <c r="D464" s="57" t="s">
        <v>1414</v>
      </c>
      <c r="E464" s="57" t="s">
        <v>1415</v>
      </c>
      <c r="F464" s="58"/>
      <c r="G464" s="57" t="s">
        <v>578</v>
      </c>
      <c r="H464" s="59">
        <v>2</v>
      </c>
      <c r="I464" s="57"/>
      <c r="J464" s="57"/>
      <c r="K464" s="59"/>
      <c r="L464" s="57"/>
      <c r="M464" s="60"/>
      <c r="N464" s="59"/>
      <c r="O464" s="57"/>
      <c r="P464" s="57"/>
      <c r="Q464" s="57" t="s">
        <v>21</v>
      </c>
      <c r="R464" s="57" t="s">
        <v>1416</v>
      </c>
      <c r="S464" s="59">
        <v>29752</v>
      </c>
      <c r="T464" s="57" t="s">
        <v>61</v>
      </c>
      <c r="U464" s="60">
        <v>45839</v>
      </c>
      <c r="V464" s="59">
        <v>29752</v>
      </c>
      <c r="W464" s="57" t="s">
        <v>2684</v>
      </c>
      <c r="X464" s="57" t="s">
        <v>2685</v>
      </c>
      <c r="Y464" s="57" t="s">
        <v>21</v>
      </c>
      <c r="Z464" s="57" t="s">
        <v>250</v>
      </c>
      <c r="AA464" s="59">
        <v>11398</v>
      </c>
      <c r="AB464" s="57" t="s">
        <v>61</v>
      </c>
      <c r="AC464" s="60">
        <v>45896</v>
      </c>
      <c r="AD464" s="59">
        <v>11398</v>
      </c>
      <c r="AE464" s="57" t="s">
        <v>2686</v>
      </c>
      <c r="AF464" s="57" t="s">
        <v>2687</v>
      </c>
    </row>
    <row r="465" spans="1:32">
      <c r="A465" s="57">
        <v>464</v>
      </c>
      <c r="B465" s="58">
        <v>45898.571064814823</v>
      </c>
      <c r="C465" s="58">
        <v>45898.580277777779</v>
      </c>
      <c r="D465" s="57" t="s">
        <v>1445</v>
      </c>
      <c r="E465" s="57" t="s">
        <v>1446</v>
      </c>
      <c r="F465" s="58"/>
      <c r="G465" s="57" t="s">
        <v>596</v>
      </c>
      <c r="H465" s="59">
        <v>2</v>
      </c>
      <c r="I465" s="57"/>
      <c r="J465" s="57"/>
      <c r="K465" s="59"/>
      <c r="L465" s="57"/>
      <c r="M465" s="60"/>
      <c r="N465" s="59"/>
      <c r="O465" s="57"/>
      <c r="P465" s="57"/>
      <c r="Q465" s="57" t="s">
        <v>22</v>
      </c>
      <c r="R465" s="57" t="s">
        <v>1447</v>
      </c>
      <c r="S465" s="59">
        <v>93483</v>
      </c>
      <c r="T465" s="57" t="s">
        <v>61</v>
      </c>
      <c r="U465" s="60">
        <v>45876</v>
      </c>
      <c r="V465" s="59">
        <v>93483</v>
      </c>
      <c r="W465" s="57" t="s">
        <v>2688</v>
      </c>
      <c r="X465" s="57" t="s">
        <v>2689</v>
      </c>
      <c r="Y465" s="57" t="s">
        <v>20</v>
      </c>
      <c r="Z465" s="57" t="s">
        <v>272</v>
      </c>
      <c r="AA465" s="59">
        <v>14078</v>
      </c>
      <c r="AB465" s="57" t="s">
        <v>61</v>
      </c>
      <c r="AC465" s="60">
        <v>45764</v>
      </c>
      <c r="AD465" s="59">
        <v>14078</v>
      </c>
      <c r="AE465" s="57" t="s">
        <v>2690</v>
      </c>
      <c r="AF465" s="57" t="s">
        <v>2691</v>
      </c>
    </row>
    <row r="466" spans="1:32">
      <c r="A466" s="57">
        <v>465</v>
      </c>
      <c r="B466" s="58">
        <v>45898.729884259257</v>
      </c>
      <c r="C466" s="58">
        <v>45898.738553240742</v>
      </c>
      <c r="D466" s="57" t="s">
        <v>765</v>
      </c>
      <c r="E466" s="57" t="s">
        <v>766</v>
      </c>
      <c r="F466" s="58"/>
      <c r="G466" s="57" t="s">
        <v>458</v>
      </c>
      <c r="H466" s="59">
        <v>1</v>
      </c>
      <c r="I466" s="57"/>
      <c r="J466" s="57"/>
      <c r="K466" s="59"/>
      <c r="L466" s="57"/>
      <c r="M466" s="60"/>
      <c r="N466" s="59"/>
      <c r="O466" s="57"/>
      <c r="P466" s="57"/>
      <c r="Q466" s="57"/>
      <c r="R466" s="57"/>
      <c r="S466" s="59"/>
      <c r="T466" s="57"/>
      <c r="U466" s="60"/>
      <c r="V466" s="59"/>
      <c r="W466" s="57"/>
      <c r="X466" s="57"/>
      <c r="Y466" s="57" t="s">
        <v>21</v>
      </c>
      <c r="Z466" s="57" t="s">
        <v>124</v>
      </c>
      <c r="AA466" s="59">
        <v>30817</v>
      </c>
      <c r="AB466" s="57" t="s">
        <v>61</v>
      </c>
      <c r="AC466" s="60">
        <v>45731</v>
      </c>
      <c r="AD466" s="59">
        <v>30817</v>
      </c>
      <c r="AE466" s="57" t="s">
        <v>2692</v>
      </c>
      <c r="AF466" s="57" t="s">
        <v>2693</v>
      </c>
    </row>
    <row r="467" spans="1:32">
      <c r="A467" s="57">
        <v>466</v>
      </c>
      <c r="B467" s="58">
        <v>45903.488969907397</v>
      </c>
      <c r="C467" s="58">
        <v>45903.495578703703</v>
      </c>
      <c r="D467" s="57" t="s">
        <v>1159</v>
      </c>
      <c r="E467" s="57" t="s">
        <v>1160</v>
      </c>
      <c r="F467" s="58"/>
      <c r="G467" s="57" t="s">
        <v>551</v>
      </c>
      <c r="H467" s="59">
        <v>1</v>
      </c>
      <c r="I467" s="57"/>
      <c r="J467" s="57"/>
      <c r="K467" s="59"/>
      <c r="L467" s="57"/>
      <c r="M467" s="60"/>
      <c r="N467" s="59"/>
      <c r="O467" s="57"/>
      <c r="P467" s="57"/>
      <c r="Q467" s="57"/>
      <c r="R467" s="57"/>
      <c r="S467" s="59"/>
      <c r="T467" s="57"/>
      <c r="U467" s="60"/>
      <c r="V467" s="59"/>
      <c r="W467" s="57"/>
      <c r="X467" s="57"/>
      <c r="Y467" s="57" t="s">
        <v>20</v>
      </c>
      <c r="Z467" s="57" t="s">
        <v>220</v>
      </c>
      <c r="AA467" s="59">
        <v>40353</v>
      </c>
      <c r="AB467" s="57" t="s">
        <v>61</v>
      </c>
      <c r="AC467" s="60">
        <v>45903</v>
      </c>
      <c r="AD467" s="59">
        <v>40353</v>
      </c>
      <c r="AE467" s="57" t="s">
        <v>2694</v>
      </c>
      <c r="AF467" s="57" t="s">
        <v>2695</v>
      </c>
    </row>
    <row r="468" spans="1:32">
      <c r="A468" s="57">
        <v>467</v>
      </c>
      <c r="B468" s="58">
        <v>45903.676111111112</v>
      </c>
      <c r="C468" s="58">
        <v>45903.718680555547</v>
      </c>
      <c r="D468" s="57" t="s">
        <v>1583</v>
      </c>
      <c r="E468" s="57" t="s">
        <v>1584</v>
      </c>
      <c r="F468" s="58"/>
      <c r="G468" s="57" t="s">
        <v>537</v>
      </c>
      <c r="H468" s="59">
        <v>2</v>
      </c>
      <c r="I468" s="57"/>
      <c r="J468" s="57"/>
      <c r="K468" s="59"/>
      <c r="L468" s="57"/>
      <c r="M468" s="60"/>
      <c r="N468" s="59"/>
      <c r="O468" s="57"/>
      <c r="P468" s="57"/>
      <c r="Q468" s="57" t="s">
        <v>22</v>
      </c>
      <c r="R468" s="57" t="s">
        <v>205</v>
      </c>
      <c r="S468" s="59">
        <v>32171</v>
      </c>
      <c r="T468" s="57" t="s">
        <v>61</v>
      </c>
      <c r="U468" s="60">
        <v>45850</v>
      </c>
      <c r="V468" s="59">
        <v>32171</v>
      </c>
      <c r="W468" s="57" t="s">
        <v>2696</v>
      </c>
      <c r="X468" s="57" t="s">
        <v>2697</v>
      </c>
      <c r="Y468" s="57" t="s">
        <v>20</v>
      </c>
      <c r="Z468" s="57" t="s">
        <v>1587</v>
      </c>
      <c r="AA468" s="59">
        <v>14994</v>
      </c>
      <c r="AB468" s="57" t="s">
        <v>61</v>
      </c>
      <c r="AC468" s="60">
        <v>45902</v>
      </c>
      <c r="AD468" s="59">
        <v>14994</v>
      </c>
      <c r="AE468" s="57" t="s">
        <v>2698</v>
      </c>
      <c r="AF468" s="57" t="s">
        <v>2699</v>
      </c>
    </row>
    <row r="469" spans="1:32">
      <c r="A469" s="57">
        <v>468</v>
      </c>
      <c r="B469" s="58">
        <v>45904.640104166669</v>
      </c>
      <c r="C469" s="58">
        <v>45904.640983796293</v>
      </c>
      <c r="D469" s="57" t="s">
        <v>2700</v>
      </c>
      <c r="E469" s="57" t="s">
        <v>2701</v>
      </c>
      <c r="F469" s="58"/>
      <c r="G469" s="57" t="s">
        <v>552</v>
      </c>
      <c r="H469" s="59">
        <v>1</v>
      </c>
      <c r="I469" s="57"/>
      <c r="J469" s="57"/>
      <c r="K469" s="59"/>
      <c r="L469" s="57"/>
      <c r="M469" s="60"/>
      <c r="N469" s="59"/>
      <c r="O469" s="57"/>
      <c r="P469" s="57"/>
      <c r="Q469" s="57"/>
      <c r="R469" s="57"/>
      <c r="S469" s="59"/>
      <c r="T469" s="57"/>
      <c r="U469" s="60"/>
      <c r="V469" s="59"/>
      <c r="W469" s="57"/>
      <c r="X469" s="57"/>
      <c r="Y469" s="57" t="s">
        <v>20</v>
      </c>
      <c r="Z469" s="57" t="s">
        <v>2702</v>
      </c>
      <c r="AA469" s="59">
        <v>26866</v>
      </c>
      <c r="AB469" s="57" t="s">
        <v>61</v>
      </c>
      <c r="AC469" s="60">
        <v>45904</v>
      </c>
      <c r="AD469" s="59">
        <v>26866</v>
      </c>
      <c r="AE469" s="57" t="s">
        <v>2703</v>
      </c>
      <c r="AF469" s="57" t="s">
        <v>2704</v>
      </c>
    </row>
    <row r="470" spans="1:32">
      <c r="A470" s="57">
        <v>469</v>
      </c>
      <c r="B470" s="58">
        <v>45908.348368055558</v>
      </c>
      <c r="C470" s="58">
        <v>45908.350474537037</v>
      </c>
      <c r="D470" s="57" t="s">
        <v>1723</v>
      </c>
      <c r="E470" s="57" t="s">
        <v>1724</v>
      </c>
      <c r="F470" s="58"/>
      <c r="G470" s="57" t="s">
        <v>700</v>
      </c>
      <c r="H470" s="59">
        <v>1</v>
      </c>
      <c r="I470" s="57"/>
      <c r="J470" s="57"/>
      <c r="K470" s="59"/>
      <c r="L470" s="57"/>
      <c r="M470" s="60"/>
      <c r="N470" s="59"/>
      <c r="O470" s="57"/>
      <c r="P470" s="57"/>
      <c r="Q470" s="57"/>
      <c r="R470" s="57"/>
      <c r="S470" s="59"/>
      <c r="T470" s="57"/>
      <c r="U470" s="60"/>
      <c r="V470" s="59"/>
      <c r="W470" s="57"/>
      <c r="X470" s="57"/>
      <c r="Y470" s="57" t="s">
        <v>21</v>
      </c>
      <c r="Z470" s="57" t="s">
        <v>2135</v>
      </c>
      <c r="AA470" s="59">
        <v>28977</v>
      </c>
      <c r="AB470" s="57" t="s">
        <v>61</v>
      </c>
      <c r="AC470" s="60">
        <v>45903</v>
      </c>
      <c r="AD470" s="59">
        <v>28977</v>
      </c>
      <c r="AE470" s="57" t="s">
        <v>2705</v>
      </c>
      <c r="AF470" s="57" t="s">
        <v>2706</v>
      </c>
    </row>
    <row r="471" spans="1:32">
      <c r="A471" s="57">
        <v>470</v>
      </c>
      <c r="B471" s="58">
        <v>45908.42423611111</v>
      </c>
      <c r="C471" s="58">
        <v>45908.425254629627</v>
      </c>
      <c r="D471" s="57" t="s">
        <v>1406</v>
      </c>
      <c r="E471" s="57" t="s">
        <v>1407</v>
      </c>
      <c r="F471" s="58"/>
      <c r="G471" s="57" t="s">
        <v>531</v>
      </c>
      <c r="H471" s="59">
        <v>1</v>
      </c>
      <c r="I471" s="57"/>
      <c r="J471" s="57"/>
      <c r="K471" s="59"/>
      <c r="L471" s="57"/>
      <c r="M471" s="60"/>
      <c r="N471" s="59"/>
      <c r="O471" s="57"/>
      <c r="P471" s="57"/>
      <c r="Q471" s="57"/>
      <c r="R471" s="57"/>
      <c r="S471" s="59"/>
      <c r="T471" s="57"/>
      <c r="U471" s="60"/>
      <c r="V471" s="59"/>
      <c r="W471" s="57"/>
      <c r="X471" s="57"/>
      <c r="Y471" s="57" t="s">
        <v>21</v>
      </c>
      <c r="Z471" s="57" t="s">
        <v>199</v>
      </c>
      <c r="AA471" s="59">
        <v>24299</v>
      </c>
      <c r="AB471" s="57" t="s">
        <v>61</v>
      </c>
      <c r="AC471" s="60">
        <v>45902</v>
      </c>
      <c r="AD471" s="59">
        <v>24299</v>
      </c>
      <c r="AE471" s="57" t="s">
        <v>2707</v>
      </c>
      <c r="AF471" s="57" t="s">
        <v>2708</v>
      </c>
    </row>
    <row r="472" spans="1:32">
      <c r="A472" s="57">
        <v>471</v>
      </c>
      <c r="B472" s="58">
        <v>45908.43550925926</v>
      </c>
      <c r="C472" s="58">
        <v>45908.43787037037</v>
      </c>
      <c r="D472" s="57" t="s">
        <v>1750</v>
      </c>
      <c r="E472" s="57" t="s">
        <v>1751</v>
      </c>
      <c r="F472" s="58"/>
      <c r="G472" s="57" t="s">
        <v>530</v>
      </c>
      <c r="H472" s="59">
        <v>1</v>
      </c>
      <c r="I472" s="57"/>
      <c r="J472" s="57"/>
      <c r="K472" s="59"/>
      <c r="L472" s="57"/>
      <c r="M472" s="60"/>
      <c r="N472" s="59"/>
      <c r="O472" s="57"/>
      <c r="P472" s="57"/>
      <c r="Q472" s="57"/>
      <c r="R472" s="57"/>
      <c r="S472" s="59"/>
      <c r="T472" s="57"/>
      <c r="U472" s="60"/>
      <c r="V472" s="59"/>
      <c r="W472" s="57"/>
      <c r="X472" s="57"/>
      <c r="Y472" s="57" t="s">
        <v>21</v>
      </c>
      <c r="Z472" s="57" t="s">
        <v>197</v>
      </c>
      <c r="AA472" s="59">
        <v>30023</v>
      </c>
      <c r="AB472" s="57" t="s">
        <v>61</v>
      </c>
      <c r="AC472" s="60">
        <v>45898</v>
      </c>
      <c r="AD472" s="59">
        <v>30023</v>
      </c>
      <c r="AE472" s="57" t="s">
        <v>2709</v>
      </c>
      <c r="AF472" s="57" t="s">
        <v>2710</v>
      </c>
    </row>
    <row r="473" spans="1:32">
      <c r="A473" s="57">
        <v>472</v>
      </c>
      <c r="B473" s="58">
        <v>45915.42564814815</v>
      </c>
      <c r="C473" s="58">
        <v>45915.429988425924</v>
      </c>
      <c r="D473" s="57" t="s">
        <v>1114</v>
      </c>
      <c r="E473" s="57" t="s">
        <v>1115</v>
      </c>
      <c r="F473" s="58"/>
      <c r="G473" s="57" t="s">
        <v>597</v>
      </c>
      <c r="H473" s="59">
        <v>2</v>
      </c>
      <c r="I473" s="57"/>
      <c r="J473" s="57"/>
      <c r="K473" s="59"/>
      <c r="L473" s="57"/>
      <c r="M473" s="60"/>
      <c r="N473" s="59"/>
      <c r="O473" s="57"/>
      <c r="P473" s="57"/>
      <c r="Q473" s="57" t="s">
        <v>21</v>
      </c>
      <c r="R473" s="57" t="s">
        <v>324</v>
      </c>
      <c r="S473" s="59">
        <v>9133</v>
      </c>
      <c r="T473" s="57" t="s">
        <v>61</v>
      </c>
      <c r="U473" s="60">
        <v>45904</v>
      </c>
      <c r="V473" s="59">
        <v>9133</v>
      </c>
      <c r="W473" s="57" t="s">
        <v>2711</v>
      </c>
      <c r="X473" s="57" t="s">
        <v>2712</v>
      </c>
      <c r="Y473" s="57" t="s">
        <v>22</v>
      </c>
      <c r="Z473" s="57" t="s">
        <v>273</v>
      </c>
      <c r="AA473" s="59">
        <v>39147</v>
      </c>
      <c r="AB473" s="57" t="s">
        <v>61</v>
      </c>
      <c r="AC473" s="60">
        <v>45818</v>
      </c>
      <c r="AD473" s="59">
        <v>39147</v>
      </c>
      <c r="AE473" s="57" t="s">
        <v>2713</v>
      </c>
      <c r="AF473" s="57" t="s">
        <v>2714</v>
      </c>
    </row>
    <row r="474" spans="1:32">
      <c r="A474" s="57">
        <v>473</v>
      </c>
      <c r="B474" s="58">
        <v>45917.426296296297</v>
      </c>
      <c r="C474" s="58">
        <v>45917.432187500002</v>
      </c>
      <c r="D474" s="57" t="s">
        <v>722</v>
      </c>
      <c r="E474" s="57" t="s">
        <v>723</v>
      </c>
      <c r="F474" s="58"/>
      <c r="G474" s="57" t="s">
        <v>525</v>
      </c>
      <c r="H474" s="59">
        <v>1</v>
      </c>
      <c r="I474" s="57"/>
      <c r="J474" s="57"/>
      <c r="K474" s="59"/>
      <c r="L474" s="57"/>
      <c r="M474" s="60"/>
      <c r="N474" s="59"/>
      <c r="O474" s="57"/>
      <c r="P474" s="57"/>
      <c r="Q474" s="57"/>
      <c r="R474" s="57"/>
      <c r="S474" s="59"/>
      <c r="T474" s="57"/>
      <c r="U474" s="60"/>
      <c r="V474" s="59"/>
      <c r="W474" s="57"/>
      <c r="X474" s="57"/>
      <c r="Y474" s="57" t="s">
        <v>21</v>
      </c>
      <c r="Z474" s="57" t="s">
        <v>192</v>
      </c>
      <c r="AA474" s="59">
        <v>102336</v>
      </c>
      <c r="AB474" s="57" t="s">
        <v>61</v>
      </c>
      <c r="AC474" s="60">
        <v>45911</v>
      </c>
      <c r="AD474" s="59">
        <v>102336</v>
      </c>
      <c r="AE474" s="57" t="s">
        <v>2715</v>
      </c>
      <c r="AF474" s="57" t="s">
        <v>2716</v>
      </c>
    </row>
    <row r="475" spans="1:32">
      <c r="A475" s="57">
        <v>474</v>
      </c>
      <c r="B475" s="58">
        <v>45923.37804398148</v>
      </c>
      <c r="C475" s="58">
        <v>45923.38925925926</v>
      </c>
      <c r="D475" s="57" t="s">
        <v>853</v>
      </c>
      <c r="E475" s="57" t="s">
        <v>854</v>
      </c>
      <c r="F475" s="58"/>
      <c r="G475" s="57" t="s">
        <v>571</v>
      </c>
      <c r="H475" s="59">
        <v>1</v>
      </c>
      <c r="I475" s="57"/>
      <c r="J475" s="57"/>
      <c r="K475" s="59"/>
      <c r="L475" s="57"/>
      <c r="M475" s="60"/>
      <c r="N475" s="59"/>
      <c r="O475" s="57"/>
      <c r="P475" s="57"/>
      <c r="Q475" s="57"/>
      <c r="R475" s="57"/>
      <c r="S475" s="59"/>
      <c r="T475" s="57"/>
      <c r="U475" s="60"/>
      <c r="V475" s="59"/>
      <c r="W475" s="57"/>
      <c r="X475" s="57"/>
      <c r="Y475" s="57" t="s">
        <v>21</v>
      </c>
      <c r="Z475" s="57" t="s">
        <v>346</v>
      </c>
      <c r="AA475" s="59">
        <v>9245</v>
      </c>
      <c r="AB475" s="57" t="s">
        <v>61</v>
      </c>
      <c r="AC475" s="60">
        <v>45919</v>
      </c>
      <c r="AD475" s="59">
        <v>9245</v>
      </c>
      <c r="AE475" s="57" t="s">
        <v>2717</v>
      </c>
      <c r="AF475" s="57" t="s">
        <v>2718</v>
      </c>
    </row>
    <row r="476" spans="1:32">
      <c r="A476" s="57">
        <v>475</v>
      </c>
      <c r="B476" s="58">
        <v>45923.383750000001</v>
      </c>
      <c r="C476" s="58">
        <v>45923.389479166668</v>
      </c>
      <c r="D476" s="57" t="s">
        <v>726</v>
      </c>
      <c r="E476" s="57" t="s">
        <v>727</v>
      </c>
      <c r="F476" s="58"/>
      <c r="G476" s="57" t="s">
        <v>540</v>
      </c>
      <c r="H476" s="59">
        <v>1</v>
      </c>
      <c r="I476" s="57"/>
      <c r="J476" s="57"/>
      <c r="K476" s="59"/>
      <c r="L476" s="57"/>
      <c r="M476" s="60"/>
      <c r="N476" s="59"/>
      <c r="O476" s="57"/>
      <c r="P476" s="57"/>
      <c r="Q476" s="57"/>
      <c r="R476" s="57"/>
      <c r="S476" s="59"/>
      <c r="T476" s="57"/>
      <c r="U476" s="60"/>
      <c r="V476" s="59"/>
      <c r="W476" s="57"/>
      <c r="X476" s="57"/>
      <c r="Y476" s="57" t="s">
        <v>20</v>
      </c>
      <c r="Z476" s="57" t="s">
        <v>208</v>
      </c>
      <c r="AA476" s="59">
        <v>55796</v>
      </c>
      <c r="AB476" s="57" t="s">
        <v>61</v>
      </c>
      <c r="AC476" s="60">
        <v>45891</v>
      </c>
      <c r="AD476" s="59">
        <v>55796</v>
      </c>
      <c r="AE476" s="57" t="s">
        <v>2719</v>
      </c>
      <c r="AF476" s="57" t="s">
        <v>2720</v>
      </c>
    </row>
    <row r="477" spans="1:32">
      <c r="A477" s="57">
        <v>476</v>
      </c>
      <c r="B477" s="58">
        <v>45923.384780092587</v>
      </c>
      <c r="C477" s="58">
        <v>45923.38994212963</v>
      </c>
      <c r="D477" s="57" t="s">
        <v>1337</v>
      </c>
      <c r="E477" s="57" t="s">
        <v>1338</v>
      </c>
      <c r="F477" s="58"/>
      <c r="G477" s="57" t="s">
        <v>710</v>
      </c>
      <c r="H477" s="59">
        <v>1</v>
      </c>
      <c r="I477" s="57"/>
      <c r="J477" s="57"/>
      <c r="K477" s="59"/>
      <c r="L477" s="57"/>
      <c r="M477" s="60"/>
      <c r="N477" s="59"/>
      <c r="O477" s="57"/>
      <c r="P477" s="57"/>
      <c r="Q477" s="57"/>
      <c r="R477" s="57"/>
      <c r="S477" s="59"/>
      <c r="T477" s="57"/>
      <c r="U477" s="60"/>
      <c r="V477" s="59"/>
      <c r="W477" s="57"/>
      <c r="X477" s="57"/>
      <c r="Y477" s="57" t="s">
        <v>21</v>
      </c>
      <c r="Z477" s="57" t="s">
        <v>1339</v>
      </c>
      <c r="AA477" s="59">
        <v>39770</v>
      </c>
      <c r="AB477" s="57" t="s">
        <v>61</v>
      </c>
      <c r="AC477" s="60">
        <v>45864</v>
      </c>
      <c r="AD477" s="59">
        <v>39770</v>
      </c>
      <c r="AE477" s="57" t="s">
        <v>2721</v>
      </c>
      <c r="AF477" s="57" t="s">
        <v>2722</v>
      </c>
    </row>
    <row r="478" spans="1:32">
      <c r="A478" s="57">
        <v>477</v>
      </c>
      <c r="B478" s="58">
        <v>45923.378796296303</v>
      </c>
      <c r="C478" s="58">
        <v>45923.392141203702</v>
      </c>
      <c r="D478" s="57" t="s">
        <v>1014</v>
      </c>
      <c r="E478" s="57" t="s">
        <v>1015</v>
      </c>
      <c r="F478" s="58"/>
      <c r="G478" s="57" t="s">
        <v>623</v>
      </c>
      <c r="H478" s="59">
        <v>1</v>
      </c>
      <c r="I478" s="57"/>
      <c r="J478" s="57"/>
      <c r="K478" s="59"/>
      <c r="L478" s="57"/>
      <c r="M478" s="60"/>
      <c r="N478" s="59"/>
      <c r="O478" s="57"/>
      <c r="P478" s="57"/>
      <c r="Q478" s="57"/>
      <c r="R478" s="57"/>
      <c r="S478" s="59"/>
      <c r="T478" s="57"/>
      <c r="U478" s="60"/>
      <c r="V478" s="59"/>
      <c r="W478" s="57"/>
      <c r="X478" s="57"/>
      <c r="Y478" s="57" t="s">
        <v>20</v>
      </c>
      <c r="Z478" s="57" t="s">
        <v>305</v>
      </c>
      <c r="AA478" s="59">
        <v>21649</v>
      </c>
      <c r="AB478" s="57" t="s">
        <v>61</v>
      </c>
      <c r="AC478" s="60">
        <v>45881</v>
      </c>
      <c r="AD478" s="59">
        <v>21649</v>
      </c>
      <c r="AE478" s="57" t="s">
        <v>2723</v>
      </c>
      <c r="AF478" s="57" t="s">
        <v>2724</v>
      </c>
    </row>
    <row r="479" spans="1:32">
      <c r="A479" s="57">
        <v>478</v>
      </c>
      <c r="B479" s="58">
        <v>45923.380891203713</v>
      </c>
      <c r="C479" s="58">
        <v>45923.39266203704</v>
      </c>
      <c r="D479" s="57" t="s">
        <v>999</v>
      </c>
      <c r="E479" s="57" t="s">
        <v>1000</v>
      </c>
      <c r="F479" s="58"/>
      <c r="G479" s="57" t="s">
        <v>577</v>
      </c>
      <c r="H479" s="59">
        <v>1</v>
      </c>
      <c r="I479" s="57"/>
      <c r="J479" s="57"/>
      <c r="K479" s="59"/>
      <c r="L479" s="57"/>
      <c r="M479" s="60"/>
      <c r="N479" s="59"/>
      <c r="O479" s="57"/>
      <c r="P479" s="57"/>
      <c r="Q479" s="57"/>
      <c r="R479" s="57"/>
      <c r="S479" s="59"/>
      <c r="T479" s="57"/>
      <c r="U479" s="60"/>
      <c r="V479" s="59"/>
      <c r="W479" s="57"/>
      <c r="X479" s="57"/>
      <c r="Y479" s="57" t="s">
        <v>21</v>
      </c>
      <c r="Z479" s="57" t="s">
        <v>249</v>
      </c>
      <c r="AA479" s="59">
        <v>19285</v>
      </c>
      <c r="AB479" s="57" t="s">
        <v>61</v>
      </c>
      <c r="AC479" s="60">
        <v>45911</v>
      </c>
      <c r="AD479" s="59">
        <v>19285</v>
      </c>
      <c r="AE479" s="57" t="s">
        <v>2725</v>
      </c>
      <c r="AF479" s="57" t="s">
        <v>2726</v>
      </c>
    </row>
    <row r="480" spans="1:32">
      <c r="A480" s="57">
        <v>479</v>
      </c>
      <c r="B480" s="58">
        <v>45923.379120370373</v>
      </c>
      <c r="C480" s="58">
        <v>45923.392928240741</v>
      </c>
      <c r="D480" s="57" t="s">
        <v>1617</v>
      </c>
      <c r="E480" s="57" t="s">
        <v>1618</v>
      </c>
      <c r="F480" s="58"/>
      <c r="G480" s="57" t="s">
        <v>625</v>
      </c>
      <c r="H480" s="59">
        <v>2</v>
      </c>
      <c r="I480" s="57"/>
      <c r="J480" s="57"/>
      <c r="K480" s="59"/>
      <c r="L480" s="57"/>
      <c r="M480" s="60"/>
      <c r="N480" s="59"/>
      <c r="O480" s="57"/>
      <c r="P480" s="57"/>
      <c r="Q480" s="57" t="s">
        <v>21</v>
      </c>
      <c r="R480" s="57" t="s">
        <v>307</v>
      </c>
      <c r="S480" s="59">
        <v>18951</v>
      </c>
      <c r="T480" s="57" t="s">
        <v>61</v>
      </c>
      <c r="U480" s="60">
        <v>45920</v>
      </c>
      <c r="V480" s="59">
        <v>18951</v>
      </c>
      <c r="W480" s="57" t="s">
        <v>2727</v>
      </c>
      <c r="X480" s="57" t="s">
        <v>2728</v>
      </c>
      <c r="Y480" s="57" t="s">
        <v>22</v>
      </c>
      <c r="Z480" s="57" t="s">
        <v>349</v>
      </c>
      <c r="AA480" s="59">
        <v>14532</v>
      </c>
      <c r="AB480" s="57" t="s">
        <v>61</v>
      </c>
      <c r="AC480" s="60">
        <v>45866</v>
      </c>
      <c r="AD480" s="59">
        <v>14532</v>
      </c>
      <c r="AE480" s="57" t="s">
        <v>2729</v>
      </c>
      <c r="AF480" s="57" t="s">
        <v>2730</v>
      </c>
    </row>
    <row r="481" spans="1:32">
      <c r="A481" s="57">
        <v>480</v>
      </c>
      <c r="B481" s="58">
        <v>45923.386377314811</v>
      </c>
      <c r="C481" s="58">
        <v>45923.393553240741</v>
      </c>
      <c r="D481" s="57" t="s">
        <v>1717</v>
      </c>
      <c r="E481" s="57" t="s">
        <v>1718</v>
      </c>
      <c r="F481" s="58"/>
      <c r="G481" s="57" t="s">
        <v>570</v>
      </c>
      <c r="H481" s="59">
        <v>2</v>
      </c>
      <c r="I481" s="57"/>
      <c r="J481" s="57"/>
      <c r="K481" s="59"/>
      <c r="L481" s="57"/>
      <c r="M481" s="60"/>
      <c r="N481" s="59"/>
      <c r="O481" s="57"/>
      <c r="P481" s="57"/>
      <c r="Q481" s="57" t="s">
        <v>22</v>
      </c>
      <c r="R481" s="57" t="s">
        <v>242</v>
      </c>
      <c r="S481" s="59">
        <v>9560</v>
      </c>
      <c r="T481" s="57" t="s">
        <v>61</v>
      </c>
      <c r="U481" s="60">
        <v>45848</v>
      </c>
      <c r="V481" s="59">
        <v>9560</v>
      </c>
      <c r="W481" s="57" t="s">
        <v>2731</v>
      </c>
      <c r="X481" s="57" t="s">
        <v>2732</v>
      </c>
      <c r="Y481" s="57" t="s">
        <v>21</v>
      </c>
      <c r="Z481" s="57" t="s">
        <v>312</v>
      </c>
      <c r="AA481" s="59">
        <v>1351</v>
      </c>
      <c r="AB481" s="57" t="s">
        <v>61</v>
      </c>
      <c r="AC481" s="60">
        <v>45883</v>
      </c>
      <c r="AD481" s="59">
        <v>1351</v>
      </c>
      <c r="AE481" s="57" t="s">
        <v>2733</v>
      </c>
      <c r="AF481" s="57" t="s">
        <v>2734</v>
      </c>
    </row>
    <row r="482" spans="1:32">
      <c r="A482" s="57">
        <v>481</v>
      </c>
      <c r="B482" s="58">
        <v>45923.391562500001</v>
      </c>
      <c r="C482" s="58">
        <v>45923.394270833327</v>
      </c>
      <c r="D482" s="57" t="s">
        <v>1485</v>
      </c>
      <c r="E482" s="57" t="s">
        <v>1486</v>
      </c>
      <c r="F482" s="58"/>
      <c r="G482" s="57" t="s">
        <v>479</v>
      </c>
      <c r="H482" s="59">
        <v>1</v>
      </c>
      <c r="I482" s="57"/>
      <c r="J482" s="57"/>
      <c r="K482" s="59"/>
      <c r="L482" s="57"/>
      <c r="M482" s="60"/>
      <c r="N482" s="59"/>
      <c r="O482" s="57"/>
      <c r="P482" s="57"/>
      <c r="Q482" s="57"/>
      <c r="R482" s="57"/>
      <c r="S482" s="59"/>
      <c r="T482" s="57"/>
      <c r="U482" s="60"/>
      <c r="V482" s="59"/>
      <c r="W482" s="57"/>
      <c r="X482" s="57"/>
      <c r="Y482" s="57" t="s">
        <v>21</v>
      </c>
      <c r="Z482" s="57" t="s">
        <v>2735</v>
      </c>
      <c r="AA482" s="59">
        <v>48819</v>
      </c>
      <c r="AB482" s="57" t="s">
        <v>61</v>
      </c>
      <c r="AC482" s="60">
        <v>45870</v>
      </c>
      <c r="AD482" s="59">
        <v>48819</v>
      </c>
      <c r="AE482" s="57" t="s">
        <v>2736</v>
      </c>
      <c r="AF482" s="57" t="s">
        <v>2737</v>
      </c>
    </row>
    <row r="483" spans="1:32">
      <c r="A483" s="57">
        <v>482</v>
      </c>
      <c r="B483" s="58">
        <v>45923.394363425927</v>
      </c>
      <c r="C483" s="58">
        <v>45923.396967592591</v>
      </c>
      <c r="D483" s="57" t="s">
        <v>1105</v>
      </c>
      <c r="E483" s="57" t="s">
        <v>1106</v>
      </c>
      <c r="F483" s="58"/>
      <c r="G483" s="57" t="s">
        <v>652</v>
      </c>
      <c r="H483" s="59">
        <v>1</v>
      </c>
      <c r="I483" s="57"/>
      <c r="J483" s="57"/>
      <c r="K483" s="59"/>
      <c r="L483" s="57"/>
      <c r="M483" s="60"/>
      <c r="N483" s="59"/>
      <c r="O483" s="57"/>
      <c r="P483" s="57"/>
      <c r="Q483" s="57"/>
      <c r="R483" s="57"/>
      <c r="S483" s="59"/>
      <c r="T483" s="57"/>
      <c r="U483" s="60"/>
      <c r="V483" s="59"/>
      <c r="W483" s="57"/>
      <c r="X483" s="57"/>
      <c r="Y483" s="57" t="s">
        <v>21</v>
      </c>
      <c r="Z483" s="57" t="s">
        <v>2738</v>
      </c>
      <c r="AA483" s="59">
        <v>8419</v>
      </c>
      <c r="AB483" s="57" t="s">
        <v>61</v>
      </c>
      <c r="AC483" s="60">
        <v>45884</v>
      </c>
      <c r="AD483" s="59">
        <v>8419</v>
      </c>
      <c r="AE483" s="57" t="s">
        <v>2739</v>
      </c>
      <c r="AF483" s="57" t="s">
        <v>2740</v>
      </c>
    </row>
    <row r="484" spans="1:32">
      <c r="A484" s="57">
        <v>483</v>
      </c>
      <c r="B484" s="58">
        <v>45923.389548611107</v>
      </c>
      <c r="C484" s="58">
        <v>45923.397199074083</v>
      </c>
      <c r="D484" s="57" t="s">
        <v>726</v>
      </c>
      <c r="E484" s="57" t="s">
        <v>727</v>
      </c>
      <c r="F484" s="58"/>
      <c r="G484" s="57" t="s">
        <v>540</v>
      </c>
      <c r="H484" s="59">
        <v>2</v>
      </c>
      <c r="I484" s="57"/>
      <c r="J484" s="57"/>
      <c r="K484" s="59"/>
      <c r="L484" s="57"/>
      <c r="M484" s="60"/>
      <c r="N484" s="59"/>
      <c r="O484" s="57"/>
      <c r="P484" s="57"/>
      <c r="Q484" s="57" t="s">
        <v>20</v>
      </c>
      <c r="R484" s="57" t="s">
        <v>208</v>
      </c>
      <c r="S484" s="59">
        <v>56999</v>
      </c>
      <c r="T484" s="57" t="s">
        <v>61</v>
      </c>
      <c r="U484" s="60">
        <v>45813</v>
      </c>
      <c r="V484" s="59">
        <v>56999</v>
      </c>
      <c r="W484" s="57" t="s">
        <v>2741</v>
      </c>
      <c r="X484" s="57" t="s">
        <v>2742</v>
      </c>
      <c r="Y484" s="57" t="s">
        <v>20</v>
      </c>
      <c r="Z484" s="57" t="s">
        <v>2225</v>
      </c>
      <c r="AA484" s="59">
        <v>47247</v>
      </c>
      <c r="AB484" s="57" t="s">
        <v>61</v>
      </c>
      <c r="AC484" s="60">
        <v>45892</v>
      </c>
      <c r="AD484" s="59">
        <v>47247</v>
      </c>
      <c r="AE484" s="57" t="s">
        <v>2743</v>
      </c>
      <c r="AF484" s="57" t="s">
        <v>2744</v>
      </c>
    </row>
    <row r="485" spans="1:32">
      <c r="A485" s="57">
        <v>484</v>
      </c>
      <c r="B485" s="58">
        <v>45923.379282407397</v>
      </c>
      <c r="C485" s="58">
        <v>45923.398518518523</v>
      </c>
      <c r="D485" s="57" t="s">
        <v>948</v>
      </c>
      <c r="E485" s="57" t="s">
        <v>949</v>
      </c>
      <c r="F485" s="58"/>
      <c r="G485" s="57" t="s">
        <v>517</v>
      </c>
      <c r="H485" s="59">
        <v>1</v>
      </c>
      <c r="I485" s="57"/>
      <c r="J485" s="57"/>
      <c r="K485" s="59"/>
      <c r="L485" s="57"/>
      <c r="M485" s="60"/>
      <c r="N485" s="59"/>
      <c r="O485" s="57"/>
      <c r="P485" s="57"/>
      <c r="Q485" s="57"/>
      <c r="R485" s="57"/>
      <c r="S485" s="59"/>
      <c r="T485" s="57"/>
      <c r="U485" s="60"/>
      <c r="V485" s="59"/>
      <c r="W485" s="57"/>
      <c r="X485" s="57"/>
      <c r="Y485" s="57" t="s">
        <v>21</v>
      </c>
      <c r="Z485" s="57" t="s">
        <v>184</v>
      </c>
      <c r="AA485" s="59">
        <v>52330</v>
      </c>
      <c r="AB485" s="57" t="s">
        <v>61</v>
      </c>
      <c r="AC485" s="60">
        <v>45404</v>
      </c>
      <c r="AD485" s="59">
        <v>52330</v>
      </c>
      <c r="AE485" s="57" t="s">
        <v>2745</v>
      </c>
      <c r="AF485" s="57" t="s">
        <v>2746</v>
      </c>
    </row>
    <row r="486" spans="1:32">
      <c r="A486" s="57">
        <v>485</v>
      </c>
      <c r="B486" s="58">
        <v>45923.378819444442</v>
      </c>
      <c r="C486" s="58">
        <v>45923.401932870373</v>
      </c>
      <c r="D486" s="57" t="s">
        <v>827</v>
      </c>
      <c r="E486" s="57" t="s">
        <v>828</v>
      </c>
      <c r="F486" s="58"/>
      <c r="G486" s="57" t="s">
        <v>566</v>
      </c>
      <c r="H486" s="59">
        <v>3</v>
      </c>
      <c r="I486" s="57" t="s">
        <v>20</v>
      </c>
      <c r="J486" s="57" t="s">
        <v>833</v>
      </c>
      <c r="K486" s="59">
        <v>80993</v>
      </c>
      <c r="L486" s="57" t="s">
        <v>61</v>
      </c>
      <c r="M486" s="60">
        <v>45846</v>
      </c>
      <c r="N486" s="59">
        <v>80993</v>
      </c>
      <c r="O486" s="57" t="s">
        <v>2747</v>
      </c>
      <c r="P486" s="57" t="s">
        <v>2748</v>
      </c>
      <c r="Q486" s="57" t="s">
        <v>22</v>
      </c>
      <c r="R486" s="57" t="s">
        <v>238</v>
      </c>
      <c r="S486" s="59">
        <v>61647</v>
      </c>
      <c r="T486" s="57" t="s">
        <v>61</v>
      </c>
      <c r="U486" s="60">
        <v>45792</v>
      </c>
      <c r="V486" s="59">
        <v>61647</v>
      </c>
      <c r="W486" s="57" t="s">
        <v>2749</v>
      </c>
      <c r="X486" s="57" t="s">
        <v>2750</v>
      </c>
      <c r="Y486" s="57" t="s">
        <v>21</v>
      </c>
      <c r="Z486" s="57" t="s">
        <v>377</v>
      </c>
      <c r="AA486" s="59">
        <v>3045</v>
      </c>
      <c r="AB486" s="57" t="s">
        <v>61</v>
      </c>
      <c r="AC486" s="60">
        <v>45861</v>
      </c>
      <c r="AD486" s="59">
        <v>3045</v>
      </c>
      <c r="AE486" s="57" t="s">
        <v>2751</v>
      </c>
      <c r="AF486" s="57" t="s">
        <v>2752</v>
      </c>
    </row>
    <row r="487" spans="1:32">
      <c r="A487" s="57">
        <v>486</v>
      </c>
      <c r="B487" s="58">
        <v>45923.393425925933</v>
      </c>
      <c r="C487" s="58">
        <v>45923.401979166672</v>
      </c>
      <c r="D487" s="57" t="s">
        <v>840</v>
      </c>
      <c r="E487" s="57" t="s">
        <v>841</v>
      </c>
      <c r="F487" s="58"/>
      <c r="G487" s="57" t="s">
        <v>564</v>
      </c>
      <c r="H487" s="59">
        <v>1</v>
      </c>
      <c r="I487" s="57"/>
      <c r="J487" s="57"/>
      <c r="K487" s="59"/>
      <c r="L487" s="57"/>
      <c r="M487" s="60"/>
      <c r="N487" s="59"/>
      <c r="O487" s="57"/>
      <c r="P487" s="57"/>
      <c r="Q487" s="57"/>
      <c r="R487" s="57"/>
      <c r="S487" s="59"/>
      <c r="T487" s="57"/>
      <c r="U487" s="60"/>
      <c r="V487" s="59"/>
      <c r="W487" s="57"/>
      <c r="X487" s="57"/>
      <c r="Y487" s="57" t="s">
        <v>20</v>
      </c>
      <c r="Z487" s="57" t="s">
        <v>235</v>
      </c>
      <c r="AA487" s="59">
        <v>14601</v>
      </c>
      <c r="AB487" s="57" t="s">
        <v>61</v>
      </c>
      <c r="AC487" s="60">
        <v>45812</v>
      </c>
      <c r="AD487" s="59">
        <v>14601</v>
      </c>
      <c r="AE487" s="57" t="s">
        <v>2753</v>
      </c>
      <c r="AF487" s="57" t="s">
        <v>2754</v>
      </c>
    </row>
    <row r="488" spans="1:32">
      <c r="A488" s="57">
        <v>487</v>
      </c>
      <c r="B488" s="58">
        <v>45923.394675925927</v>
      </c>
      <c r="C488" s="58">
        <v>45923.404548611114</v>
      </c>
      <c r="D488" s="57" t="s">
        <v>2391</v>
      </c>
      <c r="E488" s="57" t="s">
        <v>2392</v>
      </c>
      <c r="F488" s="58"/>
      <c r="G488" s="57" t="s">
        <v>669</v>
      </c>
      <c r="H488" s="59">
        <v>1</v>
      </c>
      <c r="I488" s="57"/>
      <c r="J488" s="57"/>
      <c r="K488" s="59"/>
      <c r="L488" s="57"/>
      <c r="M488" s="60"/>
      <c r="N488" s="59"/>
      <c r="O488" s="57"/>
      <c r="P488" s="57"/>
      <c r="Q488" s="57"/>
      <c r="R488" s="57"/>
      <c r="S488" s="59"/>
      <c r="T488" s="57"/>
      <c r="U488" s="60"/>
      <c r="V488" s="59"/>
      <c r="W488" s="57"/>
      <c r="X488" s="57"/>
      <c r="Y488" s="57" t="s">
        <v>21</v>
      </c>
      <c r="Z488" s="57" t="s">
        <v>380</v>
      </c>
      <c r="AA488" s="59">
        <v>925</v>
      </c>
      <c r="AB488" s="57" t="s">
        <v>61</v>
      </c>
      <c r="AC488" s="60">
        <v>45843</v>
      </c>
      <c r="AD488" s="59">
        <v>925</v>
      </c>
      <c r="AE488" s="57" t="s">
        <v>2755</v>
      </c>
      <c r="AF488" s="57" t="s">
        <v>2756</v>
      </c>
    </row>
    <row r="489" spans="1:32">
      <c r="A489" s="57">
        <v>488</v>
      </c>
      <c r="B489" s="58">
        <v>45923.407268518517</v>
      </c>
      <c r="C489" s="58">
        <v>45923.41034722222</v>
      </c>
      <c r="D489" s="57" t="s">
        <v>1361</v>
      </c>
      <c r="E489" s="57" t="s">
        <v>1362</v>
      </c>
      <c r="F489" s="58"/>
      <c r="G489" s="57" t="s">
        <v>487</v>
      </c>
      <c r="H489" s="59">
        <v>1</v>
      </c>
      <c r="I489" s="57"/>
      <c r="J489" s="57"/>
      <c r="K489" s="59"/>
      <c r="L489" s="57"/>
      <c r="M489" s="60"/>
      <c r="N489" s="59"/>
      <c r="O489" s="57"/>
      <c r="P489" s="57"/>
      <c r="Q489" s="57"/>
      <c r="R489" s="57"/>
      <c r="S489" s="59"/>
      <c r="T489" s="57"/>
      <c r="U489" s="60"/>
      <c r="V489" s="59"/>
      <c r="W489" s="57"/>
      <c r="X489" s="57"/>
      <c r="Y489" s="57" t="s">
        <v>21</v>
      </c>
      <c r="Z489" s="57" t="s">
        <v>153</v>
      </c>
      <c r="AA489" s="59">
        <v>18145</v>
      </c>
      <c r="AB489" s="57" t="s">
        <v>61</v>
      </c>
      <c r="AC489" s="60">
        <v>45911</v>
      </c>
      <c r="AD489" s="59">
        <v>18145</v>
      </c>
      <c r="AE489" s="57" t="s">
        <v>2757</v>
      </c>
      <c r="AF489" s="57" t="s">
        <v>2758</v>
      </c>
    </row>
    <row r="490" spans="1:32">
      <c r="A490" s="57">
        <v>489</v>
      </c>
      <c r="B490" s="58">
        <v>45923.379594907397</v>
      </c>
      <c r="C490" s="58">
        <v>45923.413310185177</v>
      </c>
      <c r="D490" s="57" t="s">
        <v>2131</v>
      </c>
      <c r="E490" s="57" t="s">
        <v>2132</v>
      </c>
      <c r="F490" s="58"/>
      <c r="G490" s="57" t="s">
        <v>651</v>
      </c>
      <c r="H490" s="59">
        <v>1</v>
      </c>
      <c r="I490" s="57"/>
      <c r="J490" s="57"/>
      <c r="K490" s="59"/>
      <c r="L490" s="57"/>
      <c r="M490" s="60"/>
      <c r="N490" s="59"/>
      <c r="O490" s="57"/>
      <c r="P490" s="57"/>
      <c r="Q490" s="57"/>
      <c r="R490" s="57"/>
      <c r="S490" s="59"/>
      <c r="T490" s="57"/>
      <c r="U490" s="60"/>
      <c r="V490" s="59"/>
      <c r="W490" s="57"/>
      <c r="X490" s="57"/>
      <c r="Y490" s="57" t="s">
        <v>21</v>
      </c>
      <c r="Z490" s="57" t="s">
        <v>348</v>
      </c>
      <c r="AA490" s="59">
        <v>13901</v>
      </c>
      <c r="AB490" s="57" t="s">
        <v>61</v>
      </c>
      <c r="AC490" s="60">
        <v>45854</v>
      </c>
      <c r="AD490" s="59">
        <v>13901</v>
      </c>
      <c r="AE490" s="57" t="s">
        <v>2759</v>
      </c>
      <c r="AF490" s="57" t="s">
        <v>2760</v>
      </c>
    </row>
    <row r="491" spans="1:32">
      <c r="A491" s="57">
        <v>490</v>
      </c>
      <c r="B491" s="58">
        <v>45923.394791666673</v>
      </c>
      <c r="C491" s="58">
        <v>45923.413877314822</v>
      </c>
      <c r="D491" s="57" t="s">
        <v>2761</v>
      </c>
      <c r="E491" s="57" t="s">
        <v>2762</v>
      </c>
      <c r="F491" s="58"/>
      <c r="G491" s="57" t="s">
        <v>624</v>
      </c>
      <c r="H491" s="59">
        <v>1</v>
      </c>
      <c r="I491" s="57"/>
      <c r="J491" s="57"/>
      <c r="K491" s="59"/>
      <c r="L491" s="57"/>
      <c r="M491" s="60"/>
      <c r="N491" s="59"/>
      <c r="O491" s="57"/>
      <c r="P491" s="57"/>
      <c r="Q491" s="57"/>
      <c r="R491" s="57"/>
      <c r="S491" s="59"/>
      <c r="T491" s="57"/>
      <c r="U491" s="60"/>
      <c r="V491" s="59"/>
      <c r="W491" s="57"/>
      <c r="X491" s="57"/>
      <c r="Y491" s="57" t="s">
        <v>21</v>
      </c>
      <c r="Z491" s="57" t="s">
        <v>306</v>
      </c>
      <c r="AA491" s="59">
        <v>11539</v>
      </c>
      <c r="AB491" s="57" t="s">
        <v>61</v>
      </c>
      <c r="AC491" s="60">
        <v>45820</v>
      </c>
      <c r="AD491" s="59">
        <v>11539</v>
      </c>
      <c r="AE491" s="57" t="s">
        <v>2763</v>
      </c>
      <c r="AF491" s="57" t="s">
        <v>2764</v>
      </c>
    </row>
    <row r="492" spans="1:32">
      <c r="A492" s="57">
        <v>491</v>
      </c>
      <c r="B492" s="58">
        <v>45923.40892361111</v>
      </c>
      <c r="C492" s="58">
        <v>45923.4140625</v>
      </c>
      <c r="D492" s="57" t="s">
        <v>755</v>
      </c>
      <c r="E492" s="57" t="s">
        <v>756</v>
      </c>
      <c r="F492" s="58"/>
      <c r="G492" s="57" t="s">
        <v>506</v>
      </c>
      <c r="H492" s="59">
        <v>2</v>
      </c>
      <c r="I492" s="57"/>
      <c r="J492" s="57"/>
      <c r="K492" s="59"/>
      <c r="L492" s="57"/>
      <c r="M492" s="60"/>
      <c r="N492" s="59"/>
      <c r="O492" s="57"/>
      <c r="P492" s="57"/>
      <c r="Q492" s="57" t="s">
        <v>20</v>
      </c>
      <c r="R492" s="57" t="s">
        <v>172</v>
      </c>
      <c r="S492" s="59">
        <v>21111</v>
      </c>
      <c r="T492" s="57" t="s">
        <v>61</v>
      </c>
      <c r="U492" s="60">
        <v>45911</v>
      </c>
      <c r="V492" s="59">
        <v>21111</v>
      </c>
      <c r="W492" s="57" t="s">
        <v>2765</v>
      </c>
      <c r="X492" s="57" t="s">
        <v>2766</v>
      </c>
      <c r="Y492" s="57" t="s">
        <v>22</v>
      </c>
      <c r="Z492" s="57" t="s">
        <v>198</v>
      </c>
      <c r="AA492" s="59">
        <v>49843</v>
      </c>
      <c r="AB492" s="57" t="s">
        <v>61</v>
      </c>
      <c r="AC492" s="60">
        <v>45887</v>
      </c>
      <c r="AD492" s="59">
        <v>49843</v>
      </c>
      <c r="AE492" s="57" t="s">
        <v>2767</v>
      </c>
      <c r="AF492" s="57" t="s">
        <v>2768</v>
      </c>
    </row>
    <row r="493" spans="1:32">
      <c r="A493" s="57">
        <v>492</v>
      </c>
      <c r="B493" s="58">
        <v>45923.399768518517</v>
      </c>
      <c r="C493" s="58">
        <v>45923.415717592587</v>
      </c>
      <c r="D493" s="57" t="s">
        <v>1064</v>
      </c>
      <c r="E493" s="57" t="s">
        <v>1065</v>
      </c>
      <c r="F493" s="58"/>
      <c r="G493" s="57" t="s">
        <v>544</v>
      </c>
      <c r="H493" s="59">
        <v>1</v>
      </c>
      <c r="I493" s="57"/>
      <c r="J493" s="57"/>
      <c r="K493" s="59"/>
      <c r="L493" s="57"/>
      <c r="M493" s="60"/>
      <c r="N493" s="59"/>
      <c r="O493" s="57"/>
      <c r="P493" s="57"/>
      <c r="Q493" s="57"/>
      <c r="R493" s="57"/>
      <c r="S493" s="59"/>
      <c r="T493" s="57"/>
      <c r="U493" s="60"/>
      <c r="V493" s="59"/>
      <c r="W493" s="57"/>
      <c r="X493" s="57"/>
      <c r="Y493" s="57" t="s">
        <v>21</v>
      </c>
      <c r="Z493" s="57" t="s">
        <v>213</v>
      </c>
      <c r="AA493" s="59">
        <v>41689</v>
      </c>
      <c r="AB493" s="57" t="s">
        <v>61</v>
      </c>
      <c r="AC493" s="60">
        <v>45810</v>
      </c>
      <c r="AD493" s="59">
        <v>41689</v>
      </c>
      <c r="AE493" s="57" t="s">
        <v>2769</v>
      </c>
      <c r="AF493" s="57" t="s">
        <v>2770</v>
      </c>
    </row>
    <row r="494" spans="1:32">
      <c r="A494" s="57">
        <v>493</v>
      </c>
      <c r="B494" s="58">
        <v>45923.415254629632</v>
      </c>
      <c r="C494" s="58">
        <v>45923.415902777779</v>
      </c>
      <c r="D494" s="57" t="s">
        <v>1780</v>
      </c>
      <c r="E494" s="57" t="s">
        <v>1781</v>
      </c>
      <c r="F494" s="58"/>
      <c r="G494" s="57" t="s">
        <v>599</v>
      </c>
      <c r="H494" s="59">
        <v>2</v>
      </c>
      <c r="I494" s="57"/>
      <c r="J494" s="57"/>
      <c r="K494" s="59"/>
      <c r="L494" s="57"/>
      <c r="M494" s="60"/>
      <c r="N494" s="59"/>
      <c r="O494" s="57"/>
      <c r="P494" s="57"/>
      <c r="Q494" s="57" t="s">
        <v>20</v>
      </c>
      <c r="R494" s="57" t="s">
        <v>1782</v>
      </c>
      <c r="S494" s="59">
        <v>61831</v>
      </c>
      <c r="T494" s="57" t="s">
        <v>61</v>
      </c>
      <c r="U494" s="60">
        <v>45918</v>
      </c>
      <c r="V494" s="59">
        <v>61831</v>
      </c>
      <c r="W494" s="57" t="s">
        <v>2771</v>
      </c>
      <c r="X494" s="57" t="s">
        <v>2772</v>
      </c>
      <c r="Y494" s="57" t="s">
        <v>20</v>
      </c>
      <c r="Z494" s="57" t="s">
        <v>275</v>
      </c>
      <c r="AA494" s="59">
        <v>36260</v>
      </c>
      <c r="AB494" s="57" t="s">
        <v>61</v>
      </c>
      <c r="AC494" s="60">
        <v>45824</v>
      </c>
      <c r="AD494" s="59">
        <v>36260</v>
      </c>
      <c r="AE494" s="57" t="s">
        <v>2773</v>
      </c>
      <c r="AF494" s="57" t="s">
        <v>2774</v>
      </c>
    </row>
    <row r="495" spans="1:32">
      <c r="A495" s="57">
        <v>494</v>
      </c>
      <c r="B495" s="58">
        <v>45923.409571759257</v>
      </c>
      <c r="C495" s="58">
        <v>45923.421736111108</v>
      </c>
      <c r="D495" s="57" t="s">
        <v>1181</v>
      </c>
      <c r="E495" s="57" t="s">
        <v>1182</v>
      </c>
      <c r="F495" s="58"/>
      <c r="G495" s="57" t="s">
        <v>601</v>
      </c>
      <c r="H495" s="59">
        <v>2</v>
      </c>
      <c r="I495" s="57"/>
      <c r="J495" s="57"/>
      <c r="K495" s="59"/>
      <c r="L495" s="57"/>
      <c r="M495" s="60"/>
      <c r="N495" s="59"/>
      <c r="O495" s="57"/>
      <c r="P495" s="57"/>
      <c r="Q495" s="57" t="s">
        <v>22</v>
      </c>
      <c r="R495" s="57" t="s">
        <v>278</v>
      </c>
      <c r="S495" s="59">
        <v>15189</v>
      </c>
      <c r="T495" s="57" t="s">
        <v>61</v>
      </c>
      <c r="U495" s="60">
        <v>45862</v>
      </c>
      <c r="V495" s="59">
        <v>15189</v>
      </c>
      <c r="W495" s="57" t="s">
        <v>2775</v>
      </c>
      <c r="X495" s="57" t="s">
        <v>2776</v>
      </c>
      <c r="Y495" s="57" t="s">
        <v>21</v>
      </c>
      <c r="Z495" s="57" t="s">
        <v>328</v>
      </c>
      <c r="AA495" s="59">
        <v>3014</v>
      </c>
      <c r="AB495" s="57" t="s">
        <v>61</v>
      </c>
      <c r="AC495" s="60">
        <v>45842</v>
      </c>
      <c r="AD495" s="59">
        <v>3014</v>
      </c>
      <c r="AE495" s="57" t="s">
        <v>2777</v>
      </c>
      <c r="AF495" s="57" t="s">
        <v>2778</v>
      </c>
    </row>
    <row r="496" spans="1:32">
      <c r="A496" s="57">
        <v>495</v>
      </c>
      <c r="B496" s="58">
        <v>45923.413090277783</v>
      </c>
      <c r="C496" s="58">
        <v>45923.424467592587</v>
      </c>
      <c r="D496" s="57" t="s">
        <v>836</v>
      </c>
      <c r="E496" s="57" t="s">
        <v>837</v>
      </c>
      <c r="F496" s="58"/>
      <c r="G496" s="57" t="s">
        <v>614</v>
      </c>
      <c r="H496" s="59">
        <v>1</v>
      </c>
      <c r="I496" s="57"/>
      <c r="J496" s="57"/>
      <c r="K496" s="59"/>
      <c r="L496" s="57"/>
      <c r="M496" s="60"/>
      <c r="N496" s="59"/>
      <c r="O496" s="57"/>
      <c r="P496" s="57"/>
      <c r="Q496" s="57"/>
      <c r="R496" s="57"/>
      <c r="S496" s="59"/>
      <c r="T496" s="57"/>
      <c r="U496" s="60"/>
      <c r="V496" s="59"/>
      <c r="W496" s="57"/>
      <c r="X496" s="57"/>
      <c r="Y496" s="57" t="s">
        <v>21</v>
      </c>
      <c r="Z496" s="57" t="s">
        <v>294</v>
      </c>
      <c r="AA496" s="59">
        <v>15297</v>
      </c>
      <c r="AB496" s="57" t="s">
        <v>61</v>
      </c>
      <c r="AC496" s="60">
        <v>45783</v>
      </c>
      <c r="AD496" s="59">
        <v>15297</v>
      </c>
      <c r="AE496" s="57" t="s">
        <v>2779</v>
      </c>
      <c r="AF496" s="57" t="s">
        <v>2780</v>
      </c>
    </row>
    <row r="497" spans="1:32">
      <c r="A497" s="57">
        <v>496</v>
      </c>
      <c r="B497" s="58">
        <v>45923.405960648153</v>
      </c>
      <c r="C497" s="58">
        <v>45923.427905092591</v>
      </c>
      <c r="D497" s="57" t="s">
        <v>813</v>
      </c>
      <c r="E497" s="57" t="s">
        <v>814</v>
      </c>
      <c r="F497" s="58"/>
      <c r="G497" s="57" t="s">
        <v>471</v>
      </c>
      <c r="H497" s="59">
        <v>1</v>
      </c>
      <c r="I497" s="57"/>
      <c r="J497" s="57"/>
      <c r="K497" s="59"/>
      <c r="L497" s="57"/>
      <c r="M497" s="60"/>
      <c r="N497" s="59"/>
      <c r="O497" s="57"/>
      <c r="P497" s="57"/>
      <c r="Q497" s="57"/>
      <c r="R497" s="57"/>
      <c r="S497" s="59"/>
      <c r="T497" s="57"/>
      <c r="U497" s="60"/>
      <c r="V497" s="59"/>
      <c r="W497" s="57"/>
      <c r="X497" s="57"/>
      <c r="Y497" s="57" t="s">
        <v>21</v>
      </c>
      <c r="Z497" s="57" t="s">
        <v>137</v>
      </c>
      <c r="AA497" s="59">
        <v>29807</v>
      </c>
      <c r="AB497" s="57" t="s">
        <v>61</v>
      </c>
      <c r="AC497" s="60">
        <v>45794</v>
      </c>
      <c r="AD497" s="59">
        <v>29807</v>
      </c>
      <c r="AE497" s="57" t="s">
        <v>2781</v>
      </c>
      <c r="AF497" s="57" t="s">
        <v>2782</v>
      </c>
    </row>
    <row r="498" spans="1:32">
      <c r="A498" s="57">
        <v>497</v>
      </c>
      <c r="B498" s="58">
        <v>45923.38863425926</v>
      </c>
      <c r="C498" s="58">
        <v>45923.428240740737</v>
      </c>
      <c r="D498" s="57" t="s">
        <v>2522</v>
      </c>
      <c r="E498" s="57" t="s">
        <v>2523</v>
      </c>
      <c r="F498" s="58"/>
      <c r="G498" s="57" t="s">
        <v>464</v>
      </c>
      <c r="H498" s="59">
        <v>2</v>
      </c>
      <c r="I498" s="57"/>
      <c r="J498" s="57"/>
      <c r="K498" s="59"/>
      <c r="L498" s="57"/>
      <c r="M498" s="60"/>
      <c r="N498" s="59"/>
      <c r="O498" s="57"/>
      <c r="P498" s="57"/>
      <c r="Q498" s="57" t="s">
        <v>22</v>
      </c>
      <c r="R498" s="57" t="s">
        <v>129</v>
      </c>
      <c r="S498" s="59">
        <v>86594</v>
      </c>
      <c r="T498" s="57" t="s">
        <v>61</v>
      </c>
      <c r="U498" s="60">
        <v>45849</v>
      </c>
      <c r="V498" s="59">
        <v>86594</v>
      </c>
      <c r="W498" s="57" t="s">
        <v>2783</v>
      </c>
      <c r="X498" s="57" t="s">
        <v>2784</v>
      </c>
      <c r="Y498" s="57" t="s">
        <v>21</v>
      </c>
      <c r="Z498" s="57" t="s">
        <v>288</v>
      </c>
      <c r="AA498" s="59">
        <v>9968</v>
      </c>
      <c r="AB498" s="57" t="s">
        <v>61</v>
      </c>
      <c r="AC498" s="60">
        <v>45809</v>
      </c>
      <c r="AD498" s="59">
        <v>9968</v>
      </c>
      <c r="AE498" s="57" t="s">
        <v>2785</v>
      </c>
      <c r="AF498" s="57" t="s">
        <v>2786</v>
      </c>
    </row>
    <row r="499" spans="1:32">
      <c r="A499" s="57">
        <v>498</v>
      </c>
      <c r="B499" s="58">
        <v>45923.427106481482</v>
      </c>
      <c r="C499" s="58">
        <v>45923.431250000001</v>
      </c>
      <c r="D499" s="57" t="s">
        <v>893</v>
      </c>
      <c r="E499" s="57" t="s">
        <v>894</v>
      </c>
      <c r="F499" s="58"/>
      <c r="G499" s="57" t="s">
        <v>508</v>
      </c>
      <c r="H499" s="59">
        <v>1</v>
      </c>
      <c r="I499" s="57"/>
      <c r="J499" s="57"/>
      <c r="K499" s="59"/>
      <c r="L499" s="57"/>
      <c r="M499" s="60"/>
      <c r="N499" s="59"/>
      <c r="O499" s="57"/>
      <c r="P499" s="57"/>
      <c r="Q499" s="57"/>
      <c r="R499" s="57"/>
      <c r="S499" s="59"/>
      <c r="T499" s="57"/>
      <c r="U499" s="60"/>
      <c r="V499" s="59"/>
      <c r="W499" s="57"/>
      <c r="X499" s="57"/>
      <c r="Y499" s="57" t="s">
        <v>20</v>
      </c>
      <c r="Z499" s="57" t="s">
        <v>174</v>
      </c>
      <c r="AA499" s="59">
        <v>48388</v>
      </c>
      <c r="AB499" s="57" t="s">
        <v>61</v>
      </c>
      <c r="AC499" s="60">
        <v>45915</v>
      </c>
      <c r="AD499" s="59">
        <v>48388</v>
      </c>
      <c r="AE499" s="57" t="s">
        <v>2787</v>
      </c>
      <c r="AF499" s="57" t="s">
        <v>2788</v>
      </c>
    </row>
    <row r="500" spans="1:32">
      <c r="A500" s="57">
        <v>499</v>
      </c>
      <c r="B500" s="58">
        <v>45923.430046296293</v>
      </c>
      <c r="C500" s="58">
        <v>45923.434351851851</v>
      </c>
      <c r="D500" s="57" t="s">
        <v>744</v>
      </c>
      <c r="E500" s="57" t="s">
        <v>745</v>
      </c>
      <c r="F500" s="58"/>
      <c r="G500" s="57" t="s">
        <v>572</v>
      </c>
      <c r="H500" s="59">
        <v>1</v>
      </c>
      <c r="I500" s="57"/>
      <c r="J500" s="57"/>
      <c r="K500" s="59"/>
      <c r="L500" s="57"/>
      <c r="M500" s="60"/>
      <c r="N500" s="59"/>
      <c r="O500" s="57"/>
      <c r="P500" s="57"/>
      <c r="Q500" s="57"/>
      <c r="R500" s="57"/>
      <c r="S500" s="59"/>
      <c r="T500" s="57"/>
      <c r="U500" s="60"/>
      <c r="V500" s="59"/>
      <c r="W500" s="57"/>
      <c r="X500" s="57"/>
      <c r="Y500" s="57" t="s">
        <v>21</v>
      </c>
      <c r="Z500" s="57" t="s">
        <v>244</v>
      </c>
      <c r="AA500" s="59">
        <v>19546</v>
      </c>
      <c r="AB500" s="57" t="s">
        <v>61</v>
      </c>
      <c r="AC500" s="60">
        <v>45841</v>
      </c>
      <c r="AD500" s="59">
        <v>19546</v>
      </c>
      <c r="AE500" s="57" t="s">
        <v>2789</v>
      </c>
      <c r="AF500" s="57" t="s">
        <v>2790</v>
      </c>
    </row>
    <row r="501" spans="1:32">
      <c r="A501" s="57">
        <v>500</v>
      </c>
      <c r="B501" s="58">
        <v>45923.431550925918</v>
      </c>
      <c r="C501" s="58">
        <v>45923.434548611112</v>
      </c>
      <c r="D501" s="57" t="s">
        <v>897</v>
      </c>
      <c r="E501" s="57" t="s">
        <v>898</v>
      </c>
      <c r="F501" s="58"/>
      <c r="G501" s="57" t="s">
        <v>697</v>
      </c>
      <c r="H501" s="59">
        <v>2</v>
      </c>
      <c r="I501" s="57"/>
      <c r="J501" s="57"/>
      <c r="K501" s="59"/>
      <c r="L501" s="57"/>
      <c r="M501" s="60"/>
      <c r="N501" s="59"/>
      <c r="O501" s="57"/>
      <c r="P501" s="57"/>
      <c r="Q501" s="57" t="s">
        <v>21</v>
      </c>
      <c r="R501" s="57" t="s">
        <v>899</v>
      </c>
      <c r="S501" s="59">
        <v>54744</v>
      </c>
      <c r="T501" s="57" t="s">
        <v>61</v>
      </c>
      <c r="U501" s="60">
        <v>45909</v>
      </c>
      <c r="V501" s="59">
        <v>54744</v>
      </c>
      <c r="W501" s="57" t="s">
        <v>2791</v>
      </c>
      <c r="X501" s="57" t="s">
        <v>2792</v>
      </c>
      <c r="Y501" s="57" t="s">
        <v>20</v>
      </c>
      <c r="Z501" s="57" t="s">
        <v>902</v>
      </c>
      <c r="AA501" s="59">
        <v>17225</v>
      </c>
      <c r="AB501" s="57" t="s">
        <v>61</v>
      </c>
      <c r="AC501" s="60">
        <v>45812</v>
      </c>
      <c r="AD501" s="59">
        <v>17225</v>
      </c>
      <c r="AE501" s="57" t="s">
        <v>2793</v>
      </c>
      <c r="AF501" s="57" t="s">
        <v>2794</v>
      </c>
    </row>
    <row r="502" spans="1:32">
      <c r="A502" s="57">
        <v>501</v>
      </c>
      <c r="B502" s="58">
        <v>45923.430104166669</v>
      </c>
      <c r="C502" s="58">
        <v>45923.436041666668</v>
      </c>
      <c r="D502" s="57" t="s">
        <v>1419</v>
      </c>
      <c r="E502" s="57" t="s">
        <v>1420</v>
      </c>
      <c r="F502" s="58"/>
      <c r="G502" s="57" t="s">
        <v>603</v>
      </c>
      <c r="H502" s="59">
        <v>1</v>
      </c>
      <c r="I502" s="57"/>
      <c r="J502" s="57"/>
      <c r="K502" s="59"/>
      <c r="L502" s="57"/>
      <c r="M502" s="60"/>
      <c r="N502" s="59"/>
      <c r="O502" s="57"/>
      <c r="P502" s="57"/>
      <c r="Q502" s="57"/>
      <c r="R502" s="57"/>
      <c r="S502" s="59"/>
      <c r="T502" s="57"/>
      <c r="U502" s="60"/>
      <c r="V502" s="59"/>
      <c r="W502" s="57"/>
      <c r="X502" s="57"/>
      <c r="Y502" s="57" t="s">
        <v>21</v>
      </c>
      <c r="Z502" s="57" t="s">
        <v>280</v>
      </c>
      <c r="AA502" s="59">
        <v>20021</v>
      </c>
      <c r="AB502" s="57" t="s">
        <v>61</v>
      </c>
      <c r="AC502" s="60">
        <v>45916</v>
      </c>
      <c r="AD502" s="59">
        <v>20021</v>
      </c>
      <c r="AE502" s="57" t="s">
        <v>2795</v>
      </c>
      <c r="AF502" s="57" t="s">
        <v>2796</v>
      </c>
    </row>
    <row r="503" spans="1:32">
      <c r="A503" s="57">
        <v>502</v>
      </c>
      <c r="B503" s="58">
        <v>45923.40730324074</v>
      </c>
      <c r="C503" s="58">
        <v>45923.4371875</v>
      </c>
      <c r="D503" s="57" t="s">
        <v>1633</v>
      </c>
      <c r="E503" s="57" t="s">
        <v>1634</v>
      </c>
      <c r="F503" s="58"/>
      <c r="G503" s="57" t="s">
        <v>679</v>
      </c>
      <c r="H503" s="59">
        <v>2</v>
      </c>
      <c r="I503" s="57"/>
      <c r="J503" s="57"/>
      <c r="K503" s="59"/>
      <c r="L503" s="57"/>
      <c r="M503" s="60"/>
      <c r="N503" s="59"/>
      <c r="O503" s="57"/>
      <c r="P503" s="57"/>
      <c r="Q503" s="57" t="s">
        <v>20</v>
      </c>
      <c r="R503" s="57" t="s">
        <v>2641</v>
      </c>
      <c r="S503" s="59">
        <v>30017</v>
      </c>
      <c r="T503" s="57" t="s">
        <v>61</v>
      </c>
      <c r="U503" s="60">
        <v>45775</v>
      </c>
      <c r="V503" s="59">
        <v>30017</v>
      </c>
      <c r="W503" s="57" t="s">
        <v>2797</v>
      </c>
      <c r="X503" s="57" t="s">
        <v>2798</v>
      </c>
      <c r="Y503" s="57" t="s">
        <v>21</v>
      </c>
      <c r="Z503" s="57" t="s">
        <v>393</v>
      </c>
      <c r="AA503" s="59">
        <v>1478</v>
      </c>
      <c r="AB503" s="57" t="s">
        <v>61</v>
      </c>
      <c r="AC503" s="60">
        <v>45917</v>
      </c>
      <c r="AD503" s="59">
        <v>1478</v>
      </c>
      <c r="AE503" s="57" t="s">
        <v>2799</v>
      </c>
      <c r="AF503" s="57" t="s">
        <v>2800</v>
      </c>
    </row>
    <row r="504" spans="1:32">
      <c r="A504" s="57">
        <v>503</v>
      </c>
      <c r="B504" s="58">
        <v>45923.429571759261</v>
      </c>
      <c r="C504" s="58">
        <v>45923.441550925927</v>
      </c>
      <c r="D504" s="57" t="s">
        <v>849</v>
      </c>
      <c r="E504" s="57" t="s">
        <v>850</v>
      </c>
      <c r="F504" s="58"/>
      <c r="G504" s="57" t="s">
        <v>627</v>
      </c>
      <c r="H504" s="59">
        <v>1</v>
      </c>
      <c r="I504" s="57"/>
      <c r="J504" s="57"/>
      <c r="K504" s="59"/>
      <c r="L504" s="57"/>
      <c r="M504" s="60"/>
      <c r="N504" s="59"/>
      <c r="O504" s="57"/>
      <c r="P504" s="57"/>
      <c r="Q504" s="57"/>
      <c r="R504" s="57"/>
      <c r="S504" s="59"/>
      <c r="T504" s="57"/>
      <c r="U504" s="60"/>
      <c r="V504" s="59"/>
      <c r="W504" s="57"/>
      <c r="X504" s="57"/>
      <c r="Y504" s="57" t="s">
        <v>21</v>
      </c>
      <c r="Z504" s="57" t="s">
        <v>310</v>
      </c>
      <c r="AA504" s="59">
        <v>7446</v>
      </c>
      <c r="AB504" s="57" t="s">
        <v>61</v>
      </c>
      <c r="AC504" s="60">
        <v>45827</v>
      </c>
      <c r="AD504" s="59">
        <v>7446</v>
      </c>
      <c r="AE504" s="57" t="s">
        <v>2801</v>
      </c>
      <c r="AF504" s="57" t="s">
        <v>2802</v>
      </c>
    </row>
    <row r="505" spans="1:32">
      <c r="A505" s="57">
        <v>504</v>
      </c>
      <c r="B505" s="58">
        <v>45923.412268518521</v>
      </c>
      <c r="C505" s="58">
        <v>45923.441944444443</v>
      </c>
      <c r="D505" s="57" t="s">
        <v>792</v>
      </c>
      <c r="E505" s="57" t="s">
        <v>793</v>
      </c>
      <c r="F505" s="58"/>
      <c r="G505" s="57" t="s">
        <v>555</v>
      </c>
      <c r="H505" s="59">
        <v>2</v>
      </c>
      <c r="I505" s="57"/>
      <c r="J505" s="57"/>
      <c r="K505" s="59"/>
      <c r="L505" s="57"/>
      <c r="M505" s="60"/>
      <c r="N505" s="59"/>
      <c r="O505" s="57"/>
      <c r="P505" s="57"/>
      <c r="Q505" s="57" t="s">
        <v>22</v>
      </c>
      <c r="R505" s="57" t="s">
        <v>224</v>
      </c>
      <c r="S505" s="59">
        <v>37290</v>
      </c>
      <c r="T505" s="57" t="s">
        <v>61</v>
      </c>
      <c r="U505" s="60">
        <v>45825</v>
      </c>
      <c r="V505" s="59">
        <v>37290</v>
      </c>
      <c r="W505" s="57" t="s">
        <v>2803</v>
      </c>
      <c r="X505" s="57" t="s">
        <v>2804</v>
      </c>
      <c r="Y505" s="57" t="s">
        <v>21</v>
      </c>
      <c r="Z505" s="57" t="s">
        <v>796</v>
      </c>
      <c r="AA505" s="59">
        <v>18117</v>
      </c>
      <c r="AB505" s="57" t="s">
        <v>61</v>
      </c>
      <c r="AC505" s="60">
        <v>45825</v>
      </c>
      <c r="AD505" s="59">
        <v>18117</v>
      </c>
      <c r="AE505" s="57" t="s">
        <v>2805</v>
      </c>
      <c r="AF505" s="57" t="s">
        <v>2806</v>
      </c>
    </row>
    <row r="506" spans="1:32">
      <c r="A506" s="57">
        <v>505</v>
      </c>
      <c r="B506" s="58">
        <v>45923.387002314812</v>
      </c>
      <c r="C506" s="58">
        <v>45923.452465277784</v>
      </c>
      <c r="D506" s="57" t="s">
        <v>1120</v>
      </c>
      <c r="E506" s="57" t="s">
        <v>1121</v>
      </c>
      <c r="F506" s="58"/>
      <c r="G506" s="57" t="s">
        <v>556</v>
      </c>
      <c r="H506" s="59">
        <v>2</v>
      </c>
      <c r="I506" s="57"/>
      <c r="J506" s="57"/>
      <c r="K506" s="59"/>
      <c r="L506" s="57"/>
      <c r="M506" s="60"/>
      <c r="N506" s="59"/>
      <c r="O506" s="57"/>
      <c r="P506" s="57"/>
      <c r="Q506" s="57" t="s">
        <v>22</v>
      </c>
      <c r="R506" s="57" t="s">
        <v>226</v>
      </c>
      <c r="S506" s="59">
        <v>51300</v>
      </c>
      <c r="T506" s="57" t="s">
        <v>61</v>
      </c>
      <c r="U506" s="60">
        <v>45876</v>
      </c>
      <c r="V506" s="59">
        <v>51300</v>
      </c>
      <c r="W506" s="57" t="s">
        <v>2807</v>
      </c>
      <c r="X506" s="57" t="s">
        <v>2808</v>
      </c>
      <c r="Y506" s="57" t="s">
        <v>21</v>
      </c>
      <c r="Z506" s="57" t="s">
        <v>1122</v>
      </c>
      <c r="AA506" s="59">
        <v>22569</v>
      </c>
      <c r="AB506" s="57" t="s">
        <v>61</v>
      </c>
      <c r="AC506" s="60">
        <v>45770</v>
      </c>
      <c r="AD506" s="59">
        <v>22569</v>
      </c>
      <c r="AE506" s="57" t="s">
        <v>2809</v>
      </c>
      <c r="AF506" s="57" t="s">
        <v>2810</v>
      </c>
    </row>
    <row r="507" spans="1:32">
      <c r="A507" s="57">
        <v>506</v>
      </c>
      <c r="B507" s="58">
        <v>45923.389930555553</v>
      </c>
      <c r="C507" s="58">
        <v>45923.454872685194</v>
      </c>
      <c r="D507" s="57" t="s">
        <v>2440</v>
      </c>
      <c r="E507" s="57" t="s">
        <v>2441</v>
      </c>
      <c r="F507" s="58"/>
      <c r="G507" s="57" t="s">
        <v>588</v>
      </c>
      <c r="H507" s="59">
        <v>1</v>
      </c>
      <c r="I507" s="57"/>
      <c r="J507" s="57"/>
      <c r="K507" s="59"/>
      <c r="L507" s="57"/>
      <c r="M507" s="60"/>
      <c r="N507" s="59"/>
      <c r="O507" s="57"/>
      <c r="P507" s="57"/>
      <c r="Q507" s="57"/>
      <c r="R507" s="57"/>
      <c r="S507" s="59"/>
      <c r="T507" s="57"/>
      <c r="U507" s="60"/>
      <c r="V507" s="59"/>
      <c r="W507" s="57"/>
      <c r="X507" s="57"/>
      <c r="Y507" s="57" t="s">
        <v>21</v>
      </c>
      <c r="Z507" s="57" t="s">
        <v>262</v>
      </c>
      <c r="AA507" s="59">
        <v>42472</v>
      </c>
      <c r="AB507" s="57" t="s">
        <v>61</v>
      </c>
      <c r="AC507" s="60">
        <v>45825</v>
      </c>
      <c r="AD507" s="59">
        <v>42472</v>
      </c>
      <c r="AE507" s="57" t="s">
        <v>2811</v>
      </c>
      <c r="AF507" s="57" t="s">
        <v>2812</v>
      </c>
    </row>
    <row r="508" spans="1:32">
      <c r="A508" s="57">
        <v>507</v>
      </c>
      <c r="B508" s="58">
        <v>45923.45144675926</v>
      </c>
      <c r="C508" s="58">
        <v>45923.457337962973</v>
      </c>
      <c r="D508" s="57" t="s">
        <v>769</v>
      </c>
      <c r="E508" s="57" t="s">
        <v>770</v>
      </c>
      <c r="F508" s="58"/>
      <c r="G508" s="57" t="s">
        <v>582</v>
      </c>
      <c r="H508" s="59">
        <v>2</v>
      </c>
      <c r="I508" s="57"/>
      <c r="J508" s="57"/>
      <c r="K508" s="59"/>
      <c r="L508" s="57"/>
      <c r="M508" s="60"/>
      <c r="N508" s="59"/>
      <c r="O508" s="57"/>
      <c r="P508" s="57"/>
      <c r="Q508" s="57" t="s">
        <v>21</v>
      </c>
      <c r="R508" s="57" t="s">
        <v>256</v>
      </c>
      <c r="S508" s="59">
        <v>42730</v>
      </c>
      <c r="T508" s="57" t="s">
        <v>61</v>
      </c>
      <c r="U508" s="60">
        <v>45841</v>
      </c>
      <c r="V508" s="59">
        <v>42730</v>
      </c>
      <c r="W508" s="57" t="s">
        <v>2813</v>
      </c>
      <c r="X508" s="57" t="s">
        <v>2814</v>
      </c>
      <c r="Y508" s="57" t="s">
        <v>21</v>
      </c>
      <c r="Z508" s="57" t="s">
        <v>2815</v>
      </c>
      <c r="AA508" s="59">
        <v>38733</v>
      </c>
      <c r="AB508" s="57" t="s">
        <v>61</v>
      </c>
      <c r="AC508" s="60">
        <v>45861</v>
      </c>
      <c r="AD508" s="59">
        <v>38733</v>
      </c>
      <c r="AE508" s="57" t="s">
        <v>2816</v>
      </c>
      <c r="AF508" s="57" t="s">
        <v>2817</v>
      </c>
    </row>
    <row r="509" spans="1:32">
      <c r="A509" s="57">
        <v>508</v>
      </c>
      <c r="B509" s="58">
        <v>45923.456655092603</v>
      </c>
      <c r="C509" s="58">
        <v>45923.460312499999</v>
      </c>
      <c r="D509" s="57" t="s">
        <v>1498</v>
      </c>
      <c r="E509" s="57" t="s">
        <v>1499</v>
      </c>
      <c r="F509" s="58"/>
      <c r="G509" s="57" t="s">
        <v>616</v>
      </c>
      <c r="H509" s="59">
        <v>1</v>
      </c>
      <c r="I509" s="57"/>
      <c r="J509" s="57"/>
      <c r="K509" s="59"/>
      <c r="L509" s="57"/>
      <c r="M509" s="60"/>
      <c r="N509" s="59"/>
      <c r="O509" s="57"/>
      <c r="P509" s="57"/>
      <c r="Q509" s="57"/>
      <c r="R509" s="57"/>
      <c r="S509" s="59"/>
      <c r="T509" s="57"/>
      <c r="U509" s="60"/>
      <c r="V509" s="59"/>
      <c r="W509" s="57"/>
      <c r="X509" s="57"/>
      <c r="Y509" s="57" t="s">
        <v>21</v>
      </c>
      <c r="Z509" s="57" t="s">
        <v>296</v>
      </c>
      <c r="AA509" s="59">
        <v>13687</v>
      </c>
      <c r="AB509" s="57" t="s">
        <v>61</v>
      </c>
      <c r="AC509" s="60">
        <v>45833</v>
      </c>
      <c r="AD509" s="59">
        <v>13687</v>
      </c>
      <c r="AE509" s="57" t="s">
        <v>2818</v>
      </c>
      <c r="AF509" s="57" t="s">
        <v>2819</v>
      </c>
    </row>
    <row r="510" spans="1:32">
      <c r="A510" s="57">
        <v>509</v>
      </c>
      <c r="B510" s="58">
        <v>45923.462581018517</v>
      </c>
      <c r="C510" s="58">
        <v>45923.46707175926</v>
      </c>
      <c r="D510" s="57" t="s">
        <v>1187</v>
      </c>
      <c r="E510" s="57" t="s">
        <v>1188</v>
      </c>
      <c r="F510" s="58"/>
      <c r="G510" s="57" t="s">
        <v>490</v>
      </c>
      <c r="H510" s="59">
        <v>2</v>
      </c>
      <c r="I510" s="57"/>
      <c r="J510" s="57"/>
      <c r="K510" s="59"/>
      <c r="L510" s="57"/>
      <c r="M510" s="60"/>
      <c r="N510" s="59"/>
      <c r="O510" s="57"/>
      <c r="P510" s="57"/>
      <c r="Q510" s="57" t="s">
        <v>21</v>
      </c>
      <c r="R510" s="57" t="s">
        <v>156</v>
      </c>
      <c r="S510" s="59">
        <v>17625</v>
      </c>
      <c r="T510" s="57" t="s">
        <v>61</v>
      </c>
      <c r="U510" s="60">
        <v>45784</v>
      </c>
      <c r="V510" s="59">
        <v>17625</v>
      </c>
      <c r="W510" s="57" t="s">
        <v>2820</v>
      </c>
      <c r="X510" s="57" t="s">
        <v>2821</v>
      </c>
      <c r="Y510" s="57" t="s">
        <v>22</v>
      </c>
      <c r="Z510" s="57" t="s">
        <v>277</v>
      </c>
      <c r="AA510" s="59">
        <v>17920</v>
      </c>
      <c r="AB510" s="57" t="s">
        <v>61</v>
      </c>
      <c r="AC510" s="60">
        <v>45923</v>
      </c>
      <c r="AD510" s="59">
        <v>17920</v>
      </c>
      <c r="AE510" s="57" t="s">
        <v>2822</v>
      </c>
      <c r="AF510" s="57" t="s">
        <v>2823</v>
      </c>
    </row>
    <row r="511" spans="1:32">
      <c r="A511" s="57">
        <v>510</v>
      </c>
      <c r="B511" s="58">
        <v>45923.395069444443</v>
      </c>
      <c r="C511" s="58">
        <v>45923.472326388888</v>
      </c>
      <c r="D511" s="57" t="s">
        <v>981</v>
      </c>
      <c r="E511" s="57" t="s">
        <v>982</v>
      </c>
      <c r="F511" s="58"/>
      <c r="G511" s="57" t="s">
        <v>628</v>
      </c>
      <c r="H511" s="59">
        <v>2</v>
      </c>
      <c r="I511" s="57"/>
      <c r="J511" s="57"/>
      <c r="K511" s="59"/>
      <c r="L511" s="57"/>
      <c r="M511" s="60"/>
      <c r="N511" s="59"/>
      <c r="O511" s="57"/>
      <c r="P511" s="57"/>
      <c r="Q511" s="57" t="s">
        <v>21</v>
      </c>
      <c r="R511" s="57" t="s">
        <v>314</v>
      </c>
      <c r="S511" s="59">
        <v>7005</v>
      </c>
      <c r="T511" s="57" t="s">
        <v>61</v>
      </c>
      <c r="U511" s="60">
        <v>45860</v>
      </c>
      <c r="V511" s="59">
        <v>7005</v>
      </c>
      <c r="W511" s="57" t="s">
        <v>2824</v>
      </c>
      <c r="X511" s="57" t="s">
        <v>2825</v>
      </c>
      <c r="Y511" s="57" t="s">
        <v>22</v>
      </c>
      <c r="Z511" s="57" t="s">
        <v>390</v>
      </c>
      <c r="AA511" s="59">
        <v>1360</v>
      </c>
      <c r="AB511" s="57" t="s">
        <v>61</v>
      </c>
      <c r="AC511" s="60">
        <v>45923</v>
      </c>
      <c r="AD511" s="59">
        <v>1360</v>
      </c>
      <c r="AE511" s="57" t="s">
        <v>2826</v>
      </c>
      <c r="AF511" s="57" t="s">
        <v>2827</v>
      </c>
    </row>
    <row r="512" spans="1:32">
      <c r="A512" s="57">
        <v>511</v>
      </c>
      <c r="B512" s="58">
        <v>45923.468854166669</v>
      </c>
      <c r="C512" s="58">
        <v>45923.476122685177</v>
      </c>
      <c r="D512" s="57" t="s">
        <v>734</v>
      </c>
      <c r="E512" s="57" t="s">
        <v>735</v>
      </c>
      <c r="F512" s="58"/>
      <c r="G512" s="57" t="s">
        <v>691</v>
      </c>
      <c r="H512" s="59">
        <v>1</v>
      </c>
      <c r="I512" s="57"/>
      <c r="J512" s="57"/>
      <c r="K512" s="59"/>
      <c r="L512" s="57"/>
      <c r="M512" s="60"/>
      <c r="N512" s="59"/>
      <c r="O512" s="57"/>
      <c r="P512" s="57"/>
      <c r="Q512" s="57"/>
      <c r="R512" s="57"/>
      <c r="S512" s="59"/>
      <c r="T512" s="57"/>
      <c r="U512" s="60"/>
      <c r="V512" s="59"/>
      <c r="W512" s="57"/>
      <c r="X512" s="57"/>
      <c r="Y512" s="57" t="s">
        <v>20</v>
      </c>
      <c r="Z512" s="57" t="s">
        <v>736</v>
      </c>
      <c r="AA512" s="59">
        <v>73300</v>
      </c>
      <c r="AB512" s="57" t="s">
        <v>61</v>
      </c>
      <c r="AC512" s="60">
        <v>45857</v>
      </c>
      <c r="AD512" s="59">
        <v>73300</v>
      </c>
      <c r="AE512" s="57" t="s">
        <v>2828</v>
      </c>
      <c r="AF512" s="57" t="s">
        <v>2829</v>
      </c>
    </row>
    <row r="513" spans="1:32">
      <c r="A513" s="57">
        <v>512</v>
      </c>
      <c r="B513" s="58">
        <v>45923.473356481481</v>
      </c>
      <c r="C513" s="58">
        <v>45923.476550925923</v>
      </c>
      <c r="D513" s="57" t="s">
        <v>1547</v>
      </c>
      <c r="E513" s="57" t="s">
        <v>1548</v>
      </c>
      <c r="F513" s="58"/>
      <c r="G513" s="57" t="s">
        <v>664</v>
      </c>
      <c r="H513" s="59">
        <v>1</v>
      </c>
      <c r="I513" s="57"/>
      <c r="J513" s="57"/>
      <c r="K513" s="59"/>
      <c r="L513" s="57"/>
      <c r="M513" s="60"/>
      <c r="N513" s="59"/>
      <c r="O513" s="57"/>
      <c r="P513" s="57"/>
      <c r="Q513" s="57"/>
      <c r="R513" s="57"/>
      <c r="S513" s="59"/>
      <c r="T513" s="57"/>
      <c r="U513" s="60"/>
      <c r="V513" s="59"/>
      <c r="W513" s="57"/>
      <c r="X513" s="57"/>
      <c r="Y513" s="57" t="s">
        <v>21</v>
      </c>
      <c r="Z513" s="57" t="s">
        <v>366</v>
      </c>
      <c r="AA513" s="59">
        <v>5250</v>
      </c>
      <c r="AB513" s="57" t="s">
        <v>61</v>
      </c>
      <c r="AC513" s="60">
        <v>45915</v>
      </c>
      <c r="AD513" s="59">
        <v>5250</v>
      </c>
      <c r="AE513" s="57" t="s">
        <v>2830</v>
      </c>
      <c r="AF513" s="57" t="s">
        <v>2831</v>
      </c>
    </row>
    <row r="514" spans="1:32">
      <c r="A514" s="57">
        <v>513</v>
      </c>
      <c r="B514" s="58">
        <v>45923.478402777779</v>
      </c>
      <c r="C514" s="58">
        <v>45923.483090277783</v>
      </c>
      <c r="D514" s="57" t="s">
        <v>1026</v>
      </c>
      <c r="E514" s="57" t="s">
        <v>1027</v>
      </c>
      <c r="F514" s="58"/>
      <c r="G514" s="57" t="s">
        <v>478</v>
      </c>
      <c r="H514" s="59">
        <v>1</v>
      </c>
      <c r="I514" s="57"/>
      <c r="J514" s="57"/>
      <c r="K514" s="59"/>
      <c r="L514" s="57"/>
      <c r="M514" s="60"/>
      <c r="N514" s="59"/>
      <c r="O514" s="57"/>
      <c r="P514" s="57"/>
      <c r="Q514" s="57"/>
      <c r="R514" s="57"/>
      <c r="S514" s="59"/>
      <c r="T514" s="57"/>
      <c r="U514" s="60"/>
      <c r="V514" s="59"/>
      <c r="W514" s="57"/>
      <c r="X514" s="57"/>
      <c r="Y514" s="57" t="s">
        <v>20</v>
      </c>
      <c r="Z514" s="57" t="s">
        <v>144</v>
      </c>
      <c r="AA514" s="59">
        <v>57960</v>
      </c>
      <c r="AB514" s="57" t="s">
        <v>61</v>
      </c>
      <c r="AC514" s="60">
        <v>45912</v>
      </c>
      <c r="AD514" s="59">
        <v>57960</v>
      </c>
      <c r="AE514" s="57" t="s">
        <v>2832</v>
      </c>
      <c r="AF514" s="57" t="s">
        <v>2833</v>
      </c>
    </row>
    <row r="515" spans="1:32">
      <c r="A515" s="57">
        <v>514</v>
      </c>
      <c r="B515" s="58">
        <v>45923.499594907407</v>
      </c>
      <c r="C515" s="58">
        <v>45923.504004629627</v>
      </c>
      <c r="D515" s="57" t="s">
        <v>2002</v>
      </c>
      <c r="E515" s="57" t="s">
        <v>2003</v>
      </c>
      <c r="F515" s="58"/>
      <c r="G515" s="57" t="s">
        <v>454</v>
      </c>
      <c r="H515" s="59">
        <v>1</v>
      </c>
      <c r="I515" s="57"/>
      <c r="J515" s="57"/>
      <c r="K515" s="59"/>
      <c r="L515" s="57"/>
      <c r="M515" s="60"/>
      <c r="N515" s="59"/>
      <c r="O515" s="57"/>
      <c r="P515" s="57"/>
      <c r="Q515" s="57"/>
      <c r="R515" s="57"/>
      <c r="S515" s="59"/>
      <c r="T515" s="57"/>
      <c r="U515" s="60"/>
      <c r="V515" s="59"/>
      <c r="W515" s="57"/>
      <c r="X515" s="57"/>
      <c r="Y515" s="57" t="s">
        <v>21</v>
      </c>
      <c r="Z515" s="57" t="s">
        <v>120</v>
      </c>
      <c r="AA515" s="59">
        <v>99063</v>
      </c>
      <c r="AB515" s="57" t="s">
        <v>61</v>
      </c>
      <c r="AC515" s="60">
        <v>45918</v>
      </c>
      <c r="AD515" s="59">
        <v>99063</v>
      </c>
      <c r="AE515" s="57" t="s">
        <v>2834</v>
      </c>
      <c r="AF515" s="57" t="s">
        <v>2835</v>
      </c>
    </row>
    <row r="516" spans="1:32">
      <c r="A516" s="57">
        <v>515</v>
      </c>
      <c r="B516" s="58">
        <v>45923.536319444444</v>
      </c>
      <c r="C516" s="58">
        <v>45923.538553240738</v>
      </c>
      <c r="D516" s="57" t="s">
        <v>1097</v>
      </c>
      <c r="E516" s="57" t="s">
        <v>1098</v>
      </c>
      <c r="F516" s="58"/>
      <c r="G516" s="57" t="s">
        <v>495</v>
      </c>
      <c r="H516" s="59">
        <v>1</v>
      </c>
      <c r="I516" s="57"/>
      <c r="J516" s="57"/>
      <c r="K516" s="59"/>
      <c r="L516" s="57"/>
      <c r="M516" s="60"/>
      <c r="N516" s="59"/>
      <c r="O516" s="57"/>
      <c r="P516" s="57"/>
      <c r="Q516" s="57"/>
      <c r="R516" s="57"/>
      <c r="S516" s="59"/>
      <c r="T516" s="57"/>
      <c r="U516" s="60"/>
      <c r="V516" s="59"/>
      <c r="W516" s="57"/>
      <c r="X516" s="57"/>
      <c r="Y516" s="57" t="s">
        <v>21</v>
      </c>
      <c r="Z516" s="57" t="s">
        <v>161</v>
      </c>
      <c r="AA516" s="59">
        <v>27581</v>
      </c>
      <c r="AB516" s="57" t="s">
        <v>61</v>
      </c>
      <c r="AC516" s="60">
        <v>45841</v>
      </c>
      <c r="AD516" s="59">
        <v>27581</v>
      </c>
      <c r="AE516" s="57" t="s">
        <v>2836</v>
      </c>
      <c r="AF516" s="57" t="s">
        <v>2837</v>
      </c>
    </row>
    <row r="517" spans="1:32">
      <c r="A517" s="57">
        <v>516</v>
      </c>
      <c r="B517" s="58">
        <v>45923.561493055553</v>
      </c>
      <c r="C517" s="58">
        <v>45923.566840277781</v>
      </c>
      <c r="D517" s="57" t="s">
        <v>2263</v>
      </c>
      <c r="E517" s="57" t="s">
        <v>2264</v>
      </c>
      <c r="F517" s="58"/>
      <c r="G517" s="57" t="s">
        <v>694</v>
      </c>
      <c r="H517" s="59">
        <v>1</v>
      </c>
      <c r="I517" s="57"/>
      <c r="J517" s="57"/>
      <c r="K517" s="59"/>
      <c r="L517" s="57"/>
      <c r="M517" s="60"/>
      <c r="N517" s="59"/>
      <c r="O517" s="57"/>
      <c r="P517" s="57"/>
      <c r="Q517" s="57"/>
      <c r="R517" s="57"/>
      <c r="S517" s="59"/>
      <c r="T517" s="57"/>
      <c r="U517" s="60"/>
      <c r="V517" s="59"/>
      <c r="W517" s="57"/>
      <c r="X517" s="57"/>
      <c r="Y517" s="57" t="s">
        <v>21</v>
      </c>
      <c r="Z517" s="57" t="s">
        <v>874</v>
      </c>
      <c r="AA517" s="59">
        <v>55398</v>
      </c>
      <c r="AB517" s="57" t="s">
        <v>61</v>
      </c>
      <c r="AC517" s="60">
        <v>45833</v>
      </c>
      <c r="AD517" s="59">
        <v>55398</v>
      </c>
      <c r="AE517" s="57" t="s">
        <v>2838</v>
      </c>
      <c r="AF517" s="57" t="s">
        <v>2839</v>
      </c>
    </row>
    <row r="518" spans="1:32">
      <c r="A518" s="57">
        <v>517</v>
      </c>
      <c r="B518" s="58">
        <v>45923.526516203703</v>
      </c>
      <c r="C518" s="58">
        <v>45923.566921296297</v>
      </c>
      <c r="D518" s="57" t="s">
        <v>961</v>
      </c>
      <c r="E518" s="57" t="s">
        <v>962</v>
      </c>
      <c r="F518" s="58"/>
      <c r="G518" s="57" t="s">
        <v>655</v>
      </c>
      <c r="H518" s="59">
        <v>1</v>
      </c>
      <c r="I518" s="57"/>
      <c r="J518" s="57"/>
      <c r="K518" s="59"/>
      <c r="L518" s="57"/>
      <c r="M518" s="60"/>
      <c r="N518" s="59"/>
      <c r="O518" s="57"/>
      <c r="P518" s="57"/>
      <c r="Q518" s="57"/>
      <c r="R518" s="57"/>
      <c r="S518" s="59"/>
      <c r="T518" s="57"/>
      <c r="U518" s="60"/>
      <c r="V518" s="59"/>
      <c r="W518" s="57"/>
      <c r="X518" s="57"/>
      <c r="Y518" s="57" t="s">
        <v>21</v>
      </c>
      <c r="Z518" s="57" t="s">
        <v>963</v>
      </c>
      <c r="AA518" s="59">
        <v>26774</v>
      </c>
      <c r="AB518" s="57" t="s">
        <v>61</v>
      </c>
      <c r="AC518" s="60">
        <v>45903</v>
      </c>
      <c r="AD518" s="59">
        <v>26774</v>
      </c>
      <c r="AE518" s="57" t="s">
        <v>2840</v>
      </c>
      <c r="AF518" s="57" t="s">
        <v>2841</v>
      </c>
    </row>
    <row r="519" spans="1:32">
      <c r="A519" s="57">
        <v>518</v>
      </c>
      <c r="B519" s="58">
        <v>45923.566458333327</v>
      </c>
      <c r="C519" s="58">
        <v>45923.573217592602</v>
      </c>
      <c r="D519" s="57" t="s">
        <v>822</v>
      </c>
      <c r="E519" s="57" t="s">
        <v>823</v>
      </c>
      <c r="F519" s="58"/>
      <c r="G519" s="57" t="s">
        <v>721</v>
      </c>
      <c r="H519" s="59">
        <v>1</v>
      </c>
      <c r="I519" s="57"/>
      <c r="J519" s="57"/>
      <c r="K519" s="59"/>
      <c r="L519" s="57"/>
      <c r="M519" s="60"/>
      <c r="N519" s="59"/>
      <c r="O519" s="57"/>
      <c r="P519" s="57"/>
      <c r="Q519" s="57"/>
      <c r="R519" s="57"/>
      <c r="S519" s="59"/>
      <c r="T519" s="57"/>
      <c r="U519" s="60"/>
      <c r="V519" s="59"/>
      <c r="W519" s="57"/>
      <c r="X519" s="57"/>
      <c r="Y519" s="57" t="s">
        <v>20</v>
      </c>
      <c r="Z519" s="57" t="s">
        <v>824</v>
      </c>
      <c r="AA519" s="59">
        <v>72625</v>
      </c>
      <c r="AB519" s="57" t="s">
        <v>61</v>
      </c>
      <c r="AC519" s="60">
        <v>45912</v>
      </c>
      <c r="AD519" s="59">
        <v>72625</v>
      </c>
      <c r="AE519" s="57" t="s">
        <v>2842</v>
      </c>
      <c r="AF519" s="57" t="s">
        <v>2843</v>
      </c>
    </row>
    <row r="520" spans="1:32">
      <c r="A520" s="57">
        <v>519</v>
      </c>
      <c r="B520" s="58">
        <v>45923.575254629628</v>
      </c>
      <c r="C520" s="58">
        <v>45923.580775462957</v>
      </c>
      <c r="D520" s="57" t="s">
        <v>1469</v>
      </c>
      <c r="E520" s="57" t="s">
        <v>1470</v>
      </c>
      <c r="F520" s="58"/>
      <c r="G520" s="57" t="s">
        <v>523</v>
      </c>
      <c r="H520" s="59">
        <v>1</v>
      </c>
      <c r="I520" s="57"/>
      <c r="J520" s="57"/>
      <c r="K520" s="59"/>
      <c r="L520" s="57"/>
      <c r="M520" s="60"/>
      <c r="N520" s="59"/>
      <c r="O520" s="57"/>
      <c r="P520" s="57"/>
      <c r="Q520" s="57"/>
      <c r="R520" s="57"/>
      <c r="S520" s="59"/>
      <c r="T520" s="57"/>
      <c r="U520" s="60"/>
      <c r="V520" s="59"/>
      <c r="W520" s="57"/>
      <c r="X520" s="57"/>
      <c r="Y520" s="57" t="s">
        <v>21</v>
      </c>
      <c r="Z520" s="57" t="s">
        <v>190</v>
      </c>
      <c r="AA520" s="59">
        <v>26625</v>
      </c>
      <c r="AB520" s="57" t="s">
        <v>61</v>
      </c>
      <c r="AC520" s="60">
        <v>45911</v>
      </c>
      <c r="AD520" s="59">
        <v>26625</v>
      </c>
      <c r="AE520" s="57" t="s">
        <v>2844</v>
      </c>
      <c r="AF520" s="57" t="s">
        <v>2845</v>
      </c>
    </row>
    <row r="521" spans="1:32">
      <c r="A521" s="57">
        <v>520</v>
      </c>
      <c r="B521" s="58">
        <v>45923.582754629628</v>
      </c>
      <c r="C521" s="58">
        <v>45923.588148148148</v>
      </c>
      <c r="D521" s="57" t="s">
        <v>1173</v>
      </c>
      <c r="E521" s="57" t="s">
        <v>1174</v>
      </c>
      <c r="F521" s="58"/>
      <c r="G521" s="57" t="s">
        <v>593</v>
      </c>
      <c r="H521" s="59">
        <v>1</v>
      </c>
      <c r="I521" s="57"/>
      <c r="J521" s="57"/>
      <c r="K521" s="59"/>
      <c r="L521" s="57"/>
      <c r="M521" s="60"/>
      <c r="N521" s="59"/>
      <c r="O521" s="57"/>
      <c r="P521" s="57"/>
      <c r="Q521" s="57"/>
      <c r="R521" s="57"/>
      <c r="S521" s="59"/>
      <c r="T521" s="57"/>
      <c r="U521" s="60"/>
      <c r="V521" s="59"/>
      <c r="W521" s="57"/>
      <c r="X521" s="57"/>
      <c r="Y521" s="57" t="s">
        <v>21</v>
      </c>
      <c r="Z521" s="57" t="s">
        <v>2846</v>
      </c>
      <c r="AA521" s="59">
        <v>19505</v>
      </c>
      <c r="AB521" s="57" t="s">
        <v>61</v>
      </c>
      <c r="AC521" s="60">
        <v>45861</v>
      </c>
      <c r="AD521" s="59">
        <v>19505</v>
      </c>
      <c r="AE521" s="57" t="s">
        <v>2847</v>
      </c>
      <c r="AF521" s="57" t="s">
        <v>2848</v>
      </c>
    </row>
    <row r="522" spans="1:32">
      <c r="A522" s="57">
        <v>521</v>
      </c>
      <c r="B522" s="58">
        <v>45923.603796296287</v>
      </c>
      <c r="C522" s="58">
        <v>45923.604560185187</v>
      </c>
      <c r="D522" s="57" t="s">
        <v>2366</v>
      </c>
      <c r="E522" s="57" t="s">
        <v>2367</v>
      </c>
      <c r="F522" s="58"/>
      <c r="G522" s="57" t="s">
        <v>457</v>
      </c>
      <c r="H522" s="59">
        <v>1</v>
      </c>
      <c r="I522" s="57"/>
      <c r="J522" s="57"/>
      <c r="K522" s="59"/>
      <c r="L522" s="57"/>
      <c r="M522" s="60"/>
      <c r="N522" s="59"/>
      <c r="O522" s="57"/>
      <c r="P522" s="57"/>
      <c r="Q522" s="57"/>
      <c r="R522" s="57"/>
      <c r="S522" s="59"/>
      <c r="T522" s="57"/>
      <c r="U522" s="60"/>
      <c r="V522" s="59"/>
      <c r="W522" s="57"/>
      <c r="X522" s="57"/>
      <c r="Y522" s="57" t="s">
        <v>20</v>
      </c>
      <c r="Z522" s="57" t="s">
        <v>123</v>
      </c>
      <c r="AA522" s="59">
        <v>41303</v>
      </c>
      <c r="AB522" s="57" t="s">
        <v>61</v>
      </c>
      <c r="AC522" s="60">
        <v>45880</v>
      </c>
      <c r="AD522" s="59">
        <v>41303</v>
      </c>
      <c r="AE522" s="57" t="s">
        <v>2849</v>
      </c>
      <c r="AF522" s="57" t="s">
        <v>2850</v>
      </c>
    </row>
    <row r="523" spans="1:32">
      <c r="A523" s="57">
        <v>522</v>
      </c>
      <c r="B523" s="58">
        <v>45923.599212962959</v>
      </c>
      <c r="C523" s="58">
        <v>45923.618738425917</v>
      </c>
      <c r="D523" s="57" t="s">
        <v>1309</v>
      </c>
      <c r="E523" s="57" t="s">
        <v>1310</v>
      </c>
      <c r="F523" s="58"/>
      <c r="G523" s="57" t="s">
        <v>613</v>
      </c>
      <c r="H523" s="59">
        <v>2</v>
      </c>
      <c r="I523" s="57"/>
      <c r="J523" s="57"/>
      <c r="K523" s="59"/>
      <c r="L523" s="57"/>
      <c r="M523" s="60"/>
      <c r="N523" s="59"/>
      <c r="O523" s="57"/>
      <c r="P523" s="57"/>
      <c r="Q523" s="57" t="s">
        <v>22</v>
      </c>
      <c r="R523" s="57" t="s">
        <v>369</v>
      </c>
      <c r="S523" s="59">
        <v>9035</v>
      </c>
      <c r="T523" s="57" t="s">
        <v>61</v>
      </c>
      <c r="U523" s="60">
        <v>45934</v>
      </c>
      <c r="V523" s="59">
        <v>9035</v>
      </c>
      <c r="W523" s="57" t="s">
        <v>2851</v>
      </c>
      <c r="X523" s="57" t="s">
        <v>2852</v>
      </c>
      <c r="Y523" s="57" t="s">
        <v>21</v>
      </c>
      <c r="Z523" s="57" t="s">
        <v>293</v>
      </c>
      <c r="AA523" s="59">
        <v>20097</v>
      </c>
      <c r="AB523" s="57" t="s">
        <v>61</v>
      </c>
      <c r="AC523" s="60">
        <v>45801</v>
      </c>
      <c r="AD523" s="59">
        <v>20097</v>
      </c>
      <c r="AE523" s="57" t="s">
        <v>2853</v>
      </c>
      <c r="AF523" s="57" t="s">
        <v>2854</v>
      </c>
    </row>
    <row r="524" spans="1:32">
      <c r="A524" s="57">
        <v>523</v>
      </c>
      <c r="B524" s="58">
        <v>45923.552094907413</v>
      </c>
      <c r="C524" s="58">
        <v>45923.63548611111</v>
      </c>
      <c r="D524" s="57" t="s">
        <v>1232</v>
      </c>
      <c r="E524" s="57" t="s">
        <v>1233</v>
      </c>
      <c r="F524" s="58"/>
      <c r="G524" s="57" t="s">
        <v>706</v>
      </c>
      <c r="H524" s="59">
        <v>1</v>
      </c>
      <c r="I524" s="57"/>
      <c r="J524" s="57"/>
      <c r="K524" s="59"/>
      <c r="L524" s="57"/>
      <c r="M524" s="60"/>
      <c r="N524" s="59"/>
      <c r="O524" s="57"/>
      <c r="P524" s="57"/>
      <c r="Q524" s="57"/>
      <c r="R524" s="57"/>
      <c r="S524" s="59"/>
      <c r="T524" s="57"/>
      <c r="U524" s="60"/>
      <c r="V524" s="59"/>
      <c r="W524" s="57"/>
      <c r="X524" s="57"/>
      <c r="Y524" s="57" t="s">
        <v>21</v>
      </c>
      <c r="Z524" s="57" t="s">
        <v>1234</v>
      </c>
      <c r="AA524" s="59">
        <v>54115</v>
      </c>
      <c r="AB524" s="57" t="s">
        <v>61</v>
      </c>
      <c r="AC524" s="60">
        <v>45892</v>
      </c>
      <c r="AD524" s="59">
        <v>54115</v>
      </c>
      <c r="AE524" s="57" t="s">
        <v>2855</v>
      </c>
      <c r="AF524" s="57" t="s">
        <v>2856</v>
      </c>
    </row>
    <row r="525" spans="1:32">
      <c r="A525" s="57">
        <v>524</v>
      </c>
      <c r="B525" s="58">
        <v>45923.638391203713</v>
      </c>
      <c r="C525" s="58">
        <v>45923.639108796298</v>
      </c>
      <c r="D525" s="57" t="s">
        <v>1402</v>
      </c>
      <c r="E525" s="57" t="s">
        <v>1403</v>
      </c>
      <c r="F525" s="58"/>
      <c r="G525" s="57" t="s">
        <v>575</v>
      </c>
      <c r="H525" s="59">
        <v>1</v>
      </c>
      <c r="I525" s="57"/>
      <c r="J525" s="57"/>
      <c r="K525" s="59"/>
      <c r="L525" s="57"/>
      <c r="M525" s="60"/>
      <c r="N525" s="59"/>
      <c r="O525" s="57"/>
      <c r="P525" s="57"/>
      <c r="Q525" s="57"/>
      <c r="R525" s="57"/>
      <c r="S525" s="59"/>
      <c r="T525" s="57"/>
      <c r="U525" s="60"/>
      <c r="V525" s="59"/>
      <c r="W525" s="57"/>
      <c r="X525" s="57"/>
      <c r="Y525" s="57" t="s">
        <v>21</v>
      </c>
      <c r="Z525" s="57" t="s">
        <v>247</v>
      </c>
      <c r="AA525" s="59">
        <v>21395</v>
      </c>
      <c r="AB525" s="57" t="s">
        <v>61</v>
      </c>
      <c r="AC525" s="60">
        <v>45887</v>
      </c>
      <c r="AD525" s="59">
        <v>21395</v>
      </c>
      <c r="AE525" s="57" t="s">
        <v>2857</v>
      </c>
      <c r="AF525" s="57" t="s">
        <v>2858</v>
      </c>
    </row>
    <row r="526" spans="1:32">
      <c r="A526" s="57">
        <v>525</v>
      </c>
      <c r="B526" s="58">
        <v>45923.642974537041</v>
      </c>
      <c r="C526" s="58">
        <v>45923.649201388893</v>
      </c>
      <c r="D526" s="57" t="s">
        <v>1445</v>
      </c>
      <c r="E526" s="57" t="s">
        <v>1446</v>
      </c>
      <c r="F526" s="58"/>
      <c r="G526" s="57" t="s">
        <v>596</v>
      </c>
      <c r="H526" s="59">
        <v>2</v>
      </c>
      <c r="I526" s="57"/>
      <c r="J526" s="57"/>
      <c r="K526" s="59"/>
      <c r="L526" s="57"/>
      <c r="M526" s="60"/>
      <c r="N526" s="59"/>
      <c r="O526" s="57"/>
      <c r="P526" s="57"/>
      <c r="Q526" s="57" t="s">
        <v>21</v>
      </c>
      <c r="R526" s="57" t="s">
        <v>272</v>
      </c>
      <c r="S526" s="59">
        <v>15275</v>
      </c>
      <c r="T526" s="57" t="s">
        <v>61</v>
      </c>
      <c r="U526" s="60">
        <v>45764</v>
      </c>
      <c r="V526" s="59">
        <v>15275</v>
      </c>
      <c r="W526" s="57" t="s">
        <v>2859</v>
      </c>
      <c r="X526" s="57" t="s">
        <v>2860</v>
      </c>
      <c r="Y526" s="57" t="s">
        <v>22</v>
      </c>
      <c r="Z526" s="57" t="s">
        <v>401</v>
      </c>
      <c r="AA526" s="59">
        <v>1658</v>
      </c>
      <c r="AB526" s="57" t="s">
        <v>61</v>
      </c>
      <c r="AC526" s="60">
        <v>45919</v>
      </c>
      <c r="AD526" s="59">
        <v>1658</v>
      </c>
      <c r="AE526" s="57" t="s">
        <v>2861</v>
      </c>
      <c r="AF526" s="57" t="s">
        <v>2862</v>
      </c>
    </row>
    <row r="527" spans="1:32">
      <c r="A527" s="57">
        <v>526</v>
      </c>
      <c r="B527" s="58">
        <v>45923.613865740743</v>
      </c>
      <c r="C527" s="58">
        <v>45923.649884259263</v>
      </c>
      <c r="D527" s="57" t="s">
        <v>1127</v>
      </c>
      <c r="E527" s="57" t="s">
        <v>1128</v>
      </c>
      <c r="F527" s="58"/>
      <c r="G527" s="57" t="s">
        <v>455</v>
      </c>
      <c r="H527" s="59">
        <v>1</v>
      </c>
      <c r="I527" s="57"/>
      <c r="J527" s="57"/>
      <c r="K527" s="59"/>
      <c r="L527" s="57"/>
      <c r="M527" s="60"/>
      <c r="N527" s="59"/>
      <c r="O527" s="57"/>
      <c r="P527" s="57"/>
      <c r="Q527" s="57"/>
      <c r="R527" s="57"/>
      <c r="S527" s="59"/>
      <c r="T527" s="57"/>
      <c r="U527" s="60"/>
      <c r="V527" s="59"/>
      <c r="W527" s="57"/>
      <c r="X527" s="57"/>
      <c r="Y527" s="57" t="s">
        <v>21</v>
      </c>
      <c r="Z527" s="57" t="s">
        <v>121</v>
      </c>
      <c r="AA527" s="59">
        <v>34605</v>
      </c>
      <c r="AB527" s="57" t="s">
        <v>61</v>
      </c>
      <c r="AC527" s="60">
        <v>45736</v>
      </c>
      <c r="AD527" s="59">
        <v>34605</v>
      </c>
      <c r="AE527" s="57" t="s">
        <v>2863</v>
      </c>
      <c r="AF527" s="57" t="s">
        <v>2864</v>
      </c>
    </row>
    <row r="528" spans="1:32">
      <c r="A528" s="57">
        <v>527</v>
      </c>
      <c r="B528" s="58">
        <v>45923.644155092603</v>
      </c>
      <c r="C528" s="58">
        <v>45923.651006944441</v>
      </c>
      <c r="D528" s="57" t="s">
        <v>2467</v>
      </c>
      <c r="E528" s="57" t="s">
        <v>2468</v>
      </c>
      <c r="F528" s="58"/>
      <c r="G528" s="57" t="s">
        <v>650</v>
      </c>
      <c r="H528" s="59">
        <v>1</v>
      </c>
      <c r="I528" s="57"/>
      <c r="J528" s="57"/>
      <c r="K528" s="59"/>
      <c r="L528" s="57"/>
      <c r="M528" s="60"/>
      <c r="N528" s="59"/>
      <c r="O528" s="57"/>
      <c r="P528" s="57"/>
      <c r="Q528" s="57"/>
      <c r="R528" s="57"/>
      <c r="S528" s="59"/>
      <c r="T528" s="57"/>
      <c r="U528" s="60"/>
      <c r="V528" s="59"/>
      <c r="W528" s="57"/>
      <c r="X528" s="57"/>
      <c r="Y528" s="57" t="s">
        <v>21</v>
      </c>
      <c r="Z528" s="57" t="s">
        <v>347</v>
      </c>
      <c r="AA528" s="59">
        <v>7274</v>
      </c>
      <c r="AB528" s="57" t="s">
        <v>61</v>
      </c>
      <c r="AC528" s="60">
        <v>45916</v>
      </c>
      <c r="AD528" s="59">
        <v>7274</v>
      </c>
      <c r="AE528" s="57" t="s">
        <v>2865</v>
      </c>
      <c r="AF528" s="57" t="s">
        <v>2866</v>
      </c>
    </row>
    <row r="529" spans="1:32">
      <c r="A529" s="57">
        <v>528</v>
      </c>
      <c r="B529" s="58">
        <v>45923.652743055558</v>
      </c>
      <c r="C529" s="58">
        <v>45923.65388888889</v>
      </c>
      <c r="D529" s="57" t="s">
        <v>2867</v>
      </c>
      <c r="E529" s="57" t="s">
        <v>2868</v>
      </c>
      <c r="F529" s="58"/>
      <c r="G529" s="57" t="s">
        <v>676</v>
      </c>
      <c r="H529" s="59">
        <v>1</v>
      </c>
      <c r="I529" s="57"/>
      <c r="J529" s="57"/>
      <c r="K529" s="59"/>
      <c r="L529" s="57"/>
      <c r="M529" s="60"/>
      <c r="N529" s="59"/>
      <c r="O529" s="57"/>
      <c r="P529" s="57"/>
      <c r="Q529" s="57"/>
      <c r="R529" s="57"/>
      <c r="S529" s="59"/>
      <c r="T529" s="57"/>
      <c r="U529" s="60"/>
      <c r="V529" s="59"/>
      <c r="W529" s="57"/>
      <c r="X529" s="57"/>
      <c r="Y529" s="57" t="s">
        <v>20</v>
      </c>
      <c r="Z529" s="57" t="s">
        <v>389</v>
      </c>
      <c r="AA529" s="59">
        <v>4196</v>
      </c>
      <c r="AB529" s="57" t="s">
        <v>61</v>
      </c>
      <c r="AC529" s="60">
        <v>45923</v>
      </c>
      <c r="AD529" s="59">
        <v>4196</v>
      </c>
      <c r="AE529" s="57" t="s">
        <v>2869</v>
      </c>
      <c r="AF529" s="57" t="s">
        <v>2870</v>
      </c>
    </row>
    <row r="530" spans="1:32">
      <c r="A530" s="57">
        <v>529</v>
      </c>
      <c r="B530" s="58">
        <v>45923.677615740737</v>
      </c>
      <c r="C530" s="58">
        <v>45923.685925925929</v>
      </c>
      <c r="D530" s="57" t="s">
        <v>1084</v>
      </c>
      <c r="E530" s="57" t="s">
        <v>1085</v>
      </c>
      <c r="F530" s="58"/>
      <c r="G530" s="57" t="s">
        <v>532</v>
      </c>
      <c r="H530" s="59">
        <v>2</v>
      </c>
      <c r="I530" s="57"/>
      <c r="J530" s="57"/>
      <c r="K530" s="59"/>
      <c r="L530" s="57"/>
      <c r="M530" s="60"/>
      <c r="N530" s="59"/>
      <c r="O530" s="57"/>
      <c r="P530" s="57"/>
      <c r="Q530" s="57" t="s">
        <v>22</v>
      </c>
      <c r="R530" s="57" t="s">
        <v>200</v>
      </c>
      <c r="S530" s="59">
        <v>108592</v>
      </c>
      <c r="T530" s="57" t="s">
        <v>61</v>
      </c>
      <c r="U530" s="60">
        <v>45808</v>
      </c>
      <c r="V530" s="59">
        <v>108592</v>
      </c>
      <c r="W530" s="57" t="s">
        <v>2871</v>
      </c>
      <c r="X530" s="57" t="s">
        <v>2872</v>
      </c>
      <c r="Y530" s="57" t="s">
        <v>21</v>
      </c>
      <c r="Z530" s="57" t="s">
        <v>379</v>
      </c>
      <c r="AA530" s="59">
        <v>4159</v>
      </c>
      <c r="AB530" s="57" t="s">
        <v>61</v>
      </c>
      <c r="AC530" s="60">
        <v>45869</v>
      </c>
      <c r="AD530" s="59">
        <v>4159</v>
      </c>
      <c r="AE530" s="57" t="s">
        <v>2873</v>
      </c>
      <c r="AF530" s="57" t="s">
        <v>2874</v>
      </c>
    </row>
    <row r="531" spans="1:32">
      <c r="A531" s="57">
        <v>530</v>
      </c>
      <c r="B531" s="58">
        <v>45923.678738425922</v>
      </c>
      <c r="C531" s="58">
        <v>45923.690833333327</v>
      </c>
      <c r="D531" s="57" t="s">
        <v>2378</v>
      </c>
      <c r="E531" s="57" t="s">
        <v>2379</v>
      </c>
      <c r="F531" s="58"/>
      <c r="G531" s="57" t="s">
        <v>576</v>
      </c>
      <c r="H531" s="59">
        <v>1</v>
      </c>
      <c r="I531" s="57"/>
      <c r="J531" s="57"/>
      <c r="K531" s="59"/>
      <c r="L531" s="57"/>
      <c r="M531" s="60"/>
      <c r="N531" s="59"/>
      <c r="O531" s="57"/>
      <c r="P531" s="57"/>
      <c r="Q531" s="57"/>
      <c r="R531" s="57"/>
      <c r="S531" s="59"/>
      <c r="T531" s="57"/>
      <c r="U531" s="60"/>
      <c r="V531" s="59"/>
      <c r="W531" s="57"/>
      <c r="X531" s="57"/>
      <c r="Y531" s="57" t="s">
        <v>20</v>
      </c>
      <c r="Z531" s="57" t="s">
        <v>248</v>
      </c>
      <c r="AA531" s="59">
        <v>34604</v>
      </c>
      <c r="AB531" s="57" t="s">
        <v>61</v>
      </c>
      <c r="AC531" s="60">
        <v>45888</v>
      </c>
      <c r="AD531" s="59">
        <v>34604</v>
      </c>
      <c r="AE531" s="57" t="s">
        <v>2875</v>
      </c>
      <c r="AF531" s="57" t="s">
        <v>2876</v>
      </c>
    </row>
    <row r="532" spans="1:32">
      <c r="A532" s="57">
        <v>531</v>
      </c>
      <c r="B532" s="58">
        <v>45923.703148148154</v>
      </c>
      <c r="C532" s="58">
        <v>45923.708368055559</v>
      </c>
      <c r="D532" s="57" t="s">
        <v>2267</v>
      </c>
      <c r="E532" s="57" t="s">
        <v>2268</v>
      </c>
      <c r="F532" s="58"/>
      <c r="G532" s="57" t="s">
        <v>518</v>
      </c>
      <c r="H532" s="59">
        <v>3</v>
      </c>
      <c r="I532" s="57" t="s">
        <v>20</v>
      </c>
      <c r="J532" s="57" t="s">
        <v>2273</v>
      </c>
      <c r="K532" s="59">
        <v>89720</v>
      </c>
      <c r="L532" s="57" t="s">
        <v>61</v>
      </c>
      <c r="M532" s="60">
        <v>45909</v>
      </c>
      <c r="N532" s="59">
        <v>89720</v>
      </c>
      <c r="O532" s="57" t="s">
        <v>2877</v>
      </c>
      <c r="P532" s="57" t="s">
        <v>2878</v>
      </c>
      <c r="Q532" s="57" t="s">
        <v>22</v>
      </c>
      <c r="R532" s="57" t="s">
        <v>265</v>
      </c>
      <c r="S532" s="59">
        <v>49987</v>
      </c>
      <c r="T532" s="57" t="s">
        <v>61</v>
      </c>
      <c r="U532" s="60">
        <v>45923</v>
      </c>
      <c r="V532" s="59">
        <v>49987</v>
      </c>
      <c r="W532" s="57" t="s">
        <v>2879</v>
      </c>
      <c r="X532" s="57" t="s">
        <v>2880</v>
      </c>
      <c r="Y532" s="57" t="s">
        <v>20</v>
      </c>
      <c r="Z532" s="57" t="s">
        <v>185</v>
      </c>
      <c r="AA532" s="59">
        <v>50492</v>
      </c>
      <c r="AB532" s="57" t="s">
        <v>61</v>
      </c>
      <c r="AC532" s="60">
        <v>45909</v>
      </c>
      <c r="AD532" s="59">
        <v>50492</v>
      </c>
      <c r="AE532" s="57" t="s">
        <v>2881</v>
      </c>
      <c r="AF532" s="57" t="s">
        <v>2882</v>
      </c>
    </row>
    <row r="533" spans="1:32">
      <c r="A533" s="57">
        <v>532</v>
      </c>
      <c r="B533" s="58">
        <v>45923.740636574083</v>
      </c>
      <c r="C533" s="58">
        <v>45923.744976851849</v>
      </c>
      <c r="D533" s="57" t="s">
        <v>1795</v>
      </c>
      <c r="E533" s="57" t="s">
        <v>1796</v>
      </c>
      <c r="F533" s="58"/>
      <c r="G533" s="57" t="s">
        <v>632</v>
      </c>
      <c r="H533" s="59">
        <v>2</v>
      </c>
      <c r="I533" s="57"/>
      <c r="J533" s="57"/>
      <c r="K533" s="59"/>
      <c r="L533" s="57"/>
      <c r="M533" s="60"/>
      <c r="N533" s="59"/>
      <c r="O533" s="57"/>
      <c r="P533" s="57"/>
      <c r="Q533" s="57" t="s">
        <v>22</v>
      </c>
      <c r="R533" s="57" t="s">
        <v>1797</v>
      </c>
      <c r="S533" s="59">
        <v>32365</v>
      </c>
      <c r="T533" s="57" t="s">
        <v>61</v>
      </c>
      <c r="U533" s="60">
        <v>45888</v>
      </c>
      <c r="V533" s="59">
        <v>32365</v>
      </c>
      <c r="W533" s="57" t="s">
        <v>2883</v>
      </c>
      <c r="X533" s="57" t="s">
        <v>2884</v>
      </c>
      <c r="Y533" s="57" t="s">
        <v>21</v>
      </c>
      <c r="Z533" s="57" t="s">
        <v>321</v>
      </c>
      <c r="AA533" s="59">
        <v>2646</v>
      </c>
      <c r="AB533" s="57" t="s">
        <v>61</v>
      </c>
      <c r="AC533" s="60">
        <v>45890</v>
      </c>
      <c r="AD533" s="59">
        <v>2646</v>
      </c>
      <c r="AE533" s="57" t="s">
        <v>2885</v>
      </c>
      <c r="AF533" s="57" t="s">
        <v>2886</v>
      </c>
    </row>
    <row r="534" spans="1:32">
      <c r="A534" s="57">
        <v>533</v>
      </c>
      <c r="B534" s="58">
        <v>45923.755856481483</v>
      </c>
      <c r="C534" s="58">
        <v>45923.75885416667</v>
      </c>
      <c r="D534" s="57" t="s">
        <v>1276</v>
      </c>
      <c r="E534" s="57" t="s">
        <v>1277</v>
      </c>
      <c r="F534" s="58"/>
      <c r="G534" s="57" t="s">
        <v>668</v>
      </c>
      <c r="H534" s="59">
        <v>2</v>
      </c>
      <c r="I534" s="57"/>
      <c r="J534" s="57"/>
      <c r="K534" s="59"/>
      <c r="L534" s="57"/>
      <c r="M534" s="60"/>
      <c r="N534" s="59"/>
      <c r="O534" s="57"/>
      <c r="P534" s="57"/>
      <c r="Q534" s="57" t="s">
        <v>20</v>
      </c>
      <c r="R534" s="57" t="s">
        <v>378</v>
      </c>
      <c r="S534" s="59">
        <v>5249</v>
      </c>
      <c r="T534" s="57" t="s">
        <v>61</v>
      </c>
      <c r="U534" s="60">
        <v>45915</v>
      </c>
      <c r="V534" s="59">
        <v>5249</v>
      </c>
      <c r="W534" s="57" t="s">
        <v>2887</v>
      </c>
      <c r="X534" s="57" t="s">
        <v>2888</v>
      </c>
      <c r="Y534" s="57" t="s">
        <v>21</v>
      </c>
      <c r="Z534" s="57" t="s">
        <v>1280</v>
      </c>
      <c r="AA534" s="59">
        <v>47485</v>
      </c>
      <c r="AB534" s="57" t="s">
        <v>61</v>
      </c>
      <c r="AC534" s="60">
        <v>45915</v>
      </c>
      <c r="AD534" s="59">
        <v>47485</v>
      </c>
      <c r="AE534" s="57" t="s">
        <v>2889</v>
      </c>
      <c r="AF534" s="57" t="s">
        <v>2890</v>
      </c>
    </row>
    <row r="535" spans="1:32">
      <c r="A535" s="57">
        <v>534</v>
      </c>
      <c r="B535" s="58">
        <v>45923.855729166673</v>
      </c>
      <c r="C535" s="58">
        <v>45923.857743055552</v>
      </c>
      <c r="D535" s="57" t="s">
        <v>1101</v>
      </c>
      <c r="E535" s="57" t="s">
        <v>1102</v>
      </c>
      <c r="F535" s="58"/>
      <c r="G535" s="57" t="s">
        <v>574</v>
      </c>
      <c r="H535" s="59">
        <v>1</v>
      </c>
      <c r="I535" s="57"/>
      <c r="J535" s="57"/>
      <c r="K535" s="59"/>
      <c r="L535" s="57"/>
      <c r="M535" s="60"/>
      <c r="N535" s="59"/>
      <c r="O535" s="57"/>
      <c r="P535" s="57"/>
      <c r="Q535" s="57"/>
      <c r="R535" s="57"/>
      <c r="S535" s="59"/>
      <c r="T535" s="57"/>
      <c r="U535" s="60"/>
      <c r="V535" s="59"/>
      <c r="W535" s="57"/>
      <c r="X535" s="57"/>
      <c r="Y535" s="57" t="s">
        <v>21</v>
      </c>
      <c r="Z535" s="57" t="s">
        <v>246</v>
      </c>
      <c r="AA535" s="59">
        <v>25733</v>
      </c>
      <c r="AB535" s="57" t="s">
        <v>61</v>
      </c>
      <c r="AC535" s="60">
        <v>45885</v>
      </c>
      <c r="AD535" s="59">
        <v>25733</v>
      </c>
      <c r="AE535" s="57" t="s">
        <v>2891</v>
      </c>
      <c r="AF535" s="57" t="s">
        <v>2892</v>
      </c>
    </row>
    <row r="536" spans="1:32">
      <c r="A536" s="57">
        <v>535</v>
      </c>
      <c r="B536" s="58">
        <v>45924.326458333337</v>
      </c>
      <c r="C536" s="58">
        <v>45924.331354166658</v>
      </c>
      <c r="D536" s="57" t="s">
        <v>1814</v>
      </c>
      <c r="E536" s="57" t="s">
        <v>1815</v>
      </c>
      <c r="F536" s="58"/>
      <c r="G536" s="57" t="s">
        <v>459</v>
      </c>
      <c r="H536" s="59">
        <v>2</v>
      </c>
      <c r="I536" s="57"/>
      <c r="J536" s="57"/>
      <c r="K536" s="59"/>
      <c r="L536" s="57"/>
      <c r="M536" s="60"/>
      <c r="N536" s="59"/>
      <c r="O536" s="57"/>
      <c r="P536" s="57"/>
      <c r="Q536" s="57" t="s">
        <v>22</v>
      </c>
      <c r="R536" s="57" t="s">
        <v>267</v>
      </c>
      <c r="S536" s="59">
        <v>24067</v>
      </c>
      <c r="T536" s="57" t="s">
        <v>61</v>
      </c>
      <c r="U536" s="60">
        <v>45796</v>
      </c>
      <c r="V536" s="59">
        <v>24067</v>
      </c>
      <c r="W536" s="57" t="s">
        <v>2893</v>
      </c>
      <c r="X536" s="57" t="s">
        <v>2894</v>
      </c>
      <c r="Y536" s="57" t="s">
        <v>21</v>
      </c>
      <c r="Z536" s="57" t="s">
        <v>125</v>
      </c>
      <c r="AA536" s="59">
        <v>17990</v>
      </c>
      <c r="AB536" s="57" t="s">
        <v>61</v>
      </c>
      <c r="AC536" s="60">
        <v>45721</v>
      </c>
      <c r="AD536" s="59">
        <v>17990</v>
      </c>
      <c r="AE536" s="57" t="s">
        <v>2895</v>
      </c>
      <c r="AF536" s="57" t="s">
        <v>2896</v>
      </c>
    </row>
    <row r="537" spans="1:32">
      <c r="A537" s="57">
        <v>536</v>
      </c>
      <c r="B537" s="58">
        <v>45924.337314814817</v>
      </c>
      <c r="C537" s="58">
        <v>45924.340601851851</v>
      </c>
      <c r="D537" s="57" t="s">
        <v>966</v>
      </c>
      <c r="E537" s="57" t="s">
        <v>967</v>
      </c>
      <c r="F537" s="58"/>
      <c r="G537" s="57" t="s">
        <v>503</v>
      </c>
      <c r="H537" s="59">
        <v>1</v>
      </c>
      <c r="I537" s="57"/>
      <c r="J537" s="57"/>
      <c r="K537" s="59"/>
      <c r="L537" s="57"/>
      <c r="M537" s="60"/>
      <c r="N537" s="59"/>
      <c r="O537" s="57"/>
      <c r="P537" s="57"/>
      <c r="Q537" s="57"/>
      <c r="R537" s="57"/>
      <c r="S537" s="59"/>
      <c r="T537" s="57"/>
      <c r="U537" s="60"/>
      <c r="V537" s="59"/>
      <c r="W537" s="57"/>
      <c r="X537" s="57"/>
      <c r="Y537" s="57" t="s">
        <v>20</v>
      </c>
      <c r="Z537" s="57" t="s">
        <v>169</v>
      </c>
      <c r="AA537" s="59">
        <v>90432</v>
      </c>
      <c r="AB537" s="57" t="s">
        <v>61</v>
      </c>
      <c r="AC537" s="60">
        <v>45874</v>
      </c>
      <c r="AD537" s="59">
        <v>90432</v>
      </c>
      <c r="AE537" s="57" t="s">
        <v>2897</v>
      </c>
      <c r="AF537" s="57" t="s">
        <v>2898</v>
      </c>
    </row>
    <row r="538" spans="1:32">
      <c r="A538" s="57">
        <v>537</v>
      </c>
      <c r="B538" s="58">
        <v>45924.332615740743</v>
      </c>
      <c r="C538" s="58">
        <v>45924.348379629628</v>
      </c>
      <c r="D538" s="57" t="s">
        <v>862</v>
      </c>
      <c r="E538" s="57" t="s">
        <v>863</v>
      </c>
      <c r="F538" s="58"/>
      <c r="G538" s="57" t="s">
        <v>568</v>
      </c>
      <c r="H538" s="59">
        <v>1</v>
      </c>
      <c r="I538" s="57"/>
      <c r="J538" s="57"/>
      <c r="K538" s="59"/>
      <c r="L538" s="57"/>
      <c r="M538" s="60"/>
      <c r="N538" s="59"/>
      <c r="O538" s="57"/>
      <c r="P538" s="57"/>
      <c r="Q538" s="57"/>
      <c r="R538" s="57"/>
      <c r="S538" s="59"/>
      <c r="T538" s="57"/>
      <c r="U538" s="60"/>
      <c r="V538" s="59"/>
      <c r="W538" s="57"/>
      <c r="X538" s="57"/>
      <c r="Y538" s="57" t="s">
        <v>20</v>
      </c>
      <c r="Z538" s="57" t="s">
        <v>240</v>
      </c>
      <c r="AA538" s="59">
        <v>36280</v>
      </c>
      <c r="AB538" s="57" t="s">
        <v>61</v>
      </c>
      <c r="AC538" s="60">
        <v>45923</v>
      </c>
      <c r="AD538" s="59">
        <v>36280</v>
      </c>
      <c r="AE538" s="57" t="s">
        <v>2899</v>
      </c>
      <c r="AF538" s="57" t="s">
        <v>2900</v>
      </c>
    </row>
    <row r="539" spans="1:32">
      <c r="A539" s="57">
        <v>538</v>
      </c>
      <c r="B539" s="58">
        <v>45924.351550925923</v>
      </c>
      <c r="C539" s="58">
        <v>45924.355219907397</v>
      </c>
      <c r="D539" s="57" t="s">
        <v>1931</v>
      </c>
      <c r="E539" s="57" t="s">
        <v>1932</v>
      </c>
      <c r="F539" s="58"/>
      <c r="G539" s="57" t="s">
        <v>498</v>
      </c>
      <c r="H539" s="59">
        <v>1</v>
      </c>
      <c r="I539" s="57"/>
      <c r="J539" s="57"/>
      <c r="K539" s="59"/>
      <c r="L539" s="57"/>
      <c r="M539" s="60"/>
      <c r="N539" s="59"/>
      <c r="O539" s="57"/>
      <c r="P539" s="57"/>
      <c r="Q539" s="57"/>
      <c r="R539" s="57"/>
      <c r="S539" s="59"/>
      <c r="T539" s="57"/>
      <c r="U539" s="60"/>
      <c r="V539" s="59"/>
      <c r="W539" s="57"/>
      <c r="X539" s="57"/>
      <c r="Y539" s="57" t="s">
        <v>20</v>
      </c>
      <c r="Z539" s="57" t="s">
        <v>164</v>
      </c>
      <c r="AA539" s="59">
        <v>79504</v>
      </c>
      <c r="AB539" s="57" t="s">
        <v>61</v>
      </c>
      <c r="AC539" s="60">
        <v>45903</v>
      </c>
      <c r="AD539" s="59">
        <v>79504</v>
      </c>
      <c r="AE539" s="57" t="s">
        <v>2901</v>
      </c>
      <c r="AF539" s="57" t="s">
        <v>2902</v>
      </c>
    </row>
    <row r="540" spans="1:32">
      <c r="A540" s="57">
        <v>539</v>
      </c>
      <c r="B540" s="58">
        <v>45924.359166666669</v>
      </c>
      <c r="C540" s="58">
        <v>45924.367731481478</v>
      </c>
      <c r="D540" s="57" t="s">
        <v>1326</v>
      </c>
      <c r="E540" s="57" t="s">
        <v>1327</v>
      </c>
      <c r="F540" s="58"/>
      <c r="G540" s="57" t="s">
        <v>565</v>
      </c>
      <c r="H540" s="59">
        <v>2</v>
      </c>
      <c r="I540" s="57"/>
      <c r="J540" s="57"/>
      <c r="K540" s="59"/>
      <c r="L540" s="57"/>
      <c r="M540" s="60"/>
      <c r="N540" s="59"/>
      <c r="O540" s="57"/>
      <c r="P540" s="57"/>
      <c r="Q540" s="57" t="s">
        <v>21</v>
      </c>
      <c r="R540" s="57" t="s">
        <v>237</v>
      </c>
      <c r="S540" s="59">
        <v>37967</v>
      </c>
      <c r="T540" s="57" t="s">
        <v>61</v>
      </c>
      <c r="U540" s="60">
        <v>45819</v>
      </c>
      <c r="V540" s="59">
        <v>37967</v>
      </c>
      <c r="W540" s="57" t="s">
        <v>2903</v>
      </c>
      <c r="X540" s="57" t="s">
        <v>2904</v>
      </c>
      <c r="Y540" s="57" t="s">
        <v>20</v>
      </c>
      <c r="Z540" s="57" t="s">
        <v>1328</v>
      </c>
      <c r="AA540" s="59">
        <v>59477</v>
      </c>
      <c r="AB540" s="57" t="s">
        <v>61</v>
      </c>
      <c r="AC540" s="60">
        <v>45830</v>
      </c>
      <c r="AD540" s="59">
        <v>59477</v>
      </c>
      <c r="AE540" s="57" t="s">
        <v>2905</v>
      </c>
      <c r="AF540" s="57" t="s">
        <v>2906</v>
      </c>
    </row>
    <row r="541" spans="1:32">
      <c r="A541" s="57">
        <v>540</v>
      </c>
      <c r="B541" s="58">
        <v>45924.370486111111</v>
      </c>
      <c r="C541" s="58">
        <v>45924.373391203713</v>
      </c>
      <c r="D541" s="57" t="s">
        <v>1283</v>
      </c>
      <c r="E541" s="57" t="s">
        <v>1284</v>
      </c>
      <c r="F541" s="58"/>
      <c r="G541" s="57" t="s">
        <v>653</v>
      </c>
      <c r="H541" s="59">
        <v>2</v>
      </c>
      <c r="I541" s="57"/>
      <c r="J541" s="57"/>
      <c r="K541" s="59"/>
      <c r="L541" s="57"/>
      <c r="M541" s="60"/>
      <c r="N541" s="59"/>
      <c r="O541" s="57"/>
      <c r="P541" s="57"/>
      <c r="Q541" s="57" t="s">
        <v>22</v>
      </c>
      <c r="R541" s="57" t="s">
        <v>351</v>
      </c>
      <c r="S541" s="59">
        <v>15102</v>
      </c>
      <c r="T541" s="57" t="s">
        <v>61</v>
      </c>
      <c r="U541" s="60">
        <v>45834</v>
      </c>
      <c r="V541" s="59">
        <v>15102</v>
      </c>
      <c r="W541" s="57" t="s">
        <v>2907</v>
      </c>
      <c r="X541" s="57" t="s">
        <v>2908</v>
      </c>
      <c r="Y541" s="57" t="s">
        <v>21</v>
      </c>
      <c r="Z541" s="57" t="s">
        <v>375</v>
      </c>
      <c r="AA541" s="59">
        <v>6353</v>
      </c>
      <c r="AB541" s="57" t="s">
        <v>61</v>
      </c>
      <c r="AC541" s="60">
        <v>45871</v>
      </c>
      <c r="AD541" s="59">
        <v>6353</v>
      </c>
      <c r="AE541" s="57" t="s">
        <v>2909</v>
      </c>
      <c r="AF541" s="57" t="s">
        <v>2910</v>
      </c>
    </row>
    <row r="542" spans="1:32">
      <c r="A542" s="57">
        <v>541</v>
      </c>
      <c r="B542" s="58">
        <v>45924.375983796293</v>
      </c>
      <c r="C542" s="58">
        <v>45924.378576388888</v>
      </c>
      <c r="D542" s="57" t="s">
        <v>1375</v>
      </c>
      <c r="E542" s="57" t="s">
        <v>1376</v>
      </c>
      <c r="F542" s="58"/>
      <c r="G542" s="57" t="s">
        <v>681</v>
      </c>
      <c r="H542" s="59">
        <v>1</v>
      </c>
      <c r="I542" s="57"/>
      <c r="J542" s="57"/>
      <c r="K542" s="59"/>
      <c r="L542" s="57"/>
      <c r="M542" s="60"/>
      <c r="N542" s="59"/>
      <c r="O542" s="57"/>
      <c r="P542" s="57"/>
      <c r="Q542" s="57"/>
      <c r="R542" s="57"/>
      <c r="S542" s="59"/>
      <c r="T542" s="57"/>
      <c r="U542" s="60"/>
      <c r="V542" s="59"/>
      <c r="W542" s="57"/>
      <c r="X542" s="57"/>
      <c r="Y542" s="57" t="s">
        <v>21</v>
      </c>
      <c r="Z542" s="57" t="s">
        <v>396</v>
      </c>
      <c r="AA542" s="59">
        <v>3821</v>
      </c>
      <c r="AB542" s="57" t="s">
        <v>61</v>
      </c>
      <c r="AC542" s="60">
        <v>45923</v>
      </c>
      <c r="AD542" s="59">
        <v>3821</v>
      </c>
      <c r="AE542" s="57" t="s">
        <v>2911</v>
      </c>
      <c r="AF542" s="57" t="s">
        <v>2912</v>
      </c>
    </row>
    <row r="543" spans="1:32">
      <c r="A543" s="57">
        <v>542</v>
      </c>
      <c r="B543" s="58">
        <v>45924.371550925927</v>
      </c>
      <c r="C543" s="58">
        <v>45924.380428240736</v>
      </c>
      <c r="D543" s="57" t="s">
        <v>889</v>
      </c>
      <c r="E543" s="57" t="s">
        <v>890</v>
      </c>
      <c r="F543" s="58"/>
      <c r="G543" s="57" t="s">
        <v>510</v>
      </c>
      <c r="H543" s="59">
        <v>1</v>
      </c>
      <c r="I543" s="57"/>
      <c r="J543" s="57"/>
      <c r="K543" s="59"/>
      <c r="L543" s="57"/>
      <c r="M543" s="60"/>
      <c r="N543" s="59"/>
      <c r="O543" s="57"/>
      <c r="P543" s="57"/>
      <c r="Q543" s="57"/>
      <c r="R543" s="57"/>
      <c r="S543" s="59"/>
      <c r="T543" s="57"/>
      <c r="U543" s="60"/>
      <c r="V543" s="59"/>
      <c r="W543" s="57"/>
      <c r="X543" s="57"/>
      <c r="Y543" s="57" t="s">
        <v>20</v>
      </c>
      <c r="Z543" s="57" t="s">
        <v>177</v>
      </c>
      <c r="AA543" s="59">
        <v>49551</v>
      </c>
      <c r="AB543" s="57" t="s">
        <v>61</v>
      </c>
      <c r="AC543" s="60">
        <v>45933</v>
      </c>
      <c r="AD543" s="59">
        <v>49551</v>
      </c>
      <c r="AE543" s="57" t="s">
        <v>2913</v>
      </c>
      <c r="AF543" s="57" t="s">
        <v>2914</v>
      </c>
    </row>
    <row r="544" spans="1:32">
      <c r="A544" s="57">
        <v>543</v>
      </c>
      <c r="B544" s="58">
        <v>45924.37877314815</v>
      </c>
      <c r="C544" s="58">
        <v>45924.39403935185</v>
      </c>
      <c r="D544" s="57" t="s">
        <v>925</v>
      </c>
      <c r="E544" s="57" t="s">
        <v>926</v>
      </c>
      <c r="F544" s="58"/>
      <c r="G544" s="57" t="s">
        <v>586</v>
      </c>
      <c r="H544" s="59">
        <v>2</v>
      </c>
      <c r="I544" s="57"/>
      <c r="J544" s="57"/>
      <c r="K544" s="59"/>
      <c r="L544" s="57"/>
      <c r="M544" s="60"/>
      <c r="N544" s="59"/>
      <c r="O544" s="57"/>
      <c r="P544" s="57"/>
      <c r="Q544" s="57" t="s">
        <v>22</v>
      </c>
      <c r="R544" s="57" t="s">
        <v>368</v>
      </c>
      <c r="S544" s="59">
        <v>7663</v>
      </c>
      <c r="T544" s="57" t="s">
        <v>61</v>
      </c>
      <c r="U544" s="60">
        <v>45839</v>
      </c>
      <c r="V544" s="59">
        <v>7663</v>
      </c>
      <c r="W544" s="57" t="s">
        <v>2915</v>
      </c>
      <c r="X544" s="57" t="s">
        <v>2916</v>
      </c>
      <c r="Y544" s="57" t="s">
        <v>22</v>
      </c>
      <c r="Z544" s="57" t="s">
        <v>368</v>
      </c>
      <c r="AA544" s="59">
        <v>7091</v>
      </c>
      <c r="AB544" s="57" t="s">
        <v>61</v>
      </c>
      <c r="AC544" s="60">
        <v>45839</v>
      </c>
      <c r="AD544" s="59">
        <v>7091</v>
      </c>
      <c r="AE544" s="57" t="s">
        <v>2917</v>
      </c>
      <c r="AF544" s="57" t="s">
        <v>2918</v>
      </c>
    </row>
    <row r="545" spans="1:32">
      <c r="A545" s="57">
        <v>544</v>
      </c>
      <c r="B545" s="58">
        <v>45924.396157407413</v>
      </c>
      <c r="C545" s="58">
        <v>45924.39640046296</v>
      </c>
      <c r="D545" s="57" t="s">
        <v>1773</v>
      </c>
      <c r="E545" s="57" t="s">
        <v>1774</v>
      </c>
      <c r="F545" s="58"/>
      <c r="G545" s="57" t="s">
        <v>539</v>
      </c>
      <c r="H545" s="59">
        <v>1</v>
      </c>
      <c r="I545" s="57"/>
      <c r="J545" s="57"/>
      <c r="K545" s="59"/>
      <c r="L545" s="57"/>
      <c r="M545" s="60"/>
      <c r="N545" s="59"/>
      <c r="O545" s="57"/>
      <c r="P545" s="57"/>
      <c r="Q545" s="57"/>
      <c r="R545" s="57"/>
      <c r="S545" s="59"/>
      <c r="T545" s="57"/>
      <c r="U545" s="60"/>
      <c r="V545" s="59"/>
      <c r="W545" s="57"/>
      <c r="X545" s="57"/>
      <c r="Y545" s="57" t="s">
        <v>20</v>
      </c>
      <c r="Z545" s="57" t="s">
        <v>1775</v>
      </c>
      <c r="AA545" s="59">
        <v>97974</v>
      </c>
      <c r="AB545" s="57" t="s">
        <v>61</v>
      </c>
      <c r="AC545" s="60">
        <v>45912</v>
      </c>
      <c r="AD545" s="59">
        <v>97974</v>
      </c>
      <c r="AE545" s="57" t="s">
        <v>2919</v>
      </c>
      <c r="AF545" s="57" t="s">
        <v>2920</v>
      </c>
    </row>
    <row r="546" spans="1:32">
      <c r="A546" s="57">
        <v>545</v>
      </c>
      <c r="B546" s="58">
        <v>45924.411990740737</v>
      </c>
      <c r="C546" s="58">
        <v>45924.412361111114</v>
      </c>
      <c r="D546" s="57" t="s">
        <v>956</v>
      </c>
      <c r="E546" s="57" t="s">
        <v>957</v>
      </c>
      <c r="F546" s="58"/>
      <c r="G546" s="57" t="s">
        <v>534</v>
      </c>
      <c r="H546" s="59">
        <v>1</v>
      </c>
      <c r="I546" s="57"/>
      <c r="J546" s="57"/>
      <c r="K546" s="59"/>
      <c r="L546" s="57"/>
      <c r="M546" s="60"/>
      <c r="N546" s="59"/>
      <c r="O546" s="57"/>
      <c r="P546" s="57"/>
      <c r="Q546" s="57"/>
      <c r="R546" s="57"/>
      <c r="S546" s="59"/>
      <c r="T546" s="57"/>
      <c r="U546" s="60"/>
      <c r="V546" s="59"/>
      <c r="W546" s="57"/>
      <c r="X546" s="57"/>
      <c r="Y546" s="57" t="s">
        <v>20</v>
      </c>
      <c r="Z546" s="57" t="s">
        <v>202</v>
      </c>
      <c r="AA546" s="59">
        <v>33485</v>
      </c>
      <c r="AB546" s="57" t="s">
        <v>61</v>
      </c>
      <c r="AC546" s="60">
        <v>45901</v>
      </c>
      <c r="AD546" s="59">
        <v>33485</v>
      </c>
      <c r="AE546" s="57" t="s">
        <v>2921</v>
      </c>
      <c r="AF546" s="57" t="s">
        <v>2922</v>
      </c>
    </row>
    <row r="547" spans="1:32">
      <c r="A547" s="57">
        <v>546</v>
      </c>
      <c r="B547" s="58">
        <v>45924.410879629628</v>
      </c>
      <c r="C547" s="58">
        <v>45924.414351851847</v>
      </c>
      <c r="D547" s="57" t="s">
        <v>730</v>
      </c>
      <c r="E547" s="57" t="s">
        <v>731</v>
      </c>
      <c r="F547" s="58"/>
      <c r="G547" s="57" t="s">
        <v>604</v>
      </c>
      <c r="H547" s="59">
        <v>1</v>
      </c>
      <c r="I547" s="57"/>
      <c r="J547" s="57"/>
      <c r="K547" s="59"/>
      <c r="L547" s="57"/>
      <c r="M547" s="60"/>
      <c r="N547" s="59"/>
      <c r="O547" s="57"/>
      <c r="P547" s="57"/>
      <c r="Q547" s="57"/>
      <c r="R547" s="57"/>
      <c r="S547" s="59"/>
      <c r="T547" s="57"/>
      <c r="U547" s="60"/>
      <c r="V547" s="59"/>
      <c r="W547" s="57"/>
      <c r="X547" s="57"/>
      <c r="Y547" s="57" t="s">
        <v>20</v>
      </c>
      <c r="Z547" s="57" t="s">
        <v>2923</v>
      </c>
      <c r="AA547" s="59">
        <v>32199</v>
      </c>
      <c r="AB547" s="57" t="s">
        <v>61</v>
      </c>
      <c r="AC547" s="60">
        <v>45910</v>
      </c>
      <c r="AD547" s="59">
        <v>32199</v>
      </c>
      <c r="AE547" s="57" t="s">
        <v>2924</v>
      </c>
      <c r="AF547" s="57" t="s">
        <v>2925</v>
      </c>
    </row>
    <row r="548" spans="1:32">
      <c r="A548" s="57">
        <v>547</v>
      </c>
      <c r="B548" s="58">
        <v>45924.421863425923</v>
      </c>
      <c r="C548" s="58">
        <v>45924.426076388889</v>
      </c>
      <c r="D548" s="57" t="s">
        <v>1289</v>
      </c>
      <c r="E548" s="57" t="s">
        <v>1290</v>
      </c>
      <c r="F548" s="58"/>
      <c r="G548" s="57" t="s">
        <v>641</v>
      </c>
      <c r="H548" s="59">
        <v>2</v>
      </c>
      <c r="I548" s="57"/>
      <c r="J548" s="57"/>
      <c r="K548" s="59"/>
      <c r="L548" s="57"/>
      <c r="M548" s="60"/>
      <c r="N548" s="59"/>
      <c r="O548" s="57"/>
      <c r="P548" s="57"/>
      <c r="Q548" s="57" t="s">
        <v>21</v>
      </c>
      <c r="R548" s="57" t="s">
        <v>1291</v>
      </c>
      <c r="S548" s="59">
        <v>41349</v>
      </c>
      <c r="T548" s="57" t="s">
        <v>61</v>
      </c>
      <c r="U548" s="60">
        <v>45923</v>
      </c>
      <c r="V548" s="59">
        <v>41349</v>
      </c>
      <c r="W548" s="57" t="s">
        <v>2926</v>
      </c>
      <c r="X548" s="57" t="s">
        <v>2927</v>
      </c>
      <c r="Y548" s="57" t="s">
        <v>21</v>
      </c>
      <c r="Z548" s="57" t="s">
        <v>336</v>
      </c>
      <c r="AA548" s="59">
        <v>9846</v>
      </c>
      <c r="AB548" s="57" t="s">
        <v>61</v>
      </c>
      <c r="AC548" s="60">
        <v>45923</v>
      </c>
      <c r="AD548" s="59">
        <v>9846</v>
      </c>
      <c r="AE548" s="57" t="s">
        <v>2928</v>
      </c>
      <c r="AF548" s="57" t="s">
        <v>2929</v>
      </c>
    </row>
    <row r="549" spans="1:32">
      <c r="A549" s="57">
        <v>548</v>
      </c>
      <c r="B549" s="58">
        <v>45924.411365740743</v>
      </c>
      <c r="C549" s="58">
        <v>45924.42659722222</v>
      </c>
      <c r="D549" s="57" t="s">
        <v>1260</v>
      </c>
      <c r="E549" s="57" t="s">
        <v>1261</v>
      </c>
      <c r="F549" s="58"/>
      <c r="G549" s="57" t="s">
        <v>637</v>
      </c>
      <c r="H549" s="59">
        <v>3</v>
      </c>
      <c r="I549" s="57" t="s">
        <v>20</v>
      </c>
      <c r="J549" s="57" t="s">
        <v>330</v>
      </c>
      <c r="K549" s="59">
        <v>19439</v>
      </c>
      <c r="L549" s="57" t="s">
        <v>61</v>
      </c>
      <c r="M549" s="60">
        <v>45848</v>
      </c>
      <c r="N549" s="59">
        <v>19439</v>
      </c>
      <c r="O549" s="57" t="s">
        <v>2930</v>
      </c>
      <c r="P549" s="57" t="s">
        <v>2931</v>
      </c>
      <c r="Q549" s="57" t="s">
        <v>20</v>
      </c>
      <c r="R549" s="57" t="s">
        <v>1265</v>
      </c>
      <c r="S549" s="59">
        <v>29272</v>
      </c>
      <c r="T549" s="57" t="s">
        <v>61</v>
      </c>
      <c r="U549" s="60">
        <v>45849</v>
      </c>
      <c r="V549" s="59">
        <v>29272</v>
      </c>
      <c r="W549" s="57" t="s">
        <v>2932</v>
      </c>
      <c r="X549" s="57" t="s">
        <v>2933</v>
      </c>
      <c r="Y549" s="57" t="s">
        <v>20</v>
      </c>
      <c r="Z549" s="57" t="s">
        <v>2934</v>
      </c>
      <c r="AA549" s="59">
        <v>51388</v>
      </c>
      <c r="AB549" s="57" t="s">
        <v>61</v>
      </c>
      <c r="AC549" s="60">
        <v>45849</v>
      </c>
      <c r="AD549" s="59">
        <v>51388</v>
      </c>
      <c r="AE549" s="57" t="s">
        <v>2935</v>
      </c>
      <c r="AF549" s="57" t="s">
        <v>2936</v>
      </c>
    </row>
    <row r="550" spans="1:32">
      <c r="A550" s="57">
        <v>549</v>
      </c>
      <c r="B550" s="58">
        <v>45924.341215277767</v>
      </c>
      <c r="C550" s="58">
        <v>45924.470277777778</v>
      </c>
      <c r="D550" s="57" t="s">
        <v>2068</v>
      </c>
      <c r="E550" s="57" t="s">
        <v>2069</v>
      </c>
      <c r="F550" s="58"/>
      <c r="G550" s="57" t="s">
        <v>643</v>
      </c>
      <c r="H550" s="59">
        <v>1</v>
      </c>
      <c r="I550" s="57"/>
      <c r="J550" s="57"/>
      <c r="K550" s="59"/>
      <c r="L550" s="57"/>
      <c r="M550" s="60"/>
      <c r="N550" s="59"/>
      <c r="O550" s="57"/>
      <c r="P550" s="57"/>
      <c r="Q550" s="57"/>
      <c r="R550" s="57"/>
      <c r="S550" s="59"/>
      <c r="T550" s="57"/>
      <c r="U550" s="60"/>
      <c r="V550" s="59"/>
      <c r="W550" s="57"/>
      <c r="X550" s="57"/>
      <c r="Y550" s="57" t="s">
        <v>21</v>
      </c>
      <c r="Z550" s="57" t="s">
        <v>338</v>
      </c>
      <c r="AA550" s="59">
        <v>10635</v>
      </c>
      <c r="AB550" s="57" t="s">
        <v>61</v>
      </c>
      <c r="AC550" s="60">
        <v>45923</v>
      </c>
      <c r="AD550" s="59">
        <v>10635</v>
      </c>
      <c r="AE550" s="57" t="s">
        <v>2937</v>
      </c>
      <c r="AF550" s="57" t="s">
        <v>2938</v>
      </c>
    </row>
    <row r="551" spans="1:32">
      <c r="A551" s="57">
        <v>550</v>
      </c>
      <c r="B551" s="58">
        <v>45924.494456018518</v>
      </c>
      <c r="C551" s="58">
        <v>45924.495694444442</v>
      </c>
      <c r="D551" s="57" t="s">
        <v>782</v>
      </c>
      <c r="E551" s="57" t="s">
        <v>783</v>
      </c>
      <c r="F551" s="58"/>
      <c r="G551" s="57" t="s">
        <v>685</v>
      </c>
      <c r="H551" s="59">
        <v>1</v>
      </c>
      <c r="I551" s="57"/>
      <c r="J551" s="57"/>
      <c r="K551" s="59"/>
      <c r="L551" s="57"/>
      <c r="M551" s="60"/>
      <c r="N551" s="59"/>
      <c r="O551" s="57"/>
      <c r="P551" s="57"/>
      <c r="Q551" s="57"/>
      <c r="R551" s="57"/>
      <c r="S551" s="59"/>
      <c r="T551" s="57"/>
      <c r="U551" s="60"/>
      <c r="V551" s="59"/>
      <c r="W551" s="57"/>
      <c r="X551" s="57"/>
      <c r="Y551" s="57" t="s">
        <v>20</v>
      </c>
      <c r="Z551" s="57" t="s">
        <v>784</v>
      </c>
      <c r="AA551" s="59">
        <v>39949</v>
      </c>
      <c r="AB551" s="57" t="s">
        <v>61</v>
      </c>
      <c r="AC551" s="60">
        <v>45910</v>
      </c>
      <c r="AD551" s="59">
        <v>39949</v>
      </c>
      <c r="AE551" s="57" t="s">
        <v>2939</v>
      </c>
      <c r="AF551" s="57" t="s">
        <v>2940</v>
      </c>
    </row>
    <row r="552" spans="1:32">
      <c r="A552" s="57">
        <v>551</v>
      </c>
      <c r="B552" s="58">
        <v>45924.493148148147</v>
      </c>
      <c r="C552" s="58">
        <v>45924.503564814811</v>
      </c>
      <c r="D552" s="57" t="s">
        <v>1607</v>
      </c>
      <c r="E552" s="57" t="s">
        <v>1608</v>
      </c>
      <c r="F552" s="58"/>
      <c r="G552" s="57" t="s">
        <v>682</v>
      </c>
      <c r="H552" s="59">
        <v>1</v>
      </c>
      <c r="I552" s="57"/>
      <c r="J552" s="57"/>
      <c r="K552" s="59"/>
      <c r="L552" s="57"/>
      <c r="M552" s="60"/>
      <c r="N552" s="59"/>
      <c r="O552" s="57"/>
      <c r="P552" s="57"/>
      <c r="Q552" s="57"/>
      <c r="R552" s="57"/>
      <c r="S552" s="59"/>
      <c r="T552" s="57"/>
      <c r="U552" s="60"/>
      <c r="V552" s="59"/>
      <c r="W552" s="57"/>
      <c r="X552" s="57"/>
      <c r="Y552" s="57" t="s">
        <v>21</v>
      </c>
      <c r="Z552" s="57" t="s">
        <v>398</v>
      </c>
      <c r="AA552" s="59">
        <v>520</v>
      </c>
      <c r="AB552" s="57" t="s">
        <v>61</v>
      </c>
      <c r="AC552" s="60">
        <v>45911</v>
      </c>
      <c r="AD552" s="59">
        <v>520</v>
      </c>
      <c r="AE552" s="57" t="s">
        <v>2941</v>
      </c>
      <c r="AF552" s="57" t="s">
        <v>2942</v>
      </c>
    </row>
    <row r="553" spans="1:32">
      <c r="A553" s="57">
        <v>552</v>
      </c>
      <c r="B553" s="58">
        <v>45924.38113425926</v>
      </c>
      <c r="C553" s="58">
        <v>45924.51116898148</v>
      </c>
      <c r="D553" s="57" t="s">
        <v>985</v>
      </c>
      <c r="E553" s="57" t="s">
        <v>986</v>
      </c>
      <c r="F553" s="58"/>
      <c r="G553" s="57" t="s">
        <v>715</v>
      </c>
      <c r="H553" s="59">
        <v>1</v>
      </c>
      <c r="I553" s="57"/>
      <c r="J553" s="57"/>
      <c r="K553" s="59"/>
      <c r="L553" s="57"/>
      <c r="M553" s="60"/>
      <c r="N553" s="59"/>
      <c r="O553" s="57"/>
      <c r="P553" s="57"/>
      <c r="Q553" s="57"/>
      <c r="R553" s="57"/>
      <c r="S553" s="59"/>
      <c r="T553" s="57"/>
      <c r="U553" s="60"/>
      <c r="V553" s="59"/>
      <c r="W553" s="57"/>
      <c r="X553" s="57"/>
      <c r="Y553" s="57" t="s">
        <v>21</v>
      </c>
      <c r="Z553" s="57" t="s">
        <v>987</v>
      </c>
      <c r="AA553" s="59">
        <v>29089</v>
      </c>
      <c r="AB553" s="57" t="s">
        <v>61</v>
      </c>
      <c r="AC553" s="60">
        <v>45831</v>
      </c>
      <c r="AD553" s="59">
        <v>29089</v>
      </c>
      <c r="AE553" s="57" t="s">
        <v>2943</v>
      </c>
      <c r="AF553" s="57" t="s">
        <v>2944</v>
      </c>
    </row>
    <row r="554" spans="1:32">
      <c r="A554" s="57">
        <v>553</v>
      </c>
      <c r="B554" s="58">
        <v>45924.376226851848</v>
      </c>
      <c r="C554" s="58">
        <v>45924.521273148152</v>
      </c>
      <c r="D554" s="57" t="s">
        <v>1767</v>
      </c>
      <c r="E554" s="57" t="s">
        <v>1768</v>
      </c>
      <c r="F554" s="58"/>
      <c r="G554" s="57" t="s">
        <v>541</v>
      </c>
      <c r="H554" s="59">
        <v>2</v>
      </c>
      <c r="I554" s="57"/>
      <c r="J554" s="57"/>
      <c r="K554" s="59"/>
      <c r="L554" s="57"/>
      <c r="M554" s="60"/>
      <c r="N554" s="59"/>
      <c r="O554" s="57"/>
      <c r="P554" s="57"/>
      <c r="Q554" s="57" t="s">
        <v>21</v>
      </c>
      <c r="R554" s="57" t="s">
        <v>210</v>
      </c>
      <c r="S554" s="59">
        <v>53373</v>
      </c>
      <c r="T554" s="57" t="s">
        <v>61</v>
      </c>
      <c r="U554" s="60">
        <v>45862</v>
      </c>
      <c r="V554" s="59">
        <v>53373</v>
      </c>
      <c r="W554" s="57" t="s">
        <v>2945</v>
      </c>
      <c r="X554" s="57" t="s">
        <v>2946</v>
      </c>
      <c r="Y554" s="57" t="s">
        <v>21</v>
      </c>
      <c r="Z554" s="57" t="s">
        <v>323</v>
      </c>
      <c r="AA554" s="59">
        <v>15842</v>
      </c>
      <c r="AB554" s="57" t="s">
        <v>61</v>
      </c>
      <c r="AC554" s="60">
        <v>45918</v>
      </c>
      <c r="AD554" s="59">
        <v>15842</v>
      </c>
      <c r="AE554" s="57" t="s">
        <v>2947</v>
      </c>
      <c r="AF554" s="57" t="s">
        <v>2948</v>
      </c>
    </row>
    <row r="555" spans="1:32">
      <c r="A555" s="57">
        <v>554</v>
      </c>
      <c r="B555" s="58">
        <v>45924.550567129627</v>
      </c>
      <c r="C555" s="58">
        <v>45924.551030092603</v>
      </c>
      <c r="D555" s="57" t="s">
        <v>1205</v>
      </c>
      <c r="E555" s="57" t="s">
        <v>1206</v>
      </c>
      <c r="F555" s="58"/>
      <c r="G555" s="57" t="s">
        <v>474</v>
      </c>
      <c r="H555" s="59">
        <v>1</v>
      </c>
      <c r="I555" s="57"/>
      <c r="J555" s="57"/>
      <c r="K555" s="59"/>
      <c r="L555" s="57"/>
      <c r="M555" s="60"/>
      <c r="N555" s="59"/>
      <c r="O555" s="57"/>
      <c r="P555" s="57"/>
      <c r="Q555" s="57"/>
      <c r="R555" s="57"/>
      <c r="S555" s="59"/>
      <c r="T555" s="57"/>
      <c r="U555" s="60"/>
      <c r="V555" s="59"/>
      <c r="W555" s="57"/>
      <c r="X555" s="57"/>
      <c r="Y555" s="57" t="s">
        <v>21</v>
      </c>
      <c r="Z555" s="57" t="s">
        <v>140</v>
      </c>
      <c r="AA555" s="59">
        <v>20507</v>
      </c>
      <c r="AB555" s="57" t="s">
        <v>61</v>
      </c>
      <c r="AC555" s="60">
        <v>45903</v>
      </c>
      <c r="AD555" s="59">
        <v>20507</v>
      </c>
      <c r="AE555" s="57" t="s">
        <v>2949</v>
      </c>
      <c r="AF555" s="57" t="s">
        <v>2950</v>
      </c>
    </row>
    <row r="556" spans="1:32">
      <c r="A556" s="57">
        <v>555</v>
      </c>
      <c r="B556" s="58">
        <v>45924.554606481477</v>
      </c>
      <c r="C556" s="58">
        <v>45924.555625000001</v>
      </c>
      <c r="D556" s="57" t="s">
        <v>1480</v>
      </c>
      <c r="E556" s="57" t="s">
        <v>1481</v>
      </c>
      <c r="F556" s="58"/>
      <c r="G556" s="57" t="s">
        <v>504</v>
      </c>
      <c r="H556" s="59">
        <v>1</v>
      </c>
      <c r="I556" s="57"/>
      <c r="J556" s="57"/>
      <c r="K556" s="59"/>
      <c r="L556" s="57"/>
      <c r="M556" s="60"/>
      <c r="N556" s="59"/>
      <c r="O556" s="57"/>
      <c r="P556" s="57"/>
      <c r="Q556" s="57"/>
      <c r="R556" s="57"/>
      <c r="S556" s="59"/>
      <c r="T556" s="57"/>
      <c r="U556" s="60"/>
      <c r="V556" s="59"/>
      <c r="W556" s="57"/>
      <c r="X556" s="57"/>
      <c r="Y556" s="57" t="s">
        <v>21</v>
      </c>
      <c r="Z556" s="57" t="s">
        <v>170</v>
      </c>
      <c r="AA556" s="59">
        <v>57693</v>
      </c>
      <c r="AB556" s="57" t="s">
        <v>61</v>
      </c>
      <c r="AC556" s="60">
        <v>45825</v>
      </c>
      <c r="AD556" s="59">
        <v>57693</v>
      </c>
      <c r="AE556" s="57" t="s">
        <v>2951</v>
      </c>
      <c r="AF556" s="57" t="s">
        <v>2952</v>
      </c>
    </row>
    <row r="557" spans="1:32">
      <c r="A557" s="57">
        <v>556</v>
      </c>
      <c r="B557" s="58">
        <v>45924.566030092603</v>
      </c>
      <c r="C557" s="58">
        <v>45924.637986111113</v>
      </c>
      <c r="D557" s="57" t="s">
        <v>1068</v>
      </c>
      <c r="E557" s="57" t="s">
        <v>1069</v>
      </c>
      <c r="F557" s="58"/>
      <c r="G557" s="57" t="s">
        <v>485</v>
      </c>
      <c r="H557" s="59">
        <v>2</v>
      </c>
      <c r="I557" s="57"/>
      <c r="J557" s="57"/>
      <c r="K557" s="59"/>
      <c r="L557" s="57"/>
      <c r="M557" s="60"/>
      <c r="N557" s="59"/>
      <c r="O557" s="57"/>
      <c r="P557" s="57"/>
      <c r="Q557" s="57" t="s">
        <v>21</v>
      </c>
      <c r="R557" s="57" t="s">
        <v>151</v>
      </c>
      <c r="S557" s="59">
        <v>31239</v>
      </c>
      <c r="T557" s="57" t="s">
        <v>61</v>
      </c>
      <c r="U557" s="60">
        <v>45764</v>
      </c>
      <c r="V557" s="59">
        <v>31239</v>
      </c>
      <c r="W557" s="57" t="s">
        <v>2953</v>
      </c>
      <c r="X557" s="57" t="s">
        <v>2954</v>
      </c>
      <c r="Y557" s="57" t="s">
        <v>22</v>
      </c>
      <c r="Z557" s="57" t="s">
        <v>1072</v>
      </c>
      <c r="AA557" s="59">
        <v>104683</v>
      </c>
      <c r="AB557" s="57" t="s">
        <v>61</v>
      </c>
      <c r="AC557" s="60">
        <v>45761</v>
      </c>
      <c r="AD557" s="59">
        <v>104683</v>
      </c>
      <c r="AE557" s="57" t="s">
        <v>2955</v>
      </c>
      <c r="AF557" s="57" t="s">
        <v>2956</v>
      </c>
    </row>
    <row r="558" spans="1:32">
      <c r="A558" s="57">
        <v>557</v>
      </c>
      <c r="B558" s="58">
        <v>45924.62777777778</v>
      </c>
      <c r="C558" s="58">
        <v>45924.656099537038</v>
      </c>
      <c r="D558" s="57" t="s">
        <v>1018</v>
      </c>
      <c r="E558" s="57" t="s">
        <v>1019</v>
      </c>
      <c r="F558" s="58"/>
      <c r="G558" s="57" t="s">
        <v>472</v>
      </c>
      <c r="H558" s="59">
        <v>1</v>
      </c>
      <c r="I558" s="57"/>
      <c r="J558" s="57"/>
      <c r="K558" s="59"/>
      <c r="L558" s="57"/>
      <c r="M558" s="60"/>
      <c r="N558" s="59"/>
      <c r="O558" s="57"/>
      <c r="P558" s="57"/>
      <c r="Q558" s="57"/>
      <c r="R558" s="57"/>
      <c r="S558" s="59"/>
      <c r="T558" s="57"/>
      <c r="U558" s="60"/>
      <c r="V558" s="59"/>
      <c r="W558" s="57"/>
      <c r="X558" s="57"/>
      <c r="Y558" s="57" t="s">
        <v>20</v>
      </c>
      <c r="Z558" s="57" t="s">
        <v>138</v>
      </c>
      <c r="AA558" s="59">
        <v>45321</v>
      </c>
      <c r="AB558" s="57" t="s">
        <v>61</v>
      </c>
      <c r="AC558" s="60">
        <v>45819</v>
      </c>
      <c r="AD558" s="59">
        <v>45321</v>
      </c>
      <c r="AE558" s="57" t="s">
        <v>2957</v>
      </c>
      <c r="AF558" s="57" t="s">
        <v>2958</v>
      </c>
    </row>
    <row r="559" spans="1:32">
      <c r="A559" s="57">
        <v>558</v>
      </c>
      <c r="B559" s="58">
        <v>45924.663553240738</v>
      </c>
      <c r="C559" s="58">
        <v>45924.665636574071</v>
      </c>
      <c r="D559" s="57" t="s">
        <v>1590</v>
      </c>
      <c r="E559" s="57" t="s">
        <v>1591</v>
      </c>
      <c r="F559" s="58"/>
      <c r="G559" s="57" t="s">
        <v>465</v>
      </c>
      <c r="H559" s="59">
        <v>1</v>
      </c>
      <c r="I559" s="57"/>
      <c r="J559" s="57"/>
      <c r="K559" s="59"/>
      <c r="L559" s="57"/>
      <c r="M559" s="60"/>
      <c r="N559" s="59"/>
      <c r="O559" s="57"/>
      <c r="P559" s="57"/>
      <c r="Q559" s="57"/>
      <c r="R559" s="57"/>
      <c r="S559" s="59"/>
      <c r="T559" s="57"/>
      <c r="U559" s="60"/>
      <c r="V559" s="59"/>
      <c r="W559" s="57"/>
      <c r="X559" s="57"/>
      <c r="Y559" s="57" t="s">
        <v>20</v>
      </c>
      <c r="Z559" s="57" t="s">
        <v>130</v>
      </c>
      <c r="AA559" s="59">
        <v>68951</v>
      </c>
      <c r="AB559" s="57" t="s">
        <v>61</v>
      </c>
      <c r="AC559" s="60">
        <v>45828</v>
      </c>
      <c r="AD559" s="59">
        <v>68951</v>
      </c>
      <c r="AE559" s="57" t="s">
        <v>2959</v>
      </c>
      <c r="AF559" s="57" t="s">
        <v>2960</v>
      </c>
    </row>
    <row r="560" spans="1:32">
      <c r="A560" s="57">
        <v>559</v>
      </c>
      <c r="B560" s="58">
        <v>45924.666354166657</v>
      </c>
      <c r="C560" s="58">
        <v>45924.670891203707</v>
      </c>
      <c r="D560" s="57" t="s">
        <v>857</v>
      </c>
      <c r="E560" s="57" t="s">
        <v>858</v>
      </c>
      <c r="F560" s="58"/>
      <c r="G560" s="57" t="s">
        <v>702</v>
      </c>
      <c r="H560" s="59">
        <v>1</v>
      </c>
      <c r="I560" s="57"/>
      <c r="J560" s="57"/>
      <c r="K560" s="59"/>
      <c r="L560" s="57"/>
      <c r="M560" s="60"/>
      <c r="N560" s="59"/>
      <c r="O560" s="57"/>
      <c r="P560" s="57"/>
      <c r="Q560" s="57"/>
      <c r="R560" s="57"/>
      <c r="S560" s="59"/>
      <c r="T560" s="57"/>
      <c r="U560" s="60"/>
      <c r="V560" s="59"/>
      <c r="W560" s="57"/>
      <c r="X560" s="57"/>
      <c r="Y560" s="57" t="s">
        <v>21</v>
      </c>
      <c r="Z560" s="57" t="s">
        <v>859</v>
      </c>
      <c r="AA560" s="59">
        <v>37423</v>
      </c>
      <c r="AB560" s="57" t="s">
        <v>61</v>
      </c>
      <c r="AC560" s="60">
        <v>45888</v>
      </c>
      <c r="AD560" s="59">
        <v>37423</v>
      </c>
      <c r="AE560" s="57" t="s">
        <v>2961</v>
      </c>
      <c r="AF560" s="57" t="s">
        <v>2962</v>
      </c>
    </row>
    <row r="561" spans="1:32">
      <c r="A561" s="57">
        <v>560</v>
      </c>
      <c r="B561" s="58">
        <v>45924.682476851849</v>
      </c>
      <c r="C561" s="58">
        <v>45924.682974537027</v>
      </c>
      <c r="D561" s="57" t="s">
        <v>1425</v>
      </c>
      <c r="E561" s="57" t="s">
        <v>1426</v>
      </c>
      <c r="F561" s="58"/>
      <c r="G561" s="57" t="s">
        <v>689</v>
      </c>
      <c r="H561" s="59">
        <v>1</v>
      </c>
      <c r="I561" s="57"/>
      <c r="J561" s="57"/>
      <c r="K561" s="59"/>
      <c r="L561" s="57"/>
      <c r="M561" s="60"/>
      <c r="N561" s="59"/>
      <c r="O561" s="57"/>
      <c r="P561" s="57"/>
      <c r="Q561" s="57"/>
      <c r="R561" s="57"/>
      <c r="S561" s="59"/>
      <c r="T561" s="57"/>
      <c r="U561" s="60"/>
      <c r="V561" s="59"/>
      <c r="W561" s="57"/>
      <c r="X561" s="57"/>
      <c r="Y561" s="57" t="s">
        <v>20</v>
      </c>
      <c r="Z561" s="57" t="s">
        <v>1427</v>
      </c>
      <c r="AA561" s="59">
        <v>106069</v>
      </c>
      <c r="AB561" s="57" t="s">
        <v>61</v>
      </c>
      <c r="AC561" s="60">
        <v>45918</v>
      </c>
      <c r="AD561" s="59">
        <v>106069</v>
      </c>
      <c r="AE561" s="57" t="s">
        <v>2963</v>
      </c>
      <c r="AF561" s="57" t="s">
        <v>2964</v>
      </c>
    </row>
    <row r="562" spans="1:32">
      <c r="A562" s="57">
        <v>561</v>
      </c>
      <c r="B562" s="58">
        <v>45924.683252314811</v>
      </c>
      <c r="C562" s="58">
        <v>45924.689201388886</v>
      </c>
      <c r="D562" s="57" t="s">
        <v>1603</v>
      </c>
      <c r="E562" s="57" t="s">
        <v>1604</v>
      </c>
      <c r="F562" s="58"/>
      <c r="G562" s="57" t="s">
        <v>538</v>
      </c>
      <c r="H562" s="59">
        <v>1</v>
      </c>
      <c r="I562" s="57"/>
      <c r="J562" s="57"/>
      <c r="K562" s="59"/>
      <c r="L562" s="57"/>
      <c r="M562" s="60"/>
      <c r="N562" s="59"/>
      <c r="O562" s="57"/>
      <c r="P562" s="57"/>
      <c r="Q562" s="57"/>
      <c r="R562" s="57"/>
      <c r="S562" s="59"/>
      <c r="T562" s="57"/>
      <c r="U562" s="60"/>
      <c r="V562" s="59"/>
      <c r="W562" s="57"/>
      <c r="X562" s="57"/>
      <c r="Y562" s="57" t="s">
        <v>21</v>
      </c>
      <c r="Z562" s="57" t="s">
        <v>206</v>
      </c>
      <c r="AA562" s="59">
        <v>44684</v>
      </c>
      <c r="AB562" s="57" t="s">
        <v>61</v>
      </c>
      <c r="AC562" s="60">
        <v>45912</v>
      </c>
      <c r="AD562" s="59">
        <v>44684</v>
      </c>
      <c r="AE562" s="57" t="s">
        <v>2965</v>
      </c>
      <c r="AF562" s="57" t="s">
        <v>2966</v>
      </c>
    </row>
    <row r="563" spans="1:32">
      <c r="A563" s="57">
        <v>562</v>
      </c>
      <c r="B563" s="58">
        <v>45924.710196759261</v>
      </c>
      <c r="C563" s="58">
        <v>45924.714155092603</v>
      </c>
      <c r="D563" s="57" t="s">
        <v>1489</v>
      </c>
      <c r="E563" s="57" t="s">
        <v>1490</v>
      </c>
      <c r="F563" s="58"/>
      <c r="G563" s="57" t="s">
        <v>648</v>
      </c>
      <c r="H563" s="59">
        <v>1</v>
      </c>
      <c r="I563" s="57"/>
      <c r="J563" s="57"/>
      <c r="K563" s="59"/>
      <c r="L563" s="57"/>
      <c r="M563" s="60"/>
      <c r="N563" s="59"/>
      <c r="O563" s="57"/>
      <c r="P563" s="57"/>
      <c r="Q563" s="57"/>
      <c r="R563" s="57"/>
      <c r="S563" s="59"/>
      <c r="T563" s="57"/>
      <c r="U563" s="60"/>
      <c r="V563" s="59"/>
      <c r="W563" s="57"/>
      <c r="X563" s="57"/>
      <c r="Y563" s="57" t="s">
        <v>21</v>
      </c>
      <c r="Z563" s="57" t="s">
        <v>344</v>
      </c>
      <c r="AA563" s="59">
        <v>9076</v>
      </c>
      <c r="AB563" s="57" t="s">
        <v>61</v>
      </c>
      <c r="AC563" s="60">
        <v>45915</v>
      </c>
      <c r="AD563" s="59">
        <v>9076</v>
      </c>
      <c r="AE563" s="57" t="s">
        <v>2967</v>
      </c>
      <c r="AF563" s="57" t="s">
        <v>2968</v>
      </c>
    </row>
    <row r="564" spans="1:32">
      <c r="A564" s="57">
        <v>563</v>
      </c>
      <c r="B564" s="58">
        <v>45924.721250000002</v>
      </c>
      <c r="C564" s="58">
        <v>45924.721585648149</v>
      </c>
      <c r="D564" s="57" t="s">
        <v>809</v>
      </c>
      <c r="E564" s="57" t="s">
        <v>810</v>
      </c>
      <c r="F564" s="58"/>
      <c r="G564" s="57" t="s">
        <v>468</v>
      </c>
      <c r="H564" s="59">
        <v>1</v>
      </c>
      <c r="I564" s="57"/>
      <c r="J564" s="57"/>
      <c r="K564" s="59"/>
      <c r="L564" s="57"/>
      <c r="M564" s="60"/>
      <c r="N564" s="59"/>
      <c r="O564" s="57"/>
      <c r="P564" s="57"/>
      <c r="Q564" s="57"/>
      <c r="R564" s="57"/>
      <c r="S564" s="59"/>
      <c r="T564" s="57"/>
      <c r="U564" s="60"/>
      <c r="V564" s="59"/>
      <c r="W564" s="57"/>
      <c r="X564" s="57"/>
      <c r="Y564" s="57" t="s">
        <v>21</v>
      </c>
      <c r="Z564" s="57" t="s">
        <v>134</v>
      </c>
      <c r="AA564" s="59">
        <v>45470</v>
      </c>
      <c r="AB564" s="57" t="s">
        <v>61</v>
      </c>
      <c r="AC564" s="60">
        <v>45762</v>
      </c>
      <c r="AD564" s="59">
        <v>45470</v>
      </c>
      <c r="AE564" s="57" t="s">
        <v>2969</v>
      </c>
      <c r="AF564" s="57" t="s">
        <v>2970</v>
      </c>
    </row>
    <row r="565" spans="1:32">
      <c r="A565" s="57">
        <v>564</v>
      </c>
      <c r="B565" s="58">
        <v>45924.716863425929</v>
      </c>
      <c r="C565" s="58">
        <v>45924.725671296299</v>
      </c>
      <c r="D565" s="57" t="s">
        <v>1045</v>
      </c>
      <c r="E565" s="57" t="s">
        <v>1046</v>
      </c>
      <c r="F565" s="58"/>
      <c r="G565" s="57" t="s">
        <v>610</v>
      </c>
      <c r="H565" s="59">
        <v>1</v>
      </c>
      <c r="I565" s="57"/>
      <c r="J565" s="57"/>
      <c r="K565" s="59"/>
      <c r="L565" s="57"/>
      <c r="M565" s="60"/>
      <c r="N565" s="59"/>
      <c r="O565" s="57"/>
      <c r="P565" s="57"/>
      <c r="Q565" s="57"/>
      <c r="R565" s="57"/>
      <c r="S565" s="59"/>
      <c r="T565" s="57"/>
      <c r="U565" s="60"/>
      <c r="V565" s="59"/>
      <c r="W565" s="57"/>
      <c r="X565" s="57"/>
      <c r="Y565" s="57" t="s">
        <v>21</v>
      </c>
      <c r="Z565" s="57" t="s">
        <v>1047</v>
      </c>
      <c r="AA565" s="59">
        <v>23695</v>
      </c>
      <c r="AB565" s="57" t="s">
        <v>61</v>
      </c>
      <c r="AC565" s="60">
        <v>45875</v>
      </c>
      <c r="AD565" s="59">
        <v>23695</v>
      </c>
      <c r="AE565" s="57" t="s">
        <v>2971</v>
      </c>
      <c r="AF565" s="57" t="s">
        <v>2972</v>
      </c>
    </row>
    <row r="566" spans="1:32">
      <c r="A566" s="57">
        <v>565</v>
      </c>
      <c r="B566" s="58">
        <v>45924.748807870368</v>
      </c>
      <c r="C566" s="58">
        <v>45924.751180555562</v>
      </c>
      <c r="D566" s="57" t="s">
        <v>1143</v>
      </c>
      <c r="E566" s="57" t="s">
        <v>1144</v>
      </c>
      <c r="F566" s="58"/>
      <c r="G566" s="57" t="s">
        <v>630</v>
      </c>
      <c r="H566" s="59">
        <v>1</v>
      </c>
      <c r="I566" s="57"/>
      <c r="J566" s="57"/>
      <c r="K566" s="59"/>
      <c r="L566" s="57"/>
      <c r="M566" s="60"/>
      <c r="N566" s="59"/>
      <c r="O566" s="57"/>
      <c r="P566" s="57"/>
      <c r="Q566" s="57"/>
      <c r="R566" s="57"/>
      <c r="S566" s="59"/>
      <c r="T566" s="57"/>
      <c r="U566" s="60"/>
      <c r="V566" s="59"/>
      <c r="W566" s="57"/>
      <c r="X566" s="57"/>
      <c r="Y566" s="57" t="s">
        <v>20</v>
      </c>
      <c r="Z566" s="57" t="s">
        <v>1145</v>
      </c>
      <c r="AA566" s="59">
        <v>39890</v>
      </c>
      <c r="AB566" s="57" t="s">
        <v>61</v>
      </c>
      <c r="AC566" s="60">
        <v>45924</v>
      </c>
      <c r="AD566" s="59">
        <v>39890</v>
      </c>
      <c r="AE566" s="57" t="s">
        <v>2973</v>
      </c>
      <c r="AF566" s="57" t="s">
        <v>2974</v>
      </c>
    </row>
    <row r="567" spans="1:32">
      <c r="A567" s="57">
        <v>566</v>
      </c>
      <c r="B567" s="58">
        <v>45924.840729166674</v>
      </c>
      <c r="C567" s="58">
        <v>45924.841585648152</v>
      </c>
      <c r="D567" s="57" t="s">
        <v>1078</v>
      </c>
      <c r="E567" s="57" t="s">
        <v>1079</v>
      </c>
      <c r="F567" s="58"/>
      <c r="G567" s="57" t="s">
        <v>456</v>
      </c>
      <c r="H567" s="59">
        <v>2</v>
      </c>
      <c r="I567" s="57"/>
      <c r="J567" s="57"/>
      <c r="K567" s="59"/>
      <c r="L567" s="57"/>
      <c r="M567" s="60"/>
      <c r="N567" s="59"/>
      <c r="O567" s="57"/>
      <c r="P567" s="57"/>
      <c r="Q567" s="57" t="s">
        <v>22</v>
      </c>
      <c r="R567" s="57" t="s">
        <v>132</v>
      </c>
      <c r="S567" s="59">
        <v>38843</v>
      </c>
      <c r="T567" s="57" t="s">
        <v>61</v>
      </c>
      <c r="U567" s="60">
        <v>45889</v>
      </c>
      <c r="V567" s="59">
        <v>38843</v>
      </c>
      <c r="W567" s="57" t="s">
        <v>2975</v>
      </c>
      <c r="X567" s="57" t="s">
        <v>2976</v>
      </c>
      <c r="Y567" s="57" t="s">
        <v>20</v>
      </c>
      <c r="Z567" s="57" t="s">
        <v>122</v>
      </c>
      <c r="AA567" s="59">
        <v>43296</v>
      </c>
      <c r="AB567" s="57" t="s">
        <v>61</v>
      </c>
      <c r="AC567" s="60">
        <v>45889</v>
      </c>
      <c r="AD567" s="59">
        <v>43296</v>
      </c>
      <c r="AE567" s="57" t="s">
        <v>2977</v>
      </c>
      <c r="AF567" s="57" t="s">
        <v>2978</v>
      </c>
    </row>
    <row r="568" spans="1:32">
      <c r="A568" s="57">
        <v>567</v>
      </c>
      <c r="B568" s="58">
        <v>45925.347025462957</v>
      </c>
      <c r="C568" s="58">
        <v>45925.35434027778</v>
      </c>
      <c r="D568" s="57" t="s">
        <v>2040</v>
      </c>
      <c r="E568" s="57" t="s">
        <v>2041</v>
      </c>
      <c r="F568" s="58"/>
      <c r="G568" s="57" t="s">
        <v>573</v>
      </c>
      <c r="H568" s="59">
        <v>2</v>
      </c>
      <c r="I568" s="57"/>
      <c r="J568" s="57"/>
      <c r="K568" s="59"/>
      <c r="L568" s="57"/>
      <c r="M568" s="60"/>
      <c r="N568" s="59"/>
      <c r="O568" s="57"/>
      <c r="P568" s="57"/>
      <c r="Q568" s="57" t="s">
        <v>22</v>
      </c>
      <c r="R568" s="57" t="s">
        <v>245</v>
      </c>
      <c r="S568" s="59">
        <v>26999</v>
      </c>
      <c r="T568" s="57" t="s">
        <v>61</v>
      </c>
      <c r="U568" s="60">
        <v>45756</v>
      </c>
      <c r="V568" s="59">
        <v>26999</v>
      </c>
      <c r="W568" s="57" t="s">
        <v>2979</v>
      </c>
      <c r="X568" s="57" t="s">
        <v>2980</v>
      </c>
      <c r="Y568" s="57" t="s">
        <v>21</v>
      </c>
      <c r="Z568" s="57" t="s">
        <v>2044</v>
      </c>
      <c r="AA568" s="59">
        <v>50376</v>
      </c>
      <c r="AB568" s="57" t="s">
        <v>61</v>
      </c>
      <c r="AC568" s="60">
        <v>45903</v>
      </c>
      <c r="AD568" s="59">
        <v>50376</v>
      </c>
      <c r="AE568" s="57" t="s">
        <v>2981</v>
      </c>
      <c r="AF568" s="57" t="s">
        <v>2982</v>
      </c>
    </row>
    <row r="569" spans="1:32">
      <c r="A569" s="57">
        <v>568</v>
      </c>
      <c r="B569" s="58">
        <v>45925.351527777777</v>
      </c>
      <c r="C569" s="58">
        <v>45925.358819444453</v>
      </c>
      <c r="D569" s="57" t="s">
        <v>1383</v>
      </c>
      <c r="E569" s="57" t="s">
        <v>1384</v>
      </c>
      <c r="F569" s="58"/>
      <c r="G569" s="57" t="s">
        <v>626</v>
      </c>
      <c r="H569" s="59">
        <v>1</v>
      </c>
      <c r="I569" s="57"/>
      <c r="J569" s="57"/>
      <c r="K569" s="59"/>
      <c r="L569" s="57"/>
      <c r="M569" s="60"/>
      <c r="N569" s="59"/>
      <c r="O569" s="57"/>
      <c r="P569" s="57"/>
      <c r="Q569" s="57"/>
      <c r="R569" s="57"/>
      <c r="S569" s="59"/>
      <c r="T569" s="57"/>
      <c r="U569" s="60"/>
      <c r="V569" s="59"/>
      <c r="W569" s="57"/>
      <c r="X569" s="57"/>
      <c r="Y569" s="57" t="s">
        <v>21</v>
      </c>
      <c r="Z569" s="57" t="s">
        <v>309</v>
      </c>
      <c r="AA569" s="59">
        <v>18441</v>
      </c>
      <c r="AB569" s="57" t="s">
        <v>61</v>
      </c>
      <c r="AC569" s="60">
        <v>45805</v>
      </c>
      <c r="AD569" s="59">
        <v>18441</v>
      </c>
      <c r="AE569" s="57" t="s">
        <v>2983</v>
      </c>
      <c r="AF569" s="57" t="s">
        <v>2984</v>
      </c>
    </row>
    <row r="570" spans="1:32">
      <c r="A570" s="57">
        <v>569</v>
      </c>
      <c r="B570" s="58">
        <v>45925.344456018523</v>
      </c>
      <c r="C570" s="58">
        <v>45925.359247685177</v>
      </c>
      <c r="D570" s="57" t="s">
        <v>2180</v>
      </c>
      <c r="E570" s="57" t="s">
        <v>2181</v>
      </c>
      <c r="F570" s="58"/>
      <c r="G570" s="57" t="s">
        <v>590</v>
      </c>
      <c r="H570" s="59">
        <v>2</v>
      </c>
      <c r="I570" s="57"/>
      <c r="J570" s="57"/>
      <c r="K570" s="59"/>
      <c r="L570" s="57"/>
      <c r="M570" s="60"/>
      <c r="N570" s="59"/>
      <c r="O570" s="57"/>
      <c r="P570" s="57"/>
      <c r="Q570" s="57" t="s">
        <v>22</v>
      </c>
      <c r="R570" s="57" t="s">
        <v>264</v>
      </c>
      <c r="S570" s="59">
        <v>27275</v>
      </c>
      <c r="T570" s="57" t="s">
        <v>61</v>
      </c>
      <c r="U570" s="60">
        <v>45780</v>
      </c>
      <c r="V570" s="59">
        <v>27275</v>
      </c>
      <c r="W570" s="57" t="s">
        <v>2985</v>
      </c>
      <c r="X570" s="57" t="s">
        <v>2986</v>
      </c>
      <c r="Y570" s="57" t="s">
        <v>20</v>
      </c>
      <c r="Z570" s="57" t="s">
        <v>382</v>
      </c>
      <c r="AA570" s="59">
        <v>3373</v>
      </c>
      <c r="AB570" s="57" t="s">
        <v>61</v>
      </c>
      <c r="AC570" s="60">
        <v>45849</v>
      </c>
      <c r="AD570" s="59">
        <v>3373</v>
      </c>
      <c r="AE570" s="57" t="s">
        <v>2987</v>
      </c>
      <c r="AF570" s="57" t="s">
        <v>2988</v>
      </c>
    </row>
    <row r="571" spans="1:32">
      <c r="A571" s="57">
        <v>570</v>
      </c>
      <c r="B571" s="58">
        <v>45925.418240740742</v>
      </c>
      <c r="C571" s="58">
        <v>45925.429340277777</v>
      </c>
      <c r="D571" s="57" t="s">
        <v>1682</v>
      </c>
      <c r="E571" s="57" t="s">
        <v>1683</v>
      </c>
      <c r="F571" s="58"/>
      <c r="G571" s="57" t="s">
        <v>606</v>
      </c>
      <c r="H571" s="59">
        <v>3</v>
      </c>
      <c r="I571" s="57" t="s">
        <v>22</v>
      </c>
      <c r="J571" s="57" t="s">
        <v>284</v>
      </c>
      <c r="K571" s="59">
        <v>12278</v>
      </c>
      <c r="L571" s="57" t="s">
        <v>61</v>
      </c>
      <c r="M571" s="60">
        <v>45928</v>
      </c>
      <c r="N571" s="59">
        <v>12278</v>
      </c>
      <c r="O571" s="57" t="s">
        <v>2989</v>
      </c>
      <c r="P571" s="57" t="s">
        <v>2990</v>
      </c>
      <c r="Q571" s="57" t="s">
        <v>21</v>
      </c>
      <c r="R571" s="57" t="s">
        <v>364</v>
      </c>
      <c r="S571" s="59">
        <v>11099</v>
      </c>
      <c r="T571" s="57" t="s">
        <v>61</v>
      </c>
      <c r="U571" s="60">
        <v>45916</v>
      </c>
      <c r="V571" s="59">
        <v>11099</v>
      </c>
      <c r="W571" s="57" t="s">
        <v>2991</v>
      </c>
      <c r="X571" s="57" t="s">
        <v>2992</v>
      </c>
      <c r="Y571" s="57" t="s">
        <v>20</v>
      </c>
      <c r="Z571" s="57" t="s">
        <v>2993</v>
      </c>
      <c r="AA571" s="59">
        <v>69274</v>
      </c>
      <c r="AB571" s="57" t="s">
        <v>61</v>
      </c>
      <c r="AC571" s="60">
        <v>45911</v>
      </c>
      <c r="AD571" s="59">
        <v>69274</v>
      </c>
      <c r="AE571" s="57" t="s">
        <v>2994</v>
      </c>
      <c r="AF571" s="57" t="s">
        <v>2995</v>
      </c>
    </row>
    <row r="572" spans="1:32">
      <c r="A572" s="57">
        <v>571</v>
      </c>
      <c r="B572" s="58">
        <v>45925.384236111109</v>
      </c>
      <c r="C572" s="58">
        <v>45925.458657407413</v>
      </c>
      <c r="D572" s="57" t="s">
        <v>2026</v>
      </c>
      <c r="E572" s="57" t="s">
        <v>2027</v>
      </c>
      <c r="F572" s="58"/>
      <c r="G572" s="57" t="s">
        <v>579</v>
      </c>
      <c r="H572" s="59">
        <v>2</v>
      </c>
      <c r="I572" s="57"/>
      <c r="J572" s="57"/>
      <c r="K572" s="59"/>
      <c r="L572" s="57"/>
      <c r="M572" s="60"/>
      <c r="N572" s="59"/>
      <c r="O572" s="57"/>
      <c r="P572" s="57"/>
      <c r="Q572" s="57" t="s">
        <v>22</v>
      </c>
      <c r="R572" s="57" t="s">
        <v>251</v>
      </c>
      <c r="S572" s="59">
        <v>38356</v>
      </c>
      <c r="T572" s="57" t="s">
        <v>61</v>
      </c>
      <c r="U572" s="60">
        <v>45790</v>
      </c>
      <c r="V572" s="59">
        <v>38356</v>
      </c>
      <c r="W572" s="57" t="s">
        <v>2996</v>
      </c>
      <c r="X572" s="57" t="s">
        <v>2997</v>
      </c>
      <c r="Y572" s="57" t="s">
        <v>21</v>
      </c>
      <c r="Z572" s="57" t="s">
        <v>1239</v>
      </c>
      <c r="AA572" s="59">
        <v>53782</v>
      </c>
      <c r="AB572" s="57" t="s">
        <v>61</v>
      </c>
      <c r="AC572" s="60">
        <v>45794</v>
      </c>
      <c r="AD572" s="59">
        <v>53782</v>
      </c>
      <c r="AE572" s="57" t="s">
        <v>2998</v>
      </c>
      <c r="AF572" s="57" t="s">
        <v>2999</v>
      </c>
    </row>
    <row r="573" spans="1:32">
      <c r="A573" s="57">
        <v>572</v>
      </c>
      <c r="B573" s="58">
        <v>45925.526747685188</v>
      </c>
      <c r="C573" s="58">
        <v>45925.528043981481</v>
      </c>
      <c r="D573" s="57" t="s">
        <v>1709</v>
      </c>
      <c r="E573" s="57" t="s">
        <v>1710</v>
      </c>
      <c r="F573" s="58"/>
      <c r="G573" s="57" t="s">
        <v>533</v>
      </c>
      <c r="H573" s="59">
        <v>1</v>
      </c>
      <c r="I573" s="57"/>
      <c r="J573" s="57"/>
      <c r="K573" s="59"/>
      <c r="L573" s="57"/>
      <c r="M573" s="60"/>
      <c r="N573" s="59"/>
      <c r="O573" s="57"/>
      <c r="P573" s="57"/>
      <c r="Q573" s="57"/>
      <c r="R573" s="57"/>
      <c r="S573" s="59"/>
      <c r="T573" s="57"/>
      <c r="U573" s="60"/>
      <c r="V573" s="59"/>
      <c r="W573" s="57"/>
      <c r="X573" s="57"/>
      <c r="Y573" s="57" t="s">
        <v>20</v>
      </c>
      <c r="Z573" s="57" t="s">
        <v>201</v>
      </c>
      <c r="AA573" s="59">
        <v>53144</v>
      </c>
      <c r="AB573" s="57" t="s">
        <v>61</v>
      </c>
      <c r="AC573" s="60">
        <v>45924</v>
      </c>
      <c r="AD573" s="59">
        <v>53144</v>
      </c>
      <c r="AE573" s="57" t="s">
        <v>3000</v>
      </c>
      <c r="AF573" s="57" t="s">
        <v>3001</v>
      </c>
    </row>
    <row r="574" spans="1:32">
      <c r="A574" s="57">
        <v>573</v>
      </c>
      <c r="B574" s="58">
        <v>45925.59097222222</v>
      </c>
      <c r="C574" s="58">
        <v>45925.591643518521</v>
      </c>
      <c r="D574" s="57" t="s">
        <v>1365</v>
      </c>
      <c r="E574" s="57" t="s">
        <v>1366</v>
      </c>
      <c r="F574" s="58"/>
      <c r="G574" s="57" t="s">
        <v>638</v>
      </c>
      <c r="H574" s="59">
        <v>1</v>
      </c>
      <c r="I574" s="57"/>
      <c r="J574" s="57"/>
      <c r="K574" s="59"/>
      <c r="L574" s="57"/>
      <c r="M574" s="60"/>
      <c r="N574" s="59"/>
      <c r="O574" s="57"/>
      <c r="P574" s="57"/>
      <c r="Q574" s="57"/>
      <c r="R574" s="57"/>
      <c r="S574" s="59"/>
      <c r="T574" s="57"/>
      <c r="U574" s="60"/>
      <c r="V574" s="59"/>
      <c r="W574" s="57"/>
      <c r="X574" s="57"/>
      <c r="Y574" s="57" t="s">
        <v>21</v>
      </c>
      <c r="Z574" s="57" t="s">
        <v>331</v>
      </c>
      <c r="AA574" s="59">
        <v>8127</v>
      </c>
      <c r="AB574" s="57" t="s">
        <v>61</v>
      </c>
      <c r="AC574" s="60">
        <v>45867</v>
      </c>
      <c r="AD574" s="59">
        <v>8127</v>
      </c>
      <c r="AE574" s="57" t="s">
        <v>3002</v>
      </c>
      <c r="AF574" s="57" t="s">
        <v>3003</v>
      </c>
    </row>
    <row r="575" spans="1:32">
      <c r="A575" s="57">
        <v>574</v>
      </c>
      <c r="B575" s="58">
        <v>45925.595972222232</v>
      </c>
      <c r="C575" s="58">
        <v>45925.597638888888</v>
      </c>
      <c r="D575" s="57" t="s">
        <v>1506</v>
      </c>
      <c r="E575" s="57" t="s">
        <v>1507</v>
      </c>
      <c r="F575" s="58"/>
      <c r="G575" s="57" t="s">
        <v>477</v>
      </c>
      <c r="H575" s="59">
        <v>1</v>
      </c>
      <c r="I575" s="57"/>
      <c r="J575" s="57"/>
      <c r="K575" s="59"/>
      <c r="L575" s="57"/>
      <c r="M575" s="60"/>
      <c r="N575" s="59"/>
      <c r="O575" s="57"/>
      <c r="P575" s="57"/>
      <c r="Q575" s="57"/>
      <c r="R575" s="57"/>
      <c r="S575" s="59"/>
      <c r="T575" s="57"/>
      <c r="U575" s="60"/>
      <c r="V575" s="59"/>
      <c r="W575" s="57"/>
      <c r="X575" s="57"/>
      <c r="Y575" s="57" t="s">
        <v>20</v>
      </c>
      <c r="Z575" s="57" t="s">
        <v>143</v>
      </c>
      <c r="AA575" s="59">
        <v>84672</v>
      </c>
      <c r="AB575" s="57" t="s">
        <v>61</v>
      </c>
      <c r="AC575" s="60">
        <v>45877</v>
      </c>
      <c r="AD575" s="59">
        <v>84672</v>
      </c>
      <c r="AE575" s="57" t="s">
        <v>3004</v>
      </c>
      <c r="AF575" s="57" t="s">
        <v>3005</v>
      </c>
    </row>
    <row r="576" spans="1:32">
      <c r="A576" s="57">
        <v>575</v>
      </c>
      <c r="B576" s="58">
        <v>45925.618854166663</v>
      </c>
      <c r="C576" s="58">
        <v>45925.622337962966</v>
      </c>
      <c r="D576" s="57" t="s">
        <v>2232</v>
      </c>
      <c r="E576" s="57" t="s">
        <v>2233</v>
      </c>
      <c r="F576" s="58"/>
      <c r="G576" s="57" t="s">
        <v>600</v>
      </c>
      <c r="H576" s="59">
        <v>1</v>
      </c>
      <c r="I576" s="57"/>
      <c r="J576" s="57"/>
      <c r="K576" s="59"/>
      <c r="L576" s="57"/>
      <c r="M576" s="60"/>
      <c r="N576" s="59"/>
      <c r="O576" s="57"/>
      <c r="P576" s="57"/>
      <c r="Q576" s="57"/>
      <c r="R576" s="57"/>
      <c r="S576" s="59"/>
      <c r="T576" s="57"/>
      <c r="U576" s="60"/>
      <c r="V576" s="59"/>
      <c r="W576" s="57"/>
      <c r="X576" s="57"/>
      <c r="Y576" s="57" t="s">
        <v>20</v>
      </c>
      <c r="Z576" s="57" t="s">
        <v>276</v>
      </c>
      <c r="AA576" s="59">
        <v>21694</v>
      </c>
      <c r="AB576" s="57" t="s">
        <v>61</v>
      </c>
      <c r="AC576" s="60">
        <v>45889</v>
      </c>
      <c r="AD576" s="59">
        <v>21694</v>
      </c>
      <c r="AE576" s="57" t="s">
        <v>3006</v>
      </c>
      <c r="AF576" s="57" t="s">
        <v>3007</v>
      </c>
    </row>
    <row r="577" spans="1:32">
      <c r="A577" s="57">
        <v>576</v>
      </c>
      <c r="B577" s="58">
        <v>45925.625289351847</v>
      </c>
      <c r="C577" s="58">
        <v>45925.626226851848</v>
      </c>
      <c r="D577" s="57" t="s">
        <v>1193</v>
      </c>
      <c r="E577" s="57" t="s">
        <v>1194</v>
      </c>
      <c r="F577" s="58"/>
      <c r="G577" s="57" t="s">
        <v>656</v>
      </c>
      <c r="H577" s="59">
        <v>1</v>
      </c>
      <c r="I577" s="57"/>
      <c r="J577" s="57"/>
      <c r="K577" s="59"/>
      <c r="L577" s="57"/>
      <c r="M577" s="60"/>
      <c r="N577" s="59"/>
      <c r="O577" s="57"/>
      <c r="P577" s="57"/>
      <c r="Q577" s="57"/>
      <c r="R577" s="57"/>
      <c r="S577" s="59"/>
      <c r="T577" s="57"/>
      <c r="U577" s="60"/>
      <c r="V577" s="59"/>
      <c r="W577" s="57"/>
      <c r="X577" s="57"/>
      <c r="Y577" s="57" t="s">
        <v>20</v>
      </c>
      <c r="Z577" s="57" t="s">
        <v>1195</v>
      </c>
      <c r="AA577" s="59">
        <v>48942</v>
      </c>
      <c r="AB577" s="57" t="s">
        <v>61</v>
      </c>
      <c r="AC577" s="60">
        <v>45922</v>
      </c>
      <c r="AD577" s="59">
        <v>48942</v>
      </c>
      <c r="AE577" s="57" t="s">
        <v>3008</v>
      </c>
      <c r="AF577" s="57" t="s">
        <v>3009</v>
      </c>
    </row>
    <row r="578" spans="1:32">
      <c r="A578" s="57">
        <v>577</v>
      </c>
      <c r="B578" s="58">
        <v>45925.626608796287</v>
      </c>
      <c r="C578" s="58">
        <v>45925.6328587963</v>
      </c>
      <c r="D578" s="57" t="s">
        <v>2420</v>
      </c>
      <c r="E578" s="57" t="s">
        <v>2421</v>
      </c>
      <c r="F578" s="58"/>
      <c r="G578" s="57" t="s">
        <v>611</v>
      </c>
      <c r="H578" s="59">
        <v>1</v>
      </c>
      <c r="I578" s="57"/>
      <c r="J578" s="57"/>
      <c r="K578" s="59"/>
      <c r="L578" s="57"/>
      <c r="M578" s="60"/>
      <c r="N578" s="59"/>
      <c r="O578" s="57"/>
      <c r="P578" s="57"/>
      <c r="Q578" s="57"/>
      <c r="R578" s="57"/>
      <c r="S578" s="59"/>
      <c r="T578" s="57"/>
      <c r="U578" s="60"/>
      <c r="V578" s="59"/>
      <c r="W578" s="57"/>
      <c r="X578" s="57"/>
      <c r="Y578" s="57" t="s">
        <v>21</v>
      </c>
      <c r="Z578" s="57" t="s">
        <v>291</v>
      </c>
      <c r="AA578" s="59">
        <v>8276</v>
      </c>
      <c r="AB578" s="57" t="s">
        <v>61</v>
      </c>
      <c r="AC578" s="60">
        <v>45895</v>
      </c>
      <c r="AD578" s="59">
        <v>8276</v>
      </c>
      <c r="AE578" s="57" t="s">
        <v>3010</v>
      </c>
      <c r="AF578" s="57" t="s">
        <v>3011</v>
      </c>
    </row>
    <row r="579" spans="1:32">
      <c r="A579" s="57">
        <v>578</v>
      </c>
      <c r="B579" s="58">
        <v>45925.626122685193</v>
      </c>
      <c r="C579" s="58">
        <v>45925.634351851862</v>
      </c>
      <c r="D579" s="57" t="s">
        <v>1303</v>
      </c>
      <c r="E579" s="57" t="s">
        <v>1304</v>
      </c>
      <c r="F579" s="58"/>
      <c r="G579" s="57" t="s">
        <v>558</v>
      </c>
      <c r="H579" s="59">
        <v>2</v>
      </c>
      <c r="I579" s="57"/>
      <c r="J579" s="57"/>
      <c r="K579" s="59"/>
      <c r="L579" s="57"/>
      <c r="M579" s="60"/>
      <c r="N579" s="59"/>
      <c r="O579" s="57"/>
      <c r="P579" s="57"/>
      <c r="Q579" s="57" t="s">
        <v>22</v>
      </c>
      <c r="R579" s="57" t="s">
        <v>228</v>
      </c>
      <c r="S579" s="59">
        <v>53788</v>
      </c>
      <c r="T579" s="57" t="s">
        <v>61</v>
      </c>
      <c r="U579" s="60">
        <v>45866</v>
      </c>
      <c r="V579" s="59">
        <v>53788</v>
      </c>
      <c r="W579" s="57" t="s">
        <v>3012</v>
      </c>
      <c r="X579" s="57" t="s">
        <v>3013</v>
      </c>
      <c r="Y579" s="57" t="s">
        <v>20</v>
      </c>
      <c r="Z579" s="57" t="s">
        <v>313</v>
      </c>
      <c r="AA579" s="59">
        <v>9078</v>
      </c>
      <c r="AB579" s="57" t="s">
        <v>61</v>
      </c>
      <c r="AC579" s="60">
        <v>45840</v>
      </c>
      <c r="AD579" s="59">
        <v>9078</v>
      </c>
      <c r="AE579" s="57" t="s">
        <v>3014</v>
      </c>
      <c r="AF579" s="57" t="s">
        <v>3015</v>
      </c>
    </row>
    <row r="580" spans="1:32">
      <c r="A580" s="57">
        <v>579</v>
      </c>
      <c r="B580" s="58">
        <v>45925.630601851852</v>
      </c>
      <c r="C580" s="58">
        <v>45925.637141203697</v>
      </c>
      <c r="D580" s="57" t="s">
        <v>909</v>
      </c>
      <c r="E580" s="57" t="s">
        <v>910</v>
      </c>
      <c r="F580" s="58"/>
      <c r="G580" s="57" t="s">
        <v>712</v>
      </c>
      <c r="H580" s="59">
        <v>1</v>
      </c>
      <c r="I580" s="57"/>
      <c r="J580" s="57"/>
      <c r="K580" s="59"/>
      <c r="L580" s="57"/>
      <c r="M580" s="60"/>
      <c r="N580" s="59"/>
      <c r="O580" s="57"/>
      <c r="P580" s="57"/>
      <c r="Q580" s="57"/>
      <c r="R580" s="57"/>
      <c r="S580" s="59"/>
      <c r="T580" s="57"/>
      <c r="U580" s="60"/>
      <c r="V580" s="59"/>
      <c r="W580" s="57"/>
      <c r="X580" s="57"/>
      <c r="Y580" s="57" t="s">
        <v>21</v>
      </c>
      <c r="Z580" s="57" t="s">
        <v>911</v>
      </c>
      <c r="AA580" s="59">
        <v>56483</v>
      </c>
      <c r="AB580" s="57" t="s">
        <v>61</v>
      </c>
      <c r="AC580" s="60">
        <v>45885</v>
      </c>
      <c r="AD580" s="59">
        <v>56483</v>
      </c>
      <c r="AE580" s="57" t="s">
        <v>3016</v>
      </c>
      <c r="AF580" s="57" t="s">
        <v>3017</v>
      </c>
    </row>
    <row r="581" spans="1:32">
      <c r="A581" s="57">
        <v>580</v>
      </c>
      <c r="B581" s="58">
        <v>45925.639305555553</v>
      </c>
      <c r="C581" s="58">
        <v>45925.639513888891</v>
      </c>
      <c r="D581" s="57" t="s">
        <v>1209</v>
      </c>
      <c r="E581" s="57" t="s">
        <v>1210</v>
      </c>
      <c r="F581" s="58"/>
      <c r="G581" s="57" t="s">
        <v>581</v>
      </c>
      <c r="H581" s="59">
        <v>2</v>
      </c>
      <c r="I581" s="57"/>
      <c r="J581" s="57"/>
      <c r="K581" s="59"/>
      <c r="L581" s="57"/>
      <c r="M581" s="60"/>
      <c r="N581" s="59"/>
      <c r="O581" s="57"/>
      <c r="P581" s="57"/>
      <c r="Q581" s="57" t="s">
        <v>22</v>
      </c>
      <c r="R581" s="57" t="s">
        <v>255</v>
      </c>
      <c r="S581" s="59">
        <v>25959</v>
      </c>
      <c r="T581" s="57" t="s">
        <v>61</v>
      </c>
      <c r="U581" s="60">
        <v>45763</v>
      </c>
      <c r="V581" s="59">
        <v>25959</v>
      </c>
      <c r="W581" s="57" t="s">
        <v>3018</v>
      </c>
      <c r="X581" s="57" t="s">
        <v>3019</v>
      </c>
      <c r="Y581" s="57" t="s">
        <v>20</v>
      </c>
      <c r="Z581" s="57" t="s">
        <v>1211</v>
      </c>
      <c r="AA581" s="59">
        <v>44179</v>
      </c>
      <c r="AB581" s="57" t="s">
        <v>61</v>
      </c>
      <c r="AC581" s="60">
        <v>45881</v>
      </c>
      <c r="AD581" s="59">
        <v>44179</v>
      </c>
      <c r="AE581" s="57" t="s">
        <v>3020</v>
      </c>
      <c r="AF581" s="57" t="s">
        <v>3021</v>
      </c>
    </row>
    <row r="582" spans="1:32">
      <c r="A582" s="57">
        <v>581</v>
      </c>
      <c r="B582" s="58">
        <v>45925.691261574073</v>
      </c>
      <c r="C582" s="58">
        <v>45925.71837962963</v>
      </c>
      <c r="D582" s="57" t="s">
        <v>2619</v>
      </c>
      <c r="E582" s="57" t="s">
        <v>2620</v>
      </c>
      <c r="F582" s="58"/>
      <c r="G582" s="57" t="s">
        <v>550</v>
      </c>
      <c r="H582" s="59">
        <v>2</v>
      </c>
      <c r="I582" s="57"/>
      <c r="J582" s="57"/>
      <c r="K582" s="59"/>
      <c r="L582" s="57"/>
      <c r="M582" s="60"/>
      <c r="N582" s="59"/>
      <c r="O582" s="57"/>
      <c r="P582" s="57"/>
      <c r="Q582" s="57" t="s">
        <v>21</v>
      </c>
      <c r="R582" s="57" t="s">
        <v>335</v>
      </c>
      <c r="S582" s="59">
        <v>7186</v>
      </c>
      <c r="T582" s="57" t="s">
        <v>61</v>
      </c>
      <c r="U582" s="60">
        <v>45656</v>
      </c>
      <c r="V582" s="59">
        <v>7186</v>
      </c>
      <c r="W582" s="57" t="s">
        <v>3022</v>
      </c>
      <c r="X582" s="57" t="s">
        <v>3023</v>
      </c>
      <c r="Y582" s="57" t="s">
        <v>22</v>
      </c>
      <c r="Z582" s="57" t="s">
        <v>219</v>
      </c>
      <c r="AA582" s="59">
        <v>67174</v>
      </c>
      <c r="AB582" s="57" t="s">
        <v>61</v>
      </c>
      <c r="AC582" s="60">
        <v>45875</v>
      </c>
      <c r="AD582" s="59">
        <v>67174</v>
      </c>
      <c r="AE582" s="57" t="s">
        <v>3024</v>
      </c>
      <c r="AF582" s="57" t="s">
        <v>3025</v>
      </c>
    </row>
    <row r="583" spans="1:32">
      <c r="A583" s="57">
        <v>582</v>
      </c>
      <c r="B583" s="58">
        <v>45925.730300925927</v>
      </c>
      <c r="C583" s="58">
        <v>45925.734861111108</v>
      </c>
      <c r="D583" s="57" t="s">
        <v>805</v>
      </c>
      <c r="E583" s="57" t="s">
        <v>806</v>
      </c>
      <c r="F583" s="58"/>
      <c r="G583" s="57" t="s">
        <v>481</v>
      </c>
      <c r="H583" s="59">
        <v>1</v>
      </c>
      <c r="I583" s="57"/>
      <c r="J583" s="57"/>
      <c r="K583" s="59"/>
      <c r="L583" s="57"/>
      <c r="M583" s="60"/>
      <c r="N583" s="59"/>
      <c r="O583" s="57"/>
      <c r="P583" s="57"/>
      <c r="Q583" s="57"/>
      <c r="R583" s="57"/>
      <c r="S583" s="59"/>
      <c r="T583" s="57"/>
      <c r="U583" s="60"/>
      <c r="V583" s="59"/>
      <c r="W583" s="57"/>
      <c r="X583" s="57"/>
      <c r="Y583" s="57" t="s">
        <v>21</v>
      </c>
      <c r="Z583" s="57" t="s">
        <v>147</v>
      </c>
      <c r="AA583" s="59">
        <v>37052</v>
      </c>
      <c r="AB583" s="57" t="s">
        <v>61</v>
      </c>
      <c r="AC583" s="60">
        <v>45820</v>
      </c>
      <c r="AD583" s="59">
        <v>37052</v>
      </c>
      <c r="AE583" s="57" t="s">
        <v>3026</v>
      </c>
      <c r="AF583" s="57" t="s">
        <v>3027</v>
      </c>
    </row>
    <row r="584" spans="1:32">
      <c r="A584" s="57">
        <v>583</v>
      </c>
      <c r="B584" s="58">
        <v>45925.734050925923</v>
      </c>
      <c r="C584" s="58">
        <v>45925.740312499998</v>
      </c>
      <c r="D584" s="57" t="s">
        <v>2407</v>
      </c>
      <c r="E584" s="57" t="s">
        <v>2408</v>
      </c>
      <c r="F584" s="58"/>
      <c r="G584" s="57" t="s">
        <v>672</v>
      </c>
      <c r="H584" s="59">
        <v>2</v>
      </c>
      <c r="I584" s="57"/>
      <c r="J584" s="57"/>
      <c r="K584" s="59"/>
      <c r="L584" s="57"/>
      <c r="M584" s="60"/>
      <c r="N584" s="59"/>
      <c r="O584" s="57"/>
      <c r="P584" s="57"/>
      <c r="Q584" s="57" t="s">
        <v>20</v>
      </c>
      <c r="R584" s="57" t="s">
        <v>384</v>
      </c>
      <c r="S584" s="59">
        <v>5563</v>
      </c>
      <c r="T584" s="57" t="s">
        <v>61</v>
      </c>
      <c r="U584" s="60">
        <v>45919</v>
      </c>
      <c r="V584" s="59">
        <v>5563</v>
      </c>
      <c r="W584" s="57" t="s">
        <v>3028</v>
      </c>
      <c r="X584" s="57" t="s">
        <v>3029</v>
      </c>
      <c r="Y584" s="57" t="s">
        <v>20</v>
      </c>
      <c r="Z584" s="57" t="s">
        <v>2409</v>
      </c>
      <c r="AA584" s="59">
        <v>45947</v>
      </c>
      <c r="AB584" s="57" t="s">
        <v>61</v>
      </c>
      <c r="AC584" s="60">
        <v>45919</v>
      </c>
      <c r="AD584" s="59">
        <v>45947</v>
      </c>
      <c r="AE584" s="57" t="s">
        <v>3030</v>
      </c>
      <c r="AF584" s="57" t="s">
        <v>3031</v>
      </c>
    </row>
    <row r="585" spans="1:32">
      <c r="A585" s="57">
        <v>584</v>
      </c>
      <c r="B585" s="58">
        <v>45925.758263888893</v>
      </c>
      <c r="C585" s="58">
        <v>45925.763379629629</v>
      </c>
      <c r="D585" s="57" t="s">
        <v>1456</v>
      </c>
      <c r="E585" s="57" t="s">
        <v>1457</v>
      </c>
      <c r="F585" s="58"/>
      <c r="G585" s="57" t="s">
        <v>547</v>
      </c>
      <c r="H585" s="59">
        <v>2</v>
      </c>
      <c r="I585" s="57"/>
      <c r="J585" s="57"/>
      <c r="K585" s="59"/>
      <c r="L585" s="57"/>
      <c r="M585" s="60"/>
      <c r="N585" s="59"/>
      <c r="O585" s="57"/>
      <c r="P585" s="57"/>
      <c r="Q585" s="57" t="s">
        <v>21</v>
      </c>
      <c r="R585" s="57" t="s">
        <v>3032</v>
      </c>
      <c r="S585" s="59">
        <v>37430</v>
      </c>
      <c r="T585" s="57" t="s">
        <v>61</v>
      </c>
      <c r="U585" s="60">
        <v>45807</v>
      </c>
      <c r="V585" s="59">
        <v>37430</v>
      </c>
      <c r="W585" s="57" t="s">
        <v>3033</v>
      </c>
      <c r="X585" s="57" t="s">
        <v>3034</v>
      </c>
      <c r="Y585" s="57" t="s">
        <v>22</v>
      </c>
      <c r="Z585" s="57" t="s">
        <v>225</v>
      </c>
      <c r="AA585" s="59">
        <v>93650</v>
      </c>
      <c r="AB585" s="57" t="s">
        <v>61</v>
      </c>
      <c r="AC585" s="60">
        <v>45841</v>
      </c>
      <c r="AD585" s="59">
        <v>93650</v>
      </c>
      <c r="AE585" s="57" t="s">
        <v>3035</v>
      </c>
      <c r="AF585" s="57" t="s">
        <v>3036</v>
      </c>
    </row>
    <row r="586" spans="1:32">
      <c r="A586" s="57">
        <v>585</v>
      </c>
      <c r="B586" s="58">
        <v>45925.838055555563</v>
      </c>
      <c r="C586" s="58">
        <v>45925.842013888891</v>
      </c>
      <c r="D586" s="57" t="s">
        <v>1135</v>
      </c>
      <c r="E586" s="57" t="s">
        <v>1136</v>
      </c>
      <c r="F586" s="58"/>
      <c r="G586" s="57" t="s">
        <v>453</v>
      </c>
      <c r="H586" s="59">
        <v>1</v>
      </c>
      <c r="I586" s="57"/>
      <c r="J586" s="57"/>
      <c r="K586" s="59"/>
      <c r="L586" s="57"/>
      <c r="M586" s="60"/>
      <c r="N586" s="59"/>
      <c r="O586" s="57"/>
      <c r="P586" s="57"/>
      <c r="Q586" s="57"/>
      <c r="R586" s="57"/>
      <c r="S586" s="59"/>
      <c r="T586" s="57"/>
      <c r="U586" s="60"/>
      <c r="V586" s="59"/>
      <c r="W586" s="57"/>
      <c r="X586" s="57"/>
      <c r="Y586" s="57" t="s">
        <v>21</v>
      </c>
      <c r="Z586" s="57" t="s">
        <v>119</v>
      </c>
      <c r="AA586" s="59">
        <v>26493</v>
      </c>
      <c r="AB586" s="57" t="s">
        <v>61</v>
      </c>
      <c r="AC586" s="60">
        <v>45924</v>
      </c>
      <c r="AD586" s="59">
        <v>26493</v>
      </c>
      <c r="AE586" s="57" t="s">
        <v>3037</v>
      </c>
      <c r="AF586" s="57" t="s">
        <v>3038</v>
      </c>
    </row>
    <row r="587" spans="1:32">
      <c r="A587" s="57">
        <v>586</v>
      </c>
      <c r="B587" s="58">
        <v>45926.358680555553</v>
      </c>
      <c r="C587" s="58">
        <v>45926.368125000001</v>
      </c>
      <c r="D587" s="57" t="s">
        <v>3039</v>
      </c>
      <c r="E587" s="57" t="s">
        <v>3040</v>
      </c>
      <c r="F587" s="58"/>
      <c r="G587" s="57" t="s">
        <v>507</v>
      </c>
      <c r="H587" s="59">
        <v>3</v>
      </c>
      <c r="I587" s="57" t="s">
        <v>22</v>
      </c>
      <c r="J587" s="57" t="s">
        <v>173</v>
      </c>
      <c r="K587" s="59">
        <v>58630</v>
      </c>
      <c r="L587" s="57" t="s">
        <v>61</v>
      </c>
      <c r="M587" s="60">
        <v>45881</v>
      </c>
      <c r="N587" s="59">
        <v>58630</v>
      </c>
      <c r="O587" s="57" t="s">
        <v>3041</v>
      </c>
      <c r="P587" s="57" t="s">
        <v>3042</v>
      </c>
      <c r="Q587" s="57" t="s">
        <v>21</v>
      </c>
      <c r="R587" s="57" t="s">
        <v>3043</v>
      </c>
      <c r="S587" s="59">
        <v>13037</v>
      </c>
      <c r="T587" s="57" t="s">
        <v>61</v>
      </c>
      <c r="U587" s="60">
        <v>45873</v>
      </c>
      <c r="V587" s="59">
        <v>13037</v>
      </c>
      <c r="W587" s="57" t="s">
        <v>3044</v>
      </c>
      <c r="X587" s="57" t="s">
        <v>3045</v>
      </c>
      <c r="Y587" s="57" t="s">
        <v>20</v>
      </c>
      <c r="Z587" s="57" t="s">
        <v>1832</v>
      </c>
      <c r="AA587" s="59">
        <v>31242</v>
      </c>
      <c r="AB587" s="57" t="s">
        <v>61</v>
      </c>
      <c r="AC587" s="60">
        <v>45797</v>
      </c>
      <c r="AD587" s="59">
        <v>31242</v>
      </c>
      <c r="AE587" s="57" t="s">
        <v>3046</v>
      </c>
      <c r="AF587" s="57" t="s">
        <v>3047</v>
      </c>
    </row>
    <row r="588" spans="1:32">
      <c r="A588" s="57">
        <v>587</v>
      </c>
      <c r="B588" s="58">
        <v>45926.35015046296</v>
      </c>
      <c r="C588" s="58">
        <v>45926.390462962961</v>
      </c>
      <c r="D588" s="57" t="s">
        <v>1226</v>
      </c>
      <c r="E588" s="57" t="s">
        <v>1227</v>
      </c>
      <c r="F588" s="58"/>
      <c r="G588" s="57" t="s">
        <v>526</v>
      </c>
      <c r="H588" s="59">
        <v>2</v>
      </c>
      <c r="I588" s="57"/>
      <c r="J588" s="57"/>
      <c r="K588" s="59"/>
      <c r="L588" s="57"/>
      <c r="M588" s="60"/>
      <c r="N588" s="59"/>
      <c r="O588" s="57"/>
      <c r="P588" s="57"/>
      <c r="Q588" s="57" t="s">
        <v>22</v>
      </c>
      <c r="R588" s="57" t="s">
        <v>193</v>
      </c>
      <c r="S588" s="59">
        <v>34800</v>
      </c>
      <c r="T588" s="57" t="s">
        <v>61</v>
      </c>
      <c r="U588" s="60">
        <v>45798</v>
      </c>
      <c r="V588" s="59">
        <v>34800</v>
      </c>
      <c r="W588" s="57" t="s">
        <v>3048</v>
      </c>
      <c r="X588" s="57" t="s">
        <v>3049</v>
      </c>
      <c r="Y588" s="57" t="s">
        <v>21</v>
      </c>
      <c r="Z588" s="57" t="s">
        <v>372</v>
      </c>
      <c r="AA588" s="59">
        <v>2695</v>
      </c>
      <c r="AB588" s="57" t="s">
        <v>61</v>
      </c>
      <c r="AC588" s="60">
        <v>45909</v>
      </c>
      <c r="AD588" s="59">
        <v>2695</v>
      </c>
      <c r="AE588" s="57" t="s">
        <v>3050</v>
      </c>
      <c r="AF588" s="57" t="s">
        <v>3051</v>
      </c>
    </row>
    <row r="589" spans="1:32">
      <c r="A589" s="57">
        <v>588</v>
      </c>
      <c r="B589" s="58">
        <v>45926.412175925929</v>
      </c>
      <c r="C589" s="58">
        <v>45926.413622685177</v>
      </c>
      <c r="D589" s="57" t="s">
        <v>952</v>
      </c>
      <c r="E589" s="57" t="s">
        <v>953</v>
      </c>
      <c r="F589" s="58"/>
      <c r="G589" s="57" t="s">
        <v>644</v>
      </c>
      <c r="H589" s="59">
        <v>1</v>
      </c>
      <c r="I589" s="57"/>
      <c r="J589" s="57"/>
      <c r="K589" s="59"/>
      <c r="L589" s="57"/>
      <c r="M589" s="60"/>
      <c r="N589" s="59"/>
      <c r="O589" s="57"/>
      <c r="P589" s="57"/>
      <c r="Q589" s="57"/>
      <c r="R589" s="57"/>
      <c r="S589" s="59"/>
      <c r="T589" s="57"/>
      <c r="U589" s="60"/>
      <c r="V589" s="59"/>
      <c r="W589" s="57"/>
      <c r="X589" s="57"/>
      <c r="Y589" s="57" t="s">
        <v>21</v>
      </c>
      <c r="Z589" s="57" t="s">
        <v>339</v>
      </c>
      <c r="AA589" s="59">
        <v>6684</v>
      </c>
      <c r="AB589" s="57" t="s">
        <v>61</v>
      </c>
      <c r="AC589" s="60">
        <v>45926</v>
      </c>
      <c r="AD589" s="59">
        <v>6684</v>
      </c>
      <c r="AE589" s="57" t="s">
        <v>3052</v>
      </c>
      <c r="AF589" s="57" t="s">
        <v>3053</v>
      </c>
    </row>
    <row r="590" spans="1:32">
      <c r="A590" s="57">
        <v>589</v>
      </c>
      <c r="B590" s="58">
        <v>45926.390567129631</v>
      </c>
      <c r="C590" s="58">
        <v>45926.418368055558</v>
      </c>
      <c r="D590" s="57" t="s">
        <v>1163</v>
      </c>
      <c r="E590" s="57" t="s">
        <v>1164</v>
      </c>
      <c r="F590" s="58"/>
      <c r="G590" s="57" t="s">
        <v>536</v>
      </c>
      <c r="H590" s="59">
        <v>2</v>
      </c>
      <c r="I590" s="57"/>
      <c r="J590" s="57"/>
      <c r="K590" s="59"/>
      <c r="L590" s="57"/>
      <c r="M590" s="60"/>
      <c r="N590" s="59"/>
      <c r="O590" s="57"/>
      <c r="P590" s="57"/>
      <c r="Q590" s="57" t="s">
        <v>22</v>
      </c>
      <c r="R590" s="57" t="s">
        <v>204</v>
      </c>
      <c r="S590" s="59">
        <v>83548</v>
      </c>
      <c r="T590" s="57" t="s">
        <v>61</v>
      </c>
      <c r="U590" s="60">
        <v>45902</v>
      </c>
      <c r="V590" s="59">
        <v>83548</v>
      </c>
      <c r="W590" s="57" t="s">
        <v>3054</v>
      </c>
      <c r="X590" s="57" t="s">
        <v>3055</v>
      </c>
      <c r="Y590" s="57" t="s">
        <v>21</v>
      </c>
      <c r="Z590" s="57" t="s">
        <v>327</v>
      </c>
      <c r="AA590" s="59">
        <v>13440</v>
      </c>
      <c r="AB590" s="57" t="s">
        <v>61</v>
      </c>
      <c r="AC590" s="60">
        <v>45882</v>
      </c>
      <c r="AD590" s="59">
        <v>13440</v>
      </c>
      <c r="AE590" s="57" t="s">
        <v>3056</v>
      </c>
      <c r="AF590" s="57" t="s">
        <v>3057</v>
      </c>
    </row>
    <row r="591" spans="1:32">
      <c r="A591" s="57">
        <v>590</v>
      </c>
      <c r="B591" s="58">
        <v>45926.422951388893</v>
      </c>
      <c r="C591" s="58">
        <v>45926.430821759262</v>
      </c>
      <c r="D591" s="57" t="s">
        <v>1612</v>
      </c>
      <c r="E591" s="57" t="s">
        <v>1613</v>
      </c>
      <c r="F591" s="58"/>
      <c r="G591" s="57" t="s">
        <v>711</v>
      </c>
      <c r="H591" s="59">
        <v>1</v>
      </c>
      <c r="I591" s="57"/>
      <c r="J591" s="57"/>
      <c r="K591" s="59"/>
      <c r="L591" s="57"/>
      <c r="M591" s="60"/>
      <c r="N591" s="59"/>
      <c r="O591" s="57"/>
      <c r="P591" s="57"/>
      <c r="Q591" s="57"/>
      <c r="R591" s="57"/>
      <c r="S591" s="59"/>
      <c r="T591" s="57"/>
      <c r="U591" s="60"/>
      <c r="V591" s="59"/>
      <c r="W591" s="57"/>
      <c r="X591" s="57"/>
      <c r="Y591" s="57" t="s">
        <v>21</v>
      </c>
      <c r="Z591" s="57" t="s">
        <v>1614</v>
      </c>
      <c r="AA591" s="59">
        <v>88639</v>
      </c>
      <c r="AB591" s="57" t="s">
        <v>61</v>
      </c>
      <c r="AC591" s="60">
        <v>45908</v>
      </c>
      <c r="AD591" s="59">
        <v>88639</v>
      </c>
      <c r="AE591" s="57" t="s">
        <v>3058</v>
      </c>
      <c r="AF591" s="57" t="s">
        <v>3059</v>
      </c>
    </row>
    <row r="592" spans="1:32">
      <c r="A592" s="57">
        <v>591</v>
      </c>
      <c r="B592" s="58">
        <v>45926.424039351848</v>
      </c>
      <c r="C592" s="58">
        <v>45926.446261574078</v>
      </c>
      <c r="D592" s="57" t="s">
        <v>1502</v>
      </c>
      <c r="E592" s="57" t="s">
        <v>1503</v>
      </c>
      <c r="F592" s="58"/>
      <c r="G592" s="57" t="s">
        <v>491</v>
      </c>
      <c r="H592" s="59">
        <v>2</v>
      </c>
      <c r="I592" s="57"/>
      <c r="J592" s="57"/>
      <c r="K592" s="59"/>
      <c r="L592" s="57"/>
      <c r="M592" s="60"/>
      <c r="N592" s="59"/>
      <c r="O592" s="57"/>
      <c r="P592" s="57"/>
      <c r="Q592" s="57" t="s">
        <v>20</v>
      </c>
      <c r="R592" s="57" t="s">
        <v>157</v>
      </c>
      <c r="S592" s="59">
        <v>47275</v>
      </c>
      <c r="T592" s="57" t="s">
        <v>61</v>
      </c>
      <c r="U592" s="60">
        <v>45852</v>
      </c>
      <c r="V592" s="59">
        <v>47275</v>
      </c>
      <c r="W592" s="57" t="s">
        <v>3060</v>
      </c>
      <c r="X592" s="57" t="s">
        <v>3061</v>
      </c>
      <c r="Y592" s="57" t="s">
        <v>22</v>
      </c>
      <c r="Z592" s="57" t="s">
        <v>373</v>
      </c>
      <c r="AA592" s="59">
        <v>10448</v>
      </c>
      <c r="AB592" s="57" t="s">
        <v>61</v>
      </c>
      <c r="AC592" s="60">
        <v>45918</v>
      </c>
      <c r="AD592" s="59">
        <v>10448</v>
      </c>
      <c r="AE592" s="57" t="s">
        <v>3062</v>
      </c>
      <c r="AF592" s="57" t="s">
        <v>3063</v>
      </c>
    </row>
    <row r="593" spans="1:32">
      <c r="A593" s="57">
        <v>592</v>
      </c>
      <c r="B593" s="58">
        <v>45926.601377314822</v>
      </c>
      <c r="C593" s="58">
        <v>45926.6015625</v>
      </c>
      <c r="D593" s="57" t="s">
        <v>940</v>
      </c>
      <c r="E593" s="57" t="s">
        <v>941</v>
      </c>
      <c r="F593" s="58"/>
      <c r="G593" s="57" t="s">
        <v>688</v>
      </c>
      <c r="H593" s="59">
        <v>2</v>
      </c>
      <c r="I593" s="57"/>
      <c r="J593" s="57"/>
      <c r="K593" s="59"/>
      <c r="L593" s="57"/>
      <c r="M593" s="60"/>
      <c r="N593" s="59"/>
      <c r="O593" s="57"/>
      <c r="P593" s="57"/>
      <c r="Q593" s="57" t="s">
        <v>20</v>
      </c>
      <c r="R593" s="57" t="s">
        <v>945</v>
      </c>
      <c r="S593" s="59">
        <v>90956</v>
      </c>
      <c r="T593" s="57" t="s">
        <v>61</v>
      </c>
      <c r="U593" s="60">
        <v>45846</v>
      </c>
      <c r="V593" s="59">
        <v>90956</v>
      </c>
      <c r="W593" s="57" t="s">
        <v>3064</v>
      </c>
      <c r="X593" s="57" t="s">
        <v>3065</v>
      </c>
      <c r="Y593" s="57" t="s">
        <v>20</v>
      </c>
      <c r="Z593" s="57" t="s">
        <v>942</v>
      </c>
      <c r="AA593" s="59">
        <v>73533</v>
      </c>
      <c r="AB593" s="57" t="s">
        <v>61</v>
      </c>
      <c r="AC593" s="60">
        <v>45846</v>
      </c>
      <c r="AD593" s="59">
        <v>73533</v>
      </c>
      <c r="AE593" s="57" t="s">
        <v>3066</v>
      </c>
      <c r="AF593" s="57" t="s">
        <v>3067</v>
      </c>
    </row>
    <row r="594" spans="1:32">
      <c r="A594" s="57">
        <v>593</v>
      </c>
      <c r="B594" s="58">
        <v>45926.611620370371</v>
      </c>
      <c r="C594" s="58">
        <v>45926.615497685183</v>
      </c>
      <c r="D594" s="57" t="s">
        <v>1139</v>
      </c>
      <c r="E594" s="57" t="s">
        <v>1140</v>
      </c>
      <c r="F594" s="58"/>
      <c r="G594" s="57" t="s">
        <v>592</v>
      </c>
      <c r="H594" s="59">
        <v>1</v>
      </c>
      <c r="I594" s="57"/>
      <c r="J594" s="57"/>
      <c r="K594" s="59"/>
      <c r="L594" s="57"/>
      <c r="M594" s="60"/>
      <c r="N594" s="59"/>
      <c r="O594" s="57"/>
      <c r="P594" s="57"/>
      <c r="Q594" s="57"/>
      <c r="R594" s="57"/>
      <c r="S594" s="59"/>
      <c r="T594" s="57"/>
      <c r="U594" s="60"/>
      <c r="V594" s="59"/>
      <c r="W594" s="57"/>
      <c r="X594" s="57"/>
      <c r="Y594" s="57" t="s">
        <v>21</v>
      </c>
      <c r="Z594" s="57" t="s">
        <v>268</v>
      </c>
      <c r="AA594" s="59">
        <v>28235</v>
      </c>
      <c r="AB594" s="57" t="s">
        <v>61</v>
      </c>
      <c r="AC594" s="60">
        <v>45915</v>
      </c>
      <c r="AD594" s="59">
        <v>28235</v>
      </c>
      <c r="AE594" s="57" t="s">
        <v>3068</v>
      </c>
      <c r="AF594" s="57" t="s">
        <v>3069</v>
      </c>
    </row>
    <row r="595" spans="1:32">
      <c r="A595" s="57">
        <v>594</v>
      </c>
      <c r="B595" s="58">
        <v>45926.415277777778</v>
      </c>
      <c r="C595" s="58">
        <v>45926.626747685194</v>
      </c>
      <c r="D595" s="57" t="s">
        <v>1745</v>
      </c>
      <c r="E595" s="57" t="s">
        <v>1746</v>
      </c>
      <c r="F595" s="58"/>
      <c r="G595" s="57" t="s">
        <v>557</v>
      </c>
      <c r="H595" s="59">
        <v>2</v>
      </c>
      <c r="I595" s="57"/>
      <c r="J595" s="57"/>
      <c r="K595" s="59"/>
      <c r="L595" s="57"/>
      <c r="M595" s="60"/>
      <c r="N595" s="59"/>
      <c r="O595" s="57"/>
      <c r="P595" s="57"/>
      <c r="Q595" s="57" t="s">
        <v>20</v>
      </c>
      <c r="R595" s="57" t="s">
        <v>1747</v>
      </c>
      <c r="S595" s="59">
        <v>95395</v>
      </c>
      <c r="T595" s="57" t="s">
        <v>61</v>
      </c>
      <c r="U595" s="60">
        <v>45839</v>
      </c>
      <c r="V595" s="59">
        <v>95395</v>
      </c>
      <c r="W595" s="57" t="s">
        <v>3070</v>
      </c>
      <c r="X595" s="57" t="s">
        <v>3071</v>
      </c>
      <c r="Y595" s="57" t="s">
        <v>22</v>
      </c>
      <c r="Z595" s="57" t="s">
        <v>227</v>
      </c>
      <c r="AA595" s="59">
        <v>64004</v>
      </c>
      <c r="AB595" s="57" t="s">
        <v>61</v>
      </c>
      <c r="AC595" s="60">
        <v>45895</v>
      </c>
      <c r="AD595" s="59">
        <v>64004</v>
      </c>
      <c r="AE595" s="57" t="s">
        <v>3072</v>
      </c>
      <c r="AF595" s="57" t="s">
        <v>3073</v>
      </c>
    </row>
    <row r="596" spans="1:32">
      <c r="A596" s="57">
        <v>595</v>
      </c>
      <c r="B596" s="58">
        <v>45926.645381944443</v>
      </c>
      <c r="C596" s="58">
        <v>45926.65388888889</v>
      </c>
      <c r="D596" s="57" t="s">
        <v>1576</v>
      </c>
      <c r="E596" s="57" t="s">
        <v>1577</v>
      </c>
      <c r="F596" s="58"/>
      <c r="G596" s="57" t="s">
        <v>657</v>
      </c>
      <c r="H596" s="59">
        <v>2</v>
      </c>
      <c r="I596" s="57"/>
      <c r="J596" s="57"/>
      <c r="K596" s="59"/>
      <c r="L596" s="57"/>
      <c r="M596" s="60"/>
      <c r="N596" s="59"/>
      <c r="O596" s="57"/>
      <c r="P596" s="57"/>
      <c r="Q596" s="57" t="s">
        <v>22</v>
      </c>
      <c r="R596" s="57" t="s">
        <v>402</v>
      </c>
      <c r="S596" s="59">
        <v>730</v>
      </c>
      <c r="T596" s="57" t="s">
        <v>61</v>
      </c>
      <c r="U596" s="60">
        <v>45920</v>
      </c>
      <c r="V596" s="59">
        <v>730</v>
      </c>
      <c r="W596" s="57" t="s">
        <v>3074</v>
      </c>
      <c r="X596" s="57" t="s">
        <v>3075</v>
      </c>
      <c r="Y596" s="57" t="s">
        <v>21</v>
      </c>
      <c r="Z596" s="57" t="s">
        <v>358</v>
      </c>
      <c r="AA596" s="59">
        <v>3995</v>
      </c>
      <c r="AB596" s="57" t="s">
        <v>61</v>
      </c>
      <c r="AC596" s="60">
        <v>45756</v>
      </c>
      <c r="AD596" s="59">
        <v>3995</v>
      </c>
      <c r="AE596" s="57" t="s">
        <v>3076</v>
      </c>
      <c r="AF596" s="57" t="s">
        <v>3077</v>
      </c>
    </row>
    <row r="597" spans="1:32">
      <c r="A597" s="57">
        <v>596</v>
      </c>
      <c r="B597" s="58">
        <v>45926.651018518518</v>
      </c>
      <c r="C597" s="58">
        <v>45926.654814814807</v>
      </c>
      <c r="D597" s="57" t="s">
        <v>1322</v>
      </c>
      <c r="E597" s="57" t="s">
        <v>1323</v>
      </c>
      <c r="F597" s="58"/>
      <c r="G597" s="57" t="s">
        <v>497</v>
      </c>
      <c r="H597" s="59">
        <v>1</v>
      </c>
      <c r="I597" s="57"/>
      <c r="J597" s="57"/>
      <c r="K597" s="59"/>
      <c r="L597" s="57"/>
      <c r="M597" s="60"/>
      <c r="N597" s="59"/>
      <c r="O597" s="57"/>
      <c r="P597" s="57"/>
      <c r="Q597" s="57"/>
      <c r="R597" s="57"/>
      <c r="S597" s="59"/>
      <c r="T597" s="57"/>
      <c r="U597" s="60"/>
      <c r="V597" s="59"/>
      <c r="W597" s="57"/>
      <c r="X597" s="57"/>
      <c r="Y597" s="57" t="s">
        <v>21</v>
      </c>
      <c r="Z597" s="57" t="s">
        <v>163</v>
      </c>
      <c r="AA597" s="59">
        <v>14753</v>
      </c>
      <c r="AB597" s="57" t="s">
        <v>61</v>
      </c>
      <c r="AC597" s="60">
        <v>45861</v>
      </c>
      <c r="AD597" s="59">
        <v>14753</v>
      </c>
      <c r="AE597" s="57" t="s">
        <v>3078</v>
      </c>
      <c r="AF597" s="57" t="s">
        <v>3079</v>
      </c>
    </row>
    <row r="598" spans="1:32">
      <c r="A598" s="57">
        <v>597</v>
      </c>
      <c r="B598" s="58">
        <v>45926.662372685183</v>
      </c>
      <c r="C598" s="58">
        <v>45926.667812500003</v>
      </c>
      <c r="D598" s="57" t="s">
        <v>777</v>
      </c>
      <c r="E598" s="57" t="s">
        <v>778</v>
      </c>
      <c r="F598" s="58"/>
      <c r="G598" s="57" t="s">
        <v>701</v>
      </c>
      <c r="H598" s="59">
        <v>1</v>
      </c>
      <c r="I598" s="57"/>
      <c r="J598" s="57"/>
      <c r="K598" s="59"/>
      <c r="L598" s="57"/>
      <c r="M598" s="60"/>
      <c r="N598" s="59"/>
      <c r="O598" s="57"/>
      <c r="P598" s="57"/>
      <c r="Q598" s="57"/>
      <c r="R598" s="57"/>
      <c r="S598" s="59"/>
      <c r="T598" s="57"/>
      <c r="U598" s="60"/>
      <c r="V598" s="59"/>
      <c r="W598" s="57"/>
      <c r="X598" s="57"/>
      <c r="Y598" s="57" t="s">
        <v>21</v>
      </c>
      <c r="Z598" s="57" t="s">
        <v>779</v>
      </c>
      <c r="AA598" s="59">
        <v>52264</v>
      </c>
      <c r="AB598" s="57" t="s">
        <v>61</v>
      </c>
      <c r="AC598" s="60">
        <v>45831</v>
      </c>
      <c r="AD598" s="59">
        <v>52264</v>
      </c>
      <c r="AE598" s="57" t="s">
        <v>3080</v>
      </c>
      <c r="AF598" s="57" t="s">
        <v>3081</v>
      </c>
    </row>
    <row r="599" spans="1:32">
      <c r="A599" s="57">
        <v>598</v>
      </c>
      <c r="B599" s="58">
        <v>45927.325590277767</v>
      </c>
      <c r="C599" s="58">
        <v>45927.3359837963</v>
      </c>
      <c r="D599" s="57" t="s">
        <v>990</v>
      </c>
      <c r="E599" s="57" t="s">
        <v>991</v>
      </c>
      <c r="F599" s="58"/>
      <c r="G599" s="57" t="s">
        <v>607</v>
      </c>
      <c r="H599" s="59">
        <v>1</v>
      </c>
      <c r="I599" s="57"/>
      <c r="J599" s="57"/>
      <c r="K599" s="59"/>
      <c r="L599" s="57"/>
      <c r="M599" s="60"/>
      <c r="N599" s="59"/>
      <c r="O599" s="57"/>
      <c r="P599" s="57"/>
      <c r="Q599" s="57"/>
      <c r="R599" s="57"/>
      <c r="S599" s="59"/>
      <c r="T599" s="57"/>
      <c r="U599" s="60"/>
      <c r="V599" s="59"/>
      <c r="W599" s="57"/>
      <c r="X599" s="57"/>
      <c r="Y599" s="57" t="s">
        <v>22</v>
      </c>
      <c r="Z599" s="57" t="s">
        <v>285</v>
      </c>
      <c r="AA599" s="59">
        <v>21521</v>
      </c>
      <c r="AB599" s="57" t="s">
        <v>61</v>
      </c>
      <c r="AC599" s="60">
        <v>45883</v>
      </c>
      <c r="AD599" s="59">
        <v>21521</v>
      </c>
      <c r="AE599" s="57" t="s">
        <v>3082</v>
      </c>
      <c r="AF599" s="57" t="s">
        <v>3083</v>
      </c>
    </row>
    <row r="600" spans="1:32">
      <c r="A600" s="57">
        <v>599</v>
      </c>
      <c r="B600" s="58">
        <v>45927.340416666673</v>
      </c>
      <c r="C600" s="58">
        <v>45927.35659722222</v>
      </c>
      <c r="D600" s="57" t="s">
        <v>974</v>
      </c>
      <c r="E600" s="57" t="s">
        <v>975</v>
      </c>
      <c r="F600" s="58"/>
      <c r="G600" s="57" t="s">
        <v>499</v>
      </c>
      <c r="H600" s="59">
        <v>2</v>
      </c>
      <c r="I600" s="57"/>
      <c r="J600" s="57"/>
      <c r="K600" s="59"/>
      <c r="L600" s="57"/>
      <c r="M600" s="60"/>
      <c r="N600" s="59"/>
      <c r="O600" s="57"/>
      <c r="P600" s="57"/>
      <c r="Q600" s="57" t="s">
        <v>22</v>
      </c>
      <c r="R600" s="57" t="s">
        <v>165</v>
      </c>
      <c r="S600" s="59">
        <v>35602</v>
      </c>
      <c r="T600" s="57" t="s">
        <v>61</v>
      </c>
      <c r="U600" s="60">
        <v>45785</v>
      </c>
      <c r="V600" s="59">
        <v>35602</v>
      </c>
      <c r="W600" s="57" t="s">
        <v>3084</v>
      </c>
      <c r="X600" s="57" t="s">
        <v>3085</v>
      </c>
      <c r="Y600" s="57" t="s">
        <v>21</v>
      </c>
      <c r="Z600" s="57" t="s">
        <v>978</v>
      </c>
      <c r="AA600" s="59">
        <v>20873</v>
      </c>
      <c r="AB600" s="57" t="s">
        <v>61</v>
      </c>
      <c r="AC600" s="60">
        <v>45785</v>
      </c>
      <c r="AD600" s="59">
        <v>20873</v>
      </c>
      <c r="AE600" s="57" t="s">
        <v>3086</v>
      </c>
      <c r="AF600" s="57" t="s">
        <v>3087</v>
      </c>
    </row>
    <row r="601" spans="1:32">
      <c r="A601" s="57">
        <v>600</v>
      </c>
      <c r="B601" s="58">
        <v>45927.341770833344</v>
      </c>
      <c r="C601" s="58">
        <v>45927.571006944447</v>
      </c>
      <c r="D601" s="57" t="s">
        <v>799</v>
      </c>
      <c r="E601" s="57" t="s">
        <v>800</v>
      </c>
      <c r="F601" s="58"/>
      <c r="G601" s="57" t="s">
        <v>618</v>
      </c>
      <c r="H601" s="59">
        <v>2</v>
      </c>
      <c r="I601" s="57"/>
      <c r="J601" s="57"/>
      <c r="K601" s="59"/>
      <c r="L601" s="57"/>
      <c r="M601" s="60"/>
      <c r="N601" s="59"/>
      <c r="O601" s="57"/>
      <c r="P601" s="57"/>
      <c r="Q601" s="57" t="s">
        <v>22</v>
      </c>
      <c r="R601" s="57" t="s">
        <v>299</v>
      </c>
      <c r="S601" s="59">
        <v>20854</v>
      </c>
      <c r="T601" s="57" t="s">
        <v>61</v>
      </c>
      <c r="U601" s="60">
        <v>45917</v>
      </c>
      <c r="V601" s="59">
        <v>20854</v>
      </c>
      <c r="W601" s="57" t="s">
        <v>3088</v>
      </c>
      <c r="X601" s="57" t="s">
        <v>3089</v>
      </c>
      <c r="Y601" s="57" t="s">
        <v>20</v>
      </c>
      <c r="Z601" s="57" t="s">
        <v>370</v>
      </c>
      <c r="AA601" s="59">
        <v>7882</v>
      </c>
      <c r="AB601" s="57" t="s">
        <v>61</v>
      </c>
      <c r="AC601" s="60">
        <v>45927</v>
      </c>
      <c r="AD601" s="59">
        <v>7882</v>
      </c>
      <c r="AE601" s="57" t="s">
        <v>3090</v>
      </c>
      <c r="AF601" s="57" t="s">
        <v>3091</v>
      </c>
    </row>
    <row r="602" spans="1:32">
      <c r="A602" s="57">
        <v>601</v>
      </c>
      <c r="B602" s="58">
        <v>45927.643553240741</v>
      </c>
      <c r="C602" s="58">
        <v>45927.646736111114</v>
      </c>
      <c r="D602" s="57" t="s">
        <v>765</v>
      </c>
      <c r="E602" s="57" t="s">
        <v>766</v>
      </c>
      <c r="F602" s="58"/>
      <c r="G602" s="57" t="s">
        <v>458</v>
      </c>
      <c r="H602" s="59">
        <v>1</v>
      </c>
      <c r="I602" s="57"/>
      <c r="J602" s="57"/>
      <c r="K602" s="59"/>
      <c r="L602" s="57"/>
      <c r="M602" s="60"/>
      <c r="N602" s="59"/>
      <c r="O602" s="57"/>
      <c r="P602" s="57"/>
      <c r="Q602" s="57"/>
      <c r="R602" s="57"/>
      <c r="S602" s="59"/>
      <c r="T602" s="57"/>
      <c r="U602" s="60"/>
      <c r="V602" s="59"/>
      <c r="W602" s="57"/>
      <c r="X602" s="57"/>
      <c r="Y602" s="57" t="s">
        <v>21</v>
      </c>
      <c r="Z602" s="57" t="s">
        <v>124</v>
      </c>
      <c r="AA602" s="59">
        <v>36096</v>
      </c>
      <c r="AB602" s="57" t="s">
        <v>61</v>
      </c>
      <c r="AC602" s="60">
        <v>45927</v>
      </c>
      <c r="AD602" s="59">
        <v>36096</v>
      </c>
      <c r="AE602" s="57" t="s">
        <v>3092</v>
      </c>
      <c r="AF602" s="57" t="s">
        <v>3093</v>
      </c>
    </row>
    <row r="603" spans="1:32">
      <c r="A603" s="57">
        <v>602</v>
      </c>
      <c r="B603" s="58">
        <v>45927.614502314813</v>
      </c>
      <c r="C603" s="58">
        <v>45927.648136574076</v>
      </c>
      <c r="D603" s="57" t="s">
        <v>1517</v>
      </c>
      <c r="E603" s="57" t="s">
        <v>1518</v>
      </c>
      <c r="F603" s="58"/>
      <c r="G603" s="57" t="s">
        <v>585</v>
      </c>
      <c r="H603" s="59">
        <v>3</v>
      </c>
      <c r="I603" s="57" t="s">
        <v>20</v>
      </c>
      <c r="J603" s="57" t="s">
        <v>1519</v>
      </c>
      <c r="K603" s="59">
        <v>38812</v>
      </c>
      <c r="L603" s="57" t="s">
        <v>61</v>
      </c>
      <c r="M603" s="60">
        <v>45825</v>
      </c>
      <c r="N603" s="59">
        <v>38812</v>
      </c>
      <c r="O603" s="57" t="s">
        <v>3094</v>
      </c>
      <c r="P603" s="57" t="s">
        <v>3095</v>
      </c>
      <c r="Q603" s="57" t="s">
        <v>21</v>
      </c>
      <c r="R603" s="57" t="s">
        <v>259</v>
      </c>
      <c r="S603" s="59">
        <v>36590</v>
      </c>
      <c r="T603" s="57" t="s">
        <v>61</v>
      </c>
      <c r="U603" s="60">
        <v>45849</v>
      </c>
      <c r="V603" s="59">
        <v>36590</v>
      </c>
      <c r="W603" s="57" t="s">
        <v>3096</v>
      </c>
      <c r="X603" s="57" t="s">
        <v>3097</v>
      </c>
      <c r="Y603" s="57" t="s">
        <v>20</v>
      </c>
      <c r="Z603" s="57" t="s">
        <v>2561</v>
      </c>
      <c r="AA603" s="59">
        <v>42615</v>
      </c>
      <c r="AB603" s="57" t="s">
        <v>61</v>
      </c>
      <c r="AC603" s="60">
        <v>45843</v>
      </c>
      <c r="AD603" s="59">
        <v>42615</v>
      </c>
      <c r="AE603" s="57" t="s">
        <v>3098</v>
      </c>
      <c r="AF603" s="57" t="s">
        <v>3099</v>
      </c>
    </row>
    <row r="604" spans="1:32">
      <c r="A604" s="57">
        <v>603</v>
      </c>
      <c r="B604" s="58">
        <v>45928.565150462957</v>
      </c>
      <c r="C604" s="58">
        <v>45928.569502314807</v>
      </c>
      <c r="D604" s="57" t="s">
        <v>2006</v>
      </c>
      <c r="E604" s="57" t="s">
        <v>2007</v>
      </c>
      <c r="F604" s="58"/>
      <c r="G604" s="57" t="s">
        <v>545</v>
      </c>
      <c r="H604" s="59">
        <v>2</v>
      </c>
      <c r="I604" s="57"/>
      <c r="J604" s="57"/>
      <c r="K604" s="59"/>
      <c r="L604" s="57"/>
      <c r="M604" s="60"/>
      <c r="N604" s="59"/>
      <c r="O604" s="57"/>
      <c r="P604" s="57"/>
      <c r="Q604" s="57" t="s">
        <v>20</v>
      </c>
      <c r="R604" s="57" t="s">
        <v>214</v>
      </c>
      <c r="S604" s="59">
        <v>41193</v>
      </c>
      <c r="T604" s="57" t="s">
        <v>61</v>
      </c>
      <c r="U604" s="60">
        <v>45927</v>
      </c>
      <c r="V604" s="59">
        <v>41193</v>
      </c>
      <c r="W604" s="57" t="s">
        <v>3100</v>
      </c>
      <c r="X604" s="57" t="s">
        <v>3101</v>
      </c>
      <c r="Y604" s="57" t="s">
        <v>20</v>
      </c>
      <c r="Z604" s="57" t="s">
        <v>3102</v>
      </c>
      <c r="AA604" s="59">
        <v>41905</v>
      </c>
      <c r="AB604" s="57" t="s">
        <v>61</v>
      </c>
      <c r="AC604" s="60">
        <v>45927</v>
      </c>
      <c r="AD604" s="59">
        <v>41905</v>
      </c>
      <c r="AE604" s="57" t="s">
        <v>3103</v>
      </c>
      <c r="AF604" s="57" t="s">
        <v>3104</v>
      </c>
    </row>
    <row r="605" spans="1:32">
      <c r="A605" s="57">
        <v>604</v>
      </c>
      <c r="B605" s="58">
        <v>45928.803587962961</v>
      </c>
      <c r="C605" s="58">
        <v>45928.805879629632</v>
      </c>
      <c r="D605" s="57" t="s">
        <v>1131</v>
      </c>
      <c r="E605" s="57" t="s">
        <v>1132</v>
      </c>
      <c r="F605" s="58"/>
      <c r="G605" s="57" t="s">
        <v>615</v>
      </c>
      <c r="H605" s="59">
        <v>1</v>
      </c>
      <c r="I605" s="57"/>
      <c r="J605" s="57"/>
      <c r="K605" s="59"/>
      <c r="L605" s="57"/>
      <c r="M605" s="60"/>
      <c r="N605" s="59"/>
      <c r="O605" s="57"/>
      <c r="P605" s="57"/>
      <c r="Q605" s="57"/>
      <c r="R605" s="57"/>
      <c r="S605" s="59"/>
      <c r="T605" s="57"/>
      <c r="U605" s="60"/>
      <c r="V605" s="59"/>
      <c r="W605" s="57"/>
      <c r="X605" s="57"/>
      <c r="Y605" s="57" t="s">
        <v>21</v>
      </c>
      <c r="Z605" s="57" t="s">
        <v>295</v>
      </c>
      <c r="AA605" s="59">
        <v>12380</v>
      </c>
      <c r="AB605" s="57" t="s">
        <v>61</v>
      </c>
      <c r="AC605" s="60">
        <v>45826</v>
      </c>
      <c r="AD605" s="59">
        <v>12380</v>
      </c>
      <c r="AE605" s="57" t="s">
        <v>3105</v>
      </c>
      <c r="AF605" s="57" t="s">
        <v>3106</v>
      </c>
    </row>
    <row r="606" spans="1:32">
      <c r="A606" s="57">
        <v>605</v>
      </c>
      <c r="B606" s="58">
        <v>45929.345289351862</v>
      </c>
      <c r="C606" s="58">
        <v>45929.350937499999</v>
      </c>
      <c r="D606" s="57" t="s">
        <v>1391</v>
      </c>
      <c r="E606" s="57" t="s">
        <v>1392</v>
      </c>
      <c r="F606" s="58"/>
      <c r="G606" s="57" t="s">
        <v>483</v>
      </c>
      <c r="H606" s="59">
        <v>2</v>
      </c>
      <c r="I606" s="57"/>
      <c r="J606" s="57"/>
      <c r="K606" s="59"/>
      <c r="L606" s="57"/>
      <c r="M606" s="60"/>
      <c r="N606" s="59"/>
      <c r="O606" s="57"/>
      <c r="P606" s="57"/>
      <c r="Q606" s="57" t="s">
        <v>22</v>
      </c>
      <c r="R606" s="57" t="s">
        <v>149</v>
      </c>
      <c r="S606" s="59">
        <v>99895</v>
      </c>
      <c r="T606" s="57" t="s">
        <v>61</v>
      </c>
      <c r="U606" s="60">
        <v>45762</v>
      </c>
      <c r="V606" s="59">
        <v>99895</v>
      </c>
      <c r="W606" s="57" t="s">
        <v>3107</v>
      </c>
      <c r="X606" s="57" t="s">
        <v>3108</v>
      </c>
      <c r="Y606" s="57" t="s">
        <v>21</v>
      </c>
      <c r="Z606" s="57" t="s">
        <v>355</v>
      </c>
      <c r="AA606" s="59">
        <v>5791</v>
      </c>
      <c r="AB606" s="57" t="s">
        <v>61</v>
      </c>
      <c r="AC606" s="60">
        <v>45827</v>
      </c>
      <c r="AD606" s="59">
        <v>5791</v>
      </c>
      <c r="AE606" s="57" t="s">
        <v>3109</v>
      </c>
      <c r="AF606" s="57" t="s">
        <v>3110</v>
      </c>
    </row>
    <row r="607" spans="1:32">
      <c r="A607" s="57">
        <v>606</v>
      </c>
      <c r="B607" s="58">
        <v>45929.389097222222</v>
      </c>
      <c r="C607" s="58">
        <v>45929.390509259261</v>
      </c>
      <c r="D607" s="57" t="s">
        <v>2494</v>
      </c>
      <c r="E607" s="57" t="s">
        <v>2495</v>
      </c>
      <c r="F607" s="58"/>
      <c r="G607" s="57" t="s">
        <v>670</v>
      </c>
      <c r="H607" s="59">
        <v>2</v>
      </c>
      <c r="I607" s="57"/>
      <c r="J607" s="57"/>
      <c r="K607" s="59"/>
      <c r="L607" s="57"/>
      <c r="M607" s="60"/>
      <c r="N607" s="59"/>
      <c r="O607" s="57"/>
      <c r="P607" s="57"/>
      <c r="Q607" s="57" t="s">
        <v>21</v>
      </c>
      <c r="R607" s="57" t="s">
        <v>381</v>
      </c>
      <c r="S607" s="59">
        <v>3497</v>
      </c>
      <c r="T607" s="57" t="s">
        <v>61</v>
      </c>
      <c r="U607" s="60">
        <v>45832</v>
      </c>
      <c r="V607" s="59">
        <v>3497</v>
      </c>
      <c r="W607" s="57" t="s">
        <v>3111</v>
      </c>
      <c r="X607" s="57" t="s">
        <v>3112</v>
      </c>
      <c r="Y607" s="57" t="s">
        <v>21</v>
      </c>
      <c r="Z607" s="57" t="s">
        <v>126</v>
      </c>
      <c r="AA607" s="59">
        <v>27089</v>
      </c>
      <c r="AB607" s="57" t="s">
        <v>61</v>
      </c>
      <c r="AC607" s="60">
        <v>45859</v>
      </c>
      <c r="AD607" s="59">
        <v>27089</v>
      </c>
      <c r="AE607" s="57" t="s">
        <v>3113</v>
      </c>
      <c r="AF607" s="57" t="s">
        <v>3114</v>
      </c>
    </row>
    <row r="608" spans="1:32">
      <c r="A608" s="57">
        <v>607</v>
      </c>
      <c r="B608" s="58">
        <v>45929.391782407409</v>
      </c>
      <c r="C608" s="58">
        <v>45929.403009259258</v>
      </c>
      <c r="D608" s="57" t="s">
        <v>1760</v>
      </c>
      <c r="E608" s="57" t="s">
        <v>1761</v>
      </c>
      <c r="F608" s="58"/>
      <c r="G608" s="57" t="s">
        <v>488</v>
      </c>
      <c r="H608" s="59">
        <v>1</v>
      </c>
      <c r="I608" s="57"/>
      <c r="J608" s="57"/>
      <c r="K608" s="59"/>
      <c r="L608" s="57"/>
      <c r="M608" s="60"/>
      <c r="N608" s="59"/>
      <c r="O608" s="57"/>
      <c r="P608" s="57"/>
      <c r="Q608" s="57"/>
      <c r="R608" s="57"/>
      <c r="S608" s="59"/>
      <c r="T608" s="57"/>
      <c r="U608" s="60"/>
      <c r="V608" s="59"/>
      <c r="W608" s="57"/>
      <c r="X608" s="57"/>
      <c r="Y608" s="57" t="s">
        <v>21</v>
      </c>
      <c r="Z608" s="57" t="s">
        <v>154</v>
      </c>
      <c r="AA608" s="59">
        <v>36493</v>
      </c>
      <c r="AB608" s="57" t="s">
        <v>61</v>
      </c>
      <c r="AC608" s="60">
        <v>45820</v>
      </c>
      <c r="AD608" s="59">
        <v>36493</v>
      </c>
      <c r="AE608" s="57" t="s">
        <v>3115</v>
      </c>
      <c r="AF608" s="57" t="s">
        <v>3116</v>
      </c>
    </row>
    <row r="609" spans="1:32">
      <c r="A609" s="57">
        <v>608</v>
      </c>
      <c r="B609" s="58">
        <v>45929.418298611112</v>
      </c>
      <c r="C609" s="58">
        <v>45929.431250000001</v>
      </c>
      <c r="D609" s="57" t="s">
        <v>1379</v>
      </c>
      <c r="E609" s="57" t="s">
        <v>1380</v>
      </c>
      <c r="F609" s="58"/>
      <c r="G609" s="57" t="s">
        <v>598</v>
      </c>
      <c r="H609" s="59">
        <v>1</v>
      </c>
      <c r="I609" s="57"/>
      <c r="J609" s="57"/>
      <c r="K609" s="59"/>
      <c r="L609" s="57"/>
      <c r="M609" s="60"/>
      <c r="N609" s="59"/>
      <c r="O609" s="57"/>
      <c r="P609" s="57"/>
      <c r="Q609" s="57"/>
      <c r="R609" s="57"/>
      <c r="S609" s="59"/>
      <c r="T609" s="57"/>
      <c r="U609" s="60"/>
      <c r="V609" s="59"/>
      <c r="W609" s="57"/>
      <c r="X609" s="57"/>
      <c r="Y609" s="57" t="s">
        <v>21</v>
      </c>
      <c r="Z609" s="57" t="s">
        <v>274</v>
      </c>
      <c r="AA609" s="59">
        <v>21935</v>
      </c>
      <c r="AB609" s="57" t="s">
        <v>61</v>
      </c>
      <c r="AC609" s="60">
        <v>45889</v>
      </c>
      <c r="AD609" s="59">
        <v>21935</v>
      </c>
      <c r="AE609" s="57" t="s">
        <v>3117</v>
      </c>
      <c r="AF609" s="57" t="s">
        <v>3118</v>
      </c>
    </row>
    <row r="610" spans="1:32">
      <c r="A610" s="57">
        <v>609</v>
      </c>
      <c r="B610" s="58">
        <v>45929.418298611112</v>
      </c>
      <c r="C610" s="58">
        <v>45929.440046296288</v>
      </c>
      <c r="D610" s="57" t="s">
        <v>1379</v>
      </c>
      <c r="E610" s="57" t="s">
        <v>1380</v>
      </c>
      <c r="F610" s="58"/>
      <c r="G610" s="57" t="s">
        <v>598</v>
      </c>
      <c r="H610" s="59">
        <v>1</v>
      </c>
      <c r="I610" s="57"/>
      <c r="J610" s="57"/>
      <c r="K610" s="59"/>
      <c r="L610" s="57"/>
      <c r="M610" s="60"/>
      <c r="N610" s="59"/>
      <c r="O610" s="57"/>
      <c r="P610" s="57"/>
      <c r="Q610" s="57"/>
      <c r="R610" s="57"/>
      <c r="S610" s="59"/>
      <c r="T610" s="57"/>
      <c r="U610" s="60"/>
      <c r="V610" s="59"/>
      <c r="W610" s="57"/>
      <c r="X610" s="57"/>
      <c r="Y610" s="57" t="s">
        <v>21</v>
      </c>
      <c r="Z610" s="57" t="s">
        <v>274</v>
      </c>
      <c r="AA610" s="59">
        <v>20817</v>
      </c>
      <c r="AB610" s="57" t="s">
        <v>61</v>
      </c>
      <c r="AC610" s="60">
        <v>45889</v>
      </c>
      <c r="AD610" s="59">
        <v>20817</v>
      </c>
      <c r="AE610" s="57" t="s">
        <v>3119</v>
      </c>
      <c r="AF610" s="57" t="s">
        <v>3120</v>
      </c>
    </row>
    <row r="611" spans="1:32">
      <c r="A611" s="57">
        <v>610</v>
      </c>
      <c r="B611" s="58">
        <v>45929.462488425917</v>
      </c>
      <c r="C611" s="58">
        <v>45929.469363425917</v>
      </c>
      <c r="D611" s="57" t="s">
        <v>1638</v>
      </c>
      <c r="E611" s="57" t="s">
        <v>1639</v>
      </c>
      <c r="F611" s="58"/>
      <c r="G611" s="57" t="s">
        <v>639</v>
      </c>
      <c r="H611" s="59">
        <v>2</v>
      </c>
      <c r="I611" s="57"/>
      <c r="J611" s="57"/>
      <c r="K611" s="59"/>
      <c r="L611" s="57"/>
      <c r="M611" s="60"/>
      <c r="N611" s="59"/>
      <c r="O611" s="57"/>
      <c r="P611" s="57"/>
      <c r="Q611" s="57" t="s">
        <v>22</v>
      </c>
      <c r="R611" s="57" t="s">
        <v>243</v>
      </c>
      <c r="S611" s="59">
        <v>45353</v>
      </c>
      <c r="T611" s="57" t="s">
        <v>61</v>
      </c>
      <c r="U611" s="60">
        <v>45799</v>
      </c>
      <c r="V611" s="59">
        <v>45353</v>
      </c>
      <c r="W611" s="57" t="s">
        <v>3121</v>
      </c>
      <c r="X611" s="57" t="s">
        <v>3122</v>
      </c>
      <c r="Y611" s="57" t="s">
        <v>22</v>
      </c>
      <c r="Z611" s="57" t="s">
        <v>3123</v>
      </c>
      <c r="AA611" s="59">
        <v>8621</v>
      </c>
      <c r="AB611" s="57" t="s">
        <v>61</v>
      </c>
      <c r="AC611" s="60">
        <v>45917</v>
      </c>
      <c r="AD611" s="59">
        <v>8621</v>
      </c>
      <c r="AE611" s="57" t="s">
        <v>3124</v>
      </c>
      <c r="AF611" s="57" t="s">
        <v>3125</v>
      </c>
    </row>
    <row r="612" spans="1:32">
      <c r="A612" s="57">
        <v>611</v>
      </c>
      <c r="B612" s="58">
        <v>45929.649745370371</v>
      </c>
      <c r="C612" s="58">
        <v>45929.653217592589</v>
      </c>
      <c r="D612" s="57" t="s">
        <v>1022</v>
      </c>
      <c r="E612" s="57" t="s">
        <v>1023</v>
      </c>
      <c r="F612" s="58"/>
      <c r="G612" s="57" t="s">
        <v>589</v>
      </c>
      <c r="H612" s="59">
        <v>1</v>
      </c>
      <c r="I612" s="57"/>
      <c r="J612" s="57"/>
      <c r="K612" s="59"/>
      <c r="L612" s="57"/>
      <c r="M612" s="60"/>
      <c r="N612" s="59"/>
      <c r="O612" s="57"/>
      <c r="P612" s="57"/>
      <c r="Q612" s="57"/>
      <c r="R612" s="57"/>
      <c r="S612" s="59"/>
      <c r="T612" s="57"/>
      <c r="U612" s="60"/>
      <c r="V612" s="59"/>
      <c r="W612" s="57"/>
      <c r="X612" s="57"/>
      <c r="Y612" s="57" t="s">
        <v>21</v>
      </c>
      <c r="Z612" s="57" t="s">
        <v>263</v>
      </c>
      <c r="AA612" s="59">
        <v>15820</v>
      </c>
      <c r="AB612" s="57" t="s">
        <v>61</v>
      </c>
      <c r="AC612" s="60">
        <v>45827</v>
      </c>
      <c r="AD612" s="59">
        <v>15820</v>
      </c>
      <c r="AE612" s="57" t="s">
        <v>3126</v>
      </c>
      <c r="AF612" s="57" t="s">
        <v>3127</v>
      </c>
    </row>
    <row r="613" spans="1:32">
      <c r="A613" s="57">
        <v>612</v>
      </c>
      <c r="B613" s="58">
        <v>45929.694155092591</v>
      </c>
      <c r="C613" s="58">
        <v>45929.696666666663</v>
      </c>
      <c r="D613" s="57" t="s">
        <v>1572</v>
      </c>
      <c r="E613" s="57" t="s">
        <v>1573</v>
      </c>
      <c r="F613" s="58"/>
      <c r="G613" s="57" t="s">
        <v>640</v>
      </c>
      <c r="H613" s="59">
        <v>1</v>
      </c>
      <c r="I613" s="57"/>
      <c r="J613" s="57"/>
      <c r="K613" s="59"/>
      <c r="L613" s="57"/>
      <c r="M613" s="60"/>
      <c r="N613" s="59"/>
      <c r="O613" s="57"/>
      <c r="P613" s="57"/>
      <c r="Q613" s="57"/>
      <c r="R613" s="57"/>
      <c r="S613" s="59"/>
      <c r="T613" s="57"/>
      <c r="U613" s="60"/>
      <c r="V613" s="59"/>
      <c r="W613" s="57"/>
      <c r="X613" s="57"/>
      <c r="Y613" s="57" t="s">
        <v>21</v>
      </c>
      <c r="Z613" s="57" t="s">
        <v>333</v>
      </c>
      <c r="AA613" s="59">
        <v>10379</v>
      </c>
      <c r="AB613" s="57" t="s">
        <v>61</v>
      </c>
      <c r="AC613" s="60">
        <v>45881</v>
      </c>
      <c r="AD613" s="59">
        <v>10379</v>
      </c>
      <c r="AE613" s="57" t="s">
        <v>3128</v>
      </c>
      <c r="AF613" s="57" t="s">
        <v>3129</v>
      </c>
    </row>
    <row r="614" spans="1:32">
      <c r="A614" s="57">
        <v>613</v>
      </c>
      <c r="B614" s="58">
        <v>45929.770127314812</v>
      </c>
      <c r="C614" s="58">
        <v>45929.770266203697</v>
      </c>
      <c r="D614" s="57" t="s">
        <v>1678</v>
      </c>
      <c r="E614" s="57" t="s">
        <v>1679</v>
      </c>
      <c r="F614" s="58"/>
      <c r="G614" s="57" t="s">
        <v>522</v>
      </c>
      <c r="H614" s="59">
        <v>1</v>
      </c>
      <c r="I614" s="57"/>
      <c r="J614" s="57"/>
      <c r="K614" s="59"/>
      <c r="L614" s="57"/>
      <c r="M614" s="60"/>
      <c r="N614" s="59"/>
      <c r="O614" s="57"/>
      <c r="P614" s="57"/>
      <c r="Q614" s="57"/>
      <c r="R614" s="57"/>
      <c r="S614" s="59"/>
      <c r="T614" s="57"/>
      <c r="U614" s="60"/>
      <c r="V614" s="59"/>
      <c r="W614" s="57"/>
      <c r="X614" s="57"/>
      <c r="Y614" s="57" t="s">
        <v>20</v>
      </c>
      <c r="Z614" s="57" t="s">
        <v>189</v>
      </c>
      <c r="AA614" s="59">
        <v>25370</v>
      </c>
      <c r="AB614" s="57" t="s">
        <v>61</v>
      </c>
      <c r="AC614" s="60">
        <v>45847</v>
      </c>
      <c r="AD614" s="59">
        <v>25370</v>
      </c>
      <c r="AE614" s="57" t="s">
        <v>3130</v>
      </c>
      <c r="AF614" s="57" t="s">
        <v>3131</v>
      </c>
    </row>
    <row r="615" spans="1:32">
      <c r="A615" s="57">
        <v>614</v>
      </c>
      <c r="B615" s="58">
        <v>45930.764143518521</v>
      </c>
      <c r="C615" s="58">
        <v>45930.771481481483</v>
      </c>
      <c r="D615" s="57" t="s">
        <v>1536</v>
      </c>
      <c r="E615" s="57" t="s">
        <v>1537</v>
      </c>
      <c r="F615" s="58"/>
      <c r="G615" s="57" t="s">
        <v>605</v>
      </c>
      <c r="H615" s="59">
        <v>2</v>
      </c>
      <c r="I615" s="57"/>
      <c r="J615" s="57"/>
      <c r="K615" s="59"/>
      <c r="L615" s="57"/>
      <c r="M615" s="60"/>
      <c r="N615" s="59"/>
      <c r="O615" s="57"/>
      <c r="P615" s="57"/>
      <c r="Q615" s="57" t="s">
        <v>22</v>
      </c>
      <c r="R615" s="57" t="s">
        <v>297</v>
      </c>
      <c r="S615" s="59">
        <v>4930</v>
      </c>
      <c r="T615" s="57" t="s">
        <v>61</v>
      </c>
      <c r="U615" s="60">
        <v>45813</v>
      </c>
      <c r="V615" s="59">
        <v>4930</v>
      </c>
      <c r="W615" s="57" t="s">
        <v>3132</v>
      </c>
      <c r="X615" s="57" t="s">
        <v>3133</v>
      </c>
      <c r="Y615" s="57" t="s">
        <v>21</v>
      </c>
      <c r="Z615" s="57" t="s">
        <v>283</v>
      </c>
      <c r="AA615" s="59">
        <v>14527</v>
      </c>
      <c r="AB615" s="57" t="s">
        <v>61</v>
      </c>
      <c r="AC615" s="60">
        <v>45878</v>
      </c>
      <c r="AD615" s="59">
        <v>14527</v>
      </c>
      <c r="AE615" s="57" t="s">
        <v>3134</v>
      </c>
      <c r="AF615" s="57" t="s">
        <v>3135</v>
      </c>
    </row>
    <row r="616" spans="1:32">
      <c r="A616" s="57">
        <v>615</v>
      </c>
      <c r="B616" s="58">
        <v>45930.823217592602</v>
      </c>
      <c r="C616" s="58">
        <v>45930.87195601852</v>
      </c>
      <c r="D616" s="57" t="s">
        <v>1735</v>
      </c>
      <c r="E616" s="57" t="s">
        <v>1736</v>
      </c>
      <c r="F616" s="58"/>
      <c r="G616" s="57" t="s">
        <v>569</v>
      </c>
      <c r="H616" s="59">
        <v>2</v>
      </c>
      <c r="I616" s="57"/>
      <c r="J616" s="57"/>
      <c r="K616" s="59"/>
      <c r="L616" s="57"/>
      <c r="M616" s="60"/>
      <c r="N616" s="59"/>
      <c r="O616" s="57"/>
      <c r="P616" s="57"/>
      <c r="Q616" s="57" t="s">
        <v>22</v>
      </c>
      <c r="R616" s="57" t="s">
        <v>241</v>
      </c>
      <c r="S616" s="59">
        <v>34699</v>
      </c>
      <c r="T616" s="57" t="s">
        <v>61</v>
      </c>
      <c r="U616" s="60">
        <v>45923</v>
      </c>
      <c r="V616" s="59">
        <v>34699</v>
      </c>
      <c r="W616" s="57" t="s">
        <v>3136</v>
      </c>
      <c r="X616" s="57" t="s">
        <v>3137</v>
      </c>
      <c r="Y616" s="57" t="s">
        <v>21</v>
      </c>
      <c r="Z616" s="57" t="s">
        <v>334</v>
      </c>
      <c r="AA616" s="59">
        <v>3047</v>
      </c>
      <c r="AB616" s="57" t="s">
        <v>61</v>
      </c>
      <c r="AC616" s="60">
        <v>45720</v>
      </c>
      <c r="AD616" s="59">
        <v>3047</v>
      </c>
      <c r="AE616" s="57" t="s">
        <v>3138</v>
      </c>
      <c r="AF616" s="57" t="s">
        <v>3139</v>
      </c>
    </row>
    <row r="617" spans="1:32">
      <c r="A617" s="57">
        <v>616</v>
      </c>
      <c r="B617" s="58">
        <v>45930.91978009259</v>
      </c>
      <c r="C617" s="58">
        <v>45930.929398148153</v>
      </c>
      <c r="D617" s="57" t="s">
        <v>1003</v>
      </c>
      <c r="E617" s="57" t="s">
        <v>1004</v>
      </c>
      <c r="F617" s="58"/>
      <c r="G617" s="57" t="s">
        <v>636</v>
      </c>
      <c r="H617" s="59">
        <v>1</v>
      </c>
      <c r="I617" s="57"/>
      <c r="J617" s="57"/>
      <c r="K617" s="59"/>
      <c r="L617" s="57"/>
      <c r="M617" s="60"/>
      <c r="N617" s="59"/>
      <c r="O617" s="57"/>
      <c r="P617" s="57"/>
      <c r="Q617" s="57"/>
      <c r="R617" s="57"/>
      <c r="S617" s="59"/>
      <c r="T617" s="57"/>
      <c r="U617" s="60"/>
      <c r="V617" s="59"/>
      <c r="W617" s="57"/>
      <c r="X617" s="57"/>
      <c r="Y617" s="57" t="s">
        <v>20</v>
      </c>
      <c r="Z617" s="57" t="s">
        <v>329</v>
      </c>
      <c r="AA617" s="59">
        <v>2007</v>
      </c>
      <c r="AB617" s="57" t="s">
        <v>61</v>
      </c>
      <c r="AC617" s="60">
        <v>45899</v>
      </c>
      <c r="AD617" s="59">
        <v>2007</v>
      </c>
      <c r="AE617" s="57" t="s">
        <v>3140</v>
      </c>
      <c r="AF617" s="57" t="s">
        <v>3141</v>
      </c>
    </row>
    <row r="618" spans="1:32">
      <c r="A618" s="57">
        <v>617</v>
      </c>
      <c r="B618" s="58">
        <v>45931.43241898148</v>
      </c>
      <c r="C618" s="58">
        <v>45931.434907407413</v>
      </c>
      <c r="D618" s="57" t="s">
        <v>817</v>
      </c>
      <c r="E618" s="57" t="s">
        <v>818</v>
      </c>
      <c r="F618" s="58"/>
      <c r="G618" s="57" t="s">
        <v>713</v>
      </c>
      <c r="H618" s="59">
        <v>1</v>
      </c>
      <c r="I618" s="57"/>
      <c r="J618" s="57"/>
      <c r="K618" s="59"/>
      <c r="L618" s="57"/>
      <c r="M618" s="60"/>
      <c r="N618" s="59"/>
      <c r="O618" s="57"/>
      <c r="P618" s="57"/>
      <c r="Q618" s="57"/>
      <c r="R618" s="57"/>
      <c r="S618" s="59"/>
      <c r="T618" s="57"/>
      <c r="U618" s="60"/>
      <c r="V618" s="59"/>
      <c r="W618" s="57"/>
      <c r="X618" s="57"/>
      <c r="Y618" s="57" t="s">
        <v>21</v>
      </c>
      <c r="Z618" s="57" t="s">
        <v>819</v>
      </c>
      <c r="AA618" s="59">
        <v>46439</v>
      </c>
      <c r="AB618" s="57" t="s">
        <v>61</v>
      </c>
      <c r="AC618" s="60">
        <v>45708</v>
      </c>
      <c r="AD618" s="59">
        <v>46439</v>
      </c>
      <c r="AE618" s="57" t="s">
        <v>3142</v>
      </c>
      <c r="AF618" s="57" t="s">
        <v>3143</v>
      </c>
    </row>
    <row r="619" spans="1:32">
      <c r="A619" s="57">
        <v>618</v>
      </c>
      <c r="B619" s="58">
        <v>45931.444918981477</v>
      </c>
      <c r="C619" s="58">
        <v>45931.446122685193</v>
      </c>
      <c r="D619" s="57" t="s">
        <v>761</v>
      </c>
      <c r="E619" s="57" t="s">
        <v>762</v>
      </c>
      <c r="F619" s="58"/>
      <c r="G619" s="57" t="s">
        <v>693</v>
      </c>
      <c r="H619" s="59">
        <v>1</v>
      </c>
      <c r="I619" s="57"/>
      <c r="J619" s="57"/>
      <c r="K619" s="59"/>
      <c r="L619" s="57"/>
      <c r="M619" s="60"/>
      <c r="N619" s="59"/>
      <c r="O619" s="57"/>
      <c r="P619" s="57"/>
      <c r="Q619" s="57"/>
      <c r="R619" s="57"/>
      <c r="S619" s="59"/>
      <c r="T619" s="57"/>
      <c r="U619" s="60"/>
      <c r="V619" s="59"/>
      <c r="W619" s="57"/>
      <c r="X619" s="57"/>
      <c r="Y619" s="57" t="s">
        <v>21</v>
      </c>
      <c r="Z619" s="57" t="s">
        <v>290</v>
      </c>
      <c r="AA619" s="59">
        <v>16800</v>
      </c>
      <c r="AB619" s="57" t="s">
        <v>61</v>
      </c>
      <c r="AC619" s="60">
        <v>45768</v>
      </c>
      <c r="AD619" s="59">
        <v>16800</v>
      </c>
      <c r="AE619" s="57" t="s">
        <v>3144</v>
      </c>
      <c r="AF619" s="57" t="s">
        <v>3145</v>
      </c>
    </row>
    <row r="620" spans="1:32">
      <c r="A620" s="57">
        <v>619</v>
      </c>
      <c r="B620" s="58">
        <v>45931.443518518521</v>
      </c>
      <c r="C620" s="58">
        <v>45931.448472222219</v>
      </c>
      <c r="D620" s="57" t="s">
        <v>1101</v>
      </c>
      <c r="E620" s="57" t="s">
        <v>1102</v>
      </c>
      <c r="F620" s="58"/>
      <c r="G620" s="57" t="s">
        <v>574</v>
      </c>
      <c r="H620" s="59">
        <v>1</v>
      </c>
      <c r="I620" s="57"/>
      <c r="J620" s="57"/>
      <c r="K620" s="59"/>
      <c r="L620" s="57"/>
      <c r="M620" s="60"/>
      <c r="N620" s="59"/>
      <c r="O620" s="57"/>
      <c r="P620" s="57"/>
      <c r="Q620" s="57"/>
      <c r="R620" s="57"/>
      <c r="S620" s="59"/>
      <c r="T620" s="57"/>
      <c r="U620" s="60"/>
      <c r="V620" s="59"/>
      <c r="W620" s="57"/>
      <c r="X620" s="57"/>
      <c r="Y620" s="57" t="s">
        <v>21</v>
      </c>
      <c r="Z620" s="57" t="s">
        <v>246</v>
      </c>
      <c r="AA620" s="59">
        <v>26798</v>
      </c>
      <c r="AB620" s="57" t="s">
        <v>61</v>
      </c>
      <c r="AC620" s="60">
        <v>45885</v>
      </c>
      <c r="AD620" s="59">
        <v>26798</v>
      </c>
      <c r="AE620" s="57" t="s">
        <v>3146</v>
      </c>
      <c r="AF620" s="57" t="s">
        <v>3147</v>
      </c>
    </row>
    <row r="621" spans="1:32">
      <c r="A621" s="57">
        <v>620</v>
      </c>
      <c r="B621" s="58">
        <v>45931.453287037039</v>
      </c>
      <c r="C621" s="58">
        <v>45931.463009259263</v>
      </c>
      <c r="D621" s="57" t="s">
        <v>897</v>
      </c>
      <c r="E621" s="57" t="s">
        <v>898</v>
      </c>
      <c r="F621" s="58"/>
      <c r="G621" s="57" t="s">
        <v>697</v>
      </c>
      <c r="H621" s="59">
        <v>2</v>
      </c>
      <c r="I621" s="57"/>
      <c r="J621" s="57"/>
      <c r="K621" s="59"/>
      <c r="L621" s="57"/>
      <c r="M621" s="60"/>
      <c r="N621" s="59"/>
      <c r="O621" s="57"/>
      <c r="P621" s="57"/>
      <c r="Q621" s="57" t="s">
        <v>20</v>
      </c>
      <c r="R621" s="57" t="s">
        <v>902</v>
      </c>
      <c r="S621" s="59">
        <v>19094</v>
      </c>
      <c r="T621" s="57" t="s">
        <v>61</v>
      </c>
      <c r="U621" s="60">
        <v>45812</v>
      </c>
      <c r="V621" s="59">
        <v>19094</v>
      </c>
      <c r="W621" s="57" t="s">
        <v>3148</v>
      </c>
      <c r="X621" s="57" t="s">
        <v>3149</v>
      </c>
      <c r="Y621" s="57" t="s">
        <v>21</v>
      </c>
      <c r="Z621" s="57" t="s">
        <v>899</v>
      </c>
      <c r="AA621" s="59">
        <v>54791</v>
      </c>
      <c r="AB621" s="57" t="s">
        <v>61</v>
      </c>
      <c r="AC621" s="60">
        <v>45909</v>
      </c>
      <c r="AD621" s="59">
        <v>54791</v>
      </c>
      <c r="AE621" s="57" t="s">
        <v>3150</v>
      </c>
      <c r="AF621" s="57" t="s">
        <v>3151</v>
      </c>
    </row>
    <row r="622" spans="1:32">
      <c r="A622" s="57">
        <v>621</v>
      </c>
      <c r="B622" s="58">
        <v>45931.623715277783</v>
      </c>
      <c r="C622" s="58">
        <v>45931.626377314817</v>
      </c>
      <c r="D622" s="57" t="s">
        <v>1135</v>
      </c>
      <c r="E622" s="57" t="s">
        <v>1136</v>
      </c>
      <c r="F622" s="58"/>
      <c r="G622" s="57" t="s">
        <v>453</v>
      </c>
      <c r="H622" s="59">
        <v>1</v>
      </c>
      <c r="I622" s="57"/>
      <c r="J622" s="57"/>
      <c r="K622" s="59"/>
      <c r="L622" s="57"/>
      <c r="M622" s="60"/>
      <c r="N622" s="59"/>
      <c r="O622" s="57"/>
      <c r="P622" s="57"/>
      <c r="Q622" s="57"/>
      <c r="R622" s="57"/>
      <c r="S622" s="59"/>
      <c r="T622" s="57"/>
      <c r="U622" s="60"/>
      <c r="V622" s="59"/>
      <c r="W622" s="57"/>
      <c r="X622" s="57"/>
      <c r="Y622" s="57" t="s">
        <v>21</v>
      </c>
      <c r="Z622" s="57" t="s">
        <v>119</v>
      </c>
      <c r="AA622" s="59">
        <v>27621</v>
      </c>
      <c r="AB622" s="57" t="s">
        <v>61</v>
      </c>
      <c r="AC622" s="60">
        <v>45810</v>
      </c>
      <c r="AD622" s="59">
        <v>27621</v>
      </c>
      <c r="AE622" s="57" t="s">
        <v>3152</v>
      </c>
      <c r="AF622" s="57" t="s">
        <v>3153</v>
      </c>
    </row>
    <row r="623" spans="1:32">
      <c r="A623" s="57">
        <v>622</v>
      </c>
      <c r="B623" s="58">
        <v>45931.630358796298</v>
      </c>
      <c r="C623" s="58">
        <v>45931.630555555559</v>
      </c>
      <c r="D623" s="57" t="s">
        <v>1522</v>
      </c>
      <c r="E623" s="57" t="s">
        <v>1523</v>
      </c>
      <c r="F623" s="58"/>
      <c r="G623" s="57" t="s">
        <v>696</v>
      </c>
      <c r="H623" s="59">
        <v>1</v>
      </c>
      <c r="I623" s="57"/>
      <c r="J623" s="57"/>
      <c r="K623" s="59"/>
      <c r="L623" s="57"/>
      <c r="M623" s="60"/>
      <c r="N623" s="59"/>
      <c r="O623" s="57"/>
      <c r="P623" s="57"/>
      <c r="Q623" s="57"/>
      <c r="R623" s="57"/>
      <c r="S623" s="59"/>
      <c r="T623" s="57"/>
      <c r="U623" s="60"/>
      <c r="V623" s="59"/>
      <c r="W623" s="57"/>
      <c r="X623" s="57"/>
      <c r="Y623" s="57" t="s">
        <v>21</v>
      </c>
      <c r="Z623" s="57" t="s">
        <v>1524</v>
      </c>
      <c r="AA623" s="59">
        <v>93551</v>
      </c>
      <c r="AB623" s="57" t="s">
        <v>61</v>
      </c>
      <c r="AC623" s="60">
        <v>45895</v>
      </c>
      <c r="AD623" s="59">
        <v>93551</v>
      </c>
      <c r="AE623" s="57" t="s">
        <v>3154</v>
      </c>
      <c r="AF623" s="57" t="s">
        <v>3155</v>
      </c>
    </row>
    <row r="624" spans="1:32">
      <c r="A624" s="57">
        <v>623</v>
      </c>
      <c r="B624" s="58">
        <v>45932.345972222232</v>
      </c>
      <c r="C624" s="58">
        <v>45932.349166666667</v>
      </c>
      <c r="D624" s="57" t="s">
        <v>2598</v>
      </c>
      <c r="E624" s="57" t="s">
        <v>2599</v>
      </c>
      <c r="F624" s="58"/>
      <c r="G624" s="57" t="s">
        <v>584</v>
      </c>
      <c r="H624" s="59">
        <v>1</v>
      </c>
      <c r="I624" s="57"/>
      <c r="J624" s="57"/>
      <c r="K624" s="59"/>
      <c r="L624" s="57"/>
      <c r="M624" s="60"/>
      <c r="N624" s="59"/>
      <c r="O624" s="57"/>
      <c r="P624" s="57"/>
      <c r="Q624" s="57"/>
      <c r="R624" s="57"/>
      <c r="S624" s="59"/>
      <c r="T624" s="57"/>
      <c r="U624" s="60"/>
      <c r="V624" s="59"/>
      <c r="W624" s="57"/>
      <c r="X624" s="57"/>
      <c r="Y624" s="57" t="s">
        <v>21</v>
      </c>
      <c r="Z624" s="57" t="s">
        <v>2600</v>
      </c>
      <c r="AA624" s="59">
        <v>13162</v>
      </c>
      <c r="AB624" s="57" t="s">
        <v>61</v>
      </c>
      <c r="AC624" s="60">
        <v>45911</v>
      </c>
      <c r="AD624" s="59">
        <v>13162</v>
      </c>
      <c r="AE624" s="57" t="s">
        <v>3156</v>
      </c>
      <c r="AF624" s="57" t="s">
        <v>3157</v>
      </c>
    </row>
    <row r="625" spans="1:32">
      <c r="A625" s="57">
        <v>624</v>
      </c>
      <c r="B625" s="58">
        <v>45932.336388888893</v>
      </c>
      <c r="C625" s="58">
        <v>45932.362199074072</v>
      </c>
      <c r="D625" s="57" t="s">
        <v>2163</v>
      </c>
      <c r="E625" s="57" t="s">
        <v>2164</v>
      </c>
      <c r="F625" s="58"/>
      <c r="G625" s="57" t="s">
        <v>484</v>
      </c>
      <c r="H625" s="59">
        <v>3</v>
      </c>
      <c r="I625" s="57" t="s">
        <v>22</v>
      </c>
      <c r="J625" s="57" t="s">
        <v>254</v>
      </c>
      <c r="K625" s="59">
        <v>24025</v>
      </c>
      <c r="L625" s="57" t="s">
        <v>61</v>
      </c>
      <c r="M625" s="60">
        <v>45822</v>
      </c>
      <c r="N625" s="59">
        <v>24025</v>
      </c>
      <c r="O625" s="57" t="s">
        <v>3158</v>
      </c>
      <c r="P625" s="57" t="s">
        <v>3159</v>
      </c>
      <c r="Q625" s="57" t="s">
        <v>21</v>
      </c>
      <c r="R625" s="57" t="s">
        <v>2165</v>
      </c>
      <c r="S625" s="59">
        <v>4773</v>
      </c>
      <c r="T625" s="57" t="s">
        <v>61</v>
      </c>
      <c r="U625" s="60">
        <v>45783</v>
      </c>
      <c r="V625" s="59">
        <v>4773</v>
      </c>
      <c r="W625" s="57" t="s">
        <v>3160</v>
      </c>
      <c r="X625" s="57" t="s">
        <v>3161</v>
      </c>
      <c r="Y625" s="57" t="s">
        <v>21</v>
      </c>
      <c r="Z625" s="57" t="s">
        <v>150</v>
      </c>
      <c r="AA625" s="59">
        <v>37064</v>
      </c>
      <c r="AB625" s="57" t="s">
        <v>61</v>
      </c>
      <c r="AC625" s="60">
        <v>45811</v>
      </c>
      <c r="AD625" s="59">
        <v>37064</v>
      </c>
      <c r="AE625" s="57" t="s">
        <v>3162</v>
      </c>
      <c r="AF625" s="57" t="s">
        <v>3163</v>
      </c>
    </row>
    <row r="626" spans="1:32">
      <c r="A626" s="57">
        <v>625</v>
      </c>
      <c r="B626" s="58">
        <v>45932.386203703703</v>
      </c>
      <c r="C626" s="58">
        <v>45932.386550925927</v>
      </c>
      <c r="D626" s="57" t="s">
        <v>3164</v>
      </c>
      <c r="E626" s="57" t="s">
        <v>3165</v>
      </c>
      <c r="F626" s="58"/>
      <c r="G626" s="57" t="s">
        <v>602</v>
      </c>
      <c r="H626" s="59">
        <v>1</v>
      </c>
      <c r="I626" s="57"/>
      <c r="J626" s="57"/>
      <c r="K626" s="59"/>
      <c r="L626" s="57"/>
      <c r="M626" s="60"/>
      <c r="N626" s="59"/>
      <c r="O626" s="57"/>
      <c r="P626" s="57"/>
      <c r="Q626" s="57"/>
      <c r="R626" s="57"/>
      <c r="S626" s="59"/>
      <c r="T626" s="57"/>
      <c r="U626" s="60"/>
      <c r="V626" s="59"/>
      <c r="W626" s="57"/>
      <c r="X626" s="57"/>
      <c r="Y626" s="57" t="s">
        <v>20</v>
      </c>
      <c r="Z626" s="57" t="s">
        <v>279</v>
      </c>
      <c r="AA626" s="59">
        <v>19983</v>
      </c>
      <c r="AB626" s="57" t="s">
        <v>61</v>
      </c>
      <c r="AC626" s="60">
        <v>45883</v>
      </c>
      <c r="AD626" s="59">
        <v>19983</v>
      </c>
      <c r="AE626" s="57" t="s">
        <v>3166</v>
      </c>
      <c r="AF626" s="57" t="s">
        <v>3167</v>
      </c>
    </row>
    <row r="627" spans="1:32">
      <c r="A627" s="57">
        <v>626</v>
      </c>
      <c r="B627" s="58">
        <v>45932.656458333331</v>
      </c>
      <c r="C627" s="58">
        <v>45932.659513888888</v>
      </c>
      <c r="D627" s="57" t="s">
        <v>1356</v>
      </c>
      <c r="E627" s="57" t="s">
        <v>1357</v>
      </c>
      <c r="F627" s="58"/>
      <c r="G627" s="57" t="s">
        <v>690</v>
      </c>
      <c r="H627" s="59">
        <v>1</v>
      </c>
      <c r="I627" s="57"/>
      <c r="J627" s="57"/>
      <c r="K627" s="59"/>
      <c r="L627" s="57"/>
      <c r="M627" s="60"/>
      <c r="N627" s="59"/>
      <c r="O627" s="57"/>
      <c r="P627" s="57"/>
      <c r="Q627" s="57"/>
      <c r="R627" s="57"/>
      <c r="S627" s="59"/>
      <c r="T627" s="57"/>
      <c r="U627" s="60"/>
      <c r="V627" s="59"/>
      <c r="W627" s="57"/>
      <c r="X627" s="57"/>
      <c r="Y627" s="57" t="s">
        <v>21</v>
      </c>
      <c r="Z627" s="57" t="s">
        <v>1358</v>
      </c>
      <c r="AA627" s="59">
        <v>10015</v>
      </c>
      <c r="AB627" s="57" t="s">
        <v>61</v>
      </c>
      <c r="AC627" s="60">
        <v>45761</v>
      </c>
      <c r="AD627" s="59">
        <v>10015</v>
      </c>
      <c r="AE627" s="57" t="s">
        <v>3168</v>
      </c>
      <c r="AF627" s="57" t="s">
        <v>3169</v>
      </c>
    </row>
    <row r="628" spans="1:32">
      <c r="A628" s="57">
        <v>627</v>
      </c>
      <c r="B628" s="58">
        <v>45932.65960648148</v>
      </c>
      <c r="C628" s="58">
        <v>45932.662534722222</v>
      </c>
      <c r="D628" s="57" t="s">
        <v>748</v>
      </c>
      <c r="E628" s="57" t="s">
        <v>749</v>
      </c>
      <c r="F628" s="58"/>
      <c r="G628" s="57" t="s">
        <v>619</v>
      </c>
      <c r="H628" s="59">
        <v>2</v>
      </c>
      <c r="I628" s="57"/>
      <c r="J628" s="57"/>
      <c r="K628" s="59"/>
      <c r="L628" s="57"/>
      <c r="M628" s="60"/>
      <c r="N628" s="59"/>
      <c r="O628" s="57"/>
      <c r="P628" s="57"/>
      <c r="Q628" s="57" t="s">
        <v>22</v>
      </c>
      <c r="R628" s="57" t="s">
        <v>301</v>
      </c>
      <c r="S628" s="59">
        <v>13586</v>
      </c>
      <c r="T628" s="57" t="s">
        <v>61</v>
      </c>
      <c r="U628" s="60">
        <v>45875</v>
      </c>
      <c r="V628" s="59">
        <v>13586</v>
      </c>
      <c r="W628" s="57" t="s">
        <v>3170</v>
      </c>
      <c r="X628" s="57" t="s">
        <v>3171</v>
      </c>
      <c r="Y628" s="57" t="s">
        <v>20</v>
      </c>
      <c r="Z628" s="57" t="s">
        <v>752</v>
      </c>
      <c r="AA628" s="59">
        <v>70429</v>
      </c>
      <c r="AB628" s="57" t="s">
        <v>61</v>
      </c>
      <c r="AC628" s="60">
        <v>45876</v>
      </c>
      <c r="AD628" s="59">
        <v>70429</v>
      </c>
      <c r="AE628" s="57" t="s">
        <v>3172</v>
      </c>
      <c r="AF628" s="57" t="s">
        <v>3173</v>
      </c>
    </row>
    <row r="629" spans="1:32">
      <c r="A629" s="57">
        <v>628</v>
      </c>
      <c r="B629" s="58">
        <v>45932.657465277778</v>
      </c>
      <c r="C629" s="58">
        <v>45932.665486111109</v>
      </c>
      <c r="D629" s="57" t="s">
        <v>1434</v>
      </c>
      <c r="E629" s="57" t="s">
        <v>1435</v>
      </c>
      <c r="F629" s="58"/>
      <c r="G629" s="57" t="s">
        <v>634</v>
      </c>
      <c r="H629" s="59">
        <v>2</v>
      </c>
      <c r="I629" s="57"/>
      <c r="J629" s="57"/>
      <c r="K629" s="59"/>
      <c r="L629" s="57"/>
      <c r="M629" s="60"/>
      <c r="N629" s="59"/>
      <c r="O629" s="57"/>
      <c r="P629" s="57"/>
      <c r="Q629" s="57" t="s">
        <v>20</v>
      </c>
      <c r="R629" s="57" t="s">
        <v>3174</v>
      </c>
      <c r="S629" s="59">
        <v>58432</v>
      </c>
      <c r="T629" s="57" t="s">
        <v>61</v>
      </c>
      <c r="U629" s="60">
        <v>45825</v>
      </c>
      <c r="V629" s="59">
        <v>58432</v>
      </c>
      <c r="W629" s="57" t="s">
        <v>3175</v>
      </c>
      <c r="X629" s="57" t="s">
        <v>3176</v>
      </c>
      <c r="Y629" s="57" t="s">
        <v>20</v>
      </c>
      <c r="Z629" s="57" t="s">
        <v>325</v>
      </c>
      <c r="AA629" s="59">
        <v>13971</v>
      </c>
      <c r="AB629" s="57" t="s">
        <v>61</v>
      </c>
      <c r="AC629" s="60">
        <v>45874</v>
      </c>
      <c r="AD629" s="59">
        <v>13971</v>
      </c>
      <c r="AE629" s="57" t="s">
        <v>3177</v>
      </c>
      <c r="AF629" s="57" t="s">
        <v>3178</v>
      </c>
    </row>
    <row r="630" spans="1:32">
      <c r="A630" s="57">
        <v>629</v>
      </c>
      <c r="B630" s="58">
        <v>45932.665578703702</v>
      </c>
      <c r="C630" s="58">
        <v>45932.667997685188</v>
      </c>
      <c r="D630" s="57" t="s">
        <v>1713</v>
      </c>
      <c r="E630" s="57" t="s">
        <v>1714</v>
      </c>
      <c r="F630" s="58"/>
      <c r="G630" s="57" t="s">
        <v>608</v>
      </c>
      <c r="H630" s="59">
        <v>1</v>
      </c>
      <c r="I630" s="57"/>
      <c r="J630" s="57"/>
      <c r="K630" s="59"/>
      <c r="L630" s="57"/>
      <c r="M630" s="60"/>
      <c r="N630" s="59"/>
      <c r="O630" s="57"/>
      <c r="P630" s="57"/>
      <c r="Q630" s="57"/>
      <c r="R630" s="57"/>
      <c r="S630" s="59"/>
      <c r="T630" s="57"/>
      <c r="U630" s="60"/>
      <c r="V630" s="59"/>
      <c r="W630" s="57"/>
      <c r="X630" s="57"/>
      <c r="Y630" s="57" t="s">
        <v>21</v>
      </c>
      <c r="Z630" s="57" t="s">
        <v>286</v>
      </c>
      <c r="AA630" s="59">
        <v>84645</v>
      </c>
      <c r="AB630" s="57" t="s">
        <v>61</v>
      </c>
      <c r="AC630" s="60">
        <v>45845</v>
      </c>
      <c r="AD630" s="59">
        <v>84645</v>
      </c>
      <c r="AE630" s="57" t="s">
        <v>3179</v>
      </c>
      <c r="AF630" s="57" t="s">
        <v>3180</v>
      </c>
    </row>
    <row r="631" spans="1:32">
      <c r="A631" s="57">
        <v>630</v>
      </c>
      <c r="B631" s="58">
        <v>45932.671597222223</v>
      </c>
      <c r="C631" s="58">
        <v>45932.673622685194</v>
      </c>
      <c r="D631" s="57" t="s">
        <v>914</v>
      </c>
      <c r="E631" s="57" t="s">
        <v>915</v>
      </c>
      <c r="F631" s="58"/>
      <c r="G631" s="57" t="s">
        <v>480</v>
      </c>
      <c r="H631" s="59">
        <v>1</v>
      </c>
      <c r="I631" s="57"/>
      <c r="J631" s="57"/>
      <c r="K631" s="59"/>
      <c r="L631" s="57"/>
      <c r="M631" s="60"/>
      <c r="N631" s="59"/>
      <c r="O631" s="57"/>
      <c r="P631" s="57"/>
      <c r="Q631" s="57"/>
      <c r="R631" s="57"/>
      <c r="S631" s="59"/>
      <c r="T631" s="57"/>
      <c r="U631" s="60"/>
      <c r="V631" s="59"/>
      <c r="W631" s="57"/>
      <c r="X631" s="57"/>
      <c r="Y631" s="57" t="s">
        <v>20</v>
      </c>
      <c r="Z631" s="57" t="s">
        <v>146</v>
      </c>
      <c r="AA631" s="59">
        <v>61261</v>
      </c>
      <c r="AB631" s="57" t="s">
        <v>61</v>
      </c>
      <c r="AC631" s="60">
        <v>45848</v>
      </c>
      <c r="AD631" s="59">
        <v>61261</v>
      </c>
      <c r="AE631" s="57" t="s">
        <v>3181</v>
      </c>
      <c r="AF631" s="57" t="s">
        <v>3182</v>
      </c>
    </row>
    <row r="632" spans="1:32">
      <c r="A632" s="57">
        <v>631</v>
      </c>
      <c r="B632" s="58">
        <v>45932.669050925928</v>
      </c>
      <c r="C632" s="58">
        <v>45932.673680555563</v>
      </c>
      <c r="D632" s="57" t="s">
        <v>3183</v>
      </c>
      <c r="E632" s="57" t="s">
        <v>3184</v>
      </c>
      <c r="F632" s="58"/>
      <c r="G632" s="57" t="s">
        <v>520</v>
      </c>
      <c r="H632" s="59">
        <v>1</v>
      </c>
      <c r="I632" s="57"/>
      <c r="J632" s="57"/>
      <c r="K632" s="59"/>
      <c r="L632" s="57"/>
      <c r="M632" s="60"/>
      <c r="N632" s="59"/>
      <c r="O632" s="57"/>
      <c r="P632" s="57"/>
      <c r="Q632" s="57"/>
      <c r="R632" s="57"/>
      <c r="S632" s="59"/>
      <c r="T632" s="57"/>
      <c r="U632" s="60"/>
      <c r="V632" s="59"/>
      <c r="W632" s="57"/>
      <c r="X632" s="57"/>
      <c r="Y632" s="57" t="s">
        <v>21</v>
      </c>
      <c r="Z632" s="57" t="s">
        <v>187</v>
      </c>
      <c r="AA632" s="59">
        <v>16322</v>
      </c>
      <c r="AB632" s="57" t="s">
        <v>61</v>
      </c>
      <c r="AC632" s="60">
        <v>45423</v>
      </c>
      <c r="AD632" s="59">
        <v>16322</v>
      </c>
      <c r="AE632" s="57" t="s">
        <v>3185</v>
      </c>
      <c r="AF632" s="57" t="s">
        <v>3186</v>
      </c>
    </row>
    <row r="633" spans="1:32">
      <c r="A633" s="57">
        <v>632</v>
      </c>
      <c r="B633" s="58">
        <v>45932.672847222217</v>
      </c>
      <c r="C633" s="58">
        <v>45932.67454861111</v>
      </c>
      <c r="D633" s="57" t="s">
        <v>1820</v>
      </c>
      <c r="E633" s="57" t="s">
        <v>1821</v>
      </c>
      <c r="F633" s="58"/>
      <c r="G633" s="57" t="s">
        <v>476</v>
      </c>
      <c r="H633" s="59">
        <v>1</v>
      </c>
      <c r="I633" s="57"/>
      <c r="J633" s="57"/>
      <c r="K633" s="59"/>
      <c r="L633" s="57"/>
      <c r="M633" s="60"/>
      <c r="N633" s="59"/>
      <c r="O633" s="57"/>
      <c r="P633" s="57"/>
      <c r="Q633" s="57"/>
      <c r="R633" s="57"/>
      <c r="S633" s="59"/>
      <c r="T633" s="57"/>
      <c r="U633" s="60"/>
      <c r="V633" s="59"/>
      <c r="W633" s="57"/>
      <c r="X633" s="57"/>
      <c r="Y633" s="57" t="s">
        <v>21</v>
      </c>
      <c r="Z633" s="57" t="s">
        <v>142</v>
      </c>
      <c r="AA633" s="59">
        <v>46471</v>
      </c>
      <c r="AB633" s="57" t="s">
        <v>61</v>
      </c>
      <c r="AC633" s="60">
        <v>45889</v>
      </c>
      <c r="AD633" s="59">
        <v>46471</v>
      </c>
      <c r="AE633" s="57" t="s">
        <v>3187</v>
      </c>
      <c r="AF633" s="57" t="s">
        <v>3188</v>
      </c>
    </row>
    <row r="634" spans="1:32">
      <c r="A634" s="57">
        <v>633</v>
      </c>
      <c r="B634" s="58">
        <v>45932.672731481478</v>
      </c>
      <c r="C634" s="58">
        <v>45932.675532407397</v>
      </c>
      <c r="D634" s="57" t="s">
        <v>1691</v>
      </c>
      <c r="E634" s="57" t="s">
        <v>1692</v>
      </c>
      <c r="F634" s="58"/>
      <c r="G634" s="57" t="s">
        <v>512</v>
      </c>
      <c r="H634" s="59">
        <v>2</v>
      </c>
      <c r="I634" s="57"/>
      <c r="J634" s="57"/>
      <c r="K634" s="59"/>
      <c r="L634" s="57"/>
      <c r="M634" s="60"/>
      <c r="N634" s="59"/>
      <c r="O634" s="57"/>
      <c r="P634" s="57"/>
      <c r="Q634" s="57" t="s">
        <v>20</v>
      </c>
      <c r="R634" s="57" t="s">
        <v>1693</v>
      </c>
      <c r="S634" s="59">
        <v>111896</v>
      </c>
      <c r="T634" s="57" t="s">
        <v>61</v>
      </c>
      <c r="U634" s="60">
        <v>45877</v>
      </c>
      <c r="V634" s="59">
        <v>111896</v>
      </c>
      <c r="W634" s="57" t="s">
        <v>3189</v>
      </c>
      <c r="X634" s="57" t="s">
        <v>3190</v>
      </c>
      <c r="Y634" s="57" t="s">
        <v>20</v>
      </c>
      <c r="Z634" s="57" t="s">
        <v>3191</v>
      </c>
      <c r="AA634" s="59">
        <v>66549</v>
      </c>
      <c r="AB634" s="57" t="s">
        <v>61</v>
      </c>
      <c r="AC634" s="60">
        <v>45877</v>
      </c>
      <c r="AD634" s="59">
        <v>66549</v>
      </c>
      <c r="AE634" s="57" t="s">
        <v>3192</v>
      </c>
      <c r="AF634" s="57" t="s">
        <v>3193</v>
      </c>
    </row>
    <row r="635" spans="1:32">
      <c r="A635" s="57">
        <v>634</v>
      </c>
      <c r="B635" s="58">
        <v>45932.66033564815</v>
      </c>
      <c r="C635" s="58">
        <v>45932.676435185182</v>
      </c>
      <c r="D635" s="57" t="s">
        <v>1598</v>
      </c>
      <c r="E635" s="57" t="s">
        <v>1599</v>
      </c>
      <c r="F635" s="58"/>
      <c r="G635" s="57" t="s">
        <v>671</v>
      </c>
      <c r="H635" s="59">
        <v>2</v>
      </c>
      <c r="I635" s="57"/>
      <c r="J635" s="57"/>
      <c r="K635" s="59"/>
      <c r="L635" s="57"/>
      <c r="M635" s="60"/>
      <c r="N635" s="59"/>
      <c r="O635" s="57"/>
      <c r="P635" s="57"/>
      <c r="Q635" s="57" t="s">
        <v>21</v>
      </c>
      <c r="R635" s="57" t="s">
        <v>1600</v>
      </c>
      <c r="S635" s="59">
        <v>59841</v>
      </c>
      <c r="T635" s="57" t="s">
        <v>61</v>
      </c>
      <c r="U635" s="60">
        <v>45840</v>
      </c>
      <c r="V635" s="59">
        <v>59841</v>
      </c>
      <c r="W635" s="57" t="s">
        <v>3194</v>
      </c>
      <c r="X635" s="57" t="s">
        <v>3195</v>
      </c>
      <c r="Y635" s="57" t="s">
        <v>22</v>
      </c>
      <c r="Z635" s="57" t="s">
        <v>383</v>
      </c>
      <c r="AA635" s="59">
        <v>5857</v>
      </c>
      <c r="AB635" s="57" t="s">
        <v>61</v>
      </c>
      <c r="AC635" s="60">
        <v>45889</v>
      </c>
      <c r="AD635" s="59">
        <v>5857</v>
      </c>
      <c r="AE635" s="57" t="s">
        <v>3196</v>
      </c>
      <c r="AF635" s="57" t="s">
        <v>3197</v>
      </c>
    </row>
    <row r="636" spans="1:32">
      <c r="A636" s="57">
        <v>635</v>
      </c>
      <c r="B636" s="58">
        <v>45932.664687500001</v>
      </c>
      <c r="C636" s="58">
        <v>45932.68178240741</v>
      </c>
      <c r="D636" s="57" t="s">
        <v>970</v>
      </c>
      <c r="E636" s="57" t="s">
        <v>971</v>
      </c>
      <c r="F636" s="58"/>
      <c r="G636" s="57" t="s">
        <v>585</v>
      </c>
      <c r="H636" s="59">
        <v>1</v>
      </c>
      <c r="I636" s="57"/>
      <c r="J636" s="57"/>
      <c r="K636" s="59"/>
      <c r="L636" s="57"/>
      <c r="M636" s="60"/>
      <c r="N636" s="59"/>
      <c r="O636" s="57"/>
      <c r="P636" s="57"/>
      <c r="Q636" s="57"/>
      <c r="R636" s="57"/>
      <c r="S636" s="59"/>
      <c r="T636" s="57"/>
      <c r="U636" s="60"/>
      <c r="V636" s="59"/>
      <c r="W636" s="57"/>
      <c r="X636" s="57"/>
      <c r="Y636" s="57" t="s">
        <v>22</v>
      </c>
      <c r="Z636" s="57" t="s">
        <v>3198</v>
      </c>
      <c r="AA636" s="59">
        <v>24565</v>
      </c>
      <c r="AB636" s="57" t="s">
        <v>61</v>
      </c>
      <c r="AC636" s="60">
        <v>45881</v>
      </c>
      <c r="AD636" s="59">
        <v>24565</v>
      </c>
      <c r="AE636" s="57" t="s">
        <v>3199</v>
      </c>
      <c r="AF636" s="57" t="s">
        <v>3200</v>
      </c>
    </row>
    <row r="637" spans="1:32">
      <c r="A637" s="57">
        <v>636</v>
      </c>
      <c r="B637" s="58">
        <v>45932.678530092591</v>
      </c>
      <c r="C637" s="58">
        <v>45932.682743055557</v>
      </c>
      <c r="D637" s="57" t="s">
        <v>1371</v>
      </c>
      <c r="E637" s="57" t="s">
        <v>1372</v>
      </c>
      <c r="F637" s="58"/>
      <c r="G637" s="57" t="s">
        <v>514</v>
      </c>
      <c r="H637" s="59">
        <v>1</v>
      </c>
      <c r="I637" s="57"/>
      <c r="J637" s="57"/>
      <c r="K637" s="59"/>
      <c r="L637" s="57"/>
      <c r="M637" s="60"/>
      <c r="N637" s="59"/>
      <c r="O637" s="57"/>
      <c r="P637" s="57"/>
      <c r="Q637" s="57"/>
      <c r="R637" s="57"/>
      <c r="S637" s="59"/>
      <c r="T637" s="57"/>
      <c r="U637" s="60"/>
      <c r="V637" s="59"/>
      <c r="W637" s="57"/>
      <c r="X637" s="57"/>
      <c r="Y637" s="57" t="s">
        <v>21</v>
      </c>
      <c r="Z637" s="57" t="s">
        <v>181</v>
      </c>
      <c r="AA637" s="59">
        <v>32700</v>
      </c>
      <c r="AB637" s="57" t="s">
        <v>61</v>
      </c>
      <c r="AC637" s="60">
        <v>45813</v>
      </c>
      <c r="AD637" s="59">
        <v>32700</v>
      </c>
      <c r="AE637" s="57" t="s">
        <v>3201</v>
      </c>
      <c r="AF637" s="57" t="s">
        <v>3202</v>
      </c>
    </row>
    <row r="638" spans="1:32">
      <c r="A638" s="57">
        <v>637</v>
      </c>
      <c r="B638" s="58">
        <v>45932.676840277767</v>
      </c>
      <c r="C638" s="58">
        <v>45932.685925925929</v>
      </c>
      <c r="D638" s="57" t="s">
        <v>936</v>
      </c>
      <c r="E638" s="57" t="s">
        <v>937</v>
      </c>
      <c r="F638" s="58"/>
      <c r="G638" s="57" t="s">
        <v>466</v>
      </c>
      <c r="H638" s="59">
        <v>1</v>
      </c>
      <c r="I638" s="57"/>
      <c r="J638" s="57"/>
      <c r="K638" s="59"/>
      <c r="L638" s="57"/>
      <c r="M638" s="60"/>
      <c r="N638" s="59"/>
      <c r="O638" s="57"/>
      <c r="P638" s="57"/>
      <c r="Q638" s="57"/>
      <c r="R638" s="57"/>
      <c r="S638" s="59"/>
      <c r="T638" s="57"/>
      <c r="U638" s="60"/>
      <c r="V638" s="59"/>
      <c r="W638" s="57"/>
      <c r="X638" s="57"/>
      <c r="Y638" s="57" t="s">
        <v>20</v>
      </c>
      <c r="Z638" s="57" t="s">
        <v>131</v>
      </c>
      <c r="AA638" s="59">
        <v>81274</v>
      </c>
      <c r="AB638" s="57" t="s">
        <v>61</v>
      </c>
      <c r="AC638" s="60">
        <v>45908</v>
      </c>
      <c r="AD638" s="59">
        <v>81274</v>
      </c>
      <c r="AE638" s="57" t="s">
        <v>3203</v>
      </c>
      <c r="AF638" s="57" t="s">
        <v>3204</v>
      </c>
    </row>
    <row r="639" spans="1:32">
      <c r="A639" s="57">
        <v>638</v>
      </c>
      <c r="B639" s="58">
        <v>45932.686064814807</v>
      </c>
      <c r="C639" s="58">
        <v>45932.689699074072</v>
      </c>
      <c r="D639" s="57" t="s">
        <v>1410</v>
      </c>
      <c r="E639" s="57" t="s">
        <v>1411</v>
      </c>
      <c r="F639" s="58"/>
      <c r="G639" s="57" t="s">
        <v>493</v>
      </c>
      <c r="H639" s="59">
        <v>2</v>
      </c>
      <c r="I639" s="57"/>
      <c r="J639" s="57"/>
      <c r="K639" s="59"/>
      <c r="L639" s="57"/>
      <c r="M639" s="60"/>
      <c r="N639" s="59"/>
      <c r="O639" s="57"/>
      <c r="P639" s="57"/>
      <c r="Q639" s="57" t="s">
        <v>22</v>
      </c>
      <c r="R639" s="57" t="s">
        <v>397</v>
      </c>
      <c r="S639" s="59">
        <v>1974</v>
      </c>
      <c r="T639" s="57" t="s">
        <v>61</v>
      </c>
      <c r="U639" s="60">
        <v>45932</v>
      </c>
      <c r="V639" s="59">
        <v>1974</v>
      </c>
      <c r="W639" s="57" t="s">
        <v>3205</v>
      </c>
      <c r="X639" s="57" t="s">
        <v>3206</v>
      </c>
      <c r="Y639" s="57" t="s">
        <v>21</v>
      </c>
      <c r="Z639" s="57" t="s">
        <v>3207</v>
      </c>
      <c r="AA639" s="59">
        <v>61017</v>
      </c>
      <c r="AB639" s="57" t="s">
        <v>61</v>
      </c>
      <c r="AC639" s="60">
        <v>45932</v>
      </c>
      <c r="AD639" s="59">
        <v>61017</v>
      </c>
      <c r="AE639" s="57" t="s">
        <v>3208</v>
      </c>
      <c r="AF639" s="57" t="s">
        <v>3209</v>
      </c>
    </row>
    <row r="640" spans="1:32">
      <c r="A640" s="57">
        <v>639</v>
      </c>
      <c r="B640" s="58">
        <v>45932.661053240743</v>
      </c>
      <c r="C640" s="58">
        <v>45932.704074074078</v>
      </c>
      <c r="D640" s="57" t="s">
        <v>1644</v>
      </c>
      <c r="E640" s="57" t="s">
        <v>1645</v>
      </c>
      <c r="F640" s="58"/>
      <c r="G640" s="57" t="s">
        <v>649</v>
      </c>
      <c r="H640" s="59">
        <v>1</v>
      </c>
      <c r="I640" s="57"/>
      <c r="J640" s="57"/>
      <c r="K640" s="59"/>
      <c r="L640" s="57"/>
      <c r="M640" s="60"/>
      <c r="N640" s="59"/>
      <c r="O640" s="57"/>
      <c r="P640" s="57"/>
      <c r="Q640" s="57"/>
      <c r="R640" s="57"/>
      <c r="S640" s="59"/>
      <c r="T640" s="57"/>
      <c r="U640" s="60"/>
      <c r="V640" s="59"/>
      <c r="W640" s="57"/>
      <c r="X640" s="57"/>
      <c r="Y640" s="57" t="s">
        <v>21</v>
      </c>
      <c r="Z640" s="57" t="s">
        <v>345</v>
      </c>
      <c r="AA640" s="59">
        <v>745</v>
      </c>
      <c r="AB640" s="57" t="s">
        <v>61</v>
      </c>
      <c r="AC640" s="60">
        <v>45759</v>
      </c>
      <c r="AD640" s="59">
        <v>745</v>
      </c>
      <c r="AE640" s="57" t="s">
        <v>3210</v>
      </c>
      <c r="AF640" s="57" t="s">
        <v>3211</v>
      </c>
    </row>
    <row r="641" spans="1:32">
      <c r="A641" s="57">
        <v>640</v>
      </c>
      <c r="B641" s="58">
        <v>45932.696608796286</v>
      </c>
      <c r="C641" s="58">
        <v>45932.708449074067</v>
      </c>
      <c r="D641" s="57" t="s">
        <v>1216</v>
      </c>
      <c r="E641" s="57" t="s">
        <v>1217</v>
      </c>
      <c r="F641" s="58"/>
      <c r="G641" s="57" t="s">
        <v>684</v>
      </c>
      <c r="H641" s="59">
        <v>3</v>
      </c>
      <c r="I641" s="57" t="s">
        <v>20</v>
      </c>
      <c r="J641" s="57" t="s">
        <v>1223</v>
      </c>
      <c r="K641" s="59">
        <v>40911</v>
      </c>
      <c r="L641" s="57" t="s">
        <v>61</v>
      </c>
      <c r="M641" s="60">
        <v>45887</v>
      </c>
      <c r="N641" s="59">
        <v>40911</v>
      </c>
      <c r="O641" s="57" t="s">
        <v>3212</v>
      </c>
      <c r="P641" s="57" t="s">
        <v>3213</v>
      </c>
      <c r="Q641" s="57" t="s">
        <v>20</v>
      </c>
      <c r="R641" s="57" t="s">
        <v>3214</v>
      </c>
      <c r="S641" s="59">
        <v>848</v>
      </c>
      <c r="T641" s="57" t="s">
        <v>61</v>
      </c>
      <c r="U641" s="60">
        <v>45925</v>
      </c>
      <c r="V641" s="59">
        <v>848</v>
      </c>
      <c r="W641" s="57" t="s">
        <v>3215</v>
      </c>
      <c r="X641" s="57" t="s">
        <v>3216</v>
      </c>
      <c r="Y641" s="57" t="s">
        <v>20</v>
      </c>
      <c r="Z641" s="57" t="s">
        <v>289</v>
      </c>
      <c r="AA641" s="59">
        <v>18852</v>
      </c>
      <c r="AB641" s="57" t="s">
        <v>61</v>
      </c>
      <c r="AC641" s="60">
        <v>45804</v>
      </c>
      <c r="AD641" s="59">
        <v>18852</v>
      </c>
      <c r="AE641" s="57" t="s">
        <v>3217</v>
      </c>
      <c r="AF641" s="57" t="s">
        <v>3218</v>
      </c>
    </row>
    <row r="642" spans="1:32">
      <c r="A642" s="57">
        <v>641</v>
      </c>
      <c r="B642" s="58">
        <v>45932.704965277779</v>
      </c>
      <c r="C642" s="58">
        <v>45932.713622685187</v>
      </c>
      <c r="D642" s="57" t="s">
        <v>3219</v>
      </c>
      <c r="E642" s="57" t="s">
        <v>3220</v>
      </c>
      <c r="F642" s="58"/>
      <c r="G642" s="57" t="s">
        <v>717</v>
      </c>
      <c r="H642" s="59">
        <v>1</v>
      </c>
      <c r="I642" s="57"/>
      <c r="J642" s="57"/>
      <c r="K642" s="59"/>
      <c r="L642" s="57"/>
      <c r="M642" s="60"/>
      <c r="N642" s="59"/>
      <c r="O642" s="57"/>
      <c r="P642" s="57"/>
      <c r="Q642" s="57"/>
      <c r="R642" s="57"/>
      <c r="S642" s="59"/>
      <c r="T642" s="57"/>
      <c r="U642" s="60"/>
      <c r="V642" s="59"/>
      <c r="W642" s="57"/>
      <c r="X642" s="57"/>
      <c r="Y642" s="57" t="s">
        <v>20</v>
      </c>
      <c r="Z642" s="57" t="s">
        <v>958</v>
      </c>
      <c r="AA642" s="59">
        <v>21833</v>
      </c>
      <c r="AB642" s="57" t="s">
        <v>61</v>
      </c>
      <c r="AC642" s="60">
        <v>45784</v>
      </c>
      <c r="AD642" s="59">
        <v>21833</v>
      </c>
      <c r="AE642" s="57" t="s">
        <v>3221</v>
      </c>
      <c r="AF642" s="57" t="s">
        <v>3222</v>
      </c>
    </row>
    <row r="643" spans="1:32">
      <c r="A643" s="57">
        <v>642</v>
      </c>
      <c r="B643" s="58">
        <v>45932.711597222216</v>
      </c>
      <c r="C643" s="58">
        <v>45932.715462962973</v>
      </c>
      <c r="D643" s="57" t="s">
        <v>1568</v>
      </c>
      <c r="E643" s="57" t="s">
        <v>1569</v>
      </c>
      <c r="F643" s="58"/>
      <c r="G643" s="57" t="s">
        <v>505</v>
      </c>
      <c r="H643" s="59">
        <v>1</v>
      </c>
      <c r="I643" s="57"/>
      <c r="J643" s="57"/>
      <c r="K643" s="59"/>
      <c r="L643" s="57"/>
      <c r="M643" s="60"/>
      <c r="N643" s="59"/>
      <c r="O643" s="57"/>
      <c r="P643" s="57"/>
      <c r="Q643" s="57"/>
      <c r="R643" s="57"/>
      <c r="S643" s="59"/>
      <c r="T643" s="57"/>
      <c r="U643" s="60"/>
      <c r="V643" s="59"/>
      <c r="W643" s="57"/>
      <c r="X643" s="57"/>
      <c r="Y643" s="57" t="s">
        <v>20</v>
      </c>
      <c r="Z643" s="57" t="s">
        <v>171</v>
      </c>
      <c r="AA643" s="59">
        <v>65181</v>
      </c>
      <c r="AB643" s="57" t="s">
        <v>61</v>
      </c>
      <c r="AC643" s="60">
        <v>45909</v>
      </c>
      <c r="AD643" s="59">
        <v>65181</v>
      </c>
      <c r="AE643" s="57" t="s">
        <v>3223</v>
      </c>
      <c r="AF643" s="57" t="s">
        <v>3224</v>
      </c>
    </row>
    <row r="644" spans="1:32">
      <c r="A644" s="57">
        <v>643</v>
      </c>
      <c r="B644" s="58">
        <v>45932.804432870369</v>
      </c>
      <c r="C644" s="58">
        <v>45932.807337962957</v>
      </c>
      <c r="D644" s="57" t="s">
        <v>2432</v>
      </c>
      <c r="E644" s="57" t="s">
        <v>2433</v>
      </c>
      <c r="F644" s="58"/>
      <c r="G644" s="57" t="s">
        <v>2434</v>
      </c>
      <c r="H644" s="59">
        <v>2</v>
      </c>
      <c r="I644" s="57"/>
      <c r="J644" s="57"/>
      <c r="K644" s="59"/>
      <c r="L644" s="57"/>
      <c r="M644" s="60"/>
      <c r="N644" s="59"/>
      <c r="O644" s="57"/>
      <c r="P644" s="57"/>
      <c r="Q644" s="57" t="s">
        <v>20</v>
      </c>
      <c r="R644" s="57" t="s">
        <v>387</v>
      </c>
      <c r="S644" s="59">
        <v>6997</v>
      </c>
      <c r="T644" s="57" t="s">
        <v>61</v>
      </c>
      <c r="U644" s="60">
        <v>46009</v>
      </c>
      <c r="V644" s="59">
        <v>6997</v>
      </c>
      <c r="W644" s="57" t="s">
        <v>3225</v>
      </c>
      <c r="X644" s="57" t="s">
        <v>3226</v>
      </c>
      <c r="Y644" s="57" t="s">
        <v>20</v>
      </c>
      <c r="Z644" s="57" t="s">
        <v>2435</v>
      </c>
      <c r="AA644" s="59">
        <v>61110</v>
      </c>
      <c r="AB644" s="57" t="s">
        <v>61</v>
      </c>
      <c r="AC644" s="60">
        <v>45968</v>
      </c>
      <c r="AD644" s="59">
        <v>61110</v>
      </c>
      <c r="AE644" s="57" t="s">
        <v>3227</v>
      </c>
      <c r="AF644" s="57" t="s">
        <v>3228</v>
      </c>
    </row>
    <row r="645" spans="1:32">
      <c r="A645" s="57">
        <v>644</v>
      </c>
      <c r="B645" s="58">
        <v>45933.359861111108</v>
      </c>
      <c r="C645" s="58">
        <v>45933.364560185182</v>
      </c>
      <c r="D645" s="57" t="s">
        <v>1256</v>
      </c>
      <c r="E645" s="57" t="s">
        <v>1257</v>
      </c>
      <c r="F645" s="58"/>
      <c r="G645" s="57" t="s">
        <v>473</v>
      </c>
      <c r="H645" s="59">
        <v>1</v>
      </c>
      <c r="I645" s="57"/>
      <c r="J645" s="57"/>
      <c r="K645" s="59"/>
      <c r="L645" s="57"/>
      <c r="M645" s="60"/>
      <c r="N645" s="59"/>
      <c r="O645" s="57"/>
      <c r="P645" s="57"/>
      <c r="Q645" s="57"/>
      <c r="R645" s="57"/>
      <c r="S645" s="59"/>
      <c r="T645" s="57"/>
      <c r="U645" s="60"/>
      <c r="V645" s="59"/>
      <c r="W645" s="57"/>
      <c r="X645" s="57"/>
      <c r="Y645" s="57" t="s">
        <v>21</v>
      </c>
      <c r="Z645" s="57" t="s">
        <v>139</v>
      </c>
      <c r="AA645" s="59">
        <v>104117</v>
      </c>
      <c r="AB645" s="57" t="s">
        <v>61</v>
      </c>
      <c r="AC645" s="60">
        <v>45861</v>
      </c>
      <c r="AD645" s="59">
        <v>104117</v>
      </c>
      <c r="AE645" s="57" t="s">
        <v>3229</v>
      </c>
      <c r="AF645" s="57" t="s">
        <v>3230</v>
      </c>
    </row>
    <row r="646" spans="1:32">
      <c r="A646" s="57">
        <v>645</v>
      </c>
      <c r="B646" s="58">
        <v>45933.58693287037</v>
      </c>
      <c r="C646" s="58">
        <v>45933.589733796303</v>
      </c>
      <c r="D646" s="57" t="s">
        <v>1007</v>
      </c>
      <c r="E646" s="57" t="s">
        <v>1008</v>
      </c>
      <c r="F646" s="58"/>
      <c r="G646" s="57" t="s">
        <v>528</v>
      </c>
      <c r="H646" s="59">
        <v>2</v>
      </c>
      <c r="I646" s="57"/>
      <c r="J646" s="57"/>
      <c r="K646" s="59"/>
      <c r="L646" s="57"/>
      <c r="M646" s="60"/>
      <c r="N646" s="59"/>
      <c r="O646" s="57"/>
      <c r="P646" s="57"/>
      <c r="Q646" s="57" t="s">
        <v>20</v>
      </c>
      <c r="R646" s="57" t="s">
        <v>400</v>
      </c>
      <c r="S646" s="59">
        <v>2299</v>
      </c>
      <c r="T646" s="57" t="s">
        <v>61</v>
      </c>
      <c r="U646" s="60">
        <v>45919</v>
      </c>
      <c r="V646" s="59">
        <v>2299</v>
      </c>
      <c r="W646" s="57" t="s">
        <v>3231</v>
      </c>
      <c r="X646" s="57" t="s">
        <v>3232</v>
      </c>
      <c r="Y646" s="57" t="s">
        <v>22</v>
      </c>
      <c r="Z646" s="57" t="s">
        <v>195</v>
      </c>
      <c r="AA646" s="59">
        <v>45482</v>
      </c>
      <c r="AB646" s="57" t="s">
        <v>61</v>
      </c>
      <c r="AC646" s="60">
        <v>45820</v>
      </c>
      <c r="AD646" s="59">
        <v>45482</v>
      </c>
      <c r="AE646" s="57" t="s">
        <v>3233</v>
      </c>
      <c r="AF646" s="57" t="s">
        <v>3234</v>
      </c>
    </row>
    <row r="647" spans="1:32">
      <c r="A647" s="57">
        <v>646</v>
      </c>
      <c r="B647" s="58">
        <v>45933.609652777777</v>
      </c>
      <c r="C647" s="58">
        <v>45933.611921296288</v>
      </c>
      <c r="D647" s="57" t="s">
        <v>739</v>
      </c>
      <c r="E647" s="57" t="s">
        <v>740</v>
      </c>
      <c r="F647" s="58"/>
      <c r="G647" s="57" t="s">
        <v>686</v>
      </c>
      <c r="H647" s="59">
        <v>1</v>
      </c>
      <c r="I647" s="57"/>
      <c r="J647" s="57"/>
      <c r="K647" s="59"/>
      <c r="L647" s="57"/>
      <c r="M647" s="60"/>
      <c r="N647" s="59"/>
      <c r="O647" s="57"/>
      <c r="P647" s="57"/>
      <c r="Q647" s="57"/>
      <c r="R647" s="57"/>
      <c r="S647" s="59"/>
      <c r="T647" s="57"/>
      <c r="U647" s="60"/>
      <c r="V647" s="59"/>
      <c r="W647" s="57"/>
      <c r="X647" s="57"/>
      <c r="Y647" s="57" t="s">
        <v>21</v>
      </c>
      <c r="Z647" s="57" t="s">
        <v>741</v>
      </c>
      <c r="AA647" s="59">
        <v>53757</v>
      </c>
      <c r="AB647" s="57" t="s">
        <v>61</v>
      </c>
      <c r="AC647" s="60">
        <v>45829</v>
      </c>
      <c r="AD647" s="59">
        <v>53757</v>
      </c>
      <c r="AE647" s="57" t="s">
        <v>3235</v>
      </c>
      <c r="AF647" s="57" t="s">
        <v>3236</v>
      </c>
    </row>
    <row r="648" spans="1:32">
      <c r="A648" s="57">
        <v>647</v>
      </c>
      <c r="B648" s="58">
        <v>45933.671678240738</v>
      </c>
      <c r="C648" s="58">
        <v>45933.674016203702</v>
      </c>
      <c r="D648" s="57" t="s">
        <v>3237</v>
      </c>
      <c r="E648" s="57" t="s">
        <v>3238</v>
      </c>
      <c r="F648" s="58"/>
      <c r="G648" s="57" t="s">
        <v>527</v>
      </c>
      <c r="H648" s="59">
        <v>1</v>
      </c>
      <c r="I648" s="57"/>
      <c r="J648" s="57"/>
      <c r="K648" s="59"/>
      <c r="L648" s="57"/>
      <c r="M648" s="60"/>
      <c r="N648" s="59"/>
      <c r="O648" s="57"/>
      <c r="P648" s="57"/>
      <c r="Q648" s="57"/>
      <c r="R648" s="57"/>
      <c r="S648" s="59"/>
      <c r="T648" s="57"/>
      <c r="U648" s="60"/>
      <c r="V648" s="59"/>
      <c r="W648" s="57"/>
      <c r="X648" s="57"/>
      <c r="Y648" s="57" t="s">
        <v>21</v>
      </c>
      <c r="Z648" s="57" t="s">
        <v>194</v>
      </c>
      <c r="AA648" s="59">
        <v>59243</v>
      </c>
      <c r="AB648" s="57" t="s">
        <v>61</v>
      </c>
      <c r="AC648" s="60">
        <v>45820</v>
      </c>
      <c r="AD648" s="59">
        <v>59243</v>
      </c>
      <c r="AE648" s="57" t="s">
        <v>3239</v>
      </c>
      <c r="AF648" s="57" t="s">
        <v>3240</v>
      </c>
    </row>
    <row r="649" spans="1:32">
      <c r="A649" s="57">
        <v>648</v>
      </c>
      <c r="B649" s="58">
        <v>45933.656759259262</v>
      </c>
      <c r="C649" s="58">
        <v>45933.676087962973</v>
      </c>
      <c r="D649" s="57" t="s">
        <v>3241</v>
      </c>
      <c r="E649" s="57" t="s">
        <v>3242</v>
      </c>
      <c r="F649" s="58"/>
      <c r="G649" s="57" t="s">
        <v>646</v>
      </c>
      <c r="H649" s="59">
        <v>1</v>
      </c>
      <c r="I649" s="57"/>
      <c r="J649" s="57"/>
      <c r="K649" s="59"/>
      <c r="L649" s="57"/>
      <c r="M649" s="60"/>
      <c r="N649" s="59"/>
      <c r="O649" s="57"/>
      <c r="P649" s="57"/>
      <c r="Q649" s="57"/>
      <c r="R649" s="57"/>
      <c r="S649" s="59"/>
      <c r="T649" s="57"/>
      <c r="U649" s="60"/>
      <c r="V649" s="59"/>
      <c r="W649" s="57"/>
      <c r="X649" s="57"/>
      <c r="Y649" s="57" t="s">
        <v>21</v>
      </c>
      <c r="Z649" s="57" t="s">
        <v>341</v>
      </c>
      <c r="AA649" s="59">
        <v>4268</v>
      </c>
      <c r="AB649" s="57" t="s">
        <v>61</v>
      </c>
      <c r="AC649" s="60">
        <v>45724</v>
      </c>
      <c r="AD649" s="59">
        <v>4268</v>
      </c>
      <c r="AE649" s="57" t="s">
        <v>3243</v>
      </c>
      <c r="AF649" s="57" t="s">
        <v>3244</v>
      </c>
    </row>
    <row r="650" spans="1:32">
      <c r="A650" s="57">
        <v>649</v>
      </c>
      <c r="B650" s="58">
        <v>45923.377118055563</v>
      </c>
      <c r="C650" s="58">
        <v>45933.69226851852</v>
      </c>
      <c r="D650" s="57" t="s">
        <v>2395</v>
      </c>
      <c r="E650" s="57" t="s">
        <v>2396</v>
      </c>
      <c r="F650" s="58"/>
      <c r="G650" s="57" t="s">
        <v>513</v>
      </c>
      <c r="H650" s="59">
        <v>1</v>
      </c>
      <c r="I650" s="57"/>
      <c r="J650" s="57"/>
      <c r="K650" s="59"/>
      <c r="L650" s="57"/>
      <c r="M650" s="60"/>
      <c r="N650" s="59"/>
      <c r="O650" s="57"/>
      <c r="P650" s="57"/>
      <c r="Q650" s="57"/>
      <c r="R650" s="57"/>
      <c r="S650" s="59"/>
      <c r="T650" s="57"/>
      <c r="U650" s="60"/>
      <c r="V650" s="59"/>
      <c r="W650" s="57"/>
      <c r="X650" s="57"/>
      <c r="Y650" s="57" t="s">
        <v>21</v>
      </c>
      <c r="Z650" s="57" t="s">
        <v>180</v>
      </c>
      <c r="AA650" s="59">
        <v>31541</v>
      </c>
      <c r="AB650" s="57" t="s">
        <v>61</v>
      </c>
      <c r="AC650" s="60">
        <v>45763</v>
      </c>
      <c r="AD650" s="59">
        <v>31541</v>
      </c>
      <c r="AE650" s="57" t="s">
        <v>3245</v>
      </c>
      <c r="AF650" s="57" t="s">
        <v>3246</v>
      </c>
    </row>
    <row r="651" spans="1:32">
      <c r="A651" s="57">
        <v>650</v>
      </c>
      <c r="B651" s="58">
        <v>45933.699791666673</v>
      </c>
      <c r="C651" s="58">
        <v>45933.700115740743</v>
      </c>
      <c r="D651" s="57" t="s">
        <v>1741</v>
      </c>
      <c r="E651" s="57" t="s">
        <v>1742</v>
      </c>
      <c r="F651" s="58"/>
      <c r="G651" s="57" t="s">
        <v>509</v>
      </c>
      <c r="H651" s="59">
        <v>1</v>
      </c>
      <c r="I651" s="57"/>
      <c r="J651" s="57"/>
      <c r="K651" s="59"/>
      <c r="L651" s="57"/>
      <c r="M651" s="60"/>
      <c r="N651" s="59"/>
      <c r="O651" s="57"/>
      <c r="P651" s="57"/>
      <c r="Q651" s="57"/>
      <c r="R651" s="57"/>
      <c r="S651" s="59"/>
      <c r="T651" s="57"/>
      <c r="U651" s="60"/>
      <c r="V651" s="59"/>
      <c r="W651" s="57"/>
      <c r="X651" s="57"/>
      <c r="Y651" s="57" t="s">
        <v>21</v>
      </c>
      <c r="Z651" s="57" t="s">
        <v>175</v>
      </c>
      <c r="AA651" s="59">
        <v>40552</v>
      </c>
      <c r="AB651" s="57" t="s">
        <v>61</v>
      </c>
      <c r="AC651" s="60">
        <v>45926</v>
      </c>
      <c r="AD651" s="59">
        <v>40552</v>
      </c>
      <c r="AE651" s="57" t="s">
        <v>3247</v>
      </c>
      <c r="AF651" s="57" t="s">
        <v>3248</v>
      </c>
    </row>
    <row r="652" spans="1:32">
      <c r="A652" s="57">
        <v>651</v>
      </c>
      <c r="B652" s="58">
        <v>45933.767187500001</v>
      </c>
      <c r="C652" s="58">
        <v>45934.459918981483</v>
      </c>
      <c r="D652" s="57" t="s">
        <v>3249</v>
      </c>
      <c r="E652" s="57" t="s">
        <v>3250</v>
      </c>
      <c r="F652" s="58"/>
      <c r="G652" s="57" t="s">
        <v>647</v>
      </c>
      <c r="H652" s="59">
        <v>2</v>
      </c>
      <c r="I652" s="57"/>
      <c r="J652" s="57"/>
      <c r="K652" s="59"/>
      <c r="L652" s="57"/>
      <c r="M652" s="60"/>
      <c r="N652" s="59"/>
      <c r="O652" s="57"/>
      <c r="P652" s="57"/>
      <c r="Q652" s="57" t="s">
        <v>21</v>
      </c>
      <c r="R652" s="57" t="s">
        <v>339</v>
      </c>
      <c r="S652" s="59">
        <v>7396</v>
      </c>
      <c r="T652" s="57" t="s">
        <v>61</v>
      </c>
      <c r="U652" s="60">
        <v>45902</v>
      </c>
      <c r="V652" s="59">
        <v>7396</v>
      </c>
      <c r="W652" s="57" t="s">
        <v>3251</v>
      </c>
      <c r="X652" s="57" t="s">
        <v>3252</v>
      </c>
      <c r="Y652" s="57" t="s">
        <v>21</v>
      </c>
      <c r="Z652" s="57" t="s">
        <v>353</v>
      </c>
      <c r="AA652" s="59">
        <v>7835</v>
      </c>
      <c r="AB652" s="57" t="s">
        <v>61</v>
      </c>
      <c r="AC652" s="60">
        <v>45902</v>
      </c>
      <c r="AD652" s="59">
        <v>7835</v>
      </c>
      <c r="AE652" s="57" t="s">
        <v>3253</v>
      </c>
      <c r="AF652" s="57" t="s">
        <v>3254</v>
      </c>
    </row>
    <row r="653" spans="1:32">
      <c r="A653" s="57">
        <v>652</v>
      </c>
      <c r="B653" s="58">
        <v>45935.474328703713</v>
      </c>
      <c r="C653" s="58">
        <v>45935.477395833332</v>
      </c>
      <c r="D653" s="57" t="s">
        <v>1624</v>
      </c>
      <c r="E653" s="57" t="s">
        <v>1625</v>
      </c>
      <c r="F653" s="58"/>
      <c r="G653" s="57" t="s">
        <v>470</v>
      </c>
      <c r="H653" s="59">
        <v>1</v>
      </c>
      <c r="I653" s="57"/>
      <c r="J653" s="57"/>
      <c r="K653" s="59"/>
      <c r="L653" s="57"/>
      <c r="M653" s="60"/>
      <c r="N653" s="59"/>
      <c r="O653" s="57"/>
      <c r="P653" s="57"/>
      <c r="Q653" s="57"/>
      <c r="R653" s="57"/>
      <c r="S653" s="59"/>
      <c r="T653" s="57"/>
      <c r="U653" s="60"/>
      <c r="V653" s="59"/>
      <c r="W653" s="57"/>
      <c r="X653" s="57"/>
      <c r="Y653" s="57" t="s">
        <v>20</v>
      </c>
      <c r="Z653" s="57" t="s">
        <v>136</v>
      </c>
      <c r="AA653" s="59">
        <v>77493</v>
      </c>
      <c r="AB653" s="57" t="s">
        <v>61</v>
      </c>
      <c r="AC653" s="60">
        <v>45847</v>
      </c>
      <c r="AD653" s="59">
        <v>77493</v>
      </c>
      <c r="AE653" s="57" t="s">
        <v>3255</v>
      </c>
      <c r="AF653" s="57" t="s">
        <v>3256</v>
      </c>
    </row>
    <row r="654" spans="1:32">
      <c r="A654" s="57">
        <v>653</v>
      </c>
      <c r="B654" s="58">
        <v>45936.343321759261</v>
      </c>
      <c r="C654" s="58">
        <v>45936.344571759262</v>
      </c>
      <c r="D654" s="57" t="s">
        <v>1127</v>
      </c>
      <c r="E654" s="57" t="s">
        <v>1128</v>
      </c>
      <c r="F654" s="58"/>
      <c r="G654" s="57" t="s">
        <v>455</v>
      </c>
      <c r="H654" s="59">
        <v>1</v>
      </c>
      <c r="I654" s="57"/>
      <c r="J654" s="57"/>
      <c r="K654" s="59"/>
      <c r="L654" s="57"/>
      <c r="M654" s="60"/>
      <c r="N654" s="59"/>
      <c r="O654" s="57"/>
      <c r="P654" s="57"/>
      <c r="Q654" s="57"/>
      <c r="R654" s="57"/>
      <c r="S654" s="59"/>
      <c r="T654" s="57"/>
      <c r="U654" s="60"/>
      <c r="V654" s="59"/>
      <c r="W654" s="57"/>
      <c r="X654" s="57"/>
      <c r="Y654" s="57" t="s">
        <v>21</v>
      </c>
      <c r="Z654" s="57" t="s">
        <v>121</v>
      </c>
      <c r="AA654" s="59">
        <v>33016</v>
      </c>
      <c r="AB654" s="57" t="s">
        <v>61</v>
      </c>
      <c r="AC654" s="60">
        <v>45736</v>
      </c>
      <c r="AD654" s="59">
        <v>33016</v>
      </c>
      <c r="AE654" s="57" t="s">
        <v>3257</v>
      </c>
      <c r="AF654" s="57" t="s">
        <v>3258</v>
      </c>
    </row>
    <row r="655" spans="1:32">
      <c r="A655" s="57">
        <v>654</v>
      </c>
      <c r="B655" s="58">
        <v>45936.343981481477</v>
      </c>
      <c r="C655" s="58">
        <v>45936.345023148147</v>
      </c>
      <c r="D655" s="57" t="s">
        <v>2016</v>
      </c>
      <c r="E655" s="57" t="s">
        <v>2017</v>
      </c>
      <c r="F655" s="58"/>
      <c r="G655" s="57" t="s">
        <v>645</v>
      </c>
      <c r="H655" s="59">
        <v>1</v>
      </c>
      <c r="I655" s="57"/>
      <c r="J655" s="57"/>
      <c r="K655" s="59"/>
      <c r="L655" s="57"/>
      <c r="M655" s="60"/>
      <c r="N655" s="59"/>
      <c r="O655" s="57"/>
      <c r="P655" s="57"/>
      <c r="Q655" s="57"/>
      <c r="R655" s="57"/>
      <c r="S655" s="59"/>
      <c r="T655" s="57"/>
      <c r="U655" s="60"/>
      <c r="V655" s="59"/>
      <c r="W655" s="57"/>
      <c r="X655" s="57"/>
      <c r="Y655" s="57" t="s">
        <v>21</v>
      </c>
      <c r="Z655" s="57" t="s">
        <v>340</v>
      </c>
      <c r="AA655" s="59">
        <v>9687</v>
      </c>
      <c r="AB655" s="57" t="s">
        <v>61</v>
      </c>
      <c r="AC655" s="60">
        <v>45720</v>
      </c>
      <c r="AD655" s="59">
        <v>9687</v>
      </c>
      <c r="AE655" s="57" t="s">
        <v>3259</v>
      </c>
      <c r="AF655" s="57" t="s">
        <v>3260</v>
      </c>
    </row>
    <row r="656" spans="1:32">
      <c r="A656" s="57">
        <v>655</v>
      </c>
      <c r="B656" s="58">
        <v>45936.385821759257</v>
      </c>
      <c r="C656" s="58">
        <v>45936.387465277781</v>
      </c>
      <c r="D656" s="57" t="s">
        <v>2088</v>
      </c>
      <c r="E656" s="57" t="s">
        <v>2089</v>
      </c>
      <c r="F656" s="58"/>
      <c r="G656" s="57" t="s">
        <v>692</v>
      </c>
      <c r="H656" s="59">
        <v>1</v>
      </c>
      <c r="I656" s="57"/>
      <c r="J656" s="57"/>
      <c r="K656" s="59"/>
      <c r="L656" s="57"/>
      <c r="M656" s="60"/>
      <c r="N656" s="59"/>
      <c r="O656" s="57"/>
      <c r="P656" s="57"/>
      <c r="Q656" s="57"/>
      <c r="R656" s="57"/>
      <c r="S656" s="59"/>
      <c r="T656" s="57"/>
      <c r="U656" s="60"/>
      <c r="V656" s="59"/>
      <c r="W656" s="57"/>
      <c r="X656" s="57"/>
      <c r="Y656" s="57" t="s">
        <v>21</v>
      </c>
      <c r="Z656" s="57" t="s">
        <v>2090</v>
      </c>
      <c r="AA656" s="59">
        <v>66297</v>
      </c>
      <c r="AB656" s="57" t="s">
        <v>61</v>
      </c>
      <c r="AC656" s="60">
        <v>45799</v>
      </c>
      <c r="AD656" s="59">
        <v>66297</v>
      </c>
      <c r="AE656" s="57" t="s">
        <v>3261</v>
      </c>
      <c r="AF656" s="57" t="s">
        <v>3262</v>
      </c>
    </row>
    <row r="657" spans="1:32">
      <c r="A657" s="57">
        <v>656</v>
      </c>
      <c r="B657" s="58">
        <v>45936.352500000001</v>
      </c>
      <c r="C657" s="58">
        <v>45936.391550925917</v>
      </c>
      <c r="D657" s="57" t="s">
        <v>3263</v>
      </c>
      <c r="E657" s="57" t="s">
        <v>3264</v>
      </c>
      <c r="F657" s="58"/>
      <c r="G657" s="57" t="s">
        <v>609</v>
      </c>
      <c r="H657" s="59">
        <v>2</v>
      </c>
      <c r="I657" s="57"/>
      <c r="J657" s="57"/>
      <c r="K657" s="59"/>
      <c r="L657" s="57"/>
      <c r="M657" s="60"/>
      <c r="N657" s="59"/>
      <c r="O657" s="57"/>
      <c r="P657" s="57"/>
      <c r="Q657" s="57" t="s">
        <v>21</v>
      </c>
      <c r="R657" s="57" t="s">
        <v>285</v>
      </c>
      <c r="S657" s="59">
        <v>19337</v>
      </c>
      <c r="T657" s="57" t="s">
        <v>61</v>
      </c>
      <c r="U657" s="60">
        <v>45763</v>
      </c>
      <c r="V657" s="59">
        <v>19337</v>
      </c>
      <c r="W657" s="57" t="s">
        <v>3265</v>
      </c>
      <c r="X657" s="57" t="s">
        <v>3266</v>
      </c>
      <c r="Y657" s="57" t="s">
        <v>21</v>
      </c>
      <c r="Z657" s="57" t="s">
        <v>1150</v>
      </c>
      <c r="AA657" s="59">
        <v>77905</v>
      </c>
      <c r="AB657" s="57" t="s">
        <v>61</v>
      </c>
      <c r="AC657" s="60">
        <v>45849</v>
      </c>
      <c r="AD657" s="59">
        <v>77905</v>
      </c>
      <c r="AE657" s="57" t="s">
        <v>3267</v>
      </c>
      <c r="AF657" s="57" t="s">
        <v>3268</v>
      </c>
    </row>
    <row r="658" spans="1:32">
      <c r="A658" s="57">
        <v>657</v>
      </c>
      <c r="B658" s="58">
        <v>45936.407592592594</v>
      </c>
      <c r="C658" s="58">
        <v>45936.409328703703</v>
      </c>
      <c r="D658" s="57" t="s">
        <v>1473</v>
      </c>
      <c r="E658" s="57" t="s">
        <v>1474</v>
      </c>
      <c r="F658" s="58"/>
      <c r="G658" s="57" t="s">
        <v>494</v>
      </c>
      <c r="H658" s="59">
        <v>1</v>
      </c>
      <c r="I658" s="57"/>
      <c r="J658" s="57"/>
      <c r="K658" s="59"/>
      <c r="L658" s="57"/>
      <c r="M658" s="60"/>
      <c r="N658" s="59"/>
      <c r="O658" s="57"/>
      <c r="P658" s="57"/>
      <c r="Q658" s="57"/>
      <c r="R658" s="57"/>
      <c r="S658" s="59"/>
      <c r="T658" s="57"/>
      <c r="U658" s="60"/>
      <c r="V658" s="59"/>
      <c r="W658" s="57"/>
      <c r="X658" s="57"/>
      <c r="Y658" s="57" t="s">
        <v>20</v>
      </c>
      <c r="Z658" s="57" t="s">
        <v>1477</v>
      </c>
      <c r="AA658" s="59">
        <v>35406</v>
      </c>
      <c r="AB658" s="57" t="s">
        <v>61</v>
      </c>
      <c r="AC658" s="60">
        <v>45728</v>
      </c>
      <c r="AD658" s="59">
        <v>35406</v>
      </c>
      <c r="AE658" s="57" t="s">
        <v>3269</v>
      </c>
      <c r="AF658" s="57" t="s">
        <v>3270</v>
      </c>
    </row>
    <row r="659" spans="1:32">
      <c r="A659" s="57">
        <v>658</v>
      </c>
      <c r="B659" s="58">
        <v>45936.439618055563</v>
      </c>
      <c r="C659" s="58">
        <v>45936.442002314812</v>
      </c>
      <c r="D659" s="57" t="s">
        <v>1674</v>
      </c>
      <c r="E659" s="57" t="s">
        <v>1675</v>
      </c>
      <c r="F659" s="58"/>
      <c r="G659" s="57" t="s">
        <v>515</v>
      </c>
      <c r="H659" s="59">
        <v>1</v>
      </c>
      <c r="I659" s="57"/>
      <c r="J659" s="57"/>
      <c r="K659" s="59"/>
      <c r="L659" s="57"/>
      <c r="M659" s="60"/>
      <c r="N659" s="59"/>
      <c r="O659" s="57"/>
      <c r="P659" s="57"/>
      <c r="Q659" s="57"/>
      <c r="R659" s="57"/>
      <c r="S659" s="59"/>
      <c r="T659" s="57"/>
      <c r="U659" s="60"/>
      <c r="V659" s="59"/>
      <c r="W659" s="57"/>
      <c r="X659" s="57"/>
      <c r="Y659" s="57" t="s">
        <v>21</v>
      </c>
      <c r="Z659" s="57" t="s">
        <v>182</v>
      </c>
      <c r="AA659" s="59">
        <v>33927</v>
      </c>
      <c r="AB659" s="57" t="s">
        <v>61</v>
      </c>
      <c r="AC659" s="60">
        <v>45895</v>
      </c>
      <c r="AD659" s="59">
        <v>33927</v>
      </c>
      <c r="AE659" s="57" t="s">
        <v>3271</v>
      </c>
      <c r="AF659" s="57" t="s">
        <v>3272</v>
      </c>
    </row>
    <row r="660" spans="1:32">
      <c r="A660" s="57">
        <v>659</v>
      </c>
      <c r="B660" s="58">
        <v>45936.468171296299</v>
      </c>
      <c r="C660" s="58">
        <v>45936.473576388889</v>
      </c>
      <c r="D660" s="57" t="s">
        <v>1655</v>
      </c>
      <c r="E660" s="57" t="s">
        <v>1656</v>
      </c>
      <c r="F660" s="58"/>
      <c r="G660" s="57" t="s">
        <v>549</v>
      </c>
      <c r="H660" s="59">
        <v>2</v>
      </c>
      <c r="I660" s="57"/>
      <c r="J660" s="57"/>
      <c r="K660" s="59"/>
      <c r="L660" s="57"/>
      <c r="M660" s="60"/>
      <c r="N660" s="59"/>
      <c r="O660" s="57"/>
      <c r="P660" s="57"/>
      <c r="Q660" s="57" t="s">
        <v>22</v>
      </c>
      <c r="R660" s="57" t="s">
        <v>218</v>
      </c>
      <c r="S660" s="59">
        <v>70335</v>
      </c>
      <c r="T660" s="57" t="s">
        <v>61</v>
      </c>
      <c r="U660" s="60">
        <v>45876</v>
      </c>
      <c r="V660" s="59">
        <v>70335</v>
      </c>
      <c r="W660" s="57" t="s">
        <v>3273</v>
      </c>
      <c r="X660" s="57" t="s">
        <v>3274</v>
      </c>
      <c r="Y660" s="57" t="s">
        <v>21</v>
      </c>
      <c r="Z660" s="57" t="s">
        <v>253</v>
      </c>
      <c r="AA660" s="59">
        <v>21209</v>
      </c>
      <c r="AB660" s="57" t="s">
        <v>61</v>
      </c>
      <c r="AC660" s="60">
        <v>45854</v>
      </c>
      <c r="AD660" s="59">
        <v>21209</v>
      </c>
      <c r="AE660" s="57" t="s">
        <v>3275</v>
      </c>
      <c r="AF660" s="57" t="s">
        <v>3276</v>
      </c>
    </row>
    <row r="661" spans="1:32">
      <c r="A661" s="57">
        <v>660</v>
      </c>
      <c r="B661" s="58">
        <v>45936.507187499999</v>
      </c>
      <c r="C661" s="58">
        <v>45936.509143518517</v>
      </c>
      <c r="D661" s="57" t="s">
        <v>1109</v>
      </c>
      <c r="E661" s="57" t="s">
        <v>1110</v>
      </c>
      <c r="F661" s="58"/>
      <c r="G661" s="57" t="s">
        <v>718</v>
      </c>
      <c r="H661" s="59">
        <v>2</v>
      </c>
      <c r="I661" s="57"/>
      <c r="J661" s="57"/>
      <c r="K661" s="59"/>
      <c r="L661" s="57"/>
      <c r="M661" s="60"/>
      <c r="N661" s="59"/>
      <c r="O661" s="57"/>
      <c r="P661" s="57"/>
      <c r="Q661" s="57" t="s">
        <v>20</v>
      </c>
      <c r="R661" s="57" t="s">
        <v>1111</v>
      </c>
      <c r="S661" s="59">
        <v>118277</v>
      </c>
      <c r="T661" s="57" t="s">
        <v>61</v>
      </c>
      <c r="U661" s="60">
        <v>45906</v>
      </c>
      <c r="V661" s="59">
        <v>118277</v>
      </c>
      <c r="W661" s="57" t="s">
        <v>3277</v>
      </c>
      <c r="X661" s="57" t="s">
        <v>3278</v>
      </c>
      <c r="Y661" s="57" t="s">
        <v>20</v>
      </c>
      <c r="Z661" s="57" t="s">
        <v>2417</v>
      </c>
      <c r="AA661" s="59">
        <v>121402</v>
      </c>
      <c r="AB661" s="57" t="s">
        <v>61</v>
      </c>
      <c r="AC661" s="60">
        <v>45908</v>
      </c>
      <c r="AD661" s="59">
        <v>121402</v>
      </c>
      <c r="AE661" s="57" t="s">
        <v>3279</v>
      </c>
      <c r="AF661" s="57" t="s">
        <v>3280</v>
      </c>
    </row>
    <row r="662" spans="1:32">
      <c r="A662" s="57">
        <v>661</v>
      </c>
      <c r="B662" s="58">
        <v>45936.529675925929</v>
      </c>
      <c r="C662" s="58">
        <v>45936.53392361111</v>
      </c>
      <c r="D662" s="57" t="s">
        <v>1244</v>
      </c>
      <c r="E662" s="57" t="s">
        <v>1245</v>
      </c>
      <c r="F662" s="58"/>
      <c r="G662" s="57" t="s">
        <v>708</v>
      </c>
      <c r="H662" s="59">
        <v>1</v>
      </c>
      <c r="I662" s="57"/>
      <c r="J662" s="57"/>
      <c r="K662" s="59"/>
      <c r="L662" s="57"/>
      <c r="M662" s="60"/>
      <c r="N662" s="59"/>
      <c r="O662" s="57"/>
      <c r="P662" s="57"/>
      <c r="Q662" s="57"/>
      <c r="R662" s="57"/>
      <c r="S662" s="59"/>
      <c r="T662" s="57"/>
      <c r="U662" s="60"/>
      <c r="V662" s="59"/>
      <c r="W662" s="57"/>
      <c r="X662" s="57"/>
      <c r="Y662" s="57" t="s">
        <v>20</v>
      </c>
      <c r="Z662" s="57" t="s">
        <v>1246</v>
      </c>
      <c r="AA662" s="59">
        <v>51328</v>
      </c>
      <c r="AB662" s="57" t="s">
        <v>61</v>
      </c>
      <c r="AC662" s="60">
        <v>45873</v>
      </c>
      <c r="AD662" s="59">
        <v>51328</v>
      </c>
      <c r="AE662" s="57" t="s">
        <v>3281</v>
      </c>
      <c r="AF662" s="57" t="s">
        <v>3282</v>
      </c>
    </row>
    <row r="663" spans="1:32">
      <c r="A663" s="57">
        <v>662</v>
      </c>
      <c r="B663" s="58">
        <v>45936.556400462963</v>
      </c>
      <c r="C663" s="58">
        <v>45936.563784722217</v>
      </c>
      <c r="D663" s="57" t="s">
        <v>857</v>
      </c>
      <c r="E663" s="57" t="s">
        <v>858</v>
      </c>
      <c r="F663" s="58"/>
      <c r="G663" s="57" t="s">
        <v>702</v>
      </c>
      <c r="H663" s="59">
        <v>1</v>
      </c>
      <c r="I663" s="57"/>
      <c r="J663" s="57"/>
      <c r="K663" s="59"/>
      <c r="L663" s="57"/>
      <c r="M663" s="60"/>
      <c r="N663" s="59"/>
      <c r="O663" s="57"/>
      <c r="P663" s="57"/>
      <c r="Q663" s="57"/>
      <c r="R663" s="57"/>
      <c r="S663" s="59"/>
      <c r="T663" s="57"/>
      <c r="U663" s="60"/>
      <c r="V663" s="59"/>
      <c r="W663" s="57"/>
      <c r="X663" s="57"/>
      <c r="Y663" s="57" t="s">
        <v>21</v>
      </c>
      <c r="Z663" s="57" t="s">
        <v>859</v>
      </c>
      <c r="AA663" s="59">
        <v>34877</v>
      </c>
      <c r="AB663" s="57" t="s">
        <v>61</v>
      </c>
      <c r="AC663" s="60">
        <v>45888</v>
      </c>
      <c r="AD663" s="59">
        <v>34877</v>
      </c>
      <c r="AE663" s="57" t="s">
        <v>3283</v>
      </c>
      <c r="AF663" s="57" t="s">
        <v>3284</v>
      </c>
    </row>
    <row r="664" spans="1:32">
      <c r="A664" s="57">
        <v>663</v>
      </c>
      <c r="B664" s="58">
        <v>45936.568136574067</v>
      </c>
      <c r="C664" s="58">
        <v>45936.578009259261</v>
      </c>
      <c r="D664" s="57" t="s">
        <v>930</v>
      </c>
      <c r="E664" s="57" t="s">
        <v>931</v>
      </c>
      <c r="F664" s="58"/>
      <c r="G664" s="57" t="s">
        <v>562</v>
      </c>
      <c r="H664" s="59">
        <v>2</v>
      </c>
      <c r="I664" s="57"/>
      <c r="J664" s="57"/>
      <c r="K664" s="59"/>
      <c r="L664" s="57"/>
      <c r="M664" s="60"/>
      <c r="N664" s="59"/>
      <c r="O664" s="57"/>
      <c r="P664" s="57"/>
      <c r="Q664" s="57" t="s">
        <v>22</v>
      </c>
      <c r="R664" s="57" t="s">
        <v>232</v>
      </c>
      <c r="S664" s="59">
        <v>90432</v>
      </c>
      <c r="T664" s="57" t="s">
        <v>61</v>
      </c>
      <c r="U664" s="60">
        <v>45932</v>
      </c>
      <c r="V664" s="59">
        <v>90432</v>
      </c>
      <c r="W664" s="57" t="s">
        <v>3285</v>
      </c>
      <c r="X664" s="57" t="s">
        <v>3286</v>
      </c>
      <c r="Y664" s="57" t="s">
        <v>21</v>
      </c>
      <c r="Z664" s="57" t="s">
        <v>320</v>
      </c>
      <c r="AA664" s="59">
        <v>16022</v>
      </c>
      <c r="AB664" s="57" t="s">
        <v>61</v>
      </c>
      <c r="AC664" s="60">
        <v>45847</v>
      </c>
      <c r="AD664" s="59">
        <v>16022</v>
      </c>
      <c r="AE664" s="57" t="s">
        <v>3287</v>
      </c>
      <c r="AF664" s="57" t="s">
        <v>3288</v>
      </c>
    </row>
    <row r="665" spans="1:32">
      <c r="A665" s="57">
        <v>664</v>
      </c>
      <c r="B665" s="58">
        <v>45936.578599537039</v>
      </c>
      <c r="C665" s="58">
        <v>45936.580289351848</v>
      </c>
      <c r="D665" s="57" t="s">
        <v>1452</v>
      </c>
      <c r="E665" s="57" t="s">
        <v>1453</v>
      </c>
      <c r="F665" s="58"/>
      <c r="G665" s="57" t="s">
        <v>635</v>
      </c>
      <c r="H665" s="59">
        <v>1</v>
      </c>
      <c r="I665" s="57"/>
      <c r="J665" s="57"/>
      <c r="K665" s="59"/>
      <c r="L665" s="57"/>
      <c r="M665" s="60"/>
      <c r="N665" s="59"/>
      <c r="O665" s="57"/>
      <c r="P665" s="57"/>
      <c r="Q665" s="57"/>
      <c r="R665" s="57"/>
      <c r="S665" s="59"/>
      <c r="T665" s="57"/>
      <c r="U665" s="60"/>
      <c r="V665" s="59"/>
      <c r="W665" s="57"/>
      <c r="X665" s="57"/>
      <c r="Y665" s="57" t="s">
        <v>20</v>
      </c>
      <c r="Z665" s="57" t="s">
        <v>326</v>
      </c>
      <c r="AA665" s="59">
        <v>27346</v>
      </c>
      <c r="AB665" s="57" t="s">
        <v>61</v>
      </c>
      <c r="AC665" s="60">
        <v>45864</v>
      </c>
      <c r="AD665" s="59">
        <v>27346</v>
      </c>
      <c r="AE665" s="57" t="s">
        <v>3289</v>
      </c>
      <c r="AF665" s="57" t="s">
        <v>3290</v>
      </c>
    </row>
    <row r="666" spans="1:32">
      <c r="A666" s="57">
        <v>665</v>
      </c>
      <c r="B666" s="58">
        <v>45936.574456018519</v>
      </c>
      <c r="C666" s="58">
        <v>45936.582696759258</v>
      </c>
      <c r="D666" s="57" t="s">
        <v>1607</v>
      </c>
      <c r="E666" s="57" t="s">
        <v>1608</v>
      </c>
      <c r="F666" s="58"/>
      <c r="G666" s="57" t="s">
        <v>682</v>
      </c>
      <c r="H666" s="59">
        <v>1</v>
      </c>
      <c r="I666" s="57"/>
      <c r="J666" s="57"/>
      <c r="K666" s="59"/>
      <c r="L666" s="57"/>
      <c r="M666" s="60"/>
      <c r="N666" s="59"/>
      <c r="O666" s="57"/>
      <c r="P666" s="57"/>
      <c r="Q666" s="57"/>
      <c r="R666" s="57"/>
      <c r="S666" s="59"/>
      <c r="T666" s="57"/>
      <c r="U666" s="60"/>
      <c r="V666" s="59"/>
      <c r="W666" s="57"/>
      <c r="X666" s="57"/>
      <c r="Y666" s="57" t="s">
        <v>21</v>
      </c>
      <c r="Z666" s="57" t="s">
        <v>398</v>
      </c>
      <c r="AA666" s="59">
        <v>1049</v>
      </c>
      <c r="AB666" s="57" t="s">
        <v>61</v>
      </c>
      <c r="AC666" s="60">
        <v>45912</v>
      </c>
      <c r="AD666" s="59">
        <v>1049</v>
      </c>
      <c r="AE666" s="57" t="s">
        <v>3291</v>
      </c>
      <c r="AF666" s="57" t="s">
        <v>3292</v>
      </c>
    </row>
    <row r="667" spans="1:32">
      <c r="A667" s="57">
        <v>666</v>
      </c>
      <c r="B667" s="58">
        <v>45936.584189814806</v>
      </c>
      <c r="C667" s="58">
        <v>45936.585601851853</v>
      </c>
      <c r="D667" s="57" t="s">
        <v>3293</v>
      </c>
      <c r="E667" s="57" t="s">
        <v>3294</v>
      </c>
      <c r="F667" s="58"/>
      <c r="G667" s="57" t="s">
        <v>589</v>
      </c>
      <c r="H667" s="59">
        <v>1</v>
      </c>
      <c r="I667" s="57"/>
      <c r="J667" s="57"/>
      <c r="K667" s="59"/>
      <c r="L667" s="57"/>
      <c r="M667" s="60"/>
      <c r="N667" s="59"/>
      <c r="O667" s="57"/>
      <c r="P667" s="57"/>
      <c r="Q667" s="57"/>
      <c r="R667" s="57"/>
      <c r="S667" s="59"/>
      <c r="T667" s="57"/>
      <c r="U667" s="60"/>
      <c r="V667" s="59"/>
      <c r="W667" s="57"/>
      <c r="X667" s="57"/>
      <c r="Y667" s="57" t="s">
        <v>21</v>
      </c>
      <c r="Z667" s="57" t="s">
        <v>263</v>
      </c>
      <c r="AA667" s="59">
        <v>16341</v>
      </c>
      <c r="AB667" s="57" t="s">
        <v>61</v>
      </c>
      <c r="AC667" s="60">
        <v>45824</v>
      </c>
      <c r="AD667" s="59">
        <v>16341</v>
      </c>
      <c r="AE667" s="57" t="s">
        <v>3295</v>
      </c>
      <c r="AF667" s="57" t="s">
        <v>3296</v>
      </c>
    </row>
    <row r="668" spans="1:32">
      <c r="A668" s="57">
        <v>667</v>
      </c>
      <c r="B668" s="58">
        <v>45936.577465277784</v>
      </c>
      <c r="C668" s="58">
        <v>45936.601435185177</v>
      </c>
      <c r="D668" s="57" t="s">
        <v>2668</v>
      </c>
      <c r="E668" s="57" t="s">
        <v>2669</v>
      </c>
      <c r="F668" s="58"/>
      <c r="G668" s="57" t="s">
        <v>469</v>
      </c>
      <c r="H668" s="59">
        <v>1</v>
      </c>
      <c r="I668" s="57"/>
      <c r="J668" s="57"/>
      <c r="K668" s="59"/>
      <c r="L668" s="57"/>
      <c r="M668" s="60"/>
      <c r="N668" s="59"/>
      <c r="O668" s="57"/>
      <c r="P668" s="57"/>
      <c r="Q668" s="57"/>
      <c r="R668" s="57"/>
      <c r="S668" s="59"/>
      <c r="T668" s="57"/>
      <c r="U668" s="60"/>
      <c r="V668" s="59"/>
      <c r="W668" s="57"/>
      <c r="X668" s="57"/>
      <c r="Y668" s="57" t="s">
        <v>21</v>
      </c>
      <c r="Z668" s="57" t="s">
        <v>135</v>
      </c>
      <c r="AA668" s="59">
        <v>72746</v>
      </c>
      <c r="AB668" s="57" t="s">
        <v>61</v>
      </c>
      <c r="AC668" s="60">
        <v>45757</v>
      </c>
      <c r="AD668" s="59">
        <v>72746</v>
      </c>
      <c r="AE668" s="57" t="s">
        <v>3297</v>
      </c>
      <c r="AF668" s="57" t="s">
        <v>3298</v>
      </c>
    </row>
    <row r="669" spans="1:32">
      <c r="A669" s="57">
        <v>668</v>
      </c>
      <c r="B669" s="58">
        <v>45936.605567129627</v>
      </c>
      <c r="C669" s="58">
        <v>45936.610682870371</v>
      </c>
      <c r="D669" s="57" t="s">
        <v>2530</v>
      </c>
      <c r="E669" s="57" t="s">
        <v>2531</v>
      </c>
      <c r="F669" s="58"/>
      <c r="G669" s="57" t="s">
        <v>659</v>
      </c>
      <c r="H669" s="59">
        <v>1</v>
      </c>
      <c r="I669" s="57"/>
      <c r="J669" s="57"/>
      <c r="K669" s="59"/>
      <c r="L669" s="57"/>
      <c r="M669" s="60"/>
      <c r="N669" s="59"/>
      <c r="O669" s="57"/>
      <c r="P669" s="57"/>
      <c r="Q669" s="57"/>
      <c r="R669" s="57"/>
      <c r="S669" s="59"/>
      <c r="T669" s="57"/>
      <c r="U669" s="60"/>
      <c r="V669" s="59"/>
      <c r="W669" s="57"/>
      <c r="X669" s="57"/>
      <c r="Y669" s="57" t="s">
        <v>21</v>
      </c>
      <c r="Z669" s="57" t="s">
        <v>3299</v>
      </c>
      <c r="AA669" s="59">
        <v>10</v>
      </c>
      <c r="AB669" s="57" t="s">
        <v>61</v>
      </c>
      <c r="AC669" s="60">
        <v>45937</v>
      </c>
      <c r="AD669" s="59">
        <v>10</v>
      </c>
      <c r="AE669" s="57" t="s">
        <v>3300</v>
      </c>
      <c r="AF669" s="57" t="s">
        <v>3301</v>
      </c>
    </row>
    <row r="670" spans="1:32">
      <c r="A670" s="57">
        <v>669</v>
      </c>
      <c r="B670" s="58">
        <v>45936.582349537042</v>
      </c>
      <c r="C670" s="58">
        <v>45936.611921296288</v>
      </c>
      <c r="D670" s="57" t="s">
        <v>1387</v>
      </c>
      <c r="E670" s="57" t="s">
        <v>1388</v>
      </c>
      <c r="F670" s="58"/>
      <c r="G670" s="57" t="s">
        <v>462</v>
      </c>
      <c r="H670" s="59">
        <v>1</v>
      </c>
      <c r="I670" s="57"/>
      <c r="J670" s="57"/>
      <c r="K670" s="59"/>
      <c r="L670" s="57"/>
      <c r="M670" s="60"/>
      <c r="N670" s="59"/>
      <c r="O670" s="57"/>
      <c r="P670" s="57"/>
      <c r="Q670" s="57"/>
      <c r="R670" s="57"/>
      <c r="S670" s="59"/>
      <c r="T670" s="57"/>
      <c r="U670" s="60"/>
      <c r="V670" s="59"/>
      <c r="W670" s="57"/>
      <c r="X670" s="57"/>
      <c r="Y670" s="57" t="s">
        <v>21</v>
      </c>
      <c r="Z670" s="57" t="s">
        <v>127</v>
      </c>
      <c r="AA670" s="59">
        <v>18355</v>
      </c>
      <c r="AB670" s="57" t="s">
        <v>61</v>
      </c>
      <c r="AC670" s="60">
        <v>45668</v>
      </c>
      <c r="AD670" s="59">
        <v>18355</v>
      </c>
      <c r="AE670" s="57" t="s">
        <v>3302</v>
      </c>
      <c r="AF670" s="57" t="s">
        <v>3303</v>
      </c>
    </row>
    <row r="671" spans="1:32">
      <c r="A671" s="57">
        <v>670</v>
      </c>
      <c r="B671" s="58">
        <v>45936.612951388888</v>
      </c>
      <c r="C671" s="58">
        <v>45936.615347222221</v>
      </c>
      <c r="D671" s="57" t="s">
        <v>1561</v>
      </c>
      <c r="E671" s="57" t="s">
        <v>1562</v>
      </c>
      <c r="F671" s="58"/>
      <c r="G671" s="57" t="s">
        <v>658</v>
      </c>
      <c r="H671" s="59">
        <v>2</v>
      </c>
      <c r="I671" s="57"/>
      <c r="J671" s="57"/>
      <c r="K671" s="59"/>
      <c r="L671" s="57"/>
      <c r="M671" s="60"/>
      <c r="N671" s="59"/>
      <c r="O671" s="57"/>
      <c r="P671" s="57"/>
      <c r="Q671" s="57" t="s">
        <v>21</v>
      </c>
      <c r="R671" s="57" t="s">
        <v>1565</v>
      </c>
      <c r="S671" s="59">
        <v>31711</v>
      </c>
      <c r="T671" s="57" t="s">
        <v>61</v>
      </c>
      <c r="U671" s="60">
        <v>45933</v>
      </c>
      <c r="V671" s="59">
        <v>31711</v>
      </c>
      <c r="W671" s="57" t="s">
        <v>3304</v>
      </c>
      <c r="X671" s="57" t="s">
        <v>3305</v>
      </c>
      <c r="Y671" s="57" t="s">
        <v>20</v>
      </c>
      <c r="Z671" s="57" t="s">
        <v>359</v>
      </c>
      <c r="AA671" s="59">
        <v>11780</v>
      </c>
      <c r="AB671" s="57" t="s">
        <v>61</v>
      </c>
      <c r="AC671" s="60">
        <v>45926</v>
      </c>
      <c r="AD671" s="59">
        <v>11780</v>
      </c>
      <c r="AE671" s="57" t="s">
        <v>3306</v>
      </c>
      <c r="AF671" s="57" t="s">
        <v>3307</v>
      </c>
    </row>
    <row r="672" spans="1:32">
      <c r="A672" s="57">
        <v>671</v>
      </c>
      <c r="B672" s="58">
        <v>45936.619710648149</v>
      </c>
      <c r="C672" s="58">
        <v>45936.621620370373</v>
      </c>
      <c r="D672" s="57" t="s">
        <v>782</v>
      </c>
      <c r="E672" s="57" t="s">
        <v>783</v>
      </c>
      <c r="F672" s="58"/>
      <c r="G672" s="57" t="s">
        <v>685</v>
      </c>
      <c r="H672" s="59">
        <v>1</v>
      </c>
      <c r="I672" s="57"/>
      <c r="J672" s="57"/>
      <c r="K672" s="59"/>
      <c r="L672" s="57"/>
      <c r="M672" s="60"/>
      <c r="N672" s="59"/>
      <c r="O672" s="57"/>
      <c r="P672" s="57"/>
      <c r="Q672" s="57"/>
      <c r="R672" s="57"/>
      <c r="S672" s="59"/>
      <c r="T672" s="57"/>
      <c r="U672" s="60"/>
      <c r="V672" s="59"/>
      <c r="W672" s="57"/>
      <c r="X672" s="57"/>
      <c r="Y672" s="57" t="s">
        <v>20</v>
      </c>
      <c r="Z672" s="57" t="s">
        <v>403</v>
      </c>
      <c r="AA672" s="59">
        <v>1364</v>
      </c>
      <c r="AB672" s="57" t="s">
        <v>61</v>
      </c>
      <c r="AC672" s="60">
        <v>45936</v>
      </c>
      <c r="AD672" s="59">
        <v>1364</v>
      </c>
      <c r="AE672" s="57" t="s">
        <v>3308</v>
      </c>
      <c r="AF672" s="57" t="s">
        <v>3309</v>
      </c>
    </row>
    <row r="673" spans="1:32">
      <c r="A673" s="57">
        <v>672</v>
      </c>
      <c r="B673" s="58">
        <v>45936.618726851862</v>
      </c>
      <c r="C673" s="58">
        <v>45936.622361111113</v>
      </c>
      <c r="D673" s="57" t="s">
        <v>1375</v>
      </c>
      <c r="E673" s="57" t="s">
        <v>1376</v>
      </c>
      <c r="F673" s="58"/>
      <c r="G673" s="57" t="s">
        <v>681</v>
      </c>
      <c r="H673" s="59">
        <v>1</v>
      </c>
      <c r="I673" s="57"/>
      <c r="J673" s="57"/>
      <c r="K673" s="59"/>
      <c r="L673" s="57"/>
      <c r="M673" s="60"/>
      <c r="N673" s="59"/>
      <c r="O673" s="57"/>
      <c r="P673" s="57"/>
      <c r="Q673" s="57"/>
      <c r="R673" s="57"/>
      <c r="S673" s="59"/>
      <c r="T673" s="57"/>
      <c r="U673" s="60"/>
      <c r="V673" s="59"/>
      <c r="W673" s="57"/>
      <c r="X673" s="57"/>
      <c r="Y673" s="57" t="s">
        <v>21</v>
      </c>
      <c r="Z673" s="57" t="s">
        <v>396</v>
      </c>
      <c r="AA673" s="59">
        <v>5677</v>
      </c>
      <c r="AB673" s="57" t="s">
        <v>61</v>
      </c>
      <c r="AC673" s="60">
        <v>45923</v>
      </c>
      <c r="AD673" s="59">
        <v>5677</v>
      </c>
      <c r="AE673" s="57" t="s">
        <v>3310</v>
      </c>
      <c r="AF673" s="57" t="s">
        <v>3311</v>
      </c>
    </row>
    <row r="674" spans="1:32">
      <c r="A674" s="57">
        <v>673</v>
      </c>
      <c r="B674" s="58">
        <v>45936.628831018519</v>
      </c>
      <c r="C674" s="58">
        <v>45936.62903935185</v>
      </c>
      <c r="D674" s="57" t="s">
        <v>844</v>
      </c>
      <c r="E674" s="57" t="s">
        <v>845</v>
      </c>
      <c r="F674" s="58"/>
      <c r="G674" s="57" t="s">
        <v>699</v>
      </c>
      <c r="H674" s="59">
        <v>1</v>
      </c>
      <c r="I674" s="57"/>
      <c r="J674" s="57"/>
      <c r="K674" s="59"/>
      <c r="L674" s="57"/>
      <c r="M674" s="60"/>
      <c r="N674" s="59"/>
      <c r="O674" s="57"/>
      <c r="P674" s="57"/>
      <c r="Q674" s="57"/>
      <c r="R674" s="57"/>
      <c r="S674" s="59"/>
      <c r="T674" s="57"/>
      <c r="U674" s="60"/>
      <c r="V674" s="59"/>
      <c r="W674" s="57"/>
      <c r="X674" s="57"/>
      <c r="Y674" s="57" t="s">
        <v>21</v>
      </c>
      <c r="Z674" s="57" t="s">
        <v>846</v>
      </c>
      <c r="AA674" s="59">
        <v>91385</v>
      </c>
      <c r="AB674" s="57" t="s">
        <v>61</v>
      </c>
      <c r="AC674" s="60">
        <v>45924</v>
      </c>
      <c r="AD674" s="59">
        <v>91385</v>
      </c>
      <c r="AE674" s="57" t="s">
        <v>3312</v>
      </c>
      <c r="AF674" s="57" t="s">
        <v>3313</v>
      </c>
    </row>
    <row r="675" spans="1:32">
      <c r="A675" s="57">
        <v>674</v>
      </c>
      <c r="B675" s="58">
        <v>45936.577430555553</v>
      </c>
      <c r="C675" s="58">
        <v>45936.638333333343</v>
      </c>
      <c r="D675" s="57" t="s">
        <v>1058</v>
      </c>
      <c r="E675" s="57" t="s">
        <v>1059</v>
      </c>
      <c r="F675" s="58"/>
      <c r="G675" s="57" t="s">
        <v>467</v>
      </c>
      <c r="H675" s="59">
        <v>2</v>
      </c>
      <c r="I675" s="57"/>
      <c r="J675" s="57"/>
      <c r="K675" s="59"/>
      <c r="L675" s="57"/>
      <c r="M675" s="60"/>
      <c r="N675" s="59"/>
      <c r="O675" s="57"/>
      <c r="P675" s="57"/>
      <c r="Q675" s="57" t="s">
        <v>21</v>
      </c>
      <c r="R675" s="57" t="s">
        <v>133</v>
      </c>
      <c r="S675" s="59">
        <v>34642</v>
      </c>
      <c r="T675" s="57" t="s">
        <v>61</v>
      </c>
      <c r="U675" s="60">
        <v>45902</v>
      </c>
      <c r="V675" s="59">
        <v>34642</v>
      </c>
      <c r="W675" s="57" t="s">
        <v>3314</v>
      </c>
      <c r="X675" s="57" t="s">
        <v>3315</v>
      </c>
      <c r="Y675" s="57" t="s">
        <v>22</v>
      </c>
      <c r="Z675" s="57" t="s">
        <v>3316</v>
      </c>
      <c r="AA675" s="59">
        <v>53681</v>
      </c>
      <c r="AB675" s="57" t="s">
        <v>61</v>
      </c>
      <c r="AC675" s="60">
        <v>45850</v>
      </c>
      <c r="AD675" s="59">
        <v>53681</v>
      </c>
      <c r="AE675" s="57" t="s">
        <v>3317</v>
      </c>
      <c r="AF675" s="57" t="s">
        <v>3318</v>
      </c>
    </row>
    <row r="676" spans="1:32">
      <c r="A676" s="57">
        <v>675</v>
      </c>
      <c r="B676" s="58">
        <v>45936.652187500003</v>
      </c>
      <c r="C676" s="58">
        <v>45936.654513888891</v>
      </c>
      <c r="D676" s="57" t="s">
        <v>1155</v>
      </c>
      <c r="E676" s="57" t="s">
        <v>1156</v>
      </c>
      <c r="F676" s="58"/>
      <c r="G676" s="57" t="s">
        <v>521</v>
      </c>
      <c r="H676" s="59">
        <v>1</v>
      </c>
      <c r="I676" s="57"/>
      <c r="J676" s="57"/>
      <c r="K676" s="59"/>
      <c r="L676" s="57"/>
      <c r="M676" s="60"/>
      <c r="N676" s="59"/>
      <c r="O676" s="57"/>
      <c r="P676" s="57"/>
      <c r="Q676" s="57"/>
      <c r="R676" s="57"/>
      <c r="S676" s="59"/>
      <c r="T676" s="57"/>
      <c r="U676" s="60"/>
      <c r="V676" s="59"/>
      <c r="W676" s="57"/>
      <c r="X676" s="57"/>
      <c r="Y676" s="57" t="s">
        <v>21</v>
      </c>
      <c r="Z676" s="57" t="s">
        <v>188</v>
      </c>
      <c r="AA676" s="59">
        <v>54173</v>
      </c>
      <c r="AB676" s="57" t="s">
        <v>61</v>
      </c>
      <c r="AC676" s="60">
        <v>45934</v>
      </c>
      <c r="AD676" s="59">
        <v>54173</v>
      </c>
      <c r="AE676" s="57" t="s">
        <v>3319</v>
      </c>
      <c r="AF676" s="57" t="s">
        <v>3320</v>
      </c>
    </row>
    <row r="677" spans="1:32">
      <c r="A677" s="57">
        <v>676</v>
      </c>
      <c r="B677" s="58">
        <v>45936.667175925933</v>
      </c>
      <c r="C677" s="58">
        <v>45936.670798611107</v>
      </c>
      <c r="D677" s="57" t="s">
        <v>3321</v>
      </c>
      <c r="E677" s="57" t="s">
        <v>3322</v>
      </c>
      <c r="F677" s="58"/>
      <c r="G677" s="57" t="s">
        <v>719</v>
      </c>
      <c r="H677" s="59">
        <v>1</v>
      </c>
      <c r="I677" s="57"/>
      <c r="J677" s="57"/>
      <c r="K677" s="59"/>
      <c r="L677" s="57"/>
      <c r="M677" s="60"/>
      <c r="N677" s="59"/>
      <c r="O677" s="57"/>
      <c r="P677" s="57"/>
      <c r="Q677" s="57"/>
      <c r="R677" s="57"/>
      <c r="S677" s="59"/>
      <c r="T677" s="57"/>
      <c r="U677" s="60"/>
      <c r="V677" s="59"/>
      <c r="W677" s="57"/>
      <c r="X677" s="57"/>
      <c r="Y677" s="57" t="s">
        <v>21</v>
      </c>
      <c r="Z677" s="57" t="s">
        <v>1042</v>
      </c>
      <c r="AA677" s="59">
        <v>56261</v>
      </c>
      <c r="AB677" s="57" t="s">
        <v>61</v>
      </c>
      <c r="AC677" s="60">
        <v>45883</v>
      </c>
      <c r="AD677" s="59">
        <v>56261</v>
      </c>
      <c r="AE677" s="57" t="s">
        <v>3323</v>
      </c>
      <c r="AF677" s="57" t="s">
        <v>3324</v>
      </c>
    </row>
    <row r="678" spans="1:32">
      <c r="A678" s="57">
        <v>677</v>
      </c>
      <c r="B678" s="58">
        <v>45936.649074074077</v>
      </c>
      <c r="C678" s="58">
        <v>45936.677893518521</v>
      </c>
      <c r="D678" s="57" t="s">
        <v>1035</v>
      </c>
      <c r="E678" s="57" t="s">
        <v>1036</v>
      </c>
      <c r="F678" s="58"/>
      <c r="G678" s="57" t="s">
        <v>695</v>
      </c>
      <c r="H678" s="59">
        <v>1</v>
      </c>
      <c r="I678" s="57"/>
      <c r="J678" s="57"/>
      <c r="K678" s="59"/>
      <c r="L678" s="57"/>
      <c r="M678" s="60"/>
      <c r="N678" s="59"/>
      <c r="O678" s="57"/>
      <c r="P678" s="57"/>
      <c r="Q678" s="57"/>
      <c r="R678" s="57"/>
      <c r="S678" s="59"/>
      <c r="T678" s="57"/>
      <c r="U678" s="60"/>
      <c r="V678" s="59"/>
      <c r="W678" s="57"/>
      <c r="X678" s="57"/>
      <c r="Y678" s="57" t="s">
        <v>21</v>
      </c>
      <c r="Z678" s="57" t="s">
        <v>1037</v>
      </c>
      <c r="AA678" s="59">
        <v>92363</v>
      </c>
      <c r="AB678" s="57" t="s">
        <v>61</v>
      </c>
      <c r="AC678" s="60">
        <v>45793</v>
      </c>
      <c r="AD678" s="59">
        <v>92363</v>
      </c>
      <c r="AE678" s="57" t="s">
        <v>3325</v>
      </c>
      <c r="AF678" s="57" t="s">
        <v>3326</v>
      </c>
    </row>
    <row r="679" spans="1:32">
      <c r="A679" s="57">
        <v>678</v>
      </c>
      <c r="B679" s="58">
        <v>45936.815069444441</v>
      </c>
      <c r="C679" s="58">
        <v>45936.818252314813</v>
      </c>
      <c r="D679" s="57" t="s">
        <v>1342</v>
      </c>
      <c r="E679" s="57" t="s">
        <v>1343</v>
      </c>
      <c r="F679" s="58"/>
      <c r="G679" s="57" t="s">
        <v>629</v>
      </c>
      <c r="H679" s="59">
        <v>3</v>
      </c>
      <c r="I679" s="57" t="s">
        <v>20</v>
      </c>
      <c r="J679" s="57" t="s">
        <v>315</v>
      </c>
      <c r="K679" s="59">
        <v>30809</v>
      </c>
      <c r="L679" s="57" t="s">
        <v>61</v>
      </c>
      <c r="M679" s="60">
        <v>45917</v>
      </c>
      <c r="N679" s="59">
        <v>30809</v>
      </c>
      <c r="O679" s="57" t="s">
        <v>3327</v>
      </c>
      <c r="P679" s="57" t="s">
        <v>3328</v>
      </c>
      <c r="Q679" s="57" t="s">
        <v>20</v>
      </c>
      <c r="R679" s="57" t="s">
        <v>789</v>
      </c>
      <c r="S679" s="59">
        <v>16925</v>
      </c>
      <c r="T679" s="57" t="s">
        <v>61</v>
      </c>
      <c r="U679" s="60">
        <v>45765</v>
      </c>
      <c r="V679" s="59">
        <v>16925</v>
      </c>
      <c r="W679" s="57" t="s">
        <v>3329</v>
      </c>
      <c r="X679" s="57" t="s">
        <v>3330</v>
      </c>
      <c r="Y679" s="57" t="s">
        <v>20</v>
      </c>
      <c r="Z679" s="57" t="s">
        <v>1346</v>
      </c>
      <c r="AA679" s="59">
        <v>71741</v>
      </c>
      <c r="AB679" s="57" t="s">
        <v>61</v>
      </c>
      <c r="AC679" s="60">
        <v>45811</v>
      </c>
      <c r="AD679" s="59">
        <v>71741</v>
      </c>
      <c r="AE679" s="57" t="s">
        <v>3331</v>
      </c>
      <c r="AF679" s="57" t="s">
        <v>3332</v>
      </c>
    </row>
    <row r="680" spans="1:32">
      <c r="A680" s="57">
        <v>679</v>
      </c>
      <c r="B680" s="58">
        <v>45937.479884259257</v>
      </c>
      <c r="C680" s="58">
        <v>45937.481238425928</v>
      </c>
      <c r="D680" s="57" t="s">
        <v>2109</v>
      </c>
      <c r="E680" s="57" t="s">
        <v>2110</v>
      </c>
      <c r="F680" s="58"/>
      <c r="G680" s="57" t="s">
        <v>662</v>
      </c>
      <c r="H680" s="59">
        <v>2</v>
      </c>
      <c r="I680" s="57"/>
      <c r="J680" s="57"/>
      <c r="K680" s="59"/>
      <c r="L680" s="57"/>
      <c r="M680" s="60"/>
      <c r="N680" s="59"/>
      <c r="O680" s="57"/>
      <c r="P680" s="57"/>
      <c r="Q680" s="57" t="s">
        <v>21</v>
      </c>
      <c r="R680" s="57" t="s">
        <v>2111</v>
      </c>
      <c r="S680" s="59">
        <v>6499</v>
      </c>
      <c r="T680" s="57" t="s">
        <v>61</v>
      </c>
      <c r="U680" s="60">
        <v>45878</v>
      </c>
      <c r="V680" s="59">
        <v>6499</v>
      </c>
      <c r="W680" s="57" t="s">
        <v>3333</v>
      </c>
      <c r="X680" s="57" t="s">
        <v>3334</v>
      </c>
      <c r="Y680" s="57" t="s">
        <v>21</v>
      </c>
      <c r="Z680" s="57" t="s">
        <v>363</v>
      </c>
      <c r="AA680" s="59">
        <v>3767</v>
      </c>
      <c r="AB680" s="57" t="s">
        <v>61</v>
      </c>
      <c r="AC680" s="60">
        <v>45937</v>
      </c>
      <c r="AD680" s="59">
        <v>3767</v>
      </c>
      <c r="AE680" s="57" t="s">
        <v>3335</v>
      </c>
      <c r="AF680" s="57" t="s">
        <v>3336</v>
      </c>
    </row>
    <row r="681" spans="1:32">
      <c r="A681" s="57">
        <v>680</v>
      </c>
      <c r="B681" s="58">
        <v>45938.411180555559</v>
      </c>
      <c r="C681" s="58">
        <v>45938.413657407407</v>
      </c>
      <c r="D681" s="57" t="s">
        <v>1333</v>
      </c>
      <c r="E681" s="57" t="s">
        <v>1334</v>
      </c>
      <c r="F681" s="58"/>
      <c r="G681" s="57" t="s">
        <v>516</v>
      </c>
      <c r="H681" s="59">
        <v>1</v>
      </c>
      <c r="I681" s="57"/>
      <c r="J681" s="57"/>
      <c r="K681" s="59"/>
      <c r="L681" s="57"/>
      <c r="M681" s="60"/>
      <c r="N681" s="59"/>
      <c r="O681" s="57"/>
      <c r="P681" s="57"/>
      <c r="Q681" s="57"/>
      <c r="R681" s="57"/>
      <c r="S681" s="59"/>
      <c r="T681" s="57"/>
      <c r="U681" s="60"/>
      <c r="V681" s="59"/>
      <c r="W681" s="57"/>
      <c r="X681" s="57"/>
      <c r="Y681" s="57" t="s">
        <v>20</v>
      </c>
      <c r="Z681" s="57" t="s">
        <v>183</v>
      </c>
      <c r="AA681" s="59">
        <v>50784</v>
      </c>
      <c r="AB681" s="57" t="s">
        <v>61</v>
      </c>
      <c r="AC681" s="60">
        <v>45876</v>
      </c>
      <c r="AD681" s="59">
        <v>50784</v>
      </c>
      <c r="AE681" s="57" t="s">
        <v>3337</v>
      </c>
      <c r="AF681" s="57" t="s">
        <v>3338</v>
      </c>
    </row>
    <row r="682" spans="1:32">
      <c r="A682" s="57">
        <v>681</v>
      </c>
      <c r="B682" s="58">
        <v>45938.699259259258</v>
      </c>
      <c r="C682" s="58">
        <v>45938.705347222232</v>
      </c>
      <c r="D682" s="57" t="s">
        <v>1326</v>
      </c>
      <c r="E682" s="57" t="s">
        <v>1327</v>
      </c>
      <c r="F682" s="58"/>
      <c r="G682" s="57" t="s">
        <v>565</v>
      </c>
      <c r="H682" s="59">
        <v>2</v>
      </c>
      <c r="I682" s="57"/>
      <c r="J682" s="57"/>
      <c r="K682" s="59"/>
      <c r="L682" s="57"/>
      <c r="M682" s="60"/>
      <c r="N682" s="59"/>
      <c r="O682" s="57"/>
      <c r="P682" s="57"/>
      <c r="Q682" s="57" t="s">
        <v>22</v>
      </c>
      <c r="R682" s="57" t="s">
        <v>237</v>
      </c>
      <c r="S682" s="59">
        <v>36144</v>
      </c>
      <c r="T682" s="57" t="s">
        <v>61</v>
      </c>
      <c r="U682" s="60">
        <v>45819</v>
      </c>
      <c r="V682" s="59">
        <v>36144</v>
      </c>
      <c r="W682" s="57" t="s">
        <v>3339</v>
      </c>
      <c r="X682" s="57" t="s">
        <v>3340</v>
      </c>
      <c r="Y682" s="57" t="s">
        <v>20</v>
      </c>
      <c r="Z682" s="57" t="s">
        <v>3341</v>
      </c>
      <c r="AA682" s="59">
        <v>57766</v>
      </c>
      <c r="AB682" s="57" t="s">
        <v>61</v>
      </c>
      <c r="AC682" s="60">
        <v>45799</v>
      </c>
      <c r="AD682" s="59">
        <v>57766</v>
      </c>
      <c r="AE682" s="57" t="s">
        <v>3342</v>
      </c>
      <c r="AF682" s="57" t="s">
        <v>3343</v>
      </c>
    </row>
    <row r="683" spans="1:32">
      <c r="A683" s="57">
        <v>682</v>
      </c>
      <c r="B683" s="58">
        <v>45940.350046296298</v>
      </c>
      <c r="C683" s="58">
        <v>45940.357048611113</v>
      </c>
      <c r="D683" s="57" t="s">
        <v>3344</v>
      </c>
      <c r="E683" s="57" t="s">
        <v>3345</v>
      </c>
      <c r="F683" s="58"/>
      <c r="G683" s="57" t="s">
        <v>687</v>
      </c>
      <c r="H683" s="59">
        <v>1</v>
      </c>
      <c r="I683" s="57"/>
      <c r="J683" s="57"/>
      <c r="K683" s="59"/>
      <c r="L683" s="57"/>
      <c r="M683" s="60"/>
      <c r="N683" s="59"/>
      <c r="O683" s="57"/>
      <c r="P683" s="57"/>
      <c r="Q683" s="57"/>
      <c r="R683" s="57"/>
      <c r="S683" s="59"/>
      <c r="T683" s="57"/>
      <c r="U683" s="60"/>
      <c r="V683" s="59"/>
      <c r="W683" s="57"/>
      <c r="X683" s="57"/>
      <c r="Y683" s="57" t="s">
        <v>21</v>
      </c>
      <c r="Z683" s="57" t="s">
        <v>1032</v>
      </c>
      <c r="AA683" s="59">
        <v>54103</v>
      </c>
      <c r="AB683" s="57" t="s">
        <v>61</v>
      </c>
      <c r="AC683" s="60">
        <v>45714</v>
      </c>
      <c r="AD683" s="59">
        <v>54103</v>
      </c>
      <c r="AE683" s="57" t="s">
        <v>3346</v>
      </c>
      <c r="AF683" s="57" t="s">
        <v>3347</v>
      </c>
    </row>
    <row r="684" spans="1:32">
      <c r="A684" s="57">
        <v>683</v>
      </c>
      <c r="B684" s="58">
        <v>45933.35597222222</v>
      </c>
      <c r="C684" s="58">
        <v>45933.363703703697</v>
      </c>
      <c r="D684" s="57" t="s">
        <v>1173</v>
      </c>
      <c r="E684" s="57" t="s">
        <v>1174</v>
      </c>
      <c r="F684" s="58"/>
      <c r="G684" s="57" t="s">
        <v>593</v>
      </c>
      <c r="H684" s="59">
        <v>1</v>
      </c>
      <c r="I684" s="57"/>
      <c r="J684" s="57"/>
      <c r="K684" s="59"/>
      <c r="L684" s="57"/>
      <c r="M684" s="60"/>
      <c r="N684" s="59"/>
      <c r="O684" s="57"/>
      <c r="P684" s="57"/>
      <c r="Q684" s="57"/>
      <c r="R684" s="57"/>
      <c r="S684" s="59"/>
      <c r="T684" s="57"/>
      <c r="U684" s="60"/>
      <c r="V684" s="59"/>
      <c r="W684" s="57"/>
      <c r="X684" s="57"/>
      <c r="Y684" s="57" t="s">
        <v>21</v>
      </c>
      <c r="Z684" s="57" t="s">
        <v>269</v>
      </c>
      <c r="AA684" s="59">
        <v>19677</v>
      </c>
      <c r="AB684" s="57" t="s">
        <v>61</v>
      </c>
      <c r="AC684" s="60">
        <v>45861</v>
      </c>
      <c r="AD684" s="59">
        <v>19677</v>
      </c>
      <c r="AE684" s="57" t="s">
        <v>3348</v>
      </c>
      <c r="AF684" s="57" t="s">
        <v>3349</v>
      </c>
    </row>
    <row r="685" spans="1:32">
      <c r="A685" s="57">
        <v>684</v>
      </c>
      <c r="B685" s="58">
        <v>45932.683611111112</v>
      </c>
      <c r="C685" s="58">
        <v>45933.368020833332</v>
      </c>
      <c r="D685" s="57" t="s">
        <v>994</v>
      </c>
      <c r="E685" s="57" t="s">
        <v>995</v>
      </c>
      <c r="F685" s="58"/>
      <c r="G685" s="57" t="s">
        <v>720</v>
      </c>
      <c r="H685" s="59">
        <v>1</v>
      </c>
      <c r="I685" s="57"/>
      <c r="J685" s="57"/>
      <c r="K685" s="59"/>
      <c r="L685" s="57"/>
      <c r="M685" s="60"/>
      <c r="N685" s="59"/>
      <c r="O685" s="57"/>
      <c r="P685" s="57"/>
      <c r="Q685" s="57"/>
      <c r="R685" s="57"/>
      <c r="S685" s="59"/>
      <c r="T685" s="57"/>
      <c r="U685" s="60"/>
      <c r="V685" s="59"/>
      <c r="W685" s="57"/>
      <c r="X685" s="57"/>
      <c r="Y685" s="57" t="s">
        <v>21</v>
      </c>
      <c r="Z685" s="57" t="s">
        <v>996</v>
      </c>
      <c r="AA685" s="59">
        <v>64279</v>
      </c>
      <c r="AB685" s="57" t="s">
        <v>61</v>
      </c>
      <c r="AC685" s="60">
        <v>45926</v>
      </c>
      <c r="AD685" s="59">
        <v>64279</v>
      </c>
      <c r="AE685" s="57" t="s">
        <v>3350</v>
      </c>
      <c r="AF685" s="57" t="s">
        <v>3351</v>
      </c>
    </row>
    <row r="686" spans="1:32">
      <c r="A686" s="57">
        <v>685</v>
      </c>
      <c r="B686" s="58">
        <v>45933.408217592587</v>
      </c>
      <c r="C686" s="58">
        <v>45933.423043981478</v>
      </c>
      <c r="D686" s="57" t="s">
        <v>882</v>
      </c>
      <c r="E686" s="57" t="s">
        <v>883</v>
      </c>
      <c r="F686" s="58"/>
      <c r="G686" s="57" t="s">
        <v>500</v>
      </c>
      <c r="H686" s="59">
        <v>2</v>
      </c>
      <c r="I686" s="57"/>
      <c r="J686" s="57"/>
      <c r="K686" s="59"/>
      <c r="L686" s="57"/>
      <c r="M686" s="60"/>
      <c r="N686" s="59"/>
      <c r="O686" s="57"/>
      <c r="P686" s="57"/>
      <c r="Q686" s="57" t="s">
        <v>20</v>
      </c>
      <c r="R686" s="57" t="s">
        <v>166</v>
      </c>
      <c r="S686" s="59">
        <v>32273</v>
      </c>
      <c r="T686" s="57" t="s">
        <v>61</v>
      </c>
      <c r="U686" s="60">
        <v>45845</v>
      </c>
      <c r="V686" s="59">
        <v>32273</v>
      </c>
      <c r="W686" s="57" t="s">
        <v>3352</v>
      </c>
      <c r="X686" s="57" t="s">
        <v>3353</v>
      </c>
      <c r="Y686" s="57" t="s">
        <v>21</v>
      </c>
      <c r="Z686" s="57" t="s">
        <v>886</v>
      </c>
      <c r="AA686" s="59">
        <v>45607</v>
      </c>
      <c r="AB686" s="57" t="s">
        <v>61</v>
      </c>
      <c r="AC686" s="60">
        <v>45771</v>
      </c>
      <c r="AD686" s="59">
        <v>45607</v>
      </c>
      <c r="AE686" s="57" t="s">
        <v>3354</v>
      </c>
      <c r="AF686" s="57" t="s">
        <v>3355</v>
      </c>
    </row>
    <row r="687" spans="1:32">
      <c r="A687" s="57">
        <v>686</v>
      </c>
      <c r="B687" s="58">
        <v>45933.45894675926</v>
      </c>
      <c r="C687" s="58">
        <v>45933.463240740741</v>
      </c>
      <c r="D687" s="57" t="s">
        <v>2188</v>
      </c>
      <c r="E687" s="57" t="s">
        <v>2189</v>
      </c>
      <c r="F687" s="58"/>
      <c r="G687" s="57" t="s">
        <v>683</v>
      </c>
      <c r="H687" s="59">
        <v>2</v>
      </c>
      <c r="I687" s="57"/>
      <c r="J687" s="57"/>
      <c r="K687" s="59"/>
      <c r="L687" s="57"/>
      <c r="M687" s="60"/>
      <c r="N687" s="59"/>
      <c r="O687" s="57"/>
      <c r="P687" s="57"/>
      <c r="Q687" s="57" t="s">
        <v>21</v>
      </c>
      <c r="R687" s="57" t="s">
        <v>2193</v>
      </c>
      <c r="S687" s="59">
        <v>63563</v>
      </c>
      <c r="T687" s="57" t="s">
        <v>61</v>
      </c>
      <c r="U687" s="60">
        <v>45932</v>
      </c>
      <c r="V687" s="59">
        <v>63563</v>
      </c>
      <c r="W687" s="57" t="s">
        <v>3356</v>
      </c>
      <c r="X687" s="57" t="s">
        <v>3357</v>
      </c>
      <c r="Y687" s="57" t="s">
        <v>21</v>
      </c>
      <c r="Z687" s="57" t="s">
        <v>399</v>
      </c>
      <c r="AA687" s="59">
        <v>1672</v>
      </c>
      <c r="AB687" s="57" t="s">
        <v>61</v>
      </c>
      <c r="AC687" s="60">
        <v>45916</v>
      </c>
      <c r="AD687" s="59">
        <v>1672</v>
      </c>
      <c r="AE687" s="57" t="s">
        <v>3358</v>
      </c>
      <c r="AF687" s="57" t="s">
        <v>3359</v>
      </c>
    </row>
    <row r="688" spans="1:32">
      <c r="A688" s="57">
        <v>687</v>
      </c>
      <c r="B688" s="58">
        <v>45933.653981481482</v>
      </c>
      <c r="C688" s="58">
        <v>45933.676041666673</v>
      </c>
      <c r="D688" s="57" t="s">
        <v>2378</v>
      </c>
      <c r="E688" s="57" t="s">
        <v>2379</v>
      </c>
      <c r="F688" s="58"/>
      <c r="G688" s="57" t="s">
        <v>576</v>
      </c>
      <c r="H688" s="59">
        <v>1</v>
      </c>
      <c r="I688" s="57"/>
      <c r="J688" s="57"/>
      <c r="K688" s="59"/>
      <c r="L688" s="57"/>
      <c r="M688" s="60"/>
      <c r="N688" s="59"/>
      <c r="O688" s="57"/>
      <c r="P688" s="57"/>
      <c r="Q688" s="57"/>
      <c r="R688" s="57"/>
      <c r="S688" s="59"/>
      <c r="T688" s="57"/>
      <c r="U688" s="60"/>
      <c r="V688" s="59"/>
      <c r="W688" s="57"/>
      <c r="X688" s="57"/>
      <c r="Y688" s="57" t="s">
        <v>20</v>
      </c>
      <c r="Z688" s="57" t="s">
        <v>248</v>
      </c>
      <c r="AA688" s="59">
        <v>32515</v>
      </c>
      <c r="AB688" s="57" t="s">
        <v>61</v>
      </c>
      <c r="AC688" s="60">
        <v>45888</v>
      </c>
      <c r="AD688" s="59">
        <v>32515</v>
      </c>
      <c r="AE688" s="57" t="s">
        <v>3360</v>
      </c>
      <c r="AF688" s="57" t="s">
        <v>3361</v>
      </c>
    </row>
    <row r="689" spans="1:32">
      <c r="A689" s="57">
        <v>688</v>
      </c>
      <c r="B689" s="58">
        <v>45934.294039351851</v>
      </c>
      <c r="C689" s="58">
        <v>45934.3</v>
      </c>
      <c r="D689" s="57" t="s">
        <v>897</v>
      </c>
      <c r="E689" s="57" t="s">
        <v>898</v>
      </c>
      <c r="F689" s="58"/>
      <c r="G689" s="57" t="s">
        <v>697</v>
      </c>
      <c r="H689" s="59">
        <v>2</v>
      </c>
      <c r="I689" s="57"/>
      <c r="J689" s="57"/>
      <c r="K689" s="59"/>
      <c r="L689" s="57"/>
      <c r="M689" s="60"/>
      <c r="N689" s="59"/>
      <c r="O689" s="57"/>
      <c r="P689" s="57"/>
      <c r="Q689" s="57" t="s">
        <v>21</v>
      </c>
      <c r="R689" s="57" t="s">
        <v>899</v>
      </c>
      <c r="S689" s="59">
        <v>53544</v>
      </c>
      <c r="T689" s="57" t="s">
        <v>61</v>
      </c>
      <c r="U689" s="60">
        <v>45909</v>
      </c>
      <c r="V689" s="59">
        <v>53544</v>
      </c>
      <c r="W689" s="57" t="s">
        <v>3362</v>
      </c>
      <c r="X689" s="57" t="s">
        <v>3363</v>
      </c>
      <c r="Y689" s="57" t="s">
        <v>20</v>
      </c>
      <c r="Z689" s="57" t="s">
        <v>902</v>
      </c>
      <c r="AA689" s="59">
        <v>19665</v>
      </c>
      <c r="AB689" s="57" t="s">
        <v>61</v>
      </c>
      <c r="AC689" s="60">
        <v>45812</v>
      </c>
      <c r="AD689" s="59">
        <v>19665</v>
      </c>
      <c r="AE689" s="57" t="s">
        <v>3364</v>
      </c>
      <c r="AF689" s="57" t="s">
        <v>3365</v>
      </c>
    </row>
    <row r="690" spans="1:32">
      <c r="A690" s="57">
        <v>689</v>
      </c>
      <c r="B690" s="58">
        <v>45946.579212962963</v>
      </c>
      <c r="C690" s="58">
        <v>45946.584120370368</v>
      </c>
      <c r="D690" s="57" t="s">
        <v>777</v>
      </c>
      <c r="E690" s="57" t="s">
        <v>778</v>
      </c>
      <c r="F690" s="58"/>
      <c r="G690" s="57" t="s">
        <v>701</v>
      </c>
      <c r="H690" s="59">
        <v>1</v>
      </c>
      <c r="I690" s="57"/>
      <c r="J690" s="57"/>
      <c r="K690" s="59"/>
      <c r="L690" s="57"/>
      <c r="M690" s="60"/>
      <c r="N690" s="59"/>
      <c r="O690" s="57"/>
      <c r="P690" s="57"/>
      <c r="Q690" s="57"/>
      <c r="R690" s="57"/>
      <c r="S690" s="59"/>
      <c r="T690" s="57"/>
      <c r="U690" s="60"/>
      <c r="V690" s="59"/>
      <c r="W690" s="57"/>
      <c r="X690" s="57"/>
      <c r="Y690" s="57" t="s">
        <v>21</v>
      </c>
      <c r="Z690" s="57" t="s">
        <v>779</v>
      </c>
      <c r="AA690" s="59">
        <v>61082</v>
      </c>
      <c r="AB690" s="57" t="s">
        <v>61</v>
      </c>
      <c r="AC690" s="60">
        <v>45946</v>
      </c>
      <c r="AD690" s="59">
        <v>61082</v>
      </c>
      <c r="AE690" s="57" t="s">
        <v>3366</v>
      </c>
      <c r="AF690" s="57" t="s">
        <v>3367</v>
      </c>
    </row>
    <row r="691" spans="1:32">
      <c r="A691" s="57">
        <v>690</v>
      </c>
      <c r="B691" s="58">
        <v>45951.505150462966</v>
      </c>
      <c r="C691" s="58">
        <v>45951.510324074072</v>
      </c>
      <c r="D691" s="57" t="s">
        <v>2432</v>
      </c>
      <c r="E691" s="57" t="s">
        <v>2433</v>
      </c>
      <c r="F691" s="58"/>
      <c r="G691" s="57" t="s">
        <v>674</v>
      </c>
      <c r="H691" s="59">
        <v>2</v>
      </c>
      <c r="I691" s="57"/>
      <c r="J691" s="57"/>
      <c r="K691" s="59"/>
      <c r="L691" s="57"/>
      <c r="M691" s="60"/>
      <c r="N691" s="59"/>
      <c r="O691" s="57"/>
      <c r="P691" s="57"/>
      <c r="Q691" s="57" t="s">
        <v>20</v>
      </c>
      <c r="R691" s="57" t="s">
        <v>387</v>
      </c>
      <c r="S691" s="59">
        <v>9074</v>
      </c>
      <c r="T691" s="57" t="s">
        <v>61</v>
      </c>
      <c r="U691" s="60">
        <v>45786</v>
      </c>
      <c r="V691" s="59">
        <v>9074</v>
      </c>
      <c r="W691" s="57" t="s">
        <v>3368</v>
      </c>
      <c r="X691" s="57" t="s">
        <v>3369</v>
      </c>
      <c r="Y691" s="57" t="s">
        <v>20</v>
      </c>
      <c r="Z691" s="57" t="s">
        <v>2435</v>
      </c>
      <c r="AA691" s="59">
        <v>64231</v>
      </c>
      <c r="AB691" s="57" t="s">
        <v>61</v>
      </c>
      <c r="AC691" s="60">
        <v>45786</v>
      </c>
      <c r="AD691" s="59">
        <v>64231</v>
      </c>
      <c r="AE691" s="57" t="s">
        <v>3370</v>
      </c>
      <c r="AF691" s="57" t="s">
        <v>3371</v>
      </c>
    </row>
    <row r="692" spans="1:32">
      <c r="A692" s="57">
        <v>691</v>
      </c>
      <c r="B692" s="58">
        <v>45951.519884259258</v>
      </c>
      <c r="C692" s="58">
        <v>45951.522430555553</v>
      </c>
      <c r="D692" s="57" t="s">
        <v>782</v>
      </c>
      <c r="E692" s="57" t="s">
        <v>783</v>
      </c>
      <c r="F692" s="58"/>
      <c r="G692" s="57" t="s">
        <v>685</v>
      </c>
      <c r="H692" s="59">
        <v>1</v>
      </c>
      <c r="I692" s="57"/>
      <c r="J692" s="57"/>
      <c r="K692" s="59"/>
      <c r="L692" s="57"/>
      <c r="M692" s="60"/>
      <c r="N692" s="59"/>
      <c r="O692" s="57"/>
      <c r="P692" s="57"/>
      <c r="Q692" s="57"/>
      <c r="R692" s="57"/>
      <c r="S692" s="59"/>
      <c r="T692" s="57"/>
      <c r="U692" s="60"/>
      <c r="V692" s="59"/>
      <c r="W692" s="57"/>
      <c r="X692" s="57"/>
      <c r="Y692" s="57" t="s">
        <v>20</v>
      </c>
      <c r="Z692" s="57" t="s">
        <v>403</v>
      </c>
      <c r="AA692" s="59">
        <v>1993</v>
      </c>
      <c r="AB692" s="57" t="s">
        <v>61</v>
      </c>
      <c r="AC692" s="60">
        <v>45951</v>
      </c>
      <c r="AD692" s="59">
        <v>1993</v>
      </c>
      <c r="AE692" s="57" t="s">
        <v>3372</v>
      </c>
      <c r="AF692" s="57" t="s">
        <v>3373</v>
      </c>
    </row>
    <row r="693" spans="1:32">
      <c r="A693" s="57">
        <v>692</v>
      </c>
      <c r="B693" s="58">
        <v>45951.540370370371</v>
      </c>
      <c r="C693" s="58">
        <v>45951.541921296302</v>
      </c>
      <c r="D693" s="57" t="s">
        <v>1365</v>
      </c>
      <c r="E693" s="57" t="s">
        <v>1366</v>
      </c>
      <c r="F693" s="58"/>
      <c r="G693" s="57" t="s">
        <v>638</v>
      </c>
      <c r="H693" s="59">
        <v>1</v>
      </c>
      <c r="I693" s="57"/>
      <c r="J693" s="57"/>
      <c r="K693" s="59"/>
      <c r="L693" s="57"/>
      <c r="M693" s="60"/>
      <c r="N693" s="59"/>
      <c r="O693" s="57"/>
      <c r="P693" s="57"/>
      <c r="Q693" s="57"/>
      <c r="R693" s="57"/>
      <c r="S693" s="59"/>
      <c r="T693" s="57"/>
      <c r="U693" s="60"/>
      <c r="V693" s="59"/>
      <c r="W693" s="57"/>
      <c r="X693" s="57"/>
      <c r="Y693" s="57" t="s">
        <v>21</v>
      </c>
      <c r="Z693" s="57" t="s">
        <v>331</v>
      </c>
      <c r="AA693" s="59">
        <v>8174</v>
      </c>
      <c r="AB693" s="57" t="s">
        <v>61</v>
      </c>
      <c r="AC693" s="60">
        <v>45867</v>
      </c>
      <c r="AD693" s="59">
        <v>8174</v>
      </c>
      <c r="AE693" s="57" t="s">
        <v>3374</v>
      </c>
      <c r="AF693" s="57" t="s">
        <v>3375</v>
      </c>
    </row>
    <row r="694" spans="1:32">
      <c r="A694" s="57">
        <v>693</v>
      </c>
      <c r="B694" s="58">
        <v>45951.541898148149</v>
      </c>
      <c r="C694" s="58">
        <v>45951.547222222223</v>
      </c>
      <c r="D694" s="57" t="s">
        <v>840</v>
      </c>
      <c r="E694" s="57" t="s">
        <v>841</v>
      </c>
      <c r="F694" s="58"/>
      <c r="G694" s="57" t="s">
        <v>564</v>
      </c>
      <c r="H694" s="59">
        <v>1</v>
      </c>
      <c r="I694" s="57"/>
      <c r="J694" s="57"/>
      <c r="K694" s="59"/>
      <c r="L694" s="57"/>
      <c r="M694" s="60"/>
      <c r="N694" s="59"/>
      <c r="O694" s="57"/>
      <c r="P694" s="57"/>
      <c r="Q694" s="57"/>
      <c r="R694" s="57"/>
      <c r="S694" s="59"/>
      <c r="T694" s="57"/>
      <c r="U694" s="60"/>
      <c r="V694" s="59"/>
      <c r="W694" s="57"/>
      <c r="X694" s="57"/>
      <c r="Y694" s="57" t="s">
        <v>20</v>
      </c>
      <c r="Z694" s="57" t="s">
        <v>235</v>
      </c>
      <c r="AA694" s="59">
        <v>16649</v>
      </c>
      <c r="AB694" s="57" t="s">
        <v>61</v>
      </c>
      <c r="AC694" s="60">
        <v>45812</v>
      </c>
      <c r="AD694" s="59">
        <v>16649</v>
      </c>
      <c r="AE694" s="57" t="s">
        <v>3376</v>
      </c>
      <c r="AF694" s="57" t="s">
        <v>3377</v>
      </c>
    </row>
    <row r="695" spans="1:32">
      <c r="A695" s="57">
        <v>694</v>
      </c>
      <c r="B695" s="58">
        <v>45951.501886574071</v>
      </c>
      <c r="C695" s="58">
        <v>45951.54996527778</v>
      </c>
      <c r="D695" s="57" t="s">
        <v>1114</v>
      </c>
      <c r="E695" s="57" t="s">
        <v>1115</v>
      </c>
      <c r="F695" s="58"/>
      <c r="G695" s="57" t="s">
        <v>597</v>
      </c>
      <c r="H695" s="59">
        <v>2</v>
      </c>
      <c r="I695" s="57"/>
      <c r="J695" s="57"/>
      <c r="K695" s="59"/>
      <c r="L695" s="57"/>
      <c r="M695" s="60"/>
      <c r="N695" s="59"/>
      <c r="O695" s="57"/>
      <c r="P695" s="57"/>
      <c r="Q695" s="57" t="s">
        <v>22</v>
      </c>
      <c r="R695" s="57" t="s">
        <v>273</v>
      </c>
      <c r="S695" s="59">
        <v>40102</v>
      </c>
      <c r="T695" s="57" t="s">
        <v>61</v>
      </c>
      <c r="U695" s="60">
        <v>45931</v>
      </c>
      <c r="V695" s="59">
        <v>40102</v>
      </c>
      <c r="W695" s="57" t="s">
        <v>3378</v>
      </c>
      <c r="X695" s="57" t="s">
        <v>3379</v>
      </c>
      <c r="Y695" s="57" t="s">
        <v>21</v>
      </c>
      <c r="Z695" s="57" t="s">
        <v>324</v>
      </c>
      <c r="AA695" s="59">
        <v>10488</v>
      </c>
      <c r="AB695" s="57" t="s">
        <v>61</v>
      </c>
      <c r="AC695" s="60">
        <v>45904</v>
      </c>
      <c r="AD695" s="59">
        <v>10488</v>
      </c>
      <c r="AE695" s="57" t="s">
        <v>3380</v>
      </c>
      <c r="AF695" s="57" t="s">
        <v>3381</v>
      </c>
    </row>
    <row r="696" spans="1:32">
      <c r="A696" s="57">
        <v>695</v>
      </c>
      <c r="B696" s="58">
        <v>45951.55332175926</v>
      </c>
      <c r="C696" s="58">
        <v>45951.557719907411</v>
      </c>
      <c r="D696" s="57" t="s">
        <v>1713</v>
      </c>
      <c r="E696" s="57" t="s">
        <v>1714</v>
      </c>
      <c r="F696" s="58"/>
      <c r="G696" s="57" t="s">
        <v>608</v>
      </c>
      <c r="H696" s="59">
        <v>1</v>
      </c>
      <c r="I696" s="57"/>
      <c r="J696" s="57"/>
      <c r="K696" s="59"/>
      <c r="L696" s="57"/>
      <c r="M696" s="60"/>
      <c r="N696" s="59"/>
      <c r="O696" s="57"/>
      <c r="P696" s="57"/>
      <c r="Q696" s="57"/>
      <c r="R696" s="57"/>
      <c r="S696" s="59"/>
      <c r="T696" s="57"/>
      <c r="U696" s="60"/>
      <c r="V696" s="59"/>
      <c r="W696" s="57"/>
      <c r="X696" s="57"/>
      <c r="Y696" s="57" t="s">
        <v>21</v>
      </c>
      <c r="Z696" s="57" t="s">
        <v>286</v>
      </c>
      <c r="AA696" s="59">
        <v>8745</v>
      </c>
      <c r="AB696" s="57" t="s">
        <v>61</v>
      </c>
      <c r="AC696" s="60">
        <v>45846</v>
      </c>
      <c r="AD696" s="59">
        <v>8745</v>
      </c>
      <c r="AE696" s="57" t="s">
        <v>3382</v>
      </c>
      <c r="AF696" s="57" t="s">
        <v>3383</v>
      </c>
    </row>
    <row r="697" spans="1:32">
      <c r="A697" s="57">
        <v>696</v>
      </c>
      <c r="B697" s="58">
        <v>45951.584907407407</v>
      </c>
      <c r="C697" s="58">
        <v>45951.587800925918</v>
      </c>
      <c r="D697" s="57" t="s">
        <v>966</v>
      </c>
      <c r="E697" s="57" t="s">
        <v>967</v>
      </c>
      <c r="F697" s="58"/>
      <c r="G697" s="57" t="s">
        <v>503</v>
      </c>
      <c r="H697" s="59">
        <v>1</v>
      </c>
      <c r="I697" s="57"/>
      <c r="J697" s="57"/>
      <c r="K697" s="59"/>
      <c r="L697" s="57"/>
      <c r="M697" s="60"/>
      <c r="N697" s="59"/>
      <c r="O697" s="57"/>
      <c r="P697" s="57"/>
      <c r="Q697" s="57"/>
      <c r="R697" s="57"/>
      <c r="S697" s="59"/>
      <c r="T697" s="57"/>
      <c r="U697" s="60"/>
      <c r="V697" s="59"/>
      <c r="W697" s="57"/>
      <c r="X697" s="57"/>
      <c r="Y697" s="57" t="s">
        <v>20</v>
      </c>
      <c r="Z697" s="57" t="s">
        <v>169</v>
      </c>
      <c r="AA697" s="59">
        <v>98311</v>
      </c>
      <c r="AB697" s="57" t="s">
        <v>61</v>
      </c>
      <c r="AC697" s="60">
        <v>45931</v>
      </c>
      <c r="AD697" s="59">
        <v>98311</v>
      </c>
      <c r="AE697" s="57" t="s">
        <v>3384</v>
      </c>
      <c r="AF697" s="57" t="s">
        <v>3385</v>
      </c>
    </row>
    <row r="698" spans="1:32">
      <c r="A698" s="57">
        <v>697</v>
      </c>
      <c r="B698" s="58">
        <v>45951.590891203698</v>
      </c>
      <c r="C698" s="58">
        <v>45951.594571759262</v>
      </c>
      <c r="D698" s="57" t="s">
        <v>748</v>
      </c>
      <c r="E698" s="57" t="s">
        <v>749</v>
      </c>
      <c r="F698" s="58"/>
      <c r="G698" s="57" t="s">
        <v>619</v>
      </c>
      <c r="H698" s="59">
        <v>2</v>
      </c>
      <c r="I698" s="57"/>
      <c r="J698" s="57"/>
      <c r="K698" s="59"/>
      <c r="L698" s="57"/>
      <c r="M698" s="60"/>
      <c r="N698" s="59"/>
      <c r="O698" s="57"/>
      <c r="P698" s="57"/>
      <c r="Q698" s="57" t="s">
        <v>22</v>
      </c>
      <c r="R698" s="57" t="s">
        <v>301</v>
      </c>
      <c r="S698" s="59">
        <v>18711</v>
      </c>
      <c r="T698" s="57" t="s">
        <v>61</v>
      </c>
      <c r="U698" s="60">
        <v>45875</v>
      </c>
      <c r="V698" s="59">
        <v>18711</v>
      </c>
      <c r="W698" s="57" t="s">
        <v>3386</v>
      </c>
      <c r="X698" s="57" t="s">
        <v>3387</v>
      </c>
      <c r="Y698" s="57" t="s">
        <v>20</v>
      </c>
      <c r="Z698" s="57" t="s">
        <v>752</v>
      </c>
      <c r="AA698" s="59">
        <v>70357</v>
      </c>
      <c r="AB698" s="57" t="s">
        <v>61</v>
      </c>
      <c r="AC698" s="60">
        <v>45875</v>
      </c>
      <c r="AD698" s="59">
        <v>70357</v>
      </c>
      <c r="AE698" s="57" t="s">
        <v>3388</v>
      </c>
      <c r="AF698" s="57" t="s">
        <v>3389</v>
      </c>
    </row>
    <row r="699" spans="1:32">
      <c r="A699" s="57">
        <v>698</v>
      </c>
      <c r="B699" s="58">
        <v>45951.571898148148</v>
      </c>
      <c r="C699" s="58">
        <v>45951.597962962973</v>
      </c>
      <c r="D699" s="57" t="s">
        <v>853</v>
      </c>
      <c r="E699" s="57" t="s">
        <v>854</v>
      </c>
      <c r="F699" s="58"/>
      <c r="G699" s="57" t="s">
        <v>571</v>
      </c>
      <c r="H699" s="59">
        <v>1</v>
      </c>
      <c r="I699" s="57"/>
      <c r="J699" s="57"/>
      <c r="K699" s="59"/>
      <c r="L699" s="57"/>
      <c r="M699" s="60"/>
      <c r="N699" s="59"/>
      <c r="O699" s="57"/>
      <c r="P699" s="57"/>
      <c r="Q699" s="57"/>
      <c r="R699" s="57"/>
      <c r="S699" s="59"/>
      <c r="T699" s="57"/>
      <c r="U699" s="60"/>
      <c r="V699" s="59"/>
      <c r="W699" s="57"/>
      <c r="X699" s="57"/>
      <c r="Y699" s="57" t="s">
        <v>21</v>
      </c>
      <c r="Z699" s="57" t="s">
        <v>346</v>
      </c>
      <c r="AA699" s="59">
        <v>12487</v>
      </c>
      <c r="AB699" s="57" t="s">
        <v>61</v>
      </c>
      <c r="AC699" s="60">
        <v>45919</v>
      </c>
      <c r="AD699" s="59">
        <v>12487</v>
      </c>
      <c r="AE699" s="57" t="s">
        <v>3390</v>
      </c>
      <c r="AF699" s="57" t="s">
        <v>3391</v>
      </c>
    </row>
    <row r="700" spans="1:32">
      <c r="A700" s="57">
        <v>699</v>
      </c>
      <c r="B700" s="58">
        <v>45951.601157407407</v>
      </c>
      <c r="C700" s="58">
        <v>45951.603252314817</v>
      </c>
      <c r="D700" s="57" t="s">
        <v>1289</v>
      </c>
      <c r="E700" s="57" t="s">
        <v>1290</v>
      </c>
      <c r="F700" s="58"/>
      <c r="G700" s="57" t="s">
        <v>641</v>
      </c>
      <c r="H700" s="59">
        <v>2</v>
      </c>
      <c r="I700" s="57"/>
      <c r="J700" s="57"/>
      <c r="K700" s="59"/>
      <c r="L700" s="57"/>
      <c r="M700" s="60"/>
      <c r="N700" s="59"/>
      <c r="O700" s="57"/>
      <c r="P700" s="57"/>
      <c r="Q700" s="57" t="s">
        <v>21</v>
      </c>
      <c r="R700" s="57" t="s">
        <v>1291</v>
      </c>
      <c r="S700" s="59">
        <v>45965</v>
      </c>
      <c r="T700" s="57" t="s">
        <v>61</v>
      </c>
      <c r="U700" s="60">
        <v>45923</v>
      </c>
      <c r="V700" s="59">
        <v>45965</v>
      </c>
      <c r="W700" s="57" t="s">
        <v>3392</v>
      </c>
      <c r="X700" s="57" t="s">
        <v>3393</v>
      </c>
      <c r="Y700" s="57" t="s">
        <v>21</v>
      </c>
      <c r="Z700" s="57" t="s">
        <v>336</v>
      </c>
      <c r="AA700" s="59">
        <v>11183</v>
      </c>
      <c r="AB700" s="57" t="s">
        <v>61</v>
      </c>
      <c r="AC700" s="60">
        <v>45923</v>
      </c>
      <c r="AD700" s="59">
        <v>11183</v>
      </c>
      <c r="AE700" s="57" t="s">
        <v>3394</v>
      </c>
      <c r="AF700" s="57" t="s">
        <v>3395</v>
      </c>
    </row>
    <row r="701" spans="1:32">
      <c r="A701" s="57">
        <v>700</v>
      </c>
      <c r="B701" s="58">
        <v>45951.610868055563</v>
      </c>
      <c r="C701" s="58">
        <v>45951.612245370372</v>
      </c>
      <c r="D701" s="57" t="s">
        <v>3241</v>
      </c>
      <c r="E701" s="57" t="s">
        <v>3242</v>
      </c>
      <c r="F701" s="58"/>
      <c r="G701" s="57" t="s">
        <v>646</v>
      </c>
      <c r="H701" s="59">
        <v>1</v>
      </c>
      <c r="I701" s="57"/>
      <c r="J701" s="57"/>
      <c r="K701" s="59"/>
      <c r="L701" s="57"/>
      <c r="M701" s="60"/>
      <c r="N701" s="59"/>
      <c r="O701" s="57"/>
      <c r="P701" s="57"/>
      <c r="Q701" s="57"/>
      <c r="R701" s="57"/>
      <c r="S701" s="59"/>
      <c r="T701" s="57"/>
      <c r="U701" s="60"/>
      <c r="V701" s="59"/>
      <c r="W701" s="57"/>
      <c r="X701" s="57"/>
      <c r="Y701" s="57" t="s">
        <v>21</v>
      </c>
      <c r="Z701" s="57" t="s">
        <v>341</v>
      </c>
      <c r="AA701" s="59">
        <v>5204</v>
      </c>
      <c r="AB701" s="57" t="s">
        <v>61</v>
      </c>
      <c r="AC701" s="60">
        <v>45724</v>
      </c>
      <c r="AD701" s="59">
        <v>5204</v>
      </c>
      <c r="AE701" s="57" t="s">
        <v>3396</v>
      </c>
      <c r="AF701" s="57" t="s">
        <v>3397</v>
      </c>
    </row>
    <row r="702" spans="1:32">
      <c r="A702" s="57">
        <v>701</v>
      </c>
      <c r="B702" s="58">
        <v>45951.58997685185</v>
      </c>
      <c r="C702" s="58">
        <v>45951.619432870371</v>
      </c>
      <c r="D702" s="57" t="s">
        <v>2232</v>
      </c>
      <c r="E702" s="57" t="s">
        <v>2233</v>
      </c>
      <c r="F702" s="58"/>
      <c r="G702" s="57" t="s">
        <v>600</v>
      </c>
      <c r="H702" s="59">
        <v>1</v>
      </c>
      <c r="I702" s="57"/>
      <c r="J702" s="57"/>
      <c r="K702" s="59"/>
      <c r="L702" s="57"/>
      <c r="M702" s="60"/>
      <c r="N702" s="59"/>
      <c r="O702" s="57"/>
      <c r="P702" s="57"/>
      <c r="Q702" s="57"/>
      <c r="R702" s="57"/>
      <c r="S702" s="59"/>
      <c r="T702" s="57"/>
      <c r="U702" s="60"/>
      <c r="V702" s="59"/>
      <c r="W702" s="57"/>
      <c r="X702" s="57"/>
      <c r="Y702" s="57" t="s">
        <v>20</v>
      </c>
      <c r="Z702" s="57" t="s">
        <v>276</v>
      </c>
      <c r="AA702" s="59">
        <v>21180</v>
      </c>
      <c r="AB702" s="57" t="s">
        <v>61</v>
      </c>
      <c r="AC702" s="60">
        <v>45889</v>
      </c>
      <c r="AD702" s="59">
        <v>21180</v>
      </c>
      <c r="AE702" s="57" t="s">
        <v>3398</v>
      </c>
      <c r="AF702" s="57" t="s">
        <v>3399</v>
      </c>
    </row>
    <row r="703" spans="1:32">
      <c r="A703" s="57">
        <v>702</v>
      </c>
      <c r="B703" s="58">
        <v>45951.617777777778</v>
      </c>
      <c r="C703" s="58">
        <v>45951.623761574083</v>
      </c>
      <c r="D703" s="57" t="s">
        <v>1143</v>
      </c>
      <c r="E703" s="57" t="s">
        <v>1144</v>
      </c>
      <c r="F703" s="58"/>
      <c r="G703" s="57" t="s">
        <v>630</v>
      </c>
      <c r="H703" s="59">
        <v>1</v>
      </c>
      <c r="I703" s="57"/>
      <c r="J703" s="57"/>
      <c r="K703" s="59"/>
      <c r="L703" s="57"/>
      <c r="M703" s="60"/>
      <c r="N703" s="59"/>
      <c r="O703" s="57"/>
      <c r="P703" s="57"/>
      <c r="Q703" s="57"/>
      <c r="R703" s="57"/>
      <c r="S703" s="59"/>
      <c r="T703" s="57"/>
      <c r="U703" s="60"/>
      <c r="V703" s="59"/>
      <c r="W703" s="57"/>
      <c r="X703" s="57"/>
      <c r="Y703" s="57" t="s">
        <v>20</v>
      </c>
      <c r="Z703" s="57" t="s">
        <v>1145</v>
      </c>
      <c r="AA703" s="59">
        <v>39428</v>
      </c>
      <c r="AB703" s="57" t="s">
        <v>61</v>
      </c>
      <c r="AC703" s="60">
        <v>45922</v>
      </c>
      <c r="AD703" s="59">
        <v>39428</v>
      </c>
      <c r="AE703" s="57" t="s">
        <v>3400</v>
      </c>
      <c r="AF703" s="57" t="s">
        <v>3401</v>
      </c>
    </row>
    <row r="704" spans="1:32">
      <c r="A704" s="57">
        <v>703</v>
      </c>
      <c r="B704" s="58">
        <v>45951.621770833342</v>
      </c>
      <c r="C704" s="58">
        <v>45951.62703703704</v>
      </c>
      <c r="D704" s="57" t="s">
        <v>827</v>
      </c>
      <c r="E704" s="57" t="s">
        <v>828</v>
      </c>
      <c r="F704" s="58"/>
      <c r="G704" s="57" t="s">
        <v>566</v>
      </c>
      <c r="H704" s="59">
        <v>2</v>
      </c>
      <c r="I704" s="57"/>
      <c r="J704" s="57"/>
      <c r="K704" s="59"/>
      <c r="L704" s="57"/>
      <c r="M704" s="60"/>
      <c r="N704" s="59"/>
      <c r="O704" s="57"/>
      <c r="P704" s="57"/>
      <c r="Q704" s="57" t="s">
        <v>21</v>
      </c>
      <c r="R704" s="57" t="s">
        <v>377</v>
      </c>
      <c r="S704" s="59">
        <v>3828</v>
      </c>
      <c r="T704" s="57" t="s">
        <v>61</v>
      </c>
      <c r="U704" s="60">
        <v>45861</v>
      </c>
      <c r="V704" s="59">
        <v>3828</v>
      </c>
      <c r="W704" s="57" t="s">
        <v>3402</v>
      </c>
      <c r="X704" s="57" t="s">
        <v>3403</v>
      </c>
      <c r="Y704" s="57" t="s">
        <v>22</v>
      </c>
      <c r="Z704" s="57" t="s">
        <v>238</v>
      </c>
      <c r="AA704" s="59">
        <v>54319</v>
      </c>
      <c r="AB704" s="57" t="s">
        <v>61</v>
      </c>
      <c r="AC704" s="60">
        <v>45924</v>
      </c>
      <c r="AD704" s="59">
        <v>54319</v>
      </c>
      <c r="AE704" s="57" t="s">
        <v>3404</v>
      </c>
      <c r="AF704" s="57" t="s">
        <v>3405</v>
      </c>
    </row>
    <row r="705" spans="1:32">
      <c r="A705" s="57">
        <v>704</v>
      </c>
      <c r="B705" s="58">
        <v>45951.617662037039</v>
      </c>
      <c r="C705" s="58">
        <v>45951.627453703702</v>
      </c>
      <c r="D705" s="57" t="s">
        <v>726</v>
      </c>
      <c r="E705" s="57" t="s">
        <v>727</v>
      </c>
      <c r="F705" s="58"/>
      <c r="G705" s="57" t="s">
        <v>540</v>
      </c>
      <c r="H705" s="59">
        <v>1</v>
      </c>
      <c r="I705" s="57"/>
      <c r="J705" s="57"/>
      <c r="K705" s="59"/>
      <c r="L705" s="57"/>
      <c r="M705" s="60"/>
      <c r="N705" s="59"/>
      <c r="O705" s="57"/>
      <c r="P705" s="57"/>
      <c r="Q705" s="57"/>
      <c r="R705" s="57"/>
      <c r="S705" s="59"/>
      <c r="T705" s="57"/>
      <c r="U705" s="60"/>
      <c r="V705" s="59"/>
      <c r="W705" s="57"/>
      <c r="X705" s="57"/>
      <c r="Y705" s="57" t="s">
        <v>20</v>
      </c>
      <c r="Z705" s="57" t="s">
        <v>208</v>
      </c>
      <c r="AA705" s="59">
        <v>56696</v>
      </c>
      <c r="AB705" s="57" t="s">
        <v>61</v>
      </c>
      <c r="AC705" s="60">
        <v>45938</v>
      </c>
      <c r="AD705" s="59">
        <v>56696</v>
      </c>
      <c r="AE705" s="57" t="s">
        <v>3406</v>
      </c>
      <c r="AF705" s="57" t="s">
        <v>3407</v>
      </c>
    </row>
    <row r="706" spans="1:32">
      <c r="A706" s="57">
        <v>705</v>
      </c>
      <c r="B706" s="58">
        <v>45951.629548611112</v>
      </c>
      <c r="C706" s="58">
        <v>45951.632245370369</v>
      </c>
      <c r="D706" s="57" t="s">
        <v>2180</v>
      </c>
      <c r="E706" s="57" t="s">
        <v>2181</v>
      </c>
      <c r="F706" s="58"/>
      <c r="G706" s="57" t="s">
        <v>590</v>
      </c>
      <c r="H706" s="59">
        <v>2</v>
      </c>
      <c r="I706" s="57"/>
      <c r="J706" s="57"/>
      <c r="K706" s="59"/>
      <c r="L706" s="57"/>
      <c r="M706" s="60"/>
      <c r="N706" s="59"/>
      <c r="O706" s="57"/>
      <c r="P706" s="57"/>
      <c r="Q706" s="57" t="s">
        <v>22</v>
      </c>
      <c r="R706" s="57" t="s">
        <v>264</v>
      </c>
      <c r="S706" s="59">
        <v>29125</v>
      </c>
      <c r="T706" s="57" t="s">
        <v>61</v>
      </c>
      <c r="U706" s="60">
        <v>45780</v>
      </c>
      <c r="V706" s="59">
        <v>29125</v>
      </c>
      <c r="W706" s="57" t="s">
        <v>3408</v>
      </c>
      <c r="X706" s="57" t="s">
        <v>3409</v>
      </c>
      <c r="Y706" s="57" t="s">
        <v>20</v>
      </c>
      <c r="Z706" s="57" t="s">
        <v>382</v>
      </c>
      <c r="AA706" s="59">
        <v>3151</v>
      </c>
      <c r="AB706" s="57" t="s">
        <v>61</v>
      </c>
      <c r="AC706" s="60">
        <v>45849</v>
      </c>
      <c r="AD706" s="59">
        <v>3151</v>
      </c>
      <c r="AE706" s="57" t="s">
        <v>3410</v>
      </c>
      <c r="AF706" s="57" t="s">
        <v>3411</v>
      </c>
    </row>
    <row r="707" spans="1:32">
      <c r="A707" s="57">
        <v>706</v>
      </c>
      <c r="B707" s="58">
        <v>45951.635150462957</v>
      </c>
      <c r="C707" s="58">
        <v>45951.637662037043</v>
      </c>
      <c r="D707" s="57" t="s">
        <v>1469</v>
      </c>
      <c r="E707" s="57" t="s">
        <v>1470</v>
      </c>
      <c r="F707" s="58"/>
      <c r="G707" s="57" t="s">
        <v>523</v>
      </c>
      <c r="H707" s="59">
        <v>1</v>
      </c>
      <c r="I707" s="57"/>
      <c r="J707" s="57"/>
      <c r="K707" s="59"/>
      <c r="L707" s="57"/>
      <c r="M707" s="60"/>
      <c r="N707" s="59"/>
      <c r="O707" s="57"/>
      <c r="P707" s="57"/>
      <c r="Q707" s="57"/>
      <c r="R707" s="57"/>
      <c r="S707" s="59"/>
      <c r="T707" s="57"/>
      <c r="U707" s="60"/>
      <c r="V707" s="59"/>
      <c r="W707" s="57"/>
      <c r="X707" s="57"/>
      <c r="Y707" s="57" t="s">
        <v>21</v>
      </c>
      <c r="Z707" s="57" t="s">
        <v>190</v>
      </c>
      <c r="AA707" s="59">
        <v>29813</v>
      </c>
      <c r="AB707" s="57" t="s">
        <v>61</v>
      </c>
      <c r="AC707" s="60">
        <v>45911</v>
      </c>
      <c r="AD707" s="59">
        <v>29813</v>
      </c>
      <c r="AE707" s="57" t="s">
        <v>3412</v>
      </c>
      <c r="AF707" s="57" t="s">
        <v>3413</v>
      </c>
    </row>
    <row r="708" spans="1:32">
      <c r="A708" s="57">
        <v>707</v>
      </c>
      <c r="B708" s="58">
        <v>45951.640914351847</v>
      </c>
      <c r="C708" s="58">
        <v>45951.644085648149</v>
      </c>
      <c r="D708" s="57" t="s">
        <v>1022</v>
      </c>
      <c r="E708" s="57" t="s">
        <v>1023</v>
      </c>
      <c r="F708" s="58"/>
      <c r="G708" s="57" t="s">
        <v>589</v>
      </c>
      <c r="H708" s="59">
        <v>1</v>
      </c>
      <c r="I708" s="57"/>
      <c r="J708" s="57"/>
      <c r="K708" s="59"/>
      <c r="L708" s="57"/>
      <c r="M708" s="60"/>
      <c r="N708" s="59"/>
      <c r="O708" s="57"/>
      <c r="P708" s="57"/>
      <c r="Q708" s="57"/>
      <c r="R708" s="57"/>
      <c r="S708" s="59"/>
      <c r="T708" s="57"/>
      <c r="U708" s="60"/>
      <c r="V708" s="59"/>
      <c r="W708" s="57"/>
      <c r="X708" s="57"/>
      <c r="Y708" s="57" t="s">
        <v>21</v>
      </c>
      <c r="Z708" s="57" t="s">
        <v>263</v>
      </c>
      <c r="AA708" s="59">
        <v>15895</v>
      </c>
      <c r="AB708" s="57" t="s">
        <v>61</v>
      </c>
      <c r="AC708" s="60">
        <v>45827</v>
      </c>
      <c r="AD708" s="59">
        <v>15895</v>
      </c>
      <c r="AE708" s="57" t="s">
        <v>3414</v>
      </c>
      <c r="AF708" s="57" t="s">
        <v>3415</v>
      </c>
    </row>
    <row r="709" spans="1:32">
      <c r="A709" s="57">
        <v>708</v>
      </c>
      <c r="B709" s="58">
        <v>45951.65483796296</v>
      </c>
      <c r="C709" s="58">
        <v>45951.655555555553</v>
      </c>
      <c r="D709" s="57" t="s">
        <v>1018</v>
      </c>
      <c r="E709" s="57" t="s">
        <v>1019</v>
      </c>
      <c r="F709" s="58"/>
      <c r="G709" s="57" t="s">
        <v>472</v>
      </c>
      <c r="H709" s="59">
        <v>1</v>
      </c>
      <c r="I709" s="57"/>
      <c r="J709" s="57"/>
      <c r="K709" s="59"/>
      <c r="L709" s="57"/>
      <c r="M709" s="60"/>
      <c r="N709" s="59"/>
      <c r="O709" s="57"/>
      <c r="P709" s="57"/>
      <c r="Q709" s="57"/>
      <c r="R709" s="57"/>
      <c r="S709" s="59"/>
      <c r="T709" s="57"/>
      <c r="U709" s="60"/>
      <c r="V709" s="59"/>
      <c r="W709" s="57"/>
      <c r="X709" s="57"/>
      <c r="Y709" s="57" t="s">
        <v>20</v>
      </c>
      <c r="Z709" s="57" t="s">
        <v>138</v>
      </c>
      <c r="AA709" s="59">
        <v>45490</v>
      </c>
      <c r="AB709" s="57" t="s">
        <v>61</v>
      </c>
      <c r="AC709" s="60">
        <v>45931</v>
      </c>
      <c r="AD709" s="59">
        <v>45490</v>
      </c>
      <c r="AE709" s="57" t="s">
        <v>3416</v>
      </c>
      <c r="AF709" s="57" t="s">
        <v>3417</v>
      </c>
    </row>
    <row r="710" spans="1:32">
      <c r="A710" s="57">
        <v>709</v>
      </c>
      <c r="B710" s="58">
        <v>45951.655891203707</v>
      </c>
      <c r="C710" s="58">
        <v>45951.657557870371</v>
      </c>
      <c r="D710" s="57" t="s">
        <v>1361</v>
      </c>
      <c r="E710" s="57" t="s">
        <v>1362</v>
      </c>
      <c r="F710" s="58"/>
      <c r="G710" s="57" t="s">
        <v>487</v>
      </c>
      <c r="H710" s="59">
        <v>1</v>
      </c>
      <c r="I710" s="57"/>
      <c r="J710" s="57"/>
      <c r="K710" s="59"/>
      <c r="L710" s="57"/>
      <c r="M710" s="60"/>
      <c r="N710" s="59"/>
      <c r="O710" s="57"/>
      <c r="P710" s="57"/>
      <c r="Q710" s="57"/>
      <c r="R710" s="57"/>
      <c r="S710" s="59"/>
      <c r="T710" s="57"/>
      <c r="U710" s="60"/>
      <c r="V710" s="59"/>
      <c r="W710" s="57"/>
      <c r="X710" s="57"/>
      <c r="Y710" s="57" t="s">
        <v>21</v>
      </c>
      <c r="Z710" s="57" t="s">
        <v>153</v>
      </c>
      <c r="AA710" s="59">
        <v>16352</v>
      </c>
      <c r="AB710" s="57" t="s">
        <v>61</v>
      </c>
      <c r="AC710" s="60">
        <v>45911</v>
      </c>
      <c r="AD710" s="59">
        <v>16352</v>
      </c>
      <c r="AE710" s="57" t="s">
        <v>3418</v>
      </c>
      <c r="AF710" s="57" t="s">
        <v>3419</v>
      </c>
    </row>
    <row r="711" spans="1:32">
      <c r="A711" s="57">
        <v>710</v>
      </c>
      <c r="B711" s="58">
        <v>45951.658541666657</v>
      </c>
      <c r="C711" s="58">
        <v>45951.662210648137</v>
      </c>
      <c r="D711" s="57" t="s">
        <v>1309</v>
      </c>
      <c r="E711" s="57" t="s">
        <v>1310</v>
      </c>
      <c r="F711" s="58"/>
      <c r="G711" s="57" t="s">
        <v>613</v>
      </c>
      <c r="H711" s="59">
        <v>2</v>
      </c>
      <c r="I711" s="57"/>
      <c r="J711" s="57"/>
      <c r="K711" s="59"/>
      <c r="L711" s="57"/>
      <c r="M711" s="60"/>
      <c r="N711" s="59"/>
      <c r="O711" s="57"/>
      <c r="P711" s="57"/>
      <c r="Q711" s="57" t="s">
        <v>22</v>
      </c>
      <c r="R711" s="57" t="s">
        <v>369</v>
      </c>
      <c r="S711" s="59">
        <v>11561</v>
      </c>
      <c r="T711" s="57" t="s">
        <v>61</v>
      </c>
      <c r="U711" s="60">
        <v>45951</v>
      </c>
      <c r="V711" s="59">
        <v>11561</v>
      </c>
      <c r="W711" s="57" t="s">
        <v>3420</v>
      </c>
      <c r="X711" s="57" t="s">
        <v>3421</v>
      </c>
      <c r="Y711" s="57" t="s">
        <v>21</v>
      </c>
      <c r="Z711" s="57" t="s">
        <v>293</v>
      </c>
      <c r="AA711" s="59">
        <v>22290</v>
      </c>
      <c r="AB711" s="57" t="s">
        <v>61</v>
      </c>
      <c r="AC711" s="60">
        <v>45947</v>
      </c>
      <c r="AD711" s="59">
        <v>22290</v>
      </c>
      <c r="AE711" s="57" t="s">
        <v>3422</v>
      </c>
      <c r="AF711" s="57" t="s">
        <v>3423</v>
      </c>
    </row>
    <row r="712" spans="1:32">
      <c r="A712" s="57">
        <v>711</v>
      </c>
      <c r="B712" s="58">
        <v>45951.658495370371</v>
      </c>
      <c r="C712" s="58">
        <v>45951.662569444437</v>
      </c>
      <c r="D712" s="57" t="s">
        <v>822</v>
      </c>
      <c r="E712" s="57" t="s">
        <v>823</v>
      </c>
      <c r="F712" s="58"/>
      <c r="G712" s="57" t="s">
        <v>721</v>
      </c>
      <c r="H712" s="59">
        <v>1</v>
      </c>
      <c r="I712" s="57"/>
      <c r="J712" s="57"/>
      <c r="K712" s="59"/>
      <c r="L712" s="57"/>
      <c r="M712" s="60"/>
      <c r="N712" s="59"/>
      <c r="O712" s="57"/>
      <c r="P712" s="57"/>
      <c r="Q712" s="57"/>
      <c r="R712" s="57"/>
      <c r="S712" s="59"/>
      <c r="T712" s="57"/>
      <c r="U712" s="60"/>
      <c r="V712" s="59"/>
      <c r="W712" s="57"/>
      <c r="X712" s="57"/>
      <c r="Y712" s="57" t="s">
        <v>20</v>
      </c>
      <c r="Z712" s="57" t="s">
        <v>824</v>
      </c>
      <c r="AA712" s="59">
        <v>73662</v>
      </c>
      <c r="AB712" s="57" t="s">
        <v>61</v>
      </c>
      <c r="AC712" s="60">
        <v>45912</v>
      </c>
      <c r="AD712" s="59">
        <v>73662</v>
      </c>
      <c r="AE712" s="57" t="s">
        <v>3424</v>
      </c>
      <c r="AF712" s="57" t="s">
        <v>3425</v>
      </c>
    </row>
    <row r="713" spans="1:32">
      <c r="A713" s="57">
        <v>712</v>
      </c>
      <c r="B713" s="58">
        <v>45951.661099537043</v>
      </c>
      <c r="C713" s="58">
        <v>45951.664236111108</v>
      </c>
      <c r="D713" s="57" t="s">
        <v>1276</v>
      </c>
      <c r="E713" s="57" t="s">
        <v>1277</v>
      </c>
      <c r="F713" s="58"/>
      <c r="G713" s="57" t="s">
        <v>668</v>
      </c>
      <c r="H713" s="59">
        <v>2</v>
      </c>
      <c r="I713" s="57"/>
      <c r="J713" s="57"/>
      <c r="K713" s="59"/>
      <c r="L713" s="57"/>
      <c r="M713" s="60"/>
      <c r="N713" s="59"/>
      <c r="O713" s="57"/>
      <c r="P713" s="57"/>
      <c r="Q713" s="57" t="s">
        <v>20</v>
      </c>
      <c r="R713" s="57" t="s">
        <v>378</v>
      </c>
      <c r="S713" s="59">
        <v>6638</v>
      </c>
      <c r="T713" s="57" t="s">
        <v>61</v>
      </c>
      <c r="U713" s="60">
        <v>45915</v>
      </c>
      <c r="V713" s="59">
        <v>6638</v>
      </c>
      <c r="W713" s="57" t="s">
        <v>3426</v>
      </c>
      <c r="X713" s="57" t="s">
        <v>3427</v>
      </c>
      <c r="Y713" s="57" t="s">
        <v>21</v>
      </c>
      <c r="Z713" s="57" t="s">
        <v>1280</v>
      </c>
      <c r="AA713" s="59">
        <v>47242</v>
      </c>
      <c r="AB713" s="57" t="s">
        <v>61</v>
      </c>
      <c r="AC713" s="60">
        <v>45915</v>
      </c>
      <c r="AD713" s="59">
        <v>47242</v>
      </c>
      <c r="AE713" s="57" t="s">
        <v>3428</v>
      </c>
      <c r="AF713" s="57" t="s">
        <v>3429</v>
      </c>
    </row>
    <row r="714" spans="1:32">
      <c r="A714" s="57">
        <v>713</v>
      </c>
      <c r="B714" s="58">
        <v>45951.660439814812</v>
      </c>
      <c r="C714" s="58">
        <v>45951.665694444448</v>
      </c>
      <c r="D714" s="57" t="s">
        <v>3430</v>
      </c>
      <c r="E714" s="57" t="s">
        <v>3431</v>
      </c>
      <c r="F714" s="58"/>
      <c r="G714" s="57" t="s">
        <v>563</v>
      </c>
      <c r="H714" s="59">
        <v>2</v>
      </c>
      <c r="I714" s="57"/>
      <c r="J714" s="57"/>
      <c r="K714" s="59"/>
      <c r="L714" s="57"/>
      <c r="M714" s="60"/>
      <c r="N714" s="59"/>
      <c r="O714" s="57"/>
      <c r="P714" s="57"/>
      <c r="Q714" s="57" t="s">
        <v>21</v>
      </c>
      <c r="R714" s="57" t="s">
        <v>409</v>
      </c>
      <c r="S714" s="59">
        <v>269</v>
      </c>
      <c r="T714" s="57" t="s">
        <v>61</v>
      </c>
      <c r="U714" s="60">
        <v>45948</v>
      </c>
      <c r="V714" s="59">
        <v>269</v>
      </c>
      <c r="W714" s="57" t="s">
        <v>3432</v>
      </c>
      <c r="X714" s="57" t="s">
        <v>3433</v>
      </c>
      <c r="Y714" s="57" t="s">
        <v>22</v>
      </c>
      <c r="Z714" s="57" t="s">
        <v>234</v>
      </c>
      <c r="AA714" s="59">
        <v>55011</v>
      </c>
      <c r="AB714" s="57" t="s">
        <v>61</v>
      </c>
      <c r="AC714" s="60">
        <v>45810</v>
      </c>
      <c r="AD714" s="59">
        <v>55011</v>
      </c>
      <c r="AE714" s="57" t="s">
        <v>3434</v>
      </c>
      <c r="AF714" s="57" t="s">
        <v>3435</v>
      </c>
    </row>
    <row r="715" spans="1:32">
      <c r="A715" s="57">
        <v>714</v>
      </c>
      <c r="B715" s="58">
        <v>45951.662372685183</v>
      </c>
      <c r="C715" s="58">
        <v>45951.666527777779</v>
      </c>
      <c r="D715" s="57" t="s">
        <v>1547</v>
      </c>
      <c r="E715" s="57" t="s">
        <v>1548</v>
      </c>
      <c r="F715" s="58"/>
      <c r="G715" s="57" t="s">
        <v>664</v>
      </c>
      <c r="H715" s="59">
        <v>1</v>
      </c>
      <c r="I715" s="57"/>
      <c r="J715" s="57"/>
      <c r="K715" s="59"/>
      <c r="L715" s="57"/>
      <c r="M715" s="60"/>
      <c r="N715" s="59"/>
      <c r="O715" s="57"/>
      <c r="P715" s="57"/>
      <c r="Q715" s="57"/>
      <c r="R715" s="57"/>
      <c r="S715" s="59"/>
      <c r="T715" s="57"/>
      <c r="U715" s="60"/>
      <c r="V715" s="59"/>
      <c r="W715" s="57"/>
      <c r="X715" s="57"/>
      <c r="Y715" s="57" t="s">
        <v>21</v>
      </c>
      <c r="Z715" s="57" t="s">
        <v>366</v>
      </c>
      <c r="AA715" s="59">
        <v>6288</v>
      </c>
      <c r="AB715" s="57" t="s">
        <v>61</v>
      </c>
      <c r="AC715" s="60">
        <v>45915</v>
      </c>
      <c r="AD715" s="59">
        <v>6288</v>
      </c>
      <c r="AE715" s="57" t="s">
        <v>3436</v>
      </c>
      <c r="AF715" s="57" t="s">
        <v>3437</v>
      </c>
    </row>
    <row r="716" spans="1:32">
      <c r="A716" s="57">
        <v>715</v>
      </c>
      <c r="B716" s="58">
        <v>45951.656412037039</v>
      </c>
      <c r="C716" s="58">
        <v>45951.666597222233</v>
      </c>
      <c r="D716" s="57" t="s">
        <v>999</v>
      </c>
      <c r="E716" s="57" t="s">
        <v>1000</v>
      </c>
      <c r="F716" s="58"/>
      <c r="G716" s="57" t="s">
        <v>577</v>
      </c>
      <c r="H716" s="59">
        <v>1</v>
      </c>
      <c r="I716" s="57"/>
      <c r="J716" s="57"/>
      <c r="K716" s="59"/>
      <c r="L716" s="57"/>
      <c r="M716" s="60"/>
      <c r="N716" s="59"/>
      <c r="O716" s="57"/>
      <c r="P716" s="57"/>
      <c r="Q716" s="57"/>
      <c r="R716" s="57"/>
      <c r="S716" s="59"/>
      <c r="T716" s="57"/>
      <c r="U716" s="60"/>
      <c r="V716" s="59"/>
      <c r="W716" s="57"/>
      <c r="X716" s="57"/>
      <c r="Y716" s="57" t="s">
        <v>21</v>
      </c>
      <c r="Z716" s="57" t="s">
        <v>249</v>
      </c>
      <c r="AA716" s="59">
        <v>18962</v>
      </c>
      <c r="AB716" s="57" t="s">
        <v>61</v>
      </c>
      <c r="AC716" s="60">
        <v>45910</v>
      </c>
      <c r="AD716" s="59">
        <v>18962</v>
      </c>
      <c r="AE716" s="57" t="s">
        <v>3438</v>
      </c>
      <c r="AF716" s="57" t="s">
        <v>3439</v>
      </c>
    </row>
    <row r="717" spans="1:32">
      <c r="A717" s="57">
        <v>716</v>
      </c>
      <c r="B717" s="58">
        <v>45951.657939814817</v>
      </c>
      <c r="C717" s="58">
        <v>45951.672164351847</v>
      </c>
      <c r="D717" s="57" t="s">
        <v>2440</v>
      </c>
      <c r="E717" s="57" t="s">
        <v>2441</v>
      </c>
      <c r="F717" s="58"/>
      <c r="G717" s="57" t="s">
        <v>588</v>
      </c>
      <c r="H717" s="59">
        <v>1</v>
      </c>
      <c r="I717" s="57"/>
      <c r="J717" s="57"/>
      <c r="K717" s="59"/>
      <c r="L717" s="57"/>
      <c r="M717" s="60"/>
      <c r="N717" s="59"/>
      <c r="O717" s="57"/>
      <c r="P717" s="57"/>
      <c r="Q717" s="57"/>
      <c r="R717" s="57"/>
      <c r="S717" s="59"/>
      <c r="T717" s="57"/>
      <c r="U717" s="60"/>
      <c r="V717" s="59"/>
      <c r="W717" s="57"/>
      <c r="X717" s="57"/>
      <c r="Y717" s="57" t="s">
        <v>21</v>
      </c>
      <c r="Z717" s="57" t="s">
        <v>262</v>
      </c>
      <c r="AA717" s="59">
        <v>51762</v>
      </c>
      <c r="AB717" s="57" t="s">
        <v>61</v>
      </c>
      <c r="AC717" s="60">
        <v>45825</v>
      </c>
      <c r="AD717" s="59">
        <v>51762</v>
      </c>
      <c r="AE717" s="57" t="s">
        <v>3440</v>
      </c>
      <c r="AF717" s="57" t="s">
        <v>3441</v>
      </c>
    </row>
    <row r="718" spans="1:32">
      <c r="A718" s="57">
        <v>717</v>
      </c>
      <c r="B718" s="58">
        <v>45951.677245370367</v>
      </c>
      <c r="C718" s="58">
        <v>45951.683055555557</v>
      </c>
      <c r="D718" s="57" t="s">
        <v>1007</v>
      </c>
      <c r="E718" s="57" t="s">
        <v>1008</v>
      </c>
      <c r="F718" s="58"/>
      <c r="G718" s="57" t="s">
        <v>528</v>
      </c>
      <c r="H718" s="59">
        <v>2</v>
      </c>
      <c r="I718" s="57"/>
      <c r="J718" s="57"/>
      <c r="K718" s="59"/>
      <c r="L718" s="57"/>
      <c r="M718" s="60"/>
      <c r="N718" s="59"/>
      <c r="O718" s="57"/>
      <c r="P718" s="57"/>
      <c r="Q718" s="57" t="s">
        <v>22</v>
      </c>
      <c r="R718" s="57" t="s">
        <v>195</v>
      </c>
      <c r="S718" s="59">
        <v>41374</v>
      </c>
      <c r="T718" s="57" t="s">
        <v>61</v>
      </c>
      <c r="U718" s="60">
        <v>45820</v>
      </c>
      <c r="V718" s="59">
        <v>41374</v>
      </c>
      <c r="W718" s="57" t="s">
        <v>3442</v>
      </c>
      <c r="X718" s="57" t="s">
        <v>3443</v>
      </c>
      <c r="Y718" s="57" t="s">
        <v>20</v>
      </c>
      <c r="Z718" s="57" t="s">
        <v>400</v>
      </c>
      <c r="AA718" s="59">
        <v>2967</v>
      </c>
      <c r="AB718" s="57" t="s">
        <v>61</v>
      </c>
      <c r="AC718" s="60">
        <v>45951</v>
      </c>
      <c r="AD718" s="59">
        <v>2967</v>
      </c>
      <c r="AE718" s="57" t="s">
        <v>3444</v>
      </c>
      <c r="AF718" s="57" t="s">
        <v>3445</v>
      </c>
    </row>
    <row r="719" spans="1:32">
      <c r="A719" s="57">
        <v>718</v>
      </c>
      <c r="B719" s="58">
        <v>45951.675706018519</v>
      </c>
      <c r="C719" s="58">
        <v>45951.683530092603</v>
      </c>
      <c r="D719" s="57" t="s">
        <v>940</v>
      </c>
      <c r="E719" s="57" t="s">
        <v>941</v>
      </c>
      <c r="F719" s="58"/>
      <c r="G719" s="57" t="s">
        <v>688</v>
      </c>
      <c r="H719" s="59">
        <v>2</v>
      </c>
      <c r="I719" s="57"/>
      <c r="J719" s="57"/>
      <c r="K719" s="59"/>
      <c r="L719" s="57"/>
      <c r="M719" s="60"/>
      <c r="N719" s="59"/>
      <c r="O719" s="57"/>
      <c r="P719" s="57"/>
      <c r="Q719" s="57" t="s">
        <v>20</v>
      </c>
      <c r="R719" s="57" t="s">
        <v>942</v>
      </c>
      <c r="S719" s="59">
        <v>79129</v>
      </c>
      <c r="T719" s="57" t="s">
        <v>61</v>
      </c>
      <c r="U719" s="60">
        <v>45938</v>
      </c>
      <c r="V719" s="59">
        <v>79129</v>
      </c>
      <c r="W719" s="57" t="s">
        <v>3446</v>
      </c>
      <c r="X719" s="57" t="s">
        <v>3447</v>
      </c>
      <c r="Y719" s="57" t="s">
        <v>20</v>
      </c>
      <c r="Z719" s="57" t="s">
        <v>407</v>
      </c>
      <c r="AA719" s="59">
        <v>1783</v>
      </c>
      <c r="AB719" s="57" t="s">
        <v>61</v>
      </c>
      <c r="AC719" s="60">
        <v>45938</v>
      </c>
      <c r="AD719" s="59">
        <v>1783</v>
      </c>
      <c r="AE719" s="57" t="s">
        <v>3448</v>
      </c>
      <c r="AF719" s="57" t="s">
        <v>3449</v>
      </c>
    </row>
    <row r="720" spans="1:32">
      <c r="A720" s="57">
        <v>719</v>
      </c>
      <c r="B720" s="58">
        <v>45951.655150462961</v>
      </c>
      <c r="C720" s="58">
        <v>45951.687314814822</v>
      </c>
      <c r="D720" s="57" t="s">
        <v>1493</v>
      </c>
      <c r="E720" s="57" t="s">
        <v>1494</v>
      </c>
      <c r="F720" s="58"/>
      <c r="G720" s="57" t="s">
        <v>680</v>
      </c>
      <c r="H720" s="59">
        <v>1</v>
      </c>
      <c r="I720" s="57"/>
      <c r="J720" s="57"/>
      <c r="K720" s="59"/>
      <c r="L720" s="57"/>
      <c r="M720" s="60"/>
      <c r="N720" s="59"/>
      <c r="O720" s="57"/>
      <c r="P720" s="57"/>
      <c r="Q720" s="57"/>
      <c r="R720" s="57"/>
      <c r="S720" s="59"/>
      <c r="T720" s="57"/>
      <c r="U720" s="60"/>
      <c r="V720" s="59"/>
      <c r="W720" s="57"/>
      <c r="X720" s="57"/>
      <c r="Y720" s="57" t="s">
        <v>20</v>
      </c>
      <c r="Z720" s="57" t="s">
        <v>395</v>
      </c>
      <c r="AA720" s="59">
        <v>4954</v>
      </c>
      <c r="AB720" s="57" t="s">
        <v>61</v>
      </c>
      <c r="AC720" s="60">
        <v>45918</v>
      </c>
      <c r="AD720" s="59">
        <v>4954</v>
      </c>
      <c r="AE720" s="57" t="s">
        <v>3450</v>
      </c>
      <c r="AF720" s="57" t="s">
        <v>3451</v>
      </c>
    </row>
    <row r="721" spans="1:32">
      <c r="A721" s="57">
        <v>720</v>
      </c>
      <c r="B721" s="58">
        <v>45951.685208333343</v>
      </c>
      <c r="C721" s="58">
        <v>45951.690335648149</v>
      </c>
      <c r="D721" s="57" t="s">
        <v>1064</v>
      </c>
      <c r="E721" s="57" t="s">
        <v>1065</v>
      </c>
      <c r="F721" s="58"/>
      <c r="G721" s="57" t="s">
        <v>544</v>
      </c>
      <c r="H721" s="59">
        <v>1</v>
      </c>
      <c r="I721" s="57"/>
      <c r="J721" s="57"/>
      <c r="K721" s="59"/>
      <c r="L721" s="57"/>
      <c r="M721" s="60"/>
      <c r="N721" s="59"/>
      <c r="O721" s="57"/>
      <c r="P721" s="57"/>
      <c r="Q721" s="57"/>
      <c r="R721" s="57"/>
      <c r="S721" s="59"/>
      <c r="T721" s="57"/>
      <c r="U721" s="60"/>
      <c r="V721" s="59"/>
      <c r="W721" s="57"/>
      <c r="X721" s="57"/>
      <c r="Y721" s="57" t="s">
        <v>21</v>
      </c>
      <c r="Z721" s="57" t="s">
        <v>213</v>
      </c>
      <c r="AA721" s="59">
        <v>40789</v>
      </c>
      <c r="AB721" s="57" t="s">
        <v>61</v>
      </c>
      <c r="AC721" s="60">
        <v>45810</v>
      </c>
      <c r="AD721" s="59">
        <v>40789</v>
      </c>
      <c r="AE721" s="57" t="s">
        <v>3452</v>
      </c>
      <c r="AF721" s="57" t="s">
        <v>3453</v>
      </c>
    </row>
    <row r="722" spans="1:32">
      <c r="A722" s="57">
        <v>721</v>
      </c>
      <c r="B722" s="58">
        <v>45951.690034722233</v>
      </c>
      <c r="C722" s="58">
        <v>45951.692465277767</v>
      </c>
      <c r="D722" s="57" t="s">
        <v>1105</v>
      </c>
      <c r="E722" s="57" t="s">
        <v>1106</v>
      </c>
      <c r="F722" s="58"/>
      <c r="G722" s="57" t="s">
        <v>652</v>
      </c>
      <c r="H722" s="59">
        <v>1</v>
      </c>
      <c r="I722" s="57"/>
      <c r="J722" s="57"/>
      <c r="K722" s="59"/>
      <c r="L722" s="57"/>
      <c r="M722" s="60"/>
      <c r="N722" s="59"/>
      <c r="O722" s="57"/>
      <c r="P722" s="57"/>
      <c r="Q722" s="57"/>
      <c r="R722" s="57"/>
      <c r="S722" s="59"/>
      <c r="T722" s="57"/>
      <c r="U722" s="60"/>
      <c r="V722" s="59"/>
      <c r="W722" s="57"/>
      <c r="X722" s="57"/>
      <c r="Y722" s="57" t="s">
        <v>21</v>
      </c>
      <c r="Z722" s="57" t="s">
        <v>350</v>
      </c>
      <c r="AA722" s="59">
        <v>9543</v>
      </c>
      <c r="AB722" s="57" t="s">
        <v>61</v>
      </c>
      <c r="AC722" s="60">
        <v>45884</v>
      </c>
      <c r="AD722" s="59">
        <v>9543</v>
      </c>
      <c r="AE722" s="57" t="s">
        <v>3454</v>
      </c>
      <c r="AF722" s="57" t="s">
        <v>3455</v>
      </c>
    </row>
    <row r="723" spans="1:32">
      <c r="A723" s="57">
        <v>722</v>
      </c>
      <c r="B723" s="58">
        <v>45951.684201388889</v>
      </c>
      <c r="C723" s="58">
        <v>45951.693009259259</v>
      </c>
      <c r="D723" s="57" t="s">
        <v>849</v>
      </c>
      <c r="E723" s="57" t="s">
        <v>850</v>
      </c>
      <c r="F723" s="58"/>
      <c r="G723" s="57" t="s">
        <v>627</v>
      </c>
      <c r="H723" s="59">
        <v>1</v>
      </c>
      <c r="I723" s="57"/>
      <c r="J723" s="57"/>
      <c r="K723" s="59"/>
      <c r="L723" s="57"/>
      <c r="M723" s="60"/>
      <c r="N723" s="59"/>
      <c r="O723" s="57"/>
      <c r="P723" s="57"/>
      <c r="Q723" s="57"/>
      <c r="R723" s="57"/>
      <c r="S723" s="59"/>
      <c r="T723" s="57"/>
      <c r="U723" s="60"/>
      <c r="V723" s="59"/>
      <c r="W723" s="57"/>
      <c r="X723" s="57"/>
      <c r="Y723" s="57" t="s">
        <v>21</v>
      </c>
      <c r="Z723" s="57" t="s">
        <v>310</v>
      </c>
      <c r="AA723" s="59">
        <v>8847</v>
      </c>
      <c r="AB723" s="57" t="s">
        <v>61</v>
      </c>
      <c r="AC723" s="60">
        <v>45827</v>
      </c>
      <c r="AD723" s="59">
        <v>8847</v>
      </c>
      <c r="AE723" s="57" t="s">
        <v>3456</v>
      </c>
      <c r="AF723" s="57" t="s">
        <v>3457</v>
      </c>
    </row>
    <row r="724" spans="1:32">
      <c r="A724" s="57">
        <v>723</v>
      </c>
      <c r="B724" s="58">
        <v>45951.679618055547</v>
      </c>
      <c r="C724" s="58">
        <v>45951.693310185183</v>
      </c>
      <c r="D724" s="57" t="s">
        <v>1709</v>
      </c>
      <c r="E724" s="57" t="s">
        <v>1710</v>
      </c>
      <c r="F724" s="58"/>
      <c r="G724" s="57" t="s">
        <v>533</v>
      </c>
      <c r="H724" s="59">
        <v>1</v>
      </c>
      <c r="I724" s="57"/>
      <c r="J724" s="57"/>
      <c r="K724" s="59"/>
      <c r="L724" s="57"/>
      <c r="M724" s="60"/>
      <c r="N724" s="59"/>
      <c r="O724" s="57"/>
      <c r="P724" s="57"/>
      <c r="Q724" s="57"/>
      <c r="R724" s="57"/>
      <c r="S724" s="59"/>
      <c r="T724" s="57"/>
      <c r="U724" s="60"/>
      <c r="V724" s="59"/>
      <c r="W724" s="57"/>
      <c r="X724" s="57"/>
      <c r="Y724" s="57" t="s">
        <v>20</v>
      </c>
      <c r="Z724" s="57" t="s">
        <v>201</v>
      </c>
      <c r="AA724" s="59">
        <v>53828</v>
      </c>
      <c r="AB724" s="57" t="s">
        <v>61</v>
      </c>
      <c r="AC724" s="60">
        <v>45937</v>
      </c>
      <c r="AD724" s="59">
        <v>53828</v>
      </c>
      <c r="AE724" s="57" t="s">
        <v>3458</v>
      </c>
      <c r="AF724" s="57" t="s">
        <v>3459</v>
      </c>
    </row>
    <row r="725" spans="1:32">
      <c r="A725" s="57">
        <v>724</v>
      </c>
      <c r="B725" s="58">
        <v>45951.634548611109</v>
      </c>
      <c r="C725" s="58">
        <v>45951.695844907408</v>
      </c>
      <c r="D725" s="57" t="s">
        <v>2002</v>
      </c>
      <c r="E725" s="57" t="s">
        <v>2003</v>
      </c>
      <c r="F725" s="58"/>
      <c r="G725" s="57" t="s">
        <v>454</v>
      </c>
      <c r="H725" s="59">
        <v>1</v>
      </c>
      <c r="I725" s="57"/>
      <c r="J725" s="57"/>
      <c r="K725" s="59"/>
      <c r="L725" s="57"/>
      <c r="M725" s="60"/>
      <c r="N725" s="59"/>
      <c r="O725" s="57"/>
      <c r="P725" s="57"/>
      <c r="Q725" s="57"/>
      <c r="R725" s="57"/>
      <c r="S725" s="59"/>
      <c r="T725" s="57"/>
      <c r="U725" s="60"/>
      <c r="V725" s="59"/>
      <c r="W725" s="57"/>
      <c r="X725" s="57"/>
      <c r="Y725" s="57" t="s">
        <v>21</v>
      </c>
      <c r="Z725" s="57" t="s">
        <v>120</v>
      </c>
      <c r="AA725" s="59">
        <v>109868</v>
      </c>
      <c r="AB725" s="57" t="s">
        <v>61</v>
      </c>
      <c r="AC725" s="60">
        <v>45918</v>
      </c>
      <c r="AD725" s="59">
        <v>109868</v>
      </c>
      <c r="AE725" s="57" t="s">
        <v>3460</v>
      </c>
      <c r="AF725" s="57" t="s">
        <v>3461</v>
      </c>
    </row>
    <row r="726" spans="1:32">
      <c r="A726" s="57">
        <v>725</v>
      </c>
      <c r="B726" s="58">
        <v>45951.69804398148</v>
      </c>
      <c r="C726" s="58">
        <v>45951.699618055558</v>
      </c>
      <c r="D726" s="57" t="s">
        <v>1232</v>
      </c>
      <c r="E726" s="57" t="s">
        <v>1233</v>
      </c>
      <c r="F726" s="58"/>
      <c r="G726" s="57" t="s">
        <v>706</v>
      </c>
      <c r="H726" s="59">
        <v>1</v>
      </c>
      <c r="I726" s="57"/>
      <c r="J726" s="57"/>
      <c r="K726" s="59"/>
      <c r="L726" s="57"/>
      <c r="M726" s="60"/>
      <c r="N726" s="59"/>
      <c r="O726" s="57"/>
      <c r="P726" s="57"/>
      <c r="Q726" s="57"/>
      <c r="R726" s="57"/>
      <c r="S726" s="59"/>
      <c r="T726" s="57"/>
      <c r="U726" s="60"/>
      <c r="V726" s="59"/>
      <c r="W726" s="57"/>
      <c r="X726" s="57"/>
      <c r="Y726" s="57" t="s">
        <v>21</v>
      </c>
      <c r="Z726" s="57" t="s">
        <v>1234</v>
      </c>
      <c r="AA726" s="59">
        <v>50673</v>
      </c>
      <c r="AB726" s="57" t="s">
        <v>61</v>
      </c>
      <c r="AC726" s="60">
        <v>45877</v>
      </c>
      <c r="AD726" s="59">
        <v>50673</v>
      </c>
      <c r="AE726" s="57" t="s">
        <v>3462</v>
      </c>
      <c r="AF726" s="57" t="s">
        <v>3463</v>
      </c>
    </row>
    <row r="727" spans="1:32">
      <c r="A727" s="57">
        <v>726</v>
      </c>
      <c r="B727" s="58">
        <v>45951.719722222217</v>
      </c>
      <c r="C727" s="58">
        <v>45951.72142361111</v>
      </c>
      <c r="D727" s="57" t="s">
        <v>2263</v>
      </c>
      <c r="E727" s="57" t="s">
        <v>2264</v>
      </c>
      <c r="F727" s="58"/>
      <c r="G727" s="57" t="s">
        <v>694</v>
      </c>
      <c r="H727" s="59">
        <v>1</v>
      </c>
      <c r="I727" s="57"/>
      <c r="J727" s="57"/>
      <c r="K727" s="59"/>
      <c r="L727" s="57"/>
      <c r="M727" s="60"/>
      <c r="N727" s="59"/>
      <c r="O727" s="57"/>
      <c r="P727" s="57"/>
      <c r="Q727" s="57"/>
      <c r="R727" s="57"/>
      <c r="S727" s="59"/>
      <c r="T727" s="57"/>
      <c r="U727" s="60"/>
      <c r="V727" s="59"/>
      <c r="W727" s="57"/>
      <c r="X727" s="57"/>
      <c r="Y727" s="57" t="s">
        <v>21</v>
      </c>
      <c r="Z727" s="57" t="s">
        <v>874</v>
      </c>
      <c r="AA727" s="59">
        <v>50410</v>
      </c>
      <c r="AB727" s="57" t="s">
        <v>61</v>
      </c>
      <c r="AC727" s="60">
        <v>45833</v>
      </c>
      <c r="AD727" s="59">
        <v>50410</v>
      </c>
      <c r="AE727" s="57" t="s">
        <v>3464</v>
      </c>
      <c r="AF727" s="57" t="s">
        <v>3465</v>
      </c>
    </row>
    <row r="728" spans="1:32">
      <c r="A728" s="57">
        <v>727</v>
      </c>
      <c r="B728" s="58">
        <v>45951.641226851847</v>
      </c>
      <c r="C728" s="58">
        <v>45951.754826388889</v>
      </c>
      <c r="D728" s="57" t="s">
        <v>1607</v>
      </c>
      <c r="E728" s="57" t="s">
        <v>1608</v>
      </c>
      <c r="F728" s="58"/>
      <c r="G728" s="57" t="s">
        <v>682</v>
      </c>
      <c r="H728" s="59">
        <v>1</v>
      </c>
      <c r="I728" s="57"/>
      <c r="J728" s="57"/>
      <c r="K728" s="59"/>
      <c r="L728" s="57"/>
      <c r="M728" s="60"/>
      <c r="N728" s="59"/>
      <c r="O728" s="57"/>
      <c r="P728" s="57"/>
      <c r="Q728" s="57"/>
      <c r="R728" s="57"/>
      <c r="S728" s="59"/>
      <c r="T728" s="57"/>
      <c r="U728" s="60"/>
      <c r="V728" s="59"/>
      <c r="W728" s="57"/>
      <c r="X728" s="57"/>
      <c r="Y728" s="57" t="s">
        <v>21</v>
      </c>
      <c r="Z728" s="57" t="s">
        <v>398</v>
      </c>
      <c r="AA728" s="59">
        <v>1539</v>
      </c>
      <c r="AB728" s="57" t="s">
        <v>61</v>
      </c>
      <c r="AC728" s="60">
        <v>45911</v>
      </c>
      <c r="AD728" s="59">
        <v>1539</v>
      </c>
      <c r="AE728" s="57" t="s">
        <v>3466</v>
      </c>
      <c r="AF728" s="57" t="s">
        <v>3467</v>
      </c>
    </row>
    <row r="729" spans="1:32">
      <c r="A729" s="57">
        <v>728</v>
      </c>
      <c r="B729" s="58">
        <v>45951.840474537043</v>
      </c>
      <c r="C729" s="58">
        <v>45951.846655092602</v>
      </c>
      <c r="D729" s="57" t="s">
        <v>1795</v>
      </c>
      <c r="E729" s="57" t="s">
        <v>1796</v>
      </c>
      <c r="F729" s="58"/>
      <c r="G729" s="57" t="s">
        <v>632</v>
      </c>
      <c r="H729" s="59">
        <v>2</v>
      </c>
      <c r="I729" s="57"/>
      <c r="J729" s="57"/>
      <c r="K729" s="59"/>
      <c r="L729" s="57"/>
      <c r="M729" s="60"/>
      <c r="N729" s="59"/>
      <c r="O729" s="57"/>
      <c r="P729" s="57"/>
      <c r="Q729" s="57" t="s">
        <v>22</v>
      </c>
      <c r="R729" s="57" t="s">
        <v>1797</v>
      </c>
      <c r="S729" s="59">
        <v>33797</v>
      </c>
      <c r="T729" s="57" t="s">
        <v>61</v>
      </c>
      <c r="U729" s="60">
        <v>45888</v>
      </c>
      <c r="V729" s="59">
        <v>33797</v>
      </c>
      <c r="W729" s="57" t="s">
        <v>3468</v>
      </c>
      <c r="X729" s="57" t="s">
        <v>3469</v>
      </c>
      <c r="Y729" s="57" t="s">
        <v>21</v>
      </c>
      <c r="Z729" s="57" t="s">
        <v>321</v>
      </c>
      <c r="AA729" s="59">
        <v>2606</v>
      </c>
      <c r="AB729" s="57" t="s">
        <v>61</v>
      </c>
      <c r="AC729" s="60">
        <v>45890</v>
      </c>
      <c r="AD729" s="59">
        <v>2606</v>
      </c>
      <c r="AE729" s="57" t="s">
        <v>3470</v>
      </c>
      <c r="AF729" s="57" t="s">
        <v>3471</v>
      </c>
    </row>
    <row r="730" spans="1:32">
      <c r="A730" s="57">
        <v>729</v>
      </c>
      <c r="B730" s="58">
        <v>45952.306712962964</v>
      </c>
      <c r="C730" s="58">
        <v>45952.314398148148</v>
      </c>
      <c r="D730" s="57" t="s">
        <v>1780</v>
      </c>
      <c r="E730" s="57" t="s">
        <v>1781</v>
      </c>
      <c r="F730" s="58"/>
      <c r="G730" s="57" t="s">
        <v>599</v>
      </c>
      <c r="H730" s="59">
        <v>2</v>
      </c>
      <c r="I730" s="57"/>
      <c r="J730" s="57"/>
      <c r="K730" s="59"/>
      <c r="L730" s="57"/>
      <c r="M730" s="60"/>
      <c r="N730" s="59"/>
      <c r="O730" s="57"/>
      <c r="P730" s="57"/>
      <c r="Q730" s="57" t="s">
        <v>20</v>
      </c>
      <c r="R730" s="57" t="s">
        <v>275</v>
      </c>
      <c r="S730" s="59">
        <v>38027</v>
      </c>
      <c r="T730" s="57" t="s">
        <v>61</v>
      </c>
      <c r="U730" s="60">
        <v>45824</v>
      </c>
      <c r="V730" s="59">
        <v>38027</v>
      </c>
      <c r="W730" s="57" t="s">
        <v>3472</v>
      </c>
      <c r="X730" s="57" t="s">
        <v>3473</v>
      </c>
      <c r="Y730" s="57" t="s">
        <v>20</v>
      </c>
      <c r="Z730" s="57" t="s">
        <v>1782</v>
      </c>
      <c r="AA730" s="59">
        <v>56343</v>
      </c>
      <c r="AB730" s="57" t="s">
        <v>61</v>
      </c>
      <c r="AC730" s="60">
        <v>45918</v>
      </c>
      <c r="AD730" s="59">
        <v>56343</v>
      </c>
      <c r="AE730" s="57" t="s">
        <v>3474</v>
      </c>
      <c r="AF730" s="57" t="s">
        <v>3475</v>
      </c>
    </row>
    <row r="731" spans="1:32">
      <c r="A731" s="57">
        <v>730</v>
      </c>
      <c r="B731" s="58">
        <v>45952.317766203712</v>
      </c>
      <c r="C731" s="58">
        <v>45952.321967592587</v>
      </c>
      <c r="D731" s="57" t="s">
        <v>1414</v>
      </c>
      <c r="E731" s="57" t="s">
        <v>1415</v>
      </c>
      <c r="F731" s="58"/>
      <c r="G731" s="57" t="s">
        <v>578</v>
      </c>
      <c r="H731" s="59">
        <v>2</v>
      </c>
      <c r="I731" s="57"/>
      <c r="J731" s="57"/>
      <c r="K731" s="59"/>
      <c r="L731" s="57"/>
      <c r="M731" s="60"/>
      <c r="N731" s="59"/>
      <c r="O731" s="57"/>
      <c r="P731" s="57"/>
      <c r="Q731" s="57" t="s">
        <v>21</v>
      </c>
      <c r="R731" s="57" t="s">
        <v>1416</v>
      </c>
      <c r="S731" s="59">
        <v>32378</v>
      </c>
      <c r="T731" s="57" t="s">
        <v>61</v>
      </c>
      <c r="U731" s="60">
        <v>45917</v>
      </c>
      <c r="V731" s="59">
        <v>32378</v>
      </c>
      <c r="W731" s="57" t="s">
        <v>3476</v>
      </c>
      <c r="X731" s="57" t="s">
        <v>3477</v>
      </c>
      <c r="Y731" s="57" t="s">
        <v>21</v>
      </c>
      <c r="Z731" s="57" t="s">
        <v>250</v>
      </c>
      <c r="AA731" s="59">
        <v>12078</v>
      </c>
      <c r="AB731" s="57" t="s">
        <v>61</v>
      </c>
      <c r="AC731" s="60">
        <v>45896</v>
      </c>
      <c r="AD731" s="59">
        <v>12078</v>
      </c>
      <c r="AE731" s="57" t="s">
        <v>3478</v>
      </c>
      <c r="AF731" s="57" t="s">
        <v>3479</v>
      </c>
    </row>
    <row r="732" spans="1:32">
      <c r="A732" s="57">
        <v>731</v>
      </c>
      <c r="B732" s="58">
        <v>45952.312627314823</v>
      </c>
      <c r="C732" s="58">
        <v>45952.323020833333</v>
      </c>
      <c r="D732" s="57" t="s">
        <v>1456</v>
      </c>
      <c r="E732" s="57" t="s">
        <v>1457</v>
      </c>
      <c r="F732" s="58"/>
      <c r="G732" s="57" t="s">
        <v>547</v>
      </c>
      <c r="H732" s="59">
        <v>2</v>
      </c>
      <c r="I732" s="57"/>
      <c r="J732" s="57"/>
      <c r="K732" s="59"/>
      <c r="L732" s="57"/>
      <c r="M732" s="60"/>
      <c r="N732" s="59"/>
      <c r="O732" s="57"/>
      <c r="P732" s="57"/>
      <c r="Q732" s="57" t="s">
        <v>22</v>
      </c>
      <c r="R732" s="57" t="s">
        <v>225</v>
      </c>
      <c r="S732" s="59">
        <v>90150</v>
      </c>
      <c r="T732" s="57" t="s">
        <v>61</v>
      </c>
      <c r="U732" s="60">
        <v>45841</v>
      </c>
      <c r="V732" s="59">
        <v>90150</v>
      </c>
      <c r="W732" s="57" t="s">
        <v>3480</v>
      </c>
      <c r="X732" s="57" t="s">
        <v>3481</v>
      </c>
      <c r="Y732" s="57" t="s">
        <v>21</v>
      </c>
      <c r="Z732" s="57" t="s">
        <v>2120</v>
      </c>
      <c r="AA732" s="59">
        <v>66048</v>
      </c>
      <c r="AB732" s="57" t="s">
        <v>61</v>
      </c>
      <c r="AC732" s="60">
        <v>45895</v>
      </c>
      <c r="AD732" s="59">
        <v>66048</v>
      </c>
      <c r="AE732" s="57" t="s">
        <v>3482</v>
      </c>
      <c r="AF732" s="57" t="s">
        <v>3483</v>
      </c>
    </row>
    <row r="733" spans="1:32">
      <c r="A733" s="57">
        <v>732</v>
      </c>
      <c r="B733" s="58">
        <v>45952.332835648151</v>
      </c>
      <c r="C733" s="58">
        <v>45952.335798611108</v>
      </c>
      <c r="D733" s="57" t="s">
        <v>1767</v>
      </c>
      <c r="E733" s="57" t="s">
        <v>1768</v>
      </c>
      <c r="F733" s="58"/>
      <c r="G733" s="57" t="s">
        <v>541</v>
      </c>
      <c r="H733" s="59">
        <v>2</v>
      </c>
      <c r="I733" s="57"/>
      <c r="J733" s="57"/>
      <c r="K733" s="59"/>
      <c r="L733" s="57"/>
      <c r="M733" s="60"/>
      <c r="N733" s="59"/>
      <c r="O733" s="57"/>
      <c r="P733" s="57"/>
      <c r="Q733" s="57" t="s">
        <v>21</v>
      </c>
      <c r="R733" s="57" t="s">
        <v>323</v>
      </c>
      <c r="S733" s="59">
        <v>17506</v>
      </c>
      <c r="T733" s="57" t="s">
        <v>61</v>
      </c>
      <c r="U733" s="60">
        <v>45918</v>
      </c>
      <c r="V733" s="59">
        <v>17506</v>
      </c>
      <c r="W733" s="57" t="s">
        <v>3484</v>
      </c>
      <c r="X733" s="57" t="s">
        <v>3485</v>
      </c>
      <c r="Y733" s="57" t="s">
        <v>21</v>
      </c>
      <c r="Z733" s="57" t="s">
        <v>210</v>
      </c>
      <c r="AA733" s="59">
        <v>49233</v>
      </c>
      <c r="AB733" s="57" t="s">
        <v>61</v>
      </c>
      <c r="AC733" s="60">
        <v>45862</v>
      </c>
      <c r="AD733" s="59">
        <v>49233</v>
      </c>
      <c r="AE733" s="57" t="s">
        <v>3486</v>
      </c>
      <c r="AF733" s="57" t="s">
        <v>3487</v>
      </c>
    </row>
    <row r="734" spans="1:32">
      <c r="A734" s="57">
        <v>733</v>
      </c>
      <c r="B734" s="58">
        <v>45951.649178240739</v>
      </c>
      <c r="C734" s="58">
        <v>45952.339606481481</v>
      </c>
      <c r="D734" s="57" t="s">
        <v>1181</v>
      </c>
      <c r="E734" s="57" t="s">
        <v>1182</v>
      </c>
      <c r="F734" s="58"/>
      <c r="G734" s="57" t="s">
        <v>601</v>
      </c>
      <c r="H734" s="59">
        <v>2</v>
      </c>
      <c r="I734" s="57"/>
      <c r="J734" s="57"/>
      <c r="K734" s="59"/>
      <c r="L734" s="57"/>
      <c r="M734" s="60"/>
      <c r="N734" s="59"/>
      <c r="O734" s="57"/>
      <c r="P734" s="57"/>
      <c r="Q734" s="57" t="s">
        <v>22</v>
      </c>
      <c r="R734" s="57" t="s">
        <v>278</v>
      </c>
      <c r="S734" s="59">
        <v>16046</v>
      </c>
      <c r="T734" s="57" t="s">
        <v>61</v>
      </c>
      <c r="U734" s="60">
        <v>45862</v>
      </c>
      <c r="V734" s="59">
        <v>16046</v>
      </c>
      <c r="W734" s="57" t="s">
        <v>3488</v>
      </c>
      <c r="X734" s="57" t="s">
        <v>3489</v>
      </c>
      <c r="Y734" s="57" t="s">
        <v>21</v>
      </c>
      <c r="Z734" s="57" t="s">
        <v>328</v>
      </c>
      <c r="AA734" s="59">
        <v>3792</v>
      </c>
      <c r="AB734" s="57" t="s">
        <v>61</v>
      </c>
      <c r="AC734" s="60">
        <v>45842</v>
      </c>
      <c r="AD734" s="59">
        <v>3792</v>
      </c>
      <c r="AE734" s="57" t="s">
        <v>3490</v>
      </c>
      <c r="AF734" s="57" t="s">
        <v>3491</v>
      </c>
    </row>
    <row r="735" spans="1:32">
      <c r="A735" s="57">
        <v>734</v>
      </c>
      <c r="B735" s="58">
        <v>45952.339004629634</v>
      </c>
      <c r="C735" s="58">
        <v>45952.342557870368</v>
      </c>
      <c r="D735" s="57" t="s">
        <v>862</v>
      </c>
      <c r="E735" s="57" t="s">
        <v>863</v>
      </c>
      <c r="F735" s="58"/>
      <c r="G735" s="57" t="s">
        <v>568</v>
      </c>
      <c r="H735" s="59">
        <v>1</v>
      </c>
      <c r="I735" s="57"/>
      <c r="J735" s="57"/>
      <c r="K735" s="59"/>
      <c r="L735" s="57"/>
      <c r="M735" s="60"/>
      <c r="N735" s="59"/>
      <c r="O735" s="57"/>
      <c r="P735" s="57"/>
      <c r="Q735" s="57"/>
      <c r="R735" s="57"/>
      <c r="S735" s="59"/>
      <c r="T735" s="57"/>
      <c r="U735" s="60"/>
      <c r="V735" s="59"/>
      <c r="W735" s="57"/>
      <c r="X735" s="57"/>
      <c r="Y735" s="57" t="s">
        <v>20</v>
      </c>
      <c r="Z735" s="57" t="s">
        <v>240</v>
      </c>
      <c r="AA735" s="59">
        <v>35981</v>
      </c>
      <c r="AB735" s="57" t="s">
        <v>61</v>
      </c>
      <c r="AC735" s="60">
        <v>45923</v>
      </c>
      <c r="AD735" s="59">
        <v>35981</v>
      </c>
      <c r="AE735" s="57" t="s">
        <v>3492</v>
      </c>
      <c r="AF735" s="57" t="s">
        <v>3493</v>
      </c>
    </row>
    <row r="736" spans="1:32">
      <c r="A736" s="57">
        <v>735</v>
      </c>
      <c r="B736" s="58">
        <v>45952.292361111111</v>
      </c>
      <c r="C736" s="58">
        <v>45952.344328703701</v>
      </c>
      <c r="D736" s="57" t="s">
        <v>2619</v>
      </c>
      <c r="E736" s="57" t="s">
        <v>2620</v>
      </c>
      <c r="F736" s="58"/>
      <c r="G736" s="57" t="s">
        <v>550</v>
      </c>
      <c r="H736" s="59">
        <v>2</v>
      </c>
      <c r="I736" s="57"/>
      <c r="J736" s="57"/>
      <c r="K736" s="59"/>
      <c r="L736" s="57"/>
      <c r="M736" s="60"/>
      <c r="N736" s="59"/>
      <c r="O736" s="57"/>
      <c r="P736" s="57"/>
      <c r="Q736" s="57" t="s">
        <v>21</v>
      </c>
      <c r="R736" s="57" t="s">
        <v>335</v>
      </c>
      <c r="S736" s="59">
        <v>7717</v>
      </c>
      <c r="T736" s="57" t="s">
        <v>61</v>
      </c>
      <c r="U736" s="60">
        <v>45721</v>
      </c>
      <c r="V736" s="59">
        <v>7717</v>
      </c>
      <c r="W736" s="57" t="s">
        <v>3494</v>
      </c>
      <c r="X736" s="57" t="s">
        <v>3495</v>
      </c>
      <c r="Y736" s="57" t="s">
        <v>22</v>
      </c>
      <c r="Z736" s="57" t="s">
        <v>219</v>
      </c>
      <c r="AA736" s="59">
        <v>60576</v>
      </c>
      <c r="AB736" s="57" t="s">
        <v>61</v>
      </c>
      <c r="AC736" s="60">
        <v>45875</v>
      </c>
      <c r="AD736" s="59">
        <v>60576</v>
      </c>
      <c r="AE736" s="57" t="s">
        <v>3496</v>
      </c>
      <c r="AF736" s="57" t="s">
        <v>3497</v>
      </c>
    </row>
    <row r="737" spans="1:32">
      <c r="A737" s="57">
        <v>736</v>
      </c>
      <c r="B737" s="58">
        <v>45952.310914351852</v>
      </c>
      <c r="C737" s="58">
        <v>45952.349259259259</v>
      </c>
      <c r="D737" s="57" t="s">
        <v>3498</v>
      </c>
      <c r="E737" s="57" t="s">
        <v>3499</v>
      </c>
      <c r="F737" s="58"/>
      <c r="G737" s="57" t="s">
        <v>703</v>
      </c>
      <c r="H737" s="59">
        <v>1</v>
      </c>
      <c r="I737" s="57"/>
      <c r="J737" s="57"/>
      <c r="K737" s="59"/>
      <c r="L737" s="57"/>
      <c r="M737" s="60"/>
      <c r="N737" s="59"/>
      <c r="O737" s="57"/>
      <c r="P737" s="57"/>
      <c r="Q737" s="57"/>
      <c r="R737" s="57"/>
      <c r="S737" s="59"/>
      <c r="T737" s="57"/>
      <c r="U737" s="60"/>
      <c r="V737" s="59"/>
      <c r="W737" s="57"/>
      <c r="X737" s="57"/>
      <c r="Y737" s="57" t="s">
        <v>21</v>
      </c>
      <c r="Z737" s="57" t="s">
        <v>3500</v>
      </c>
      <c r="AA737" s="59">
        <v>57723</v>
      </c>
      <c r="AB737" s="57" t="s">
        <v>61</v>
      </c>
      <c r="AC737" s="60">
        <v>45762</v>
      </c>
      <c r="AD737" s="59">
        <v>57723</v>
      </c>
      <c r="AE737" s="57" t="s">
        <v>3501</v>
      </c>
      <c r="AF737" s="57" t="s">
        <v>3502</v>
      </c>
    </row>
    <row r="738" spans="1:32">
      <c r="A738" s="57">
        <v>737</v>
      </c>
      <c r="B738" s="58">
        <v>45952.337048611109</v>
      </c>
      <c r="C738" s="58">
        <v>45952.351747685178</v>
      </c>
      <c r="D738" s="57" t="s">
        <v>1193</v>
      </c>
      <c r="E738" s="57" t="s">
        <v>1194</v>
      </c>
      <c r="F738" s="58"/>
      <c r="G738" s="57" t="s">
        <v>656</v>
      </c>
      <c r="H738" s="59">
        <v>1</v>
      </c>
      <c r="I738" s="57"/>
      <c r="J738" s="57"/>
      <c r="K738" s="59"/>
      <c r="L738" s="57"/>
      <c r="M738" s="60"/>
      <c r="N738" s="59"/>
      <c r="O738" s="57"/>
      <c r="P738" s="57"/>
      <c r="Q738" s="57"/>
      <c r="R738" s="57"/>
      <c r="S738" s="59"/>
      <c r="T738" s="57"/>
      <c r="U738" s="60"/>
      <c r="V738" s="59"/>
      <c r="W738" s="57"/>
      <c r="X738" s="57"/>
      <c r="Y738" s="57" t="s">
        <v>20</v>
      </c>
      <c r="Z738" s="57" t="s">
        <v>1195</v>
      </c>
      <c r="AA738" s="59">
        <v>48332</v>
      </c>
      <c r="AB738" s="57" t="s">
        <v>61</v>
      </c>
      <c r="AC738" s="60">
        <v>45922</v>
      </c>
      <c r="AD738" s="59">
        <v>48332</v>
      </c>
      <c r="AE738" s="57" t="s">
        <v>3503</v>
      </c>
      <c r="AF738" s="57" t="s">
        <v>3504</v>
      </c>
    </row>
    <row r="739" spans="1:32">
      <c r="A739" s="57">
        <v>738</v>
      </c>
      <c r="B739" s="58">
        <v>45952.353831018518</v>
      </c>
      <c r="C739" s="58">
        <v>45952.364525462966</v>
      </c>
      <c r="D739" s="57" t="s">
        <v>2530</v>
      </c>
      <c r="E739" s="57" t="s">
        <v>2531</v>
      </c>
      <c r="F739" s="58"/>
      <c r="G739" s="57" t="s">
        <v>659</v>
      </c>
      <c r="H739" s="59">
        <v>1</v>
      </c>
      <c r="I739" s="57"/>
      <c r="J739" s="57"/>
      <c r="K739" s="59"/>
      <c r="L739" s="57"/>
      <c r="M739" s="60"/>
      <c r="N739" s="59"/>
      <c r="O739" s="57"/>
      <c r="P739" s="57"/>
      <c r="Q739" s="57"/>
      <c r="R739" s="57"/>
      <c r="S739" s="59"/>
      <c r="T739" s="57"/>
      <c r="U739" s="60"/>
      <c r="V739" s="59"/>
      <c r="W739" s="57"/>
      <c r="X739" s="57"/>
      <c r="Y739" s="57" t="s">
        <v>21</v>
      </c>
      <c r="Z739" s="57" t="s">
        <v>360</v>
      </c>
      <c r="AA739" s="59">
        <v>10746</v>
      </c>
      <c r="AB739" s="57" t="s">
        <v>61</v>
      </c>
      <c r="AC739" s="60">
        <v>45937</v>
      </c>
      <c r="AD739" s="59">
        <v>10746</v>
      </c>
      <c r="AE739" s="57" t="s">
        <v>3505</v>
      </c>
      <c r="AF739" s="57" t="s">
        <v>3506</v>
      </c>
    </row>
    <row r="740" spans="1:32">
      <c r="A740" s="57">
        <v>739</v>
      </c>
      <c r="B740" s="58">
        <v>45952.356435185182</v>
      </c>
      <c r="C740" s="58">
        <v>45952.364976851852</v>
      </c>
      <c r="D740" s="57" t="s">
        <v>1931</v>
      </c>
      <c r="E740" s="57" t="s">
        <v>1932</v>
      </c>
      <c r="F740" s="58"/>
      <c r="G740" s="57" t="s">
        <v>498</v>
      </c>
      <c r="H740" s="59">
        <v>1</v>
      </c>
      <c r="I740" s="57"/>
      <c r="J740" s="57"/>
      <c r="K740" s="59"/>
      <c r="L740" s="57"/>
      <c r="M740" s="60"/>
      <c r="N740" s="59"/>
      <c r="O740" s="57"/>
      <c r="P740" s="57"/>
      <c r="Q740" s="57"/>
      <c r="R740" s="57"/>
      <c r="S740" s="59"/>
      <c r="T740" s="57"/>
      <c r="U740" s="60"/>
      <c r="V740" s="59"/>
      <c r="W740" s="57"/>
      <c r="X740" s="57"/>
      <c r="Y740" s="57" t="s">
        <v>20</v>
      </c>
      <c r="Z740" s="57" t="s">
        <v>164</v>
      </c>
      <c r="AA740" s="59">
        <v>91341</v>
      </c>
      <c r="AB740" s="57" t="s">
        <v>61</v>
      </c>
      <c r="AC740" s="60">
        <v>45952</v>
      </c>
      <c r="AD740" s="59">
        <v>91341</v>
      </c>
      <c r="AE740" s="57" t="s">
        <v>3507</v>
      </c>
      <c r="AF740" s="57" t="s">
        <v>3508</v>
      </c>
    </row>
    <row r="741" spans="1:32">
      <c r="A741" s="57">
        <v>740</v>
      </c>
      <c r="B741" s="58">
        <v>45952.379618055558</v>
      </c>
      <c r="C741" s="58">
        <v>45952.382928240739</v>
      </c>
      <c r="D741" s="57" t="s">
        <v>1283</v>
      </c>
      <c r="E741" s="57" t="s">
        <v>1284</v>
      </c>
      <c r="F741" s="58"/>
      <c r="G741" s="57" t="s">
        <v>653</v>
      </c>
      <c r="H741" s="59">
        <v>2</v>
      </c>
      <c r="I741" s="57"/>
      <c r="J741" s="57"/>
      <c r="K741" s="59"/>
      <c r="L741" s="57"/>
      <c r="M741" s="60"/>
      <c r="N741" s="59"/>
      <c r="O741" s="57"/>
      <c r="P741" s="57"/>
      <c r="Q741" s="57" t="s">
        <v>22</v>
      </c>
      <c r="R741" s="57" t="s">
        <v>351</v>
      </c>
      <c r="S741" s="59">
        <v>16529</v>
      </c>
      <c r="T741" s="57" t="s">
        <v>61</v>
      </c>
      <c r="U741" s="60">
        <v>45833</v>
      </c>
      <c r="V741" s="59">
        <v>16529</v>
      </c>
      <c r="W741" s="57" t="s">
        <v>3509</v>
      </c>
      <c r="X741" s="57" t="s">
        <v>3510</v>
      </c>
      <c r="Y741" s="57" t="s">
        <v>21</v>
      </c>
      <c r="Z741" s="57" t="s">
        <v>375</v>
      </c>
      <c r="AA741" s="59">
        <v>7164</v>
      </c>
      <c r="AB741" s="57" t="s">
        <v>61</v>
      </c>
      <c r="AC741" s="60">
        <v>45871</v>
      </c>
      <c r="AD741" s="59">
        <v>7164</v>
      </c>
      <c r="AE741" s="57" t="s">
        <v>3511</v>
      </c>
      <c r="AF741" s="57" t="s">
        <v>3512</v>
      </c>
    </row>
    <row r="742" spans="1:32">
      <c r="A742" s="57">
        <v>741</v>
      </c>
      <c r="B742" s="58">
        <v>45952.378206018519</v>
      </c>
      <c r="C742" s="58">
        <v>45952.384062500001</v>
      </c>
      <c r="D742" s="57" t="s">
        <v>1187</v>
      </c>
      <c r="E742" s="57" t="s">
        <v>1188</v>
      </c>
      <c r="F742" s="58"/>
      <c r="G742" s="57" t="s">
        <v>490</v>
      </c>
      <c r="H742" s="59">
        <v>2</v>
      </c>
      <c r="I742" s="57"/>
      <c r="J742" s="57"/>
      <c r="K742" s="59"/>
      <c r="L742" s="57"/>
      <c r="M742" s="60"/>
      <c r="N742" s="59"/>
      <c r="O742" s="57"/>
      <c r="P742" s="57"/>
      <c r="Q742" s="57" t="s">
        <v>22</v>
      </c>
      <c r="R742" s="57" t="s">
        <v>277</v>
      </c>
      <c r="S742" s="59">
        <v>18755</v>
      </c>
      <c r="T742" s="57" t="s">
        <v>61</v>
      </c>
      <c r="U742" s="60">
        <v>45923</v>
      </c>
      <c r="V742" s="59">
        <v>18755</v>
      </c>
      <c r="W742" s="57" t="s">
        <v>3513</v>
      </c>
      <c r="X742" s="57" t="s">
        <v>3514</v>
      </c>
      <c r="Y742" s="57" t="s">
        <v>21</v>
      </c>
      <c r="Z742" s="57" t="s">
        <v>156</v>
      </c>
      <c r="AA742" s="59">
        <v>18001</v>
      </c>
      <c r="AB742" s="57" t="s">
        <v>61</v>
      </c>
      <c r="AC742" s="60">
        <v>45784</v>
      </c>
      <c r="AD742" s="59">
        <v>18001</v>
      </c>
      <c r="AE742" s="57" t="s">
        <v>3515</v>
      </c>
      <c r="AF742" s="57" t="s">
        <v>3516</v>
      </c>
    </row>
    <row r="743" spans="1:32">
      <c r="A743" s="57">
        <v>742</v>
      </c>
      <c r="B743" s="58">
        <v>45952.387719907398</v>
      </c>
      <c r="C743" s="58">
        <v>45952.391215277778</v>
      </c>
      <c r="D743" s="57" t="s">
        <v>990</v>
      </c>
      <c r="E743" s="57" t="s">
        <v>991</v>
      </c>
      <c r="F743" s="58"/>
      <c r="G743" s="57" t="s">
        <v>607</v>
      </c>
      <c r="H743" s="59">
        <v>1</v>
      </c>
      <c r="I743" s="57"/>
      <c r="J743" s="57"/>
      <c r="K743" s="59"/>
      <c r="L743" s="57"/>
      <c r="M743" s="60"/>
      <c r="N743" s="59"/>
      <c r="O743" s="57"/>
      <c r="P743" s="57"/>
      <c r="Q743" s="57"/>
      <c r="R743" s="57"/>
      <c r="S743" s="59"/>
      <c r="T743" s="57"/>
      <c r="U743" s="60"/>
      <c r="V743" s="59"/>
      <c r="W743" s="57"/>
      <c r="X743" s="57"/>
      <c r="Y743" s="57" t="s">
        <v>21</v>
      </c>
      <c r="Z743" s="57" t="s">
        <v>285</v>
      </c>
      <c r="AA743" s="59">
        <v>25463</v>
      </c>
      <c r="AB743" s="57" t="s">
        <v>61</v>
      </c>
      <c r="AC743" s="60">
        <v>45890</v>
      </c>
      <c r="AD743" s="59">
        <v>25463</v>
      </c>
      <c r="AE743" s="57" t="s">
        <v>3517</v>
      </c>
      <c r="AF743" s="57" t="s">
        <v>3518</v>
      </c>
    </row>
    <row r="744" spans="1:32">
      <c r="A744" s="57">
        <v>743</v>
      </c>
      <c r="B744" s="58">
        <v>45952.402662037042</v>
      </c>
      <c r="C744" s="58">
        <v>45952.408900462957</v>
      </c>
      <c r="D744" s="57" t="s">
        <v>1576</v>
      </c>
      <c r="E744" s="57" t="s">
        <v>1577</v>
      </c>
      <c r="F744" s="58"/>
      <c r="G744" s="57" t="s">
        <v>657</v>
      </c>
      <c r="H744" s="59">
        <v>2</v>
      </c>
      <c r="I744" s="57"/>
      <c r="J744" s="57"/>
      <c r="K744" s="59"/>
      <c r="L744" s="57"/>
      <c r="M744" s="60"/>
      <c r="N744" s="59"/>
      <c r="O744" s="57"/>
      <c r="P744" s="57"/>
      <c r="Q744" s="57" t="s">
        <v>22</v>
      </c>
      <c r="R744" s="57" t="s">
        <v>402</v>
      </c>
      <c r="S744" s="59">
        <v>2913</v>
      </c>
      <c r="T744" s="57" t="s">
        <v>61</v>
      </c>
      <c r="U744" s="60">
        <v>45920</v>
      </c>
      <c r="V744" s="59">
        <v>2913</v>
      </c>
      <c r="W744" s="57" t="s">
        <v>3519</v>
      </c>
      <c r="X744" s="57" t="s">
        <v>3520</v>
      </c>
      <c r="Y744" s="57" t="s">
        <v>21</v>
      </c>
      <c r="Z744" s="57" t="s">
        <v>358</v>
      </c>
      <c r="AA744" s="59">
        <v>4854</v>
      </c>
      <c r="AB744" s="57" t="s">
        <v>61</v>
      </c>
      <c r="AC744" s="60">
        <v>45930</v>
      </c>
      <c r="AD744" s="59">
        <v>4854</v>
      </c>
      <c r="AE744" s="57" t="s">
        <v>3521</v>
      </c>
      <c r="AF744" s="57" t="s">
        <v>3522</v>
      </c>
    </row>
    <row r="745" spans="1:32">
      <c r="A745" s="57">
        <v>744</v>
      </c>
      <c r="B745" s="58">
        <v>45952.419131944444</v>
      </c>
      <c r="C745" s="58">
        <v>45952.420798611107</v>
      </c>
      <c r="D745" s="57" t="s">
        <v>1173</v>
      </c>
      <c r="E745" s="57" t="s">
        <v>1174</v>
      </c>
      <c r="F745" s="58"/>
      <c r="G745" s="57" t="s">
        <v>593</v>
      </c>
      <c r="H745" s="59">
        <v>1</v>
      </c>
      <c r="I745" s="57"/>
      <c r="J745" s="57"/>
      <c r="K745" s="59"/>
      <c r="L745" s="57"/>
      <c r="M745" s="60"/>
      <c r="N745" s="59"/>
      <c r="O745" s="57"/>
      <c r="P745" s="57"/>
      <c r="Q745" s="57"/>
      <c r="R745" s="57"/>
      <c r="S745" s="59"/>
      <c r="T745" s="57"/>
      <c r="U745" s="60"/>
      <c r="V745" s="59"/>
      <c r="W745" s="57"/>
      <c r="X745" s="57"/>
      <c r="Y745" s="57" t="s">
        <v>21</v>
      </c>
      <c r="Z745" s="57" t="s">
        <v>269</v>
      </c>
      <c r="AA745" s="59">
        <v>20314</v>
      </c>
      <c r="AB745" s="57" t="s">
        <v>61</v>
      </c>
      <c r="AC745" s="60">
        <v>45861</v>
      </c>
      <c r="AD745" s="59">
        <v>20314</v>
      </c>
      <c r="AE745" s="57" t="s">
        <v>3523</v>
      </c>
      <c r="AF745" s="57" t="s">
        <v>3524</v>
      </c>
    </row>
    <row r="746" spans="1:32">
      <c r="A746" s="57">
        <v>745</v>
      </c>
      <c r="B746" s="58">
        <v>45952.440069444441</v>
      </c>
      <c r="C746" s="58">
        <v>45952.441944444443</v>
      </c>
      <c r="D746" s="57" t="s">
        <v>744</v>
      </c>
      <c r="E746" s="57" t="s">
        <v>745</v>
      </c>
      <c r="F746" s="58"/>
      <c r="G746" s="57" t="s">
        <v>572</v>
      </c>
      <c r="H746" s="59">
        <v>1</v>
      </c>
      <c r="I746" s="57"/>
      <c r="J746" s="57"/>
      <c r="K746" s="59"/>
      <c r="L746" s="57"/>
      <c r="M746" s="60"/>
      <c r="N746" s="59"/>
      <c r="O746" s="57"/>
      <c r="P746" s="57"/>
      <c r="Q746" s="57"/>
      <c r="R746" s="57"/>
      <c r="S746" s="59"/>
      <c r="T746" s="57"/>
      <c r="U746" s="60"/>
      <c r="V746" s="59"/>
      <c r="W746" s="57"/>
      <c r="X746" s="57"/>
      <c r="Y746" s="57" t="s">
        <v>21</v>
      </c>
      <c r="Z746" s="57" t="s">
        <v>244</v>
      </c>
      <c r="AA746" s="59">
        <v>19701</v>
      </c>
      <c r="AB746" s="57" t="s">
        <v>61</v>
      </c>
      <c r="AC746" s="60">
        <v>45841</v>
      </c>
      <c r="AD746" s="59">
        <v>19701</v>
      </c>
      <c r="AE746" s="57" t="s">
        <v>3525</v>
      </c>
      <c r="AF746" s="57" t="s">
        <v>3526</v>
      </c>
    </row>
    <row r="747" spans="1:32">
      <c r="A747" s="57">
        <v>746</v>
      </c>
      <c r="B747" s="58">
        <v>45952.440127314818</v>
      </c>
      <c r="C747" s="58">
        <v>45952.45113425926</v>
      </c>
      <c r="D747" s="57" t="s">
        <v>836</v>
      </c>
      <c r="E747" s="57" t="s">
        <v>837</v>
      </c>
      <c r="F747" s="58"/>
      <c r="G747" s="57" t="s">
        <v>614</v>
      </c>
      <c r="H747" s="59">
        <v>1</v>
      </c>
      <c r="I747" s="57"/>
      <c r="J747" s="57"/>
      <c r="K747" s="59"/>
      <c r="L747" s="57"/>
      <c r="M747" s="60"/>
      <c r="N747" s="59"/>
      <c r="O747" s="57"/>
      <c r="P747" s="57"/>
      <c r="Q747" s="57"/>
      <c r="R747" s="57"/>
      <c r="S747" s="59"/>
      <c r="T747" s="57"/>
      <c r="U747" s="60"/>
      <c r="V747" s="59"/>
      <c r="W747" s="57"/>
      <c r="X747" s="57"/>
      <c r="Y747" s="57" t="s">
        <v>21</v>
      </c>
      <c r="Z747" s="57" t="s">
        <v>294</v>
      </c>
      <c r="AA747" s="59">
        <v>15890</v>
      </c>
      <c r="AB747" s="57" t="s">
        <v>61</v>
      </c>
      <c r="AC747" s="60">
        <v>45783</v>
      </c>
      <c r="AD747" s="59">
        <v>15890</v>
      </c>
      <c r="AE747" s="57" t="s">
        <v>3527</v>
      </c>
      <c r="AF747" s="57" t="s">
        <v>3528</v>
      </c>
    </row>
    <row r="748" spans="1:32">
      <c r="A748" s="57">
        <v>747</v>
      </c>
      <c r="B748" s="58">
        <v>45952.505324074067</v>
      </c>
      <c r="C748" s="58">
        <v>45952.506666666668</v>
      </c>
      <c r="D748" s="57" t="s">
        <v>1644</v>
      </c>
      <c r="E748" s="57" t="s">
        <v>1645</v>
      </c>
      <c r="F748" s="58"/>
      <c r="G748" s="57" t="s">
        <v>649</v>
      </c>
      <c r="H748" s="59">
        <v>1</v>
      </c>
      <c r="I748" s="57"/>
      <c r="J748" s="57"/>
      <c r="K748" s="59"/>
      <c r="L748" s="57"/>
      <c r="M748" s="60"/>
      <c r="N748" s="59"/>
      <c r="O748" s="57"/>
      <c r="P748" s="57"/>
      <c r="Q748" s="57"/>
      <c r="R748" s="57"/>
      <c r="S748" s="59"/>
      <c r="T748" s="57"/>
      <c r="U748" s="60"/>
      <c r="V748" s="59"/>
      <c r="W748" s="57"/>
      <c r="X748" s="57"/>
      <c r="Y748" s="57" t="s">
        <v>21</v>
      </c>
      <c r="Z748" s="57" t="s">
        <v>345</v>
      </c>
      <c r="AA748" s="59">
        <v>863</v>
      </c>
      <c r="AB748" s="57" t="s">
        <v>61</v>
      </c>
      <c r="AC748" s="60">
        <v>45731</v>
      </c>
      <c r="AD748" s="59">
        <v>863</v>
      </c>
      <c r="AE748" s="57" t="s">
        <v>3529</v>
      </c>
      <c r="AF748" s="57" t="s">
        <v>3530</v>
      </c>
    </row>
    <row r="749" spans="1:32">
      <c r="A749" s="57">
        <v>748</v>
      </c>
      <c r="B749" s="58">
        <v>45952.552337962959</v>
      </c>
      <c r="C749" s="58">
        <v>45952.564421296287</v>
      </c>
      <c r="D749" s="57" t="s">
        <v>948</v>
      </c>
      <c r="E749" s="57" t="s">
        <v>949</v>
      </c>
      <c r="F749" s="58"/>
      <c r="G749" s="57" t="s">
        <v>517</v>
      </c>
      <c r="H749" s="59">
        <v>1</v>
      </c>
      <c r="I749" s="57"/>
      <c r="J749" s="57"/>
      <c r="K749" s="59"/>
      <c r="L749" s="57"/>
      <c r="M749" s="60"/>
      <c r="N749" s="59"/>
      <c r="O749" s="57"/>
      <c r="P749" s="57"/>
      <c r="Q749" s="57"/>
      <c r="R749" s="57"/>
      <c r="S749" s="59"/>
      <c r="T749" s="57"/>
      <c r="U749" s="60"/>
      <c r="V749" s="59"/>
      <c r="W749" s="57"/>
      <c r="X749" s="57"/>
      <c r="Y749" s="57" t="s">
        <v>21</v>
      </c>
      <c r="Z749" s="57" t="s">
        <v>184</v>
      </c>
      <c r="AA749" s="59">
        <v>54860</v>
      </c>
      <c r="AB749" s="57" t="s">
        <v>61</v>
      </c>
      <c r="AC749" s="60">
        <v>45944</v>
      </c>
      <c r="AD749" s="59">
        <v>54860</v>
      </c>
      <c r="AE749" s="57" t="s">
        <v>3531</v>
      </c>
      <c r="AF749" s="57" t="s">
        <v>3532</v>
      </c>
    </row>
    <row r="750" spans="1:32">
      <c r="A750" s="57">
        <v>749</v>
      </c>
      <c r="B750" s="58">
        <v>45952.566238425927</v>
      </c>
      <c r="C750" s="58">
        <v>45952.584826388891</v>
      </c>
      <c r="D750" s="57" t="s">
        <v>792</v>
      </c>
      <c r="E750" s="57" t="s">
        <v>793</v>
      </c>
      <c r="F750" s="58"/>
      <c r="G750" s="57" t="s">
        <v>555</v>
      </c>
      <c r="H750" s="59">
        <v>2</v>
      </c>
      <c r="I750" s="57"/>
      <c r="J750" s="57"/>
      <c r="K750" s="59"/>
      <c r="L750" s="57"/>
      <c r="M750" s="60"/>
      <c r="N750" s="59"/>
      <c r="O750" s="57"/>
      <c r="P750" s="57"/>
      <c r="Q750" s="57" t="s">
        <v>22</v>
      </c>
      <c r="R750" s="57" t="s">
        <v>224</v>
      </c>
      <c r="S750" s="59">
        <v>36519</v>
      </c>
      <c r="T750" s="57" t="s">
        <v>61</v>
      </c>
      <c r="U750" s="60">
        <v>45950</v>
      </c>
      <c r="V750" s="59">
        <v>36519</v>
      </c>
      <c r="W750" s="57" t="s">
        <v>3533</v>
      </c>
      <c r="X750" s="57" t="s">
        <v>3534</v>
      </c>
      <c r="Y750" s="57" t="s">
        <v>21</v>
      </c>
      <c r="Z750" s="57" t="s">
        <v>796</v>
      </c>
      <c r="AA750" s="59">
        <v>19149</v>
      </c>
      <c r="AB750" s="57" t="s">
        <v>61</v>
      </c>
      <c r="AC750" s="60">
        <v>45825</v>
      </c>
      <c r="AD750" s="59">
        <v>19149</v>
      </c>
      <c r="AE750" s="57" t="s">
        <v>3535</v>
      </c>
      <c r="AF750" s="57" t="s">
        <v>3536</v>
      </c>
    </row>
    <row r="751" spans="1:32">
      <c r="A751" s="57">
        <v>750</v>
      </c>
      <c r="B751" s="58">
        <v>45952.59652777778</v>
      </c>
      <c r="C751" s="58">
        <v>45952.61078703704</v>
      </c>
      <c r="D751" s="57" t="s">
        <v>1802</v>
      </c>
      <c r="E751" s="57" t="s">
        <v>1803</v>
      </c>
      <c r="F751" s="58"/>
      <c r="G751" s="57" t="s">
        <v>535</v>
      </c>
      <c r="H751" s="59">
        <v>2</v>
      </c>
      <c r="I751" s="57"/>
      <c r="J751" s="57"/>
      <c r="K751" s="59"/>
      <c r="L751" s="57"/>
      <c r="M751" s="60"/>
      <c r="N751" s="59"/>
      <c r="O751" s="57"/>
      <c r="P751" s="57"/>
      <c r="Q751" s="57" t="s">
        <v>22</v>
      </c>
      <c r="R751" s="57" t="s">
        <v>209</v>
      </c>
      <c r="S751" s="59">
        <v>74753</v>
      </c>
      <c r="T751" s="57" t="s">
        <v>61</v>
      </c>
      <c r="U751" s="60">
        <v>45945</v>
      </c>
      <c r="V751" s="59">
        <v>74753</v>
      </c>
      <c r="W751" s="57" t="s">
        <v>3537</v>
      </c>
      <c r="X751" s="57" t="s">
        <v>3538</v>
      </c>
      <c r="Y751" s="57" t="s">
        <v>20</v>
      </c>
      <c r="Z751" s="57" t="s">
        <v>203</v>
      </c>
      <c r="AA751" s="59">
        <v>22689</v>
      </c>
      <c r="AB751" s="57" t="s">
        <v>61</v>
      </c>
      <c r="AC751" s="60">
        <v>45945</v>
      </c>
      <c r="AD751" s="59">
        <v>22689</v>
      </c>
      <c r="AE751" s="57" t="s">
        <v>3539</v>
      </c>
      <c r="AF751" s="57" t="s">
        <v>3540</v>
      </c>
    </row>
    <row r="752" spans="1:32">
      <c r="A752" s="57">
        <v>751</v>
      </c>
      <c r="B752" s="58">
        <v>45952.618715277778</v>
      </c>
      <c r="C752" s="58">
        <v>45952.621192129627</v>
      </c>
      <c r="D752" s="57" t="s">
        <v>3541</v>
      </c>
      <c r="E752" s="57" t="s">
        <v>3542</v>
      </c>
      <c r="F752" s="58"/>
      <c r="G752" s="57" t="s">
        <v>631</v>
      </c>
      <c r="H752" s="59">
        <v>1</v>
      </c>
      <c r="I752" s="57"/>
      <c r="J752" s="57"/>
      <c r="K752" s="59"/>
      <c r="L752" s="57"/>
      <c r="M752" s="60"/>
      <c r="N752" s="59"/>
      <c r="O752" s="57"/>
      <c r="P752" s="57"/>
      <c r="Q752" s="57"/>
      <c r="R752" s="57"/>
      <c r="S752" s="59"/>
      <c r="T752" s="57"/>
      <c r="U752" s="60"/>
      <c r="V752" s="59"/>
      <c r="W752" s="57"/>
      <c r="X752" s="57"/>
      <c r="Y752" s="57" t="s">
        <v>21</v>
      </c>
      <c r="Z752" s="57" t="s">
        <v>319</v>
      </c>
      <c r="AA752" s="59">
        <v>8735</v>
      </c>
      <c r="AB752" s="57" t="s">
        <v>61</v>
      </c>
      <c r="AC752" s="60">
        <v>45831</v>
      </c>
      <c r="AD752" s="59">
        <v>8735</v>
      </c>
      <c r="AE752" s="57" t="s">
        <v>3543</v>
      </c>
      <c r="AF752" s="57" t="s">
        <v>3544</v>
      </c>
    </row>
    <row r="753" spans="1:32">
      <c r="A753" s="57">
        <v>752</v>
      </c>
      <c r="B753" s="58">
        <v>45952.627962962957</v>
      </c>
      <c r="C753" s="58">
        <v>45952.630590277768</v>
      </c>
      <c r="D753" s="57" t="s">
        <v>2467</v>
      </c>
      <c r="E753" s="57" t="s">
        <v>2468</v>
      </c>
      <c r="F753" s="58"/>
      <c r="G753" s="57" t="s">
        <v>650</v>
      </c>
      <c r="H753" s="59">
        <v>1</v>
      </c>
      <c r="I753" s="57"/>
      <c r="J753" s="57"/>
      <c r="K753" s="59"/>
      <c r="L753" s="57"/>
      <c r="M753" s="60"/>
      <c r="N753" s="59"/>
      <c r="O753" s="57"/>
      <c r="P753" s="57"/>
      <c r="Q753" s="57"/>
      <c r="R753" s="57"/>
      <c r="S753" s="59"/>
      <c r="T753" s="57"/>
      <c r="U753" s="60"/>
      <c r="V753" s="59"/>
      <c r="W753" s="57"/>
      <c r="X753" s="57"/>
      <c r="Y753" s="57" t="s">
        <v>21</v>
      </c>
      <c r="Z753" s="57" t="s">
        <v>347</v>
      </c>
      <c r="AA753" s="59">
        <v>8802</v>
      </c>
      <c r="AB753" s="57" t="s">
        <v>61</v>
      </c>
      <c r="AC753" s="60">
        <v>45916</v>
      </c>
      <c r="AD753" s="59">
        <v>8802</v>
      </c>
      <c r="AE753" s="57" t="s">
        <v>3545</v>
      </c>
      <c r="AF753" s="57" t="s">
        <v>3546</v>
      </c>
    </row>
    <row r="754" spans="1:32">
      <c r="A754" s="57">
        <v>753</v>
      </c>
      <c r="B754" s="58">
        <v>45952.638182870367</v>
      </c>
      <c r="C754" s="58">
        <v>45952.643634259257</v>
      </c>
      <c r="D754" s="57" t="s">
        <v>730</v>
      </c>
      <c r="E754" s="57" t="s">
        <v>731</v>
      </c>
      <c r="F754" s="58"/>
      <c r="G754" s="57" t="s">
        <v>604</v>
      </c>
      <c r="H754" s="59">
        <v>1</v>
      </c>
      <c r="I754" s="57"/>
      <c r="J754" s="57"/>
      <c r="K754" s="59"/>
      <c r="L754" s="57"/>
      <c r="M754" s="60"/>
      <c r="N754" s="59"/>
      <c r="O754" s="57"/>
      <c r="P754" s="57"/>
      <c r="Q754" s="57"/>
      <c r="R754" s="57"/>
      <c r="S754" s="59"/>
      <c r="T754" s="57"/>
      <c r="U754" s="60"/>
      <c r="V754" s="59"/>
      <c r="W754" s="57"/>
      <c r="X754" s="57"/>
      <c r="Y754" s="57" t="s">
        <v>20</v>
      </c>
      <c r="Z754" s="57" t="s">
        <v>282</v>
      </c>
      <c r="AA754" s="59">
        <v>33699</v>
      </c>
      <c r="AB754" s="57" t="s">
        <v>61</v>
      </c>
      <c r="AC754" s="60">
        <v>45910</v>
      </c>
      <c r="AD754" s="59">
        <v>33699</v>
      </c>
      <c r="AE754" s="57" t="s">
        <v>3547</v>
      </c>
      <c r="AF754" s="57" t="s">
        <v>3548</v>
      </c>
    </row>
    <row r="755" spans="1:32">
      <c r="A755" s="57">
        <v>754</v>
      </c>
      <c r="B755" s="58">
        <v>45952.717673611107</v>
      </c>
      <c r="C755" s="58">
        <v>45952.724027777767</v>
      </c>
      <c r="D755" s="57" t="s">
        <v>805</v>
      </c>
      <c r="E755" s="57" t="s">
        <v>806</v>
      </c>
      <c r="F755" s="58"/>
      <c r="G755" s="57" t="s">
        <v>481</v>
      </c>
      <c r="H755" s="59">
        <v>1</v>
      </c>
      <c r="I755" s="57"/>
      <c r="J755" s="57"/>
      <c r="K755" s="59"/>
      <c r="L755" s="57"/>
      <c r="M755" s="60"/>
      <c r="N755" s="59"/>
      <c r="O755" s="57"/>
      <c r="P755" s="57"/>
      <c r="Q755" s="57"/>
      <c r="R755" s="57"/>
      <c r="S755" s="59"/>
      <c r="T755" s="57"/>
      <c r="U755" s="60"/>
      <c r="V755" s="59"/>
      <c r="W755" s="57"/>
      <c r="X755" s="57"/>
      <c r="Y755" s="57" t="s">
        <v>21</v>
      </c>
      <c r="Z755" s="57" t="s">
        <v>147</v>
      </c>
      <c r="AA755" s="59">
        <v>39464</v>
      </c>
      <c r="AB755" s="57" t="s">
        <v>61</v>
      </c>
      <c r="AC755" s="60">
        <v>45820</v>
      </c>
      <c r="AD755" s="59">
        <v>39464</v>
      </c>
      <c r="AE755" s="57" t="s">
        <v>3549</v>
      </c>
      <c r="AF755" s="57" t="s">
        <v>3550</v>
      </c>
    </row>
    <row r="756" spans="1:32">
      <c r="A756" s="57">
        <v>755</v>
      </c>
      <c r="B756" s="58">
        <v>45953.347719907397</v>
      </c>
      <c r="C756" s="58">
        <v>45953.352951388893</v>
      </c>
      <c r="D756" s="57" t="s">
        <v>1760</v>
      </c>
      <c r="E756" s="57" t="s">
        <v>1761</v>
      </c>
      <c r="F756" s="58"/>
      <c r="G756" s="57" t="s">
        <v>488</v>
      </c>
      <c r="H756" s="59">
        <v>1</v>
      </c>
      <c r="I756" s="57"/>
      <c r="J756" s="57"/>
      <c r="K756" s="59"/>
      <c r="L756" s="57"/>
      <c r="M756" s="60"/>
      <c r="N756" s="59"/>
      <c r="O756" s="57"/>
      <c r="P756" s="57"/>
      <c r="Q756" s="57"/>
      <c r="R756" s="57"/>
      <c r="S756" s="59"/>
      <c r="T756" s="57"/>
      <c r="U756" s="60"/>
      <c r="V756" s="59"/>
      <c r="W756" s="57"/>
      <c r="X756" s="57"/>
      <c r="Y756" s="57" t="s">
        <v>21</v>
      </c>
      <c r="Z756" s="57" t="s">
        <v>154</v>
      </c>
      <c r="AA756" s="59">
        <v>39875</v>
      </c>
      <c r="AB756" s="57" t="s">
        <v>61</v>
      </c>
      <c r="AC756" s="60">
        <v>45820</v>
      </c>
      <c r="AD756" s="59">
        <v>39875</v>
      </c>
      <c r="AE756" s="57" t="s">
        <v>3551</v>
      </c>
      <c r="AF756" s="57" t="s">
        <v>3552</v>
      </c>
    </row>
    <row r="757" spans="1:32">
      <c r="A757" s="57">
        <v>756</v>
      </c>
      <c r="B757" s="58">
        <v>45953.349027777767</v>
      </c>
      <c r="C757" s="58">
        <v>45953.359930555547</v>
      </c>
      <c r="D757" s="57" t="s">
        <v>985</v>
      </c>
      <c r="E757" s="57" t="s">
        <v>986</v>
      </c>
      <c r="F757" s="58"/>
      <c r="G757" s="57" t="s">
        <v>715</v>
      </c>
      <c r="H757" s="59">
        <v>1</v>
      </c>
      <c r="I757" s="57"/>
      <c r="J757" s="57"/>
      <c r="K757" s="59"/>
      <c r="L757" s="57"/>
      <c r="M757" s="60"/>
      <c r="N757" s="59"/>
      <c r="O757" s="57"/>
      <c r="P757" s="57"/>
      <c r="Q757" s="57"/>
      <c r="R757" s="57"/>
      <c r="S757" s="59"/>
      <c r="T757" s="57"/>
      <c r="U757" s="60"/>
      <c r="V757" s="59"/>
      <c r="W757" s="57"/>
      <c r="X757" s="57"/>
      <c r="Y757" s="57" t="s">
        <v>21</v>
      </c>
      <c r="Z757" s="57" t="s">
        <v>987</v>
      </c>
      <c r="AA757" s="59">
        <v>27879</v>
      </c>
      <c r="AB757" s="57" t="s">
        <v>61</v>
      </c>
      <c r="AC757" s="60">
        <v>45831</v>
      </c>
      <c r="AD757" s="59">
        <v>27879</v>
      </c>
      <c r="AE757" s="57" t="s">
        <v>3553</v>
      </c>
      <c r="AF757" s="57" t="s">
        <v>3554</v>
      </c>
    </row>
    <row r="758" spans="1:32">
      <c r="A758" s="57">
        <v>757</v>
      </c>
      <c r="B758" s="58">
        <v>45953.39366898148</v>
      </c>
      <c r="C758" s="58">
        <v>45953.397974537038</v>
      </c>
      <c r="D758" s="57" t="s">
        <v>2635</v>
      </c>
      <c r="E758" s="57" t="s">
        <v>2636</v>
      </c>
      <c r="F758" s="58"/>
      <c r="G758" s="57" t="s">
        <v>492</v>
      </c>
      <c r="H758" s="59">
        <v>2</v>
      </c>
      <c r="I758" s="57"/>
      <c r="J758" s="57"/>
      <c r="K758" s="59"/>
      <c r="L758" s="57"/>
      <c r="M758" s="60"/>
      <c r="N758" s="59"/>
      <c r="O758" s="57"/>
      <c r="P758" s="57"/>
      <c r="Q758" s="57" t="s">
        <v>22</v>
      </c>
      <c r="R758" s="57" t="s">
        <v>223</v>
      </c>
      <c r="S758" s="59">
        <v>103206</v>
      </c>
      <c r="T758" s="57" t="s">
        <v>61</v>
      </c>
      <c r="U758" s="60">
        <v>45944</v>
      </c>
      <c r="V758" s="59">
        <v>103206</v>
      </c>
      <c r="W758" s="57" t="s">
        <v>3555</v>
      </c>
      <c r="X758" s="57" t="s">
        <v>3556</v>
      </c>
      <c r="Y758" s="57" t="s">
        <v>21</v>
      </c>
      <c r="Z758" s="57" t="s">
        <v>158</v>
      </c>
      <c r="AA758" s="59">
        <v>56137</v>
      </c>
      <c r="AB758" s="57" t="s">
        <v>61</v>
      </c>
      <c r="AC758" s="60">
        <v>45875</v>
      </c>
      <c r="AD758" s="59">
        <v>56137</v>
      </c>
      <c r="AE758" s="57" t="s">
        <v>3557</v>
      </c>
      <c r="AF758" s="57" t="s">
        <v>3558</v>
      </c>
    </row>
    <row r="759" spans="1:32">
      <c r="A759" s="57">
        <v>758</v>
      </c>
      <c r="B759" s="58">
        <v>45953.396296296298</v>
      </c>
      <c r="C759" s="58">
        <v>45953.403634259259</v>
      </c>
      <c r="D759" s="57" t="s">
        <v>1661</v>
      </c>
      <c r="E759" s="57" t="s">
        <v>1662</v>
      </c>
      <c r="F759" s="58"/>
      <c r="G759" s="57" t="s">
        <v>591</v>
      </c>
      <c r="H759" s="59">
        <v>2</v>
      </c>
      <c r="I759" s="57"/>
      <c r="J759" s="57"/>
      <c r="K759" s="59"/>
      <c r="L759" s="57"/>
      <c r="M759" s="60"/>
      <c r="N759" s="59"/>
      <c r="O759" s="57"/>
      <c r="P759" s="57"/>
      <c r="Q759" s="57" t="s">
        <v>20</v>
      </c>
      <c r="R759" s="57" t="s">
        <v>266</v>
      </c>
      <c r="S759" s="59">
        <v>34323</v>
      </c>
      <c r="T759" s="57" t="s">
        <v>61</v>
      </c>
      <c r="U759" s="60">
        <v>45793</v>
      </c>
      <c r="V759" s="59">
        <v>34323</v>
      </c>
      <c r="W759" s="57" t="s">
        <v>3559</v>
      </c>
      <c r="X759" s="57" t="s">
        <v>3560</v>
      </c>
      <c r="Y759" s="57" t="s">
        <v>20</v>
      </c>
      <c r="Z759" s="57" t="s">
        <v>1665</v>
      </c>
      <c r="AA759" s="59">
        <v>58642</v>
      </c>
      <c r="AB759" s="57" t="s">
        <v>61</v>
      </c>
      <c r="AC759" s="60">
        <v>45793</v>
      </c>
      <c r="AD759" s="59">
        <v>58642</v>
      </c>
      <c r="AE759" s="57" t="s">
        <v>3561</v>
      </c>
      <c r="AF759" s="57" t="s">
        <v>3562</v>
      </c>
    </row>
    <row r="760" spans="1:32">
      <c r="A760" s="57">
        <v>759</v>
      </c>
      <c r="B760" s="58">
        <v>45953.40042824074</v>
      </c>
      <c r="C760" s="58">
        <v>45953.405648148153</v>
      </c>
      <c r="D760" s="57" t="s">
        <v>909</v>
      </c>
      <c r="E760" s="57" t="s">
        <v>910</v>
      </c>
      <c r="F760" s="58"/>
      <c r="G760" s="57" t="s">
        <v>712</v>
      </c>
      <c r="H760" s="59">
        <v>1</v>
      </c>
      <c r="I760" s="57"/>
      <c r="J760" s="57"/>
      <c r="K760" s="59"/>
      <c r="L760" s="57"/>
      <c r="M760" s="60"/>
      <c r="N760" s="59"/>
      <c r="O760" s="57"/>
      <c r="P760" s="57"/>
      <c r="Q760" s="57"/>
      <c r="R760" s="57"/>
      <c r="S760" s="59"/>
      <c r="T760" s="57"/>
      <c r="U760" s="60"/>
      <c r="V760" s="59"/>
      <c r="W760" s="57"/>
      <c r="X760" s="57"/>
      <c r="Y760" s="57" t="s">
        <v>21</v>
      </c>
      <c r="Z760" s="57" t="s">
        <v>911</v>
      </c>
      <c r="AA760" s="59">
        <v>57051</v>
      </c>
      <c r="AB760" s="57" t="s">
        <v>61</v>
      </c>
      <c r="AC760" s="60">
        <v>45885</v>
      </c>
      <c r="AD760" s="59">
        <v>57051</v>
      </c>
      <c r="AE760" s="57" t="s">
        <v>3563</v>
      </c>
      <c r="AF760" s="57" t="s">
        <v>3564</v>
      </c>
    </row>
    <row r="761" spans="1:32">
      <c r="A761" s="57">
        <v>760</v>
      </c>
      <c r="B761" s="58">
        <v>45953.40730324074</v>
      </c>
      <c r="C761" s="58">
        <v>45953.407569444447</v>
      </c>
      <c r="D761" s="57" t="s">
        <v>1678</v>
      </c>
      <c r="E761" s="57" t="s">
        <v>1679</v>
      </c>
      <c r="F761" s="58"/>
      <c r="G761" s="57" t="s">
        <v>522</v>
      </c>
      <c r="H761" s="59">
        <v>1</v>
      </c>
      <c r="I761" s="57"/>
      <c r="J761" s="57"/>
      <c r="K761" s="59"/>
      <c r="L761" s="57"/>
      <c r="M761" s="60"/>
      <c r="N761" s="59"/>
      <c r="O761" s="57"/>
      <c r="P761" s="57"/>
      <c r="Q761" s="57"/>
      <c r="R761" s="57"/>
      <c r="S761" s="59"/>
      <c r="T761" s="57"/>
      <c r="U761" s="60"/>
      <c r="V761" s="59"/>
      <c r="W761" s="57"/>
      <c r="X761" s="57"/>
      <c r="Y761" s="57" t="s">
        <v>20</v>
      </c>
      <c r="Z761" s="57" t="s">
        <v>189</v>
      </c>
      <c r="AA761" s="59">
        <v>25394</v>
      </c>
      <c r="AB761" s="57" t="s">
        <v>61</v>
      </c>
      <c r="AC761" s="60">
        <v>45939</v>
      </c>
      <c r="AD761" s="59">
        <v>25394</v>
      </c>
      <c r="AE761" s="57" t="s">
        <v>3565</v>
      </c>
      <c r="AF761" s="57" t="s">
        <v>3566</v>
      </c>
    </row>
    <row r="762" spans="1:32">
      <c r="A762" s="57">
        <v>761</v>
      </c>
      <c r="B762" s="58">
        <v>45953.484722222223</v>
      </c>
      <c r="C762" s="58">
        <v>45953.486018518517</v>
      </c>
      <c r="D762" s="57" t="s">
        <v>893</v>
      </c>
      <c r="E762" s="57" t="s">
        <v>894</v>
      </c>
      <c r="F762" s="58"/>
      <c r="G762" s="57" t="s">
        <v>508</v>
      </c>
      <c r="H762" s="59">
        <v>1</v>
      </c>
      <c r="I762" s="57"/>
      <c r="J762" s="57"/>
      <c r="K762" s="59"/>
      <c r="L762" s="57"/>
      <c r="M762" s="60"/>
      <c r="N762" s="59"/>
      <c r="O762" s="57"/>
      <c r="P762" s="57"/>
      <c r="Q762" s="57"/>
      <c r="R762" s="57"/>
      <c r="S762" s="59"/>
      <c r="T762" s="57"/>
      <c r="U762" s="60"/>
      <c r="V762" s="59"/>
      <c r="W762" s="57"/>
      <c r="X762" s="57"/>
      <c r="Y762" s="57" t="s">
        <v>20</v>
      </c>
      <c r="Z762" s="57" t="s">
        <v>174</v>
      </c>
      <c r="AA762" s="59">
        <v>47637</v>
      </c>
      <c r="AB762" s="57" t="s">
        <v>61</v>
      </c>
      <c r="AC762" s="60">
        <v>45904</v>
      </c>
      <c r="AD762" s="59">
        <v>47637</v>
      </c>
      <c r="AE762" s="57" t="s">
        <v>3567</v>
      </c>
      <c r="AF762" s="57" t="s">
        <v>3568</v>
      </c>
    </row>
    <row r="763" spans="1:32">
      <c r="A763" s="57">
        <v>762</v>
      </c>
      <c r="B763" s="58">
        <v>45953.556041666663</v>
      </c>
      <c r="C763" s="58">
        <v>45953.560335648152</v>
      </c>
      <c r="D763" s="57" t="s">
        <v>1155</v>
      </c>
      <c r="E763" s="57" t="s">
        <v>1156</v>
      </c>
      <c r="F763" s="58"/>
      <c r="G763" s="57" t="s">
        <v>521</v>
      </c>
      <c r="H763" s="59">
        <v>1</v>
      </c>
      <c r="I763" s="57"/>
      <c r="J763" s="57"/>
      <c r="K763" s="59"/>
      <c r="L763" s="57"/>
      <c r="M763" s="60"/>
      <c r="N763" s="59"/>
      <c r="O763" s="57"/>
      <c r="P763" s="57"/>
      <c r="Q763" s="57"/>
      <c r="R763" s="57"/>
      <c r="S763" s="59"/>
      <c r="T763" s="57"/>
      <c r="U763" s="60"/>
      <c r="V763" s="59"/>
      <c r="W763" s="57"/>
      <c r="X763" s="57"/>
      <c r="Y763" s="57" t="s">
        <v>21</v>
      </c>
      <c r="Z763" s="57" t="s">
        <v>188</v>
      </c>
      <c r="AA763" s="59">
        <v>55408</v>
      </c>
      <c r="AB763" s="57" t="s">
        <v>61</v>
      </c>
      <c r="AC763" s="60">
        <v>45934</v>
      </c>
      <c r="AD763" s="59">
        <v>55408</v>
      </c>
      <c r="AE763" s="57" t="s">
        <v>3569</v>
      </c>
      <c r="AF763" s="57" t="s">
        <v>3570</v>
      </c>
    </row>
    <row r="764" spans="1:32">
      <c r="A764" s="57">
        <v>763</v>
      </c>
      <c r="B764" s="58">
        <v>45953.561886574083</v>
      </c>
      <c r="C764" s="58">
        <v>45953.564953703702</v>
      </c>
      <c r="D764" s="57" t="s">
        <v>1375</v>
      </c>
      <c r="E764" s="57" t="s">
        <v>1376</v>
      </c>
      <c r="F764" s="58"/>
      <c r="G764" s="57" t="s">
        <v>681</v>
      </c>
      <c r="H764" s="59">
        <v>1</v>
      </c>
      <c r="I764" s="57"/>
      <c r="J764" s="57"/>
      <c r="K764" s="59"/>
      <c r="L764" s="57"/>
      <c r="M764" s="60"/>
      <c r="N764" s="59"/>
      <c r="O764" s="57"/>
      <c r="P764" s="57"/>
      <c r="Q764" s="57"/>
      <c r="R764" s="57"/>
      <c r="S764" s="59"/>
      <c r="T764" s="57"/>
      <c r="U764" s="60"/>
      <c r="V764" s="59"/>
      <c r="W764" s="57"/>
      <c r="X764" s="57"/>
      <c r="Y764" s="57" t="s">
        <v>21</v>
      </c>
      <c r="Z764" s="57" t="s">
        <v>396</v>
      </c>
      <c r="AA764" s="59">
        <v>7468</v>
      </c>
      <c r="AB764" s="57" t="s">
        <v>61</v>
      </c>
      <c r="AC764" s="60">
        <v>45952</v>
      </c>
      <c r="AD764" s="59">
        <v>7468</v>
      </c>
      <c r="AE764" s="57" t="s">
        <v>3571</v>
      </c>
      <c r="AF764" s="57" t="s">
        <v>3572</v>
      </c>
    </row>
    <row r="765" spans="1:32">
      <c r="A765" s="57">
        <v>764</v>
      </c>
      <c r="B765" s="58">
        <v>45953.564710648148</v>
      </c>
      <c r="C765" s="58">
        <v>45953.565578703703</v>
      </c>
      <c r="D765" s="57" t="s">
        <v>3573</v>
      </c>
      <c r="E765" s="57" t="s">
        <v>3574</v>
      </c>
      <c r="F765" s="58"/>
      <c r="G765" s="57" t="s">
        <v>587</v>
      </c>
      <c r="H765" s="59">
        <v>1</v>
      </c>
      <c r="I765" s="57"/>
      <c r="J765" s="57"/>
      <c r="K765" s="59"/>
      <c r="L765" s="57"/>
      <c r="M765" s="60"/>
      <c r="N765" s="59"/>
      <c r="O765" s="57"/>
      <c r="P765" s="57"/>
      <c r="Q765" s="57"/>
      <c r="R765" s="57"/>
      <c r="S765" s="59"/>
      <c r="T765" s="57"/>
      <c r="U765" s="60"/>
      <c r="V765" s="59"/>
      <c r="W765" s="57"/>
      <c r="X765" s="57"/>
      <c r="Y765" s="57" t="s">
        <v>21</v>
      </c>
      <c r="Z765" s="57" t="s">
        <v>261</v>
      </c>
      <c r="AA765" s="59">
        <v>31866</v>
      </c>
      <c r="AB765" s="57" t="s">
        <v>61</v>
      </c>
      <c r="AC765" s="60">
        <v>45845</v>
      </c>
      <c r="AD765" s="59">
        <v>31866</v>
      </c>
      <c r="AE765" s="57" t="s">
        <v>3575</v>
      </c>
      <c r="AF765" s="57" t="s">
        <v>3576</v>
      </c>
    </row>
    <row r="766" spans="1:32">
      <c r="A766" s="57">
        <v>765</v>
      </c>
      <c r="B766" s="58">
        <v>45953.580717592587</v>
      </c>
      <c r="C766" s="58">
        <v>45953.583379629628</v>
      </c>
      <c r="D766" s="57" t="s">
        <v>1542</v>
      </c>
      <c r="E766" s="57" t="s">
        <v>1543</v>
      </c>
      <c r="F766" s="58"/>
      <c r="G766" s="57" t="s">
        <v>678</v>
      </c>
      <c r="H766" s="59">
        <v>2</v>
      </c>
      <c r="I766" s="57"/>
      <c r="J766" s="57"/>
      <c r="K766" s="59"/>
      <c r="L766" s="57"/>
      <c r="M766" s="60"/>
      <c r="N766" s="59"/>
      <c r="O766" s="57"/>
      <c r="P766" s="57"/>
      <c r="Q766" s="57" t="s">
        <v>20</v>
      </c>
      <c r="R766" s="57" t="s">
        <v>392</v>
      </c>
      <c r="S766" s="59">
        <v>2940</v>
      </c>
      <c r="T766" s="57" t="s">
        <v>61</v>
      </c>
      <c r="U766" s="60">
        <v>45884</v>
      </c>
      <c r="V766" s="59">
        <v>2940</v>
      </c>
      <c r="W766" s="57" t="s">
        <v>3577</v>
      </c>
      <c r="X766" s="57" t="s">
        <v>3578</v>
      </c>
      <c r="Y766" s="57" t="s">
        <v>20</v>
      </c>
      <c r="Z766" s="57" t="s">
        <v>1544</v>
      </c>
      <c r="AA766" s="59">
        <v>32191</v>
      </c>
      <c r="AB766" s="57" t="s">
        <v>61</v>
      </c>
      <c r="AC766" s="60">
        <v>45861</v>
      </c>
      <c r="AD766" s="59">
        <v>32191</v>
      </c>
      <c r="AE766" s="57" t="s">
        <v>3579</v>
      </c>
      <c r="AF766" s="57" t="s">
        <v>3580</v>
      </c>
    </row>
    <row r="767" spans="1:32">
      <c r="A767" s="57">
        <v>766</v>
      </c>
      <c r="B767" s="58">
        <v>45953.551678240743</v>
      </c>
      <c r="C767" s="58">
        <v>45953.586886574078</v>
      </c>
      <c r="D767" s="57" t="s">
        <v>930</v>
      </c>
      <c r="E767" s="57" t="s">
        <v>931</v>
      </c>
      <c r="F767" s="58"/>
      <c r="G767" s="57" t="s">
        <v>562</v>
      </c>
      <c r="H767" s="59">
        <v>2</v>
      </c>
      <c r="I767" s="57"/>
      <c r="J767" s="57"/>
      <c r="K767" s="59"/>
      <c r="L767" s="57"/>
      <c r="M767" s="60"/>
      <c r="N767" s="59"/>
      <c r="O767" s="57"/>
      <c r="P767" s="57"/>
      <c r="Q767" s="57" t="s">
        <v>22</v>
      </c>
      <c r="R767" s="57" t="s">
        <v>232</v>
      </c>
      <c r="S767" s="59">
        <v>87799</v>
      </c>
      <c r="T767" s="57" t="s">
        <v>61</v>
      </c>
      <c r="U767" s="60">
        <v>45932</v>
      </c>
      <c r="V767" s="59">
        <v>87799</v>
      </c>
      <c r="W767" s="57" t="s">
        <v>3581</v>
      </c>
      <c r="X767" s="57" t="s">
        <v>3582</v>
      </c>
      <c r="Y767" s="57" t="s">
        <v>20</v>
      </c>
      <c r="Z767" s="57" t="s">
        <v>320</v>
      </c>
      <c r="AA767" s="59">
        <v>16880</v>
      </c>
      <c r="AB767" s="57" t="s">
        <v>61</v>
      </c>
      <c r="AC767" s="60">
        <v>45847</v>
      </c>
      <c r="AD767" s="59">
        <v>16880</v>
      </c>
      <c r="AE767" s="57" t="s">
        <v>3583</v>
      </c>
      <c r="AF767" s="57" t="s">
        <v>3584</v>
      </c>
    </row>
    <row r="768" spans="1:32">
      <c r="A768" s="57">
        <v>767</v>
      </c>
      <c r="B768" s="58">
        <v>45953.587430555563</v>
      </c>
      <c r="C768" s="58">
        <v>45953.588703703703</v>
      </c>
      <c r="D768" s="57" t="s">
        <v>1603</v>
      </c>
      <c r="E768" s="57" t="s">
        <v>1604</v>
      </c>
      <c r="F768" s="58"/>
      <c r="G768" s="57" t="s">
        <v>538</v>
      </c>
      <c r="H768" s="59">
        <v>1</v>
      </c>
      <c r="I768" s="57"/>
      <c r="J768" s="57"/>
      <c r="K768" s="59"/>
      <c r="L768" s="57"/>
      <c r="M768" s="60"/>
      <c r="N768" s="59"/>
      <c r="O768" s="57"/>
      <c r="P768" s="57"/>
      <c r="Q768" s="57"/>
      <c r="R768" s="57"/>
      <c r="S768" s="59"/>
      <c r="T768" s="57"/>
      <c r="U768" s="60"/>
      <c r="V768" s="59"/>
      <c r="W768" s="57"/>
      <c r="X768" s="57"/>
      <c r="Y768" s="57" t="s">
        <v>21</v>
      </c>
      <c r="Z768" s="57" t="s">
        <v>206</v>
      </c>
      <c r="AA768" s="59">
        <v>47767</v>
      </c>
      <c r="AB768" s="57" t="s">
        <v>61</v>
      </c>
      <c r="AC768" s="60">
        <v>45912</v>
      </c>
      <c r="AD768" s="59">
        <v>47767</v>
      </c>
      <c r="AE768" s="57" t="s">
        <v>3585</v>
      </c>
      <c r="AF768" s="57" t="s">
        <v>3586</v>
      </c>
    </row>
    <row r="769" spans="1:32">
      <c r="A769" s="57">
        <v>768</v>
      </c>
      <c r="B769" s="58">
        <v>45953.591516203713</v>
      </c>
      <c r="C769" s="58">
        <v>45953.594224537039</v>
      </c>
      <c r="D769" s="57" t="s">
        <v>1084</v>
      </c>
      <c r="E769" s="57" t="s">
        <v>1085</v>
      </c>
      <c r="F769" s="58"/>
      <c r="G769" s="57" t="s">
        <v>532</v>
      </c>
      <c r="H769" s="59">
        <v>2</v>
      </c>
      <c r="I769" s="57"/>
      <c r="J769" s="57"/>
      <c r="K769" s="59"/>
      <c r="L769" s="57"/>
      <c r="M769" s="60"/>
      <c r="N769" s="59"/>
      <c r="O769" s="57"/>
      <c r="P769" s="57"/>
      <c r="Q769" s="57" t="s">
        <v>22</v>
      </c>
      <c r="R769" s="57" t="s">
        <v>200</v>
      </c>
      <c r="S769" s="59">
        <v>100226</v>
      </c>
      <c r="T769" s="57" t="s">
        <v>61</v>
      </c>
      <c r="U769" s="60">
        <v>45938</v>
      </c>
      <c r="V769" s="59">
        <v>100226</v>
      </c>
      <c r="W769" s="57" t="s">
        <v>3587</v>
      </c>
      <c r="X769" s="57" t="s">
        <v>3588</v>
      </c>
      <c r="Y769" s="57" t="s">
        <v>21</v>
      </c>
      <c r="Z769" s="57" t="s">
        <v>379</v>
      </c>
      <c r="AA769" s="59">
        <v>6633</v>
      </c>
      <c r="AB769" s="57" t="s">
        <v>61</v>
      </c>
      <c r="AC769" s="60">
        <v>45838</v>
      </c>
      <c r="AD769" s="59">
        <v>6633</v>
      </c>
      <c r="AE769" s="57" t="s">
        <v>3589</v>
      </c>
      <c r="AF769" s="57" t="s">
        <v>3590</v>
      </c>
    </row>
    <row r="770" spans="1:32">
      <c r="A770" s="57">
        <v>769</v>
      </c>
      <c r="B770" s="58">
        <v>45953.595752314817</v>
      </c>
      <c r="C770" s="58">
        <v>45953.596064814818</v>
      </c>
      <c r="D770" s="57" t="s">
        <v>1337</v>
      </c>
      <c r="E770" s="57" t="s">
        <v>1338</v>
      </c>
      <c r="F770" s="58"/>
      <c r="G770" s="57" t="s">
        <v>710</v>
      </c>
      <c r="H770" s="59">
        <v>1</v>
      </c>
      <c r="I770" s="57"/>
      <c r="J770" s="57"/>
      <c r="K770" s="59"/>
      <c r="L770" s="57"/>
      <c r="M770" s="60"/>
      <c r="N770" s="59"/>
      <c r="O770" s="57"/>
      <c r="P770" s="57"/>
      <c r="Q770" s="57"/>
      <c r="R770" s="57"/>
      <c r="S770" s="59"/>
      <c r="T770" s="57"/>
      <c r="U770" s="60"/>
      <c r="V770" s="59"/>
      <c r="W770" s="57"/>
      <c r="X770" s="57"/>
      <c r="Y770" s="57" t="s">
        <v>21</v>
      </c>
      <c r="Z770" s="57" t="s">
        <v>1339</v>
      </c>
      <c r="AA770" s="59">
        <v>39377</v>
      </c>
      <c r="AB770" s="57" t="s">
        <v>61</v>
      </c>
      <c r="AC770" s="60">
        <v>45953</v>
      </c>
      <c r="AD770" s="59">
        <v>39377</v>
      </c>
      <c r="AE770" s="57" t="s">
        <v>3591</v>
      </c>
      <c r="AF770" s="57" t="s">
        <v>3592</v>
      </c>
    </row>
    <row r="771" spans="1:32">
      <c r="A771" s="57">
        <v>770</v>
      </c>
      <c r="B771" s="58">
        <v>45953.596539351849</v>
      </c>
      <c r="C771" s="58">
        <v>45953.603703703702</v>
      </c>
      <c r="D771" s="57" t="s">
        <v>918</v>
      </c>
      <c r="E771" s="57" t="s">
        <v>919</v>
      </c>
      <c r="F771" s="58"/>
      <c r="G771" s="57" t="s">
        <v>546</v>
      </c>
      <c r="H771" s="59">
        <v>2</v>
      </c>
      <c r="I771" s="57"/>
      <c r="J771" s="57"/>
      <c r="K771" s="59"/>
      <c r="L771" s="57"/>
      <c r="M771" s="60"/>
      <c r="N771" s="59"/>
      <c r="O771" s="57"/>
      <c r="P771" s="57"/>
      <c r="Q771" s="57" t="s">
        <v>20</v>
      </c>
      <c r="R771" s="57" t="s">
        <v>920</v>
      </c>
      <c r="S771" s="59">
        <v>59273</v>
      </c>
      <c r="T771" s="57" t="s">
        <v>61</v>
      </c>
      <c r="U771" s="60">
        <v>45916</v>
      </c>
      <c r="V771" s="59">
        <v>59273</v>
      </c>
      <c r="W771" s="57" t="s">
        <v>3593</v>
      </c>
      <c r="X771" s="57" t="s">
        <v>3594</v>
      </c>
      <c r="Y771" s="57" t="s">
        <v>21</v>
      </c>
      <c r="Z771" s="57" t="s">
        <v>215</v>
      </c>
      <c r="AA771" s="59">
        <v>50425</v>
      </c>
      <c r="AB771" s="57" t="s">
        <v>61</v>
      </c>
      <c r="AC771" s="60">
        <v>45951</v>
      </c>
      <c r="AD771" s="59">
        <v>50425</v>
      </c>
      <c r="AE771" s="57" t="s">
        <v>3595</v>
      </c>
      <c r="AF771" s="57" t="s">
        <v>3596</v>
      </c>
    </row>
    <row r="772" spans="1:32">
      <c r="A772" s="57">
        <v>771</v>
      </c>
      <c r="B772" s="58">
        <v>45953.602662037039</v>
      </c>
      <c r="C772" s="58">
        <v>45953.60396990741</v>
      </c>
      <c r="D772" s="57" t="s">
        <v>1014</v>
      </c>
      <c r="E772" s="57" t="s">
        <v>1015</v>
      </c>
      <c r="F772" s="58"/>
      <c r="G772" s="57" t="s">
        <v>623</v>
      </c>
      <c r="H772" s="59">
        <v>1</v>
      </c>
      <c r="I772" s="57"/>
      <c r="J772" s="57"/>
      <c r="K772" s="59"/>
      <c r="L772" s="57"/>
      <c r="M772" s="60"/>
      <c r="N772" s="59"/>
      <c r="O772" s="57"/>
      <c r="P772" s="57"/>
      <c r="Q772" s="57"/>
      <c r="R772" s="57"/>
      <c r="S772" s="59"/>
      <c r="T772" s="57"/>
      <c r="U772" s="60"/>
      <c r="V772" s="59"/>
      <c r="W772" s="57"/>
      <c r="X772" s="57"/>
      <c r="Y772" s="57" t="s">
        <v>20</v>
      </c>
      <c r="Z772" s="57" t="s">
        <v>305</v>
      </c>
      <c r="AA772" s="59">
        <v>25927</v>
      </c>
      <c r="AB772" s="57" t="s">
        <v>61</v>
      </c>
      <c r="AC772" s="60">
        <v>45946</v>
      </c>
      <c r="AD772" s="59">
        <v>25927</v>
      </c>
      <c r="AE772" s="57" t="s">
        <v>3597</v>
      </c>
      <c r="AF772" s="57" t="s">
        <v>3598</v>
      </c>
    </row>
    <row r="773" spans="1:32">
      <c r="A773" s="57">
        <v>772</v>
      </c>
      <c r="B773" s="58">
        <v>45953.597627314812</v>
      </c>
      <c r="C773" s="58">
        <v>45953.60701388889</v>
      </c>
      <c r="D773" s="57" t="s">
        <v>734</v>
      </c>
      <c r="E773" s="57" t="s">
        <v>735</v>
      </c>
      <c r="F773" s="58"/>
      <c r="G773" s="57" t="s">
        <v>691</v>
      </c>
      <c r="H773" s="59">
        <v>1</v>
      </c>
      <c r="I773" s="57"/>
      <c r="J773" s="57"/>
      <c r="K773" s="59"/>
      <c r="L773" s="57"/>
      <c r="M773" s="60"/>
      <c r="N773" s="59"/>
      <c r="O773" s="57"/>
      <c r="P773" s="57"/>
      <c r="Q773" s="57"/>
      <c r="R773" s="57"/>
      <c r="S773" s="59"/>
      <c r="T773" s="57"/>
      <c r="U773" s="60"/>
      <c r="V773" s="59"/>
      <c r="W773" s="57"/>
      <c r="X773" s="57"/>
      <c r="Y773" s="57" t="s">
        <v>20</v>
      </c>
      <c r="Z773" s="57" t="s">
        <v>412</v>
      </c>
      <c r="AA773" s="59">
        <v>282</v>
      </c>
      <c r="AB773" s="57" t="s">
        <v>61</v>
      </c>
      <c r="AC773" s="60">
        <v>45950</v>
      </c>
      <c r="AD773" s="59">
        <v>282</v>
      </c>
      <c r="AE773" s="57" t="s">
        <v>3599</v>
      </c>
      <c r="AF773" s="57" t="s">
        <v>3600</v>
      </c>
    </row>
    <row r="774" spans="1:32">
      <c r="A774" s="57">
        <v>773</v>
      </c>
      <c r="B774" s="58">
        <v>45953.62327546296</v>
      </c>
      <c r="C774" s="58">
        <v>45953.62604166667</v>
      </c>
      <c r="D774" s="57" t="s">
        <v>2040</v>
      </c>
      <c r="E774" s="57" t="s">
        <v>2041</v>
      </c>
      <c r="F774" s="58"/>
      <c r="G774" s="57" t="s">
        <v>573</v>
      </c>
      <c r="H774" s="59">
        <v>2</v>
      </c>
      <c r="I774" s="57"/>
      <c r="J774" s="57"/>
      <c r="K774" s="59"/>
      <c r="L774" s="57"/>
      <c r="M774" s="60"/>
      <c r="N774" s="59"/>
      <c r="O774" s="57"/>
      <c r="P774" s="57"/>
      <c r="Q774" s="57" t="s">
        <v>22</v>
      </c>
      <c r="R774" s="57" t="s">
        <v>245</v>
      </c>
      <c r="S774" s="59">
        <v>29533</v>
      </c>
      <c r="T774" s="57" t="s">
        <v>61</v>
      </c>
      <c r="U774" s="60">
        <v>45943</v>
      </c>
      <c r="V774" s="59">
        <v>29533</v>
      </c>
      <c r="W774" s="57" t="s">
        <v>3601</v>
      </c>
      <c r="X774" s="57" t="s">
        <v>3602</v>
      </c>
      <c r="Y774" s="57" t="s">
        <v>21</v>
      </c>
      <c r="Z774" s="57" t="s">
        <v>2044</v>
      </c>
      <c r="AA774" s="59">
        <v>53468</v>
      </c>
      <c r="AB774" s="57" t="s">
        <v>61</v>
      </c>
      <c r="AC774" s="60">
        <v>45913</v>
      </c>
      <c r="AD774" s="59">
        <v>53468</v>
      </c>
      <c r="AE774" s="57" t="s">
        <v>3603</v>
      </c>
      <c r="AF774" s="57" t="s">
        <v>3604</v>
      </c>
    </row>
    <row r="775" spans="1:32">
      <c r="A775" s="57">
        <v>774</v>
      </c>
      <c r="B775" s="58">
        <v>45953.623715277783</v>
      </c>
      <c r="C775" s="58">
        <v>45953.63480324074</v>
      </c>
      <c r="D775" s="57" t="s">
        <v>1303</v>
      </c>
      <c r="E775" s="57" t="s">
        <v>1304</v>
      </c>
      <c r="F775" s="58"/>
      <c r="G775" s="57" t="s">
        <v>558</v>
      </c>
      <c r="H775" s="59">
        <v>2</v>
      </c>
      <c r="I775" s="57"/>
      <c r="J775" s="57"/>
      <c r="K775" s="59"/>
      <c r="L775" s="57"/>
      <c r="M775" s="60"/>
      <c r="N775" s="59"/>
      <c r="O775" s="57"/>
      <c r="P775" s="57"/>
      <c r="Q775" s="57" t="s">
        <v>22</v>
      </c>
      <c r="R775" s="57" t="s">
        <v>228</v>
      </c>
      <c r="S775" s="59">
        <v>61087</v>
      </c>
      <c r="T775" s="57" t="s">
        <v>61</v>
      </c>
      <c r="U775" s="60">
        <v>45866</v>
      </c>
      <c r="V775" s="59">
        <v>61087</v>
      </c>
      <c r="W775" s="57" t="s">
        <v>3605</v>
      </c>
      <c r="X775" s="57" t="s">
        <v>3606</v>
      </c>
      <c r="Y775" s="57" t="s">
        <v>20</v>
      </c>
      <c r="Z775" s="57" t="s">
        <v>313</v>
      </c>
      <c r="AA775" s="59">
        <v>9934</v>
      </c>
      <c r="AB775" s="57" t="s">
        <v>61</v>
      </c>
      <c r="AC775" s="60">
        <v>45840</v>
      </c>
      <c r="AD775" s="59">
        <v>9934</v>
      </c>
      <c r="AE775" s="57" t="s">
        <v>3607</v>
      </c>
      <c r="AF775" s="57" t="s">
        <v>3608</v>
      </c>
    </row>
    <row r="776" spans="1:32">
      <c r="A776" s="57">
        <v>775</v>
      </c>
      <c r="B776" s="58">
        <v>45953.674513888887</v>
      </c>
      <c r="C776" s="58">
        <v>45953.677222222221</v>
      </c>
      <c r="D776" s="57" t="s">
        <v>1572</v>
      </c>
      <c r="E776" s="57" t="s">
        <v>1573</v>
      </c>
      <c r="F776" s="58"/>
      <c r="G776" s="57" t="s">
        <v>640</v>
      </c>
      <c r="H776" s="59">
        <v>1</v>
      </c>
      <c r="I776" s="57"/>
      <c r="J776" s="57"/>
      <c r="K776" s="59"/>
      <c r="L776" s="57"/>
      <c r="M776" s="60"/>
      <c r="N776" s="59"/>
      <c r="O776" s="57"/>
      <c r="P776" s="57"/>
      <c r="Q776" s="57"/>
      <c r="R776" s="57"/>
      <c r="S776" s="59"/>
      <c r="T776" s="57"/>
      <c r="U776" s="60"/>
      <c r="V776" s="59"/>
      <c r="W776" s="57"/>
      <c r="X776" s="57"/>
      <c r="Y776" s="57" t="s">
        <v>21</v>
      </c>
      <c r="Z776" s="57" t="s">
        <v>333</v>
      </c>
      <c r="AA776" s="59">
        <v>11140</v>
      </c>
      <c r="AB776" s="57" t="s">
        <v>61</v>
      </c>
      <c r="AC776" s="60">
        <v>45881</v>
      </c>
      <c r="AD776" s="59">
        <v>11140</v>
      </c>
      <c r="AE776" s="57" t="s">
        <v>3609</v>
      </c>
      <c r="AF776" s="57" t="s">
        <v>3610</v>
      </c>
    </row>
    <row r="777" spans="1:32">
      <c r="A777" s="57">
        <v>776</v>
      </c>
      <c r="B777" s="58">
        <v>45953.677743055552</v>
      </c>
      <c r="C777" s="58">
        <v>45953.683692129627</v>
      </c>
      <c r="D777" s="57" t="s">
        <v>1445</v>
      </c>
      <c r="E777" s="57" t="s">
        <v>1446</v>
      </c>
      <c r="F777" s="58"/>
      <c r="G777" s="57" t="s">
        <v>596</v>
      </c>
      <c r="H777" s="59">
        <v>2</v>
      </c>
      <c r="I777" s="57"/>
      <c r="J777" s="57"/>
      <c r="K777" s="59"/>
      <c r="L777" s="57"/>
      <c r="M777" s="60"/>
      <c r="N777" s="59"/>
      <c r="O777" s="57"/>
      <c r="P777" s="57"/>
      <c r="Q777" s="57" t="s">
        <v>21</v>
      </c>
      <c r="R777" s="57" t="s">
        <v>272</v>
      </c>
      <c r="S777" s="59">
        <v>15766</v>
      </c>
      <c r="T777" s="57" t="s">
        <v>61</v>
      </c>
      <c r="U777" s="60">
        <v>45943</v>
      </c>
      <c r="V777" s="59">
        <v>15766</v>
      </c>
      <c r="W777" s="57" t="s">
        <v>3611</v>
      </c>
      <c r="X777" s="57" t="s">
        <v>3612</v>
      </c>
      <c r="Y777" s="57" t="s">
        <v>22</v>
      </c>
      <c r="Z777" s="57" t="s">
        <v>401</v>
      </c>
      <c r="AA777" s="59">
        <v>3621</v>
      </c>
      <c r="AB777" s="57" t="s">
        <v>61</v>
      </c>
      <c r="AC777" s="60">
        <v>45919</v>
      </c>
      <c r="AD777" s="59">
        <v>3621</v>
      </c>
      <c r="AE777" s="57" t="s">
        <v>3613</v>
      </c>
      <c r="AF777" s="57" t="s">
        <v>3614</v>
      </c>
    </row>
    <row r="778" spans="1:32">
      <c r="A778" s="57">
        <v>777</v>
      </c>
      <c r="B778" s="58">
        <v>45953.701574074083</v>
      </c>
      <c r="C778" s="58">
        <v>45953.703252314823</v>
      </c>
      <c r="D778" s="57" t="s">
        <v>765</v>
      </c>
      <c r="E778" s="57" t="s">
        <v>766</v>
      </c>
      <c r="F778" s="58"/>
      <c r="G778" s="57" t="s">
        <v>458</v>
      </c>
      <c r="H778" s="59">
        <v>1</v>
      </c>
      <c r="I778" s="57"/>
      <c r="J778" s="57"/>
      <c r="K778" s="59"/>
      <c r="L778" s="57"/>
      <c r="M778" s="60"/>
      <c r="N778" s="59"/>
      <c r="O778" s="57"/>
      <c r="P778" s="57"/>
      <c r="Q778" s="57"/>
      <c r="R778" s="57"/>
      <c r="S778" s="59"/>
      <c r="T778" s="57"/>
      <c r="U778" s="60"/>
      <c r="V778" s="59"/>
      <c r="W778" s="57"/>
      <c r="X778" s="57"/>
      <c r="Y778" s="57" t="s">
        <v>21</v>
      </c>
      <c r="Z778" s="57" t="s">
        <v>124</v>
      </c>
      <c r="AA778" s="59">
        <v>37125</v>
      </c>
      <c r="AB778" s="57" t="s">
        <v>61</v>
      </c>
      <c r="AC778" s="60">
        <v>45927</v>
      </c>
      <c r="AD778" s="59">
        <v>37125</v>
      </c>
      <c r="AE778" s="57" t="s">
        <v>3615</v>
      </c>
      <c r="AF778" s="57" t="s">
        <v>3616</v>
      </c>
    </row>
    <row r="779" spans="1:32">
      <c r="A779" s="57">
        <v>778</v>
      </c>
      <c r="B779" s="58">
        <v>45953.751226851848</v>
      </c>
      <c r="C779" s="58">
        <v>45953.752141203702</v>
      </c>
      <c r="D779" s="57" t="s">
        <v>2238</v>
      </c>
      <c r="E779" s="57" t="s">
        <v>2239</v>
      </c>
      <c r="F779" s="58"/>
      <c r="G779" s="57" t="s">
        <v>475</v>
      </c>
      <c r="H779" s="59">
        <v>2</v>
      </c>
      <c r="I779" s="57"/>
      <c r="J779" s="57"/>
      <c r="K779" s="59"/>
      <c r="L779" s="57"/>
      <c r="M779" s="60"/>
      <c r="N779" s="59"/>
      <c r="O779" s="57"/>
      <c r="P779" s="57"/>
      <c r="Q779" s="57" t="s">
        <v>21</v>
      </c>
      <c r="R779" s="57" t="s">
        <v>3617</v>
      </c>
      <c r="S779" s="59">
        <v>28318</v>
      </c>
      <c r="T779" s="57" t="s">
        <v>61</v>
      </c>
      <c r="U779" s="60">
        <v>45917</v>
      </c>
      <c r="V779" s="59">
        <v>28318</v>
      </c>
      <c r="W779" s="57" t="s">
        <v>3618</v>
      </c>
      <c r="X779" s="57" t="s">
        <v>3619</v>
      </c>
      <c r="Y779" s="57" t="s">
        <v>21</v>
      </c>
      <c r="Z779" s="57" t="s">
        <v>3617</v>
      </c>
      <c r="AA779" s="59">
        <v>25894</v>
      </c>
      <c r="AB779" s="57" t="s">
        <v>61</v>
      </c>
      <c r="AC779" s="60">
        <v>45917</v>
      </c>
      <c r="AD779" s="59">
        <v>25894</v>
      </c>
      <c r="AE779" s="57" t="s">
        <v>3620</v>
      </c>
      <c r="AF779" s="57" t="s">
        <v>3621</v>
      </c>
    </row>
    <row r="780" spans="1:32">
      <c r="A780" s="57">
        <v>779</v>
      </c>
      <c r="B780" s="58">
        <v>45954.305509259262</v>
      </c>
      <c r="C780" s="58">
        <v>45954.311805555553</v>
      </c>
      <c r="D780" s="57" t="s">
        <v>2867</v>
      </c>
      <c r="E780" s="57" t="s">
        <v>2868</v>
      </c>
      <c r="F780" s="58"/>
      <c r="G780" s="57" t="s">
        <v>676</v>
      </c>
      <c r="H780" s="59">
        <v>1</v>
      </c>
      <c r="I780" s="57"/>
      <c r="J780" s="57"/>
      <c r="K780" s="59"/>
      <c r="L780" s="57"/>
      <c r="M780" s="60"/>
      <c r="N780" s="59"/>
      <c r="O780" s="57"/>
      <c r="P780" s="57"/>
      <c r="Q780" s="57"/>
      <c r="R780" s="57"/>
      <c r="S780" s="59"/>
      <c r="T780" s="57"/>
      <c r="U780" s="60"/>
      <c r="V780" s="59"/>
      <c r="W780" s="57"/>
      <c r="X780" s="57"/>
      <c r="Y780" s="57" t="s">
        <v>20</v>
      </c>
      <c r="Z780" s="57" t="s">
        <v>389</v>
      </c>
      <c r="AA780" s="59">
        <v>6841</v>
      </c>
      <c r="AB780" s="57" t="s">
        <v>61</v>
      </c>
      <c r="AC780" s="60">
        <v>45873</v>
      </c>
      <c r="AD780" s="59">
        <v>6841</v>
      </c>
      <c r="AE780" s="57" t="s">
        <v>3622</v>
      </c>
      <c r="AF780" s="57" t="s">
        <v>3623</v>
      </c>
    </row>
    <row r="781" spans="1:32">
      <c r="A781" s="57">
        <v>780</v>
      </c>
      <c r="B781" s="58">
        <v>45954.415752314817</v>
      </c>
      <c r="C781" s="58">
        <v>45954.416365740741</v>
      </c>
      <c r="D781" s="57" t="s">
        <v>3624</v>
      </c>
      <c r="E781" s="57" t="s">
        <v>3625</v>
      </c>
      <c r="F781" s="58"/>
      <c r="G781" s="57" t="s">
        <v>542</v>
      </c>
      <c r="H781" s="59">
        <v>2</v>
      </c>
      <c r="I781" s="57"/>
      <c r="J781" s="57"/>
      <c r="K781" s="59"/>
      <c r="L781" s="57"/>
      <c r="M781" s="60"/>
      <c r="N781" s="59"/>
      <c r="O781" s="57"/>
      <c r="P781" s="57"/>
      <c r="Q781" s="57" t="s">
        <v>20</v>
      </c>
      <c r="R781" s="57" t="s">
        <v>211</v>
      </c>
      <c r="S781" s="59">
        <v>26209</v>
      </c>
      <c r="T781" s="57" t="s">
        <v>61</v>
      </c>
      <c r="U781" s="60">
        <v>45882</v>
      </c>
      <c r="V781" s="59">
        <v>26209</v>
      </c>
      <c r="W781" s="57" t="s">
        <v>3626</v>
      </c>
      <c r="X781" s="57" t="s">
        <v>3627</v>
      </c>
      <c r="Y781" s="57" t="s">
        <v>20</v>
      </c>
      <c r="Z781" s="57" t="s">
        <v>3628</v>
      </c>
      <c r="AA781" s="59">
        <v>24868</v>
      </c>
      <c r="AB781" s="57" t="s">
        <v>61</v>
      </c>
      <c r="AC781" s="60">
        <v>45882</v>
      </c>
      <c r="AD781" s="59">
        <v>24868</v>
      </c>
      <c r="AE781" s="57" t="s">
        <v>3629</v>
      </c>
      <c r="AF781" s="57" t="s">
        <v>3630</v>
      </c>
    </row>
    <row r="782" spans="1:32">
      <c r="A782" s="57">
        <v>781</v>
      </c>
      <c r="B782" s="58">
        <v>45954.416990740741</v>
      </c>
      <c r="C782" s="58">
        <v>45954.41810185185</v>
      </c>
      <c r="D782" s="57" t="s">
        <v>1723</v>
      </c>
      <c r="E782" s="57" t="s">
        <v>1724</v>
      </c>
      <c r="F782" s="58"/>
      <c r="G782" s="57" t="s">
        <v>700</v>
      </c>
      <c r="H782" s="59">
        <v>1</v>
      </c>
      <c r="I782" s="57"/>
      <c r="J782" s="57"/>
      <c r="K782" s="59"/>
      <c r="L782" s="57"/>
      <c r="M782" s="60"/>
      <c r="N782" s="59"/>
      <c r="O782" s="57"/>
      <c r="P782" s="57"/>
      <c r="Q782" s="57"/>
      <c r="R782" s="57"/>
      <c r="S782" s="59"/>
      <c r="T782" s="57"/>
      <c r="U782" s="60"/>
      <c r="V782" s="59"/>
      <c r="W782" s="57"/>
      <c r="X782" s="57"/>
      <c r="Y782" s="57" t="s">
        <v>21</v>
      </c>
      <c r="Z782" s="57" t="s">
        <v>2135</v>
      </c>
      <c r="AA782" s="59">
        <v>30508</v>
      </c>
      <c r="AB782" s="57" t="s">
        <v>61</v>
      </c>
      <c r="AC782" s="60">
        <v>45903</v>
      </c>
      <c r="AD782" s="59">
        <v>30508</v>
      </c>
      <c r="AE782" s="57" t="s">
        <v>3631</v>
      </c>
      <c r="AF782" s="57" t="s">
        <v>3632</v>
      </c>
    </row>
    <row r="783" spans="1:32">
      <c r="A783" s="57">
        <v>782</v>
      </c>
      <c r="B783" s="58">
        <v>45954.423738425918</v>
      </c>
      <c r="C783" s="58">
        <v>45954.427175925928</v>
      </c>
      <c r="D783" s="57" t="s">
        <v>961</v>
      </c>
      <c r="E783" s="57" t="s">
        <v>962</v>
      </c>
      <c r="F783" s="58"/>
      <c r="G783" s="57" t="s">
        <v>655</v>
      </c>
      <c r="H783" s="59">
        <v>1</v>
      </c>
      <c r="I783" s="57"/>
      <c r="J783" s="57"/>
      <c r="K783" s="59"/>
      <c r="L783" s="57"/>
      <c r="M783" s="60"/>
      <c r="N783" s="59"/>
      <c r="O783" s="57"/>
      <c r="P783" s="57"/>
      <c r="Q783" s="57"/>
      <c r="R783" s="57"/>
      <c r="S783" s="59"/>
      <c r="T783" s="57"/>
      <c r="U783" s="60"/>
      <c r="V783" s="59"/>
      <c r="W783" s="57"/>
      <c r="X783" s="57"/>
      <c r="Y783" s="57" t="s">
        <v>21</v>
      </c>
      <c r="Z783" s="57" t="s">
        <v>963</v>
      </c>
      <c r="AA783" s="59">
        <v>27874</v>
      </c>
      <c r="AB783" s="57" t="s">
        <v>61</v>
      </c>
      <c r="AC783" s="60">
        <v>45903</v>
      </c>
      <c r="AD783" s="59">
        <v>27874</v>
      </c>
      <c r="AE783" s="57" t="s">
        <v>3633</v>
      </c>
      <c r="AF783" s="57" t="s">
        <v>3634</v>
      </c>
    </row>
    <row r="784" spans="1:32">
      <c r="A784" s="57">
        <v>783</v>
      </c>
      <c r="B784" s="58">
        <v>45954.440335648149</v>
      </c>
      <c r="C784" s="58">
        <v>45954.452141203707</v>
      </c>
      <c r="D784" s="57" t="s">
        <v>1633</v>
      </c>
      <c r="E784" s="57" t="s">
        <v>1634</v>
      </c>
      <c r="F784" s="58"/>
      <c r="G784" s="57" t="s">
        <v>679</v>
      </c>
      <c r="H784" s="59">
        <v>2</v>
      </c>
      <c r="I784" s="57"/>
      <c r="J784" s="57"/>
      <c r="K784" s="59"/>
      <c r="L784" s="57"/>
      <c r="M784" s="60"/>
      <c r="N784" s="59"/>
      <c r="O784" s="57"/>
      <c r="P784" s="57"/>
      <c r="Q784" s="57" t="s">
        <v>21</v>
      </c>
      <c r="R784" s="57" t="s">
        <v>393</v>
      </c>
      <c r="S784" s="59">
        <v>3053</v>
      </c>
      <c r="T784" s="57" t="s">
        <v>61</v>
      </c>
      <c r="U784" s="60">
        <v>45917</v>
      </c>
      <c r="V784" s="59">
        <v>3053</v>
      </c>
      <c r="W784" s="57" t="s">
        <v>3635</v>
      </c>
      <c r="X784" s="57" t="s">
        <v>3636</v>
      </c>
      <c r="Y784" s="57" t="s">
        <v>20</v>
      </c>
      <c r="Z784" s="57" t="s">
        <v>2641</v>
      </c>
      <c r="AA784" s="59">
        <v>29246</v>
      </c>
      <c r="AB784" s="57" t="s">
        <v>61</v>
      </c>
      <c r="AC784" s="60">
        <v>45826</v>
      </c>
      <c r="AD784" s="59">
        <v>29246</v>
      </c>
      <c r="AE784" s="57" t="s">
        <v>3637</v>
      </c>
      <c r="AF784" s="57" t="s">
        <v>3638</v>
      </c>
    </row>
    <row r="785" spans="1:32">
      <c r="A785" s="57">
        <v>784</v>
      </c>
      <c r="B785" s="58">
        <v>45954.436226851853</v>
      </c>
      <c r="C785" s="58">
        <v>45954.452893518523</v>
      </c>
      <c r="D785" s="57" t="s">
        <v>3639</v>
      </c>
      <c r="E785" s="57" t="s">
        <v>3640</v>
      </c>
      <c r="F785" s="58"/>
      <c r="G785" s="57" t="s">
        <v>473</v>
      </c>
      <c r="H785" s="59">
        <v>1</v>
      </c>
      <c r="I785" s="57"/>
      <c r="J785" s="57"/>
      <c r="K785" s="59"/>
      <c r="L785" s="57"/>
      <c r="M785" s="60"/>
      <c r="N785" s="59"/>
      <c r="O785" s="57"/>
      <c r="P785" s="57"/>
      <c r="Q785" s="57"/>
      <c r="R785" s="57"/>
      <c r="S785" s="59"/>
      <c r="T785" s="57"/>
      <c r="U785" s="60"/>
      <c r="V785" s="59"/>
      <c r="W785" s="57"/>
      <c r="X785" s="57"/>
      <c r="Y785" s="57" t="s">
        <v>21</v>
      </c>
      <c r="Z785" s="57" t="s">
        <v>139</v>
      </c>
      <c r="AA785" s="59">
        <v>94771</v>
      </c>
      <c r="AB785" s="57" t="s">
        <v>61</v>
      </c>
      <c r="AC785" s="60">
        <v>45861</v>
      </c>
      <c r="AD785" s="59">
        <v>94771</v>
      </c>
      <c r="AE785" s="57" t="s">
        <v>3641</v>
      </c>
      <c r="AF785" s="57" t="s">
        <v>3642</v>
      </c>
    </row>
    <row r="786" spans="1:32">
      <c r="A786" s="57">
        <v>785</v>
      </c>
      <c r="B786" s="58">
        <v>45954.491087962961</v>
      </c>
      <c r="C786" s="58">
        <v>45954.497199074067</v>
      </c>
      <c r="D786" s="57" t="s">
        <v>1326</v>
      </c>
      <c r="E786" s="57" t="s">
        <v>1327</v>
      </c>
      <c r="F786" s="58"/>
      <c r="G786" s="57" t="s">
        <v>565</v>
      </c>
      <c r="H786" s="59">
        <v>2</v>
      </c>
      <c r="I786" s="57"/>
      <c r="J786" s="57"/>
      <c r="K786" s="59"/>
      <c r="L786" s="57"/>
      <c r="M786" s="60"/>
      <c r="N786" s="59"/>
      <c r="O786" s="57"/>
      <c r="P786" s="57"/>
      <c r="Q786" s="57" t="s">
        <v>22</v>
      </c>
      <c r="R786" s="57" t="s">
        <v>237</v>
      </c>
      <c r="S786" s="59">
        <v>37797</v>
      </c>
      <c r="T786" s="57" t="s">
        <v>61</v>
      </c>
      <c r="U786" s="60">
        <v>45819</v>
      </c>
      <c r="V786" s="59">
        <v>37797</v>
      </c>
      <c r="W786" s="57" t="s">
        <v>3643</v>
      </c>
      <c r="X786" s="57" t="s">
        <v>3644</v>
      </c>
      <c r="Y786" s="57" t="s">
        <v>20</v>
      </c>
      <c r="Z786" s="57" t="s">
        <v>1328</v>
      </c>
      <c r="AA786" s="59">
        <v>63456</v>
      </c>
      <c r="AB786" s="57" t="s">
        <v>61</v>
      </c>
      <c r="AC786" s="60">
        <v>45799</v>
      </c>
      <c r="AD786" s="59">
        <v>63456</v>
      </c>
      <c r="AE786" s="57" t="s">
        <v>3645</v>
      </c>
      <c r="AF786" s="57" t="s">
        <v>3646</v>
      </c>
    </row>
    <row r="787" spans="1:32">
      <c r="A787" s="57">
        <v>786</v>
      </c>
      <c r="B787" s="58">
        <v>45954.539652777778</v>
      </c>
      <c r="C787" s="58">
        <v>45954.545740740738</v>
      </c>
      <c r="D787" s="57" t="s">
        <v>2131</v>
      </c>
      <c r="E787" s="57" t="s">
        <v>2132</v>
      </c>
      <c r="F787" s="58"/>
      <c r="G787" s="57" t="s">
        <v>651</v>
      </c>
      <c r="H787" s="59">
        <v>1</v>
      </c>
      <c r="I787" s="57"/>
      <c r="J787" s="57"/>
      <c r="K787" s="59"/>
      <c r="L787" s="57"/>
      <c r="M787" s="60"/>
      <c r="N787" s="59"/>
      <c r="O787" s="57"/>
      <c r="P787" s="57"/>
      <c r="Q787" s="57"/>
      <c r="R787" s="57"/>
      <c r="S787" s="59"/>
      <c r="T787" s="57"/>
      <c r="U787" s="60"/>
      <c r="V787" s="59"/>
      <c r="W787" s="57"/>
      <c r="X787" s="57"/>
      <c r="Y787" s="57" t="s">
        <v>21</v>
      </c>
      <c r="Z787" s="57" t="s">
        <v>348</v>
      </c>
      <c r="AA787" s="59">
        <v>17496</v>
      </c>
      <c r="AB787" s="57" t="s">
        <v>61</v>
      </c>
      <c r="AC787" s="60">
        <v>45854</v>
      </c>
      <c r="AD787" s="59">
        <v>17496</v>
      </c>
      <c r="AE787" s="57" t="s">
        <v>3647</v>
      </c>
      <c r="AF787" s="57" t="s">
        <v>3648</v>
      </c>
    </row>
    <row r="788" spans="1:32">
      <c r="A788" s="57">
        <v>787</v>
      </c>
      <c r="B788" s="58">
        <v>45954.60497685185</v>
      </c>
      <c r="C788" s="58">
        <v>45954.608090277783</v>
      </c>
      <c r="D788" s="57" t="s">
        <v>2444</v>
      </c>
      <c r="E788" s="57" t="s">
        <v>2445</v>
      </c>
      <c r="F788" s="58"/>
      <c r="G788" s="57" t="s">
        <v>624</v>
      </c>
      <c r="H788" s="59">
        <v>1</v>
      </c>
      <c r="I788" s="57"/>
      <c r="J788" s="57"/>
      <c r="K788" s="59"/>
      <c r="L788" s="57"/>
      <c r="M788" s="60"/>
      <c r="N788" s="59"/>
      <c r="O788" s="57"/>
      <c r="P788" s="57"/>
      <c r="Q788" s="57"/>
      <c r="R788" s="57"/>
      <c r="S788" s="59"/>
      <c r="T788" s="57"/>
      <c r="U788" s="60"/>
      <c r="V788" s="59"/>
      <c r="W788" s="57"/>
      <c r="X788" s="57"/>
      <c r="Y788" s="57" t="s">
        <v>21</v>
      </c>
      <c r="Z788" s="57" t="s">
        <v>306</v>
      </c>
      <c r="AA788" s="59">
        <v>13084</v>
      </c>
      <c r="AB788" s="57" t="s">
        <v>61</v>
      </c>
      <c r="AC788" s="60">
        <v>45820</v>
      </c>
      <c r="AD788" s="59">
        <v>13084</v>
      </c>
      <c r="AE788" s="57" t="s">
        <v>3649</v>
      </c>
      <c r="AF788" s="57" t="s">
        <v>3650</v>
      </c>
    </row>
    <row r="789" spans="1:32">
      <c r="A789" s="57">
        <v>788</v>
      </c>
      <c r="B789" s="58">
        <v>45954.608749999999</v>
      </c>
      <c r="C789" s="58">
        <v>45954.613530092603</v>
      </c>
      <c r="D789" s="57" t="s">
        <v>1131</v>
      </c>
      <c r="E789" s="57" t="s">
        <v>1132</v>
      </c>
      <c r="F789" s="58"/>
      <c r="G789" s="57" t="s">
        <v>615</v>
      </c>
      <c r="H789" s="59">
        <v>1</v>
      </c>
      <c r="I789" s="57"/>
      <c r="J789" s="57"/>
      <c r="K789" s="59"/>
      <c r="L789" s="57"/>
      <c r="M789" s="60"/>
      <c r="N789" s="59"/>
      <c r="O789" s="57"/>
      <c r="P789" s="57"/>
      <c r="Q789" s="57"/>
      <c r="R789" s="57"/>
      <c r="S789" s="59"/>
      <c r="T789" s="57"/>
      <c r="U789" s="60"/>
      <c r="V789" s="59"/>
      <c r="W789" s="57"/>
      <c r="X789" s="57"/>
      <c r="Y789" s="57" t="s">
        <v>21</v>
      </c>
      <c r="Z789" s="57" t="s">
        <v>295</v>
      </c>
      <c r="AA789" s="59">
        <v>12547</v>
      </c>
      <c r="AB789" s="57" t="s">
        <v>61</v>
      </c>
      <c r="AC789" s="60">
        <v>45826</v>
      </c>
      <c r="AD789" s="59">
        <v>12547</v>
      </c>
      <c r="AE789" s="57" t="s">
        <v>3651</v>
      </c>
      <c r="AF789" s="57" t="s">
        <v>3652</v>
      </c>
    </row>
    <row r="790" spans="1:32">
      <c r="A790" s="57">
        <v>789</v>
      </c>
      <c r="B790" s="58">
        <v>45954.615231481483</v>
      </c>
      <c r="C790" s="58">
        <v>45954.620486111111</v>
      </c>
      <c r="D790" s="57" t="s">
        <v>1109</v>
      </c>
      <c r="E790" s="57" t="s">
        <v>1110</v>
      </c>
      <c r="F790" s="58"/>
      <c r="G790" s="57" t="s">
        <v>718</v>
      </c>
      <c r="H790" s="59">
        <v>2</v>
      </c>
      <c r="I790" s="57"/>
      <c r="J790" s="57"/>
      <c r="K790" s="59"/>
      <c r="L790" s="57"/>
      <c r="M790" s="60"/>
      <c r="N790" s="59"/>
      <c r="O790" s="57"/>
      <c r="P790" s="57"/>
      <c r="Q790" s="57" t="s">
        <v>20</v>
      </c>
      <c r="R790" s="57" t="s">
        <v>1111</v>
      </c>
      <c r="S790" s="59">
        <v>115203</v>
      </c>
      <c r="T790" s="57" t="s">
        <v>61</v>
      </c>
      <c r="U790" s="60">
        <v>45906</v>
      </c>
      <c r="V790" s="59">
        <v>115203</v>
      </c>
      <c r="W790" s="57" t="s">
        <v>3653</v>
      </c>
      <c r="X790" s="57" t="s">
        <v>3654</v>
      </c>
      <c r="Y790" s="57" t="s">
        <v>20</v>
      </c>
      <c r="Z790" s="57" t="s">
        <v>2417</v>
      </c>
      <c r="AA790" s="59">
        <v>126008</v>
      </c>
      <c r="AB790" s="57" t="s">
        <v>61</v>
      </c>
      <c r="AC790" s="60">
        <v>45755</v>
      </c>
      <c r="AD790" s="59">
        <v>126008</v>
      </c>
      <c r="AE790" s="57" t="s">
        <v>3655</v>
      </c>
      <c r="AF790" s="57" t="s">
        <v>3656</v>
      </c>
    </row>
    <row r="791" spans="1:32">
      <c r="A791" s="57">
        <v>790</v>
      </c>
      <c r="B791" s="58">
        <v>45954.703958333332</v>
      </c>
      <c r="C791" s="58">
        <v>45954.710868055547</v>
      </c>
      <c r="D791" s="57" t="s">
        <v>1617</v>
      </c>
      <c r="E791" s="57" t="s">
        <v>1618</v>
      </c>
      <c r="F791" s="58"/>
      <c r="G791" s="57" t="s">
        <v>625</v>
      </c>
      <c r="H791" s="59">
        <v>2</v>
      </c>
      <c r="I791" s="57"/>
      <c r="J791" s="57"/>
      <c r="K791" s="59"/>
      <c r="L791" s="57"/>
      <c r="M791" s="60"/>
      <c r="N791" s="59"/>
      <c r="O791" s="57"/>
      <c r="P791" s="57"/>
      <c r="Q791" s="57" t="s">
        <v>21</v>
      </c>
      <c r="R791" s="57" t="s">
        <v>307</v>
      </c>
      <c r="S791" s="59">
        <v>23287</v>
      </c>
      <c r="T791" s="57" t="s">
        <v>61</v>
      </c>
      <c r="U791" s="60">
        <v>45920</v>
      </c>
      <c r="V791" s="59">
        <v>23287</v>
      </c>
      <c r="W791" s="57" t="s">
        <v>3657</v>
      </c>
      <c r="X791" s="57" t="s">
        <v>3658</v>
      </c>
      <c r="Y791" s="57" t="s">
        <v>22</v>
      </c>
      <c r="Z791" s="57" t="s">
        <v>349</v>
      </c>
      <c r="AA791" s="59">
        <v>16220</v>
      </c>
      <c r="AB791" s="57" t="s">
        <v>61</v>
      </c>
      <c r="AC791" s="60">
        <v>45866</v>
      </c>
      <c r="AD791" s="59">
        <v>16220</v>
      </c>
      <c r="AE791" s="57" t="s">
        <v>3659</v>
      </c>
      <c r="AF791" s="57" t="s">
        <v>3660</v>
      </c>
    </row>
    <row r="792" spans="1:32">
      <c r="A792" s="57">
        <v>791</v>
      </c>
      <c r="B792" s="58">
        <v>45953.62709490741</v>
      </c>
      <c r="C792" s="58">
        <v>45955.341631944437</v>
      </c>
      <c r="D792" s="57" t="s">
        <v>799</v>
      </c>
      <c r="E792" s="57" t="s">
        <v>800</v>
      </c>
      <c r="F792" s="58"/>
      <c r="G792" s="57" t="s">
        <v>618</v>
      </c>
      <c r="H792" s="59">
        <v>2</v>
      </c>
      <c r="I792" s="57"/>
      <c r="J792" s="57"/>
      <c r="K792" s="59"/>
      <c r="L792" s="57"/>
      <c r="M792" s="60"/>
      <c r="N792" s="59"/>
      <c r="O792" s="57"/>
      <c r="P792" s="57"/>
      <c r="Q792" s="57" t="s">
        <v>22</v>
      </c>
      <c r="R792" s="57" t="s">
        <v>299</v>
      </c>
      <c r="S792" s="59">
        <v>26803</v>
      </c>
      <c r="T792" s="57" t="s">
        <v>61</v>
      </c>
      <c r="U792" s="60">
        <v>45917</v>
      </c>
      <c r="V792" s="59">
        <v>26803</v>
      </c>
      <c r="W792" s="57" t="s">
        <v>3661</v>
      </c>
      <c r="X792" s="57" t="s">
        <v>3662</v>
      </c>
      <c r="Y792" s="57" t="s">
        <v>21</v>
      </c>
      <c r="Z792" s="57" t="s">
        <v>370</v>
      </c>
      <c r="AA792" s="59">
        <v>11160</v>
      </c>
      <c r="AB792" s="57" t="s">
        <v>61</v>
      </c>
      <c r="AC792" s="60">
        <v>45953</v>
      </c>
      <c r="AD792" s="59">
        <v>11160</v>
      </c>
      <c r="AE792" s="57" t="s">
        <v>3663</v>
      </c>
      <c r="AF792" s="57" t="s">
        <v>3664</v>
      </c>
    </row>
    <row r="793" spans="1:32">
      <c r="A793" s="57">
        <v>792</v>
      </c>
      <c r="B793" s="58">
        <v>45955.395543981482</v>
      </c>
      <c r="C793" s="58">
        <v>45955.40697916667</v>
      </c>
      <c r="D793" s="57" t="s">
        <v>1661</v>
      </c>
      <c r="E793" s="57" t="s">
        <v>1662</v>
      </c>
      <c r="F793" s="58"/>
      <c r="G793" s="57" t="s">
        <v>591</v>
      </c>
      <c r="H793" s="59">
        <v>2</v>
      </c>
      <c r="I793" s="57"/>
      <c r="J793" s="57"/>
      <c r="K793" s="59"/>
      <c r="L793" s="57"/>
      <c r="M793" s="60"/>
      <c r="N793" s="59"/>
      <c r="O793" s="57"/>
      <c r="P793" s="57"/>
      <c r="Q793" s="57" t="s">
        <v>20</v>
      </c>
      <c r="R793" s="57" t="s">
        <v>1665</v>
      </c>
      <c r="S793" s="59">
        <v>57443</v>
      </c>
      <c r="T793" s="57" t="s">
        <v>61</v>
      </c>
      <c r="U793" s="60">
        <v>45953</v>
      </c>
      <c r="V793" s="59">
        <v>57443</v>
      </c>
      <c r="W793" s="57" t="s">
        <v>3665</v>
      </c>
      <c r="X793" s="57" t="s">
        <v>3666</v>
      </c>
      <c r="Y793" s="57" t="s">
        <v>20</v>
      </c>
      <c r="Z793" s="57" t="s">
        <v>266</v>
      </c>
      <c r="AA793" s="59">
        <v>39127</v>
      </c>
      <c r="AB793" s="57" t="s">
        <v>61</v>
      </c>
      <c r="AC793" s="60">
        <v>45954</v>
      </c>
      <c r="AD793" s="59">
        <v>39127</v>
      </c>
      <c r="AE793" s="57" t="s">
        <v>3667</v>
      </c>
      <c r="AF793" s="57" t="s">
        <v>3668</v>
      </c>
    </row>
    <row r="794" spans="1:32">
      <c r="A794" s="57">
        <v>793</v>
      </c>
      <c r="B794" s="58">
        <v>45955.43854166667</v>
      </c>
      <c r="C794" s="58">
        <v>45955.439166666663</v>
      </c>
      <c r="D794" s="57" t="s">
        <v>809</v>
      </c>
      <c r="E794" s="57" t="s">
        <v>810</v>
      </c>
      <c r="F794" s="58"/>
      <c r="G794" s="57" t="s">
        <v>468</v>
      </c>
      <c r="H794" s="59">
        <v>1</v>
      </c>
      <c r="I794" s="57"/>
      <c r="J794" s="57"/>
      <c r="K794" s="59"/>
      <c r="L794" s="57"/>
      <c r="M794" s="60"/>
      <c r="N794" s="59"/>
      <c r="O794" s="57"/>
      <c r="P794" s="57"/>
      <c r="Q794" s="57"/>
      <c r="R794" s="57"/>
      <c r="S794" s="59"/>
      <c r="T794" s="57"/>
      <c r="U794" s="60"/>
      <c r="V794" s="59"/>
      <c r="W794" s="57"/>
      <c r="X794" s="57"/>
      <c r="Y794" s="57" t="s">
        <v>21</v>
      </c>
      <c r="Z794" s="57" t="s">
        <v>134</v>
      </c>
      <c r="AA794" s="59">
        <v>47474</v>
      </c>
      <c r="AB794" s="57" t="s">
        <v>61</v>
      </c>
      <c r="AC794" s="60">
        <v>45931</v>
      </c>
      <c r="AD794" s="59">
        <v>47474</v>
      </c>
      <c r="AE794" s="57" t="s">
        <v>3669</v>
      </c>
      <c r="AF794" s="57" t="s">
        <v>3670</v>
      </c>
    </row>
    <row r="795" spans="1:32">
      <c r="A795" s="57">
        <v>794</v>
      </c>
      <c r="B795" s="58">
        <v>45955.450162037043</v>
      </c>
      <c r="C795" s="58">
        <v>45955.454942129632</v>
      </c>
      <c r="D795" s="57" t="s">
        <v>1026</v>
      </c>
      <c r="E795" s="57" t="s">
        <v>1027</v>
      </c>
      <c r="F795" s="58"/>
      <c r="G795" s="57" t="s">
        <v>478</v>
      </c>
      <c r="H795" s="59">
        <v>1</v>
      </c>
      <c r="I795" s="57"/>
      <c r="J795" s="57"/>
      <c r="K795" s="59"/>
      <c r="L795" s="57"/>
      <c r="M795" s="60"/>
      <c r="N795" s="59"/>
      <c r="O795" s="57"/>
      <c r="P795" s="57"/>
      <c r="Q795" s="57"/>
      <c r="R795" s="57"/>
      <c r="S795" s="59"/>
      <c r="T795" s="57"/>
      <c r="U795" s="60"/>
      <c r="V795" s="59"/>
      <c r="W795" s="57"/>
      <c r="X795" s="57"/>
      <c r="Y795" s="57" t="s">
        <v>20</v>
      </c>
      <c r="Z795" s="57" t="s">
        <v>144</v>
      </c>
      <c r="AA795" s="59">
        <v>58892</v>
      </c>
      <c r="AB795" s="57" t="s">
        <v>61</v>
      </c>
      <c r="AC795" s="60">
        <v>45917</v>
      </c>
      <c r="AD795" s="59">
        <v>58892</v>
      </c>
      <c r="AE795" s="57" t="s">
        <v>3671</v>
      </c>
      <c r="AF795" s="57" t="s">
        <v>3672</v>
      </c>
    </row>
    <row r="796" spans="1:32">
      <c r="A796" s="57">
        <v>795</v>
      </c>
      <c r="B796" s="58">
        <v>45955.454791666663</v>
      </c>
      <c r="C796" s="58">
        <v>45955.456307870372</v>
      </c>
      <c r="D796" s="57" t="s">
        <v>1101</v>
      </c>
      <c r="E796" s="57" t="s">
        <v>1102</v>
      </c>
      <c r="F796" s="58"/>
      <c r="G796" s="57" t="s">
        <v>574</v>
      </c>
      <c r="H796" s="59">
        <v>1</v>
      </c>
      <c r="I796" s="57"/>
      <c r="J796" s="57"/>
      <c r="K796" s="59"/>
      <c r="L796" s="57"/>
      <c r="M796" s="60"/>
      <c r="N796" s="59"/>
      <c r="O796" s="57"/>
      <c r="P796" s="57"/>
      <c r="Q796" s="57"/>
      <c r="R796" s="57"/>
      <c r="S796" s="59"/>
      <c r="T796" s="57"/>
      <c r="U796" s="60"/>
      <c r="V796" s="59"/>
      <c r="W796" s="57"/>
      <c r="X796" s="57"/>
      <c r="Y796" s="57" t="s">
        <v>21</v>
      </c>
      <c r="Z796" s="57" t="s">
        <v>246</v>
      </c>
      <c r="AA796" s="59">
        <v>28608</v>
      </c>
      <c r="AB796" s="57" t="s">
        <v>61</v>
      </c>
      <c r="AC796" s="60">
        <v>45885</v>
      </c>
      <c r="AD796" s="59">
        <v>28608</v>
      </c>
      <c r="AE796" s="57" t="s">
        <v>3673</v>
      </c>
      <c r="AF796" s="57" t="s">
        <v>3674</v>
      </c>
    </row>
    <row r="797" spans="1:32">
      <c r="A797" s="57">
        <v>796</v>
      </c>
      <c r="B797" s="58">
        <v>45955.495949074073</v>
      </c>
      <c r="C797" s="58">
        <v>45955.511342592603</v>
      </c>
      <c r="D797" s="57" t="s">
        <v>1068</v>
      </c>
      <c r="E797" s="57" t="s">
        <v>1069</v>
      </c>
      <c r="F797" s="58"/>
      <c r="G797" s="57" t="s">
        <v>485</v>
      </c>
      <c r="H797" s="59">
        <v>2</v>
      </c>
      <c r="I797" s="57"/>
      <c r="J797" s="57"/>
      <c r="K797" s="59"/>
      <c r="L797" s="57"/>
      <c r="M797" s="60"/>
      <c r="N797" s="59"/>
      <c r="O797" s="57"/>
      <c r="P797" s="57"/>
      <c r="Q797" s="57" t="s">
        <v>22</v>
      </c>
      <c r="R797" s="57" t="s">
        <v>1072</v>
      </c>
      <c r="S797" s="59">
        <v>98384</v>
      </c>
      <c r="T797" s="57" t="s">
        <v>61</v>
      </c>
      <c r="U797" s="60">
        <v>45954</v>
      </c>
      <c r="V797" s="59">
        <v>98384</v>
      </c>
      <c r="W797" s="57" t="s">
        <v>3675</v>
      </c>
      <c r="X797" s="57" t="s">
        <v>3676</v>
      </c>
      <c r="Y797" s="57" t="s">
        <v>21</v>
      </c>
      <c r="Z797" s="57" t="s">
        <v>151</v>
      </c>
      <c r="AA797" s="59">
        <v>34222</v>
      </c>
      <c r="AB797" s="57" t="s">
        <v>61</v>
      </c>
      <c r="AC797" s="60">
        <v>45936</v>
      </c>
      <c r="AD797" s="59">
        <v>34222</v>
      </c>
      <c r="AE797" s="57" t="s">
        <v>3677</v>
      </c>
      <c r="AF797" s="57" t="s">
        <v>3678</v>
      </c>
    </row>
    <row r="798" spans="1:32">
      <c r="A798" s="57">
        <v>797</v>
      </c>
      <c r="B798" s="58">
        <v>45955.581562500003</v>
      </c>
      <c r="C798" s="58">
        <v>45955.584351851852</v>
      </c>
      <c r="D798" s="57" t="s">
        <v>1120</v>
      </c>
      <c r="E798" s="57" t="s">
        <v>1121</v>
      </c>
      <c r="F798" s="58"/>
      <c r="G798" s="57" t="s">
        <v>556</v>
      </c>
      <c r="H798" s="59">
        <v>2</v>
      </c>
      <c r="I798" s="57"/>
      <c r="J798" s="57"/>
      <c r="K798" s="59"/>
      <c r="L798" s="57"/>
      <c r="M798" s="60"/>
      <c r="N798" s="59"/>
      <c r="O798" s="57"/>
      <c r="P798" s="57"/>
      <c r="Q798" s="57" t="s">
        <v>21</v>
      </c>
      <c r="R798" s="57" t="s">
        <v>1122</v>
      </c>
      <c r="S798" s="59">
        <v>24953</v>
      </c>
      <c r="T798" s="57" t="s">
        <v>61</v>
      </c>
      <c r="U798" s="60">
        <v>45770</v>
      </c>
      <c r="V798" s="59">
        <v>24953</v>
      </c>
      <c r="W798" s="57" t="s">
        <v>3679</v>
      </c>
      <c r="X798" s="57" t="s">
        <v>3680</v>
      </c>
      <c r="Y798" s="57" t="s">
        <v>22</v>
      </c>
      <c r="Z798" s="57" t="s">
        <v>226</v>
      </c>
      <c r="AA798" s="59">
        <v>56318</v>
      </c>
      <c r="AB798" s="57" t="s">
        <v>61</v>
      </c>
      <c r="AC798" s="60">
        <v>45876</v>
      </c>
      <c r="AD798" s="59">
        <v>56318</v>
      </c>
      <c r="AE798" s="57" t="s">
        <v>3681</v>
      </c>
      <c r="AF798" s="57" t="s">
        <v>3682</v>
      </c>
    </row>
    <row r="799" spans="1:32">
      <c r="A799" s="57">
        <v>798</v>
      </c>
      <c r="B799" s="58">
        <v>45955.608032407406</v>
      </c>
      <c r="C799" s="58">
        <v>45955.614976851852</v>
      </c>
      <c r="D799" s="57" t="s">
        <v>1787</v>
      </c>
      <c r="E799" s="57" t="s">
        <v>1788</v>
      </c>
      <c r="F799" s="58"/>
      <c r="G799" s="57" t="s">
        <v>496</v>
      </c>
      <c r="H799" s="59">
        <v>1</v>
      </c>
      <c r="I799" s="57"/>
      <c r="J799" s="57"/>
      <c r="K799" s="59"/>
      <c r="L799" s="57"/>
      <c r="M799" s="60"/>
      <c r="N799" s="59"/>
      <c r="O799" s="57"/>
      <c r="P799" s="57"/>
      <c r="Q799" s="57"/>
      <c r="R799" s="57"/>
      <c r="S799" s="59"/>
      <c r="T799" s="57"/>
      <c r="U799" s="60"/>
      <c r="V799" s="59"/>
      <c r="W799" s="57"/>
      <c r="X799" s="57"/>
      <c r="Y799" s="57" t="s">
        <v>20</v>
      </c>
      <c r="Z799" s="57" t="s">
        <v>162</v>
      </c>
      <c r="AA799" s="59">
        <v>34566</v>
      </c>
      <c r="AB799" s="57" t="s">
        <v>61</v>
      </c>
      <c r="AC799" s="60">
        <v>45880</v>
      </c>
      <c r="AD799" s="59">
        <v>34566</v>
      </c>
      <c r="AE799" s="57" t="s">
        <v>3683</v>
      </c>
      <c r="AF799" s="57" t="s">
        <v>3684</v>
      </c>
    </row>
    <row r="800" spans="1:32">
      <c r="A800" s="57">
        <v>799</v>
      </c>
      <c r="B800" s="58">
        <v>45955.635567129633</v>
      </c>
      <c r="C800" s="58">
        <v>45955.641921296286</v>
      </c>
      <c r="D800" s="57" t="s">
        <v>1135</v>
      </c>
      <c r="E800" s="57" t="s">
        <v>1136</v>
      </c>
      <c r="F800" s="58"/>
      <c r="G800" s="57" t="s">
        <v>453</v>
      </c>
      <c r="H800" s="59">
        <v>1</v>
      </c>
      <c r="I800" s="57"/>
      <c r="J800" s="57"/>
      <c r="K800" s="59"/>
      <c r="L800" s="57"/>
      <c r="M800" s="60"/>
      <c r="N800" s="59"/>
      <c r="O800" s="57"/>
      <c r="P800" s="57"/>
      <c r="Q800" s="57"/>
      <c r="R800" s="57"/>
      <c r="S800" s="59"/>
      <c r="T800" s="57"/>
      <c r="U800" s="60"/>
      <c r="V800" s="59"/>
      <c r="W800" s="57"/>
      <c r="X800" s="57"/>
      <c r="Y800" s="57" t="s">
        <v>21</v>
      </c>
      <c r="Z800" s="57" t="s">
        <v>119</v>
      </c>
      <c r="AA800" s="59">
        <v>28336</v>
      </c>
      <c r="AB800" s="57" t="s">
        <v>61</v>
      </c>
      <c r="AC800" s="60">
        <v>45810</v>
      </c>
      <c r="AD800" s="59">
        <v>28336</v>
      </c>
      <c r="AE800" s="57" t="s">
        <v>3685</v>
      </c>
      <c r="AF800" s="57" t="s">
        <v>3686</v>
      </c>
    </row>
    <row r="801" spans="1:32">
      <c r="A801" s="57">
        <v>800</v>
      </c>
      <c r="B801" s="58">
        <v>45955.677083333343</v>
      </c>
      <c r="C801" s="58">
        <v>45955.693009259259</v>
      </c>
      <c r="D801" s="57" t="s">
        <v>1237</v>
      </c>
      <c r="E801" s="57" t="s">
        <v>1238</v>
      </c>
      <c r="F801" s="58"/>
      <c r="G801" s="57" t="s">
        <v>579</v>
      </c>
      <c r="H801" s="59">
        <v>2</v>
      </c>
      <c r="I801" s="57"/>
      <c r="J801" s="57"/>
      <c r="K801" s="59"/>
      <c r="L801" s="57"/>
      <c r="M801" s="60"/>
      <c r="N801" s="59"/>
      <c r="O801" s="57"/>
      <c r="P801" s="57"/>
      <c r="Q801" s="57" t="s">
        <v>22</v>
      </c>
      <c r="R801" s="57" t="s">
        <v>251</v>
      </c>
      <c r="S801" s="59">
        <v>47053</v>
      </c>
      <c r="T801" s="57" t="s">
        <v>61</v>
      </c>
      <c r="U801" s="60">
        <v>45790</v>
      </c>
      <c r="V801" s="59">
        <v>47053</v>
      </c>
      <c r="W801" s="57" t="s">
        <v>3687</v>
      </c>
      <c r="X801" s="57" t="s">
        <v>3688</v>
      </c>
      <c r="Y801" s="57" t="s">
        <v>21</v>
      </c>
      <c r="Z801" s="57" t="s">
        <v>1239</v>
      </c>
      <c r="AA801" s="59">
        <v>52251</v>
      </c>
      <c r="AB801" s="57" t="s">
        <v>61</v>
      </c>
      <c r="AC801" s="60">
        <v>45794</v>
      </c>
      <c r="AD801" s="59">
        <v>52251</v>
      </c>
      <c r="AE801" s="57" t="s">
        <v>3689</v>
      </c>
      <c r="AF801" s="57" t="s">
        <v>3690</v>
      </c>
    </row>
    <row r="802" spans="1:32">
      <c r="A802" s="57">
        <v>801</v>
      </c>
      <c r="B802" s="58">
        <v>45955.780347222222</v>
      </c>
      <c r="C802" s="58">
        <v>45955.810081018521</v>
      </c>
      <c r="D802" s="57" t="s">
        <v>1226</v>
      </c>
      <c r="E802" s="57" t="s">
        <v>1227</v>
      </c>
      <c r="F802" s="58"/>
      <c r="G802" s="57" t="s">
        <v>526</v>
      </c>
      <c r="H802" s="59">
        <v>2</v>
      </c>
      <c r="I802" s="57"/>
      <c r="J802" s="57"/>
      <c r="K802" s="59"/>
      <c r="L802" s="57"/>
      <c r="M802" s="60"/>
      <c r="N802" s="59"/>
      <c r="O802" s="57"/>
      <c r="P802" s="57"/>
      <c r="Q802" s="57" t="s">
        <v>22</v>
      </c>
      <c r="R802" s="57" t="s">
        <v>193</v>
      </c>
      <c r="S802" s="59">
        <v>38450</v>
      </c>
      <c r="T802" s="57" t="s">
        <v>61</v>
      </c>
      <c r="U802" s="60">
        <v>45798</v>
      </c>
      <c r="V802" s="59">
        <v>38450</v>
      </c>
      <c r="W802" s="57" t="s">
        <v>3691</v>
      </c>
      <c r="X802" s="57" t="s">
        <v>3692</v>
      </c>
      <c r="Y802" s="57" t="s">
        <v>21</v>
      </c>
      <c r="Z802" s="57" t="s">
        <v>372</v>
      </c>
      <c r="AA802" s="59">
        <v>3676</v>
      </c>
      <c r="AB802" s="57" t="s">
        <v>61</v>
      </c>
      <c r="AC802" s="60">
        <v>45909</v>
      </c>
      <c r="AD802" s="59">
        <v>3676</v>
      </c>
      <c r="AE802" s="57" t="s">
        <v>3693</v>
      </c>
      <c r="AF802" s="57" t="s">
        <v>3694</v>
      </c>
    </row>
    <row r="803" spans="1:32">
      <c r="A803" s="57">
        <v>802</v>
      </c>
      <c r="B803" s="58">
        <v>45956.429629629631</v>
      </c>
      <c r="C803" s="58">
        <v>45956.432442129633</v>
      </c>
      <c r="D803" s="57" t="s">
        <v>1750</v>
      </c>
      <c r="E803" s="57" t="s">
        <v>1751</v>
      </c>
      <c r="F803" s="58"/>
      <c r="G803" s="57" t="s">
        <v>530</v>
      </c>
      <c r="H803" s="59">
        <v>1</v>
      </c>
      <c r="I803" s="57"/>
      <c r="J803" s="57"/>
      <c r="K803" s="59"/>
      <c r="L803" s="57"/>
      <c r="M803" s="60"/>
      <c r="N803" s="59"/>
      <c r="O803" s="57"/>
      <c r="P803" s="57"/>
      <c r="Q803" s="57"/>
      <c r="R803" s="57"/>
      <c r="S803" s="59"/>
      <c r="T803" s="57"/>
      <c r="U803" s="60"/>
      <c r="V803" s="59"/>
      <c r="W803" s="57"/>
      <c r="X803" s="57"/>
      <c r="Y803" s="57" t="s">
        <v>21</v>
      </c>
      <c r="Z803" s="57" t="s">
        <v>197</v>
      </c>
      <c r="AA803" s="59">
        <v>28646</v>
      </c>
      <c r="AB803" s="57" t="s">
        <v>61</v>
      </c>
      <c r="AC803" s="60">
        <v>45898</v>
      </c>
      <c r="AD803" s="59">
        <v>28646</v>
      </c>
      <c r="AE803" s="57" t="s">
        <v>3695</v>
      </c>
      <c r="AF803" s="57" t="s">
        <v>3696</v>
      </c>
    </row>
    <row r="804" spans="1:32">
      <c r="A804" s="57">
        <v>803</v>
      </c>
      <c r="B804" s="58">
        <v>45957.331631944442</v>
      </c>
      <c r="C804" s="58">
        <v>45957.33252314815</v>
      </c>
      <c r="D804" s="57" t="s">
        <v>1452</v>
      </c>
      <c r="E804" s="57" t="s">
        <v>1453</v>
      </c>
      <c r="F804" s="58"/>
      <c r="G804" s="57" t="s">
        <v>635</v>
      </c>
      <c r="H804" s="59">
        <v>1</v>
      </c>
      <c r="I804" s="57"/>
      <c r="J804" s="57"/>
      <c r="K804" s="59"/>
      <c r="L804" s="57"/>
      <c r="M804" s="60"/>
      <c r="N804" s="59"/>
      <c r="O804" s="57"/>
      <c r="P804" s="57"/>
      <c r="Q804" s="57"/>
      <c r="R804" s="57"/>
      <c r="S804" s="59"/>
      <c r="T804" s="57"/>
      <c r="U804" s="60"/>
      <c r="V804" s="59"/>
      <c r="W804" s="57"/>
      <c r="X804" s="57"/>
      <c r="Y804" s="57" t="s">
        <v>20</v>
      </c>
      <c r="Z804" s="57" t="s">
        <v>326</v>
      </c>
      <c r="AA804" s="59">
        <v>28293</v>
      </c>
      <c r="AB804" s="57" t="s">
        <v>61</v>
      </c>
      <c r="AC804" s="60">
        <v>45953</v>
      </c>
      <c r="AD804" s="59">
        <v>28293</v>
      </c>
      <c r="AE804" s="57" t="s">
        <v>3697</v>
      </c>
      <c r="AF804" s="57" t="s">
        <v>3698</v>
      </c>
    </row>
    <row r="805" spans="1:32">
      <c r="A805" s="57">
        <v>804</v>
      </c>
      <c r="B805" s="58">
        <v>45957.371412037042</v>
      </c>
      <c r="C805" s="58">
        <v>45957.388171296298</v>
      </c>
      <c r="D805" s="57" t="s">
        <v>1045</v>
      </c>
      <c r="E805" s="57" t="s">
        <v>1046</v>
      </c>
      <c r="F805" s="58"/>
      <c r="G805" s="57" t="s">
        <v>610</v>
      </c>
      <c r="H805" s="59">
        <v>1</v>
      </c>
      <c r="I805" s="57"/>
      <c r="J805" s="57"/>
      <c r="K805" s="59"/>
      <c r="L805" s="57"/>
      <c r="M805" s="60"/>
      <c r="N805" s="59"/>
      <c r="O805" s="57"/>
      <c r="P805" s="57"/>
      <c r="Q805" s="57"/>
      <c r="R805" s="57"/>
      <c r="S805" s="59"/>
      <c r="T805" s="57"/>
      <c r="U805" s="60"/>
      <c r="V805" s="59"/>
      <c r="W805" s="57"/>
      <c r="X805" s="57"/>
      <c r="Y805" s="57" t="s">
        <v>21</v>
      </c>
      <c r="Z805" s="57" t="s">
        <v>1047</v>
      </c>
      <c r="AA805" s="59">
        <v>24690</v>
      </c>
      <c r="AB805" s="57" t="s">
        <v>61</v>
      </c>
      <c r="AC805" s="60">
        <v>45875</v>
      </c>
      <c r="AD805" s="59">
        <v>24690</v>
      </c>
      <c r="AE805" s="57" t="s">
        <v>3699</v>
      </c>
      <c r="AF805" s="57" t="s">
        <v>3700</v>
      </c>
    </row>
    <row r="806" spans="1:32">
      <c r="A806" s="57">
        <v>805</v>
      </c>
      <c r="B806" s="58">
        <v>45957.484502314823</v>
      </c>
      <c r="C806" s="58">
        <v>45957.487569444442</v>
      </c>
      <c r="D806" s="57" t="s">
        <v>1205</v>
      </c>
      <c r="E806" s="57" t="s">
        <v>1206</v>
      </c>
      <c r="F806" s="58"/>
      <c r="G806" s="57" t="s">
        <v>474</v>
      </c>
      <c r="H806" s="59">
        <v>1</v>
      </c>
      <c r="I806" s="57"/>
      <c r="J806" s="57"/>
      <c r="K806" s="59"/>
      <c r="L806" s="57"/>
      <c r="M806" s="60"/>
      <c r="N806" s="59"/>
      <c r="O806" s="57"/>
      <c r="P806" s="57"/>
      <c r="Q806" s="57"/>
      <c r="R806" s="57"/>
      <c r="S806" s="59"/>
      <c r="T806" s="57"/>
      <c r="U806" s="60"/>
      <c r="V806" s="59"/>
      <c r="W806" s="57"/>
      <c r="X806" s="57"/>
      <c r="Y806" s="57" t="s">
        <v>21</v>
      </c>
      <c r="Z806" s="57" t="s">
        <v>140</v>
      </c>
      <c r="AA806" s="59">
        <v>21749</v>
      </c>
      <c r="AB806" s="57" t="s">
        <v>61</v>
      </c>
      <c r="AC806" s="60">
        <v>45903</v>
      </c>
      <c r="AD806" s="59">
        <v>21749</v>
      </c>
      <c r="AE806" s="57" t="s">
        <v>3701</v>
      </c>
      <c r="AF806" s="57" t="s">
        <v>3702</v>
      </c>
    </row>
    <row r="807" spans="1:32">
      <c r="A807" s="57">
        <v>806</v>
      </c>
      <c r="B807" s="58">
        <v>45957.521956018521</v>
      </c>
      <c r="C807" s="58">
        <v>45957.524409722217</v>
      </c>
      <c r="D807" s="57" t="s">
        <v>866</v>
      </c>
      <c r="E807" s="57" t="s">
        <v>867</v>
      </c>
      <c r="F807" s="58"/>
      <c r="G807" s="57" t="s">
        <v>580</v>
      </c>
      <c r="H807" s="59">
        <v>2</v>
      </c>
      <c r="I807" s="57"/>
      <c r="J807" s="57"/>
      <c r="K807" s="59"/>
      <c r="L807" s="57"/>
      <c r="M807" s="60"/>
      <c r="N807" s="59"/>
      <c r="O807" s="57"/>
      <c r="P807" s="57"/>
      <c r="Q807" s="57" t="s">
        <v>21</v>
      </c>
      <c r="R807" s="57" t="s">
        <v>252</v>
      </c>
      <c r="S807" s="59">
        <v>20637</v>
      </c>
      <c r="T807" s="57" t="s">
        <v>61</v>
      </c>
      <c r="U807" s="60">
        <v>45944</v>
      </c>
      <c r="V807" s="59">
        <v>20637</v>
      </c>
      <c r="W807" s="57" t="s">
        <v>3703</v>
      </c>
      <c r="X807" s="57" t="s">
        <v>3704</v>
      </c>
      <c r="Y807" s="57" t="s">
        <v>22</v>
      </c>
      <c r="Z807" s="57" t="s">
        <v>281</v>
      </c>
      <c r="AA807" s="59">
        <v>31230</v>
      </c>
      <c r="AB807" s="57" t="s">
        <v>61</v>
      </c>
      <c r="AC807" s="60">
        <v>45875</v>
      </c>
      <c r="AD807" s="59">
        <v>31230</v>
      </c>
      <c r="AE807" s="57" t="s">
        <v>3705</v>
      </c>
      <c r="AF807" s="57" t="s">
        <v>3706</v>
      </c>
    </row>
    <row r="808" spans="1:32">
      <c r="A808" s="57">
        <v>807</v>
      </c>
      <c r="B808" s="58">
        <v>45957.525416666656</v>
      </c>
      <c r="C808" s="58">
        <v>45957.529756944437</v>
      </c>
      <c r="D808" s="57" t="s">
        <v>1536</v>
      </c>
      <c r="E808" s="57" t="s">
        <v>1537</v>
      </c>
      <c r="F808" s="58"/>
      <c r="G808" s="57" t="s">
        <v>605</v>
      </c>
      <c r="H808" s="59">
        <v>2</v>
      </c>
      <c r="I808" s="57"/>
      <c r="J808" s="57"/>
      <c r="K808" s="59"/>
      <c r="L808" s="57"/>
      <c r="M808" s="60"/>
      <c r="N808" s="59"/>
      <c r="O808" s="57"/>
      <c r="P808" s="57"/>
      <c r="Q808" s="57" t="s">
        <v>22</v>
      </c>
      <c r="R808" s="57" t="s">
        <v>297</v>
      </c>
      <c r="S808" s="59">
        <v>13157</v>
      </c>
      <c r="T808" s="57" t="s">
        <v>61</v>
      </c>
      <c r="U808" s="60">
        <v>45813</v>
      </c>
      <c r="V808" s="59">
        <v>13157</v>
      </c>
      <c r="W808" s="57" t="s">
        <v>3707</v>
      </c>
      <c r="X808" s="57" t="s">
        <v>3708</v>
      </c>
      <c r="Y808" s="57" t="s">
        <v>21</v>
      </c>
      <c r="Z808" s="57" t="s">
        <v>283</v>
      </c>
      <c r="AA808" s="59">
        <v>17622</v>
      </c>
      <c r="AB808" s="57" t="s">
        <v>61</v>
      </c>
      <c r="AC808" s="60">
        <v>45878</v>
      </c>
      <c r="AD808" s="59">
        <v>17622</v>
      </c>
      <c r="AE808" s="57" t="s">
        <v>3709</v>
      </c>
      <c r="AF808" s="57" t="s">
        <v>3710</v>
      </c>
    </row>
    <row r="809" spans="1:32">
      <c r="A809" s="57">
        <v>808</v>
      </c>
      <c r="B809" s="58">
        <v>45957.545937499999</v>
      </c>
      <c r="C809" s="58">
        <v>45957.54828703704</v>
      </c>
      <c r="D809" s="57" t="s">
        <v>952</v>
      </c>
      <c r="E809" s="57" t="s">
        <v>953</v>
      </c>
      <c r="F809" s="58"/>
      <c r="G809" s="57" t="s">
        <v>644</v>
      </c>
      <c r="H809" s="59">
        <v>1</v>
      </c>
      <c r="I809" s="57"/>
      <c r="J809" s="57"/>
      <c r="K809" s="59"/>
      <c r="L809" s="57"/>
      <c r="M809" s="60"/>
      <c r="N809" s="59"/>
      <c r="O809" s="57"/>
      <c r="P809" s="57"/>
      <c r="Q809" s="57"/>
      <c r="R809" s="57"/>
      <c r="S809" s="59"/>
      <c r="T809" s="57"/>
      <c r="U809" s="60"/>
      <c r="V809" s="59"/>
      <c r="W809" s="57"/>
      <c r="X809" s="57"/>
      <c r="Y809" s="57" t="s">
        <v>21</v>
      </c>
      <c r="Z809" s="57" t="s">
        <v>339</v>
      </c>
      <c r="AA809" s="59">
        <v>7227</v>
      </c>
      <c r="AB809" s="57" t="s">
        <v>61</v>
      </c>
      <c r="AC809" s="60">
        <v>45957</v>
      </c>
      <c r="AD809" s="59">
        <v>7227</v>
      </c>
      <c r="AE809" s="57" t="s">
        <v>3711</v>
      </c>
      <c r="AF809" s="57" t="s">
        <v>3712</v>
      </c>
    </row>
    <row r="810" spans="1:32">
      <c r="A810" s="57">
        <v>809</v>
      </c>
      <c r="B810" s="58">
        <v>45957.558553240742</v>
      </c>
      <c r="C810" s="58">
        <v>45957.571805555563</v>
      </c>
      <c r="D810" s="57" t="s">
        <v>1517</v>
      </c>
      <c r="E810" s="57" t="s">
        <v>1518</v>
      </c>
      <c r="F810" s="58"/>
      <c r="G810" s="57" t="s">
        <v>585</v>
      </c>
      <c r="H810" s="59">
        <v>3</v>
      </c>
      <c r="I810" s="57" t="s">
        <v>20</v>
      </c>
      <c r="J810" s="57" t="s">
        <v>1519</v>
      </c>
      <c r="K810" s="59">
        <v>40351</v>
      </c>
      <c r="L810" s="57" t="s">
        <v>61</v>
      </c>
      <c r="M810" s="60">
        <v>45828</v>
      </c>
      <c r="N810" s="59">
        <v>40351</v>
      </c>
      <c r="O810" s="57" t="s">
        <v>3713</v>
      </c>
      <c r="P810" s="57" t="s">
        <v>3714</v>
      </c>
      <c r="Q810" s="57" t="s">
        <v>21</v>
      </c>
      <c r="R810" s="57" t="s">
        <v>259</v>
      </c>
      <c r="S810" s="59">
        <v>34827</v>
      </c>
      <c r="T810" s="57" t="s">
        <v>61</v>
      </c>
      <c r="U810" s="60">
        <v>45849</v>
      </c>
      <c r="V810" s="59">
        <v>34827</v>
      </c>
      <c r="W810" s="57" t="s">
        <v>3715</v>
      </c>
      <c r="X810" s="57" t="s">
        <v>3716</v>
      </c>
      <c r="Y810" s="57" t="s">
        <v>20</v>
      </c>
      <c r="Z810" s="57" t="s">
        <v>2561</v>
      </c>
      <c r="AA810" s="59">
        <v>48100</v>
      </c>
      <c r="AB810" s="57" t="s">
        <v>61</v>
      </c>
      <c r="AC810" s="60">
        <v>45843</v>
      </c>
      <c r="AD810" s="59">
        <v>48100</v>
      </c>
      <c r="AE810" s="57" t="s">
        <v>3717</v>
      </c>
      <c r="AF810" s="57" t="s">
        <v>3718</v>
      </c>
    </row>
    <row r="811" spans="1:32">
      <c r="A811" s="57">
        <v>810</v>
      </c>
      <c r="B811" s="58">
        <v>45957.572199074071</v>
      </c>
      <c r="C811" s="58">
        <v>45957.575312499997</v>
      </c>
      <c r="D811" s="57" t="s">
        <v>2613</v>
      </c>
      <c r="E811" s="57" t="s">
        <v>2614</v>
      </c>
      <c r="F811" s="58"/>
      <c r="G811" s="57" t="s">
        <v>482</v>
      </c>
      <c r="H811" s="59">
        <v>2</v>
      </c>
      <c r="I811" s="57"/>
      <c r="J811" s="57"/>
      <c r="K811" s="59"/>
      <c r="L811" s="57"/>
      <c r="M811" s="60"/>
      <c r="N811" s="59"/>
      <c r="O811" s="57"/>
      <c r="P811" s="57"/>
      <c r="Q811" s="57" t="s">
        <v>22</v>
      </c>
      <c r="R811" s="57" t="s">
        <v>148</v>
      </c>
      <c r="S811" s="59">
        <v>50974</v>
      </c>
      <c r="T811" s="57" t="s">
        <v>61</v>
      </c>
      <c r="U811" s="60">
        <v>45847</v>
      </c>
      <c r="V811" s="59">
        <v>50974</v>
      </c>
      <c r="W811" s="57" t="s">
        <v>3719</v>
      </c>
      <c r="X811" s="57" t="s">
        <v>3720</v>
      </c>
      <c r="Y811" s="57" t="s">
        <v>21</v>
      </c>
      <c r="Z811" s="57" t="s">
        <v>316</v>
      </c>
      <c r="AA811" s="59">
        <v>7404</v>
      </c>
      <c r="AB811" s="57" t="s">
        <v>61</v>
      </c>
      <c r="AC811" s="60">
        <v>45936</v>
      </c>
      <c r="AD811" s="59">
        <v>7404</v>
      </c>
      <c r="AE811" s="57" t="s">
        <v>3721</v>
      </c>
      <c r="AF811" s="57" t="s">
        <v>3722</v>
      </c>
    </row>
    <row r="812" spans="1:32">
      <c r="A812" s="57">
        <v>811</v>
      </c>
      <c r="B812" s="58">
        <v>45957.582118055558</v>
      </c>
      <c r="C812" s="58">
        <v>45957.596087962957</v>
      </c>
      <c r="D812" s="57" t="s">
        <v>1244</v>
      </c>
      <c r="E812" s="57" t="s">
        <v>1245</v>
      </c>
      <c r="F812" s="58"/>
      <c r="G812" s="57" t="s">
        <v>708</v>
      </c>
      <c r="H812" s="59">
        <v>1</v>
      </c>
      <c r="I812" s="57"/>
      <c r="J812" s="57"/>
      <c r="K812" s="59"/>
      <c r="L812" s="57"/>
      <c r="M812" s="60"/>
      <c r="N812" s="59"/>
      <c r="O812" s="57"/>
      <c r="P812" s="57"/>
      <c r="Q812" s="57"/>
      <c r="R812" s="57"/>
      <c r="S812" s="59"/>
      <c r="T812" s="57"/>
      <c r="U812" s="60"/>
      <c r="V812" s="59"/>
      <c r="W812" s="57"/>
      <c r="X812" s="57"/>
      <c r="Y812" s="57" t="s">
        <v>20</v>
      </c>
      <c r="Z812" s="57" t="s">
        <v>1246</v>
      </c>
      <c r="AA812" s="59">
        <v>54383</v>
      </c>
      <c r="AB812" s="57" t="s">
        <v>61</v>
      </c>
      <c r="AC812" s="60">
        <v>45951</v>
      </c>
      <c r="AD812" s="59">
        <v>54383</v>
      </c>
      <c r="AE812" s="57" t="s">
        <v>3723</v>
      </c>
      <c r="AF812" s="57" t="s">
        <v>3724</v>
      </c>
    </row>
    <row r="813" spans="1:32">
      <c r="A813" s="57">
        <v>812</v>
      </c>
      <c r="B813" s="58">
        <v>45957.773229166669</v>
      </c>
      <c r="C813" s="58">
        <v>45957.780428240738</v>
      </c>
      <c r="D813" s="57" t="s">
        <v>769</v>
      </c>
      <c r="E813" s="57" t="s">
        <v>770</v>
      </c>
      <c r="F813" s="58"/>
      <c r="G813" s="57" t="s">
        <v>582</v>
      </c>
      <c r="H813" s="59">
        <v>2</v>
      </c>
      <c r="I813" s="57"/>
      <c r="J813" s="57"/>
      <c r="K813" s="59"/>
      <c r="L813" s="57"/>
      <c r="M813" s="60"/>
      <c r="N813" s="59"/>
      <c r="O813" s="57"/>
      <c r="P813" s="57"/>
      <c r="Q813" s="57" t="s">
        <v>21</v>
      </c>
      <c r="R813" s="57" t="s">
        <v>256</v>
      </c>
      <c r="S813" s="59">
        <v>43467</v>
      </c>
      <c r="T813" s="57" t="s">
        <v>61</v>
      </c>
      <c r="U813" s="60">
        <v>45841</v>
      </c>
      <c r="V813" s="59">
        <v>43467</v>
      </c>
      <c r="W813" s="57" t="s">
        <v>3725</v>
      </c>
      <c r="X813" s="57" t="s">
        <v>3726</v>
      </c>
      <c r="Y813" s="57" t="s">
        <v>21</v>
      </c>
      <c r="Z813" s="57" t="s">
        <v>257</v>
      </c>
      <c r="AA813" s="59">
        <v>28039</v>
      </c>
      <c r="AB813" s="57" t="s">
        <v>61</v>
      </c>
      <c r="AC813" s="60">
        <v>45861</v>
      </c>
      <c r="AD813" s="59">
        <v>28039</v>
      </c>
      <c r="AE813" s="57" t="s">
        <v>3727</v>
      </c>
      <c r="AF813" s="57" t="s">
        <v>3728</v>
      </c>
    </row>
    <row r="814" spans="1:32">
      <c r="A814" s="57">
        <v>813</v>
      </c>
      <c r="B814" s="58">
        <v>45957.778506944444</v>
      </c>
      <c r="C814" s="58">
        <v>45957.809050925927</v>
      </c>
      <c r="D814" s="57" t="s">
        <v>1078</v>
      </c>
      <c r="E814" s="57" t="s">
        <v>1079</v>
      </c>
      <c r="F814" s="58"/>
      <c r="G814" s="57" t="s">
        <v>456</v>
      </c>
      <c r="H814" s="59">
        <v>2</v>
      </c>
      <c r="I814" s="57"/>
      <c r="J814" s="57"/>
      <c r="K814" s="59"/>
      <c r="L814" s="57"/>
      <c r="M814" s="60"/>
      <c r="N814" s="59"/>
      <c r="O814" s="57"/>
      <c r="P814" s="57"/>
      <c r="Q814" s="57" t="s">
        <v>22</v>
      </c>
      <c r="R814" s="57" t="s">
        <v>132</v>
      </c>
      <c r="S814" s="59">
        <v>39995</v>
      </c>
      <c r="T814" s="57" t="s">
        <v>61</v>
      </c>
      <c r="U814" s="60">
        <v>45889</v>
      </c>
      <c r="V814" s="59">
        <v>39995</v>
      </c>
      <c r="W814" s="57" t="s">
        <v>3729</v>
      </c>
      <c r="X814" s="57" t="s">
        <v>3730</v>
      </c>
      <c r="Y814" s="57" t="s">
        <v>20</v>
      </c>
      <c r="Z814" s="57" t="s">
        <v>122</v>
      </c>
      <c r="AA814" s="59">
        <v>49566</v>
      </c>
      <c r="AB814" s="57" t="s">
        <v>61</v>
      </c>
      <c r="AC814" s="60">
        <v>45889</v>
      </c>
      <c r="AD814" s="59">
        <v>49566</v>
      </c>
      <c r="AE814" s="57" t="s">
        <v>3731</v>
      </c>
      <c r="AF814" s="57" t="s">
        <v>3732</v>
      </c>
    </row>
    <row r="815" spans="1:32">
      <c r="A815" s="57">
        <v>814</v>
      </c>
      <c r="B815" s="58">
        <v>45957.8205787037</v>
      </c>
      <c r="C815" s="58">
        <v>45957.839803240742</v>
      </c>
      <c r="D815" s="57" t="s">
        <v>1551</v>
      </c>
      <c r="E815" s="57" t="s">
        <v>1552</v>
      </c>
      <c r="F815" s="58"/>
      <c r="G815" s="57" t="s">
        <v>543</v>
      </c>
      <c r="H815" s="59">
        <v>2</v>
      </c>
      <c r="I815" s="57"/>
      <c r="J815" s="57"/>
      <c r="K815" s="59"/>
      <c r="L815" s="57"/>
      <c r="M815" s="60"/>
      <c r="N815" s="59"/>
      <c r="O815" s="57"/>
      <c r="P815" s="57"/>
      <c r="Q815" s="57" t="s">
        <v>22</v>
      </c>
      <c r="R815" s="57" t="s">
        <v>300</v>
      </c>
      <c r="S815" s="59">
        <v>1516</v>
      </c>
      <c r="T815" s="57" t="s">
        <v>61</v>
      </c>
      <c r="U815" s="60">
        <v>45957</v>
      </c>
      <c r="V815" s="59">
        <v>1516</v>
      </c>
      <c r="W815" s="57" t="s">
        <v>3733</v>
      </c>
      <c r="X815" s="57" t="s">
        <v>3734</v>
      </c>
      <c r="Y815" s="57" t="s">
        <v>20</v>
      </c>
      <c r="Z815" s="57" t="s">
        <v>212</v>
      </c>
      <c r="AA815" s="59">
        <v>65890</v>
      </c>
      <c r="AB815" s="57" t="s">
        <v>61</v>
      </c>
      <c r="AC815" s="60">
        <v>45954</v>
      </c>
      <c r="AD815" s="59">
        <v>65890</v>
      </c>
      <c r="AE815" s="57" t="s">
        <v>3735</v>
      </c>
      <c r="AF815" s="57" t="s">
        <v>3736</v>
      </c>
    </row>
    <row r="816" spans="1:32">
      <c r="A816" s="57">
        <v>815</v>
      </c>
      <c r="B816" s="58">
        <v>45958.393391203703</v>
      </c>
      <c r="C816" s="58">
        <v>45958.405405092592</v>
      </c>
      <c r="D816" s="57" t="s">
        <v>2668</v>
      </c>
      <c r="E816" s="57" t="s">
        <v>2669</v>
      </c>
      <c r="F816" s="58"/>
      <c r="G816" s="57" t="s">
        <v>469</v>
      </c>
      <c r="H816" s="59">
        <v>1</v>
      </c>
      <c r="I816" s="57"/>
      <c r="J816" s="57"/>
      <c r="K816" s="59"/>
      <c r="L816" s="57"/>
      <c r="M816" s="60"/>
      <c r="N816" s="59"/>
      <c r="O816" s="57"/>
      <c r="P816" s="57"/>
      <c r="Q816" s="57"/>
      <c r="R816" s="57"/>
      <c r="S816" s="59"/>
      <c r="T816" s="57"/>
      <c r="U816" s="60"/>
      <c r="V816" s="59"/>
      <c r="W816" s="57"/>
      <c r="X816" s="57"/>
      <c r="Y816" s="57" t="s">
        <v>21</v>
      </c>
      <c r="Z816" s="57" t="s">
        <v>135</v>
      </c>
      <c r="AA816" s="59">
        <v>69285</v>
      </c>
      <c r="AB816" s="57" t="s">
        <v>61</v>
      </c>
      <c r="AC816" s="60">
        <v>45939</v>
      </c>
      <c r="AD816" s="59">
        <v>69285</v>
      </c>
      <c r="AE816" s="57" t="s">
        <v>3737</v>
      </c>
      <c r="AF816" s="57" t="s">
        <v>3738</v>
      </c>
    </row>
    <row r="817" spans="1:32">
      <c r="A817" s="57">
        <v>816</v>
      </c>
      <c r="B817" s="58">
        <v>45958.406851851847</v>
      </c>
      <c r="C817" s="58">
        <v>45958.411412037043</v>
      </c>
      <c r="D817" s="57" t="s">
        <v>1655</v>
      </c>
      <c r="E817" s="57" t="s">
        <v>1656</v>
      </c>
      <c r="F817" s="58"/>
      <c r="G817" s="57" t="s">
        <v>549</v>
      </c>
      <c r="H817" s="59">
        <v>2</v>
      </c>
      <c r="I817" s="57"/>
      <c r="J817" s="57"/>
      <c r="K817" s="59"/>
      <c r="L817" s="57"/>
      <c r="M817" s="60"/>
      <c r="N817" s="59"/>
      <c r="O817" s="57"/>
      <c r="P817" s="57"/>
      <c r="Q817" s="57" t="s">
        <v>22</v>
      </c>
      <c r="R817" s="57" t="s">
        <v>218</v>
      </c>
      <c r="S817" s="59">
        <v>68925</v>
      </c>
      <c r="T817" s="57" t="s">
        <v>61</v>
      </c>
      <c r="U817" s="60">
        <v>45944</v>
      </c>
      <c r="V817" s="59">
        <v>68925</v>
      </c>
      <c r="W817" s="57" t="s">
        <v>3739</v>
      </c>
      <c r="X817" s="57" t="s">
        <v>3740</v>
      </c>
      <c r="Y817" s="57" t="s">
        <v>21</v>
      </c>
      <c r="Z817" s="57" t="s">
        <v>253</v>
      </c>
      <c r="AA817" s="59">
        <v>21747</v>
      </c>
      <c r="AB817" s="57" t="s">
        <v>61</v>
      </c>
      <c r="AC817" s="60">
        <v>45854</v>
      </c>
      <c r="AD817" s="59">
        <v>21747</v>
      </c>
      <c r="AE817" s="57" t="s">
        <v>3741</v>
      </c>
      <c r="AF817" s="57" t="s">
        <v>3742</v>
      </c>
    </row>
    <row r="818" spans="1:32">
      <c r="A818" s="57">
        <v>817</v>
      </c>
      <c r="B818" s="58">
        <v>45958.565254629633</v>
      </c>
      <c r="C818" s="58">
        <v>45958.575787037043</v>
      </c>
      <c r="D818" s="57" t="s">
        <v>1260</v>
      </c>
      <c r="E818" s="57" t="s">
        <v>1261</v>
      </c>
      <c r="F818" s="58"/>
      <c r="G818" s="57" t="s">
        <v>637</v>
      </c>
      <c r="H818" s="59">
        <v>3</v>
      </c>
      <c r="I818" s="57" t="s">
        <v>20</v>
      </c>
      <c r="J818" s="57" t="s">
        <v>330</v>
      </c>
      <c r="K818" s="59">
        <v>22471</v>
      </c>
      <c r="L818" s="57" t="s">
        <v>61</v>
      </c>
      <c r="M818" s="60">
        <v>45941</v>
      </c>
      <c r="N818" s="59">
        <v>22471</v>
      </c>
      <c r="O818" s="57" t="s">
        <v>3743</v>
      </c>
      <c r="P818" s="57" t="s">
        <v>3744</v>
      </c>
      <c r="Q818" s="57" t="s">
        <v>20</v>
      </c>
      <c r="R818" s="57" t="s">
        <v>1265</v>
      </c>
      <c r="S818" s="59">
        <v>34554</v>
      </c>
      <c r="T818" s="57" t="s">
        <v>61</v>
      </c>
      <c r="U818" s="60">
        <v>45941</v>
      </c>
      <c r="V818" s="59">
        <v>34554</v>
      </c>
      <c r="W818" s="57" t="s">
        <v>3745</v>
      </c>
      <c r="X818" s="57" t="s">
        <v>3746</v>
      </c>
      <c r="Y818" s="57" t="s">
        <v>20</v>
      </c>
      <c r="Z818" s="57" t="s">
        <v>2310</v>
      </c>
      <c r="AA818" s="59">
        <v>56471</v>
      </c>
      <c r="AB818" s="57" t="s">
        <v>61</v>
      </c>
      <c r="AC818" s="60">
        <v>45941</v>
      </c>
      <c r="AD818" s="59">
        <v>56471</v>
      </c>
      <c r="AE818" s="57" t="s">
        <v>3747</v>
      </c>
      <c r="AF818" s="57" t="s">
        <v>3748</v>
      </c>
    </row>
    <row r="819" spans="1:32">
      <c r="A819" s="57">
        <v>818</v>
      </c>
      <c r="B819" s="58">
        <v>45958.628599537027</v>
      </c>
      <c r="C819" s="58">
        <v>45958.632245370369</v>
      </c>
      <c r="D819" s="57" t="s">
        <v>3749</v>
      </c>
      <c r="E819" s="57" t="s">
        <v>3750</v>
      </c>
      <c r="F819" s="58"/>
      <c r="G819" s="57" t="s">
        <v>505</v>
      </c>
      <c r="H819" s="59">
        <v>1</v>
      </c>
      <c r="I819" s="57"/>
      <c r="J819" s="57"/>
      <c r="K819" s="59"/>
      <c r="L819" s="57"/>
      <c r="M819" s="60"/>
      <c r="N819" s="59"/>
      <c r="O819" s="57"/>
      <c r="P819" s="57"/>
      <c r="Q819" s="57"/>
      <c r="R819" s="57"/>
      <c r="S819" s="59"/>
      <c r="T819" s="57"/>
      <c r="U819" s="60"/>
      <c r="V819" s="59"/>
      <c r="W819" s="57"/>
      <c r="X819" s="57"/>
      <c r="Y819" s="57" t="s">
        <v>20</v>
      </c>
      <c r="Z819" s="57" t="s">
        <v>171</v>
      </c>
      <c r="AA819" s="59">
        <v>69909</v>
      </c>
      <c r="AB819" s="57" t="s">
        <v>61</v>
      </c>
      <c r="AC819" s="60">
        <v>45909</v>
      </c>
      <c r="AD819" s="59">
        <v>69909</v>
      </c>
      <c r="AE819" s="57" t="s">
        <v>3751</v>
      </c>
      <c r="AF819" s="57" t="s">
        <v>3752</v>
      </c>
    </row>
    <row r="820" spans="1:32">
      <c r="A820" s="57">
        <v>819</v>
      </c>
      <c r="B820" s="58">
        <v>45958.643657407411</v>
      </c>
      <c r="C820" s="58">
        <v>45958.650636574072</v>
      </c>
      <c r="D820" s="57" t="s">
        <v>1510</v>
      </c>
      <c r="E820" s="57" t="s">
        <v>1511</v>
      </c>
      <c r="F820" s="58"/>
      <c r="G820" s="57" t="s">
        <v>559</v>
      </c>
      <c r="H820" s="59">
        <v>2</v>
      </c>
      <c r="I820" s="57"/>
      <c r="J820" s="57"/>
      <c r="K820" s="59"/>
      <c r="L820" s="57"/>
      <c r="M820" s="60"/>
      <c r="N820" s="59"/>
      <c r="O820" s="57"/>
      <c r="P820" s="57"/>
      <c r="Q820" s="57" t="s">
        <v>22</v>
      </c>
      <c r="R820" s="57" t="s">
        <v>229</v>
      </c>
      <c r="S820" s="59">
        <v>61499</v>
      </c>
      <c r="T820" s="57" t="s">
        <v>61</v>
      </c>
      <c r="U820" s="60">
        <v>45955</v>
      </c>
      <c r="V820" s="59">
        <v>61499</v>
      </c>
      <c r="W820" s="57" t="s">
        <v>3753</v>
      </c>
      <c r="X820" s="57" t="s">
        <v>3754</v>
      </c>
      <c r="Y820" s="57" t="s">
        <v>20</v>
      </c>
      <c r="Z820" s="57" t="s">
        <v>343</v>
      </c>
      <c r="AA820" s="59">
        <v>4509</v>
      </c>
      <c r="AB820" s="57" t="s">
        <v>61</v>
      </c>
      <c r="AC820" s="60">
        <v>45870</v>
      </c>
      <c r="AD820" s="59">
        <v>4509</v>
      </c>
      <c r="AE820" s="57" t="s">
        <v>3755</v>
      </c>
      <c r="AF820" s="57" t="s">
        <v>3756</v>
      </c>
    </row>
    <row r="821" spans="1:32">
      <c r="A821" s="57">
        <v>820</v>
      </c>
      <c r="B821" s="58">
        <v>45958.639108796298</v>
      </c>
      <c r="C821" s="58">
        <v>45958.666087962964</v>
      </c>
      <c r="D821" s="57" t="s">
        <v>1434</v>
      </c>
      <c r="E821" s="57" t="s">
        <v>1435</v>
      </c>
      <c r="F821" s="58"/>
      <c r="G821" s="57" t="s">
        <v>634</v>
      </c>
      <c r="H821" s="59">
        <v>2</v>
      </c>
      <c r="I821" s="57"/>
      <c r="J821" s="57"/>
      <c r="K821" s="59"/>
      <c r="L821" s="57"/>
      <c r="M821" s="60"/>
      <c r="N821" s="59"/>
      <c r="O821" s="57"/>
      <c r="P821" s="57"/>
      <c r="Q821" s="57" t="s">
        <v>20</v>
      </c>
      <c r="R821" s="57" t="s">
        <v>1436</v>
      </c>
      <c r="S821" s="59">
        <v>59799</v>
      </c>
      <c r="T821" s="57" t="s">
        <v>61</v>
      </c>
      <c r="U821" s="60">
        <v>45825</v>
      </c>
      <c r="V821" s="59">
        <v>59799</v>
      </c>
      <c r="W821" s="57" t="s">
        <v>3757</v>
      </c>
      <c r="X821" s="57" t="s">
        <v>3758</v>
      </c>
      <c r="Y821" s="57" t="s">
        <v>20</v>
      </c>
      <c r="Z821" s="57" t="s">
        <v>325</v>
      </c>
      <c r="AA821" s="59">
        <v>14953</v>
      </c>
      <c r="AB821" s="57" t="s">
        <v>61</v>
      </c>
      <c r="AC821" s="60">
        <v>45874</v>
      </c>
      <c r="AD821" s="59">
        <v>14953</v>
      </c>
      <c r="AE821" s="57" t="s">
        <v>3759</v>
      </c>
      <c r="AF821" s="57" t="s">
        <v>3760</v>
      </c>
    </row>
    <row r="822" spans="1:32">
      <c r="A822" s="57">
        <v>821</v>
      </c>
      <c r="B822" s="58">
        <v>45955.702025462961</v>
      </c>
      <c r="C822" s="58">
        <v>45958.763611111113</v>
      </c>
      <c r="D822" s="57" t="s">
        <v>1502</v>
      </c>
      <c r="E822" s="57" t="s">
        <v>1503</v>
      </c>
      <c r="F822" s="58"/>
      <c r="G822" s="57" t="s">
        <v>491</v>
      </c>
      <c r="H822" s="59">
        <v>2</v>
      </c>
      <c r="I822" s="57"/>
      <c r="J822" s="57"/>
      <c r="K822" s="59"/>
      <c r="L822" s="57"/>
      <c r="M822" s="60"/>
      <c r="N822" s="59"/>
      <c r="O822" s="57"/>
      <c r="P822" s="57"/>
      <c r="Q822" s="57" t="s">
        <v>22</v>
      </c>
      <c r="R822" s="57" t="s">
        <v>373</v>
      </c>
      <c r="S822" s="59">
        <v>13179</v>
      </c>
      <c r="T822" s="57" t="s">
        <v>61</v>
      </c>
      <c r="U822" s="60">
        <v>45955</v>
      </c>
      <c r="V822" s="59">
        <v>13179</v>
      </c>
      <c r="W822" s="57" t="s">
        <v>3761</v>
      </c>
      <c r="X822" s="57" t="s">
        <v>3762</v>
      </c>
      <c r="Y822" s="57" t="s">
        <v>20</v>
      </c>
      <c r="Z822" s="57" t="s">
        <v>3763</v>
      </c>
      <c r="AA822" s="59">
        <v>49443</v>
      </c>
      <c r="AB822" s="57" t="s">
        <v>61</v>
      </c>
      <c r="AC822" s="60">
        <v>45955</v>
      </c>
      <c r="AD822" s="59">
        <v>49443</v>
      </c>
      <c r="AE822" s="57" t="s">
        <v>3764</v>
      </c>
      <c r="AF822" s="57" t="s">
        <v>3765</v>
      </c>
    </row>
    <row r="823" spans="1:32">
      <c r="A823" s="57">
        <v>822</v>
      </c>
      <c r="B823" s="58">
        <v>45959.314803240741</v>
      </c>
      <c r="C823" s="58">
        <v>45959.317997685182</v>
      </c>
      <c r="D823" s="57" t="s">
        <v>1814</v>
      </c>
      <c r="E823" s="57" t="s">
        <v>1815</v>
      </c>
      <c r="F823" s="58"/>
      <c r="G823" s="57" t="s">
        <v>459</v>
      </c>
      <c r="H823" s="59">
        <v>2</v>
      </c>
      <c r="I823" s="57"/>
      <c r="J823" s="57"/>
      <c r="K823" s="59"/>
      <c r="L823" s="57"/>
      <c r="M823" s="60"/>
      <c r="N823" s="59"/>
      <c r="O823" s="57"/>
      <c r="P823" s="57"/>
      <c r="Q823" s="57" t="s">
        <v>22</v>
      </c>
      <c r="R823" s="57" t="s">
        <v>267</v>
      </c>
      <c r="S823" s="59">
        <v>26540</v>
      </c>
      <c r="T823" s="57" t="s">
        <v>61</v>
      </c>
      <c r="U823" s="60">
        <v>45796</v>
      </c>
      <c r="V823" s="59">
        <v>26540</v>
      </c>
      <c r="W823" s="57" t="s">
        <v>3766</v>
      </c>
      <c r="X823" s="57" t="s">
        <v>3767</v>
      </c>
      <c r="Y823" s="57" t="s">
        <v>21</v>
      </c>
      <c r="Z823" s="57" t="s">
        <v>125</v>
      </c>
      <c r="AA823" s="59">
        <v>19668</v>
      </c>
      <c r="AB823" s="57" t="s">
        <v>61</v>
      </c>
      <c r="AC823" s="60">
        <v>45934</v>
      </c>
      <c r="AD823" s="59">
        <v>19668</v>
      </c>
      <c r="AE823" s="57" t="s">
        <v>3768</v>
      </c>
      <c r="AF823" s="57" t="s">
        <v>3769</v>
      </c>
    </row>
    <row r="824" spans="1:32">
      <c r="A824" s="57">
        <v>823</v>
      </c>
      <c r="B824" s="58">
        <v>45959.353333333333</v>
      </c>
      <c r="C824" s="58">
        <v>45959.36959490741</v>
      </c>
      <c r="D824" s="57" t="s">
        <v>2151</v>
      </c>
      <c r="E824" s="57" t="s">
        <v>2152</v>
      </c>
      <c r="F824" s="58"/>
      <c r="G824" s="57" t="s">
        <v>554</v>
      </c>
      <c r="H824" s="59">
        <v>1</v>
      </c>
      <c r="I824" s="57"/>
      <c r="J824" s="57"/>
      <c r="K824" s="59"/>
      <c r="L824" s="57"/>
      <c r="M824" s="60"/>
      <c r="N824" s="59"/>
      <c r="O824" s="57"/>
      <c r="P824" s="57"/>
      <c r="Q824" s="57"/>
      <c r="R824" s="57"/>
      <c r="S824" s="59"/>
      <c r="T824" s="57"/>
      <c r="U824" s="60"/>
      <c r="V824" s="59"/>
      <c r="W824" s="57"/>
      <c r="X824" s="57"/>
      <c r="Y824" s="57" t="s">
        <v>21</v>
      </c>
      <c r="Z824" s="57" t="s">
        <v>2153</v>
      </c>
      <c r="AA824" s="59">
        <v>2395</v>
      </c>
      <c r="AB824" s="57" t="s">
        <v>61</v>
      </c>
      <c r="AC824" s="60">
        <v>45794</v>
      </c>
      <c r="AD824" s="59">
        <v>2395</v>
      </c>
      <c r="AE824" s="57" t="s">
        <v>3770</v>
      </c>
      <c r="AF824" s="57" t="s">
        <v>3771</v>
      </c>
    </row>
    <row r="825" spans="1:32">
      <c r="A825" s="57">
        <v>824</v>
      </c>
      <c r="B825" s="58">
        <v>45959.465682870366</v>
      </c>
      <c r="C825" s="58">
        <v>45959.47252314815</v>
      </c>
      <c r="D825" s="57" t="s">
        <v>1741</v>
      </c>
      <c r="E825" s="57" t="s">
        <v>1742</v>
      </c>
      <c r="F825" s="58"/>
      <c r="G825" s="57" t="s">
        <v>509</v>
      </c>
      <c r="H825" s="59">
        <v>1</v>
      </c>
      <c r="I825" s="57"/>
      <c r="J825" s="57"/>
      <c r="K825" s="59"/>
      <c r="L825" s="57"/>
      <c r="M825" s="60"/>
      <c r="N825" s="59"/>
      <c r="O825" s="57"/>
      <c r="P825" s="57"/>
      <c r="Q825" s="57"/>
      <c r="R825" s="57"/>
      <c r="S825" s="59"/>
      <c r="T825" s="57"/>
      <c r="U825" s="60"/>
      <c r="V825" s="59"/>
      <c r="W825" s="57"/>
      <c r="X825" s="57"/>
      <c r="Y825" s="57" t="s">
        <v>21</v>
      </c>
      <c r="Z825" s="57" t="s">
        <v>175</v>
      </c>
      <c r="AA825" s="59">
        <v>35976</v>
      </c>
      <c r="AB825" s="57" t="s">
        <v>61</v>
      </c>
      <c r="AC825" s="60">
        <v>45926</v>
      </c>
      <c r="AD825" s="59">
        <v>35976</v>
      </c>
      <c r="AE825" s="57" t="s">
        <v>3772</v>
      </c>
      <c r="AF825" s="57" t="s">
        <v>3773</v>
      </c>
    </row>
    <row r="826" spans="1:32">
      <c r="A826" s="57">
        <v>825</v>
      </c>
      <c r="B826" s="58">
        <v>45959.502118055563</v>
      </c>
      <c r="C826" s="58">
        <v>45959.504687499997</v>
      </c>
      <c r="D826" s="57" t="s">
        <v>1498</v>
      </c>
      <c r="E826" s="57" t="s">
        <v>1499</v>
      </c>
      <c r="F826" s="58"/>
      <c r="G826" s="57" t="s">
        <v>616</v>
      </c>
      <c r="H826" s="59">
        <v>1</v>
      </c>
      <c r="I826" s="57"/>
      <c r="J826" s="57"/>
      <c r="K826" s="59"/>
      <c r="L826" s="57"/>
      <c r="M826" s="60"/>
      <c r="N826" s="59"/>
      <c r="O826" s="57"/>
      <c r="P826" s="57"/>
      <c r="Q826" s="57"/>
      <c r="R826" s="57"/>
      <c r="S826" s="59"/>
      <c r="T826" s="57"/>
      <c r="U826" s="60"/>
      <c r="V826" s="59"/>
      <c r="W826" s="57"/>
      <c r="X826" s="57"/>
      <c r="Y826" s="57" t="s">
        <v>21</v>
      </c>
      <c r="Z826" s="57" t="s">
        <v>296</v>
      </c>
      <c r="AA826" s="59">
        <v>16152</v>
      </c>
      <c r="AB826" s="57" t="s">
        <v>61</v>
      </c>
      <c r="AC826" s="60">
        <v>45833</v>
      </c>
      <c r="AD826" s="59">
        <v>16152</v>
      </c>
      <c r="AE826" s="57" t="s">
        <v>3774</v>
      </c>
      <c r="AF826" s="57" t="s">
        <v>3775</v>
      </c>
    </row>
    <row r="827" spans="1:32">
      <c r="A827" s="57">
        <v>826</v>
      </c>
      <c r="B827" s="58">
        <v>45959.562916666669</v>
      </c>
      <c r="C827" s="58">
        <v>45959.572326388887</v>
      </c>
      <c r="D827" s="57" t="s">
        <v>2391</v>
      </c>
      <c r="E827" s="57" t="s">
        <v>2392</v>
      </c>
      <c r="F827" s="58"/>
      <c r="G827" s="57" t="s">
        <v>669</v>
      </c>
      <c r="H827" s="59">
        <v>1</v>
      </c>
      <c r="I827" s="57"/>
      <c r="J827" s="57"/>
      <c r="K827" s="59"/>
      <c r="L827" s="57"/>
      <c r="M827" s="60"/>
      <c r="N827" s="59"/>
      <c r="O827" s="57"/>
      <c r="P827" s="57"/>
      <c r="Q827" s="57"/>
      <c r="R827" s="57"/>
      <c r="S827" s="59"/>
      <c r="T827" s="57"/>
      <c r="U827" s="60"/>
      <c r="V827" s="59"/>
      <c r="W827" s="57"/>
      <c r="X827" s="57"/>
      <c r="Y827" s="57" t="s">
        <v>21</v>
      </c>
      <c r="Z827" s="57" t="s">
        <v>380</v>
      </c>
      <c r="AA827" s="59">
        <v>1006</v>
      </c>
      <c r="AB827" s="57" t="s">
        <v>61</v>
      </c>
      <c r="AC827" s="60">
        <v>45842</v>
      </c>
      <c r="AD827" s="59">
        <v>1006</v>
      </c>
      <c r="AE827" s="57" t="s">
        <v>3776</v>
      </c>
      <c r="AF827" s="57" t="s">
        <v>3777</v>
      </c>
    </row>
    <row r="828" spans="1:32">
      <c r="A828" s="57">
        <v>827</v>
      </c>
      <c r="B828" s="58">
        <v>45959.563125000001</v>
      </c>
      <c r="C828" s="58">
        <v>45959.574178240742</v>
      </c>
      <c r="D828" s="57" t="s">
        <v>2655</v>
      </c>
      <c r="E828" s="57" t="s">
        <v>2656</v>
      </c>
      <c r="F828" s="58"/>
      <c r="G828" s="57" t="s">
        <v>647</v>
      </c>
      <c r="H828" s="59">
        <v>2</v>
      </c>
      <c r="I828" s="57"/>
      <c r="J828" s="57"/>
      <c r="K828" s="59"/>
      <c r="L828" s="57"/>
      <c r="M828" s="60"/>
      <c r="N828" s="59"/>
      <c r="O828" s="57"/>
      <c r="P828" s="57"/>
      <c r="Q828" s="57" t="s">
        <v>21</v>
      </c>
      <c r="R828" s="57" t="s">
        <v>342</v>
      </c>
      <c r="S828" s="59">
        <v>8171</v>
      </c>
      <c r="T828" s="57" t="s">
        <v>61</v>
      </c>
      <c r="U828" s="60">
        <v>45902</v>
      </c>
      <c r="V828" s="59">
        <v>8171</v>
      </c>
      <c r="W828" s="57" t="s">
        <v>3778</v>
      </c>
      <c r="X828" s="57" t="s">
        <v>3779</v>
      </c>
      <c r="Y828" s="57" t="s">
        <v>21</v>
      </c>
      <c r="Z828" s="57" t="s">
        <v>353</v>
      </c>
      <c r="AA828" s="59">
        <v>8772</v>
      </c>
      <c r="AB828" s="57" t="s">
        <v>61</v>
      </c>
      <c r="AC828" s="60">
        <v>45737</v>
      </c>
      <c r="AD828" s="59">
        <v>8772</v>
      </c>
      <c r="AE828" s="57" t="s">
        <v>3780</v>
      </c>
      <c r="AF828" s="57" t="s">
        <v>3781</v>
      </c>
    </row>
    <row r="829" spans="1:32">
      <c r="A829" s="57">
        <v>828</v>
      </c>
      <c r="B829" s="58">
        <v>45959.454745370371</v>
      </c>
      <c r="C829" s="58">
        <v>45959.645949074067</v>
      </c>
      <c r="D829" s="57" t="s">
        <v>1648</v>
      </c>
      <c r="E829" s="57" t="s">
        <v>1649</v>
      </c>
      <c r="F829" s="58"/>
      <c r="G829" s="57" t="s">
        <v>654</v>
      </c>
      <c r="H829" s="59">
        <v>3</v>
      </c>
      <c r="I829" s="57" t="s">
        <v>22</v>
      </c>
      <c r="J829" s="57" t="s">
        <v>352</v>
      </c>
      <c r="K829" s="59">
        <v>12795</v>
      </c>
      <c r="L829" s="57" t="s">
        <v>61</v>
      </c>
      <c r="M829" s="60">
        <v>45944</v>
      </c>
      <c r="N829" s="59">
        <v>12795</v>
      </c>
      <c r="O829" s="57" t="s">
        <v>3782</v>
      </c>
      <c r="P829" s="57" t="s">
        <v>3783</v>
      </c>
      <c r="Q829" s="57" t="s">
        <v>21</v>
      </c>
      <c r="R829" s="57" t="s">
        <v>1650</v>
      </c>
      <c r="S829" s="59">
        <v>45513</v>
      </c>
      <c r="T829" s="57" t="s">
        <v>61</v>
      </c>
      <c r="U829" s="60">
        <v>45945</v>
      </c>
      <c r="V829" s="59">
        <v>45513</v>
      </c>
      <c r="W829" s="57" t="s">
        <v>3784</v>
      </c>
      <c r="X829" s="57" t="s">
        <v>3785</v>
      </c>
      <c r="Y829" s="57" t="s">
        <v>21</v>
      </c>
      <c r="Z829" s="57" t="s">
        <v>394</v>
      </c>
      <c r="AA829" s="59">
        <v>3386</v>
      </c>
      <c r="AB829" s="57" t="s">
        <v>61</v>
      </c>
      <c r="AC829" s="60">
        <v>45945</v>
      </c>
      <c r="AD829" s="59">
        <v>3386</v>
      </c>
      <c r="AE829" s="57" t="s">
        <v>3786</v>
      </c>
      <c r="AF829" s="57" t="s">
        <v>3787</v>
      </c>
    </row>
    <row r="830" spans="1:32">
      <c r="A830" s="57">
        <v>829</v>
      </c>
      <c r="B830" s="58">
        <v>45959.68949074074</v>
      </c>
      <c r="C830" s="58">
        <v>45959.696516203701</v>
      </c>
      <c r="D830" s="57" t="s">
        <v>1638</v>
      </c>
      <c r="E830" s="57" t="s">
        <v>1639</v>
      </c>
      <c r="F830" s="58"/>
      <c r="G830" s="57" t="s">
        <v>639</v>
      </c>
      <c r="H830" s="59">
        <v>2</v>
      </c>
      <c r="I830" s="57"/>
      <c r="J830" s="57"/>
      <c r="K830" s="59"/>
      <c r="L830" s="57"/>
      <c r="M830" s="60"/>
      <c r="N830" s="59"/>
      <c r="O830" s="57"/>
      <c r="P830" s="57"/>
      <c r="Q830" s="57" t="s">
        <v>22</v>
      </c>
      <c r="R830" s="57" t="s">
        <v>243</v>
      </c>
      <c r="S830" s="59">
        <v>42179</v>
      </c>
      <c r="T830" s="57" t="s">
        <v>61</v>
      </c>
      <c r="U830" s="60">
        <v>45799</v>
      </c>
      <c r="V830" s="59">
        <v>42179</v>
      </c>
      <c r="W830" s="57" t="s">
        <v>3788</v>
      </c>
      <c r="X830" s="57" t="s">
        <v>3789</v>
      </c>
      <c r="Y830" s="57" t="s">
        <v>20</v>
      </c>
      <c r="Z830" s="57" t="s">
        <v>332</v>
      </c>
      <c r="AA830" s="59">
        <v>11038</v>
      </c>
      <c r="AB830" s="57" t="s">
        <v>61</v>
      </c>
      <c r="AC830" s="60">
        <v>45917</v>
      </c>
      <c r="AD830" s="59">
        <v>11038</v>
      </c>
      <c r="AE830" s="57" t="s">
        <v>3790</v>
      </c>
      <c r="AF830" s="57" t="s">
        <v>3791</v>
      </c>
    </row>
    <row r="831" spans="1:32">
      <c r="A831" s="57">
        <v>830</v>
      </c>
      <c r="B831" s="58">
        <v>45959.451967592591</v>
      </c>
      <c r="C831" s="58">
        <v>45959.712777777779</v>
      </c>
      <c r="D831" s="57" t="s">
        <v>3792</v>
      </c>
      <c r="E831" s="57" t="s">
        <v>3793</v>
      </c>
      <c r="F831" s="58"/>
      <c r="G831" s="57" t="s">
        <v>502</v>
      </c>
      <c r="H831" s="59">
        <v>1</v>
      </c>
      <c r="I831" s="57"/>
      <c r="J831" s="57"/>
      <c r="K831" s="59"/>
      <c r="L831" s="57"/>
      <c r="M831" s="60"/>
      <c r="N831" s="59"/>
      <c r="O831" s="57"/>
      <c r="P831" s="57"/>
      <c r="Q831" s="57"/>
      <c r="R831" s="57"/>
      <c r="S831" s="59"/>
      <c r="T831" s="57"/>
      <c r="U831" s="60"/>
      <c r="V831" s="59"/>
      <c r="W831" s="57"/>
      <c r="X831" s="57"/>
      <c r="Y831" s="57" t="s">
        <v>20</v>
      </c>
      <c r="Z831" s="57" t="s">
        <v>168</v>
      </c>
      <c r="AA831" s="59">
        <v>71917</v>
      </c>
      <c r="AB831" s="57" t="s">
        <v>61</v>
      </c>
      <c r="AC831" s="60">
        <v>45957</v>
      </c>
      <c r="AD831" s="59">
        <v>71917</v>
      </c>
      <c r="AE831" s="57" t="s">
        <v>3794</v>
      </c>
      <c r="AF831" s="57" t="s">
        <v>3795</v>
      </c>
    </row>
    <row r="832" spans="1:32">
      <c r="A832" s="57">
        <v>831</v>
      </c>
      <c r="B832" s="58">
        <v>45959.751030092593</v>
      </c>
      <c r="C832" s="58">
        <v>45959.755104166667</v>
      </c>
      <c r="D832" s="57" t="s">
        <v>1682</v>
      </c>
      <c r="E832" s="57" t="s">
        <v>1683</v>
      </c>
      <c r="F832" s="58"/>
      <c r="G832" s="57" t="s">
        <v>606</v>
      </c>
      <c r="H832" s="59">
        <v>3</v>
      </c>
      <c r="I832" s="57" t="s">
        <v>22</v>
      </c>
      <c r="J832" s="57" t="s">
        <v>284</v>
      </c>
      <c r="K832" s="59">
        <v>12607</v>
      </c>
      <c r="L832" s="57" t="s">
        <v>61</v>
      </c>
      <c r="M832" s="60">
        <v>45925</v>
      </c>
      <c r="N832" s="59">
        <v>12607</v>
      </c>
      <c r="O832" s="57" t="s">
        <v>3796</v>
      </c>
      <c r="P832" s="57" t="s">
        <v>3797</v>
      </c>
      <c r="Q832" s="57" t="s">
        <v>20</v>
      </c>
      <c r="R832" s="57" t="s">
        <v>1684</v>
      </c>
      <c r="S832" s="59">
        <v>67262</v>
      </c>
      <c r="T832" s="57" t="s">
        <v>61</v>
      </c>
      <c r="U832" s="60">
        <v>45911</v>
      </c>
      <c r="V832" s="59">
        <v>67262</v>
      </c>
      <c r="W832" s="57" t="s">
        <v>3798</v>
      </c>
      <c r="X832" s="57" t="s">
        <v>3799</v>
      </c>
      <c r="Y832" s="57" t="s">
        <v>21</v>
      </c>
      <c r="Z832" s="57" t="s">
        <v>364</v>
      </c>
      <c r="AA832" s="59">
        <v>14619</v>
      </c>
      <c r="AB832" s="57" t="s">
        <v>61</v>
      </c>
      <c r="AC832" s="60">
        <v>45918</v>
      </c>
      <c r="AD832" s="59">
        <v>14619</v>
      </c>
      <c r="AE832" s="57" t="s">
        <v>3800</v>
      </c>
      <c r="AF832" s="57" t="s">
        <v>3801</v>
      </c>
    </row>
    <row r="833" spans="1:32">
      <c r="A833" s="57">
        <v>832</v>
      </c>
      <c r="B833" s="58">
        <v>45959.468217592592</v>
      </c>
      <c r="C833" s="58">
        <v>45959.771504629629</v>
      </c>
      <c r="D833" s="57" t="s">
        <v>3802</v>
      </c>
      <c r="E833" s="57" t="s">
        <v>3803</v>
      </c>
      <c r="F833" s="58"/>
      <c r="G833" s="57" t="s">
        <v>463</v>
      </c>
      <c r="H833" s="59">
        <v>1</v>
      </c>
      <c r="I833" s="57"/>
      <c r="J833" s="57"/>
      <c r="K833" s="59"/>
      <c r="L833" s="57"/>
      <c r="M833" s="60"/>
      <c r="N833" s="59"/>
      <c r="O833" s="57"/>
      <c r="P833" s="57"/>
      <c r="Q833" s="57"/>
      <c r="R833" s="57"/>
      <c r="S833" s="59"/>
      <c r="T833" s="57"/>
      <c r="U833" s="60"/>
      <c r="V833" s="59"/>
      <c r="W833" s="57"/>
      <c r="X833" s="57"/>
      <c r="Y833" s="57" t="s">
        <v>21</v>
      </c>
      <c r="Z833" s="57" t="s">
        <v>128</v>
      </c>
      <c r="AA833" s="59">
        <v>24628</v>
      </c>
      <c r="AB833" s="57" t="s">
        <v>61</v>
      </c>
      <c r="AC833" s="60">
        <v>45223</v>
      </c>
      <c r="AD833" s="59">
        <v>24628</v>
      </c>
      <c r="AE833" s="57" t="s">
        <v>3804</v>
      </c>
      <c r="AF833" s="57" t="s">
        <v>3805</v>
      </c>
    </row>
    <row r="834" spans="1:32">
      <c r="A834" s="57">
        <v>833</v>
      </c>
      <c r="B834" s="58">
        <v>45959.703773148147</v>
      </c>
      <c r="C834" s="58">
        <v>45959.782789351862</v>
      </c>
      <c r="D834" s="57" t="s">
        <v>1745</v>
      </c>
      <c r="E834" s="57" t="s">
        <v>1746</v>
      </c>
      <c r="F834" s="58"/>
      <c r="G834" s="57" t="s">
        <v>557</v>
      </c>
      <c r="H834" s="59">
        <v>2</v>
      </c>
      <c r="I834" s="57"/>
      <c r="J834" s="57"/>
      <c r="K834" s="59"/>
      <c r="L834" s="57"/>
      <c r="M834" s="60"/>
      <c r="N834" s="59"/>
      <c r="O834" s="57"/>
      <c r="P834" s="57"/>
      <c r="Q834" s="57" t="s">
        <v>22</v>
      </c>
      <c r="R834" s="57" t="s">
        <v>227</v>
      </c>
      <c r="S834" s="59">
        <v>61510</v>
      </c>
      <c r="T834" s="57" t="s">
        <v>61</v>
      </c>
      <c r="U834" s="60">
        <v>45895</v>
      </c>
      <c r="V834" s="59">
        <v>61510</v>
      </c>
      <c r="W834" s="57" t="s">
        <v>3806</v>
      </c>
      <c r="X834" s="57" t="s">
        <v>3807</v>
      </c>
      <c r="Y834" s="57" t="s">
        <v>20</v>
      </c>
      <c r="Z834" s="57" t="s">
        <v>405</v>
      </c>
      <c r="AA834" s="59">
        <v>3349</v>
      </c>
      <c r="AB834" s="57" t="s">
        <v>61</v>
      </c>
      <c r="AC834" s="60">
        <v>45839</v>
      </c>
      <c r="AD834" s="59">
        <v>3349</v>
      </c>
      <c r="AE834" s="57" t="s">
        <v>3808</v>
      </c>
      <c r="AF834" s="57" t="s">
        <v>3809</v>
      </c>
    </row>
    <row r="835" spans="1:32">
      <c r="A835" s="57">
        <v>834</v>
      </c>
      <c r="B835" s="58">
        <v>45960.380810185183</v>
      </c>
      <c r="C835" s="58">
        <v>45960.382453703707</v>
      </c>
      <c r="D835" s="57" t="s">
        <v>761</v>
      </c>
      <c r="E835" s="57" t="s">
        <v>762</v>
      </c>
      <c r="F835" s="58"/>
      <c r="G835" s="57" t="s">
        <v>693</v>
      </c>
      <c r="H835" s="59">
        <v>2</v>
      </c>
      <c r="I835" s="57"/>
      <c r="J835" s="57"/>
      <c r="K835" s="59"/>
      <c r="L835" s="57"/>
      <c r="M835" s="60"/>
      <c r="N835" s="59"/>
      <c r="O835" s="57"/>
      <c r="P835" s="57"/>
      <c r="Q835" s="57" t="s">
        <v>21</v>
      </c>
      <c r="R835" s="57" t="s">
        <v>290</v>
      </c>
      <c r="S835" s="59">
        <v>18990</v>
      </c>
      <c r="T835" s="57" t="s">
        <v>61</v>
      </c>
      <c r="U835" s="60">
        <v>45768</v>
      </c>
      <c r="V835" s="59">
        <v>18990</v>
      </c>
      <c r="W835" s="57" t="s">
        <v>3810</v>
      </c>
      <c r="X835" s="57" t="s">
        <v>3811</v>
      </c>
      <c r="Y835" s="57" t="s">
        <v>21</v>
      </c>
      <c r="Z835" s="57" t="s">
        <v>415</v>
      </c>
      <c r="AA835" s="59">
        <v>1232</v>
      </c>
      <c r="AB835" s="57" t="s">
        <v>61</v>
      </c>
      <c r="AC835" s="60">
        <v>45952</v>
      </c>
      <c r="AD835" s="59">
        <v>1232</v>
      </c>
      <c r="AE835" s="57" t="s">
        <v>3812</v>
      </c>
      <c r="AF835" s="57" t="s">
        <v>3813</v>
      </c>
    </row>
    <row r="836" spans="1:32">
      <c r="A836" s="57">
        <v>835</v>
      </c>
      <c r="B836" s="58">
        <v>45960.385509259257</v>
      </c>
      <c r="C836" s="58">
        <v>45960.391018518523</v>
      </c>
      <c r="D836" s="57" t="s">
        <v>1391</v>
      </c>
      <c r="E836" s="57" t="s">
        <v>1392</v>
      </c>
      <c r="F836" s="58"/>
      <c r="G836" s="57" t="s">
        <v>483</v>
      </c>
      <c r="H836" s="59">
        <v>2</v>
      </c>
      <c r="I836" s="57"/>
      <c r="J836" s="57"/>
      <c r="K836" s="59"/>
      <c r="L836" s="57"/>
      <c r="M836" s="60"/>
      <c r="N836" s="59"/>
      <c r="O836" s="57"/>
      <c r="P836" s="57"/>
      <c r="Q836" s="57" t="s">
        <v>22</v>
      </c>
      <c r="R836" s="57" t="s">
        <v>149</v>
      </c>
      <c r="S836" s="59">
        <v>99811</v>
      </c>
      <c r="T836" s="57" t="s">
        <v>61</v>
      </c>
      <c r="U836" s="60">
        <v>45943</v>
      </c>
      <c r="V836" s="59">
        <v>99811</v>
      </c>
      <c r="W836" s="57" t="s">
        <v>3814</v>
      </c>
      <c r="X836" s="57" t="s">
        <v>3815</v>
      </c>
      <c r="Y836" s="57" t="s">
        <v>21</v>
      </c>
      <c r="Z836" s="57" t="s">
        <v>355</v>
      </c>
      <c r="AA836" s="59">
        <v>6324</v>
      </c>
      <c r="AB836" s="57" t="s">
        <v>61</v>
      </c>
      <c r="AC836" s="60">
        <v>45827</v>
      </c>
      <c r="AD836" s="59">
        <v>6324</v>
      </c>
      <c r="AE836" s="57" t="s">
        <v>3816</v>
      </c>
      <c r="AF836" s="57" t="s">
        <v>3817</v>
      </c>
    </row>
    <row r="837" spans="1:32">
      <c r="A837" s="57">
        <v>836</v>
      </c>
      <c r="B837" s="58">
        <v>45960.423043981478</v>
      </c>
      <c r="C837" s="58">
        <v>45960.423946759263</v>
      </c>
      <c r="D837" s="57" t="s">
        <v>1927</v>
      </c>
      <c r="E837" s="57" t="s">
        <v>1928</v>
      </c>
      <c r="F837" s="58"/>
      <c r="G837" s="57" t="s">
        <v>663</v>
      </c>
      <c r="H837" s="59">
        <v>1</v>
      </c>
      <c r="I837" s="57"/>
      <c r="J837" s="57"/>
      <c r="K837" s="59"/>
      <c r="L837" s="57"/>
      <c r="M837" s="60"/>
      <c r="N837" s="59"/>
      <c r="O837" s="57"/>
      <c r="P837" s="57"/>
      <c r="Q837" s="57"/>
      <c r="R837" s="57"/>
      <c r="S837" s="59"/>
      <c r="T837" s="57"/>
      <c r="U837" s="60"/>
      <c r="V837" s="59"/>
      <c r="W837" s="57"/>
      <c r="X837" s="57"/>
      <c r="Y837" s="57" t="s">
        <v>20</v>
      </c>
      <c r="Z837" s="57" t="s">
        <v>365</v>
      </c>
      <c r="AA837" s="59">
        <v>12656</v>
      </c>
      <c r="AB837" s="57" t="s">
        <v>61</v>
      </c>
      <c r="AC837" s="60">
        <v>45941</v>
      </c>
      <c r="AD837" s="59">
        <v>12656</v>
      </c>
      <c r="AE837" s="57" t="s">
        <v>3818</v>
      </c>
      <c r="AF837" s="57" t="s">
        <v>3819</v>
      </c>
    </row>
    <row r="838" spans="1:32">
      <c r="A838" s="57">
        <v>837</v>
      </c>
      <c r="B838" s="58">
        <v>45959.308472222219</v>
      </c>
      <c r="C838" s="58">
        <v>45960.853541666656</v>
      </c>
      <c r="D838" s="57" t="s">
        <v>1735</v>
      </c>
      <c r="E838" s="57" t="s">
        <v>1736</v>
      </c>
      <c r="F838" s="58"/>
      <c r="G838" s="57" t="s">
        <v>569</v>
      </c>
      <c r="H838" s="59">
        <v>2</v>
      </c>
      <c r="I838" s="57"/>
      <c r="J838" s="57"/>
      <c r="K838" s="59"/>
      <c r="L838" s="57"/>
      <c r="M838" s="60"/>
      <c r="N838" s="59"/>
      <c r="O838" s="57"/>
      <c r="P838" s="57"/>
      <c r="Q838" s="57" t="s">
        <v>22</v>
      </c>
      <c r="R838" s="57" t="s">
        <v>241</v>
      </c>
      <c r="S838" s="59">
        <v>31721</v>
      </c>
      <c r="T838" s="57" t="s">
        <v>61</v>
      </c>
      <c r="U838" s="60">
        <v>45892</v>
      </c>
      <c r="V838" s="59">
        <v>31721</v>
      </c>
      <c r="W838" s="57" t="s">
        <v>3820</v>
      </c>
      <c r="X838" s="57" t="s">
        <v>3821</v>
      </c>
      <c r="Y838" s="57" t="s">
        <v>21</v>
      </c>
      <c r="Z838" s="57" t="s">
        <v>334</v>
      </c>
      <c r="AA838" s="59">
        <v>2969</v>
      </c>
      <c r="AB838" s="57" t="s">
        <v>61</v>
      </c>
      <c r="AC838" s="60">
        <v>45720</v>
      </c>
      <c r="AD838" s="59">
        <v>2969</v>
      </c>
      <c r="AE838" s="57" t="s">
        <v>3822</v>
      </c>
      <c r="AF838" s="57" t="s">
        <v>3823</v>
      </c>
    </row>
    <row r="839" spans="1:32">
      <c r="A839" s="57">
        <v>838</v>
      </c>
      <c r="B839" s="58">
        <v>45961.392013888893</v>
      </c>
      <c r="C839" s="58">
        <v>45961.40121527778</v>
      </c>
      <c r="D839" s="57" t="s">
        <v>981</v>
      </c>
      <c r="E839" s="57" t="s">
        <v>982</v>
      </c>
      <c r="F839" s="58"/>
      <c r="G839" s="57" t="s">
        <v>628</v>
      </c>
      <c r="H839" s="59">
        <v>2</v>
      </c>
      <c r="I839" s="57"/>
      <c r="J839" s="57"/>
      <c r="K839" s="59"/>
      <c r="L839" s="57"/>
      <c r="M839" s="60"/>
      <c r="N839" s="59"/>
      <c r="O839" s="57"/>
      <c r="P839" s="57"/>
      <c r="Q839" s="57" t="s">
        <v>21</v>
      </c>
      <c r="R839" s="57" t="s">
        <v>314</v>
      </c>
      <c r="S839" s="59">
        <v>7421</v>
      </c>
      <c r="T839" s="57" t="s">
        <v>61</v>
      </c>
      <c r="U839" s="60">
        <v>45860</v>
      </c>
      <c r="V839" s="59">
        <v>7421</v>
      </c>
      <c r="W839" s="57" t="s">
        <v>3824</v>
      </c>
      <c r="X839" s="57" t="s">
        <v>3825</v>
      </c>
      <c r="Y839" s="57" t="s">
        <v>22</v>
      </c>
      <c r="Z839" s="57" t="s">
        <v>390</v>
      </c>
      <c r="AA839" s="59">
        <v>2511</v>
      </c>
      <c r="AB839" s="57" t="s">
        <v>61</v>
      </c>
      <c r="AC839" s="60">
        <v>45870</v>
      </c>
      <c r="AD839" s="59">
        <v>2511</v>
      </c>
      <c r="AE839" s="57" t="s">
        <v>3826</v>
      </c>
      <c r="AF839" s="57" t="s">
        <v>3827</v>
      </c>
    </row>
    <row r="840" spans="1:32">
      <c r="A840" s="57">
        <v>839</v>
      </c>
      <c r="B840" s="58">
        <v>45961.622800925928</v>
      </c>
      <c r="C840" s="58">
        <v>45961.632939814823</v>
      </c>
      <c r="D840" s="57" t="s">
        <v>1425</v>
      </c>
      <c r="E840" s="57" t="s">
        <v>1426</v>
      </c>
      <c r="F840" s="58"/>
      <c r="G840" s="57" t="s">
        <v>689</v>
      </c>
      <c r="H840" s="59">
        <v>1</v>
      </c>
      <c r="I840" s="57"/>
      <c r="J840" s="57"/>
      <c r="K840" s="59"/>
      <c r="L840" s="57"/>
      <c r="M840" s="60"/>
      <c r="N840" s="59"/>
      <c r="O840" s="57"/>
      <c r="P840" s="57"/>
      <c r="Q840" s="57"/>
      <c r="R840" s="57"/>
      <c r="S840" s="59"/>
      <c r="T840" s="57"/>
      <c r="U840" s="60"/>
      <c r="V840" s="59"/>
      <c r="W840" s="57"/>
      <c r="X840" s="57"/>
      <c r="Y840" s="57" t="s">
        <v>20</v>
      </c>
      <c r="Z840" s="57" t="s">
        <v>3828</v>
      </c>
      <c r="AA840" s="59">
        <v>2595</v>
      </c>
      <c r="AB840" s="57" t="s">
        <v>61</v>
      </c>
      <c r="AC840" s="60">
        <v>45946</v>
      </c>
      <c r="AD840" s="59">
        <v>2595</v>
      </c>
      <c r="AE840" s="57" t="s">
        <v>3829</v>
      </c>
      <c r="AF840" s="57" t="s">
        <v>3830</v>
      </c>
    </row>
    <row r="841" spans="1:32">
      <c r="A841" s="57">
        <v>840</v>
      </c>
      <c r="B841" s="58">
        <v>45961.847256944442</v>
      </c>
      <c r="C841" s="58">
        <v>45961.862326388888</v>
      </c>
      <c r="D841" s="57" t="s">
        <v>925</v>
      </c>
      <c r="E841" s="57" t="s">
        <v>926</v>
      </c>
      <c r="F841" s="58"/>
      <c r="G841" s="57" t="s">
        <v>586</v>
      </c>
      <c r="H841" s="59">
        <v>2</v>
      </c>
      <c r="I841" s="57"/>
      <c r="J841" s="57"/>
      <c r="K841" s="59"/>
      <c r="L841" s="57"/>
      <c r="M841" s="60"/>
      <c r="N841" s="59"/>
      <c r="O841" s="57"/>
      <c r="P841" s="57"/>
      <c r="Q841" s="57" t="s">
        <v>22</v>
      </c>
      <c r="R841" s="57" t="s">
        <v>368</v>
      </c>
      <c r="S841" s="59">
        <v>8957</v>
      </c>
      <c r="T841" s="57" t="s">
        <v>61</v>
      </c>
      <c r="U841" s="60">
        <v>45778</v>
      </c>
      <c r="V841" s="59">
        <v>8957</v>
      </c>
      <c r="W841" s="57" t="s">
        <v>3831</v>
      </c>
      <c r="X841" s="57" t="s">
        <v>3832</v>
      </c>
      <c r="Y841" s="57" t="s">
        <v>21</v>
      </c>
      <c r="Z841" s="57" t="s">
        <v>260</v>
      </c>
      <c r="AA841" s="59">
        <v>29841</v>
      </c>
      <c r="AB841" s="57" t="s">
        <v>61</v>
      </c>
      <c r="AC841" s="60">
        <v>45917</v>
      </c>
      <c r="AD841" s="59">
        <v>29841</v>
      </c>
      <c r="AE841" s="57" t="s">
        <v>3833</v>
      </c>
      <c r="AF841" s="57" t="s">
        <v>3834</v>
      </c>
    </row>
    <row r="842" spans="1:32">
      <c r="A842" s="57">
        <v>841</v>
      </c>
      <c r="B842" s="58">
        <v>45961.855868055558</v>
      </c>
      <c r="C842" s="58">
        <v>45961.866446759261</v>
      </c>
      <c r="D842" s="57" t="s">
        <v>1163</v>
      </c>
      <c r="E842" s="57" t="s">
        <v>1164</v>
      </c>
      <c r="F842" s="58"/>
      <c r="G842" s="57" t="s">
        <v>536</v>
      </c>
      <c r="H842" s="59">
        <v>2</v>
      </c>
      <c r="I842" s="57"/>
      <c r="J842" s="57"/>
      <c r="K842" s="59"/>
      <c r="L842" s="57"/>
      <c r="M842" s="60"/>
      <c r="N842" s="59"/>
      <c r="O842" s="57"/>
      <c r="P842" s="57"/>
      <c r="Q842" s="57" t="s">
        <v>22</v>
      </c>
      <c r="R842" s="57" t="s">
        <v>204</v>
      </c>
      <c r="S842" s="59">
        <v>84365</v>
      </c>
      <c r="T842" s="57" t="s">
        <v>61</v>
      </c>
      <c r="U842" s="60">
        <v>45902</v>
      </c>
      <c r="V842" s="59">
        <v>84365</v>
      </c>
      <c r="W842" s="57" t="s">
        <v>3835</v>
      </c>
      <c r="X842" s="57" t="s">
        <v>3836</v>
      </c>
      <c r="Y842" s="57" t="s">
        <v>21</v>
      </c>
      <c r="Z842" s="57" t="s">
        <v>327</v>
      </c>
      <c r="AA842" s="59">
        <v>15563</v>
      </c>
      <c r="AB842" s="57" t="s">
        <v>61</v>
      </c>
      <c r="AC842" s="60">
        <v>45874</v>
      </c>
      <c r="AD842" s="59">
        <v>15563</v>
      </c>
      <c r="AE842" s="57" t="s">
        <v>3837</v>
      </c>
      <c r="AF842" s="57" t="s">
        <v>3838</v>
      </c>
    </row>
    <row r="843" spans="1:32">
      <c r="A843" s="57">
        <v>842</v>
      </c>
      <c r="B843" s="58">
        <v>45962.452094907407</v>
      </c>
      <c r="C843" s="58">
        <v>45962.455289351848</v>
      </c>
      <c r="D843" s="57" t="s">
        <v>2006</v>
      </c>
      <c r="E843" s="57" t="s">
        <v>2007</v>
      </c>
      <c r="F843" s="58"/>
      <c r="G843" s="57" t="s">
        <v>545</v>
      </c>
      <c r="H843" s="59">
        <v>2</v>
      </c>
      <c r="I843" s="57"/>
      <c r="J843" s="57"/>
      <c r="K843" s="59"/>
      <c r="L843" s="57"/>
      <c r="M843" s="60"/>
      <c r="N843" s="59"/>
      <c r="O843" s="57"/>
      <c r="P843" s="57"/>
      <c r="Q843" s="57" t="s">
        <v>20</v>
      </c>
      <c r="R843" s="57" t="s">
        <v>3839</v>
      </c>
      <c r="S843" s="59">
        <v>46427</v>
      </c>
      <c r="T843" s="57" t="s">
        <v>61</v>
      </c>
      <c r="U843" s="60">
        <v>45952</v>
      </c>
      <c r="V843" s="59">
        <v>46427</v>
      </c>
      <c r="W843" s="57" t="s">
        <v>3840</v>
      </c>
      <c r="X843" s="57" t="s">
        <v>3841</v>
      </c>
      <c r="Y843" s="57" t="s">
        <v>21</v>
      </c>
      <c r="Z843" s="57" t="s">
        <v>214</v>
      </c>
      <c r="AA843" s="59">
        <v>52471</v>
      </c>
      <c r="AB843" s="57" t="s">
        <v>61</v>
      </c>
      <c r="AC843" s="60">
        <v>45983</v>
      </c>
      <c r="AD843" s="59">
        <v>52471</v>
      </c>
      <c r="AE843" s="57" t="s">
        <v>3842</v>
      </c>
      <c r="AF843" s="57" t="s">
        <v>3843</v>
      </c>
    </row>
    <row r="844" spans="1:32">
      <c r="A844" s="57">
        <v>843</v>
      </c>
      <c r="B844" s="58">
        <v>45962.475347222222</v>
      </c>
      <c r="C844" s="58">
        <v>45962.477222222216</v>
      </c>
      <c r="D844" s="57" t="s">
        <v>1419</v>
      </c>
      <c r="E844" s="57" t="s">
        <v>1420</v>
      </c>
      <c r="F844" s="58"/>
      <c r="G844" s="57" t="s">
        <v>603</v>
      </c>
      <c r="H844" s="59">
        <v>1</v>
      </c>
      <c r="I844" s="57"/>
      <c r="J844" s="57"/>
      <c r="K844" s="59"/>
      <c r="L844" s="57"/>
      <c r="M844" s="60"/>
      <c r="N844" s="59"/>
      <c r="O844" s="57"/>
      <c r="P844" s="57"/>
      <c r="Q844" s="57"/>
      <c r="R844" s="57"/>
      <c r="S844" s="59"/>
      <c r="T844" s="57"/>
      <c r="U844" s="60"/>
      <c r="V844" s="59"/>
      <c r="W844" s="57"/>
      <c r="X844" s="57"/>
      <c r="Y844" s="57" t="s">
        <v>21</v>
      </c>
      <c r="Z844" s="57" t="s">
        <v>280</v>
      </c>
      <c r="AA844" s="59">
        <v>22335</v>
      </c>
      <c r="AB844" s="57" t="s">
        <v>61</v>
      </c>
      <c r="AC844" s="60">
        <v>45885</v>
      </c>
      <c r="AD844" s="59">
        <v>22335</v>
      </c>
      <c r="AE844" s="57" t="s">
        <v>3844</v>
      </c>
      <c r="AF844" s="57" t="s">
        <v>3845</v>
      </c>
    </row>
    <row r="845" spans="1:32">
      <c r="A845" s="57">
        <v>844</v>
      </c>
      <c r="B845" s="58">
        <v>45962.383287037039</v>
      </c>
      <c r="C845" s="58">
        <v>45962.510023148148</v>
      </c>
      <c r="D845" s="57" t="s">
        <v>1561</v>
      </c>
      <c r="E845" s="57" t="s">
        <v>1562</v>
      </c>
      <c r="F845" s="58"/>
      <c r="G845" s="57" t="s">
        <v>658</v>
      </c>
      <c r="H845" s="59">
        <v>2</v>
      </c>
      <c r="I845" s="57"/>
      <c r="J845" s="57"/>
      <c r="K845" s="59"/>
      <c r="L845" s="57"/>
      <c r="M845" s="60"/>
      <c r="N845" s="59"/>
      <c r="O845" s="57"/>
      <c r="P845" s="57"/>
      <c r="Q845" s="57" t="s">
        <v>20</v>
      </c>
      <c r="R845" s="57" t="s">
        <v>359</v>
      </c>
      <c r="S845" s="59">
        <v>14376</v>
      </c>
      <c r="T845" s="57" t="s">
        <v>61</v>
      </c>
      <c r="U845" s="60">
        <v>45957</v>
      </c>
      <c r="V845" s="59">
        <v>14376</v>
      </c>
      <c r="W845" s="57" t="s">
        <v>3846</v>
      </c>
      <c r="X845" s="57" t="s">
        <v>3847</v>
      </c>
      <c r="Y845" s="57" t="s">
        <v>21</v>
      </c>
      <c r="Z845" s="57" t="s">
        <v>1565</v>
      </c>
      <c r="AA845" s="59">
        <v>33518</v>
      </c>
      <c r="AB845" s="57" t="s">
        <v>61</v>
      </c>
      <c r="AC845" s="60">
        <v>45960</v>
      </c>
      <c r="AD845" s="59">
        <v>33518</v>
      </c>
      <c r="AE845" s="57" t="s">
        <v>3848</v>
      </c>
      <c r="AF845" s="57" t="s">
        <v>3849</v>
      </c>
    </row>
    <row r="846" spans="1:32">
      <c r="A846" s="57">
        <v>845</v>
      </c>
      <c r="B846" s="58">
        <v>45964.345057870371</v>
      </c>
      <c r="C846" s="58">
        <v>45964.347233796303</v>
      </c>
      <c r="D846" s="57" t="s">
        <v>1058</v>
      </c>
      <c r="E846" s="57" t="s">
        <v>1059</v>
      </c>
      <c r="F846" s="58"/>
      <c r="G846" s="57" t="s">
        <v>467</v>
      </c>
      <c r="H846" s="59">
        <v>2</v>
      </c>
      <c r="I846" s="57"/>
      <c r="J846" s="57"/>
      <c r="K846" s="59"/>
      <c r="L846" s="57"/>
      <c r="M846" s="60"/>
      <c r="N846" s="59"/>
      <c r="O846" s="57"/>
      <c r="P846" s="57"/>
      <c r="Q846" s="57" t="s">
        <v>22</v>
      </c>
      <c r="R846" s="57" t="s">
        <v>133</v>
      </c>
      <c r="S846" s="59">
        <v>56533</v>
      </c>
      <c r="T846" s="57" t="s">
        <v>61</v>
      </c>
      <c r="U846" s="60">
        <v>45850</v>
      </c>
      <c r="V846" s="59">
        <v>56533</v>
      </c>
      <c r="W846" s="57" t="s">
        <v>3850</v>
      </c>
      <c r="X846" s="57" t="s">
        <v>3851</v>
      </c>
      <c r="Y846" s="57" t="s">
        <v>21</v>
      </c>
      <c r="Z846" s="57" t="s">
        <v>176</v>
      </c>
      <c r="AA846" s="59">
        <v>35990</v>
      </c>
      <c r="AB846" s="57" t="s">
        <v>61</v>
      </c>
      <c r="AC846" s="60">
        <v>45797</v>
      </c>
      <c r="AD846" s="59">
        <v>35990</v>
      </c>
      <c r="AE846" s="57" t="s">
        <v>3852</v>
      </c>
      <c r="AF846" s="57" t="s">
        <v>3853</v>
      </c>
    </row>
    <row r="847" spans="1:32">
      <c r="A847" s="57">
        <v>846</v>
      </c>
      <c r="B847" s="58">
        <v>45964.370428240742</v>
      </c>
      <c r="C847" s="58">
        <v>45964.372557870367</v>
      </c>
      <c r="D847" s="57" t="s">
        <v>2016</v>
      </c>
      <c r="E847" s="57" t="s">
        <v>2017</v>
      </c>
      <c r="F847" s="58"/>
      <c r="G847" s="57" t="s">
        <v>645</v>
      </c>
      <c r="H847" s="59">
        <v>1</v>
      </c>
      <c r="I847" s="57"/>
      <c r="J847" s="57"/>
      <c r="K847" s="59"/>
      <c r="L847" s="57"/>
      <c r="M847" s="60"/>
      <c r="N847" s="59"/>
      <c r="O847" s="57"/>
      <c r="P847" s="57"/>
      <c r="Q847" s="57"/>
      <c r="R847" s="57"/>
      <c r="S847" s="59"/>
      <c r="T847" s="57"/>
      <c r="U847" s="60"/>
      <c r="V847" s="59"/>
      <c r="W847" s="57"/>
      <c r="X847" s="57"/>
      <c r="Y847" s="57" t="s">
        <v>21</v>
      </c>
      <c r="Z847" s="57" t="s">
        <v>340</v>
      </c>
      <c r="AA847" s="59">
        <v>11997</v>
      </c>
      <c r="AB847" s="57" t="s">
        <v>61</v>
      </c>
      <c r="AC847" s="60">
        <v>45720</v>
      </c>
      <c r="AD847" s="59">
        <v>11997</v>
      </c>
      <c r="AE847" s="57" t="s">
        <v>3854</v>
      </c>
      <c r="AF847" s="57" t="s">
        <v>3855</v>
      </c>
    </row>
    <row r="848" spans="1:32">
      <c r="A848" s="57">
        <v>847</v>
      </c>
      <c r="B848" s="58">
        <v>45964.368750000001</v>
      </c>
      <c r="C848" s="58">
        <v>45964.372916666667</v>
      </c>
      <c r="D848" s="57" t="s">
        <v>1209</v>
      </c>
      <c r="E848" s="57" t="s">
        <v>1210</v>
      </c>
      <c r="F848" s="58"/>
      <c r="G848" s="57" t="s">
        <v>581</v>
      </c>
      <c r="H848" s="59">
        <v>2</v>
      </c>
      <c r="I848" s="57"/>
      <c r="J848" s="57"/>
      <c r="K848" s="59"/>
      <c r="L848" s="57"/>
      <c r="M848" s="60"/>
      <c r="N848" s="59"/>
      <c r="O848" s="57"/>
      <c r="P848" s="57"/>
      <c r="Q848" s="57" t="s">
        <v>20</v>
      </c>
      <c r="R848" s="57" t="s">
        <v>1211</v>
      </c>
      <c r="S848" s="59">
        <v>39473</v>
      </c>
      <c r="T848" s="57" t="s">
        <v>61</v>
      </c>
      <c r="U848" s="60">
        <v>45874</v>
      </c>
      <c r="V848" s="59">
        <v>39473</v>
      </c>
      <c r="W848" s="57" t="s">
        <v>3856</v>
      </c>
      <c r="X848" s="57" t="s">
        <v>3857</v>
      </c>
      <c r="Y848" s="57" t="s">
        <v>22</v>
      </c>
      <c r="Z848" s="57" t="s">
        <v>255</v>
      </c>
      <c r="AA848" s="59">
        <v>27401</v>
      </c>
      <c r="AB848" s="57" t="s">
        <v>61</v>
      </c>
      <c r="AC848" s="60">
        <v>45763</v>
      </c>
      <c r="AD848" s="59">
        <v>27401</v>
      </c>
      <c r="AE848" s="57" t="s">
        <v>3858</v>
      </c>
      <c r="AF848" s="57" t="s">
        <v>3859</v>
      </c>
    </row>
    <row r="849" spans="1:32">
      <c r="A849" s="57">
        <v>848</v>
      </c>
      <c r="B849" s="58">
        <v>45964.370034722233</v>
      </c>
      <c r="C849" s="58">
        <v>45964.380729166667</v>
      </c>
      <c r="D849" s="57" t="s">
        <v>1371</v>
      </c>
      <c r="E849" s="57" t="s">
        <v>1372</v>
      </c>
      <c r="F849" s="58"/>
      <c r="G849" s="57" t="s">
        <v>514</v>
      </c>
      <c r="H849" s="59">
        <v>1</v>
      </c>
      <c r="I849" s="57"/>
      <c r="J849" s="57"/>
      <c r="K849" s="59"/>
      <c r="L849" s="57"/>
      <c r="M849" s="60"/>
      <c r="N849" s="59"/>
      <c r="O849" s="57"/>
      <c r="P849" s="57"/>
      <c r="Q849" s="57"/>
      <c r="R849" s="57"/>
      <c r="S849" s="59"/>
      <c r="T849" s="57"/>
      <c r="U849" s="60"/>
      <c r="V849" s="59"/>
      <c r="W849" s="57"/>
      <c r="X849" s="57"/>
      <c r="Y849" s="57" t="s">
        <v>21</v>
      </c>
      <c r="Z849" s="57" t="s">
        <v>181</v>
      </c>
      <c r="AA849" s="59">
        <v>35226</v>
      </c>
      <c r="AB849" s="57" t="s">
        <v>61</v>
      </c>
      <c r="AC849" s="60">
        <v>45813</v>
      </c>
      <c r="AD849" s="59">
        <v>35226</v>
      </c>
      <c r="AE849" s="57" t="s">
        <v>3860</v>
      </c>
      <c r="AF849" s="57" t="s">
        <v>3861</v>
      </c>
    </row>
    <row r="850" spans="1:32">
      <c r="A850" s="57">
        <v>849</v>
      </c>
      <c r="B850" s="58">
        <v>45964.378344907411</v>
      </c>
      <c r="C850" s="58">
        <v>45964.384699074071</v>
      </c>
      <c r="D850" s="57" t="s">
        <v>1148</v>
      </c>
      <c r="E850" s="57" t="s">
        <v>1149</v>
      </c>
      <c r="F850" s="58"/>
      <c r="G850" s="57" t="s">
        <v>609</v>
      </c>
      <c r="H850" s="59">
        <v>2</v>
      </c>
      <c r="I850" s="57"/>
      <c r="J850" s="57"/>
      <c r="K850" s="59"/>
      <c r="L850" s="57"/>
      <c r="M850" s="60"/>
      <c r="N850" s="59"/>
      <c r="O850" s="57"/>
      <c r="P850" s="57"/>
      <c r="Q850" s="57" t="s">
        <v>21</v>
      </c>
      <c r="R850" s="57" t="s">
        <v>287</v>
      </c>
      <c r="S850" s="59">
        <v>20721</v>
      </c>
      <c r="T850" s="57" t="s">
        <v>61</v>
      </c>
      <c r="U850" s="60">
        <v>45568</v>
      </c>
      <c r="V850" s="59">
        <v>20721</v>
      </c>
      <c r="W850" s="57" t="s">
        <v>3862</v>
      </c>
      <c r="X850" s="57" t="s">
        <v>3863</v>
      </c>
      <c r="Y850" s="57" t="s">
        <v>21</v>
      </c>
      <c r="Z850" s="57" t="s">
        <v>1150</v>
      </c>
      <c r="AA850" s="59">
        <v>82263</v>
      </c>
      <c r="AB850" s="57" t="s">
        <v>61</v>
      </c>
      <c r="AC850" s="60">
        <v>45849</v>
      </c>
      <c r="AD850" s="59">
        <v>82263</v>
      </c>
      <c r="AE850" s="57" t="s">
        <v>3864</v>
      </c>
      <c r="AF850" s="57" t="s">
        <v>3865</v>
      </c>
    </row>
    <row r="851" spans="1:32">
      <c r="A851" s="57">
        <v>850</v>
      </c>
      <c r="B851" s="58">
        <v>45964.378148148149</v>
      </c>
      <c r="C851" s="58">
        <v>45964.401886574073</v>
      </c>
      <c r="D851" s="57" t="s">
        <v>2163</v>
      </c>
      <c r="E851" s="57" t="s">
        <v>2164</v>
      </c>
      <c r="F851" s="58"/>
      <c r="G851" s="57" t="s">
        <v>484</v>
      </c>
      <c r="H851" s="59">
        <v>3</v>
      </c>
      <c r="I851" s="57" t="s">
        <v>21</v>
      </c>
      <c r="J851" s="57" t="s">
        <v>2165</v>
      </c>
      <c r="K851" s="59">
        <v>5521</v>
      </c>
      <c r="L851" s="57" t="s">
        <v>61</v>
      </c>
      <c r="M851" s="60">
        <v>45783</v>
      </c>
      <c r="N851" s="59">
        <v>5521</v>
      </c>
      <c r="O851" s="57" t="s">
        <v>3866</v>
      </c>
      <c r="P851" s="57" t="s">
        <v>3867</v>
      </c>
      <c r="Q851" s="57" t="s">
        <v>22</v>
      </c>
      <c r="R851" s="57" t="s">
        <v>254</v>
      </c>
      <c r="S851" s="59">
        <v>25929</v>
      </c>
      <c r="T851" s="57" t="s">
        <v>61</v>
      </c>
      <c r="U851" s="60">
        <v>45822</v>
      </c>
      <c r="V851" s="59">
        <v>25929</v>
      </c>
      <c r="W851" s="57" t="s">
        <v>3868</v>
      </c>
      <c r="X851" s="57" t="s">
        <v>3869</v>
      </c>
      <c r="Y851" s="57" t="s">
        <v>21</v>
      </c>
      <c r="Z851" s="57" t="s">
        <v>150</v>
      </c>
      <c r="AA851" s="59">
        <v>38278</v>
      </c>
      <c r="AB851" s="57" t="s">
        <v>61</v>
      </c>
      <c r="AC851" s="60">
        <v>45811</v>
      </c>
      <c r="AD851" s="59">
        <v>38278</v>
      </c>
      <c r="AE851" s="57" t="s">
        <v>3870</v>
      </c>
      <c r="AF851" s="57" t="s">
        <v>3871</v>
      </c>
    </row>
    <row r="852" spans="1:32">
      <c r="A852" s="57">
        <v>851</v>
      </c>
      <c r="B852" s="58">
        <v>45964.400509259263</v>
      </c>
      <c r="C852" s="58">
        <v>45964.407592592594</v>
      </c>
      <c r="D852" s="57" t="s">
        <v>1522</v>
      </c>
      <c r="E852" s="57" t="s">
        <v>1523</v>
      </c>
      <c r="F852" s="58"/>
      <c r="G852" s="57" t="s">
        <v>696</v>
      </c>
      <c r="H852" s="59">
        <v>1</v>
      </c>
      <c r="I852" s="57"/>
      <c r="J852" s="57"/>
      <c r="K852" s="59"/>
      <c r="L852" s="57"/>
      <c r="M852" s="60"/>
      <c r="N852" s="59"/>
      <c r="O852" s="57"/>
      <c r="P852" s="57"/>
      <c r="Q852" s="57"/>
      <c r="R852" s="57"/>
      <c r="S852" s="59"/>
      <c r="T852" s="57"/>
      <c r="U852" s="60"/>
      <c r="V852" s="59"/>
      <c r="W852" s="57"/>
      <c r="X852" s="57"/>
      <c r="Y852" s="57" t="s">
        <v>21</v>
      </c>
      <c r="Z852" s="57" t="s">
        <v>1524</v>
      </c>
      <c r="AA852" s="59">
        <v>99279</v>
      </c>
      <c r="AB852" s="57" t="s">
        <v>61</v>
      </c>
      <c r="AC852" s="60">
        <v>45895</v>
      </c>
      <c r="AD852" s="59">
        <v>99279</v>
      </c>
      <c r="AE852" s="57" t="s">
        <v>3872</v>
      </c>
      <c r="AF852" s="57" t="s">
        <v>3873</v>
      </c>
    </row>
    <row r="853" spans="1:32">
      <c r="A853" s="57">
        <v>852</v>
      </c>
      <c r="B853" s="58">
        <v>45964.365081018521</v>
      </c>
      <c r="C853" s="58">
        <v>45964.409675925926</v>
      </c>
      <c r="D853" s="57" t="s">
        <v>3874</v>
      </c>
      <c r="E853" s="57" t="s">
        <v>3875</v>
      </c>
      <c r="F853" s="58"/>
      <c r="G853" s="57" t="s">
        <v>529</v>
      </c>
      <c r="H853" s="59">
        <v>1</v>
      </c>
      <c r="I853" s="57"/>
      <c r="J853" s="57"/>
      <c r="K853" s="59"/>
      <c r="L853" s="57"/>
      <c r="M853" s="60"/>
      <c r="N853" s="59"/>
      <c r="O853" s="57"/>
      <c r="P853" s="57"/>
      <c r="Q853" s="57"/>
      <c r="R853" s="57"/>
      <c r="S853" s="59"/>
      <c r="T853" s="57"/>
      <c r="U853" s="60"/>
      <c r="V853" s="59"/>
      <c r="W853" s="57"/>
      <c r="X853" s="57"/>
      <c r="Y853" s="57" t="s">
        <v>21</v>
      </c>
      <c r="Z853" s="57" t="s">
        <v>196</v>
      </c>
      <c r="AA853" s="59">
        <v>64392</v>
      </c>
      <c r="AB853" s="57" t="s">
        <v>61</v>
      </c>
      <c r="AC853" s="60">
        <v>45904</v>
      </c>
      <c r="AD853" s="59">
        <v>64392</v>
      </c>
      <c r="AE853" s="57" t="s">
        <v>3876</v>
      </c>
      <c r="AF853" s="57" t="s">
        <v>3877</v>
      </c>
    </row>
    <row r="854" spans="1:32">
      <c r="A854" s="57">
        <v>853</v>
      </c>
      <c r="B854" s="58">
        <v>45964.440451388888</v>
      </c>
      <c r="C854" s="58">
        <v>45964.442800925928</v>
      </c>
      <c r="D854" s="57" t="s">
        <v>2395</v>
      </c>
      <c r="E854" s="57" t="s">
        <v>2396</v>
      </c>
      <c r="F854" s="58"/>
      <c r="G854" s="57" t="s">
        <v>513</v>
      </c>
      <c r="H854" s="59">
        <v>1</v>
      </c>
      <c r="I854" s="57"/>
      <c r="J854" s="57"/>
      <c r="K854" s="59"/>
      <c r="L854" s="57"/>
      <c r="M854" s="60"/>
      <c r="N854" s="59"/>
      <c r="O854" s="57"/>
      <c r="P854" s="57"/>
      <c r="Q854" s="57"/>
      <c r="R854" s="57"/>
      <c r="S854" s="59"/>
      <c r="T854" s="57"/>
      <c r="U854" s="60"/>
      <c r="V854" s="59"/>
      <c r="W854" s="57"/>
      <c r="X854" s="57"/>
      <c r="Y854" s="57" t="s">
        <v>21</v>
      </c>
      <c r="Z854" s="57" t="s">
        <v>180</v>
      </c>
      <c r="AA854" s="59">
        <v>29581</v>
      </c>
      <c r="AB854" s="57" t="s">
        <v>61</v>
      </c>
      <c r="AC854" s="60">
        <v>45962</v>
      </c>
      <c r="AD854" s="59">
        <v>29581</v>
      </c>
      <c r="AE854" s="57" t="s">
        <v>3878</v>
      </c>
      <c r="AF854" s="57" t="s">
        <v>3879</v>
      </c>
    </row>
    <row r="855" spans="1:32">
      <c r="A855" s="57">
        <v>854</v>
      </c>
      <c r="B855" s="58">
        <v>45964.436921296299</v>
      </c>
      <c r="C855" s="58">
        <v>45964.455995370372</v>
      </c>
      <c r="D855" s="57" t="s">
        <v>1333</v>
      </c>
      <c r="E855" s="57" t="s">
        <v>1334</v>
      </c>
      <c r="F855" s="58"/>
      <c r="G855" s="57" t="s">
        <v>516</v>
      </c>
      <c r="H855" s="59">
        <v>1</v>
      </c>
      <c r="I855" s="57"/>
      <c r="J855" s="57"/>
      <c r="K855" s="59"/>
      <c r="L855" s="57"/>
      <c r="M855" s="60"/>
      <c r="N855" s="59"/>
      <c r="O855" s="57"/>
      <c r="P855" s="57"/>
      <c r="Q855" s="57"/>
      <c r="R855" s="57"/>
      <c r="S855" s="59"/>
      <c r="T855" s="57"/>
      <c r="U855" s="60"/>
      <c r="V855" s="59"/>
      <c r="W855" s="57"/>
      <c r="X855" s="57"/>
      <c r="Y855" s="57" t="s">
        <v>20</v>
      </c>
      <c r="Z855" s="57" t="s">
        <v>183</v>
      </c>
      <c r="AA855" s="59">
        <v>49280</v>
      </c>
      <c r="AB855" s="57" t="s">
        <v>61</v>
      </c>
      <c r="AC855" s="60">
        <v>45876</v>
      </c>
      <c r="AD855" s="59">
        <v>49280</v>
      </c>
      <c r="AE855" s="57" t="s">
        <v>3880</v>
      </c>
      <c r="AF855" s="57" t="s">
        <v>3881</v>
      </c>
    </row>
    <row r="856" spans="1:32">
      <c r="A856" s="57">
        <v>855</v>
      </c>
      <c r="B856" s="58">
        <v>45964.48170138889</v>
      </c>
      <c r="C856" s="58">
        <v>45964.497824074067</v>
      </c>
      <c r="D856" s="57" t="s">
        <v>1674</v>
      </c>
      <c r="E856" s="57" t="s">
        <v>1675</v>
      </c>
      <c r="F856" s="58"/>
      <c r="G856" s="57" t="s">
        <v>515</v>
      </c>
      <c r="H856" s="59">
        <v>1</v>
      </c>
      <c r="I856" s="57"/>
      <c r="J856" s="57"/>
      <c r="K856" s="59"/>
      <c r="L856" s="57"/>
      <c r="M856" s="60"/>
      <c r="N856" s="59"/>
      <c r="O856" s="57"/>
      <c r="P856" s="57"/>
      <c r="Q856" s="57"/>
      <c r="R856" s="57"/>
      <c r="S856" s="59"/>
      <c r="T856" s="57"/>
      <c r="U856" s="60"/>
      <c r="V856" s="59"/>
      <c r="W856" s="57"/>
      <c r="X856" s="57"/>
      <c r="Y856" s="57" t="s">
        <v>21</v>
      </c>
      <c r="Z856" s="57" t="s">
        <v>182</v>
      </c>
      <c r="AA856" s="59">
        <v>34319</v>
      </c>
      <c r="AB856" s="57" t="s">
        <v>61</v>
      </c>
      <c r="AC856" s="60">
        <v>45895</v>
      </c>
      <c r="AD856" s="59">
        <v>34319</v>
      </c>
      <c r="AE856" s="57" t="s">
        <v>3882</v>
      </c>
      <c r="AF856" s="57" t="s">
        <v>3883</v>
      </c>
    </row>
    <row r="857" spans="1:32">
      <c r="A857" s="57">
        <v>856</v>
      </c>
      <c r="B857" s="58">
        <v>45964.541504629633</v>
      </c>
      <c r="C857" s="58">
        <v>45964.556296296287</v>
      </c>
      <c r="D857" s="57" t="s">
        <v>1383</v>
      </c>
      <c r="E857" s="57" t="s">
        <v>1384</v>
      </c>
      <c r="F857" s="58"/>
      <c r="G857" s="57" t="s">
        <v>626</v>
      </c>
      <c r="H857" s="59">
        <v>1</v>
      </c>
      <c r="I857" s="57"/>
      <c r="J857" s="57"/>
      <c r="K857" s="59"/>
      <c r="L857" s="57"/>
      <c r="M857" s="60"/>
      <c r="N857" s="59"/>
      <c r="O857" s="57"/>
      <c r="P857" s="57"/>
      <c r="Q857" s="57"/>
      <c r="R857" s="57"/>
      <c r="S857" s="59"/>
      <c r="T857" s="57"/>
      <c r="U857" s="60"/>
      <c r="V857" s="59"/>
      <c r="W857" s="57"/>
      <c r="X857" s="57"/>
      <c r="Y857" s="57" t="s">
        <v>20</v>
      </c>
      <c r="Z857" s="57" t="s">
        <v>309</v>
      </c>
      <c r="AA857" s="59">
        <v>20151</v>
      </c>
      <c r="AB857" s="57" t="s">
        <v>61</v>
      </c>
      <c r="AC857" s="60">
        <v>45955</v>
      </c>
      <c r="AD857" s="59">
        <v>20151</v>
      </c>
      <c r="AE857" s="57" t="s">
        <v>3884</v>
      </c>
      <c r="AF857" s="57" t="s">
        <v>3885</v>
      </c>
    </row>
    <row r="858" spans="1:32">
      <c r="A858" s="57">
        <v>857</v>
      </c>
      <c r="B858" s="58">
        <v>45964.568194444437</v>
      </c>
      <c r="C858" s="58">
        <v>45964.578587962962</v>
      </c>
      <c r="D858" s="57" t="s">
        <v>2522</v>
      </c>
      <c r="E858" s="57" t="s">
        <v>2523</v>
      </c>
      <c r="F858" s="58"/>
      <c r="G858" s="57" t="s">
        <v>464</v>
      </c>
      <c r="H858" s="59">
        <v>2</v>
      </c>
      <c r="I858" s="57"/>
      <c r="J858" s="57"/>
      <c r="K858" s="59"/>
      <c r="L858" s="57"/>
      <c r="M858" s="60"/>
      <c r="N858" s="59"/>
      <c r="O858" s="57"/>
      <c r="P858" s="57"/>
      <c r="Q858" s="57" t="s">
        <v>22</v>
      </c>
      <c r="R858" s="57" t="s">
        <v>129</v>
      </c>
      <c r="S858" s="59">
        <v>78743</v>
      </c>
      <c r="T858" s="57" t="s">
        <v>61</v>
      </c>
      <c r="U858" s="60">
        <v>45950</v>
      </c>
      <c r="V858" s="59">
        <v>78743</v>
      </c>
      <c r="W858" s="57" t="s">
        <v>3886</v>
      </c>
      <c r="X858" s="57" t="s">
        <v>3887</v>
      </c>
      <c r="Y858" s="57" t="s">
        <v>21</v>
      </c>
      <c r="Z858" s="57" t="s">
        <v>288</v>
      </c>
      <c r="AA858" s="59">
        <v>10455</v>
      </c>
      <c r="AB858" s="57" t="s">
        <v>61</v>
      </c>
      <c r="AC858" s="60">
        <v>45855</v>
      </c>
      <c r="AD858" s="59">
        <v>10455</v>
      </c>
      <c r="AE858" s="57" t="s">
        <v>3888</v>
      </c>
      <c r="AF858" s="57" t="s">
        <v>3889</v>
      </c>
    </row>
    <row r="859" spans="1:32">
      <c r="A859" s="57">
        <v>858</v>
      </c>
      <c r="B859" s="58">
        <v>45964.381620370368</v>
      </c>
      <c r="C859" s="58">
        <v>45964.678564814807</v>
      </c>
      <c r="D859" s="57" t="s">
        <v>2267</v>
      </c>
      <c r="E859" s="57" t="s">
        <v>2268</v>
      </c>
      <c r="F859" s="58"/>
      <c r="G859" s="57" t="s">
        <v>518</v>
      </c>
      <c r="H859" s="59">
        <v>3</v>
      </c>
      <c r="I859" s="57" t="s">
        <v>22</v>
      </c>
      <c r="J859" s="57" t="s">
        <v>265</v>
      </c>
      <c r="K859" s="59">
        <v>47146</v>
      </c>
      <c r="L859" s="57" t="s">
        <v>61</v>
      </c>
      <c r="M859" s="60">
        <v>45923</v>
      </c>
      <c r="N859" s="59">
        <v>47146</v>
      </c>
      <c r="O859" s="57" t="s">
        <v>3890</v>
      </c>
      <c r="P859" s="57" t="s">
        <v>3891</v>
      </c>
      <c r="Q859" s="57" t="s">
        <v>20</v>
      </c>
      <c r="R859" s="57" t="s">
        <v>185</v>
      </c>
      <c r="S859" s="59">
        <v>55444</v>
      </c>
      <c r="T859" s="57" t="s">
        <v>61</v>
      </c>
      <c r="U859" s="60">
        <v>45909</v>
      </c>
      <c r="V859" s="59">
        <v>55444</v>
      </c>
      <c r="W859" s="57" t="s">
        <v>3892</v>
      </c>
      <c r="X859" s="57" t="s">
        <v>3893</v>
      </c>
      <c r="Y859" s="57" t="s">
        <v>20</v>
      </c>
      <c r="Z859" s="57" t="s">
        <v>2273</v>
      </c>
      <c r="AA859" s="59">
        <v>101906</v>
      </c>
      <c r="AB859" s="57" t="s">
        <v>61</v>
      </c>
      <c r="AC859" s="60">
        <v>45909</v>
      </c>
      <c r="AD859" s="59">
        <v>101906</v>
      </c>
      <c r="AE859" s="57" t="s">
        <v>3894</v>
      </c>
      <c r="AF859" s="57" t="s">
        <v>3895</v>
      </c>
    </row>
    <row r="860" spans="1:32">
      <c r="A860" s="57">
        <v>859</v>
      </c>
      <c r="B860" s="58">
        <v>45966.472881944443</v>
      </c>
      <c r="C860" s="58">
        <v>45966.474560185183</v>
      </c>
      <c r="D860" s="57" t="s">
        <v>1473</v>
      </c>
      <c r="E860" s="57" t="s">
        <v>1474</v>
      </c>
      <c r="F860" s="58"/>
      <c r="G860" s="57" t="s">
        <v>3896</v>
      </c>
      <c r="H860" s="59">
        <v>1</v>
      </c>
      <c r="I860" s="57"/>
      <c r="J860" s="57"/>
      <c r="K860" s="59"/>
      <c r="L860" s="57"/>
      <c r="M860" s="60"/>
      <c r="N860" s="59"/>
      <c r="O860" s="57"/>
      <c r="P860" s="57"/>
      <c r="Q860" s="57"/>
      <c r="R860" s="57"/>
      <c r="S860" s="59"/>
      <c r="T860" s="57"/>
      <c r="U860" s="60"/>
      <c r="V860" s="59"/>
      <c r="W860" s="57"/>
      <c r="X860" s="57"/>
      <c r="Y860" s="57" t="s">
        <v>20</v>
      </c>
      <c r="Z860" s="57" t="s">
        <v>1477</v>
      </c>
      <c r="AA860" s="59">
        <v>39604</v>
      </c>
      <c r="AB860" s="57" t="s">
        <v>61</v>
      </c>
      <c r="AC860" s="60">
        <v>45728</v>
      </c>
      <c r="AD860" s="59">
        <v>39604</v>
      </c>
      <c r="AE860" s="57" t="s">
        <v>3897</v>
      </c>
      <c r="AF860" s="57" t="s">
        <v>3898</v>
      </c>
    </row>
    <row r="861" spans="1:32">
      <c r="A861" s="57">
        <v>860</v>
      </c>
      <c r="B861" s="58">
        <v>45974.498113425929</v>
      </c>
      <c r="C861" s="58">
        <v>45974.503263888888</v>
      </c>
      <c r="D861" s="57" t="s">
        <v>1084</v>
      </c>
      <c r="E861" s="57" t="s">
        <v>1085</v>
      </c>
      <c r="F861" s="58"/>
      <c r="G861" s="57" t="s">
        <v>532</v>
      </c>
      <c r="H861" s="59">
        <v>2</v>
      </c>
      <c r="I861" s="57"/>
      <c r="J861" s="57"/>
      <c r="K861" s="59"/>
      <c r="L861" s="57"/>
      <c r="M861" s="60"/>
      <c r="N861" s="59"/>
      <c r="O861" s="57"/>
      <c r="P861" s="57"/>
      <c r="Q861" s="57" t="s">
        <v>22</v>
      </c>
      <c r="R861" s="57" t="s">
        <v>200</v>
      </c>
      <c r="S861" s="59">
        <v>113889</v>
      </c>
      <c r="T861" s="57" t="s">
        <v>61</v>
      </c>
      <c r="U861" s="60">
        <v>45938</v>
      </c>
      <c r="V861" s="59">
        <v>113889</v>
      </c>
      <c r="W861" s="57" t="s">
        <v>3899</v>
      </c>
      <c r="X861" s="57" t="s">
        <v>3900</v>
      </c>
      <c r="Y861" s="57" t="s">
        <v>21</v>
      </c>
      <c r="Z861" s="57" t="s">
        <v>379</v>
      </c>
      <c r="AA861" s="59">
        <v>8642</v>
      </c>
      <c r="AB861" s="57" t="s">
        <v>61</v>
      </c>
      <c r="AC861" s="60">
        <v>45838</v>
      </c>
      <c r="AD861" s="59">
        <v>8642</v>
      </c>
      <c r="AE861" s="57" t="s">
        <v>3901</v>
      </c>
      <c r="AF861" s="57" t="s">
        <v>3902</v>
      </c>
    </row>
    <row r="862" spans="1:32">
      <c r="A862" s="57">
        <v>861</v>
      </c>
      <c r="B862" s="58">
        <v>45981.4687037037</v>
      </c>
      <c r="C862" s="58">
        <v>45981.47011574074</v>
      </c>
      <c r="D862" s="57" t="s">
        <v>813</v>
      </c>
      <c r="E862" s="57" t="s">
        <v>814</v>
      </c>
      <c r="F862" s="58"/>
      <c r="G862" s="57" t="s">
        <v>471</v>
      </c>
      <c r="H862" s="59">
        <v>1</v>
      </c>
      <c r="I862" s="57"/>
      <c r="J862" s="57"/>
      <c r="K862" s="59"/>
      <c r="L862" s="57"/>
      <c r="M862" s="60"/>
      <c r="N862" s="59"/>
      <c r="O862" s="57"/>
      <c r="P862" s="57"/>
      <c r="Q862" s="57"/>
      <c r="R862" s="57"/>
      <c r="S862" s="59"/>
      <c r="T862" s="57"/>
      <c r="U862" s="60"/>
      <c r="V862" s="59"/>
      <c r="W862" s="57"/>
      <c r="X862" s="57"/>
      <c r="Y862" s="57" t="s">
        <v>21</v>
      </c>
      <c r="Z862" s="57" t="s">
        <v>137</v>
      </c>
      <c r="AA862" s="59">
        <v>30317</v>
      </c>
      <c r="AB862" s="57" t="s">
        <v>61</v>
      </c>
      <c r="AC862" s="60">
        <v>45980</v>
      </c>
      <c r="AD862" s="59">
        <v>30317</v>
      </c>
      <c r="AE862" s="57" t="s">
        <v>3903</v>
      </c>
      <c r="AF862" s="57" t="s">
        <v>3904</v>
      </c>
    </row>
    <row r="863" spans="1:32">
      <c r="A863" s="57">
        <v>862</v>
      </c>
      <c r="B863" s="58">
        <v>45985.450416666667</v>
      </c>
      <c r="C863" s="58">
        <v>45985.452847222223</v>
      </c>
      <c r="D863" s="57" t="s">
        <v>1361</v>
      </c>
      <c r="E863" s="57" t="s">
        <v>1362</v>
      </c>
      <c r="F863" s="58"/>
      <c r="G863" s="57" t="s">
        <v>487</v>
      </c>
      <c r="H863" s="59">
        <v>1</v>
      </c>
      <c r="I863" s="57"/>
      <c r="J863" s="57"/>
      <c r="K863" s="59"/>
      <c r="L863" s="57"/>
      <c r="M863" s="60"/>
      <c r="N863" s="59"/>
      <c r="O863" s="57"/>
      <c r="P863" s="57"/>
      <c r="Q863" s="57"/>
      <c r="R863" s="57"/>
      <c r="S863" s="59"/>
      <c r="T863" s="57"/>
      <c r="U863" s="60"/>
      <c r="V863" s="59"/>
      <c r="W863" s="57"/>
      <c r="X863" s="57"/>
      <c r="Y863" s="57" t="s">
        <v>21</v>
      </c>
      <c r="Z863" s="57" t="s">
        <v>153</v>
      </c>
      <c r="AA863" s="59">
        <v>19277</v>
      </c>
      <c r="AB863" s="57" t="s">
        <v>61</v>
      </c>
      <c r="AC863" s="60">
        <v>45911</v>
      </c>
      <c r="AD863" s="59">
        <v>19277</v>
      </c>
      <c r="AE863" s="57" t="s">
        <v>3905</v>
      </c>
      <c r="AF863" s="57" t="s">
        <v>3906</v>
      </c>
    </row>
    <row r="864" spans="1:32">
      <c r="A864" s="57">
        <v>863</v>
      </c>
      <c r="B864" s="58">
        <v>45985.455393518518</v>
      </c>
      <c r="C864" s="58">
        <v>45985.457800925928</v>
      </c>
      <c r="D864" s="57" t="s">
        <v>1143</v>
      </c>
      <c r="E864" s="57" t="s">
        <v>1144</v>
      </c>
      <c r="F864" s="58"/>
      <c r="G864" s="57" t="s">
        <v>630</v>
      </c>
      <c r="H864" s="59">
        <v>1</v>
      </c>
      <c r="I864" s="57"/>
      <c r="J864" s="57"/>
      <c r="K864" s="59"/>
      <c r="L864" s="57"/>
      <c r="M864" s="60"/>
      <c r="N864" s="59"/>
      <c r="O864" s="57"/>
      <c r="P864" s="57"/>
      <c r="Q864" s="57"/>
      <c r="R864" s="57"/>
      <c r="S864" s="59"/>
      <c r="T864" s="57"/>
      <c r="U864" s="60"/>
      <c r="V864" s="59"/>
      <c r="W864" s="57"/>
      <c r="X864" s="57"/>
      <c r="Y864" s="57" t="s">
        <v>20</v>
      </c>
      <c r="Z864" s="57" t="s">
        <v>1145</v>
      </c>
      <c r="AA864" s="59">
        <v>38923</v>
      </c>
      <c r="AB864" s="57" t="s">
        <v>61</v>
      </c>
      <c r="AC864" s="60">
        <v>45979</v>
      </c>
      <c r="AD864" s="59">
        <v>38923</v>
      </c>
      <c r="AE864" s="57" t="s">
        <v>3907</v>
      </c>
      <c r="AF864" s="57" t="s">
        <v>3908</v>
      </c>
    </row>
    <row r="865" spans="1:32">
      <c r="A865" s="57">
        <v>864</v>
      </c>
      <c r="B865" s="58">
        <v>45985.453877314823</v>
      </c>
      <c r="C865" s="58">
        <v>45985.458414351851</v>
      </c>
      <c r="D865" s="57" t="s">
        <v>1337</v>
      </c>
      <c r="E865" s="57" t="s">
        <v>1338</v>
      </c>
      <c r="F865" s="58"/>
      <c r="G865" s="57" t="s">
        <v>710</v>
      </c>
      <c r="H865" s="59">
        <v>1</v>
      </c>
      <c r="I865" s="57"/>
      <c r="J865" s="57"/>
      <c r="K865" s="59"/>
      <c r="L865" s="57"/>
      <c r="M865" s="60"/>
      <c r="N865" s="59"/>
      <c r="O865" s="57"/>
      <c r="P865" s="57"/>
      <c r="Q865" s="57"/>
      <c r="R865" s="57"/>
      <c r="S865" s="59"/>
      <c r="T865" s="57"/>
      <c r="U865" s="60"/>
      <c r="V865" s="59"/>
      <c r="W865" s="57"/>
      <c r="X865" s="57"/>
      <c r="Y865" s="57" t="s">
        <v>21</v>
      </c>
      <c r="Z865" s="57" t="s">
        <v>1339</v>
      </c>
      <c r="AA865" s="59">
        <v>42424</v>
      </c>
      <c r="AB865" s="57" t="s">
        <v>61</v>
      </c>
      <c r="AC865" s="60">
        <v>45953</v>
      </c>
      <c r="AD865" s="59">
        <v>42424</v>
      </c>
      <c r="AE865" s="57" t="s">
        <v>3909</v>
      </c>
      <c r="AF865" s="57" t="s">
        <v>3910</v>
      </c>
    </row>
    <row r="866" spans="1:32">
      <c r="A866" s="57">
        <v>865</v>
      </c>
      <c r="B866" s="58">
        <v>45985.459756944438</v>
      </c>
      <c r="C866" s="58">
        <v>45985.461967592593</v>
      </c>
      <c r="D866" s="57" t="s">
        <v>1173</v>
      </c>
      <c r="E866" s="57" t="s">
        <v>1174</v>
      </c>
      <c r="F866" s="58"/>
      <c r="G866" s="57" t="s">
        <v>593</v>
      </c>
      <c r="H866" s="59">
        <v>1</v>
      </c>
      <c r="I866" s="57"/>
      <c r="J866" s="57"/>
      <c r="K866" s="59"/>
      <c r="L866" s="57"/>
      <c r="M866" s="60"/>
      <c r="N866" s="59"/>
      <c r="O866" s="57"/>
      <c r="P866" s="57"/>
      <c r="Q866" s="57"/>
      <c r="R866" s="57"/>
      <c r="S866" s="59"/>
      <c r="T866" s="57"/>
      <c r="U866" s="60"/>
      <c r="V866" s="59"/>
      <c r="W866" s="57"/>
      <c r="X866" s="57"/>
      <c r="Y866" s="57" t="s">
        <v>21</v>
      </c>
      <c r="Z866" s="57" t="s">
        <v>269</v>
      </c>
      <c r="AA866" s="59">
        <v>24332</v>
      </c>
      <c r="AB866" s="57" t="s">
        <v>61</v>
      </c>
      <c r="AC866" s="60">
        <v>45861</v>
      </c>
      <c r="AD866" s="59">
        <v>24332</v>
      </c>
      <c r="AE866" s="57" t="s">
        <v>3911</v>
      </c>
      <c r="AF866" s="57" t="s">
        <v>3912</v>
      </c>
    </row>
    <row r="867" spans="1:32">
      <c r="A867" s="57">
        <v>866</v>
      </c>
      <c r="B867" s="58">
        <v>45985.458182870367</v>
      </c>
      <c r="C867" s="58">
        <v>45985.462129629632</v>
      </c>
      <c r="D867" s="57" t="s">
        <v>2391</v>
      </c>
      <c r="E867" s="57" t="s">
        <v>2392</v>
      </c>
      <c r="F867" s="58"/>
      <c r="G867" s="57" t="s">
        <v>669</v>
      </c>
      <c r="H867" s="59">
        <v>1</v>
      </c>
      <c r="I867" s="57"/>
      <c r="J867" s="57"/>
      <c r="K867" s="59"/>
      <c r="L867" s="57"/>
      <c r="M867" s="60"/>
      <c r="N867" s="59"/>
      <c r="O867" s="57"/>
      <c r="P867" s="57"/>
      <c r="Q867" s="57"/>
      <c r="R867" s="57"/>
      <c r="S867" s="59"/>
      <c r="T867" s="57"/>
      <c r="U867" s="60"/>
      <c r="V867" s="59"/>
      <c r="W867" s="57"/>
      <c r="X867" s="57"/>
      <c r="Y867" s="57" t="s">
        <v>21</v>
      </c>
      <c r="Z867" s="57" t="s">
        <v>380</v>
      </c>
      <c r="AA867" s="59">
        <v>1248</v>
      </c>
      <c r="AB867" s="57" t="s">
        <v>61</v>
      </c>
      <c r="AC867" s="60">
        <v>45813</v>
      </c>
      <c r="AD867" s="59">
        <v>1248</v>
      </c>
      <c r="AE867" s="57" t="s">
        <v>3913</v>
      </c>
      <c r="AF867" s="57" t="s">
        <v>3914</v>
      </c>
    </row>
    <row r="868" spans="1:32">
      <c r="A868" s="57">
        <v>867</v>
      </c>
      <c r="B868" s="58">
        <v>45985.460648148153</v>
      </c>
      <c r="C868" s="58">
        <v>45985.462951388887</v>
      </c>
      <c r="D868" s="57" t="s">
        <v>1276</v>
      </c>
      <c r="E868" s="57" t="s">
        <v>1277</v>
      </c>
      <c r="F868" s="58"/>
      <c r="G868" s="57" t="s">
        <v>668</v>
      </c>
      <c r="H868" s="59">
        <v>1</v>
      </c>
      <c r="I868" s="57"/>
      <c r="J868" s="57"/>
      <c r="K868" s="59"/>
      <c r="L868" s="57"/>
      <c r="M868" s="60"/>
      <c r="N868" s="59"/>
      <c r="O868" s="57"/>
      <c r="P868" s="57"/>
      <c r="Q868" s="57"/>
      <c r="R868" s="57"/>
      <c r="S868" s="59"/>
      <c r="T868" s="57"/>
      <c r="U868" s="60"/>
      <c r="V868" s="59"/>
      <c r="W868" s="57"/>
      <c r="X868" s="57"/>
      <c r="Y868" s="57" t="s">
        <v>20</v>
      </c>
      <c r="Z868" s="57" t="s">
        <v>378</v>
      </c>
      <c r="AA868" s="59">
        <v>8681</v>
      </c>
      <c r="AB868" s="57" t="s">
        <v>61</v>
      </c>
      <c r="AC868" s="60">
        <v>45915</v>
      </c>
      <c r="AD868" s="59">
        <v>8681</v>
      </c>
      <c r="AE868" s="57" t="s">
        <v>3915</v>
      </c>
      <c r="AF868" s="57" t="s">
        <v>3916</v>
      </c>
    </row>
    <row r="869" spans="1:32">
      <c r="A869" s="57">
        <v>868</v>
      </c>
      <c r="B869" s="58">
        <v>45985.456226851849</v>
      </c>
      <c r="C869" s="58">
        <v>45985.46298611111</v>
      </c>
      <c r="D869" s="57" t="s">
        <v>836</v>
      </c>
      <c r="E869" s="57" t="s">
        <v>837</v>
      </c>
      <c r="F869" s="58"/>
      <c r="G869" s="57" t="s">
        <v>614</v>
      </c>
      <c r="H869" s="59">
        <v>1</v>
      </c>
      <c r="I869" s="57"/>
      <c r="J869" s="57"/>
      <c r="K869" s="59"/>
      <c r="L869" s="57"/>
      <c r="M869" s="60"/>
      <c r="N869" s="59"/>
      <c r="O869" s="57"/>
      <c r="P869" s="57"/>
      <c r="Q869" s="57"/>
      <c r="R869" s="57"/>
      <c r="S869" s="59"/>
      <c r="T869" s="57"/>
      <c r="U869" s="60"/>
      <c r="V869" s="59"/>
      <c r="W869" s="57"/>
      <c r="X869" s="57"/>
      <c r="Y869" s="57" t="s">
        <v>21</v>
      </c>
      <c r="Z869" s="57" t="s">
        <v>294</v>
      </c>
      <c r="AA869" s="59">
        <v>18109</v>
      </c>
      <c r="AB869" s="57" t="s">
        <v>61</v>
      </c>
      <c r="AC869" s="60">
        <v>45783</v>
      </c>
      <c r="AD869" s="59">
        <v>18109</v>
      </c>
      <c r="AE869" s="57" t="s">
        <v>3917</v>
      </c>
      <c r="AF869" s="57" t="s">
        <v>3918</v>
      </c>
    </row>
    <row r="870" spans="1:32">
      <c r="A870" s="57">
        <v>869</v>
      </c>
      <c r="B870" s="58">
        <v>45985.46197916667</v>
      </c>
      <c r="C870" s="58">
        <v>45985.465219907397</v>
      </c>
      <c r="D870" s="57" t="s">
        <v>1097</v>
      </c>
      <c r="E870" s="57" t="s">
        <v>1098</v>
      </c>
      <c r="F870" s="58"/>
      <c r="G870" s="57" t="s">
        <v>495</v>
      </c>
      <c r="H870" s="59">
        <v>1</v>
      </c>
      <c r="I870" s="57"/>
      <c r="J870" s="57"/>
      <c r="K870" s="59"/>
      <c r="L870" s="57"/>
      <c r="M870" s="60"/>
      <c r="N870" s="59"/>
      <c r="O870" s="57"/>
      <c r="P870" s="57"/>
      <c r="Q870" s="57"/>
      <c r="R870" s="57"/>
      <c r="S870" s="59"/>
      <c r="T870" s="57"/>
      <c r="U870" s="60"/>
      <c r="V870" s="59"/>
      <c r="W870" s="57"/>
      <c r="X870" s="57"/>
      <c r="Y870" s="57" t="s">
        <v>21</v>
      </c>
      <c r="Z870" s="57" t="s">
        <v>161</v>
      </c>
      <c r="AA870" s="59">
        <v>28073</v>
      </c>
      <c r="AB870" s="57" t="s">
        <v>61</v>
      </c>
      <c r="AC870" s="60">
        <v>45953</v>
      </c>
      <c r="AD870" s="59">
        <v>28073</v>
      </c>
      <c r="AE870" s="57" t="s">
        <v>3919</v>
      </c>
      <c r="AF870" s="57" t="s">
        <v>3920</v>
      </c>
    </row>
    <row r="871" spans="1:32">
      <c r="A871" s="57">
        <v>870</v>
      </c>
      <c r="B871" s="58">
        <v>45985.467824074083</v>
      </c>
      <c r="C871" s="58">
        <v>45985.470289351862</v>
      </c>
      <c r="D871" s="57" t="s">
        <v>722</v>
      </c>
      <c r="E871" s="57" t="s">
        <v>723</v>
      </c>
      <c r="F871" s="58"/>
      <c r="G871" s="57" t="s">
        <v>525</v>
      </c>
      <c r="H871" s="59">
        <v>1</v>
      </c>
      <c r="I871" s="57"/>
      <c r="J871" s="57"/>
      <c r="K871" s="59"/>
      <c r="L871" s="57"/>
      <c r="M871" s="60"/>
      <c r="N871" s="59"/>
      <c r="O871" s="57"/>
      <c r="P871" s="57"/>
      <c r="Q871" s="57"/>
      <c r="R871" s="57"/>
      <c r="S871" s="59"/>
      <c r="T871" s="57"/>
      <c r="U871" s="60"/>
      <c r="V871" s="59"/>
      <c r="W871" s="57"/>
      <c r="X871" s="57"/>
      <c r="Y871" s="57" t="s">
        <v>21</v>
      </c>
      <c r="Z871" s="57" t="s">
        <v>192</v>
      </c>
      <c r="AA871" s="59">
        <v>108130</v>
      </c>
      <c r="AB871" s="57" t="s">
        <v>61</v>
      </c>
      <c r="AC871" s="60">
        <v>45911</v>
      </c>
      <c r="AD871" s="59">
        <v>108130</v>
      </c>
      <c r="AE871" s="57" t="s">
        <v>3921</v>
      </c>
      <c r="AF871" s="57" t="s">
        <v>3922</v>
      </c>
    </row>
    <row r="872" spans="1:32">
      <c r="A872" s="57">
        <v>871</v>
      </c>
      <c r="B872" s="58">
        <v>45985.464988425927</v>
      </c>
      <c r="C872" s="58">
        <v>45985.471226851849</v>
      </c>
      <c r="D872" s="57" t="s">
        <v>734</v>
      </c>
      <c r="E872" s="57" t="s">
        <v>735</v>
      </c>
      <c r="F872" s="58"/>
      <c r="G872" s="57" t="s">
        <v>691</v>
      </c>
      <c r="H872" s="59">
        <v>1</v>
      </c>
      <c r="I872" s="57"/>
      <c r="J872" s="57"/>
      <c r="K872" s="59"/>
      <c r="L872" s="57"/>
      <c r="M872" s="60"/>
      <c r="N872" s="59"/>
      <c r="O872" s="57"/>
      <c r="P872" s="57"/>
      <c r="Q872" s="57"/>
      <c r="R872" s="57"/>
      <c r="S872" s="59"/>
      <c r="T872" s="57"/>
      <c r="U872" s="60"/>
      <c r="V872" s="59"/>
      <c r="W872" s="57"/>
      <c r="X872" s="57"/>
      <c r="Y872" s="57" t="s">
        <v>20</v>
      </c>
      <c r="Z872" s="57" t="s">
        <v>412</v>
      </c>
      <c r="AA872" s="59">
        <v>3182</v>
      </c>
      <c r="AB872" s="57" t="s">
        <v>61</v>
      </c>
      <c r="AC872" s="60">
        <v>45950</v>
      </c>
      <c r="AD872" s="59">
        <v>3182</v>
      </c>
      <c r="AE872" s="57" t="s">
        <v>3923</v>
      </c>
      <c r="AF872" s="57" t="s">
        <v>3924</v>
      </c>
    </row>
    <row r="873" spans="1:32">
      <c r="A873" s="57">
        <v>872</v>
      </c>
      <c r="B873" s="58">
        <v>45985.457361111112</v>
      </c>
      <c r="C873" s="58">
        <v>45985.473368055558</v>
      </c>
      <c r="D873" s="57" t="s">
        <v>1114</v>
      </c>
      <c r="E873" s="57" t="s">
        <v>1115</v>
      </c>
      <c r="F873" s="58"/>
      <c r="G873" s="57" t="s">
        <v>597</v>
      </c>
      <c r="H873" s="59">
        <v>2</v>
      </c>
      <c r="I873" s="57"/>
      <c r="J873" s="57"/>
      <c r="K873" s="59"/>
      <c r="L873" s="57"/>
      <c r="M873" s="60"/>
      <c r="N873" s="59"/>
      <c r="O873" s="57"/>
      <c r="P873" s="57"/>
      <c r="Q873" s="57" t="s">
        <v>22</v>
      </c>
      <c r="R873" s="57" t="s">
        <v>273</v>
      </c>
      <c r="S873" s="59">
        <v>42889</v>
      </c>
      <c r="T873" s="57" t="s">
        <v>61</v>
      </c>
      <c r="U873" s="60">
        <v>45931</v>
      </c>
      <c r="V873" s="59">
        <v>42889</v>
      </c>
      <c r="W873" s="57" t="s">
        <v>3925</v>
      </c>
      <c r="X873" s="57" t="s">
        <v>3926</v>
      </c>
      <c r="Y873" s="57" t="s">
        <v>21</v>
      </c>
      <c r="Z873" s="57" t="s">
        <v>324</v>
      </c>
      <c r="AA873" s="59">
        <v>11899</v>
      </c>
      <c r="AB873" s="57" t="s">
        <v>61</v>
      </c>
      <c r="AC873" s="60">
        <v>45904</v>
      </c>
      <c r="AD873" s="59">
        <v>11899</v>
      </c>
      <c r="AE873" s="57" t="s">
        <v>3927</v>
      </c>
      <c r="AF873" s="57" t="s">
        <v>3928</v>
      </c>
    </row>
    <row r="874" spans="1:32">
      <c r="A874" s="57">
        <v>873</v>
      </c>
      <c r="B874" s="58">
        <v>45985.472303240742</v>
      </c>
      <c r="C874" s="58">
        <v>45985.473611111112</v>
      </c>
      <c r="D874" s="57" t="s">
        <v>1148</v>
      </c>
      <c r="E874" s="57" t="s">
        <v>1149</v>
      </c>
      <c r="F874" s="58"/>
      <c r="G874" s="57" t="s">
        <v>609</v>
      </c>
      <c r="H874" s="59">
        <v>1</v>
      </c>
      <c r="I874" s="57"/>
      <c r="J874" s="57"/>
      <c r="K874" s="59"/>
      <c r="L874" s="57"/>
      <c r="M874" s="60"/>
      <c r="N874" s="59"/>
      <c r="O874" s="57"/>
      <c r="P874" s="57"/>
      <c r="Q874" s="57"/>
      <c r="R874" s="57"/>
      <c r="S874" s="59"/>
      <c r="T874" s="57"/>
      <c r="U874" s="60"/>
      <c r="V874" s="59"/>
      <c r="W874" s="57"/>
      <c r="X874" s="57"/>
      <c r="Y874" s="57" t="s">
        <v>21</v>
      </c>
      <c r="Z874" s="57" t="s">
        <v>287</v>
      </c>
      <c r="AA874" s="59">
        <v>21793</v>
      </c>
      <c r="AB874" s="57" t="s">
        <v>61</v>
      </c>
      <c r="AC874" s="60">
        <v>45982</v>
      </c>
      <c r="AD874" s="59">
        <v>21793</v>
      </c>
      <c r="AE874" s="57" t="s">
        <v>3929</v>
      </c>
      <c r="AF874" s="57" t="s">
        <v>3930</v>
      </c>
    </row>
    <row r="875" spans="1:32">
      <c r="A875" s="57">
        <v>874</v>
      </c>
      <c r="B875" s="58">
        <v>45985.463356481479</v>
      </c>
      <c r="C875" s="58">
        <v>45985.473761574067</v>
      </c>
      <c r="D875" s="57" t="s">
        <v>1506</v>
      </c>
      <c r="E875" s="57" t="s">
        <v>1507</v>
      </c>
      <c r="F875" s="58"/>
      <c r="G875" s="57" t="s">
        <v>477</v>
      </c>
      <c r="H875" s="59">
        <v>1</v>
      </c>
      <c r="I875" s="57"/>
      <c r="J875" s="57"/>
      <c r="K875" s="59"/>
      <c r="L875" s="57"/>
      <c r="M875" s="60"/>
      <c r="N875" s="59"/>
      <c r="O875" s="57"/>
      <c r="P875" s="57"/>
      <c r="Q875" s="57"/>
      <c r="R875" s="57"/>
      <c r="S875" s="59"/>
      <c r="T875" s="57"/>
      <c r="U875" s="60"/>
      <c r="V875" s="59"/>
      <c r="W875" s="57"/>
      <c r="X875" s="57"/>
      <c r="Y875" s="57" t="s">
        <v>20</v>
      </c>
      <c r="Z875" s="57" t="s">
        <v>143</v>
      </c>
      <c r="AA875" s="59">
        <v>82329</v>
      </c>
      <c r="AB875" s="57" t="s">
        <v>61</v>
      </c>
      <c r="AC875" s="60">
        <v>45951</v>
      </c>
      <c r="AD875" s="59">
        <v>82329</v>
      </c>
      <c r="AE875" s="57" t="s">
        <v>3931</v>
      </c>
      <c r="AF875" s="57" t="s">
        <v>3932</v>
      </c>
    </row>
    <row r="876" spans="1:32">
      <c r="A876" s="57">
        <v>875</v>
      </c>
      <c r="B876" s="58">
        <v>45985.4606712963</v>
      </c>
      <c r="C876" s="58">
        <v>45985.474548611113</v>
      </c>
      <c r="D876" s="57" t="s">
        <v>2395</v>
      </c>
      <c r="E876" s="57" t="s">
        <v>2396</v>
      </c>
      <c r="F876" s="58"/>
      <c r="G876" s="57" t="s">
        <v>513</v>
      </c>
      <c r="H876" s="59">
        <v>1</v>
      </c>
      <c r="I876" s="57"/>
      <c r="J876" s="57"/>
      <c r="K876" s="59"/>
      <c r="L876" s="57"/>
      <c r="M876" s="60"/>
      <c r="N876" s="59"/>
      <c r="O876" s="57"/>
      <c r="P876" s="57"/>
      <c r="Q876" s="57"/>
      <c r="R876" s="57"/>
      <c r="S876" s="59"/>
      <c r="T876" s="57"/>
      <c r="U876" s="60"/>
      <c r="V876" s="59"/>
      <c r="W876" s="57"/>
      <c r="X876" s="57"/>
      <c r="Y876" s="57" t="s">
        <v>21</v>
      </c>
      <c r="Z876" s="57" t="s">
        <v>180</v>
      </c>
      <c r="AA876" s="59">
        <v>32882</v>
      </c>
      <c r="AB876" s="57" t="s">
        <v>61</v>
      </c>
      <c r="AC876" s="60">
        <v>45962</v>
      </c>
      <c r="AD876" s="59">
        <v>32882</v>
      </c>
      <c r="AE876" s="57" t="s">
        <v>3933</v>
      </c>
      <c r="AF876" s="57" t="s">
        <v>3934</v>
      </c>
    </row>
    <row r="877" spans="1:32">
      <c r="A877" s="57">
        <v>876</v>
      </c>
      <c r="B877" s="58">
        <v>45985.465509259258</v>
      </c>
      <c r="C877" s="58">
        <v>45985.475370370368</v>
      </c>
      <c r="D877" s="57" t="s">
        <v>893</v>
      </c>
      <c r="E877" s="57" t="s">
        <v>894</v>
      </c>
      <c r="F877" s="58"/>
      <c r="G877" s="57" t="s">
        <v>508</v>
      </c>
      <c r="H877" s="59">
        <v>1</v>
      </c>
      <c r="I877" s="57"/>
      <c r="J877" s="57"/>
      <c r="K877" s="59"/>
      <c r="L877" s="57"/>
      <c r="M877" s="60"/>
      <c r="N877" s="59"/>
      <c r="O877" s="57"/>
      <c r="P877" s="57"/>
      <c r="Q877" s="57"/>
      <c r="R877" s="57"/>
      <c r="S877" s="59"/>
      <c r="T877" s="57"/>
      <c r="U877" s="60"/>
      <c r="V877" s="59"/>
      <c r="W877" s="57"/>
      <c r="X877" s="57"/>
      <c r="Y877" s="57" t="s">
        <v>20</v>
      </c>
      <c r="Z877" s="57" t="s">
        <v>174</v>
      </c>
      <c r="AA877" s="59">
        <v>52882</v>
      </c>
      <c r="AB877" s="57" t="s">
        <v>61</v>
      </c>
      <c r="AC877" s="60">
        <v>45915</v>
      </c>
      <c r="AD877" s="59">
        <v>52882</v>
      </c>
      <c r="AE877" s="57" t="s">
        <v>3935</v>
      </c>
      <c r="AF877" s="57" t="s">
        <v>3936</v>
      </c>
    </row>
    <row r="878" spans="1:32">
      <c r="A878" s="57">
        <v>877</v>
      </c>
      <c r="B878" s="58">
        <v>45985.469629629632</v>
      </c>
      <c r="C878" s="58">
        <v>45985.475844907407</v>
      </c>
      <c r="D878" s="57" t="s">
        <v>862</v>
      </c>
      <c r="E878" s="57" t="s">
        <v>863</v>
      </c>
      <c r="F878" s="58"/>
      <c r="G878" s="57" t="s">
        <v>568</v>
      </c>
      <c r="H878" s="59">
        <v>1</v>
      </c>
      <c r="I878" s="57"/>
      <c r="J878" s="57"/>
      <c r="K878" s="59"/>
      <c r="L878" s="57"/>
      <c r="M878" s="60"/>
      <c r="N878" s="59"/>
      <c r="O878" s="57"/>
      <c r="P878" s="57"/>
      <c r="Q878" s="57"/>
      <c r="R878" s="57"/>
      <c r="S878" s="59"/>
      <c r="T878" s="57"/>
      <c r="U878" s="60"/>
      <c r="V878" s="59"/>
      <c r="W878" s="57"/>
      <c r="X878" s="57"/>
      <c r="Y878" s="57" t="s">
        <v>20</v>
      </c>
      <c r="Z878" s="57" t="s">
        <v>240</v>
      </c>
      <c r="AA878" s="59">
        <v>36852</v>
      </c>
      <c r="AB878" s="57" t="s">
        <v>61</v>
      </c>
      <c r="AC878" s="60">
        <v>45923</v>
      </c>
      <c r="AD878" s="59">
        <v>36852</v>
      </c>
      <c r="AE878" s="57" t="s">
        <v>3937</v>
      </c>
      <c r="AF878" s="57" t="s">
        <v>3938</v>
      </c>
    </row>
    <row r="879" spans="1:32">
      <c r="A879" s="57">
        <v>878</v>
      </c>
      <c r="B879" s="58">
        <v>45985.469502314823</v>
      </c>
      <c r="C879" s="58">
        <v>45985.476736111108</v>
      </c>
      <c r="D879" s="57" t="s">
        <v>952</v>
      </c>
      <c r="E879" s="57" t="s">
        <v>953</v>
      </c>
      <c r="F879" s="58"/>
      <c r="G879" s="57" t="s">
        <v>644</v>
      </c>
      <c r="H879" s="59">
        <v>1</v>
      </c>
      <c r="I879" s="57"/>
      <c r="J879" s="57"/>
      <c r="K879" s="59"/>
      <c r="L879" s="57"/>
      <c r="M879" s="60"/>
      <c r="N879" s="59"/>
      <c r="O879" s="57"/>
      <c r="P879" s="57"/>
      <c r="Q879" s="57"/>
      <c r="R879" s="57"/>
      <c r="S879" s="59"/>
      <c r="T879" s="57"/>
      <c r="U879" s="60"/>
      <c r="V879" s="59"/>
      <c r="W879" s="57"/>
      <c r="X879" s="57"/>
      <c r="Y879" s="57" t="s">
        <v>21</v>
      </c>
      <c r="Z879" s="57" t="s">
        <v>339</v>
      </c>
      <c r="AA879" s="59">
        <v>8286</v>
      </c>
      <c r="AB879" s="57" t="s">
        <v>61</v>
      </c>
      <c r="AC879" s="60">
        <v>45972</v>
      </c>
      <c r="AD879" s="59">
        <v>8286</v>
      </c>
      <c r="AE879" s="57" t="s">
        <v>3939</v>
      </c>
      <c r="AF879" s="57" t="s">
        <v>3940</v>
      </c>
    </row>
    <row r="880" spans="1:32">
      <c r="A880" s="57">
        <v>879</v>
      </c>
      <c r="B880" s="58">
        <v>45985.471354166657</v>
      </c>
      <c r="C880" s="58">
        <v>45985.480451388888</v>
      </c>
      <c r="D880" s="57" t="s">
        <v>936</v>
      </c>
      <c r="E880" s="57" t="s">
        <v>937</v>
      </c>
      <c r="F880" s="58"/>
      <c r="G880" s="57" t="s">
        <v>466</v>
      </c>
      <c r="H880" s="59">
        <v>1</v>
      </c>
      <c r="I880" s="57"/>
      <c r="J880" s="57"/>
      <c r="K880" s="59"/>
      <c r="L880" s="57"/>
      <c r="M880" s="60"/>
      <c r="N880" s="59"/>
      <c r="O880" s="57"/>
      <c r="P880" s="57"/>
      <c r="Q880" s="57"/>
      <c r="R880" s="57"/>
      <c r="S880" s="59"/>
      <c r="T880" s="57"/>
      <c r="U880" s="60"/>
      <c r="V880" s="59"/>
      <c r="W880" s="57"/>
      <c r="X880" s="57"/>
      <c r="Y880" s="57" t="s">
        <v>20</v>
      </c>
      <c r="Z880" s="57" t="s">
        <v>131</v>
      </c>
      <c r="AA880" s="59">
        <v>90994</v>
      </c>
      <c r="AB880" s="57" t="s">
        <v>61</v>
      </c>
      <c r="AC880" s="60">
        <v>45908</v>
      </c>
      <c r="AD880" s="59">
        <v>90994</v>
      </c>
      <c r="AE880" s="57" t="s">
        <v>3941</v>
      </c>
      <c r="AF880" s="57" t="s">
        <v>3942</v>
      </c>
    </row>
    <row r="881" spans="1:32">
      <c r="A881" s="57">
        <v>880</v>
      </c>
      <c r="B881" s="58">
        <v>45985.452974537038</v>
      </c>
      <c r="C881" s="58">
        <v>45985.480868055558</v>
      </c>
      <c r="D881" s="57" t="s">
        <v>2761</v>
      </c>
      <c r="E881" s="57" t="s">
        <v>2762</v>
      </c>
      <c r="F881" s="58"/>
      <c r="G881" s="57" t="s">
        <v>624</v>
      </c>
      <c r="H881" s="59">
        <v>1</v>
      </c>
      <c r="I881" s="57"/>
      <c r="J881" s="57"/>
      <c r="K881" s="59"/>
      <c r="L881" s="57"/>
      <c r="M881" s="60"/>
      <c r="N881" s="59"/>
      <c r="O881" s="57"/>
      <c r="P881" s="57"/>
      <c r="Q881" s="57"/>
      <c r="R881" s="57"/>
      <c r="S881" s="59"/>
      <c r="T881" s="57"/>
      <c r="U881" s="60"/>
      <c r="V881" s="59"/>
      <c r="W881" s="57"/>
      <c r="X881" s="57"/>
      <c r="Y881" s="57" t="s">
        <v>21</v>
      </c>
      <c r="Z881" s="57" t="s">
        <v>306</v>
      </c>
      <c r="AA881" s="59">
        <v>15</v>
      </c>
      <c r="AB881" s="57" t="s">
        <v>61</v>
      </c>
      <c r="AC881" s="60">
        <v>45820</v>
      </c>
      <c r="AD881" s="59">
        <v>15</v>
      </c>
      <c r="AE881" s="57" t="s">
        <v>3943</v>
      </c>
      <c r="AF881" s="57" t="s">
        <v>3944</v>
      </c>
    </row>
    <row r="882" spans="1:32">
      <c r="A882" s="57">
        <v>881</v>
      </c>
      <c r="B882" s="58">
        <v>45985.489745370367</v>
      </c>
      <c r="C882" s="58">
        <v>45985.492858796293</v>
      </c>
      <c r="D882" s="57" t="s">
        <v>853</v>
      </c>
      <c r="E882" s="57" t="s">
        <v>854</v>
      </c>
      <c r="F882" s="58"/>
      <c r="G882" s="57" t="s">
        <v>571</v>
      </c>
      <c r="H882" s="59">
        <v>1</v>
      </c>
      <c r="I882" s="57"/>
      <c r="J882" s="57"/>
      <c r="K882" s="59"/>
      <c r="L882" s="57"/>
      <c r="M882" s="60"/>
      <c r="N882" s="59"/>
      <c r="O882" s="57"/>
      <c r="P882" s="57"/>
      <c r="Q882" s="57"/>
      <c r="R882" s="57"/>
      <c r="S882" s="59"/>
      <c r="T882" s="57"/>
      <c r="U882" s="60"/>
      <c r="V882" s="59"/>
      <c r="W882" s="57"/>
      <c r="X882" s="57"/>
      <c r="Y882" s="57" t="s">
        <v>21</v>
      </c>
      <c r="Z882" s="57" t="s">
        <v>346</v>
      </c>
      <c r="AA882" s="59">
        <v>13634</v>
      </c>
      <c r="AB882" s="57" t="s">
        <v>61</v>
      </c>
      <c r="AC882" s="60">
        <v>45919</v>
      </c>
      <c r="AD882" s="59">
        <v>13634</v>
      </c>
      <c r="AE882" s="57" t="s">
        <v>3945</v>
      </c>
      <c r="AF882" s="57" t="s">
        <v>3946</v>
      </c>
    </row>
    <row r="883" spans="1:32">
      <c r="A883" s="57">
        <v>882</v>
      </c>
      <c r="B883" s="58">
        <v>45985.489155092589</v>
      </c>
      <c r="C883" s="58">
        <v>45985.494895833333</v>
      </c>
      <c r="D883" s="57" t="s">
        <v>1045</v>
      </c>
      <c r="E883" s="57" t="s">
        <v>1046</v>
      </c>
      <c r="F883" s="58"/>
      <c r="G883" s="57" t="s">
        <v>610</v>
      </c>
      <c r="H883" s="59">
        <v>1</v>
      </c>
      <c r="I883" s="57"/>
      <c r="J883" s="57"/>
      <c r="K883" s="59"/>
      <c r="L883" s="57"/>
      <c r="M883" s="60"/>
      <c r="N883" s="59"/>
      <c r="O883" s="57"/>
      <c r="P883" s="57"/>
      <c r="Q883" s="57"/>
      <c r="R883" s="57"/>
      <c r="S883" s="59"/>
      <c r="T883" s="57"/>
      <c r="U883" s="60"/>
      <c r="V883" s="59"/>
      <c r="W883" s="57"/>
      <c r="X883" s="57"/>
      <c r="Y883" s="57" t="s">
        <v>21</v>
      </c>
      <c r="Z883" s="57" t="s">
        <v>1047</v>
      </c>
      <c r="AA883" s="59">
        <v>23401</v>
      </c>
      <c r="AB883" s="57" t="s">
        <v>61</v>
      </c>
      <c r="AC883" s="60">
        <v>45875</v>
      </c>
      <c r="AD883" s="59">
        <v>23401</v>
      </c>
      <c r="AE883" s="57" t="s">
        <v>3947</v>
      </c>
      <c r="AF883" s="57" t="s">
        <v>3948</v>
      </c>
    </row>
    <row r="884" spans="1:32">
      <c r="A884" s="57">
        <v>883</v>
      </c>
      <c r="B884" s="58">
        <v>45985.477407407408</v>
      </c>
      <c r="C884" s="58">
        <v>45985.495439814818</v>
      </c>
      <c r="D884" s="57" t="s">
        <v>2542</v>
      </c>
      <c r="E884" s="57" t="s">
        <v>2543</v>
      </c>
      <c r="F884" s="58"/>
      <c r="G884" s="57" t="s">
        <v>560</v>
      </c>
      <c r="H884" s="59">
        <v>2</v>
      </c>
      <c r="I884" s="57"/>
      <c r="J884" s="57"/>
      <c r="K884" s="59"/>
      <c r="L884" s="57"/>
      <c r="M884" s="60"/>
      <c r="N884" s="59"/>
      <c r="O884" s="57"/>
      <c r="P884" s="57"/>
      <c r="Q884" s="57" t="s">
        <v>22</v>
      </c>
      <c r="R884" s="57" t="s">
        <v>230</v>
      </c>
      <c r="S884" s="59">
        <v>22397</v>
      </c>
      <c r="T884" s="57" t="s">
        <v>61</v>
      </c>
      <c r="U884" s="60">
        <v>45980</v>
      </c>
      <c r="V884" s="59">
        <v>22397</v>
      </c>
      <c r="W884" s="57" t="s">
        <v>3949</v>
      </c>
      <c r="X884" s="57" t="s">
        <v>3950</v>
      </c>
      <c r="Y884" s="57" t="s">
        <v>21</v>
      </c>
      <c r="Z884" s="57" t="s">
        <v>2546</v>
      </c>
      <c r="AA884" s="59">
        <v>4307</v>
      </c>
      <c r="AB884" s="57" t="s">
        <v>61</v>
      </c>
      <c r="AC884" s="60">
        <v>45883</v>
      </c>
      <c r="AD884" s="59">
        <v>4307</v>
      </c>
      <c r="AE884" s="57" t="s">
        <v>3951</v>
      </c>
      <c r="AF884" s="57" t="s">
        <v>3952</v>
      </c>
    </row>
    <row r="885" spans="1:32">
      <c r="A885" s="57">
        <v>884</v>
      </c>
      <c r="B885" s="58">
        <v>45985.486643518518</v>
      </c>
      <c r="C885" s="58">
        <v>45985.496967592589</v>
      </c>
      <c r="D885" s="57" t="s">
        <v>1410</v>
      </c>
      <c r="E885" s="57" t="s">
        <v>1411</v>
      </c>
      <c r="F885" s="58"/>
      <c r="G885" s="57" t="s">
        <v>493</v>
      </c>
      <c r="H885" s="59">
        <v>2</v>
      </c>
      <c r="I885" s="57"/>
      <c r="J885" s="57"/>
      <c r="K885" s="59"/>
      <c r="L885" s="57"/>
      <c r="M885" s="60"/>
      <c r="N885" s="59"/>
      <c r="O885" s="57"/>
      <c r="P885" s="57"/>
      <c r="Q885" s="57" t="s">
        <v>22</v>
      </c>
      <c r="R885" s="57" t="s">
        <v>397</v>
      </c>
      <c r="S885" s="59">
        <v>5343</v>
      </c>
      <c r="T885" s="57" t="s">
        <v>61</v>
      </c>
      <c r="U885" s="60">
        <v>45901</v>
      </c>
      <c r="V885" s="59">
        <v>5343</v>
      </c>
      <c r="W885" s="57" t="s">
        <v>3953</v>
      </c>
      <c r="X885" s="57" t="s">
        <v>3954</v>
      </c>
      <c r="Y885" s="57" t="s">
        <v>21</v>
      </c>
      <c r="Z885" s="57" t="s">
        <v>3207</v>
      </c>
      <c r="AA885" s="59">
        <v>65087</v>
      </c>
      <c r="AB885" s="57" t="s">
        <v>61</v>
      </c>
      <c r="AC885" s="60">
        <v>45839</v>
      </c>
      <c r="AD885" s="59">
        <v>65087</v>
      </c>
      <c r="AE885" s="57" t="s">
        <v>3955</v>
      </c>
      <c r="AF885" s="57" t="s">
        <v>3956</v>
      </c>
    </row>
    <row r="886" spans="1:32">
      <c r="A886" s="57">
        <v>885</v>
      </c>
      <c r="B886" s="58">
        <v>45985.495254629634</v>
      </c>
      <c r="C886" s="58">
        <v>45985.499236111107</v>
      </c>
      <c r="D886" s="57" t="s">
        <v>822</v>
      </c>
      <c r="E886" s="57" t="s">
        <v>823</v>
      </c>
      <c r="F886" s="58"/>
      <c r="G886" s="57" t="s">
        <v>721</v>
      </c>
      <c r="H886" s="59">
        <v>1</v>
      </c>
      <c r="I886" s="57"/>
      <c r="J886" s="57"/>
      <c r="K886" s="59"/>
      <c r="L886" s="57"/>
      <c r="M886" s="60"/>
      <c r="N886" s="59"/>
      <c r="O886" s="57"/>
      <c r="P886" s="57"/>
      <c r="Q886" s="57"/>
      <c r="R886" s="57"/>
      <c r="S886" s="59"/>
      <c r="T886" s="57"/>
      <c r="U886" s="60"/>
      <c r="V886" s="59"/>
      <c r="W886" s="57"/>
      <c r="X886" s="57"/>
      <c r="Y886" s="57" t="s">
        <v>20</v>
      </c>
      <c r="Z886" s="57" t="s">
        <v>824</v>
      </c>
      <c r="AA886" s="59">
        <v>77472</v>
      </c>
      <c r="AB886" s="57" t="s">
        <v>61</v>
      </c>
      <c r="AC886" s="60">
        <v>45912</v>
      </c>
      <c r="AD886" s="59">
        <v>77472</v>
      </c>
      <c r="AE886" s="57" t="s">
        <v>3957</v>
      </c>
      <c r="AF886" s="57" t="s">
        <v>3958</v>
      </c>
    </row>
    <row r="887" spans="1:32">
      <c r="A887" s="57">
        <v>886</v>
      </c>
      <c r="B887" s="58">
        <v>45985.483263888891</v>
      </c>
      <c r="C887" s="58">
        <v>45985.502372685187</v>
      </c>
      <c r="D887" s="57" t="s">
        <v>849</v>
      </c>
      <c r="E887" s="57" t="s">
        <v>850</v>
      </c>
      <c r="F887" s="58"/>
      <c r="G887" s="57" t="s">
        <v>627</v>
      </c>
      <c r="H887" s="59">
        <v>1</v>
      </c>
      <c r="I887" s="57"/>
      <c r="J887" s="57"/>
      <c r="K887" s="59"/>
      <c r="L887" s="57"/>
      <c r="M887" s="60"/>
      <c r="N887" s="59"/>
      <c r="O887" s="57"/>
      <c r="P887" s="57"/>
      <c r="Q887" s="57"/>
      <c r="R887" s="57"/>
      <c r="S887" s="59"/>
      <c r="T887" s="57"/>
      <c r="U887" s="60"/>
      <c r="V887" s="59"/>
      <c r="W887" s="57"/>
      <c r="X887" s="57"/>
      <c r="Y887" s="57" t="s">
        <v>21</v>
      </c>
      <c r="Z887" s="57" t="s">
        <v>310</v>
      </c>
      <c r="AA887" s="59">
        <v>9182</v>
      </c>
      <c r="AB887" s="57" t="s">
        <v>61</v>
      </c>
      <c r="AC887" s="60">
        <v>45827</v>
      </c>
      <c r="AD887" s="59">
        <v>9182</v>
      </c>
      <c r="AE887" s="57" t="s">
        <v>3959</v>
      </c>
      <c r="AF887" s="57" t="s">
        <v>3960</v>
      </c>
    </row>
    <row r="888" spans="1:32">
      <c r="A888" s="57">
        <v>887</v>
      </c>
      <c r="B888" s="58">
        <v>45985.513773148137</v>
      </c>
      <c r="C888" s="58">
        <v>45985.522175925929</v>
      </c>
      <c r="D888" s="57" t="s">
        <v>981</v>
      </c>
      <c r="E888" s="57" t="s">
        <v>982</v>
      </c>
      <c r="F888" s="58"/>
      <c r="G888" s="57" t="s">
        <v>628</v>
      </c>
      <c r="H888" s="59">
        <v>2</v>
      </c>
      <c r="I888" s="57"/>
      <c r="J888" s="57"/>
      <c r="K888" s="59"/>
      <c r="L888" s="57"/>
      <c r="M888" s="60"/>
      <c r="N888" s="59"/>
      <c r="O888" s="57"/>
      <c r="P888" s="57"/>
      <c r="Q888" s="57" t="s">
        <v>21</v>
      </c>
      <c r="R888" s="57" t="s">
        <v>314</v>
      </c>
      <c r="S888" s="59">
        <v>7192</v>
      </c>
      <c r="T888" s="57" t="s">
        <v>61</v>
      </c>
      <c r="U888" s="60">
        <v>45973</v>
      </c>
      <c r="V888" s="59">
        <v>7192</v>
      </c>
      <c r="W888" s="57" t="s">
        <v>3961</v>
      </c>
      <c r="X888" s="57" t="s">
        <v>3962</v>
      </c>
      <c r="Y888" s="57" t="s">
        <v>22</v>
      </c>
      <c r="Z888" s="57" t="s">
        <v>390</v>
      </c>
      <c r="AA888" s="59">
        <v>3766</v>
      </c>
      <c r="AB888" s="57" t="s">
        <v>61</v>
      </c>
      <c r="AC888" s="60">
        <v>45985</v>
      </c>
      <c r="AD888" s="59">
        <v>3766</v>
      </c>
      <c r="AE888" s="57" t="s">
        <v>3963</v>
      </c>
      <c r="AF888" s="57" t="s">
        <v>3964</v>
      </c>
    </row>
    <row r="889" spans="1:32">
      <c r="A889" s="57">
        <v>888</v>
      </c>
      <c r="B889" s="58">
        <v>45985.537928240738</v>
      </c>
      <c r="C889" s="58">
        <v>45985.539525462962</v>
      </c>
      <c r="D889" s="57" t="s">
        <v>2867</v>
      </c>
      <c r="E889" s="57" t="s">
        <v>2868</v>
      </c>
      <c r="F889" s="58"/>
      <c r="G889" s="57" t="s">
        <v>676</v>
      </c>
      <c r="H889" s="59">
        <v>1</v>
      </c>
      <c r="I889" s="57"/>
      <c r="J889" s="57"/>
      <c r="K889" s="59"/>
      <c r="L889" s="57"/>
      <c r="M889" s="60"/>
      <c r="N889" s="59"/>
      <c r="O889" s="57"/>
      <c r="P889" s="57"/>
      <c r="Q889" s="57"/>
      <c r="R889" s="57"/>
      <c r="S889" s="59"/>
      <c r="T889" s="57"/>
      <c r="U889" s="60"/>
      <c r="V889" s="59"/>
      <c r="W889" s="57"/>
      <c r="X889" s="57"/>
      <c r="Y889" s="57" t="s">
        <v>20</v>
      </c>
      <c r="Z889" s="57" t="s">
        <v>389</v>
      </c>
      <c r="AA889" s="59">
        <v>8505</v>
      </c>
      <c r="AB889" s="57" t="s">
        <v>61</v>
      </c>
      <c r="AC889" s="60">
        <v>45873</v>
      </c>
      <c r="AD889" s="59">
        <v>8505</v>
      </c>
      <c r="AE889" s="57" t="s">
        <v>3965</v>
      </c>
      <c r="AF889" s="57" t="s">
        <v>3966</v>
      </c>
    </row>
    <row r="890" spans="1:32">
      <c r="A890" s="57">
        <v>889</v>
      </c>
      <c r="B890" s="58">
        <v>45985.537141203713</v>
      </c>
      <c r="C890" s="58">
        <v>45985.540613425917</v>
      </c>
      <c r="D890" s="57" t="s">
        <v>1498</v>
      </c>
      <c r="E890" s="57" t="s">
        <v>1499</v>
      </c>
      <c r="F890" s="58"/>
      <c r="G890" s="57" t="s">
        <v>616</v>
      </c>
      <c r="H890" s="59">
        <v>1</v>
      </c>
      <c r="I890" s="57"/>
      <c r="J890" s="57"/>
      <c r="K890" s="59"/>
      <c r="L890" s="57"/>
      <c r="M890" s="60"/>
      <c r="N890" s="59"/>
      <c r="O890" s="57"/>
      <c r="P890" s="57"/>
      <c r="Q890" s="57"/>
      <c r="R890" s="57"/>
      <c r="S890" s="59"/>
      <c r="T890" s="57"/>
      <c r="U890" s="60"/>
      <c r="V890" s="59"/>
      <c r="W890" s="57"/>
      <c r="X890" s="57"/>
      <c r="Y890" s="57" t="s">
        <v>21</v>
      </c>
      <c r="Z890" s="57" t="s">
        <v>296</v>
      </c>
      <c r="AA890" s="59">
        <v>15655</v>
      </c>
      <c r="AB890" s="57" t="s">
        <v>61</v>
      </c>
      <c r="AC890" s="60">
        <v>45833</v>
      </c>
      <c r="AD890" s="59">
        <v>15655</v>
      </c>
      <c r="AE890" s="57" t="s">
        <v>3967</v>
      </c>
      <c r="AF890" s="57" t="s">
        <v>3968</v>
      </c>
    </row>
    <row r="891" spans="1:32">
      <c r="A891" s="57">
        <v>890</v>
      </c>
      <c r="B891" s="58">
        <v>45985.48300925926</v>
      </c>
      <c r="C891" s="58">
        <v>45985.542974537027</v>
      </c>
      <c r="D891" s="57" t="s">
        <v>1064</v>
      </c>
      <c r="E891" s="57" t="s">
        <v>1065</v>
      </c>
      <c r="F891" s="58"/>
      <c r="G891" s="57" t="s">
        <v>544</v>
      </c>
      <c r="H891" s="59">
        <v>1</v>
      </c>
      <c r="I891" s="57"/>
      <c r="J891" s="57"/>
      <c r="K891" s="59"/>
      <c r="L891" s="57"/>
      <c r="M891" s="60"/>
      <c r="N891" s="59"/>
      <c r="O891" s="57"/>
      <c r="P891" s="57"/>
      <c r="Q891" s="57"/>
      <c r="R891" s="57"/>
      <c r="S891" s="59"/>
      <c r="T891" s="57"/>
      <c r="U891" s="60"/>
      <c r="V891" s="59"/>
      <c r="W891" s="57"/>
      <c r="X891" s="57"/>
      <c r="Y891" s="57" t="s">
        <v>21</v>
      </c>
      <c r="Z891" s="57" t="s">
        <v>213</v>
      </c>
      <c r="AA891" s="59">
        <v>41945</v>
      </c>
      <c r="AB891" s="57" t="s">
        <v>61</v>
      </c>
      <c r="AC891" s="60">
        <v>45964</v>
      </c>
      <c r="AD891" s="59">
        <v>41945</v>
      </c>
      <c r="AE891" s="57" t="s">
        <v>3969</v>
      </c>
      <c r="AF891" s="57" t="s">
        <v>3970</v>
      </c>
    </row>
    <row r="892" spans="1:32">
      <c r="A892" s="57">
        <v>891</v>
      </c>
      <c r="B892" s="58">
        <v>45985.537800925929</v>
      </c>
      <c r="C892" s="58">
        <v>45985.544039351851</v>
      </c>
      <c r="D892" s="57" t="s">
        <v>897</v>
      </c>
      <c r="E892" s="57" t="s">
        <v>898</v>
      </c>
      <c r="F892" s="58"/>
      <c r="G892" s="57" t="s">
        <v>697</v>
      </c>
      <c r="H892" s="59">
        <v>2</v>
      </c>
      <c r="I892" s="57"/>
      <c r="J892" s="57"/>
      <c r="K892" s="59"/>
      <c r="L892" s="57"/>
      <c r="M892" s="60"/>
      <c r="N892" s="59"/>
      <c r="O892" s="57"/>
      <c r="P892" s="57"/>
      <c r="Q892" s="57" t="s">
        <v>20</v>
      </c>
      <c r="R892" s="57" t="s">
        <v>902</v>
      </c>
      <c r="S892" s="59">
        <v>19420</v>
      </c>
      <c r="T892" s="57" t="s">
        <v>61</v>
      </c>
      <c r="U892" s="60">
        <v>45812</v>
      </c>
      <c r="V892" s="59">
        <v>19420</v>
      </c>
      <c r="W892" s="57" t="s">
        <v>3971</v>
      </c>
      <c r="X892" s="57" t="s">
        <v>3972</v>
      </c>
      <c r="Y892" s="57" t="s">
        <v>21</v>
      </c>
      <c r="Z892" s="57" t="s">
        <v>899</v>
      </c>
      <c r="AA892" s="59">
        <v>55443</v>
      </c>
      <c r="AB892" s="57" t="s">
        <v>61</v>
      </c>
      <c r="AC892" s="60">
        <v>45909</v>
      </c>
      <c r="AD892" s="59">
        <v>55443</v>
      </c>
      <c r="AE892" s="57" t="s">
        <v>3973</v>
      </c>
      <c r="AF892" s="57" t="s">
        <v>3974</v>
      </c>
    </row>
    <row r="893" spans="1:32">
      <c r="A893" s="57">
        <v>892</v>
      </c>
      <c r="B893" s="58">
        <v>45985.526296296302</v>
      </c>
      <c r="C893" s="58">
        <v>45985.54886574074</v>
      </c>
      <c r="D893" s="57" t="s">
        <v>1780</v>
      </c>
      <c r="E893" s="57" t="s">
        <v>1781</v>
      </c>
      <c r="F893" s="58"/>
      <c r="G893" s="57" t="s">
        <v>599</v>
      </c>
      <c r="H893" s="59">
        <v>1</v>
      </c>
      <c r="I893" s="57"/>
      <c r="J893" s="57"/>
      <c r="K893" s="59"/>
      <c r="L893" s="57"/>
      <c r="M893" s="60"/>
      <c r="N893" s="59"/>
      <c r="O893" s="57"/>
      <c r="P893" s="57"/>
      <c r="Q893" s="57"/>
      <c r="R893" s="57"/>
      <c r="S893" s="59"/>
      <c r="T893" s="57"/>
      <c r="U893" s="60"/>
      <c r="V893" s="59"/>
      <c r="W893" s="57"/>
      <c r="X893" s="57"/>
      <c r="Y893" s="57" t="s">
        <v>20</v>
      </c>
      <c r="Z893" s="57" t="s">
        <v>275</v>
      </c>
      <c r="AA893" s="59">
        <v>39949</v>
      </c>
      <c r="AB893" s="57" t="s">
        <v>61</v>
      </c>
      <c r="AC893" s="60">
        <v>45824</v>
      </c>
      <c r="AD893" s="59">
        <v>39949</v>
      </c>
      <c r="AE893" s="57" t="s">
        <v>3975</v>
      </c>
      <c r="AF893" s="57" t="s">
        <v>3976</v>
      </c>
    </row>
    <row r="894" spans="1:32">
      <c r="A894" s="57">
        <v>893</v>
      </c>
      <c r="B894" s="58">
        <v>45985.548136574071</v>
      </c>
      <c r="C894" s="58">
        <v>45985.551851851851</v>
      </c>
      <c r="D894" s="57" t="s">
        <v>809</v>
      </c>
      <c r="E894" s="57" t="s">
        <v>810</v>
      </c>
      <c r="F894" s="58"/>
      <c r="G894" s="57" t="s">
        <v>468</v>
      </c>
      <c r="H894" s="59">
        <v>1</v>
      </c>
      <c r="I894" s="57"/>
      <c r="J894" s="57"/>
      <c r="K894" s="59"/>
      <c r="L894" s="57"/>
      <c r="M894" s="60"/>
      <c r="N894" s="59"/>
      <c r="O894" s="57"/>
      <c r="P894" s="57"/>
      <c r="Q894" s="57"/>
      <c r="R894" s="57"/>
      <c r="S894" s="59"/>
      <c r="T894" s="57"/>
      <c r="U894" s="60"/>
      <c r="V894" s="59"/>
      <c r="W894" s="57"/>
      <c r="X894" s="57"/>
      <c r="Y894" s="57" t="s">
        <v>21</v>
      </c>
      <c r="Z894" s="57" t="s">
        <v>134</v>
      </c>
      <c r="AA894" s="59">
        <v>50341</v>
      </c>
      <c r="AB894" s="57" t="s">
        <v>61</v>
      </c>
      <c r="AC894" s="60">
        <v>45931</v>
      </c>
      <c r="AD894" s="59">
        <v>50341</v>
      </c>
      <c r="AE894" s="57" t="s">
        <v>3977</v>
      </c>
      <c r="AF894" s="57" t="s">
        <v>3978</v>
      </c>
    </row>
    <row r="895" spans="1:32">
      <c r="A895" s="57">
        <v>894</v>
      </c>
      <c r="B895" s="58">
        <v>45985.456585648149</v>
      </c>
      <c r="C895" s="58">
        <v>45985.561284722222</v>
      </c>
      <c r="D895" s="57" t="s">
        <v>909</v>
      </c>
      <c r="E895" s="57" t="s">
        <v>910</v>
      </c>
      <c r="F895" s="58"/>
      <c r="G895" s="57" t="s">
        <v>712</v>
      </c>
      <c r="H895" s="59">
        <v>1</v>
      </c>
      <c r="I895" s="57"/>
      <c r="J895" s="57"/>
      <c r="K895" s="59"/>
      <c r="L895" s="57"/>
      <c r="M895" s="60"/>
      <c r="N895" s="59"/>
      <c r="O895" s="57"/>
      <c r="P895" s="57"/>
      <c r="Q895" s="57"/>
      <c r="R895" s="57"/>
      <c r="S895" s="59"/>
      <c r="T895" s="57"/>
      <c r="U895" s="60"/>
      <c r="V895" s="59"/>
      <c r="W895" s="57"/>
      <c r="X895" s="57"/>
      <c r="Y895" s="57" t="s">
        <v>21</v>
      </c>
      <c r="Z895" s="57" t="s">
        <v>911</v>
      </c>
      <c r="AA895" s="59">
        <v>60373</v>
      </c>
      <c r="AB895" s="57" t="s">
        <v>61</v>
      </c>
      <c r="AC895" s="60">
        <v>45885</v>
      </c>
      <c r="AD895" s="59">
        <v>60373</v>
      </c>
      <c r="AE895" s="57" t="s">
        <v>3979</v>
      </c>
      <c r="AF895" s="57" t="s">
        <v>3980</v>
      </c>
    </row>
    <row r="896" spans="1:32">
      <c r="A896" s="57">
        <v>895</v>
      </c>
      <c r="B896" s="58">
        <v>45985.455983796302</v>
      </c>
      <c r="C896" s="58">
        <v>45985.562048611107</v>
      </c>
      <c r="D896" s="57" t="s">
        <v>840</v>
      </c>
      <c r="E896" s="57" t="s">
        <v>841</v>
      </c>
      <c r="F896" s="58"/>
      <c r="G896" s="57" t="s">
        <v>564</v>
      </c>
      <c r="H896" s="59">
        <v>1</v>
      </c>
      <c r="I896" s="57"/>
      <c r="J896" s="57"/>
      <c r="K896" s="59"/>
      <c r="L896" s="57"/>
      <c r="M896" s="60"/>
      <c r="N896" s="59"/>
      <c r="O896" s="57"/>
      <c r="P896" s="57"/>
      <c r="Q896" s="57"/>
      <c r="R896" s="57"/>
      <c r="S896" s="59"/>
      <c r="T896" s="57"/>
      <c r="U896" s="60"/>
      <c r="V896" s="59"/>
      <c r="W896" s="57"/>
      <c r="X896" s="57"/>
      <c r="Y896" s="57" t="s">
        <v>20</v>
      </c>
      <c r="Z896" s="57" t="s">
        <v>235</v>
      </c>
      <c r="AA896" s="59">
        <v>15978</v>
      </c>
      <c r="AB896" s="57" t="s">
        <v>61</v>
      </c>
      <c r="AC896" s="60">
        <v>45812</v>
      </c>
      <c r="AD896" s="59">
        <v>15978</v>
      </c>
      <c r="AE896" s="57" t="s">
        <v>3981</v>
      </c>
      <c r="AF896" s="57" t="s">
        <v>3982</v>
      </c>
    </row>
    <row r="897" spans="1:32">
      <c r="A897" s="57">
        <v>896</v>
      </c>
      <c r="B897" s="58">
        <v>45985.566689814812</v>
      </c>
      <c r="C897" s="58">
        <v>45985.569780092592</v>
      </c>
      <c r="D897" s="57" t="s">
        <v>1644</v>
      </c>
      <c r="E897" s="57" t="s">
        <v>1645</v>
      </c>
      <c r="F897" s="58"/>
      <c r="G897" s="57" t="s">
        <v>649</v>
      </c>
      <c r="H897" s="59">
        <v>1</v>
      </c>
      <c r="I897" s="57"/>
      <c r="J897" s="57"/>
      <c r="K897" s="59"/>
      <c r="L897" s="57"/>
      <c r="M897" s="60"/>
      <c r="N897" s="59"/>
      <c r="O897" s="57"/>
      <c r="P897" s="57"/>
      <c r="Q897" s="57"/>
      <c r="R897" s="57"/>
      <c r="S897" s="59"/>
      <c r="T897" s="57"/>
      <c r="U897" s="60"/>
      <c r="V897" s="59"/>
      <c r="W897" s="57"/>
      <c r="X897" s="57"/>
      <c r="Y897" s="57" t="s">
        <v>21</v>
      </c>
      <c r="Z897" s="57" t="s">
        <v>345</v>
      </c>
      <c r="AA897" s="59">
        <v>920</v>
      </c>
      <c r="AB897" s="57" t="s">
        <v>61</v>
      </c>
      <c r="AC897" s="60">
        <v>45741</v>
      </c>
      <c r="AD897" s="59">
        <v>920</v>
      </c>
      <c r="AE897" s="57" t="s">
        <v>3983</v>
      </c>
      <c r="AF897" s="57" t="s">
        <v>3984</v>
      </c>
    </row>
    <row r="898" spans="1:32">
      <c r="A898" s="57">
        <v>897</v>
      </c>
      <c r="B898" s="58">
        <v>45985.570428240739</v>
      </c>
      <c r="C898" s="58">
        <v>45985.576724537037</v>
      </c>
      <c r="D898" s="57" t="s">
        <v>1709</v>
      </c>
      <c r="E898" s="57" t="s">
        <v>1710</v>
      </c>
      <c r="F898" s="58"/>
      <c r="G898" s="57" t="s">
        <v>533</v>
      </c>
      <c r="H898" s="59">
        <v>1</v>
      </c>
      <c r="I898" s="57"/>
      <c r="J898" s="57"/>
      <c r="K898" s="59"/>
      <c r="L898" s="57"/>
      <c r="M898" s="60"/>
      <c r="N898" s="59"/>
      <c r="O898" s="57"/>
      <c r="P898" s="57"/>
      <c r="Q898" s="57"/>
      <c r="R898" s="57"/>
      <c r="S898" s="59"/>
      <c r="T898" s="57"/>
      <c r="U898" s="60"/>
      <c r="V898" s="59"/>
      <c r="W898" s="57"/>
      <c r="X898" s="57"/>
      <c r="Y898" s="57" t="s">
        <v>20</v>
      </c>
      <c r="Z898" s="57" t="s">
        <v>201</v>
      </c>
      <c r="AA898" s="59">
        <v>53682</v>
      </c>
      <c r="AB898" s="57" t="s">
        <v>61</v>
      </c>
      <c r="AC898" s="60">
        <v>45924</v>
      </c>
      <c r="AD898" s="59">
        <v>53682</v>
      </c>
      <c r="AE898" s="57" t="s">
        <v>3985</v>
      </c>
      <c r="AF898" s="57" t="s">
        <v>3986</v>
      </c>
    </row>
    <row r="899" spans="1:32">
      <c r="A899" s="57">
        <v>898</v>
      </c>
      <c r="B899" s="58">
        <v>45985.566087962958</v>
      </c>
      <c r="C899" s="58">
        <v>45985.576874999999</v>
      </c>
      <c r="D899" s="57" t="s">
        <v>2172</v>
      </c>
      <c r="E899" s="57" t="s">
        <v>2173</v>
      </c>
      <c r="F899" s="58"/>
      <c r="G899" s="57" t="s">
        <v>515</v>
      </c>
      <c r="H899" s="59">
        <v>1</v>
      </c>
      <c r="I899" s="57"/>
      <c r="J899" s="57"/>
      <c r="K899" s="59"/>
      <c r="L899" s="57"/>
      <c r="M899" s="60"/>
      <c r="N899" s="59"/>
      <c r="O899" s="57"/>
      <c r="P899" s="57"/>
      <c r="Q899" s="57"/>
      <c r="R899" s="57"/>
      <c r="S899" s="59"/>
      <c r="T899" s="57"/>
      <c r="U899" s="60"/>
      <c r="V899" s="59"/>
      <c r="W899" s="57"/>
      <c r="X899" s="57"/>
      <c r="Y899" s="57" t="s">
        <v>21</v>
      </c>
      <c r="Z899" s="57" t="s">
        <v>182</v>
      </c>
      <c r="AA899" s="59">
        <v>37793</v>
      </c>
      <c r="AB899" s="57" t="s">
        <v>61</v>
      </c>
      <c r="AC899" s="60">
        <v>45895</v>
      </c>
      <c r="AD899" s="59">
        <v>37793</v>
      </c>
      <c r="AE899" s="57" t="s">
        <v>3987</v>
      </c>
      <c r="AF899" s="57" t="s">
        <v>3988</v>
      </c>
    </row>
    <row r="900" spans="1:32">
      <c r="A900" s="57">
        <v>899</v>
      </c>
      <c r="B900" s="58">
        <v>45985.572500000002</v>
      </c>
      <c r="C900" s="58">
        <v>45985.578738425917</v>
      </c>
      <c r="D900" s="57" t="s">
        <v>2378</v>
      </c>
      <c r="E900" s="57" t="s">
        <v>2379</v>
      </c>
      <c r="F900" s="58"/>
      <c r="G900" s="57" t="s">
        <v>576</v>
      </c>
      <c r="H900" s="59">
        <v>1</v>
      </c>
      <c r="I900" s="57"/>
      <c r="J900" s="57"/>
      <c r="K900" s="59"/>
      <c r="L900" s="57"/>
      <c r="M900" s="60"/>
      <c r="N900" s="59"/>
      <c r="O900" s="57"/>
      <c r="P900" s="57"/>
      <c r="Q900" s="57"/>
      <c r="R900" s="57"/>
      <c r="S900" s="59"/>
      <c r="T900" s="57"/>
      <c r="U900" s="60"/>
      <c r="V900" s="59"/>
      <c r="W900" s="57"/>
      <c r="X900" s="57"/>
      <c r="Y900" s="57" t="s">
        <v>20</v>
      </c>
      <c r="Z900" s="57" t="s">
        <v>248</v>
      </c>
      <c r="AA900" s="59">
        <v>37180</v>
      </c>
      <c r="AB900" s="57" t="s">
        <v>61</v>
      </c>
      <c r="AC900" s="60">
        <v>45888</v>
      </c>
      <c r="AD900" s="59">
        <v>37180</v>
      </c>
      <c r="AE900" s="57" t="s">
        <v>3989</v>
      </c>
      <c r="AF900" s="57" t="s">
        <v>3990</v>
      </c>
    </row>
    <row r="901" spans="1:32">
      <c r="A901" s="57">
        <v>900</v>
      </c>
      <c r="B901" s="58">
        <v>45985.474780092591</v>
      </c>
      <c r="C901" s="58">
        <v>45985.581354166658</v>
      </c>
      <c r="D901" s="57" t="s">
        <v>1741</v>
      </c>
      <c r="E901" s="57" t="s">
        <v>1742</v>
      </c>
      <c r="F901" s="58"/>
      <c r="G901" s="57" t="s">
        <v>509</v>
      </c>
      <c r="H901" s="59">
        <v>1</v>
      </c>
      <c r="I901" s="57"/>
      <c r="J901" s="57"/>
      <c r="K901" s="59"/>
      <c r="L901" s="57"/>
      <c r="M901" s="60"/>
      <c r="N901" s="59"/>
      <c r="O901" s="57"/>
      <c r="P901" s="57"/>
      <c r="Q901" s="57"/>
      <c r="R901" s="57"/>
      <c r="S901" s="59"/>
      <c r="T901" s="57"/>
      <c r="U901" s="60"/>
      <c r="V901" s="59"/>
      <c r="W901" s="57"/>
      <c r="X901" s="57"/>
      <c r="Y901" s="57" t="s">
        <v>21</v>
      </c>
      <c r="Z901" s="57" t="s">
        <v>175</v>
      </c>
      <c r="AA901" s="59">
        <v>42535</v>
      </c>
      <c r="AB901" s="57" t="s">
        <v>61</v>
      </c>
      <c r="AC901" s="60">
        <v>45926</v>
      </c>
      <c r="AD901" s="59">
        <v>42535</v>
      </c>
      <c r="AE901" s="57" t="s">
        <v>3991</v>
      </c>
      <c r="AF901" s="57" t="s">
        <v>3992</v>
      </c>
    </row>
    <row r="902" spans="1:32">
      <c r="A902" s="57">
        <v>901</v>
      </c>
      <c r="B902" s="58">
        <v>45985.577152777783</v>
      </c>
      <c r="C902" s="58">
        <v>45985.582592592589</v>
      </c>
      <c r="D902" s="57" t="s">
        <v>3344</v>
      </c>
      <c r="E902" s="57" t="s">
        <v>3345</v>
      </c>
      <c r="F902" s="58"/>
      <c r="G902" s="57" t="s">
        <v>687</v>
      </c>
      <c r="H902" s="59">
        <v>1</v>
      </c>
      <c r="I902" s="57"/>
      <c r="J902" s="57"/>
      <c r="K902" s="59"/>
      <c r="L902" s="57"/>
      <c r="M902" s="60"/>
      <c r="N902" s="59"/>
      <c r="O902" s="57"/>
      <c r="P902" s="57"/>
      <c r="Q902" s="57"/>
      <c r="R902" s="57"/>
      <c r="S902" s="59"/>
      <c r="T902" s="57"/>
      <c r="U902" s="60"/>
      <c r="V902" s="59"/>
      <c r="W902" s="57"/>
      <c r="X902" s="57"/>
      <c r="Y902" s="57" t="s">
        <v>21</v>
      </c>
      <c r="Z902" s="57" t="s">
        <v>406</v>
      </c>
      <c r="AA902" s="59">
        <v>415</v>
      </c>
      <c r="AB902" s="57" t="s">
        <v>61</v>
      </c>
      <c r="AC902" s="60">
        <v>45974</v>
      </c>
      <c r="AD902" s="59">
        <v>415</v>
      </c>
      <c r="AE902" s="57" t="s">
        <v>3993</v>
      </c>
      <c r="AF902" s="57" t="s">
        <v>3994</v>
      </c>
    </row>
    <row r="903" spans="1:32">
      <c r="A903" s="57">
        <v>902</v>
      </c>
      <c r="B903" s="58">
        <v>45985.581331018519</v>
      </c>
      <c r="C903" s="58">
        <v>45985.583472222221</v>
      </c>
      <c r="D903" s="57" t="s">
        <v>966</v>
      </c>
      <c r="E903" s="57" t="s">
        <v>967</v>
      </c>
      <c r="F903" s="58"/>
      <c r="G903" s="57" t="s">
        <v>503</v>
      </c>
      <c r="H903" s="59">
        <v>1</v>
      </c>
      <c r="I903" s="57"/>
      <c r="J903" s="57"/>
      <c r="K903" s="59"/>
      <c r="L903" s="57"/>
      <c r="M903" s="60"/>
      <c r="N903" s="59"/>
      <c r="O903" s="57"/>
      <c r="P903" s="57"/>
      <c r="Q903" s="57"/>
      <c r="R903" s="57"/>
      <c r="S903" s="59"/>
      <c r="T903" s="57"/>
      <c r="U903" s="60"/>
      <c r="V903" s="59"/>
      <c r="W903" s="57"/>
      <c r="X903" s="57"/>
      <c r="Y903" s="57" t="s">
        <v>20</v>
      </c>
      <c r="Z903" s="57" t="s">
        <v>169</v>
      </c>
      <c r="AA903" s="59">
        <v>87353</v>
      </c>
      <c r="AB903" s="57" t="s">
        <v>61</v>
      </c>
      <c r="AC903" s="60">
        <v>45931</v>
      </c>
      <c r="AD903" s="59">
        <v>87353</v>
      </c>
      <c r="AE903" s="57" t="s">
        <v>3995</v>
      </c>
      <c r="AF903" s="57" t="s">
        <v>3996</v>
      </c>
    </row>
    <row r="904" spans="1:32">
      <c r="A904" s="57">
        <v>903</v>
      </c>
      <c r="B904" s="58">
        <v>45985.585150462961</v>
      </c>
      <c r="C904" s="58">
        <v>45985.586967592593</v>
      </c>
      <c r="D904" s="57" t="s">
        <v>2016</v>
      </c>
      <c r="E904" s="57" t="s">
        <v>2017</v>
      </c>
      <c r="F904" s="58"/>
      <c r="G904" s="57" t="s">
        <v>645</v>
      </c>
      <c r="H904" s="59">
        <v>1</v>
      </c>
      <c r="I904" s="57"/>
      <c r="J904" s="57"/>
      <c r="K904" s="59"/>
      <c r="L904" s="57"/>
      <c r="M904" s="60"/>
      <c r="N904" s="59"/>
      <c r="O904" s="57"/>
      <c r="P904" s="57"/>
      <c r="Q904" s="57"/>
      <c r="R904" s="57"/>
      <c r="S904" s="59"/>
      <c r="T904" s="57"/>
      <c r="U904" s="60"/>
      <c r="V904" s="59"/>
      <c r="W904" s="57"/>
      <c r="X904" s="57"/>
      <c r="Y904" s="57" t="s">
        <v>21</v>
      </c>
      <c r="Z904" s="57" t="s">
        <v>340</v>
      </c>
      <c r="AA904" s="59">
        <v>11618</v>
      </c>
      <c r="AB904" s="57" t="s">
        <v>61</v>
      </c>
      <c r="AC904" s="60">
        <v>45720</v>
      </c>
      <c r="AD904" s="59">
        <v>11618</v>
      </c>
      <c r="AE904" s="57" t="s">
        <v>3997</v>
      </c>
      <c r="AF904" s="57" t="s">
        <v>3998</v>
      </c>
    </row>
    <row r="905" spans="1:32">
      <c r="A905" s="57">
        <v>904</v>
      </c>
      <c r="B905" s="58">
        <v>45985.585543981477</v>
      </c>
      <c r="C905" s="58">
        <v>45985.587488425917</v>
      </c>
      <c r="D905" s="57" t="s">
        <v>744</v>
      </c>
      <c r="E905" s="57" t="s">
        <v>745</v>
      </c>
      <c r="F905" s="58"/>
      <c r="G905" s="57" t="s">
        <v>572</v>
      </c>
      <c r="H905" s="59">
        <v>1</v>
      </c>
      <c r="I905" s="57"/>
      <c r="J905" s="57"/>
      <c r="K905" s="59"/>
      <c r="L905" s="57"/>
      <c r="M905" s="60"/>
      <c r="N905" s="59"/>
      <c r="O905" s="57"/>
      <c r="P905" s="57"/>
      <c r="Q905" s="57"/>
      <c r="R905" s="57"/>
      <c r="S905" s="59"/>
      <c r="T905" s="57"/>
      <c r="U905" s="60"/>
      <c r="V905" s="59"/>
      <c r="W905" s="57"/>
      <c r="X905" s="57"/>
      <c r="Y905" s="57" t="s">
        <v>21</v>
      </c>
      <c r="Z905" s="57" t="s">
        <v>244</v>
      </c>
      <c r="AA905" s="59">
        <v>21206</v>
      </c>
      <c r="AB905" s="57" t="s">
        <v>61</v>
      </c>
      <c r="AC905" s="60">
        <v>45841</v>
      </c>
      <c r="AD905" s="59">
        <v>21206</v>
      </c>
      <c r="AE905" s="57" t="s">
        <v>3999</v>
      </c>
      <c r="AF905" s="57" t="s">
        <v>4000</v>
      </c>
    </row>
    <row r="906" spans="1:32">
      <c r="A906" s="57">
        <v>905</v>
      </c>
      <c r="B906" s="58">
        <v>45985.574293981481</v>
      </c>
      <c r="C906" s="58">
        <v>45985.58761574074</v>
      </c>
      <c r="D906" s="57" t="s">
        <v>956</v>
      </c>
      <c r="E906" s="57" t="s">
        <v>957</v>
      </c>
      <c r="F906" s="58"/>
      <c r="G906" s="57" t="s">
        <v>534</v>
      </c>
      <c r="H906" s="59">
        <v>2</v>
      </c>
      <c r="I906" s="57"/>
      <c r="J906" s="57"/>
      <c r="K906" s="59"/>
      <c r="L906" s="57"/>
      <c r="M906" s="60"/>
      <c r="N906" s="59"/>
      <c r="O906" s="57"/>
      <c r="P906" s="57"/>
      <c r="Q906" s="57" t="s">
        <v>20</v>
      </c>
      <c r="R906" s="57" t="s">
        <v>202</v>
      </c>
      <c r="S906" s="59">
        <v>34842</v>
      </c>
      <c r="T906" s="57" t="s">
        <v>61</v>
      </c>
      <c r="U906" s="60">
        <v>45974</v>
      </c>
      <c r="V906" s="59">
        <v>34842</v>
      </c>
      <c r="W906" s="57" t="s">
        <v>4001</v>
      </c>
      <c r="X906" s="57" t="s">
        <v>4002</v>
      </c>
      <c r="Y906" s="57" t="s">
        <v>22</v>
      </c>
      <c r="Z906" s="57" t="s">
        <v>4003</v>
      </c>
      <c r="AA906" s="59">
        <v>89704</v>
      </c>
      <c r="AB906" s="57" t="s">
        <v>61</v>
      </c>
      <c r="AC906" s="60">
        <v>45772</v>
      </c>
      <c r="AD906" s="59">
        <v>89704</v>
      </c>
      <c r="AE906" s="57" t="s">
        <v>4004</v>
      </c>
      <c r="AF906" s="57" t="s">
        <v>4005</v>
      </c>
    </row>
    <row r="907" spans="1:32">
      <c r="A907" s="57">
        <v>906</v>
      </c>
      <c r="B907" s="58">
        <v>45985.581886574073</v>
      </c>
      <c r="C907" s="58">
        <v>45985.588472222233</v>
      </c>
      <c r="D907" s="57" t="s">
        <v>2232</v>
      </c>
      <c r="E907" s="57" t="s">
        <v>2233</v>
      </c>
      <c r="F907" s="58"/>
      <c r="G907" s="57" t="s">
        <v>600</v>
      </c>
      <c r="H907" s="59">
        <v>1</v>
      </c>
      <c r="I907" s="57"/>
      <c r="J907" s="57"/>
      <c r="K907" s="59"/>
      <c r="L907" s="57"/>
      <c r="M907" s="60"/>
      <c r="N907" s="59"/>
      <c r="O907" s="57"/>
      <c r="P907" s="57"/>
      <c r="Q907" s="57"/>
      <c r="R907" s="57"/>
      <c r="S907" s="59"/>
      <c r="T907" s="57"/>
      <c r="U907" s="60"/>
      <c r="V907" s="59"/>
      <c r="W907" s="57"/>
      <c r="X907" s="57"/>
      <c r="Y907" s="57" t="s">
        <v>20</v>
      </c>
      <c r="Z907" s="57" t="s">
        <v>276</v>
      </c>
      <c r="AA907" s="59">
        <v>23330</v>
      </c>
      <c r="AB907" s="57" t="s">
        <v>61</v>
      </c>
      <c r="AC907" s="60">
        <v>45889</v>
      </c>
      <c r="AD907" s="59">
        <v>23330</v>
      </c>
      <c r="AE907" s="57" t="s">
        <v>4006</v>
      </c>
      <c r="AF907" s="57" t="s">
        <v>4007</v>
      </c>
    </row>
    <row r="908" spans="1:32">
      <c r="A908" s="57">
        <v>907</v>
      </c>
      <c r="B908" s="58">
        <v>45985.598217592589</v>
      </c>
      <c r="C908" s="58">
        <v>45985.611481481479</v>
      </c>
      <c r="D908" s="57" t="s">
        <v>827</v>
      </c>
      <c r="E908" s="57" t="s">
        <v>828</v>
      </c>
      <c r="F908" s="58"/>
      <c r="G908" s="57" t="s">
        <v>566</v>
      </c>
      <c r="H908" s="59">
        <v>3</v>
      </c>
      <c r="I908" s="57" t="s">
        <v>22</v>
      </c>
      <c r="J908" s="57" t="s">
        <v>238</v>
      </c>
      <c r="K908" s="59">
        <v>60750</v>
      </c>
      <c r="L908" s="57" t="s">
        <v>61</v>
      </c>
      <c r="M908" s="60">
        <v>45924</v>
      </c>
      <c r="N908" s="59">
        <v>60750</v>
      </c>
      <c r="O908" s="57" t="s">
        <v>4008</v>
      </c>
      <c r="P908" s="57" t="s">
        <v>4009</v>
      </c>
      <c r="Q908" s="57" t="s">
        <v>21</v>
      </c>
      <c r="R908" s="57" t="s">
        <v>377</v>
      </c>
      <c r="S908" s="59">
        <v>5006</v>
      </c>
      <c r="T908" s="57" t="s">
        <v>61</v>
      </c>
      <c r="U908" s="60">
        <v>45861</v>
      </c>
      <c r="V908" s="59">
        <v>5006</v>
      </c>
      <c r="W908" s="57" t="s">
        <v>4010</v>
      </c>
      <c r="X908" s="57" t="s">
        <v>4011</v>
      </c>
      <c r="Y908" s="57" t="s">
        <v>21</v>
      </c>
      <c r="Z908" s="57" t="s">
        <v>413</v>
      </c>
      <c r="AA908" s="59">
        <v>893</v>
      </c>
      <c r="AB908" s="57" t="s">
        <v>61</v>
      </c>
      <c r="AC908" s="60">
        <v>45961</v>
      </c>
      <c r="AD908" s="59">
        <v>893</v>
      </c>
      <c r="AE908" s="57" t="s">
        <v>4012</v>
      </c>
      <c r="AF908" s="57" t="s">
        <v>4013</v>
      </c>
    </row>
    <row r="909" spans="1:32">
      <c r="A909" s="57">
        <v>908</v>
      </c>
      <c r="B909" s="58">
        <v>45985.609375</v>
      </c>
      <c r="C909" s="58">
        <v>45985.613703703697</v>
      </c>
      <c r="D909" s="57" t="s">
        <v>813</v>
      </c>
      <c r="E909" s="57" t="s">
        <v>814</v>
      </c>
      <c r="F909" s="58"/>
      <c r="G909" s="57" t="s">
        <v>471</v>
      </c>
      <c r="H909" s="59">
        <v>1</v>
      </c>
      <c r="I909" s="57"/>
      <c r="J909" s="57"/>
      <c r="K909" s="59"/>
      <c r="L909" s="57"/>
      <c r="M909" s="60"/>
      <c r="N909" s="59"/>
      <c r="O909" s="57"/>
      <c r="P909" s="57"/>
      <c r="Q909" s="57"/>
      <c r="R909" s="57"/>
      <c r="S909" s="59"/>
      <c r="T909" s="57"/>
      <c r="U909" s="60"/>
      <c r="V909" s="59"/>
      <c r="W909" s="57"/>
      <c r="X909" s="57"/>
      <c r="Y909" s="57" t="s">
        <v>21</v>
      </c>
      <c r="Z909" s="57" t="s">
        <v>137</v>
      </c>
      <c r="AA909" s="59">
        <v>28491</v>
      </c>
      <c r="AB909" s="57" t="s">
        <v>61</v>
      </c>
      <c r="AC909" s="60">
        <v>45980</v>
      </c>
      <c r="AD909" s="59">
        <v>28491</v>
      </c>
      <c r="AE909" s="57" t="s">
        <v>4014</v>
      </c>
      <c r="AF909" s="57" t="s">
        <v>4015</v>
      </c>
    </row>
    <row r="910" spans="1:32">
      <c r="A910" s="57">
        <v>909</v>
      </c>
      <c r="B910" s="58">
        <v>45985.454444444447</v>
      </c>
      <c r="C910" s="58">
        <v>45985.61378472222</v>
      </c>
      <c r="D910" s="57" t="s">
        <v>1402</v>
      </c>
      <c r="E910" s="57" t="s">
        <v>1403</v>
      </c>
      <c r="F910" s="58"/>
      <c r="G910" s="57" t="s">
        <v>575</v>
      </c>
      <c r="H910" s="59">
        <v>1</v>
      </c>
      <c r="I910" s="57"/>
      <c r="J910" s="57"/>
      <c r="K910" s="59"/>
      <c r="L910" s="57"/>
      <c r="M910" s="60"/>
      <c r="N910" s="59"/>
      <c r="O910" s="57"/>
      <c r="P910" s="57"/>
      <c r="Q910" s="57"/>
      <c r="R910" s="57"/>
      <c r="S910" s="59"/>
      <c r="T910" s="57"/>
      <c r="U910" s="60"/>
      <c r="V910" s="59"/>
      <c r="W910" s="57"/>
      <c r="X910" s="57"/>
      <c r="Y910" s="57" t="s">
        <v>21</v>
      </c>
      <c r="Z910" s="57" t="s">
        <v>247</v>
      </c>
      <c r="AA910" s="59">
        <v>23940</v>
      </c>
      <c r="AB910" s="57" t="s">
        <v>61</v>
      </c>
      <c r="AC910" s="60">
        <v>45888</v>
      </c>
      <c r="AD910" s="59">
        <v>23940</v>
      </c>
      <c r="AE910" s="57" t="s">
        <v>4016</v>
      </c>
      <c r="AF910" s="57" t="s">
        <v>4017</v>
      </c>
    </row>
    <row r="911" spans="1:32">
      <c r="A911" s="57">
        <v>910</v>
      </c>
      <c r="B911" s="58">
        <v>45985.608506944453</v>
      </c>
      <c r="C911" s="58">
        <v>45985.614745370367</v>
      </c>
      <c r="D911" s="57" t="s">
        <v>3874</v>
      </c>
      <c r="E911" s="57" t="s">
        <v>3875</v>
      </c>
      <c r="F911" s="58"/>
      <c r="G911" s="57" t="s">
        <v>529</v>
      </c>
      <c r="H911" s="59">
        <v>1</v>
      </c>
      <c r="I911" s="57"/>
      <c r="J911" s="57"/>
      <c r="K911" s="59"/>
      <c r="L911" s="57"/>
      <c r="M911" s="60"/>
      <c r="N911" s="59"/>
      <c r="O911" s="57"/>
      <c r="P911" s="57"/>
      <c r="Q911" s="57"/>
      <c r="R911" s="57"/>
      <c r="S911" s="59"/>
      <c r="T911" s="57"/>
      <c r="U911" s="60"/>
      <c r="V911" s="59"/>
      <c r="W911" s="57"/>
      <c r="X911" s="57"/>
      <c r="Y911" s="57" t="s">
        <v>21</v>
      </c>
      <c r="Z911" s="57" t="s">
        <v>196</v>
      </c>
      <c r="AA911" s="59">
        <v>70397</v>
      </c>
      <c r="AB911" s="57" t="s">
        <v>61</v>
      </c>
      <c r="AC911" s="60">
        <v>45904</v>
      </c>
      <c r="AD911" s="59">
        <v>70397</v>
      </c>
      <c r="AE911" s="57" t="s">
        <v>4018</v>
      </c>
      <c r="AF911" s="57" t="s">
        <v>4019</v>
      </c>
    </row>
    <row r="912" spans="1:32">
      <c r="A912" s="57">
        <v>911</v>
      </c>
      <c r="B912" s="58">
        <v>45985.610648148147</v>
      </c>
      <c r="C912" s="58">
        <v>45985.615856481483</v>
      </c>
      <c r="D912" s="57" t="s">
        <v>2088</v>
      </c>
      <c r="E912" s="57" t="s">
        <v>2089</v>
      </c>
      <c r="F912" s="58"/>
      <c r="G912" s="57" t="s">
        <v>692</v>
      </c>
      <c r="H912" s="59">
        <v>1</v>
      </c>
      <c r="I912" s="57"/>
      <c r="J912" s="57"/>
      <c r="K912" s="59"/>
      <c r="L912" s="57"/>
      <c r="M912" s="60"/>
      <c r="N912" s="59"/>
      <c r="O912" s="57"/>
      <c r="P912" s="57"/>
      <c r="Q912" s="57"/>
      <c r="R912" s="57"/>
      <c r="S912" s="59"/>
      <c r="T912" s="57"/>
      <c r="U912" s="60"/>
      <c r="V912" s="59"/>
      <c r="W912" s="57"/>
      <c r="X912" s="57"/>
      <c r="Y912" s="57" t="s">
        <v>21</v>
      </c>
      <c r="Z912" s="57" t="s">
        <v>2090</v>
      </c>
      <c r="AA912" s="59">
        <v>71918</v>
      </c>
      <c r="AB912" s="57" t="s">
        <v>61</v>
      </c>
      <c r="AC912" s="60">
        <v>45799</v>
      </c>
      <c r="AD912" s="59">
        <v>71918</v>
      </c>
      <c r="AE912" s="57" t="s">
        <v>4020</v>
      </c>
      <c r="AF912" s="57" t="s">
        <v>4021</v>
      </c>
    </row>
    <row r="913" spans="1:32">
      <c r="A913" s="57">
        <v>912</v>
      </c>
      <c r="B913" s="58">
        <v>45985.620983796303</v>
      </c>
      <c r="C913" s="58">
        <v>45985.629675925928</v>
      </c>
      <c r="D913" s="57" t="s">
        <v>730</v>
      </c>
      <c r="E913" s="57" t="s">
        <v>731</v>
      </c>
      <c r="F913" s="58"/>
      <c r="G913" s="57" t="s">
        <v>604</v>
      </c>
      <c r="H913" s="59">
        <v>1</v>
      </c>
      <c r="I913" s="57"/>
      <c r="J913" s="57"/>
      <c r="K913" s="59"/>
      <c r="L913" s="57"/>
      <c r="M913" s="60"/>
      <c r="N913" s="59"/>
      <c r="O913" s="57"/>
      <c r="P913" s="57"/>
      <c r="Q913" s="57"/>
      <c r="R913" s="57"/>
      <c r="S913" s="59"/>
      <c r="T913" s="57"/>
      <c r="U913" s="60"/>
      <c r="V913" s="59"/>
      <c r="W913" s="57"/>
      <c r="X913" s="57"/>
      <c r="Y913" s="57" t="s">
        <v>20</v>
      </c>
      <c r="Z913" s="57" t="s">
        <v>282</v>
      </c>
      <c r="AA913" s="59">
        <v>41410</v>
      </c>
      <c r="AB913" s="57" t="s">
        <v>61</v>
      </c>
      <c r="AC913" s="60">
        <v>45910</v>
      </c>
      <c r="AD913" s="59">
        <v>41410</v>
      </c>
      <c r="AE913" s="57" t="s">
        <v>4022</v>
      </c>
      <c r="AF913" s="57" t="s">
        <v>4023</v>
      </c>
    </row>
    <row r="914" spans="1:32">
      <c r="A914" s="57">
        <v>913</v>
      </c>
      <c r="B914" s="58">
        <v>45985.629502314812</v>
      </c>
      <c r="C914" s="58">
        <v>45985.632395833331</v>
      </c>
      <c r="D914" s="57" t="s">
        <v>748</v>
      </c>
      <c r="E914" s="57" t="s">
        <v>749</v>
      </c>
      <c r="F914" s="58"/>
      <c r="G914" s="57" t="s">
        <v>619</v>
      </c>
      <c r="H914" s="59">
        <v>2</v>
      </c>
      <c r="I914" s="57"/>
      <c r="J914" s="57"/>
      <c r="K914" s="59"/>
      <c r="L914" s="57"/>
      <c r="M914" s="60"/>
      <c r="N914" s="59"/>
      <c r="O914" s="57"/>
      <c r="P914" s="57"/>
      <c r="Q914" s="57" t="s">
        <v>22</v>
      </c>
      <c r="R914" s="57" t="s">
        <v>301</v>
      </c>
      <c r="S914" s="59">
        <v>19562</v>
      </c>
      <c r="T914" s="57" t="s">
        <v>61</v>
      </c>
      <c r="U914" s="60">
        <v>45972</v>
      </c>
      <c r="V914" s="59">
        <v>19562</v>
      </c>
      <c r="W914" s="57" t="s">
        <v>4024</v>
      </c>
      <c r="X914" s="57" t="s">
        <v>4025</v>
      </c>
      <c r="Y914" s="57" t="s">
        <v>20</v>
      </c>
      <c r="Z914" s="57" t="s">
        <v>752</v>
      </c>
      <c r="AA914" s="59">
        <v>70064</v>
      </c>
      <c r="AB914" s="57" t="s">
        <v>61</v>
      </c>
      <c r="AC914" s="60">
        <v>45972</v>
      </c>
      <c r="AD914" s="59">
        <v>70064</v>
      </c>
      <c r="AE914" s="57" t="s">
        <v>4026</v>
      </c>
      <c r="AF914" s="57" t="s">
        <v>4027</v>
      </c>
    </row>
    <row r="915" spans="1:32">
      <c r="A915" s="57">
        <v>914</v>
      </c>
      <c r="B915" s="58">
        <v>45985.614849537043</v>
      </c>
      <c r="C915" s="58">
        <v>45985.6403125</v>
      </c>
      <c r="D915" s="57" t="s">
        <v>2440</v>
      </c>
      <c r="E915" s="57" t="s">
        <v>2441</v>
      </c>
      <c r="F915" s="58"/>
      <c r="G915" s="57" t="s">
        <v>588</v>
      </c>
      <c r="H915" s="59">
        <v>1</v>
      </c>
      <c r="I915" s="57"/>
      <c r="J915" s="57"/>
      <c r="K915" s="59"/>
      <c r="L915" s="57"/>
      <c r="M915" s="60"/>
      <c r="N915" s="59"/>
      <c r="O915" s="57"/>
      <c r="P915" s="57"/>
      <c r="Q915" s="57"/>
      <c r="R915" s="57"/>
      <c r="S915" s="59"/>
      <c r="T915" s="57"/>
      <c r="U915" s="60"/>
      <c r="V915" s="59"/>
      <c r="W915" s="57"/>
      <c r="X915" s="57"/>
      <c r="Y915" s="57" t="s">
        <v>21</v>
      </c>
      <c r="Z915" s="57" t="s">
        <v>262</v>
      </c>
      <c r="AA915" s="59">
        <v>48930</v>
      </c>
      <c r="AB915" s="57" t="s">
        <v>61</v>
      </c>
      <c r="AC915" s="60">
        <v>45825</v>
      </c>
      <c r="AD915" s="59">
        <v>48930</v>
      </c>
      <c r="AE915" s="57" t="s">
        <v>4028</v>
      </c>
      <c r="AF915" s="57" t="s">
        <v>4029</v>
      </c>
    </row>
    <row r="916" spans="1:32">
      <c r="A916" s="57">
        <v>915</v>
      </c>
      <c r="B916" s="58">
        <v>45985.643599537027</v>
      </c>
      <c r="C916" s="58">
        <v>45985.646747685183</v>
      </c>
      <c r="D916" s="57" t="s">
        <v>1583</v>
      </c>
      <c r="E916" s="57" t="s">
        <v>1584</v>
      </c>
      <c r="F916" s="58"/>
      <c r="G916" s="57" t="s">
        <v>537</v>
      </c>
      <c r="H916" s="59">
        <v>1</v>
      </c>
      <c r="I916" s="57"/>
      <c r="J916" s="57"/>
      <c r="K916" s="59"/>
      <c r="L916" s="57"/>
      <c r="M916" s="60"/>
      <c r="N916" s="59"/>
      <c r="O916" s="57"/>
      <c r="P916" s="57"/>
      <c r="Q916" s="57"/>
      <c r="R916" s="57"/>
      <c r="S916" s="59"/>
      <c r="T916" s="57"/>
      <c r="U916" s="60"/>
      <c r="V916" s="59"/>
      <c r="W916" s="57"/>
      <c r="X916" s="57"/>
      <c r="Y916" s="57" t="s">
        <v>22</v>
      </c>
      <c r="Z916" s="57" t="s">
        <v>205</v>
      </c>
      <c r="AA916" s="59">
        <v>35224</v>
      </c>
      <c r="AB916" s="57" t="s">
        <v>61</v>
      </c>
      <c r="AC916" s="60">
        <v>45920</v>
      </c>
      <c r="AD916" s="59">
        <v>35224</v>
      </c>
      <c r="AE916" s="57" t="s">
        <v>4030</v>
      </c>
      <c r="AF916" s="57" t="s">
        <v>4031</v>
      </c>
    </row>
    <row r="917" spans="1:32">
      <c r="A917" s="57">
        <v>916</v>
      </c>
      <c r="B917" s="58">
        <v>45985.646840277783</v>
      </c>
      <c r="C917" s="58">
        <v>45985.651250000003</v>
      </c>
      <c r="D917" s="57" t="s">
        <v>1583</v>
      </c>
      <c r="E917" s="57" t="s">
        <v>1584</v>
      </c>
      <c r="F917" s="58"/>
      <c r="G917" s="57" t="s">
        <v>537</v>
      </c>
      <c r="H917" s="59">
        <v>1</v>
      </c>
      <c r="I917" s="57"/>
      <c r="J917" s="57"/>
      <c r="K917" s="59"/>
      <c r="L917" s="57"/>
      <c r="M917" s="60"/>
      <c r="N917" s="59"/>
      <c r="O917" s="57"/>
      <c r="P917" s="57"/>
      <c r="Q917" s="57"/>
      <c r="R917" s="57"/>
      <c r="S917" s="59"/>
      <c r="T917" s="57"/>
      <c r="U917" s="60"/>
      <c r="V917" s="59"/>
      <c r="W917" s="57"/>
      <c r="X917" s="57"/>
      <c r="Y917" s="57" t="s">
        <v>22</v>
      </c>
      <c r="Z917" s="57" t="s">
        <v>205</v>
      </c>
      <c r="AA917" s="59">
        <v>37203</v>
      </c>
      <c r="AB917" s="57" t="s">
        <v>61</v>
      </c>
      <c r="AC917" s="60">
        <v>45920</v>
      </c>
      <c r="AD917" s="59">
        <v>37203</v>
      </c>
      <c r="AE917" s="57" t="s">
        <v>4032</v>
      </c>
      <c r="AF917" s="57" t="s">
        <v>4033</v>
      </c>
    </row>
    <row r="918" spans="1:32">
      <c r="A918" s="57">
        <v>917</v>
      </c>
      <c r="B918" s="58">
        <v>45985.649351851847</v>
      </c>
      <c r="C918" s="58">
        <v>45985.656238425923</v>
      </c>
      <c r="D918" s="57" t="s">
        <v>1105</v>
      </c>
      <c r="E918" s="57" t="s">
        <v>1106</v>
      </c>
      <c r="F918" s="58"/>
      <c r="G918" s="57" t="s">
        <v>652</v>
      </c>
      <c r="H918" s="59">
        <v>1</v>
      </c>
      <c r="I918" s="57"/>
      <c r="J918" s="57"/>
      <c r="K918" s="59"/>
      <c r="L918" s="57"/>
      <c r="M918" s="60"/>
      <c r="N918" s="59"/>
      <c r="O918" s="57"/>
      <c r="P918" s="57"/>
      <c r="Q918" s="57"/>
      <c r="R918" s="57"/>
      <c r="S918" s="59"/>
      <c r="T918" s="57"/>
      <c r="U918" s="60"/>
      <c r="V918" s="59"/>
      <c r="W918" s="57"/>
      <c r="X918" s="57"/>
      <c r="Y918" s="57" t="s">
        <v>21</v>
      </c>
      <c r="Z918" s="57" t="s">
        <v>350</v>
      </c>
      <c r="AA918" s="59">
        <v>10119</v>
      </c>
      <c r="AB918" s="57" t="s">
        <v>61</v>
      </c>
      <c r="AC918" s="60">
        <v>45884</v>
      </c>
      <c r="AD918" s="59">
        <v>10119</v>
      </c>
      <c r="AE918" s="57" t="s">
        <v>4034</v>
      </c>
      <c r="AF918" s="57" t="s">
        <v>4035</v>
      </c>
    </row>
    <row r="919" spans="1:32">
      <c r="A919" s="57">
        <v>918</v>
      </c>
      <c r="B919" s="58">
        <v>45985.657557870371</v>
      </c>
      <c r="C919" s="58">
        <v>45985.662048611113</v>
      </c>
      <c r="D919" s="57" t="s">
        <v>1101</v>
      </c>
      <c r="E919" s="57" t="s">
        <v>1102</v>
      </c>
      <c r="F919" s="58"/>
      <c r="G919" s="57" t="s">
        <v>574</v>
      </c>
      <c r="H919" s="59">
        <v>1</v>
      </c>
      <c r="I919" s="57"/>
      <c r="J919" s="57"/>
      <c r="K919" s="59"/>
      <c r="L919" s="57"/>
      <c r="M919" s="60"/>
      <c r="N919" s="59"/>
      <c r="O919" s="57"/>
      <c r="P919" s="57"/>
      <c r="Q919" s="57"/>
      <c r="R919" s="57"/>
      <c r="S919" s="59"/>
      <c r="T919" s="57"/>
      <c r="U919" s="60"/>
      <c r="V919" s="59"/>
      <c r="W919" s="57"/>
      <c r="X919" s="57"/>
      <c r="Y919" s="57" t="s">
        <v>21</v>
      </c>
      <c r="Z919" s="57" t="s">
        <v>246</v>
      </c>
      <c r="AA919" s="59">
        <v>28405</v>
      </c>
      <c r="AB919" s="57" t="s">
        <v>61</v>
      </c>
      <c r="AC919" s="60">
        <v>45885</v>
      </c>
      <c r="AD919" s="59">
        <v>28405</v>
      </c>
      <c r="AE919" s="57" t="s">
        <v>4036</v>
      </c>
      <c r="AF919" s="57" t="s">
        <v>4037</v>
      </c>
    </row>
    <row r="920" spans="1:32">
      <c r="A920" s="57">
        <v>919</v>
      </c>
      <c r="B920" s="58">
        <v>45985.459502314807</v>
      </c>
      <c r="C920" s="58">
        <v>45985.685474537036</v>
      </c>
      <c r="D920" s="57" t="s">
        <v>1661</v>
      </c>
      <c r="E920" s="57" t="s">
        <v>1662</v>
      </c>
      <c r="F920" s="58"/>
      <c r="G920" s="57" t="s">
        <v>591</v>
      </c>
      <c r="H920" s="59">
        <v>1</v>
      </c>
      <c r="I920" s="57"/>
      <c r="J920" s="57"/>
      <c r="K920" s="59"/>
      <c r="L920" s="57"/>
      <c r="M920" s="60"/>
      <c r="N920" s="59"/>
      <c r="O920" s="57"/>
      <c r="P920" s="57"/>
      <c r="Q920" s="57"/>
      <c r="R920" s="57"/>
      <c r="S920" s="59"/>
      <c r="T920" s="57"/>
      <c r="U920" s="60"/>
      <c r="V920" s="59"/>
      <c r="W920" s="57"/>
      <c r="X920" s="57"/>
      <c r="Y920" s="57" t="s">
        <v>20</v>
      </c>
      <c r="Z920" s="57" t="s">
        <v>266</v>
      </c>
      <c r="AA920" s="59">
        <v>40232</v>
      </c>
      <c r="AB920" s="57" t="s">
        <v>61</v>
      </c>
      <c r="AC920" s="60">
        <v>45953</v>
      </c>
      <c r="AD920" s="59">
        <v>40232</v>
      </c>
      <c r="AE920" s="57" t="s">
        <v>4038</v>
      </c>
      <c r="AF920" s="57" t="s">
        <v>4039</v>
      </c>
    </row>
    <row r="921" spans="1:32">
      <c r="A921" s="57">
        <v>920</v>
      </c>
      <c r="B921" s="58">
        <v>45985.679699074077</v>
      </c>
      <c r="C921" s="58">
        <v>45985.694895833331</v>
      </c>
      <c r="D921" s="57" t="s">
        <v>1303</v>
      </c>
      <c r="E921" s="57" t="s">
        <v>1304</v>
      </c>
      <c r="F921" s="58"/>
      <c r="G921" s="57" t="s">
        <v>558</v>
      </c>
      <c r="H921" s="59">
        <v>2</v>
      </c>
      <c r="I921" s="57"/>
      <c r="J921" s="57"/>
      <c r="K921" s="59"/>
      <c r="L921" s="57"/>
      <c r="M921" s="60"/>
      <c r="N921" s="59"/>
      <c r="O921" s="57"/>
      <c r="P921" s="57"/>
      <c r="Q921" s="57" t="s">
        <v>22</v>
      </c>
      <c r="R921" s="57" t="s">
        <v>228</v>
      </c>
      <c r="S921" s="59">
        <v>62546</v>
      </c>
      <c r="T921" s="57" t="s">
        <v>61</v>
      </c>
      <c r="U921" s="60">
        <v>45866</v>
      </c>
      <c r="V921" s="59">
        <v>62546</v>
      </c>
      <c r="W921" s="57" t="s">
        <v>4040</v>
      </c>
      <c r="X921" s="57" t="s">
        <v>4041</v>
      </c>
      <c r="Y921" s="57" t="s">
        <v>20</v>
      </c>
      <c r="Z921" s="57" t="s">
        <v>313</v>
      </c>
      <c r="AA921" s="59">
        <v>10647</v>
      </c>
      <c r="AB921" s="57" t="s">
        <v>61</v>
      </c>
      <c r="AC921" s="60">
        <v>45840</v>
      </c>
      <c r="AD921" s="59">
        <v>10647</v>
      </c>
      <c r="AE921" s="57" t="s">
        <v>4042</v>
      </c>
      <c r="AF921" s="57" t="s">
        <v>4043</v>
      </c>
    </row>
    <row r="922" spans="1:32">
      <c r="A922" s="57">
        <v>921</v>
      </c>
      <c r="B922" s="58">
        <v>45985.69127314815</v>
      </c>
      <c r="C922" s="58">
        <v>45985.694907407407</v>
      </c>
      <c r="D922" s="57" t="s">
        <v>990</v>
      </c>
      <c r="E922" s="57" t="s">
        <v>991</v>
      </c>
      <c r="F922" s="58"/>
      <c r="G922" s="57" t="s">
        <v>607</v>
      </c>
      <c r="H922" s="59">
        <v>1</v>
      </c>
      <c r="I922" s="57"/>
      <c r="J922" s="57"/>
      <c r="K922" s="59"/>
      <c r="L922" s="57"/>
      <c r="M922" s="60"/>
      <c r="N922" s="59"/>
      <c r="O922" s="57"/>
      <c r="P922" s="57"/>
      <c r="Q922" s="57"/>
      <c r="R922" s="57"/>
      <c r="S922" s="59"/>
      <c r="T922" s="57"/>
      <c r="U922" s="60"/>
      <c r="V922" s="59"/>
      <c r="W922" s="57"/>
      <c r="X922" s="57"/>
      <c r="Y922" s="57" t="s">
        <v>21</v>
      </c>
      <c r="Z922" s="57" t="s">
        <v>285</v>
      </c>
      <c r="AA922" s="59">
        <v>25651</v>
      </c>
      <c r="AB922" s="57" t="s">
        <v>61</v>
      </c>
      <c r="AC922" s="60">
        <v>45890</v>
      </c>
      <c r="AD922" s="59">
        <v>25651</v>
      </c>
      <c r="AE922" s="57" t="s">
        <v>4044</v>
      </c>
      <c r="AF922" s="57" t="s">
        <v>4045</v>
      </c>
    </row>
    <row r="923" spans="1:32">
      <c r="A923" s="57">
        <v>922</v>
      </c>
      <c r="B923" s="58">
        <v>45985.706747685188</v>
      </c>
      <c r="C923" s="58">
        <v>45985.710115740738</v>
      </c>
      <c r="D923" s="57" t="s">
        <v>1283</v>
      </c>
      <c r="E923" s="57" t="s">
        <v>1284</v>
      </c>
      <c r="F923" s="58"/>
      <c r="G923" s="57" t="s">
        <v>653</v>
      </c>
      <c r="H923" s="59">
        <v>2</v>
      </c>
      <c r="I923" s="57"/>
      <c r="J923" s="57"/>
      <c r="K923" s="59"/>
      <c r="L923" s="57"/>
      <c r="M923" s="60"/>
      <c r="N923" s="59"/>
      <c r="O923" s="57"/>
      <c r="P923" s="57"/>
      <c r="Q923" s="57" t="s">
        <v>22</v>
      </c>
      <c r="R923" s="57" t="s">
        <v>351</v>
      </c>
      <c r="S923" s="59">
        <v>17969</v>
      </c>
      <c r="T923" s="57" t="s">
        <v>61</v>
      </c>
      <c r="U923" s="60">
        <v>45833</v>
      </c>
      <c r="V923" s="59">
        <v>17969</v>
      </c>
      <c r="W923" s="57" t="s">
        <v>4046</v>
      </c>
      <c r="X923" s="57" t="s">
        <v>4047</v>
      </c>
      <c r="Y923" s="57" t="s">
        <v>21</v>
      </c>
      <c r="Z923" s="57" t="s">
        <v>375</v>
      </c>
      <c r="AA923" s="59">
        <v>9878</v>
      </c>
      <c r="AB923" s="57" t="s">
        <v>61</v>
      </c>
      <c r="AC923" s="60">
        <v>45871</v>
      </c>
      <c r="AD923" s="59">
        <v>9878</v>
      </c>
      <c r="AE923" s="57" t="s">
        <v>4048</v>
      </c>
      <c r="AF923" s="57" t="s">
        <v>4049</v>
      </c>
    </row>
    <row r="924" spans="1:32">
      <c r="A924" s="57">
        <v>923</v>
      </c>
      <c r="B924" s="58">
        <v>45985.481273148151</v>
      </c>
      <c r="C924" s="58">
        <v>45985.710810185177</v>
      </c>
      <c r="D924" s="57" t="s">
        <v>1678</v>
      </c>
      <c r="E924" s="57" t="s">
        <v>1679</v>
      </c>
      <c r="F924" s="58"/>
      <c r="G924" s="57" t="s">
        <v>522</v>
      </c>
      <c r="H924" s="59">
        <v>1</v>
      </c>
      <c r="I924" s="57"/>
      <c r="J924" s="57"/>
      <c r="K924" s="59"/>
      <c r="L924" s="57"/>
      <c r="M924" s="60"/>
      <c r="N924" s="59"/>
      <c r="O924" s="57"/>
      <c r="P924" s="57"/>
      <c r="Q924" s="57"/>
      <c r="R924" s="57"/>
      <c r="S924" s="59"/>
      <c r="T924" s="57"/>
      <c r="U924" s="60"/>
      <c r="V924" s="59"/>
      <c r="W924" s="57"/>
      <c r="X924" s="57"/>
      <c r="Y924" s="57" t="s">
        <v>20</v>
      </c>
      <c r="Z924" s="57" t="s">
        <v>189</v>
      </c>
      <c r="AA924" s="59">
        <v>26996</v>
      </c>
      <c r="AB924" s="57" t="s">
        <v>61</v>
      </c>
      <c r="AC924" s="60">
        <v>45939</v>
      </c>
      <c r="AD924" s="59">
        <v>26996</v>
      </c>
      <c r="AE924" s="57" t="s">
        <v>4050</v>
      </c>
      <c r="AF924" s="57" t="s">
        <v>4051</v>
      </c>
    </row>
    <row r="925" spans="1:32">
      <c r="A925" s="57">
        <v>924</v>
      </c>
      <c r="B925" s="58">
        <v>45985.717349537037</v>
      </c>
      <c r="C925" s="58">
        <v>45985.722048611111</v>
      </c>
      <c r="D925" s="57" t="s">
        <v>1383</v>
      </c>
      <c r="E925" s="57" t="s">
        <v>1384</v>
      </c>
      <c r="F925" s="58"/>
      <c r="G925" s="57" t="s">
        <v>626</v>
      </c>
      <c r="H925" s="59">
        <v>1</v>
      </c>
      <c r="I925" s="57"/>
      <c r="J925" s="57"/>
      <c r="K925" s="59"/>
      <c r="L925" s="57"/>
      <c r="M925" s="60"/>
      <c r="N925" s="59"/>
      <c r="O925" s="57"/>
      <c r="P925" s="57"/>
      <c r="Q925" s="57"/>
      <c r="R925" s="57"/>
      <c r="S925" s="59"/>
      <c r="T925" s="57"/>
      <c r="U925" s="60"/>
      <c r="V925" s="59"/>
      <c r="W925" s="57"/>
      <c r="X925" s="57"/>
      <c r="Y925" s="57" t="s">
        <v>21</v>
      </c>
      <c r="Z925" s="57" t="s">
        <v>309</v>
      </c>
      <c r="AA925" s="59">
        <v>23748</v>
      </c>
      <c r="AB925" s="57" t="s">
        <v>61</v>
      </c>
      <c r="AC925" s="60">
        <v>45955</v>
      </c>
      <c r="AD925" s="59">
        <v>23748</v>
      </c>
      <c r="AE925" s="57" t="s">
        <v>4052</v>
      </c>
      <c r="AF925" s="57" t="s">
        <v>4053</v>
      </c>
    </row>
    <row r="926" spans="1:32">
      <c r="A926" s="57">
        <v>925</v>
      </c>
      <c r="B926" s="58">
        <v>45985.710474537038</v>
      </c>
      <c r="C926" s="58">
        <v>45985.722141203703</v>
      </c>
      <c r="D926" s="57" t="s">
        <v>4054</v>
      </c>
      <c r="E926" s="57" t="s">
        <v>4055</v>
      </c>
      <c r="F926" s="58"/>
      <c r="G926" s="57" t="s">
        <v>517</v>
      </c>
      <c r="H926" s="59">
        <v>1</v>
      </c>
      <c r="I926" s="57"/>
      <c r="J926" s="57"/>
      <c r="K926" s="59"/>
      <c r="L926" s="57"/>
      <c r="M926" s="60"/>
      <c r="N926" s="59"/>
      <c r="O926" s="57"/>
      <c r="P926" s="57"/>
      <c r="Q926" s="57"/>
      <c r="R926" s="57"/>
      <c r="S926" s="59"/>
      <c r="T926" s="57"/>
      <c r="U926" s="60"/>
      <c r="V926" s="59"/>
      <c r="W926" s="57"/>
      <c r="X926" s="57"/>
      <c r="Y926" s="57" t="s">
        <v>21</v>
      </c>
      <c r="Z926" s="57" t="s">
        <v>184</v>
      </c>
      <c r="AA926" s="59">
        <v>60325</v>
      </c>
      <c r="AB926" s="57" t="s">
        <v>61</v>
      </c>
      <c r="AC926" s="60">
        <v>45944</v>
      </c>
      <c r="AD926" s="59">
        <v>60325</v>
      </c>
      <c r="AE926" s="57" t="s">
        <v>4056</v>
      </c>
      <c r="AF926" s="57" t="s">
        <v>4057</v>
      </c>
    </row>
    <row r="927" spans="1:32">
      <c r="A927" s="57">
        <v>926</v>
      </c>
      <c r="B927" s="58">
        <v>45985.739687499998</v>
      </c>
      <c r="C927" s="58">
        <v>45985.741886574076</v>
      </c>
      <c r="D927" s="57" t="s">
        <v>1289</v>
      </c>
      <c r="E927" s="57" t="s">
        <v>1290</v>
      </c>
      <c r="F927" s="58"/>
      <c r="G927" s="57" t="s">
        <v>641</v>
      </c>
      <c r="H927" s="59">
        <v>1</v>
      </c>
      <c r="I927" s="57"/>
      <c r="J927" s="57"/>
      <c r="K927" s="59"/>
      <c r="L927" s="57"/>
      <c r="M927" s="60"/>
      <c r="N927" s="59"/>
      <c r="O927" s="57"/>
      <c r="P927" s="57"/>
      <c r="Q927" s="57"/>
      <c r="R927" s="57"/>
      <c r="S927" s="59"/>
      <c r="T927" s="57"/>
      <c r="U927" s="60"/>
      <c r="V927" s="59"/>
      <c r="W927" s="57"/>
      <c r="X927" s="57"/>
      <c r="Y927" s="57" t="s">
        <v>21</v>
      </c>
      <c r="Z927" s="57" t="s">
        <v>336</v>
      </c>
      <c r="AA927" s="59">
        <v>13198</v>
      </c>
      <c r="AB927" s="57" t="s">
        <v>61</v>
      </c>
      <c r="AC927" s="60">
        <v>45923</v>
      </c>
      <c r="AD927" s="59">
        <v>13198</v>
      </c>
      <c r="AE927" s="57" t="s">
        <v>4058</v>
      </c>
      <c r="AF927" s="57" t="s">
        <v>4059</v>
      </c>
    </row>
    <row r="928" spans="1:32">
      <c r="A928" s="57">
        <v>927</v>
      </c>
      <c r="B928" s="58">
        <v>45985.723321759258</v>
      </c>
      <c r="C928" s="58">
        <v>45985.750787037039</v>
      </c>
      <c r="D928" s="57" t="s">
        <v>2180</v>
      </c>
      <c r="E928" s="57" t="s">
        <v>2181</v>
      </c>
      <c r="F928" s="58"/>
      <c r="G928" s="57" t="s">
        <v>590</v>
      </c>
      <c r="H928" s="59">
        <v>2</v>
      </c>
      <c r="I928" s="57"/>
      <c r="J928" s="57"/>
      <c r="K928" s="59"/>
      <c r="L928" s="57"/>
      <c r="M928" s="60"/>
      <c r="N928" s="59"/>
      <c r="O928" s="57"/>
      <c r="P928" s="57"/>
      <c r="Q928" s="57" t="s">
        <v>22</v>
      </c>
      <c r="R928" s="57" t="s">
        <v>264</v>
      </c>
      <c r="S928" s="59">
        <v>29878</v>
      </c>
      <c r="T928" s="57" t="s">
        <v>61</v>
      </c>
      <c r="U928" s="60">
        <v>45985</v>
      </c>
      <c r="V928" s="59">
        <v>29878</v>
      </c>
      <c r="W928" s="57" t="s">
        <v>4060</v>
      </c>
      <c r="X928" s="57" t="s">
        <v>4061</v>
      </c>
      <c r="Y928" s="57" t="s">
        <v>20</v>
      </c>
      <c r="Z928" s="57" t="s">
        <v>382</v>
      </c>
      <c r="AA928" s="59">
        <v>5114</v>
      </c>
      <c r="AB928" s="57" t="s">
        <v>61</v>
      </c>
      <c r="AC928" s="60">
        <v>45849</v>
      </c>
      <c r="AD928" s="59">
        <v>5114</v>
      </c>
      <c r="AE928" s="57" t="s">
        <v>4062</v>
      </c>
      <c r="AF928" s="57" t="s">
        <v>4063</v>
      </c>
    </row>
    <row r="929" spans="1:32">
      <c r="A929" s="57">
        <v>928</v>
      </c>
      <c r="B929" s="58">
        <v>45985.784155092602</v>
      </c>
      <c r="C929" s="58">
        <v>45985.787303240737</v>
      </c>
      <c r="D929" s="57" t="s">
        <v>1456</v>
      </c>
      <c r="E929" s="57" t="s">
        <v>1457</v>
      </c>
      <c r="F929" s="58"/>
      <c r="G929" s="57" t="s">
        <v>547</v>
      </c>
      <c r="H929" s="59">
        <v>2</v>
      </c>
      <c r="I929" s="57"/>
      <c r="J929" s="57"/>
      <c r="K929" s="59"/>
      <c r="L929" s="57"/>
      <c r="M929" s="60"/>
      <c r="N929" s="59"/>
      <c r="O929" s="57"/>
      <c r="P929" s="57"/>
      <c r="Q929" s="57" t="s">
        <v>22</v>
      </c>
      <c r="R929" s="57" t="s">
        <v>225</v>
      </c>
      <c r="S929" s="59">
        <v>93772</v>
      </c>
      <c r="T929" s="57" t="s">
        <v>61</v>
      </c>
      <c r="U929" s="60">
        <v>45955</v>
      </c>
      <c r="V929" s="59">
        <v>93772</v>
      </c>
      <c r="W929" s="57" t="s">
        <v>4064</v>
      </c>
      <c r="X929" s="57" t="s">
        <v>4065</v>
      </c>
      <c r="Y929" s="57" t="s">
        <v>21</v>
      </c>
      <c r="Z929" s="57" t="s">
        <v>216</v>
      </c>
      <c r="AA929" s="59">
        <v>2142</v>
      </c>
      <c r="AB929" s="57" t="s">
        <v>61</v>
      </c>
      <c r="AC929" s="60">
        <v>45952</v>
      </c>
      <c r="AD929" s="59">
        <v>2142</v>
      </c>
      <c r="AE929" s="57" t="s">
        <v>4066</v>
      </c>
      <c r="AF929" s="57" t="s">
        <v>4067</v>
      </c>
    </row>
    <row r="930" spans="1:32">
      <c r="A930" s="57">
        <v>929</v>
      </c>
      <c r="B930" s="58">
        <v>45985.827187499999</v>
      </c>
      <c r="C930" s="58">
        <v>45985.829722222217</v>
      </c>
      <c r="D930" s="57" t="s">
        <v>1244</v>
      </c>
      <c r="E930" s="57" t="s">
        <v>1245</v>
      </c>
      <c r="F930" s="58"/>
      <c r="G930" s="57" t="s">
        <v>708</v>
      </c>
      <c r="H930" s="59">
        <v>1</v>
      </c>
      <c r="I930" s="57"/>
      <c r="J930" s="57"/>
      <c r="K930" s="59"/>
      <c r="L930" s="57"/>
      <c r="M930" s="60"/>
      <c r="N930" s="59"/>
      <c r="O930" s="57"/>
      <c r="P930" s="57"/>
      <c r="Q930" s="57"/>
      <c r="R930" s="57"/>
      <c r="S930" s="59"/>
      <c r="T930" s="57"/>
      <c r="U930" s="60"/>
      <c r="V930" s="59"/>
      <c r="W930" s="57"/>
      <c r="X930" s="57"/>
      <c r="Y930" s="57" t="s">
        <v>20</v>
      </c>
      <c r="Z930" s="57" t="s">
        <v>1246</v>
      </c>
      <c r="AA930" s="59">
        <v>55116</v>
      </c>
      <c r="AB930" s="57" t="s">
        <v>61</v>
      </c>
      <c r="AC930" s="60">
        <v>45873</v>
      </c>
      <c r="AD930" s="59">
        <v>55116</v>
      </c>
      <c r="AE930" s="57" t="s">
        <v>4068</v>
      </c>
      <c r="AF930" s="57" t="s">
        <v>4069</v>
      </c>
    </row>
    <row r="931" spans="1:32">
      <c r="A931" s="57">
        <v>930</v>
      </c>
      <c r="B931" s="58">
        <v>45986.325532407413</v>
      </c>
      <c r="C931" s="58">
        <v>45986.329456018517</v>
      </c>
      <c r="D931" s="57" t="s">
        <v>1326</v>
      </c>
      <c r="E931" s="57" t="s">
        <v>1327</v>
      </c>
      <c r="F931" s="58"/>
      <c r="G931" s="57" t="s">
        <v>565</v>
      </c>
      <c r="H931" s="59">
        <v>1</v>
      </c>
      <c r="I931" s="57"/>
      <c r="J931" s="57"/>
      <c r="K931" s="59"/>
      <c r="L931" s="57"/>
      <c r="M931" s="60"/>
      <c r="N931" s="59"/>
      <c r="O931" s="57"/>
      <c r="P931" s="57"/>
      <c r="Q931" s="57"/>
      <c r="R931" s="57"/>
      <c r="S931" s="59"/>
      <c r="T931" s="57"/>
      <c r="U931" s="60"/>
      <c r="V931" s="59"/>
      <c r="W931" s="57"/>
      <c r="X931" s="57"/>
      <c r="Y931" s="57" t="s">
        <v>21</v>
      </c>
      <c r="Z931" s="57" t="s">
        <v>237</v>
      </c>
      <c r="AA931" s="59">
        <v>36027</v>
      </c>
      <c r="AB931" s="57" t="s">
        <v>61</v>
      </c>
      <c r="AC931" s="60">
        <v>45981</v>
      </c>
      <c r="AD931" s="59">
        <v>36027</v>
      </c>
      <c r="AE931" s="57" t="s">
        <v>4070</v>
      </c>
      <c r="AF931" s="57" t="s">
        <v>4071</v>
      </c>
    </row>
    <row r="932" spans="1:32">
      <c r="A932" s="57">
        <v>931</v>
      </c>
      <c r="B932" s="58">
        <v>45986.336377314823</v>
      </c>
      <c r="C932" s="58">
        <v>45986.342789351853</v>
      </c>
      <c r="D932" s="57" t="s">
        <v>3573</v>
      </c>
      <c r="E932" s="57" t="s">
        <v>3574</v>
      </c>
      <c r="F932" s="58"/>
      <c r="G932" s="57" t="s">
        <v>587</v>
      </c>
      <c r="H932" s="59">
        <v>1</v>
      </c>
      <c r="I932" s="57"/>
      <c r="J932" s="57"/>
      <c r="K932" s="59"/>
      <c r="L932" s="57"/>
      <c r="M932" s="60"/>
      <c r="N932" s="59"/>
      <c r="O932" s="57"/>
      <c r="P932" s="57"/>
      <c r="Q932" s="57"/>
      <c r="R932" s="57"/>
      <c r="S932" s="59"/>
      <c r="T932" s="57"/>
      <c r="U932" s="60"/>
      <c r="V932" s="59"/>
      <c r="W932" s="57"/>
      <c r="X932" s="57"/>
      <c r="Y932" s="57" t="s">
        <v>21</v>
      </c>
      <c r="Z932" s="57" t="s">
        <v>4072</v>
      </c>
      <c r="AA932" s="59">
        <v>29432</v>
      </c>
      <c r="AB932" s="57" t="s">
        <v>61</v>
      </c>
      <c r="AC932" s="60">
        <v>45845</v>
      </c>
      <c r="AD932" s="59">
        <v>29432</v>
      </c>
      <c r="AE932" s="57" t="s">
        <v>4073</v>
      </c>
      <c r="AF932" s="57" t="s">
        <v>4074</v>
      </c>
    </row>
    <row r="933" spans="1:32">
      <c r="A933" s="57">
        <v>932</v>
      </c>
      <c r="B933" s="58">
        <v>45986.33697916667</v>
      </c>
      <c r="C933" s="58">
        <v>45986.3437037037</v>
      </c>
      <c r="D933" s="57" t="s">
        <v>1445</v>
      </c>
      <c r="E933" s="57" t="s">
        <v>1446</v>
      </c>
      <c r="F933" s="58"/>
      <c r="G933" s="57" t="s">
        <v>596</v>
      </c>
      <c r="H933" s="59">
        <v>2</v>
      </c>
      <c r="I933" s="57"/>
      <c r="J933" s="57"/>
      <c r="K933" s="59"/>
      <c r="L933" s="57"/>
      <c r="M933" s="60"/>
      <c r="N933" s="59"/>
      <c r="O933" s="57"/>
      <c r="P933" s="57"/>
      <c r="Q933" s="57" t="s">
        <v>22</v>
      </c>
      <c r="R933" s="57" t="s">
        <v>401</v>
      </c>
      <c r="S933" s="59">
        <v>6480</v>
      </c>
      <c r="T933" s="57" t="s">
        <v>61</v>
      </c>
      <c r="U933" s="60">
        <v>45919</v>
      </c>
      <c r="V933" s="59">
        <v>6480</v>
      </c>
      <c r="W933" s="57" t="s">
        <v>4075</v>
      </c>
      <c r="X933" s="57" t="s">
        <v>4076</v>
      </c>
      <c r="Y933" s="57" t="s">
        <v>21</v>
      </c>
      <c r="Z933" s="57" t="s">
        <v>272</v>
      </c>
      <c r="AA933" s="59">
        <v>17518</v>
      </c>
      <c r="AB933" s="57" t="s">
        <v>61</v>
      </c>
      <c r="AC933" s="60">
        <v>45943</v>
      </c>
      <c r="AD933" s="59">
        <v>17518</v>
      </c>
      <c r="AE933" s="57" t="s">
        <v>4077</v>
      </c>
      <c r="AF933" s="57" t="s">
        <v>4078</v>
      </c>
    </row>
    <row r="934" spans="1:32">
      <c r="A934" s="57">
        <v>933</v>
      </c>
      <c r="B934" s="58">
        <v>45986.351377314822</v>
      </c>
      <c r="C934" s="58">
        <v>45986.355046296303</v>
      </c>
      <c r="D934" s="57" t="s">
        <v>1260</v>
      </c>
      <c r="E934" s="57" t="s">
        <v>1261</v>
      </c>
      <c r="F934" s="58"/>
      <c r="G934" s="57" t="s">
        <v>637</v>
      </c>
      <c r="H934" s="59">
        <v>2</v>
      </c>
      <c r="I934" s="57"/>
      <c r="J934" s="57"/>
      <c r="K934" s="59"/>
      <c r="L934" s="57"/>
      <c r="M934" s="60"/>
      <c r="N934" s="59"/>
      <c r="O934" s="57"/>
      <c r="P934" s="57"/>
      <c r="Q934" s="57" t="s">
        <v>20</v>
      </c>
      <c r="R934" s="57" t="s">
        <v>330</v>
      </c>
      <c r="S934" s="59">
        <v>25973</v>
      </c>
      <c r="T934" s="57" t="s">
        <v>61</v>
      </c>
      <c r="U934" s="60">
        <v>45941</v>
      </c>
      <c r="V934" s="59">
        <v>25973</v>
      </c>
      <c r="W934" s="57" t="s">
        <v>4079</v>
      </c>
      <c r="X934" s="57" t="s">
        <v>4080</v>
      </c>
      <c r="Y934" s="57" t="s">
        <v>20</v>
      </c>
      <c r="Z934" s="57" t="s">
        <v>1315</v>
      </c>
      <c r="AA934" s="59">
        <v>58515</v>
      </c>
      <c r="AB934" s="57" t="s">
        <v>61</v>
      </c>
      <c r="AC934" s="60">
        <v>45941</v>
      </c>
      <c r="AD934" s="59">
        <v>58515</v>
      </c>
      <c r="AE934" s="57" t="s">
        <v>4081</v>
      </c>
      <c r="AF934" s="57" t="s">
        <v>4082</v>
      </c>
    </row>
    <row r="935" spans="1:32">
      <c r="A935" s="57">
        <v>934</v>
      </c>
      <c r="B935" s="58">
        <v>45986.362303240741</v>
      </c>
      <c r="C935" s="58">
        <v>45986.384502314817</v>
      </c>
      <c r="D935" s="57" t="s">
        <v>1489</v>
      </c>
      <c r="E935" s="57" t="s">
        <v>1490</v>
      </c>
      <c r="F935" s="58"/>
      <c r="G935" s="57" t="s">
        <v>457</v>
      </c>
      <c r="H935" s="59">
        <v>1</v>
      </c>
      <c r="I935" s="57"/>
      <c r="J935" s="57"/>
      <c r="K935" s="59"/>
      <c r="L935" s="57"/>
      <c r="M935" s="60"/>
      <c r="N935" s="59"/>
      <c r="O935" s="57"/>
      <c r="P935" s="57"/>
      <c r="Q935" s="57"/>
      <c r="R935" s="57"/>
      <c r="S935" s="59"/>
      <c r="T935" s="57"/>
      <c r="U935" s="60"/>
      <c r="V935" s="59"/>
      <c r="W935" s="57"/>
      <c r="X935" s="57"/>
      <c r="Y935" s="57" t="s">
        <v>21</v>
      </c>
      <c r="Z935" s="57" t="s">
        <v>344</v>
      </c>
      <c r="AA935" s="59">
        <v>12333</v>
      </c>
      <c r="AB935" s="57" t="s">
        <v>61</v>
      </c>
      <c r="AC935" s="60">
        <v>45915</v>
      </c>
      <c r="AD935" s="59">
        <v>12333</v>
      </c>
      <c r="AE935" s="57" t="s">
        <v>4083</v>
      </c>
      <c r="AF935" s="57" t="s">
        <v>4084</v>
      </c>
    </row>
    <row r="936" spans="1:32">
      <c r="A936" s="57">
        <v>935</v>
      </c>
      <c r="B936" s="58">
        <v>45986.379837962973</v>
      </c>
      <c r="C936" s="58">
        <v>45986.390520833331</v>
      </c>
      <c r="D936" s="57" t="s">
        <v>985</v>
      </c>
      <c r="E936" s="57" t="s">
        <v>986</v>
      </c>
      <c r="F936" s="58"/>
      <c r="G936" s="57" t="s">
        <v>715</v>
      </c>
      <c r="H936" s="59">
        <v>1</v>
      </c>
      <c r="I936" s="57"/>
      <c r="J936" s="57"/>
      <c r="K936" s="59"/>
      <c r="L936" s="57"/>
      <c r="M936" s="60"/>
      <c r="N936" s="59"/>
      <c r="O936" s="57"/>
      <c r="P936" s="57"/>
      <c r="Q936" s="57"/>
      <c r="R936" s="57"/>
      <c r="S936" s="59"/>
      <c r="T936" s="57"/>
      <c r="U936" s="60"/>
      <c r="V936" s="59"/>
      <c r="W936" s="57"/>
      <c r="X936" s="57"/>
      <c r="Y936" s="57" t="s">
        <v>21</v>
      </c>
      <c r="Z936" s="57" t="s">
        <v>987</v>
      </c>
      <c r="AA936" s="59">
        <v>29443</v>
      </c>
      <c r="AB936" s="57" t="s">
        <v>61</v>
      </c>
      <c r="AC936" s="60">
        <v>45831</v>
      </c>
      <c r="AD936" s="59">
        <v>29443</v>
      </c>
      <c r="AE936" s="57" t="s">
        <v>4085</v>
      </c>
      <c r="AF936" s="57" t="s">
        <v>4086</v>
      </c>
    </row>
    <row r="937" spans="1:32">
      <c r="A937" s="57">
        <v>936</v>
      </c>
      <c r="B937" s="58">
        <v>45986.39638888889</v>
      </c>
      <c r="C937" s="58">
        <v>45986.398993055547</v>
      </c>
      <c r="D937" s="57" t="s">
        <v>1576</v>
      </c>
      <c r="E937" s="57" t="s">
        <v>1577</v>
      </c>
      <c r="F937" s="58"/>
      <c r="G937" s="57" t="s">
        <v>657</v>
      </c>
      <c r="H937" s="59">
        <v>2</v>
      </c>
      <c r="I937" s="57"/>
      <c r="J937" s="57"/>
      <c r="K937" s="59"/>
      <c r="L937" s="57"/>
      <c r="M937" s="60"/>
      <c r="N937" s="59"/>
      <c r="O937" s="57"/>
      <c r="P937" s="57"/>
      <c r="Q937" s="57" t="s">
        <v>22</v>
      </c>
      <c r="R937" s="57" t="s">
        <v>402</v>
      </c>
      <c r="S937" s="59">
        <v>5073</v>
      </c>
      <c r="T937" s="57" t="s">
        <v>61</v>
      </c>
      <c r="U937" s="60">
        <v>45920</v>
      </c>
      <c r="V937" s="59">
        <v>5073</v>
      </c>
      <c r="W937" s="57" t="s">
        <v>4087</v>
      </c>
      <c r="X937" s="57" t="s">
        <v>4088</v>
      </c>
      <c r="Y937" s="57" t="s">
        <v>21</v>
      </c>
      <c r="Z937" s="57" t="s">
        <v>358</v>
      </c>
      <c r="AA937" s="59">
        <v>5167</v>
      </c>
      <c r="AB937" s="57" t="s">
        <v>61</v>
      </c>
      <c r="AC937" s="60">
        <v>45930</v>
      </c>
      <c r="AD937" s="59">
        <v>5167</v>
      </c>
      <c r="AE937" s="57" t="s">
        <v>4089</v>
      </c>
      <c r="AF937" s="57" t="s">
        <v>4090</v>
      </c>
    </row>
    <row r="938" spans="1:32">
      <c r="A938" s="57">
        <v>937</v>
      </c>
      <c r="B938" s="58">
        <v>45986.399317129632</v>
      </c>
      <c r="C938" s="58">
        <v>45986.407210648147</v>
      </c>
      <c r="D938" s="57" t="s">
        <v>1802</v>
      </c>
      <c r="E938" s="57" t="s">
        <v>1803</v>
      </c>
      <c r="F938" s="58"/>
      <c r="G938" s="57" t="s">
        <v>535</v>
      </c>
      <c r="H938" s="59">
        <v>2</v>
      </c>
      <c r="I938" s="57"/>
      <c r="J938" s="57"/>
      <c r="K938" s="59"/>
      <c r="L938" s="57"/>
      <c r="M938" s="60"/>
      <c r="N938" s="59"/>
      <c r="O938" s="57"/>
      <c r="P938" s="57"/>
      <c r="Q938" s="57" t="s">
        <v>22</v>
      </c>
      <c r="R938" s="57" t="s">
        <v>209</v>
      </c>
      <c r="S938" s="59">
        <v>77135</v>
      </c>
      <c r="T938" s="57" t="s">
        <v>61</v>
      </c>
      <c r="U938" s="60">
        <v>45946</v>
      </c>
      <c r="V938" s="59">
        <v>77135</v>
      </c>
      <c r="W938" s="57" t="s">
        <v>4091</v>
      </c>
      <c r="X938" s="57" t="s">
        <v>4092</v>
      </c>
      <c r="Y938" s="57" t="s">
        <v>20</v>
      </c>
      <c r="Z938" s="57" t="s">
        <v>203</v>
      </c>
      <c r="AA938" s="59">
        <v>23560</v>
      </c>
      <c r="AB938" s="57" t="s">
        <v>61</v>
      </c>
      <c r="AC938" s="60">
        <v>45966</v>
      </c>
      <c r="AD938" s="59">
        <v>23560</v>
      </c>
      <c r="AE938" s="57" t="s">
        <v>4093</v>
      </c>
      <c r="AF938" s="57" t="s">
        <v>4094</v>
      </c>
    </row>
    <row r="939" spans="1:32">
      <c r="A939" s="57">
        <v>938</v>
      </c>
      <c r="B939" s="58">
        <v>45986.442245370366</v>
      </c>
      <c r="C939" s="58">
        <v>45986.445081018523</v>
      </c>
      <c r="D939" s="57" t="s">
        <v>1159</v>
      </c>
      <c r="E939" s="57" t="s">
        <v>1160</v>
      </c>
      <c r="F939" s="58"/>
      <c r="G939" s="57" t="s">
        <v>551</v>
      </c>
      <c r="H939" s="59">
        <v>1</v>
      </c>
      <c r="I939" s="57"/>
      <c r="J939" s="57"/>
      <c r="K939" s="59"/>
      <c r="L939" s="57"/>
      <c r="M939" s="60"/>
      <c r="N939" s="59"/>
      <c r="O939" s="57"/>
      <c r="P939" s="57"/>
      <c r="Q939" s="57"/>
      <c r="R939" s="57"/>
      <c r="S939" s="59"/>
      <c r="T939" s="57"/>
      <c r="U939" s="60"/>
      <c r="V939" s="59"/>
      <c r="W939" s="57"/>
      <c r="X939" s="57"/>
      <c r="Y939" s="57" t="s">
        <v>20</v>
      </c>
      <c r="Z939" s="57" t="s">
        <v>220</v>
      </c>
      <c r="AA939" s="59">
        <v>41971</v>
      </c>
      <c r="AB939" s="57" t="s">
        <v>61</v>
      </c>
      <c r="AC939" s="60">
        <v>45903</v>
      </c>
      <c r="AD939" s="59">
        <v>41971</v>
      </c>
      <c r="AE939" s="57" t="s">
        <v>4095</v>
      </c>
      <c r="AF939" s="57" t="s">
        <v>4096</v>
      </c>
    </row>
    <row r="940" spans="1:32">
      <c r="A940" s="57">
        <v>939</v>
      </c>
      <c r="B940" s="58">
        <v>45986.463553240741</v>
      </c>
      <c r="C940" s="58">
        <v>45986.465381944443</v>
      </c>
      <c r="D940" s="57" t="s">
        <v>1795</v>
      </c>
      <c r="E940" s="57" t="s">
        <v>1796</v>
      </c>
      <c r="F940" s="58"/>
      <c r="G940" s="57" t="s">
        <v>632</v>
      </c>
      <c r="H940" s="59">
        <v>2</v>
      </c>
      <c r="I940" s="57"/>
      <c r="J940" s="57"/>
      <c r="K940" s="59"/>
      <c r="L940" s="57"/>
      <c r="M940" s="60"/>
      <c r="N940" s="59"/>
      <c r="O940" s="57"/>
      <c r="P940" s="57"/>
      <c r="Q940" s="57" t="s">
        <v>22</v>
      </c>
      <c r="R940" s="57" t="s">
        <v>1797</v>
      </c>
      <c r="S940" s="59">
        <v>35525</v>
      </c>
      <c r="T940" s="57" t="s">
        <v>61</v>
      </c>
      <c r="U940" s="60">
        <v>45888</v>
      </c>
      <c r="V940" s="59">
        <v>35525</v>
      </c>
      <c r="W940" s="57" t="s">
        <v>4097</v>
      </c>
      <c r="X940" s="57" t="s">
        <v>4098</v>
      </c>
      <c r="Y940" s="57" t="s">
        <v>20</v>
      </c>
      <c r="Z940" s="57" t="s">
        <v>321</v>
      </c>
      <c r="AA940" s="59">
        <v>3389</v>
      </c>
      <c r="AB940" s="57" t="s">
        <v>61</v>
      </c>
      <c r="AC940" s="60">
        <v>45890</v>
      </c>
      <c r="AD940" s="59">
        <v>3389</v>
      </c>
      <c r="AE940" s="57" t="s">
        <v>4099</v>
      </c>
      <c r="AF940" s="57" t="s">
        <v>4100</v>
      </c>
    </row>
    <row r="941" spans="1:32">
      <c r="A941" s="57">
        <v>940</v>
      </c>
      <c r="B941" s="58">
        <v>45986.46665509259</v>
      </c>
      <c r="C941" s="58">
        <v>45986.467430555553</v>
      </c>
      <c r="D941" s="57" t="s">
        <v>1078</v>
      </c>
      <c r="E941" s="57" t="s">
        <v>1079</v>
      </c>
      <c r="F941" s="58"/>
      <c r="G941" s="57" t="s">
        <v>456</v>
      </c>
      <c r="H941" s="59">
        <v>2</v>
      </c>
      <c r="I941" s="57"/>
      <c r="J941" s="57"/>
      <c r="K941" s="59"/>
      <c r="L941" s="57"/>
      <c r="M941" s="60"/>
      <c r="N941" s="59"/>
      <c r="O941" s="57"/>
      <c r="P941" s="57"/>
      <c r="Q941" s="57" t="s">
        <v>22</v>
      </c>
      <c r="R941" s="57" t="s">
        <v>132</v>
      </c>
      <c r="S941" s="59">
        <v>47146</v>
      </c>
      <c r="T941" s="57" t="s">
        <v>61</v>
      </c>
      <c r="U941" s="60">
        <v>45889</v>
      </c>
      <c r="V941" s="59">
        <v>47146</v>
      </c>
      <c r="W941" s="57" t="s">
        <v>4101</v>
      </c>
      <c r="X941" s="57" t="s">
        <v>4102</v>
      </c>
      <c r="Y941" s="57" t="s">
        <v>20</v>
      </c>
      <c r="Z941" s="57" t="s">
        <v>122</v>
      </c>
      <c r="AA941" s="59">
        <v>53445</v>
      </c>
      <c r="AB941" s="57" t="s">
        <v>61</v>
      </c>
      <c r="AC941" s="60">
        <v>45889</v>
      </c>
      <c r="AD941" s="59">
        <v>53445</v>
      </c>
      <c r="AE941" s="57" t="s">
        <v>4103</v>
      </c>
      <c r="AF941" s="57" t="s">
        <v>4104</v>
      </c>
    </row>
    <row r="942" spans="1:32">
      <c r="A942" s="57">
        <v>941</v>
      </c>
      <c r="B942" s="58">
        <v>45986.550520833327</v>
      </c>
      <c r="C942" s="58">
        <v>45986.55364583333</v>
      </c>
      <c r="D942" s="57" t="s">
        <v>1480</v>
      </c>
      <c r="E942" s="57" t="s">
        <v>1481</v>
      </c>
      <c r="F942" s="58"/>
      <c r="G942" s="57" t="s">
        <v>631</v>
      </c>
      <c r="H942" s="59">
        <v>1</v>
      </c>
      <c r="I942" s="57"/>
      <c r="J942" s="57"/>
      <c r="K942" s="59"/>
      <c r="L942" s="57"/>
      <c r="M942" s="60"/>
      <c r="N942" s="59"/>
      <c r="O942" s="57"/>
      <c r="P942" s="57"/>
      <c r="Q942" s="57"/>
      <c r="R942" s="57"/>
      <c r="S942" s="59"/>
      <c r="T942" s="57"/>
      <c r="U942" s="60"/>
      <c r="V942" s="59"/>
      <c r="W942" s="57"/>
      <c r="X942" s="57"/>
      <c r="Y942" s="57" t="s">
        <v>21</v>
      </c>
      <c r="Z942" s="57" t="s">
        <v>170</v>
      </c>
      <c r="AA942" s="59">
        <v>57648</v>
      </c>
      <c r="AB942" s="57" t="s">
        <v>61</v>
      </c>
      <c r="AC942" s="60">
        <v>45825</v>
      </c>
      <c r="AD942" s="59">
        <v>57648</v>
      </c>
      <c r="AE942" s="57" t="s">
        <v>4105</v>
      </c>
      <c r="AF942" s="57" t="s">
        <v>4106</v>
      </c>
    </row>
    <row r="943" spans="1:32">
      <c r="A943" s="57">
        <v>942</v>
      </c>
      <c r="B943" s="58">
        <v>45986.354409722233</v>
      </c>
      <c r="C943" s="58">
        <v>45986.555914351848</v>
      </c>
      <c r="D943" s="57" t="s">
        <v>961</v>
      </c>
      <c r="E943" s="57" t="s">
        <v>962</v>
      </c>
      <c r="F943" s="58"/>
      <c r="G943" s="57" t="s">
        <v>655</v>
      </c>
      <c r="H943" s="59">
        <v>1</v>
      </c>
      <c r="I943" s="57"/>
      <c r="J943" s="57"/>
      <c r="K943" s="59"/>
      <c r="L943" s="57"/>
      <c r="M943" s="60"/>
      <c r="N943" s="59"/>
      <c r="O943" s="57"/>
      <c r="P943" s="57"/>
      <c r="Q943" s="57"/>
      <c r="R943" s="57"/>
      <c r="S943" s="59"/>
      <c r="T943" s="57"/>
      <c r="U943" s="60"/>
      <c r="V943" s="59"/>
      <c r="W943" s="57"/>
      <c r="X943" s="57"/>
      <c r="Y943" s="57" t="s">
        <v>21</v>
      </c>
      <c r="Z943" s="57" t="s">
        <v>353</v>
      </c>
      <c r="AA943" s="59">
        <v>8536</v>
      </c>
      <c r="AB943" s="57" t="s">
        <v>61</v>
      </c>
      <c r="AC943" s="60">
        <v>45902</v>
      </c>
      <c r="AD943" s="59">
        <v>8536</v>
      </c>
      <c r="AE943" s="57" t="s">
        <v>4107</v>
      </c>
      <c r="AF943" s="57" t="s">
        <v>4108</v>
      </c>
    </row>
    <row r="944" spans="1:32">
      <c r="A944" s="57">
        <v>943</v>
      </c>
      <c r="B944" s="58">
        <v>45986.556446759263</v>
      </c>
      <c r="C944" s="58">
        <v>45986.55908564815</v>
      </c>
      <c r="D944" s="57" t="s">
        <v>726</v>
      </c>
      <c r="E944" s="57" t="s">
        <v>727</v>
      </c>
      <c r="F944" s="58"/>
      <c r="G944" s="57" t="s">
        <v>540</v>
      </c>
      <c r="H944" s="59">
        <v>1</v>
      </c>
      <c r="I944" s="57"/>
      <c r="J944" s="57"/>
      <c r="K944" s="59"/>
      <c r="L944" s="57"/>
      <c r="M944" s="60"/>
      <c r="N944" s="59"/>
      <c r="O944" s="57"/>
      <c r="P944" s="57"/>
      <c r="Q944" s="57"/>
      <c r="R944" s="57"/>
      <c r="S944" s="59"/>
      <c r="T944" s="57"/>
      <c r="U944" s="60"/>
      <c r="V944" s="59"/>
      <c r="W944" s="57"/>
      <c r="X944" s="57"/>
      <c r="Y944" s="57" t="s">
        <v>20</v>
      </c>
      <c r="Z944" s="57" t="s">
        <v>208</v>
      </c>
      <c r="AA944" s="59">
        <v>60074</v>
      </c>
      <c r="AB944" s="57" t="s">
        <v>61</v>
      </c>
      <c r="AC944" s="60">
        <v>45938</v>
      </c>
      <c r="AD944" s="59">
        <v>60074</v>
      </c>
      <c r="AE944" s="57" t="s">
        <v>4109</v>
      </c>
      <c r="AF944" s="57" t="s">
        <v>4110</v>
      </c>
    </row>
    <row r="945" spans="1:32">
      <c r="A945" s="57">
        <v>944</v>
      </c>
      <c r="B945" s="58">
        <v>45986.342557870368</v>
      </c>
      <c r="C945" s="58">
        <v>45986.569756944453</v>
      </c>
      <c r="D945" s="57" t="s">
        <v>4111</v>
      </c>
      <c r="E945" s="57" t="s">
        <v>4112</v>
      </c>
      <c r="F945" s="58"/>
      <c r="G945" s="57" t="s">
        <v>460</v>
      </c>
      <c r="H945" s="59">
        <v>1</v>
      </c>
      <c r="I945" s="57"/>
      <c r="J945" s="57"/>
      <c r="K945" s="59"/>
      <c r="L945" s="57"/>
      <c r="M945" s="60"/>
      <c r="N945" s="59"/>
      <c r="O945" s="57"/>
      <c r="P945" s="57"/>
      <c r="Q945" s="57"/>
      <c r="R945" s="57"/>
      <c r="S945" s="59"/>
      <c r="T945" s="57"/>
      <c r="U945" s="60"/>
      <c r="V945" s="59"/>
      <c r="W945" s="57"/>
      <c r="X945" s="57"/>
      <c r="Y945" s="57" t="s">
        <v>21</v>
      </c>
      <c r="Z945" s="57" t="s">
        <v>126</v>
      </c>
      <c r="AA945" s="59">
        <v>7446</v>
      </c>
      <c r="AB945" s="57" t="s">
        <v>61</v>
      </c>
      <c r="AC945" s="60">
        <v>45859</v>
      </c>
      <c r="AD945" s="59">
        <v>7446</v>
      </c>
      <c r="AE945" s="57" t="s">
        <v>4113</v>
      </c>
      <c r="AF945" s="57" t="s">
        <v>4114</v>
      </c>
    </row>
    <row r="946" spans="1:32">
      <c r="A946" s="57">
        <v>945</v>
      </c>
      <c r="B946" s="58">
        <v>45986.600613425922</v>
      </c>
      <c r="C946" s="58">
        <v>45986.603587962964</v>
      </c>
      <c r="D946" s="57" t="s">
        <v>1109</v>
      </c>
      <c r="E946" s="57" t="s">
        <v>1110</v>
      </c>
      <c r="F946" s="58"/>
      <c r="G946" s="57" t="s">
        <v>718</v>
      </c>
      <c r="H946" s="59">
        <v>2</v>
      </c>
      <c r="I946" s="57"/>
      <c r="J946" s="57"/>
      <c r="K946" s="59"/>
      <c r="L946" s="57"/>
      <c r="M946" s="60"/>
      <c r="N946" s="59"/>
      <c r="O946" s="57"/>
      <c r="P946" s="57"/>
      <c r="Q946" s="57" t="s">
        <v>20</v>
      </c>
      <c r="R946" s="57" t="s">
        <v>1111</v>
      </c>
      <c r="S946" s="59">
        <v>127556</v>
      </c>
      <c r="T946" s="57" t="s">
        <v>61</v>
      </c>
      <c r="U946" s="60">
        <v>45906</v>
      </c>
      <c r="V946" s="59">
        <v>127556</v>
      </c>
      <c r="W946" s="57" t="s">
        <v>4115</v>
      </c>
      <c r="X946" s="57" t="s">
        <v>4116</v>
      </c>
      <c r="Y946" s="57" t="s">
        <v>20</v>
      </c>
      <c r="Z946" s="57" t="s">
        <v>2417</v>
      </c>
      <c r="AA946" s="59">
        <v>125526</v>
      </c>
      <c r="AB946" s="57" t="s">
        <v>61</v>
      </c>
      <c r="AC946" s="60">
        <v>45785</v>
      </c>
      <c r="AD946" s="59">
        <v>125526</v>
      </c>
      <c r="AE946" s="57" t="s">
        <v>4117</v>
      </c>
      <c r="AF946" s="57" t="s">
        <v>4118</v>
      </c>
    </row>
    <row r="947" spans="1:32">
      <c r="A947" s="57">
        <v>946</v>
      </c>
      <c r="B947" s="58">
        <v>45986.608761574083</v>
      </c>
      <c r="C947" s="58">
        <v>45986.610717592594</v>
      </c>
      <c r="D947" s="57" t="s">
        <v>1931</v>
      </c>
      <c r="E947" s="57" t="s">
        <v>1932</v>
      </c>
      <c r="F947" s="58"/>
      <c r="G947" s="57" t="s">
        <v>498</v>
      </c>
      <c r="H947" s="59">
        <v>1</v>
      </c>
      <c r="I947" s="57"/>
      <c r="J947" s="57"/>
      <c r="K947" s="59"/>
      <c r="L947" s="57"/>
      <c r="M947" s="60"/>
      <c r="N947" s="59"/>
      <c r="O947" s="57"/>
      <c r="P947" s="57"/>
      <c r="Q947" s="57"/>
      <c r="R947" s="57"/>
      <c r="S947" s="59"/>
      <c r="T947" s="57"/>
      <c r="U947" s="60"/>
      <c r="V947" s="59"/>
      <c r="W947" s="57"/>
      <c r="X947" s="57"/>
      <c r="Y947" s="57" t="s">
        <v>20</v>
      </c>
      <c r="Z947" s="57" t="s">
        <v>164</v>
      </c>
      <c r="AA947" s="59">
        <v>96276</v>
      </c>
      <c r="AB947" s="57" t="s">
        <v>61</v>
      </c>
      <c r="AC947" s="60">
        <v>45952</v>
      </c>
      <c r="AD947" s="59">
        <v>96276</v>
      </c>
      <c r="AE947" s="57" t="s">
        <v>4119</v>
      </c>
      <c r="AF947" s="57" t="s">
        <v>4120</v>
      </c>
    </row>
    <row r="948" spans="1:32">
      <c r="A948" s="57">
        <v>947</v>
      </c>
      <c r="B948" s="58">
        <v>45986.614155092589</v>
      </c>
      <c r="C948" s="58">
        <v>45986.617731481478</v>
      </c>
      <c r="D948" s="57" t="s">
        <v>1205</v>
      </c>
      <c r="E948" s="57" t="s">
        <v>1206</v>
      </c>
      <c r="F948" s="58"/>
      <c r="G948" s="57" t="s">
        <v>474</v>
      </c>
      <c r="H948" s="59">
        <v>1</v>
      </c>
      <c r="I948" s="57"/>
      <c r="J948" s="57"/>
      <c r="K948" s="59"/>
      <c r="L948" s="57"/>
      <c r="M948" s="60"/>
      <c r="N948" s="59"/>
      <c r="O948" s="57"/>
      <c r="P948" s="57"/>
      <c r="Q948" s="57"/>
      <c r="R948" s="57"/>
      <c r="S948" s="59"/>
      <c r="T948" s="57"/>
      <c r="U948" s="60"/>
      <c r="V948" s="59"/>
      <c r="W948" s="57"/>
      <c r="X948" s="57"/>
      <c r="Y948" s="57" t="s">
        <v>21</v>
      </c>
      <c r="Z948" s="57" t="s">
        <v>140</v>
      </c>
      <c r="AA948" s="59">
        <v>20685</v>
      </c>
      <c r="AB948" s="57" t="s">
        <v>61</v>
      </c>
      <c r="AC948" s="60">
        <v>45903</v>
      </c>
      <c r="AD948" s="59">
        <v>20685</v>
      </c>
      <c r="AE948" s="57" t="s">
        <v>4121</v>
      </c>
      <c r="AF948" s="57" t="s">
        <v>4122</v>
      </c>
    </row>
    <row r="949" spans="1:32">
      <c r="A949" s="57">
        <v>948</v>
      </c>
      <c r="B949" s="58">
        <v>45986.615856481483</v>
      </c>
      <c r="C949" s="58">
        <v>45986.621828703697</v>
      </c>
      <c r="D949" s="57" t="s">
        <v>1187</v>
      </c>
      <c r="E949" s="57" t="s">
        <v>1188</v>
      </c>
      <c r="F949" s="58"/>
      <c r="G949" s="57" t="s">
        <v>490</v>
      </c>
      <c r="H949" s="59">
        <v>1</v>
      </c>
      <c r="I949" s="57"/>
      <c r="J949" s="57"/>
      <c r="K949" s="59"/>
      <c r="L949" s="57"/>
      <c r="M949" s="60"/>
      <c r="N949" s="59"/>
      <c r="O949" s="57"/>
      <c r="P949" s="57"/>
      <c r="Q949" s="57"/>
      <c r="R949" s="57"/>
      <c r="S949" s="59"/>
      <c r="T949" s="57"/>
      <c r="U949" s="60"/>
      <c r="V949" s="59"/>
      <c r="W949" s="57"/>
      <c r="X949" s="57"/>
      <c r="Y949" s="57" t="s">
        <v>22</v>
      </c>
      <c r="Z949" s="57" t="s">
        <v>277</v>
      </c>
      <c r="AA949" s="59">
        <v>20917</v>
      </c>
      <c r="AB949" s="57" t="s">
        <v>61</v>
      </c>
      <c r="AC949" s="60">
        <v>45923</v>
      </c>
      <c r="AD949" s="59">
        <v>20917</v>
      </c>
      <c r="AE949" s="57" t="s">
        <v>4123</v>
      </c>
      <c r="AF949" s="57" t="s">
        <v>4124</v>
      </c>
    </row>
    <row r="950" spans="1:32">
      <c r="A950" s="57">
        <v>949</v>
      </c>
      <c r="B950" s="58">
        <v>45986.618020833332</v>
      </c>
      <c r="C950" s="58">
        <v>45986.622685185182</v>
      </c>
      <c r="D950" s="57" t="s">
        <v>1485</v>
      </c>
      <c r="E950" s="57" t="s">
        <v>1486</v>
      </c>
      <c r="F950" s="58"/>
      <c r="G950" s="57" t="s">
        <v>479</v>
      </c>
      <c r="H950" s="59">
        <v>1</v>
      </c>
      <c r="I950" s="57"/>
      <c r="J950" s="57"/>
      <c r="K950" s="59"/>
      <c r="L950" s="57"/>
      <c r="M950" s="60"/>
      <c r="N950" s="59"/>
      <c r="O950" s="57"/>
      <c r="P950" s="57"/>
      <c r="Q950" s="57"/>
      <c r="R950" s="57"/>
      <c r="S950" s="59"/>
      <c r="T950" s="57"/>
      <c r="U950" s="60"/>
      <c r="V950" s="59"/>
      <c r="W950" s="57"/>
      <c r="X950" s="57"/>
      <c r="Y950" s="57" t="s">
        <v>21</v>
      </c>
      <c r="Z950" s="57" t="s">
        <v>145</v>
      </c>
      <c r="AA950" s="59">
        <v>51169</v>
      </c>
      <c r="AB950" s="57" t="s">
        <v>61</v>
      </c>
      <c r="AC950" s="60">
        <v>45870</v>
      </c>
      <c r="AD950" s="59">
        <v>51169</v>
      </c>
      <c r="AE950" s="57" t="s">
        <v>4125</v>
      </c>
      <c r="AF950" s="57" t="s">
        <v>4126</v>
      </c>
    </row>
    <row r="951" spans="1:32">
      <c r="A951" s="57">
        <v>950</v>
      </c>
      <c r="B951" s="58">
        <v>45986.630370370367</v>
      </c>
      <c r="C951" s="58">
        <v>45986.630740740737</v>
      </c>
      <c r="D951" s="57" t="s">
        <v>1391</v>
      </c>
      <c r="E951" s="57" t="s">
        <v>1392</v>
      </c>
      <c r="F951" s="58"/>
      <c r="G951" s="57" t="s">
        <v>483</v>
      </c>
      <c r="H951" s="59">
        <v>2</v>
      </c>
      <c r="I951" s="57"/>
      <c r="J951" s="57"/>
      <c r="K951" s="59"/>
      <c r="L951" s="57"/>
      <c r="M951" s="60"/>
      <c r="N951" s="59"/>
      <c r="O951" s="57"/>
      <c r="P951" s="57"/>
      <c r="Q951" s="57" t="s">
        <v>22</v>
      </c>
      <c r="R951" s="57" t="s">
        <v>149</v>
      </c>
      <c r="S951" s="59">
        <v>104110</v>
      </c>
      <c r="T951" s="57" t="s">
        <v>61</v>
      </c>
      <c r="U951" s="60">
        <v>45943</v>
      </c>
      <c r="V951" s="59">
        <v>104110</v>
      </c>
      <c r="W951" s="57" t="s">
        <v>4127</v>
      </c>
      <c r="X951" s="57" t="s">
        <v>4128</v>
      </c>
      <c r="Y951" s="57" t="s">
        <v>21</v>
      </c>
      <c r="Z951" s="57" t="s">
        <v>355</v>
      </c>
      <c r="AA951" s="59">
        <v>7559</v>
      </c>
      <c r="AB951" s="57" t="s">
        <v>61</v>
      </c>
      <c r="AC951" s="60">
        <v>45827</v>
      </c>
      <c r="AD951" s="59">
        <v>7559</v>
      </c>
      <c r="AE951" s="57" t="s">
        <v>4129</v>
      </c>
      <c r="AF951" s="57" t="s">
        <v>4130</v>
      </c>
    </row>
    <row r="952" spans="1:32">
      <c r="A952" s="57">
        <v>951</v>
      </c>
      <c r="B952" s="58">
        <v>45986.625532407408</v>
      </c>
      <c r="C952" s="58">
        <v>45986.630925925929</v>
      </c>
      <c r="D952" s="57" t="s">
        <v>999</v>
      </c>
      <c r="E952" s="57" t="s">
        <v>1000</v>
      </c>
      <c r="F952" s="58"/>
      <c r="G952" s="57" t="s">
        <v>577</v>
      </c>
      <c r="H952" s="59">
        <v>1</v>
      </c>
      <c r="I952" s="57"/>
      <c r="J952" s="57"/>
      <c r="K952" s="59"/>
      <c r="L952" s="57"/>
      <c r="M952" s="60"/>
      <c r="N952" s="59"/>
      <c r="O952" s="57"/>
      <c r="P952" s="57"/>
      <c r="Q952" s="57"/>
      <c r="R952" s="57"/>
      <c r="S952" s="59"/>
      <c r="T952" s="57"/>
      <c r="U952" s="60"/>
      <c r="V952" s="59"/>
      <c r="W952" s="57"/>
      <c r="X952" s="57"/>
      <c r="Y952" s="57" t="s">
        <v>21</v>
      </c>
      <c r="Z952" s="57" t="s">
        <v>249</v>
      </c>
      <c r="AA952" s="59">
        <v>21806</v>
      </c>
      <c r="AB952" s="57" t="s">
        <v>61</v>
      </c>
      <c r="AC952" s="60">
        <v>45910</v>
      </c>
      <c r="AD952" s="59">
        <v>21806</v>
      </c>
      <c r="AE952" s="57" t="s">
        <v>4131</v>
      </c>
      <c r="AF952" s="57" t="s">
        <v>4132</v>
      </c>
    </row>
    <row r="953" spans="1:32">
      <c r="A953" s="57">
        <v>952</v>
      </c>
      <c r="B953" s="58">
        <v>45986.618101851847</v>
      </c>
      <c r="C953" s="58">
        <v>45986.633391203701</v>
      </c>
      <c r="D953" s="57" t="s">
        <v>2420</v>
      </c>
      <c r="E953" s="57" t="s">
        <v>2421</v>
      </c>
      <c r="F953" s="58"/>
      <c r="G953" s="57" t="s">
        <v>611</v>
      </c>
      <c r="H953" s="59">
        <v>1</v>
      </c>
      <c r="I953" s="57"/>
      <c r="J953" s="57"/>
      <c r="K953" s="59"/>
      <c r="L953" s="57"/>
      <c r="M953" s="60"/>
      <c r="N953" s="59"/>
      <c r="O953" s="57"/>
      <c r="P953" s="57"/>
      <c r="Q953" s="57"/>
      <c r="R953" s="57"/>
      <c r="S953" s="59"/>
      <c r="T953" s="57"/>
      <c r="U953" s="60"/>
      <c r="V953" s="59"/>
      <c r="W953" s="57"/>
      <c r="X953" s="57"/>
      <c r="Y953" s="57" t="s">
        <v>21</v>
      </c>
      <c r="Z953" s="57" t="s">
        <v>291</v>
      </c>
      <c r="AA953" s="59">
        <v>9707</v>
      </c>
      <c r="AB953" s="57" t="s">
        <v>61</v>
      </c>
      <c r="AC953" s="60">
        <v>45964</v>
      </c>
      <c r="AD953" s="59">
        <v>9707</v>
      </c>
      <c r="AE953" s="57" t="s">
        <v>4133</v>
      </c>
      <c r="AF953" s="57" t="s">
        <v>4134</v>
      </c>
    </row>
    <row r="954" spans="1:32">
      <c r="A954" s="57">
        <v>953</v>
      </c>
      <c r="B954" s="58">
        <v>45986.670914351853</v>
      </c>
      <c r="C954" s="58">
        <v>45986.671909722223</v>
      </c>
      <c r="D954" s="57" t="s">
        <v>1187</v>
      </c>
      <c r="E954" s="57" t="s">
        <v>1188</v>
      </c>
      <c r="F954" s="58"/>
      <c r="G954" s="57" t="s">
        <v>490</v>
      </c>
      <c r="H954" s="59">
        <v>1</v>
      </c>
      <c r="I954" s="57"/>
      <c r="J954" s="57"/>
      <c r="K954" s="59"/>
      <c r="L954" s="57"/>
      <c r="M954" s="60"/>
      <c r="N954" s="59"/>
      <c r="O954" s="57"/>
      <c r="P954" s="57"/>
      <c r="Q954" s="57"/>
      <c r="R954" s="57"/>
      <c r="S954" s="59"/>
      <c r="T954" s="57"/>
      <c r="U954" s="60"/>
      <c r="V954" s="59"/>
      <c r="W954" s="57"/>
      <c r="X954" s="57"/>
      <c r="Y954" s="57" t="s">
        <v>21</v>
      </c>
      <c r="Z954" s="57" t="s">
        <v>156</v>
      </c>
      <c r="AA954" s="59">
        <v>17793</v>
      </c>
      <c r="AB954" s="57" t="s">
        <v>61</v>
      </c>
      <c r="AC954" s="60">
        <v>45960</v>
      </c>
      <c r="AD954" s="59">
        <v>17793</v>
      </c>
      <c r="AE954" s="57" t="s">
        <v>4135</v>
      </c>
      <c r="AF954" s="57" t="s">
        <v>4136</v>
      </c>
    </row>
    <row r="955" spans="1:32">
      <c r="A955" s="57">
        <v>954</v>
      </c>
      <c r="B955" s="58">
        <v>45986.715509259258</v>
      </c>
      <c r="C955" s="58">
        <v>45986.716863425929</v>
      </c>
      <c r="D955" s="57" t="s">
        <v>1590</v>
      </c>
      <c r="E955" s="57" t="s">
        <v>1591</v>
      </c>
      <c r="F955" s="58"/>
      <c r="G955" s="57" t="s">
        <v>465</v>
      </c>
      <c r="H955" s="59">
        <v>1</v>
      </c>
      <c r="I955" s="57"/>
      <c r="J955" s="57"/>
      <c r="K955" s="59"/>
      <c r="L955" s="57"/>
      <c r="M955" s="60"/>
      <c r="N955" s="59"/>
      <c r="O955" s="57"/>
      <c r="P955" s="57"/>
      <c r="Q955" s="57"/>
      <c r="R955" s="57"/>
      <c r="S955" s="59"/>
      <c r="T955" s="57"/>
      <c r="U955" s="60"/>
      <c r="V955" s="59"/>
      <c r="W955" s="57"/>
      <c r="X955" s="57"/>
      <c r="Y955" s="57" t="s">
        <v>20</v>
      </c>
      <c r="Z955" s="57" t="s">
        <v>130</v>
      </c>
      <c r="AA955" s="59">
        <v>80766</v>
      </c>
      <c r="AB955" s="57" t="s">
        <v>61</v>
      </c>
      <c r="AC955" s="60">
        <v>45933</v>
      </c>
      <c r="AD955" s="59">
        <v>80766</v>
      </c>
      <c r="AE955" s="57" t="s">
        <v>4137</v>
      </c>
      <c r="AF955" s="57" t="s">
        <v>4138</v>
      </c>
    </row>
    <row r="956" spans="1:32">
      <c r="A956" s="57">
        <v>955</v>
      </c>
      <c r="B956" s="58">
        <v>45986.716157407413</v>
      </c>
      <c r="C956" s="58">
        <v>45986.723414351851</v>
      </c>
      <c r="D956" s="57" t="s">
        <v>769</v>
      </c>
      <c r="E956" s="57" t="s">
        <v>770</v>
      </c>
      <c r="F956" s="58"/>
      <c r="G956" s="57" t="s">
        <v>582</v>
      </c>
      <c r="H956" s="59">
        <v>2</v>
      </c>
      <c r="I956" s="57"/>
      <c r="J956" s="57"/>
      <c r="K956" s="59"/>
      <c r="L956" s="57"/>
      <c r="M956" s="60"/>
      <c r="N956" s="59"/>
      <c r="O956" s="57"/>
      <c r="P956" s="57"/>
      <c r="Q956" s="57" t="s">
        <v>21</v>
      </c>
      <c r="R956" s="57" t="s">
        <v>256</v>
      </c>
      <c r="S956" s="59">
        <v>43476</v>
      </c>
      <c r="T956" s="57" t="s">
        <v>61</v>
      </c>
      <c r="U956" s="60">
        <v>45958</v>
      </c>
      <c r="V956" s="59">
        <v>43476</v>
      </c>
      <c r="W956" s="57" t="s">
        <v>4139</v>
      </c>
      <c r="X956" s="57" t="s">
        <v>4140</v>
      </c>
      <c r="Y956" s="57" t="s">
        <v>21</v>
      </c>
      <c r="Z956" s="57" t="s">
        <v>257</v>
      </c>
      <c r="AA956" s="59">
        <v>30572</v>
      </c>
      <c r="AB956" s="57" t="s">
        <v>61</v>
      </c>
      <c r="AC956" s="60">
        <v>45861</v>
      </c>
      <c r="AD956" s="59">
        <v>30572</v>
      </c>
      <c r="AE956" s="57" t="s">
        <v>4141</v>
      </c>
      <c r="AF956" s="57" t="s">
        <v>4142</v>
      </c>
    </row>
    <row r="957" spans="1:32">
      <c r="A957" s="57">
        <v>956</v>
      </c>
      <c r="B957" s="58">
        <v>45986.615416666667</v>
      </c>
      <c r="C957" s="58">
        <v>45986.75273148148</v>
      </c>
      <c r="D957" s="57" t="s">
        <v>1493</v>
      </c>
      <c r="E957" s="57" t="s">
        <v>1494</v>
      </c>
      <c r="F957" s="58"/>
      <c r="G957" s="57" t="s">
        <v>680</v>
      </c>
      <c r="H957" s="59">
        <v>1</v>
      </c>
      <c r="I957" s="57"/>
      <c r="J957" s="57"/>
      <c r="K957" s="59"/>
      <c r="L957" s="57"/>
      <c r="M957" s="60"/>
      <c r="N957" s="59"/>
      <c r="O957" s="57"/>
      <c r="P957" s="57"/>
      <c r="Q957" s="57"/>
      <c r="R957" s="57"/>
      <c r="S957" s="59"/>
      <c r="T957" s="57"/>
      <c r="U957" s="60"/>
      <c r="V957" s="59"/>
      <c r="W957" s="57"/>
      <c r="X957" s="57"/>
      <c r="Y957" s="57" t="s">
        <v>20</v>
      </c>
      <c r="Z957" s="57" t="s">
        <v>395</v>
      </c>
      <c r="AA957" s="59">
        <v>8682</v>
      </c>
      <c r="AB957" s="57" t="s">
        <v>61</v>
      </c>
      <c r="AC957" s="60">
        <v>45918</v>
      </c>
      <c r="AD957" s="59">
        <v>8682</v>
      </c>
      <c r="AE957" s="57" t="s">
        <v>4143</v>
      </c>
      <c r="AF957" s="57" t="s">
        <v>4144</v>
      </c>
    </row>
    <row r="958" spans="1:32">
      <c r="A958" s="57">
        <v>957</v>
      </c>
      <c r="B958" s="58">
        <v>45986.761273148149</v>
      </c>
      <c r="C958" s="58">
        <v>45986.761793981481</v>
      </c>
      <c r="D958" s="57" t="s">
        <v>782</v>
      </c>
      <c r="E958" s="57" t="s">
        <v>783</v>
      </c>
      <c r="F958" s="58"/>
      <c r="G958" s="57" t="s">
        <v>685</v>
      </c>
      <c r="H958" s="59">
        <v>1</v>
      </c>
      <c r="I958" s="57"/>
      <c r="J958" s="57"/>
      <c r="K958" s="59"/>
      <c r="L958" s="57"/>
      <c r="M958" s="60"/>
      <c r="N958" s="59"/>
      <c r="O958" s="57"/>
      <c r="P958" s="57"/>
      <c r="Q958" s="57"/>
      <c r="R958" s="57"/>
      <c r="S958" s="59"/>
      <c r="T958" s="57"/>
      <c r="U958" s="60"/>
      <c r="V958" s="59"/>
      <c r="W958" s="57"/>
      <c r="X958" s="57"/>
      <c r="Y958" s="57" t="s">
        <v>20</v>
      </c>
      <c r="Z958" s="57" t="s">
        <v>403</v>
      </c>
      <c r="AA958" s="59">
        <v>2692</v>
      </c>
      <c r="AB958" s="57" t="s">
        <v>61</v>
      </c>
      <c r="AC958" s="60">
        <v>45986</v>
      </c>
      <c r="AD958" s="59">
        <v>2692</v>
      </c>
      <c r="AE958" s="57" t="s">
        <v>4145</v>
      </c>
      <c r="AF958" s="57" t="s">
        <v>4146</v>
      </c>
    </row>
    <row r="959" spans="1:32">
      <c r="A959" s="57">
        <v>958</v>
      </c>
      <c r="B959" s="58">
        <v>45986.781388888892</v>
      </c>
      <c r="C959" s="58">
        <v>45986.785729166673</v>
      </c>
      <c r="D959" s="57" t="s">
        <v>1365</v>
      </c>
      <c r="E959" s="57" t="s">
        <v>1366</v>
      </c>
      <c r="F959" s="58"/>
      <c r="G959" s="57" t="s">
        <v>638</v>
      </c>
      <c r="H959" s="59">
        <v>1</v>
      </c>
      <c r="I959" s="57"/>
      <c r="J959" s="57"/>
      <c r="K959" s="59"/>
      <c r="L959" s="57"/>
      <c r="M959" s="60"/>
      <c r="N959" s="59"/>
      <c r="O959" s="57"/>
      <c r="P959" s="57"/>
      <c r="Q959" s="57"/>
      <c r="R959" s="57"/>
      <c r="S959" s="59"/>
      <c r="T959" s="57"/>
      <c r="U959" s="60"/>
      <c r="V959" s="59"/>
      <c r="W959" s="57"/>
      <c r="X959" s="57"/>
      <c r="Y959" s="57" t="s">
        <v>21</v>
      </c>
      <c r="Z959" s="57" t="s">
        <v>331</v>
      </c>
      <c r="AA959" s="59">
        <v>9453</v>
      </c>
      <c r="AB959" s="57" t="s">
        <v>61</v>
      </c>
      <c r="AC959" s="60">
        <v>45867</v>
      </c>
      <c r="AD959" s="59">
        <v>9453</v>
      </c>
      <c r="AE959" s="57" t="s">
        <v>4147</v>
      </c>
      <c r="AF959" s="57" t="s">
        <v>4148</v>
      </c>
    </row>
    <row r="960" spans="1:32">
      <c r="A960" s="57">
        <v>959</v>
      </c>
      <c r="B960" s="58">
        <v>45987.276967592603</v>
      </c>
      <c r="C960" s="58">
        <v>45987.27851851852</v>
      </c>
      <c r="D960" s="57" t="s">
        <v>2530</v>
      </c>
      <c r="E960" s="57" t="s">
        <v>2531</v>
      </c>
      <c r="F960" s="58"/>
      <c r="G960" s="57" t="s">
        <v>659</v>
      </c>
      <c r="H960" s="59">
        <v>1</v>
      </c>
      <c r="I960" s="57"/>
      <c r="J960" s="57"/>
      <c r="K960" s="59"/>
      <c r="L960" s="57"/>
      <c r="M960" s="60"/>
      <c r="N960" s="59"/>
      <c r="O960" s="57"/>
      <c r="P960" s="57"/>
      <c r="Q960" s="57"/>
      <c r="R960" s="57"/>
      <c r="S960" s="59"/>
      <c r="T960" s="57"/>
      <c r="U960" s="60"/>
      <c r="V960" s="59"/>
      <c r="W960" s="57"/>
      <c r="X960" s="57"/>
      <c r="Y960" s="57" t="s">
        <v>21</v>
      </c>
      <c r="Z960" s="57" t="s">
        <v>360</v>
      </c>
      <c r="AA960" s="59">
        <v>12568</v>
      </c>
      <c r="AB960" s="57" t="s">
        <v>61</v>
      </c>
      <c r="AC960" s="60">
        <v>45937</v>
      </c>
      <c r="AD960" s="59">
        <v>12568</v>
      </c>
      <c r="AE960" s="57" t="s">
        <v>4149</v>
      </c>
      <c r="AF960" s="57" t="s">
        <v>4150</v>
      </c>
    </row>
    <row r="961" spans="1:32">
      <c r="A961" s="57">
        <v>960</v>
      </c>
      <c r="B961" s="58">
        <v>45987.318530092591</v>
      </c>
      <c r="C961" s="58">
        <v>45987.322962962957</v>
      </c>
      <c r="D961" s="57" t="s">
        <v>1767</v>
      </c>
      <c r="E961" s="57" t="s">
        <v>1768</v>
      </c>
      <c r="F961" s="58"/>
      <c r="G961" s="57" t="s">
        <v>541</v>
      </c>
      <c r="H961" s="59">
        <v>2</v>
      </c>
      <c r="I961" s="57"/>
      <c r="J961" s="57"/>
      <c r="K961" s="59"/>
      <c r="L961" s="57"/>
      <c r="M961" s="60"/>
      <c r="N961" s="59"/>
      <c r="O961" s="57"/>
      <c r="P961" s="57"/>
      <c r="Q961" s="57" t="s">
        <v>21</v>
      </c>
      <c r="R961" s="57" t="s">
        <v>323</v>
      </c>
      <c r="S961" s="59">
        <v>20879</v>
      </c>
      <c r="T961" s="57" t="s">
        <v>61</v>
      </c>
      <c r="U961" s="60">
        <v>45918</v>
      </c>
      <c r="V961" s="59">
        <v>20879</v>
      </c>
      <c r="W961" s="57" t="s">
        <v>4151</v>
      </c>
      <c r="X961" s="57" t="s">
        <v>4152</v>
      </c>
      <c r="Y961" s="57" t="s">
        <v>21</v>
      </c>
      <c r="Z961" s="57" t="s">
        <v>210</v>
      </c>
      <c r="AA961" s="59">
        <v>54691</v>
      </c>
      <c r="AB961" s="57" t="s">
        <v>61</v>
      </c>
      <c r="AC961" s="60">
        <v>45862</v>
      </c>
      <c r="AD961" s="59">
        <v>54691</v>
      </c>
      <c r="AE961" s="57" t="s">
        <v>4153</v>
      </c>
      <c r="AF961" s="57" t="s">
        <v>4154</v>
      </c>
    </row>
    <row r="962" spans="1:32">
      <c r="A962" s="57">
        <v>961</v>
      </c>
      <c r="B962" s="58">
        <v>45987.34878472222</v>
      </c>
      <c r="C962" s="58">
        <v>45987.351145833331</v>
      </c>
      <c r="D962" s="57" t="s">
        <v>1058</v>
      </c>
      <c r="E962" s="57" t="s">
        <v>1059</v>
      </c>
      <c r="F962" s="58"/>
      <c r="G962" s="57" t="s">
        <v>467</v>
      </c>
      <c r="H962" s="59">
        <v>2</v>
      </c>
      <c r="I962" s="57"/>
      <c r="J962" s="57"/>
      <c r="K962" s="59"/>
      <c r="L962" s="57"/>
      <c r="M962" s="60"/>
      <c r="N962" s="59"/>
      <c r="O962" s="57"/>
      <c r="P962" s="57"/>
      <c r="Q962" s="57" t="s">
        <v>22</v>
      </c>
      <c r="R962" s="57" t="s">
        <v>133</v>
      </c>
      <c r="S962" s="59">
        <v>53993</v>
      </c>
      <c r="T962" s="57" t="s">
        <v>61</v>
      </c>
      <c r="U962" s="60">
        <v>45973</v>
      </c>
      <c r="V962" s="59">
        <v>53993</v>
      </c>
      <c r="W962" s="57" t="s">
        <v>4155</v>
      </c>
      <c r="X962" s="57" t="s">
        <v>4156</v>
      </c>
      <c r="Y962" s="57" t="s">
        <v>21</v>
      </c>
      <c r="Z962" s="57" t="s">
        <v>176</v>
      </c>
      <c r="AA962" s="59">
        <v>34832</v>
      </c>
      <c r="AB962" s="57" t="s">
        <v>61</v>
      </c>
      <c r="AC962" s="60">
        <v>45982</v>
      </c>
      <c r="AD962" s="59">
        <v>34832</v>
      </c>
      <c r="AE962" s="57" t="s">
        <v>4157</v>
      </c>
      <c r="AF962" s="57" t="s">
        <v>4158</v>
      </c>
    </row>
    <row r="963" spans="1:32">
      <c r="A963" s="57">
        <v>962</v>
      </c>
      <c r="B963" s="58">
        <v>45987.356793981482</v>
      </c>
      <c r="C963" s="58">
        <v>45987.361932870372</v>
      </c>
      <c r="D963" s="57" t="s">
        <v>1638</v>
      </c>
      <c r="E963" s="57" t="s">
        <v>1639</v>
      </c>
      <c r="F963" s="58"/>
      <c r="G963" s="57" t="s">
        <v>639</v>
      </c>
      <c r="H963" s="59">
        <v>2</v>
      </c>
      <c r="I963" s="57"/>
      <c r="J963" s="57"/>
      <c r="K963" s="59"/>
      <c r="L963" s="57"/>
      <c r="M963" s="60"/>
      <c r="N963" s="59"/>
      <c r="O963" s="57"/>
      <c r="P963" s="57"/>
      <c r="Q963" s="57" t="s">
        <v>22</v>
      </c>
      <c r="R963" s="57" t="s">
        <v>243</v>
      </c>
      <c r="S963" s="59">
        <v>45994</v>
      </c>
      <c r="T963" s="57" t="s">
        <v>61</v>
      </c>
      <c r="U963" s="60">
        <v>45974</v>
      </c>
      <c r="V963" s="59">
        <v>45994</v>
      </c>
      <c r="W963" s="57" t="s">
        <v>4159</v>
      </c>
      <c r="X963" s="57" t="s">
        <v>4160</v>
      </c>
      <c r="Y963" s="57" t="s">
        <v>20</v>
      </c>
      <c r="Z963" s="57" t="s">
        <v>332</v>
      </c>
      <c r="AA963" s="59">
        <v>12925</v>
      </c>
      <c r="AB963" s="57" t="s">
        <v>61</v>
      </c>
      <c r="AC963" s="60">
        <v>45917</v>
      </c>
      <c r="AD963" s="59">
        <v>12925</v>
      </c>
      <c r="AE963" s="57" t="s">
        <v>4161</v>
      </c>
      <c r="AF963" s="57" t="s">
        <v>4162</v>
      </c>
    </row>
    <row r="964" spans="1:32">
      <c r="A964" s="57">
        <v>963</v>
      </c>
      <c r="B964" s="58">
        <v>45987.383668981478</v>
      </c>
      <c r="C964" s="58">
        <v>45987.39502314815</v>
      </c>
      <c r="D964" s="57" t="s">
        <v>1414</v>
      </c>
      <c r="E964" s="57" t="s">
        <v>1415</v>
      </c>
      <c r="F964" s="58"/>
      <c r="G964" s="57" t="s">
        <v>578</v>
      </c>
      <c r="H964" s="59">
        <v>2</v>
      </c>
      <c r="I964" s="57"/>
      <c r="J964" s="57"/>
      <c r="K964" s="59"/>
      <c r="L964" s="57"/>
      <c r="M964" s="60"/>
      <c r="N964" s="59"/>
      <c r="O964" s="57"/>
      <c r="P964" s="57"/>
      <c r="Q964" s="57" t="s">
        <v>21</v>
      </c>
      <c r="R964" s="57" t="s">
        <v>1416</v>
      </c>
      <c r="S964" s="59">
        <v>33950</v>
      </c>
      <c r="T964" s="57" t="s">
        <v>61</v>
      </c>
      <c r="U964" s="60">
        <v>45839</v>
      </c>
      <c r="V964" s="59">
        <v>33950</v>
      </c>
      <c r="W964" s="57" t="s">
        <v>4163</v>
      </c>
      <c r="X964" s="57" t="s">
        <v>4164</v>
      </c>
      <c r="Y964" s="57" t="s">
        <v>21</v>
      </c>
      <c r="Z964" s="57" t="s">
        <v>250</v>
      </c>
      <c r="AA964" s="59">
        <v>13884</v>
      </c>
      <c r="AB964" s="57" t="s">
        <v>61</v>
      </c>
      <c r="AC964" s="60">
        <v>45896</v>
      </c>
      <c r="AD964" s="59">
        <v>13884</v>
      </c>
      <c r="AE964" s="57" t="s">
        <v>4165</v>
      </c>
      <c r="AF964" s="57" t="s">
        <v>4166</v>
      </c>
    </row>
    <row r="965" spans="1:32">
      <c r="A965" s="57">
        <v>964</v>
      </c>
      <c r="B965" s="58">
        <v>45987.451238425929</v>
      </c>
      <c r="C965" s="58">
        <v>45987.454004629632</v>
      </c>
      <c r="D965" s="57" t="s">
        <v>1014</v>
      </c>
      <c r="E965" s="57" t="s">
        <v>1015</v>
      </c>
      <c r="F965" s="58"/>
      <c r="G965" s="57" t="s">
        <v>623</v>
      </c>
      <c r="H965" s="59">
        <v>1</v>
      </c>
      <c r="I965" s="57"/>
      <c r="J965" s="57"/>
      <c r="K965" s="59"/>
      <c r="L965" s="57"/>
      <c r="M965" s="60"/>
      <c r="N965" s="59"/>
      <c r="O965" s="57"/>
      <c r="P965" s="57"/>
      <c r="Q965" s="57"/>
      <c r="R965" s="57"/>
      <c r="S965" s="59"/>
      <c r="T965" s="57"/>
      <c r="U965" s="60"/>
      <c r="V965" s="59"/>
      <c r="W965" s="57"/>
      <c r="X965" s="57"/>
      <c r="Y965" s="57" t="s">
        <v>20</v>
      </c>
      <c r="Z965" s="57" t="s">
        <v>305</v>
      </c>
      <c r="AA965" s="59">
        <v>28552</v>
      </c>
      <c r="AB965" s="57" t="s">
        <v>61</v>
      </c>
      <c r="AC965" s="60">
        <v>45946</v>
      </c>
      <c r="AD965" s="59">
        <v>28552</v>
      </c>
      <c r="AE965" s="57" t="s">
        <v>4167</v>
      </c>
      <c r="AF965" s="57" t="s">
        <v>4168</v>
      </c>
    </row>
    <row r="966" spans="1:32">
      <c r="A966" s="57">
        <v>965</v>
      </c>
      <c r="B966" s="58">
        <v>45987.485405092593</v>
      </c>
      <c r="C966" s="58">
        <v>45987.490636574083</v>
      </c>
      <c r="D966" s="57" t="s">
        <v>1256</v>
      </c>
      <c r="E966" s="57" t="s">
        <v>1257</v>
      </c>
      <c r="F966" s="58"/>
      <c r="G966" s="57" t="s">
        <v>473</v>
      </c>
      <c r="H966" s="59">
        <v>1</v>
      </c>
      <c r="I966" s="57"/>
      <c r="J966" s="57"/>
      <c r="K966" s="59"/>
      <c r="L966" s="57"/>
      <c r="M966" s="60"/>
      <c r="N966" s="59"/>
      <c r="O966" s="57"/>
      <c r="P966" s="57"/>
      <c r="Q966" s="57"/>
      <c r="R966" s="57"/>
      <c r="S966" s="59"/>
      <c r="T966" s="57"/>
      <c r="U966" s="60"/>
      <c r="V966" s="59"/>
      <c r="W966" s="57"/>
      <c r="X966" s="57"/>
      <c r="Y966" s="57" t="s">
        <v>21</v>
      </c>
      <c r="Z966" s="57" t="s">
        <v>139</v>
      </c>
      <c r="AA966" s="59">
        <v>97455</v>
      </c>
      <c r="AB966" s="57" t="s">
        <v>61</v>
      </c>
      <c r="AC966" s="60">
        <v>45985</v>
      </c>
      <c r="AD966" s="59">
        <v>97455</v>
      </c>
      <c r="AE966" s="57" t="s">
        <v>4169</v>
      </c>
      <c r="AF966" s="57" t="s">
        <v>4170</v>
      </c>
    </row>
    <row r="967" spans="1:32">
      <c r="A967" s="57">
        <v>966</v>
      </c>
      <c r="B967" s="58">
        <v>45987.497291666667</v>
      </c>
      <c r="C967" s="58">
        <v>45987.498460648138</v>
      </c>
      <c r="D967" s="57" t="s">
        <v>765</v>
      </c>
      <c r="E967" s="57" t="s">
        <v>766</v>
      </c>
      <c r="F967" s="58"/>
      <c r="G967" s="57" t="s">
        <v>458</v>
      </c>
      <c r="H967" s="59">
        <v>1</v>
      </c>
      <c r="I967" s="57"/>
      <c r="J967" s="57"/>
      <c r="K967" s="59"/>
      <c r="L967" s="57"/>
      <c r="M967" s="60"/>
      <c r="N967" s="59"/>
      <c r="O967" s="57"/>
      <c r="P967" s="57"/>
      <c r="Q967" s="57"/>
      <c r="R967" s="57"/>
      <c r="S967" s="59"/>
      <c r="T967" s="57"/>
      <c r="U967" s="60"/>
      <c r="V967" s="59"/>
      <c r="W967" s="57"/>
      <c r="X967" s="57"/>
      <c r="Y967" s="57" t="s">
        <v>21</v>
      </c>
      <c r="Z967" s="57" t="s">
        <v>124</v>
      </c>
      <c r="AA967" s="59">
        <v>34683</v>
      </c>
      <c r="AB967" s="57" t="s">
        <v>61</v>
      </c>
      <c r="AC967" s="60">
        <v>45927</v>
      </c>
      <c r="AD967" s="59">
        <v>34683</v>
      </c>
      <c r="AE967" s="57" t="s">
        <v>4171</v>
      </c>
      <c r="AF967" s="57" t="s">
        <v>4172</v>
      </c>
    </row>
    <row r="968" spans="1:32">
      <c r="A968" s="57">
        <v>967</v>
      </c>
      <c r="B968" s="58">
        <v>45987.504664351851</v>
      </c>
      <c r="C968" s="58">
        <v>45987.510034722232</v>
      </c>
      <c r="D968" s="57" t="s">
        <v>1007</v>
      </c>
      <c r="E968" s="57" t="s">
        <v>1008</v>
      </c>
      <c r="F968" s="58"/>
      <c r="G968" s="57" t="s">
        <v>528</v>
      </c>
      <c r="H968" s="59">
        <v>2</v>
      </c>
      <c r="I968" s="57"/>
      <c r="J968" s="57"/>
      <c r="K968" s="59"/>
      <c r="L968" s="57"/>
      <c r="M968" s="60"/>
      <c r="N968" s="59"/>
      <c r="O968" s="57"/>
      <c r="P968" s="57"/>
      <c r="Q968" s="57" t="s">
        <v>22</v>
      </c>
      <c r="R968" s="57" t="s">
        <v>195</v>
      </c>
      <c r="S968" s="59">
        <v>49174</v>
      </c>
      <c r="T968" s="57" t="s">
        <v>61</v>
      </c>
      <c r="U968" s="60">
        <v>45820</v>
      </c>
      <c r="V968" s="59">
        <v>49174</v>
      </c>
      <c r="W968" s="57" t="s">
        <v>4173</v>
      </c>
      <c r="X968" s="57" t="s">
        <v>4174</v>
      </c>
      <c r="Y968" s="57" t="s">
        <v>20</v>
      </c>
      <c r="Z968" s="57" t="s">
        <v>400</v>
      </c>
      <c r="AA968" s="59">
        <v>4003</v>
      </c>
      <c r="AB968" s="57" t="s">
        <v>61</v>
      </c>
      <c r="AC968" s="60">
        <v>45987</v>
      </c>
      <c r="AD968" s="59">
        <v>4003</v>
      </c>
      <c r="AE968" s="57" t="s">
        <v>4175</v>
      </c>
      <c r="AF968" s="57" t="s">
        <v>4176</v>
      </c>
    </row>
    <row r="969" spans="1:32">
      <c r="A969" s="57">
        <v>968</v>
      </c>
      <c r="B969" s="58">
        <v>45987.410752314812</v>
      </c>
      <c r="C969" s="58">
        <v>45987.518009259264</v>
      </c>
      <c r="D969" s="57" t="s">
        <v>4177</v>
      </c>
      <c r="E969" s="57" t="s">
        <v>4178</v>
      </c>
      <c r="F969" s="58"/>
      <c r="G969" s="57" t="s">
        <v>499</v>
      </c>
      <c r="H969" s="59">
        <v>2</v>
      </c>
      <c r="I969" s="57"/>
      <c r="J969" s="57"/>
      <c r="K969" s="59"/>
      <c r="L969" s="57"/>
      <c r="M969" s="60"/>
      <c r="N969" s="59"/>
      <c r="O969" s="57"/>
      <c r="P969" s="57"/>
      <c r="Q969" s="57" t="s">
        <v>22</v>
      </c>
      <c r="R969" s="57" t="s">
        <v>165</v>
      </c>
      <c r="S969" s="59">
        <v>36398</v>
      </c>
      <c r="T969" s="57" t="s">
        <v>61</v>
      </c>
      <c r="U969" s="60">
        <v>45953</v>
      </c>
      <c r="V969" s="59">
        <v>36398</v>
      </c>
      <c r="W969" s="57" t="s">
        <v>4179</v>
      </c>
      <c r="X969" s="57" t="s">
        <v>4180</v>
      </c>
      <c r="Y969" s="57" t="s">
        <v>21</v>
      </c>
      <c r="Z969" s="57" t="s">
        <v>978</v>
      </c>
      <c r="AA969" s="59">
        <v>21387</v>
      </c>
      <c r="AB969" s="57" t="s">
        <v>61</v>
      </c>
      <c r="AC969" s="60">
        <v>45953</v>
      </c>
      <c r="AD969" s="59">
        <v>21387</v>
      </c>
      <c r="AE969" s="57" t="s">
        <v>4181</v>
      </c>
      <c r="AF969" s="57" t="s">
        <v>4182</v>
      </c>
    </row>
    <row r="970" spans="1:32">
      <c r="A970" s="57">
        <v>969</v>
      </c>
      <c r="B970" s="58">
        <v>45987.533206018517</v>
      </c>
      <c r="C970" s="58">
        <v>45987.538842592592</v>
      </c>
      <c r="D970" s="57" t="s">
        <v>1452</v>
      </c>
      <c r="E970" s="57" t="s">
        <v>1453</v>
      </c>
      <c r="F970" s="58"/>
      <c r="G970" s="57" t="s">
        <v>635</v>
      </c>
      <c r="H970" s="59">
        <v>2</v>
      </c>
      <c r="I970" s="57"/>
      <c r="J970" s="57"/>
      <c r="K970" s="59"/>
      <c r="L970" s="57"/>
      <c r="M970" s="60"/>
      <c r="N970" s="59"/>
      <c r="O970" s="57"/>
      <c r="P970" s="57"/>
      <c r="Q970" s="57" t="s">
        <v>20</v>
      </c>
      <c r="R970" s="57" t="s">
        <v>326</v>
      </c>
      <c r="S970" s="59">
        <v>35537</v>
      </c>
      <c r="T970" s="57" t="s">
        <v>61</v>
      </c>
      <c r="U970" s="60">
        <v>45953</v>
      </c>
      <c r="V970" s="59">
        <v>35537</v>
      </c>
      <c r="W970" s="57" t="s">
        <v>4183</v>
      </c>
      <c r="X970" s="57" t="s">
        <v>4184</v>
      </c>
      <c r="Y970" s="57" t="s">
        <v>21</v>
      </c>
      <c r="Z970" s="57" t="s">
        <v>425</v>
      </c>
      <c r="AA970" s="59">
        <v>13021</v>
      </c>
      <c r="AB970" s="57" t="s">
        <v>61</v>
      </c>
      <c r="AC970" s="60">
        <v>45985</v>
      </c>
      <c r="AD970" s="59">
        <v>13021</v>
      </c>
      <c r="AE970" s="57" t="s">
        <v>4185</v>
      </c>
      <c r="AF970" s="57" t="s">
        <v>4186</v>
      </c>
    </row>
    <row r="971" spans="1:32">
      <c r="A971" s="57">
        <v>970</v>
      </c>
      <c r="B971" s="58">
        <v>45987.572893518518</v>
      </c>
      <c r="C971" s="58">
        <v>45987.575231481482</v>
      </c>
      <c r="D971" s="57" t="s">
        <v>1760</v>
      </c>
      <c r="E971" s="57" t="s">
        <v>1761</v>
      </c>
      <c r="F971" s="58"/>
      <c r="G971" s="57" t="s">
        <v>488</v>
      </c>
      <c r="H971" s="59">
        <v>1</v>
      </c>
      <c r="I971" s="57"/>
      <c r="J971" s="57"/>
      <c r="K971" s="59"/>
      <c r="L971" s="57"/>
      <c r="M971" s="60"/>
      <c r="N971" s="59"/>
      <c r="O971" s="57"/>
      <c r="P971" s="57"/>
      <c r="Q971" s="57"/>
      <c r="R971" s="57"/>
      <c r="S971" s="59"/>
      <c r="T971" s="57"/>
      <c r="U971" s="60"/>
      <c r="V971" s="59"/>
      <c r="W971" s="57"/>
      <c r="X971" s="57"/>
      <c r="Y971" s="57" t="s">
        <v>21</v>
      </c>
      <c r="Z971" s="57" t="s">
        <v>154</v>
      </c>
      <c r="AA971" s="59">
        <v>41954</v>
      </c>
      <c r="AB971" s="57" t="s">
        <v>61</v>
      </c>
      <c r="AC971" s="60">
        <v>45820</v>
      </c>
      <c r="AD971" s="59">
        <v>41954</v>
      </c>
      <c r="AE971" s="57" t="s">
        <v>4187</v>
      </c>
      <c r="AF971" s="57" t="s">
        <v>4188</v>
      </c>
    </row>
    <row r="972" spans="1:32">
      <c r="A972" s="57">
        <v>971</v>
      </c>
      <c r="B972" s="58">
        <v>45987.595914351848</v>
      </c>
      <c r="C972" s="58">
        <v>45987.597905092603</v>
      </c>
      <c r="D972" s="57" t="s">
        <v>817</v>
      </c>
      <c r="E972" s="57" t="s">
        <v>818</v>
      </c>
      <c r="F972" s="58"/>
      <c r="G972" s="57" t="s">
        <v>713</v>
      </c>
      <c r="H972" s="59">
        <v>1</v>
      </c>
      <c r="I972" s="57"/>
      <c r="J972" s="57"/>
      <c r="K972" s="59"/>
      <c r="L972" s="57"/>
      <c r="M972" s="60"/>
      <c r="N972" s="59"/>
      <c r="O972" s="57"/>
      <c r="P972" s="57"/>
      <c r="Q972" s="57"/>
      <c r="R972" s="57"/>
      <c r="S972" s="59"/>
      <c r="T972" s="57"/>
      <c r="U972" s="60"/>
      <c r="V972" s="59"/>
      <c r="W972" s="57"/>
      <c r="X972" s="57"/>
      <c r="Y972" s="57" t="s">
        <v>21</v>
      </c>
      <c r="Z972" s="57" t="s">
        <v>819</v>
      </c>
      <c r="AA972" s="59">
        <v>54374</v>
      </c>
      <c r="AB972" s="57" t="s">
        <v>61</v>
      </c>
      <c r="AC972" s="60">
        <v>45985</v>
      </c>
      <c r="AD972" s="59">
        <v>54374</v>
      </c>
      <c r="AE972" s="57" t="s">
        <v>4189</v>
      </c>
      <c r="AF972" s="57" t="s">
        <v>4190</v>
      </c>
    </row>
    <row r="973" spans="1:32">
      <c r="A973" s="57">
        <v>972</v>
      </c>
      <c r="B973" s="58">
        <v>45987.649548611109</v>
      </c>
      <c r="C973" s="58">
        <v>45987.654363425929</v>
      </c>
      <c r="D973" s="57" t="s">
        <v>1517</v>
      </c>
      <c r="E973" s="57" t="s">
        <v>1518</v>
      </c>
      <c r="F973" s="58"/>
      <c r="G973" s="57" t="s">
        <v>585</v>
      </c>
      <c r="H973" s="59">
        <v>2</v>
      </c>
      <c r="I973" s="57"/>
      <c r="J973" s="57"/>
      <c r="K973" s="59"/>
      <c r="L973" s="57"/>
      <c r="M973" s="60"/>
      <c r="N973" s="59"/>
      <c r="O973" s="57"/>
      <c r="P973" s="57"/>
      <c r="Q973" s="57" t="s">
        <v>20</v>
      </c>
      <c r="R973" s="57" t="s">
        <v>1519</v>
      </c>
      <c r="S973" s="59">
        <v>38671</v>
      </c>
      <c r="T973" s="57" t="s">
        <v>61</v>
      </c>
      <c r="U973" s="60">
        <v>45828</v>
      </c>
      <c r="V973" s="59">
        <v>38671</v>
      </c>
      <c r="W973" s="57" t="s">
        <v>4191</v>
      </c>
      <c r="X973" s="57" t="s">
        <v>4192</v>
      </c>
      <c r="Y973" s="57" t="s">
        <v>21</v>
      </c>
      <c r="Z973" s="57" t="s">
        <v>259</v>
      </c>
      <c r="AA973" s="59">
        <v>39246</v>
      </c>
      <c r="AB973" s="57" t="s">
        <v>61</v>
      </c>
      <c r="AC973" s="60">
        <v>45849</v>
      </c>
      <c r="AD973" s="59">
        <v>39246</v>
      </c>
      <c r="AE973" s="57" t="s">
        <v>4193</v>
      </c>
      <c r="AF973" s="57" t="s">
        <v>4194</v>
      </c>
    </row>
    <row r="974" spans="1:32">
      <c r="A974" s="57">
        <v>973</v>
      </c>
      <c r="B974" s="58">
        <v>45987.633263888893</v>
      </c>
      <c r="C974" s="58">
        <v>45987.654756944437</v>
      </c>
      <c r="D974" s="57" t="s">
        <v>2267</v>
      </c>
      <c r="E974" s="57" t="s">
        <v>2268</v>
      </c>
      <c r="F974" s="58"/>
      <c r="G974" s="57" t="s">
        <v>518</v>
      </c>
      <c r="H974" s="59">
        <v>2</v>
      </c>
      <c r="I974" s="57"/>
      <c r="J974" s="57"/>
      <c r="K974" s="59"/>
      <c r="L974" s="57"/>
      <c r="M974" s="60"/>
      <c r="N974" s="59"/>
      <c r="O974" s="57"/>
      <c r="P974" s="57"/>
      <c r="Q974" s="57" t="s">
        <v>20</v>
      </c>
      <c r="R974" s="57" t="s">
        <v>185</v>
      </c>
      <c r="S974" s="59">
        <v>58197</v>
      </c>
      <c r="T974" s="57" t="s">
        <v>61</v>
      </c>
      <c r="U974" s="60">
        <v>45983</v>
      </c>
      <c r="V974" s="59">
        <v>58197</v>
      </c>
      <c r="W974" s="57" t="s">
        <v>4195</v>
      </c>
      <c r="X974" s="57" t="s">
        <v>4196</v>
      </c>
      <c r="Y974" s="57" t="s">
        <v>22</v>
      </c>
      <c r="Z974" s="57" t="s">
        <v>265</v>
      </c>
      <c r="AA974" s="59">
        <v>49572</v>
      </c>
      <c r="AB974" s="57" t="s">
        <v>61</v>
      </c>
      <c r="AC974" s="60">
        <v>45923</v>
      </c>
      <c r="AD974" s="59">
        <v>49572</v>
      </c>
      <c r="AE974" s="57" t="s">
        <v>4197</v>
      </c>
      <c r="AF974" s="57" t="s">
        <v>4198</v>
      </c>
    </row>
    <row r="975" spans="1:32">
      <c r="A975" s="57">
        <v>974</v>
      </c>
      <c r="B975" s="58">
        <v>45987.725231481483</v>
      </c>
      <c r="C975" s="58">
        <v>45987.726504629631</v>
      </c>
      <c r="D975" s="57" t="s">
        <v>761</v>
      </c>
      <c r="E975" s="57" t="s">
        <v>762</v>
      </c>
      <c r="F975" s="58"/>
      <c r="G975" s="57" t="s">
        <v>693</v>
      </c>
      <c r="H975" s="59">
        <v>1</v>
      </c>
      <c r="I975" s="57"/>
      <c r="J975" s="57"/>
      <c r="K975" s="59"/>
      <c r="L975" s="57"/>
      <c r="M975" s="60"/>
      <c r="N975" s="59"/>
      <c r="O975" s="57"/>
      <c r="P975" s="57"/>
      <c r="Q975" s="57"/>
      <c r="R975" s="57"/>
      <c r="S975" s="59"/>
      <c r="T975" s="57"/>
      <c r="U975" s="60"/>
      <c r="V975" s="59"/>
      <c r="W975" s="57"/>
      <c r="X975" s="57"/>
      <c r="Y975" s="57" t="s">
        <v>21</v>
      </c>
      <c r="Z975" s="57" t="s">
        <v>415</v>
      </c>
      <c r="AA975" s="59">
        <v>3069</v>
      </c>
      <c r="AB975" s="57" t="s">
        <v>61</v>
      </c>
      <c r="AC975" s="60">
        <v>45957</v>
      </c>
      <c r="AD975" s="59">
        <v>3069</v>
      </c>
      <c r="AE975" s="57" t="s">
        <v>4199</v>
      </c>
      <c r="AF975" s="57" t="s">
        <v>4200</v>
      </c>
    </row>
    <row r="976" spans="1:32">
      <c r="A976" s="57">
        <v>975</v>
      </c>
      <c r="B976" s="58">
        <v>45987.757071759261</v>
      </c>
      <c r="C976" s="58">
        <v>45987.762094907397</v>
      </c>
      <c r="D976" s="57" t="s">
        <v>1735</v>
      </c>
      <c r="E976" s="57" t="s">
        <v>1736</v>
      </c>
      <c r="F976" s="58"/>
      <c r="G976" s="57" t="s">
        <v>569</v>
      </c>
      <c r="H976" s="59">
        <v>2</v>
      </c>
      <c r="I976" s="57"/>
      <c r="J976" s="57"/>
      <c r="K976" s="59"/>
      <c r="L976" s="57"/>
      <c r="M976" s="60"/>
      <c r="N976" s="59"/>
      <c r="O976" s="57"/>
      <c r="P976" s="57"/>
      <c r="Q976" s="57" t="s">
        <v>22</v>
      </c>
      <c r="R976" s="57" t="s">
        <v>241</v>
      </c>
      <c r="S976" s="59">
        <v>36373</v>
      </c>
      <c r="T976" s="57" t="s">
        <v>61</v>
      </c>
      <c r="U976" s="60">
        <v>45892</v>
      </c>
      <c r="V976" s="59">
        <v>36373</v>
      </c>
      <c r="W976" s="57" t="s">
        <v>4201</v>
      </c>
      <c r="X976" s="57" t="s">
        <v>4202</v>
      </c>
      <c r="Y976" s="57" t="s">
        <v>21</v>
      </c>
      <c r="Z976" s="57" t="s">
        <v>334</v>
      </c>
      <c r="AA976" s="59">
        <v>3513</v>
      </c>
      <c r="AB976" s="57" t="s">
        <v>61</v>
      </c>
      <c r="AC976" s="60">
        <v>45719</v>
      </c>
      <c r="AD976" s="59">
        <v>3513</v>
      </c>
      <c r="AE976" s="57" t="s">
        <v>4203</v>
      </c>
      <c r="AF976" s="57" t="s">
        <v>4204</v>
      </c>
    </row>
    <row r="977" spans="1:32">
      <c r="A977" s="57">
        <v>976</v>
      </c>
      <c r="B977" s="58">
        <v>45987.688333333332</v>
      </c>
      <c r="C977" s="58">
        <v>45987.772129629629</v>
      </c>
      <c r="D977" s="57" t="s">
        <v>1131</v>
      </c>
      <c r="E977" s="57" t="s">
        <v>1132</v>
      </c>
      <c r="F977" s="58"/>
      <c r="G977" s="57" t="s">
        <v>615</v>
      </c>
      <c r="H977" s="59">
        <v>1</v>
      </c>
      <c r="I977" s="57"/>
      <c r="J977" s="57"/>
      <c r="K977" s="59"/>
      <c r="L977" s="57"/>
      <c r="M977" s="60"/>
      <c r="N977" s="59"/>
      <c r="O977" s="57"/>
      <c r="P977" s="57"/>
      <c r="Q977" s="57"/>
      <c r="R977" s="57"/>
      <c r="S977" s="59"/>
      <c r="T977" s="57"/>
      <c r="U977" s="60"/>
      <c r="V977" s="59"/>
      <c r="W977" s="57"/>
      <c r="X977" s="57"/>
      <c r="Y977" s="57" t="s">
        <v>21</v>
      </c>
      <c r="Z977" s="57" t="s">
        <v>295</v>
      </c>
      <c r="AA977" s="59">
        <v>14302</v>
      </c>
      <c r="AB977" s="57" t="s">
        <v>61</v>
      </c>
      <c r="AC977" s="60">
        <v>45962</v>
      </c>
      <c r="AD977" s="59">
        <v>14302</v>
      </c>
      <c r="AE977" s="57" t="s">
        <v>4205</v>
      </c>
      <c r="AF977" s="57" t="s">
        <v>4206</v>
      </c>
    </row>
    <row r="978" spans="1:32">
      <c r="A978" s="57">
        <v>977</v>
      </c>
      <c r="B978" s="58">
        <v>45988.368622685193</v>
      </c>
      <c r="C978" s="58">
        <v>45988.369432870371</v>
      </c>
      <c r="D978" s="57" t="s">
        <v>914</v>
      </c>
      <c r="E978" s="57" t="s">
        <v>915</v>
      </c>
      <c r="F978" s="58"/>
      <c r="G978" s="57" t="s">
        <v>480</v>
      </c>
      <c r="H978" s="59">
        <v>1</v>
      </c>
      <c r="I978" s="57"/>
      <c r="J978" s="57"/>
      <c r="K978" s="59"/>
      <c r="L978" s="57"/>
      <c r="M978" s="60"/>
      <c r="N978" s="59"/>
      <c r="O978" s="57"/>
      <c r="P978" s="57"/>
      <c r="Q978" s="57"/>
      <c r="R978" s="57"/>
      <c r="S978" s="59"/>
      <c r="T978" s="57"/>
      <c r="U978" s="60"/>
      <c r="V978" s="59"/>
      <c r="W978" s="57"/>
      <c r="X978" s="57"/>
      <c r="Y978" s="57" t="s">
        <v>20</v>
      </c>
      <c r="Z978" s="57" t="s">
        <v>146</v>
      </c>
      <c r="AA978" s="59">
        <v>63754</v>
      </c>
      <c r="AB978" s="57" t="s">
        <v>61</v>
      </c>
      <c r="AC978" s="60">
        <v>45965</v>
      </c>
      <c r="AD978" s="59">
        <v>63754</v>
      </c>
      <c r="AE978" s="57" t="s">
        <v>4207</v>
      </c>
      <c r="AF978" s="57" t="s">
        <v>4208</v>
      </c>
    </row>
    <row r="979" spans="1:32">
      <c r="A979" s="57">
        <v>978</v>
      </c>
      <c r="B979" s="58">
        <v>45988.397627314807</v>
      </c>
      <c r="C979" s="58">
        <v>45988.407604166663</v>
      </c>
      <c r="D979" s="57" t="s">
        <v>1617</v>
      </c>
      <c r="E979" s="57" t="s">
        <v>1618</v>
      </c>
      <c r="F979" s="58"/>
      <c r="G979" s="57" t="s">
        <v>625</v>
      </c>
      <c r="H979" s="59">
        <v>2</v>
      </c>
      <c r="I979" s="57"/>
      <c r="J979" s="57"/>
      <c r="K979" s="59"/>
      <c r="L979" s="57"/>
      <c r="M979" s="60"/>
      <c r="N979" s="59"/>
      <c r="O979" s="57"/>
      <c r="P979" s="57"/>
      <c r="Q979" s="57" t="s">
        <v>22</v>
      </c>
      <c r="R979" s="57" t="s">
        <v>349</v>
      </c>
      <c r="S979" s="59">
        <v>17925</v>
      </c>
      <c r="T979" s="57" t="s">
        <v>61</v>
      </c>
      <c r="U979" s="60">
        <v>45866</v>
      </c>
      <c r="V979" s="59">
        <v>17925</v>
      </c>
      <c r="W979" s="57" t="s">
        <v>4209</v>
      </c>
      <c r="X979" s="57" t="s">
        <v>4210</v>
      </c>
      <c r="Y979" s="57" t="s">
        <v>21</v>
      </c>
      <c r="Z979" s="57" t="s">
        <v>307</v>
      </c>
      <c r="AA979" s="59">
        <v>24758</v>
      </c>
      <c r="AB979" s="57" t="s">
        <v>61</v>
      </c>
      <c r="AC979" s="60">
        <v>45920</v>
      </c>
      <c r="AD979" s="59">
        <v>24758</v>
      </c>
      <c r="AE979" s="57" t="s">
        <v>4211</v>
      </c>
      <c r="AF979" s="57" t="s">
        <v>4212</v>
      </c>
    </row>
    <row r="980" spans="1:32">
      <c r="A980" s="57">
        <v>979</v>
      </c>
      <c r="B980" s="58">
        <v>45988.463923611111</v>
      </c>
      <c r="C980" s="58">
        <v>45988.464444444442</v>
      </c>
      <c r="D980" s="57" t="s">
        <v>1598</v>
      </c>
      <c r="E980" s="57" t="s">
        <v>1599</v>
      </c>
      <c r="F980" s="58"/>
      <c r="G980" s="57" t="s">
        <v>671</v>
      </c>
      <c r="H980" s="59">
        <v>2</v>
      </c>
      <c r="I980" s="57"/>
      <c r="J980" s="57"/>
      <c r="K980" s="59"/>
      <c r="L980" s="57"/>
      <c r="M980" s="60"/>
      <c r="N980" s="59"/>
      <c r="O980" s="57"/>
      <c r="P980" s="57"/>
      <c r="Q980" s="57" t="s">
        <v>22</v>
      </c>
      <c r="R980" s="57" t="s">
        <v>383</v>
      </c>
      <c r="S980" s="59">
        <v>11127</v>
      </c>
      <c r="T980" s="57" t="s">
        <v>61</v>
      </c>
      <c r="U980" s="60">
        <v>45980</v>
      </c>
      <c r="V980" s="59">
        <v>11127</v>
      </c>
      <c r="W980" s="57" t="s">
        <v>4213</v>
      </c>
      <c r="X980" s="57" t="s">
        <v>4214</v>
      </c>
      <c r="Y980" s="57" t="s">
        <v>21</v>
      </c>
      <c r="Z980" s="57" t="s">
        <v>1600</v>
      </c>
      <c r="AA980" s="59">
        <v>57979</v>
      </c>
      <c r="AB980" s="57" t="s">
        <v>61</v>
      </c>
      <c r="AC980" s="60">
        <v>45846</v>
      </c>
      <c r="AD980" s="59">
        <v>57979</v>
      </c>
      <c r="AE980" s="57" t="s">
        <v>4215</v>
      </c>
      <c r="AF980" s="57" t="s">
        <v>4216</v>
      </c>
    </row>
    <row r="981" spans="1:32">
      <c r="A981" s="57">
        <v>980</v>
      </c>
      <c r="B981" s="58">
        <v>45988.484618055547</v>
      </c>
      <c r="C981" s="58">
        <v>45988.486608796287</v>
      </c>
      <c r="D981" s="57" t="s">
        <v>1198</v>
      </c>
      <c r="E981" s="57" t="s">
        <v>1199</v>
      </c>
      <c r="F981" s="58"/>
      <c r="G981" s="57" t="s">
        <v>452</v>
      </c>
      <c r="H981" s="59">
        <v>1</v>
      </c>
      <c r="I981" s="57"/>
      <c r="J981" s="57"/>
      <c r="K981" s="59"/>
      <c r="L981" s="57"/>
      <c r="M981" s="60"/>
      <c r="N981" s="59"/>
      <c r="O981" s="57"/>
      <c r="P981" s="57"/>
      <c r="Q981" s="57"/>
      <c r="R981" s="57"/>
      <c r="S981" s="59"/>
      <c r="T981" s="57"/>
      <c r="U981" s="60"/>
      <c r="V981" s="59"/>
      <c r="W981" s="57"/>
      <c r="X981" s="57"/>
      <c r="Y981" s="57" t="s">
        <v>22</v>
      </c>
      <c r="Z981" s="57" t="s">
        <v>118</v>
      </c>
      <c r="AA981" s="59">
        <v>68652</v>
      </c>
      <c r="AB981" s="57" t="s">
        <v>61</v>
      </c>
      <c r="AC981" s="60">
        <v>45897</v>
      </c>
      <c r="AD981" s="59">
        <v>68652</v>
      </c>
      <c r="AE981" s="57" t="s">
        <v>4217</v>
      </c>
      <c r="AF981" s="57" t="s">
        <v>4218</v>
      </c>
    </row>
    <row r="982" spans="1:32">
      <c r="A982" s="57">
        <v>981</v>
      </c>
      <c r="B982" s="58">
        <v>45988.489282407398</v>
      </c>
      <c r="C982" s="58">
        <v>45988.495300925933</v>
      </c>
      <c r="D982" s="57" t="s">
        <v>1750</v>
      </c>
      <c r="E982" s="57" t="s">
        <v>1751</v>
      </c>
      <c r="F982" s="58"/>
      <c r="G982" s="57" t="s">
        <v>530</v>
      </c>
      <c r="H982" s="59">
        <v>1</v>
      </c>
      <c r="I982" s="57"/>
      <c r="J982" s="57"/>
      <c r="K982" s="59"/>
      <c r="L982" s="57"/>
      <c r="M982" s="60"/>
      <c r="N982" s="59"/>
      <c r="O982" s="57"/>
      <c r="P982" s="57"/>
      <c r="Q982" s="57"/>
      <c r="R982" s="57"/>
      <c r="S982" s="59"/>
      <c r="T982" s="57"/>
      <c r="U982" s="60"/>
      <c r="V982" s="59"/>
      <c r="W982" s="57"/>
      <c r="X982" s="57"/>
      <c r="Y982" s="57" t="s">
        <v>21</v>
      </c>
      <c r="Z982" s="57" t="s">
        <v>197</v>
      </c>
      <c r="AA982" s="59">
        <v>29012</v>
      </c>
      <c r="AB982" s="57" t="s">
        <v>61</v>
      </c>
      <c r="AC982" s="60">
        <v>45898</v>
      </c>
      <c r="AD982" s="59">
        <v>29012</v>
      </c>
      <c r="AE982" s="57" t="s">
        <v>4219</v>
      </c>
      <c r="AF982" s="57" t="s">
        <v>4220</v>
      </c>
    </row>
    <row r="983" spans="1:32">
      <c r="A983" s="57">
        <v>982</v>
      </c>
      <c r="B983" s="58">
        <v>45988.480011574073</v>
      </c>
      <c r="C983" s="58">
        <v>45988.496018518519</v>
      </c>
      <c r="D983" s="57" t="s">
        <v>1814</v>
      </c>
      <c r="E983" s="57" t="s">
        <v>1815</v>
      </c>
      <c r="F983" s="58"/>
      <c r="G983" s="57" t="s">
        <v>459</v>
      </c>
      <c r="H983" s="59">
        <v>2</v>
      </c>
      <c r="I983" s="57"/>
      <c r="J983" s="57"/>
      <c r="K983" s="59"/>
      <c r="L983" s="57"/>
      <c r="M983" s="60"/>
      <c r="N983" s="59"/>
      <c r="O983" s="57"/>
      <c r="P983" s="57"/>
      <c r="Q983" s="57" t="s">
        <v>22</v>
      </c>
      <c r="R983" s="57" t="s">
        <v>267</v>
      </c>
      <c r="S983" s="59">
        <v>26660</v>
      </c>
      <c r="T983" s="57" t="s">
        <v>61</v>
      </c>
      <c r="U983" s="60">
        <v>45982</v>
      </c>
      <c r="V983" s="59">
        <v>26660</v>
      </c>
      <c r="W983" s="57" t="s">
        <v>4221</v>
      </c>
      <c r="X983" s="57" t="s">
        <v>4222</v>
      </c>
      <c r="Y983" s="57" t="s">
        <v>21</v>
      </c>
      <c r="Z983" s="57" t="s">
        <v>125</v>
      </c>
      <c r="AA983" s="59">
        <v>20580</v>
      </c>
      <c r="AB983" s="57" t="s">
        <v>61</v>
      </c>
      <c r="AC983" s="60">
        <v>45941</v>
      </c>
      <c r="AD983" s="59">
        <v>20580</v>
      </c>
      <c r="AE983" s="57" t="s">
        <v>4223</v>
      </c>
      <c r="AF983" s="57" t="s">
        <v>4224</v>
      </c>
    </row>
    <row r="984" spans="1:32">
      <c r="A984" s="57">
        <v>983</v>
      </c>
      <c r="B984" s="58">
        <v>45988.511678240742</v>
      </c>
      <c r="C984" s="58">
        <v>45988.528796296298</v>
      </c>
      <c r="D984" s="57" t="s">
        <v>1607</v>
      </c>
      <c r="E984" s="57" t="s">
        <v>1608</v>
      </c>
      <c r="F984" s="58"/>
      <c r="G984" s="57" t="s">
        <v>682</v>
      </c>
      <c r="H984" s="59">
        <v>2</v>
      </c>
      <c r="I984" s="57"/>
      <c r="J984" s="57"/>
      <c r="K984" s="59"/>
      <c r="L984" s="57"/>
      <c r="M984" s="60"/>
      <c r="N984" s="59"/>
      <c r="O984" s="57"/>
      <c r="P984" s="57"/>
      <c r="Q984" s="57" t="s">
        <v>22</v>
      </c>
      <c r="R984" s="57" t="s">
        <v>420</v>
      </c>
      <c r="S984" s="59">
        <v>1205</v>
      </c>
      <c r="T984" s="57" t="s">
        <v>61</v>
      </c>
      <c r="U984" s="60">
        <v>45966</v>
      </c>
      <c r="V984" s="59">
        <v>1205</v>
      </c>
      <c r="W984" s="57" t="s">
        <v>4225</v>
      </c>
      <c r="X984" s="57" t="s">
        <v>4226</v>
      </c>
      <c r="Y984" s="57" t="s">
        <v>21</v>
      </c>
      <c r="Z984" s="57" t="s">
        <v>398</v>
      </c>
      <c r="AA984" s="59">
        <v>2633</v>
      </c>
      <c r="AB984" s="57" t="s">
        <v>61</v>
      </c>
      <c r="AC984" s="60">
        <v>45911</v>
      </c>
      <c r="AD984" s="59">
        <v>2633</v>
      </c>
      <c r="AE984" s="57" t="s">
        <v>4227</v>
      </c>
      <c r="AF984" s="57" t="s">
        <v>4228</v>
      </c>
    </row>
    <row r="985" spans="1:32">
      <c r="A985" s="57">
        <v>984</v>
      </c>
      <c r="B985" s="58">
        <v>45988.540011574078</v>
      </c>
      <c r="C985" s="58">
        <v>45988.541712962957</v>
      </c>
      <c r="D985" s="57" t="s">
        <v>1045</v>
      </c>
      <c r="E985" s="57" t="s">
        <v>1046</v>
      </c>
      <c r="F985" s="58"/>
      <c r="G985" s="57" t="s">
        <v>610</v>
      </c>
      <c r="H985" s="59">
        <v>1</v>
      </c>
      <c r="I985" s="57"/>
      <c r="J985" s="57"/>
      <c r="K985" s="59"/>
      <c r="L985" s="57"/>
      <c r="M985" s="60"/>
      <c r="N985" s="59"/>
      <c r="O985" s="57"/>
      <c r="P985" s="57"/>
      <c r="Q985" s="57"/>
      <c r="R985" s="57"/>
      <c r="S985" s="59"/>
      <c r="T985" s="57"/>
      <c r="U985" s="60"/>
      <c r="V985" s="59"/>
      <c r="W985" s="57"/>
      <c r="X985" s="57"/>
      <c r="Y985" s="57" t="s">
        <v>21</v>
      </c>
      <c r="Z985" s="57" t="s">
        <v>290</v>
      </c>
      <c r="AA985" s="59">
        <v>20282</v>
      </c>
      <c r="AB985" s="57" t="s">
        <v>61</v>
      </c>
      <c r="AC985" s="60">
        <v>45768</v>
      </c>
      <c r="AD985" s="59">
        <v>20282</v>
      </c>
      <c r="AE985" s="57" t="s">
        <v>4229</v>
      </c>
      <c r="AF985" s="57" t="s">
        <v>4230</v>
      </c>
    </row>
    <row r="986" spans="1:32">
      <c r="A986" s="57">
        <v>985</v>
      </c>
      <c r="B986" s="58">
        <v>45988.673402777778</v>
      </c>
      <c r="C986" s="58">
        <v>45988.676817129628</v>
      </c>
      <c r="D986" s="57" t="s">
        <v>1309</v>
      </c>
      <c r="E986" s="57" t="s">
        <v>1310</v>
      </c>
      <c r="F986" s="58"/>
      <c r="G986" s="57" t="s">
        <v>613</v>
      </c>
      <c r="H986" s="59">
        <v>2</v>
      </c>
      <c r="I986" s="57"/>
      <c r="J986" s="57"/>
      <c r="K986" s="59"/>
      <c r="L986" s="57"/>
      <c r="M986" s="60"/>
      <c r="N986" s="59"/>
      <c r="O986" s="57"/>
      <c r="P986" s="57"/>
      <c r="Q986" s="57" t="s">
        <v>22</v>
      </c>
      <c r="R986" s="57" t="s">
        <v>369</v>
      </c>
      <c r="S986" s="59">
        <v>14971</v>
      </c>
      <c r="T986" s="57" t="s">
        <v>61</v>
      </c>
      <c r="U986" s="60">
        <v>45952</v>
      </c>
      <c r="V986" s="59">
        <v>14971</v>
      </c>
      <c r="W986" s="57" t="s">
        <v>4231</v>
      </c>
      <c r="X986" s="57" t="s">
        <v>4232</v>
      </c>
      <c r="Y986" s="57" t="s">
        <v>21</v>
      </c>
      <c r="Z986" s="57" t="s">
        <v>293</v>
      </c>
      <c r="AA986" s="59">
        <v>25060</v>
      </c>
      <c r="AB986" s="57" t="s">
        <v>61</v>
      </c>
      <c r="AC986" s="60">
        <v>45947</v>
      </c>
      <c r="AD986" s="59">
        <v>25060</v>
      </c>
      <c r="AE986" s="57" t="s">
        <v>4233</v>
      </c>
      <c r="AF986" s="57" t="s">
        <v>4234</v>
      </c>
    </row>
    <row r="987" spans="1:32">
      <c r="A987" s="57">
        <v>986</v>
      </c>
      <c r="B987" s="58">
        <v>45988.734849537039</v>
      </c>
      <c r="C987" s="58">
        <v>45988.737673611111</v>
      </c>
      <c r="D987" s="57" t="s">
        <v>1633</v>
      </c>
      <c r="E987" s="57" t="s">
        <v>1634</v>
      </c>
      <c r="F987" s="58"/>
      <c r="G987" s="57" t="s">
        <v>679</v>
      </c>
      <c r="H987" s="59">
        <v>1</v>
      </c>
      <c r="I987" s="57"/>
      <c r="J987" s="57"/>
      <c r="K987" s="59"/>
      <c r="L987" s="57"/>
      <c r="M987" s="60"/>
      <c r="N987" s="59"/>
      <c r="O987" s="57"/>
      <c r="P987" s="57"/>
      <c r="Q987" s="57"/>
      <c r="R987" s="57"/>
      <c r="S987" s="59"/>
      <c r="T987" s="57"/>
      <c r="U987" s="60"/>
      <c r="V987" s="59"/>
      <c r="W987" s="57"/>
      <c r="X987" s="57"/>
      <c r="Y987" s="57" t="s">
        <v>21</v>
      </c>
      <c r="Z987" s="57" t="s">
        <v>393</v>
      </c>
      <c r="AA987" s="59">
        <v>5600</v>
      </c>
      <c r="AB987" s="57" t="s">
        <v>61</v>
      </c>
      <c r="AC987" s="60">
        <v>45917</v>
      </c>
      <c r="AD987" s="59">
        <v>5600</v>
      </c>
      <c r="AE987" s="57" t="s">
        <v>4235</v>
      </c>
      <c r="AF987" s="57" t="s">
        <v>4236</v>
      </c>
    </row>
    <row r="988" spans="1:32">
      <c r="A988" s="57">
        <v>987</v>
      </c>
      <c r="B988" s="58">
        <v>45988.74827546296</v>
      </c>
      <c r="C988" s="58">
        <v>45988.761145833327</v>
      </c>
      <c r="D988" s="57" t="s">
        <v>857</v>
      </c>
      <c r="E988" s="57" t="s">
        <v>858</v>
      </c>
      <c r="F988" s="58"/>
      <c r="G988" s="57" t="s">
        <v>702</v>
      </c>
      <c r="H988" s="59">
        <v>1</v>
      </c>
      <c r="I988" s="57"/>
      <c r="J988" s="57"/>
      <c r="K988" s="59"/>
      <c r="L988" s="57"/>
      <c r="M988" s="60"/>
      <c r="N988" s="59"/>
      <c r="O988" s="57"/>
      <c r="P988" s="57"/>
      <c r="Q988" s="57"/>
      <c r="R988" s="57"/>
      <c r="S988" s="59"/>
      <c r="T988" s="57"/>
      <c r="U988" s="60"/>
      <c r="V988" s="59"/>
      <c r="W988" s="57"/>
      <c r="X988" s="57"/>
      <c r="Y988" s="57" t="s">
        <v>21</v>
      </c>
      <c r="Z988" s="57" t="s">
        <v>431</v>
      </c>
      <c r="AA988" s="59">
        <v>239</v>
      </c>
      <c r="AB988" s="57" t="s">
        <v>61</v>
      </c>
      <c r="AC988" s="60">
        <v>45987</v>
      </c>
      <c r="AD988" s="59">
        <v>239</v>
      </c>
      <c r="AE988" s="57" t="s">
        <v>4237</v>
      </c>
      <c r="AF988" s="57" t="s">
        <v>4238</v>
      </c>
    </row>
    <row r="989" spans="1:32">
      <c r="A989" s="57">
        <v>988</v>
      </c>
      <c r="B989" s="58">
        <v>45988.858935185177</v>
      </c>
      <c r="C989" s="58">
        <v>45988.862939814811</v>
      </c>
      <c r="D989" s="57" t="s">
        <v>1068</v>
      </c>
      <c r="E989" s="57" t="s">
        <v>1069</v>
      </c>
      <c r="F989" s="58"/>
      <c r="G989" s="57" t="s">
        <v>485</v>
      </c>
      <c r="H989" s="59">
        <v>2</v>
      </c>
      <c r="I989" s="57"/>
      <c r="J989" s="57"/>
      <c r="K989" s="59"/>
      <c r="L989" s="57"/>
      <c r="M989" s="60"/>
      <c r="N989" s="59"/>
      <c r="O989" s="57"/>
      <c r="P989" s="57"/>
      <c r="Q989" s="57" t="s">
        <v>22</v>
      </c>
      <c r="R989" s="57" t="s">
        <v>1072</v>
      </c>
      <c r="S989" s="59">
        <v>102891</v>
      </c>
      <c r="T989" s="57" t="s">
        <v>61</v>
      </c>
      <c r="U989" s="60">
        <v>45953</v>
      </c>
      <c r="V989" s="59">
        <v>102891</v>
      </c>
      <c r="W989" s="57" t="s">
        <v>4239</v>
      </c>
      <c r="X989" s="57" t="s">
        <v>4240</v>
      </c>
      <c r="Y989" s="57" t="s">
        <v>21</v>
      </c>
      <c r="Z989" s="57" t="s">
        <v>151</v>
      </c>
      <c r="AA989" s="59">
        <v>35457</v>
      </c>
      <c r="AB989" s="57" t="s">
        <v>61</v>
      </c>
      <c r="AC989" s="60">
        <v>45936</v>
      </c>
      <c r="AD989" s="59">
        <v>35457</v>
      </c>
      <c r="AE989" s="57" t="s">
        <v>4241</v>
      </c>
      <c r="AF989" s="57" t="s">
        <v>4242</v>
      </c>
    </row>
    <row r="990" spans="1:32">
      <c r="A990" s="57">
        <v>989</v>
      </c>
      <c r="B990" s="58">
        <v>45989.354444444441</v>
      </c>
      <c r="C990" s="58">
        <v>45989.358171296299</v>
      </c>
      <c r="D990" s="57" t="s">
        <v>1655</v>
      </c>
      <c r="E990" s="57" t="s">
        <v>1656</v>
      </c>
      <c r="F990" s="58"/>
      <c r="G990" s="57" t="s">
        <v>549</v>
      </c>
      <c r="H990" s="59">
        <v>2</v>
      </c>
      <c r="I990" s="57"/>
      <c r="J990" s="57"/>
      <c r="K990" s="59"/>
      <c r="L990" s="57"/>
      <c r="M990" s="60"/>
      <c r="N990" s="59"/>
      <c r="O990" s="57"/>
      <c r="P990" s="57"/>
      <c r="Q990" s="57" t="s">
        <v>22</v>
      </c>
      <c r="R990" s="57" t="s">
        <v>218</v>
      </c>
      <c r="S990" s="59">
        <v>77651</v>
      </c>
      <c r="T990" s="57" t="s">
        <v>61</v>
      </c>
      <c r="U990" s="60">
        <v>45944</v>
      </c>
      <c r="V990" s="59">
        <v>77651</v>
      </c>
      <c r="W990" s="57" t="s">
        <v>4243</v>
      </c>
      <c r="X990" s="57" t="s">
        <v>4244</v>
      </c>
      <c r="Y990" s="57" t="s">
        <v>21</v>
      </c>
      <c r="Z990" s="57" t="s">
        <v>253</v>
      </c>
      <c r="AA990" s="59">
        <v>20826</v>
      </c>
      <c r="AB990" s="57" t="s">
        <v>61</v>
      </c>
      <c r="AC990" s="60">
        <v>45854</v>
      </c>
      <c r="AD990" s="59">
        <v>20826</v>
      </c>
      <c r="AE990" s="57" t="s">
        <v>4245</v>
      </c>
      <c r="AF990" s="57" t="s">
        <v>4246</v>
      </c>
    </row>
    <row r="991" spans="1:32">
      <c r="A991" s="57">
        <v>990</v>
      </c>
      <c r="B991" s="58">
        <v>45989.349606481483</v>
      </c>
      <c r="C991" s="58">
        <v>45989.360208333332</v>
      </c>
      <c r="D991" s="57" t="s">
        <v>1745</v>
      </c>
      <c r="E991" s="57" t="s">
        <v>1746</v>
      </c>
      <c r="F991" s="58"/>
      <c r="G991" s="57" t="s">
        <v>557</v>
      </c>
      <c r="H991" s="59">
        <v>2</v>
      </c>
      <c r="I991" s="57"/>
      <c r="J991" s="57"/>
      <c r="K991" s="59"/>
      <c r="L991" s="57"/>
      <c r="M991" s="60"/>
      <c r="N991" s="59"/>
      <c r="O991" s="57"/>
      <c r="P991" s="57"/>
      <c r="Q991" s="57" t="s">
        <v>22</v>
      </c>
      <c r="R991" s="57" t="s">
        <v>227</v>
      </c>
      <c r="S991" s="59">
        <v>68363</v>
      </c>
      <c r="T991" s="57" t="s">
        <v>61</v>
      </c>
      <c r="U991" s="60">
        <v>45895</v>
      </c>
      <c r="V991" s="59">
        <v>68363</v>
      </c>
      <c r="W991" s="57" t="s">
        <v>4247</v>
      </c>
      <c r="X991" s="57" t="s">
        <v>4248</v>
      </c>
      <c r="Y991" s="57" t="s">
        <v>20</v>
      </c>
      <c r="Z991" s="57" t="s">
        <v>405</v>
      </c>
      <c r="AA991" s="59">
        <v>8435</v>
      </c>
      <c r="AB991" s="57" t="s">
        <v>61</v>
      </c>
      <c r="AC991" s="60">
        <v>45989</v>
      </c>
      <c r="AD991" s="59">
        <v>8435</v>
      </c>
      <c r="AE991" s="57" t="s">
        <v>4249</v>
      </c>
      <c r="AF991" s="57" t="s">
        <v>4250</v>
      </c>
    </row>
    <row r="992" spans="1:32">
      <c r="A992" s="57">
        <v>991</v>
      </c>
      <c r="B992" s="58">
        <v>45989.446539351848</v>
      </c>
      <c r="C992" s="58">
        <v>45989.468715277777</v>
      </c>
      <c r="D992" s="57" t="s">
        <v>777</v>
      </c>
      <c r="E992" s="57" t="s">
        <v>778</v>
      </c>
      <c r="F992" s="58"/>
      <c r="G992" s="57" t="s">
        <v>701</v>
      </c>
      <c r="H992" s="59">
        <v>1</v>
      </c>
      <c r="I992" s="57"/>
      <c r="J992" s="57"/>
      <c r="K992" s="59"/>
      <c r="L992" s="57"/>
      <c r="M992" s="60"/>
      <c r="N992" s="59"/>
      <c r="O992" s="57"/>
      <c r="P992" s="57"/>
      <c r="Q992" s="57"/>
      <c r="R992" s="57"/>
      <c r="S992" s="59"/>
      <c r="T992" s="57"/>
      <c r="U992" s="60"/>
      <c r="V992" s="59"/>
      <c r="W992" s="57"/>
      <c r="X992" s="57"/>
      <c r="Y992" s="57" t="s">
        <v>21</v>
      </c>
      <c r="Z992" s="57" t="s">
        <v>779</v>
      </c>
      <c r="AA992" s="59">
        <v>60540</v>
      </c>
      <c r="AB992" s="57" t="s">
        <v>61</v>
      </c>
      <c r="AC992" s="60">
        <v>45946</v>
      </c>
      <c r="AD992" s="59">
        <v>60540</v>
      </c>
      <c r="AE992" s="57" t="s">
        <v>4251</v>
      </c>
      <c r="AF992" s="57" t="s">
        <v>4252</v>
      </c>
    </row>
    <row r="993" spans="1:32">
      <c r="A993" s="57">
        <v>992</v>
      </c>
      <c r="B993" s="58">
        <v>45989.609259259261</v>
      </c>
      <c r="C993" s="58">
        <v>45989.610312500001</v>
      </c>
      <c r="D993" s="57" t="s">
        <v>994</v>
      </c>
      <c r="E993" s="57" t="s">
        <v>995</v>
      </c>
      <c r="F993" s="58"/>
      <c r="G993" s="57" t="s">
        <v>720</v>
      </c>
      <c r="H993" s="59">
        <v>1</v>
      </c>
      <c r="I993" s="57"/>
      <c r="J993" s="57"/>
      <c r="K993" s="59"/>
      <c r="L993" s="57"/>
      <c r="M993" s="60"/>
      <c r="N993" s="59"/>
      <c r="O993" s="57"/>
      <c r="P993" s="57"/>
      <c r="Q993" s="57"/>
      <c r="R993" s="57"/>
      <c r="S993" s="59"/>
      <c r="T993" s="57"/>
      <c r="U993" s="60"/>
      <c r="V993" s="59"/>
      <c r="W993" s="57"/>
      <c r="X993" s="57"/>
      <c r="Y993" s="57" t="s">
        <v>21</v>
      </c>
      <c r="Z993" s="57" t="s">
        <v>996</v>
      </c>
      <c r="AA993" s="59">
        <v>61860</v>
      </c>
      <c r="AB993" s="57" t="s">
        <v>61</v>
      </c>
      <c r="AC993" s="60">
        <v>45926</v>
      </c>
      <c r="AD993" s="59">
        <v>61860</v>
      </c>
      <c r="AE993" s="57" t="s">
        <v>4253</v>
      </c>
      <c r="AF993" s="57" t="s">
        <v>4254</v>
      </c>
    </row>
    <row r="994" spans="1:32">
      <c r="A994" s="57">
        <v>993</v>
      </c>
      <c r="B994" s="58">
        <v>45989.624525462961</v>
      </c>
      <c r="C994" s="58">
        <v>45989.631388888891</v>
      </c>
      <c r="D994" s="57" t="s">
        <v>940</v>
      </c>
      <c r="E994" s="57" t="s">
        <v>941</v>
      </c>
      <c r="F994" s="58"/>
      <c r="G994" s="57" t="s">
        <v>688</v>
      </c>
      <c r="H994" s="59">
        <v>2</v>
      </c>
      <c r="I994" s="57"/>
      <c r="J994" s="57"/>
      <c r="K994" s="59"/>
      <c r="L994" s="57"/>
      <c r="M994" s="60"/>
      <c r="N994" s="59"/>
      <c r="O994" s="57"/>
      <c r="P994" s="57"/>
      <c r="Q994" s="57" t="s">
        <v>20</v>
      </c>
      <c r="R994" s="57" t="s">
        <v>942</v>
      </c>
      <c r="S994" s="59">
        <v>85973</v>
      </c>
      <c r="T994" s="57" t="s">
        <v>61</v>
      </c>
      <c r="U994" s="60">
        <v>45938</v>
      </c>
      <c r="V994" s="59">
        <v>85973</v>
      </c>
      <c r="W994" s="57" t="s">
        <v>4255</v>
      </c>
      <c r="X994" s="57" t="s">
        <v>4256</v>
      </c>
      <c r="Y994" s="57" t="s">
        <v>20</v>
      </c>
      <c r="Z994" s="57" t="s">
        <v>407</v>
      </c>
      <c r="AA994" s="59">
        <v>4223</v>
      </c>
      <c r="AB994" s="57" t="s">
        <v>61</v>
      </c>
      <c r="AC994" s="60">
        <v>45965</v>
      </c>
      <c r="AD994" s="59">
        <v>4223</v>
      </c>
      <c r="AE994" s="57" t="s">
        <v>4257</v>
      </c>
      <c r="AF994" s="57" t="s">
        <v>4258</v>
      </c>
    </row>
    <row r="995" spans="1:32">
      <c r="A995" s="57">
        <v>994</v>
      </c>
      <c r="B995" s="58">
        <v>45989.653657407413</v>
      </c>
      <c r="C995" s="58">
        <v>45989.657939814817</v>
      </c>
      <c r="D995" s="57" t="s">
        <v>1536</v>
      </c>
      <c r="E995" s="57" t="s">
        <v>1537</v>
      </c>
      <c r="F995" s="58"/>
      <c r="G995" s="57" t="s">
        <v>605</v>
      </c>
      <c r="H995" s="59">
        <v>2</v>
      </c>
      <c r="I995" s="57"/>
      <c r="J995" s="57"/>
      <c r="K995" s="59"/>
      <c r="L995" s="57"/>
      <c r="M995" s="60"/>
      <c r="N995" s="59"/>
      <c r="O995" s="57"/>
      <c r="P995" s="57"/>
      <c r="Q995" s="57" t="s">
        <v>22</v>
      </c>
      <c r="R995" s="57" t="s">
        <v>297</v>
      </c>
      <c r="S995" s="59">
        <v>13986</v>
      </c>
      <c r="T995" s="57" t="s">
        <v>61</v>
      </c>
      <c r="U995" s="60">
        <v>45974</v>
      </c>
      <c r="V995" s="59">
        <v>13986</v>
      </c>
      <c r="W995" s="57" t="s">
        <v>4259</v>
      </c>
      <c r="X995" s="57" t="s">
        <v>4260</v>
      </c>
      <c r="Y995" s="57" t="s">
        <v>21</v>
      </c>
      <c r="Z995" s="57" t="s">
        <v>283</v>
      </c>
      <c r="AA995" s="59">
        <v>18587</v>
      </c>
      <c r="AB995" s="57" t="s">
        <v>61</v>
      </c>
      <c r="AC995" s="60">
        <v>45878</v>
      </c>
      <c r="AD995" s="59">
        <v>18587</v>
      </c>
      <c r="AE995" s="57" t="s">
        <v>4261</v>
      </c>
      <c r="AF995" s="57" t="s">
        <v>4262</v>
      </c>
    </row>
    <row r="996" spans="1:32">
      <c r="A996" s="57">
        <v>995</v>
      </c>
      <c r="B996" s="58">
        <v>45989.642453703702</v>
      </c>
      <c r="C996" s="58">
        <v>45989.678923611107</v>
      </c>
      <c r="D996" s="57" t="s">
        <v>1272</v>
      </c>
      <c r="E996" s="57" t="s">
        <v>1273</v>
      </c>
      <c r="F996" s="58"/>
      <c r="G996" s="57" t="s">
        <v>489</v>
      </c>
      <c r="H996" s="59">
        <v>1</v>
      </c>
      <c r="I996" s="57"/>
      <c r="J996" s="57"/>
      <c r="K996" s="59"/>
      <c r="L996" s="57"/>
      <c r="M996" s="60"/>
      <c r="N996" s="59"/>
      <c r="O996" s="57"/>
      <c r="P996" s="57"/>
      <c r="Q996" s="57"/>
      <c r="R996" s="57"/>
      <c r="S996" s="59"/>
      <c r="T996" s="57"/>
      <c r="U996" s="60"/>
      <c r="V996" s="59"/>
      <c r="W996" s="57"/>
      <c r="X996" s="57"/>
      <c r="Y996" s="57" t="s">
        <v>20</v>
      </c>
      <c r="Z996" s="57" t="s">
        <v>155</v>
      </c>
      <c r="AA996" s="59">
        <v>45225</v>
      </c>
      <c r="AB996" s="57" t="s">
        <v>61</v>
      </c>
      <c r="AC996" s="60">
        <v>45966</v>
      </c>
      <c r="AD996" s="59">
        <v>45225</v>
      </c>
      <c r="AE996" s="57" t="s">
        <v>4263</v>
      </c>
      <c r="AF996" s="57" t="s">
        <v>4264</v>
      </c>
    </row>
    <row r="997" spans="1:32">
      <c r="A997" s="57">
        <v>996</v>
      </c>
      <c r="B997" s="58">
        <v>45989.680196759262</v>
      </c>
      <c r="C997" s="58">
        <v>45989.683541666673</v>
      </c>
      <c r="D997" s="57" t="s">
        <v>1127</v>
      </c>
      <c r="E997" s="57" t="s">
        <v>1128</v>
      </c>
      <c r="F997" s="58"/>
      <c r="G997" s="57" t="s">
        <v>455</v>
      </c>
      <c r="H997" s="59">
        <v>1</v>
      </c>
      <c r="I997" s="57"/>
      <c r="J997" s="57"/>
      <c r="K997" s="59"/>
      <c r="L997" s="57"/>
      <c r="M997" s="60"/>
      <c r="N997" s="59"/>
      <c r="O997" s="57"/>
      <c r="P997" s="57"/>
      <c r="Q997" s="57"/>
      <c r="R997" s="57"/>
      <c r="S997" s="59"/>
      <c r="T997" s="57"/>
      <c r="U997" s="60"/>
      <c r="V997" s="59"/>
      <c r="W997" s="57"/>
      <c r="X997" s="57"/>
      <c r="Y997" s="57" t="s">
        <v>21</v>
      </c>
      <c r="Z997" s="57" t="s">
        <v>121</v>
      </c>
      <c r="AA997" s="59">
        <v>37103</v>
      </c>
      <c r="AB997" s="57" t="s">
        <v>61</v>
      </c>
      <c r="AC997" s="60">
        <v>45986</v>
      </c>
      <c r="AD997" s="59">
        <v>37103</v>
      </c>
      <c r="AE997" s="57" t="s">
        <v>4265</v>
      </c>
      <c r="AF997" s="57" t="s">
        <v>4266</v>
      </c>
    </row>
    <row r="998" spans="1:32">
      <c r="A998" s="57">
        <v>997</v>
      </c>
      <c r="B998" s="58">
        <v>45989.669502314813</v>
      </c>
      <c r="C998" s="58">
        <v>45989.684664351851</v>
      </c>
      <c r="D998" s="57" t="s">
        <v>4267</v>
      </c>
      <c r="E998" s="57" t="s">
        <v>4268</v>
      </c>
      <c r="F998" s="58"/>
      <c r="G998" s="57" t="s">
        <v>699</v>
      </c>
      <c r="H998" s="59">
        <v>1</v>
      </c>
      <c r="I998" s="57"/>
      <c r="J998" s="57"/>
      <c r="K998" s="59"/>
      <c r="L998" s="57"/>
      <c r="M998" s="60"/>
      <c r="N998" s="59"/>
      <c r="O998" s="57"/>
      <c r="P998" s="57"/>
      <c r="Q998" s="57"/>
      <c r="R998" s="57"/>
      <c r="S998" s="59"/>
      <c r="T998" s="57"/>
      <c r="U998" s="60"/>
      <c r="V998" s="59"/>
      <c r="W998" s="57"/>
      <c r="X998" s="57"/>
      <c r="Y998" s="57" t="s">
        <v>21</v>
      </c>
      <c r="Z998" s="57" t="s">
        <v>423</v>
      </c>
      <c r="AA998" s="59">
        <v>2092</v>
      </c>
      <c r="AB998" s="57" t="s">
        <v>61</v>
      </c>
      <c r="AC998" s="60">
        <v>45974</v>
      </c>
      <c r="AD998" s="59">
        <v>2092</v>
      </c>
      <c r="AE998" s="57" t="s">
        <v>4269</v>
      </c>
      <c r="AF998" s="57" t="s">
        <v>4270</v>
      </c>
    </row>
    <row r="999" spans="1:32">
      <c r="A999" s="57">
        <v>998</v>
      </c>
      <c r="B999" s="58">
        <v>45989.728402777779</v>
      </c>
      <c r="C999" s="58">
        <v>45989.72996527778</v>
      </c>
      <c r="D999" s="57" t="s">
        <v>1603</v>
      </c>
      <c r="E999" s="57" t="s">
        <v>1604</v>
      </c>
      <c r="F999" s="58"/>
      <c r="G999" s="57" t="s">
        <v>538</v>
      </c>
      <c r="H999" s="59">
        <v>1</v>
      </c>
      <c r="I999" s="57"/>
      <c r="J999" s="57"/>
      <c r="K999" s="59"/>
      <c r="L999" s="57"/>
      <c r="M999" s="60"/>
      <c r="N999" s="59"/>
      <c r="O999" s="57"/>
      <c r="P999" s="57"/>
      <c r="Q999" s="57"/>
      <c r="R999" s="57"/>
      <c r="S999" s="59"/>
      <c r="T999" s="57"/>
      <c r="U999" s="60"/>
      <c r="V999" s="59"/>
      <c r="W999" s="57"/>
      <c r="X999" s="57"/>
      <c r="Y999" s="57" t="s">
        <v>21</v>
      </c>
      <c r="Z999" s="57" t="s">
        <v>206</v>
      </c>
      <c r="AA999" s="59">
        <v>47166</v>
      </c>
      <c r="AB999" s="57" t="s">
        <v>61</v>
      </c>
      <c r="AC999" s="60">
        <v>45912</v>
      </c>
      <c r="AD999" s="59">
        <v>47166</v>
      </c>
      <c r="AE999" s="57" t="s">
        <v>4271</v>
      </c>
      <c r="AF999" s="57" t="s">
        <v>4272</v>
      </c>
    </row>
    <row r="1000" spans="1:32">
      <c r="A1000" s="57">
        <v>999</v>
      </c>
      <c r="B1000" s="58">
        <v>45989.751574074071</v>
      </c>
      <c r="C1000" s="58">
        <v>45989.755335648151</v>
      </c>
      <c r="D1000" s="57" t="s">
        <v>1561</v>
      </c>
      <c r="E1000" s="57" t="s">
        <v>1562</v>
      </c>
      <c r="F1000" s="58"/>
      <c r="G1000" s="57" t="s">
        <v>658</v>
      </c>
      <c r="H1000" s="59">
        <v>1</v>
      </c>
      <c r="I1000" s="57"/>
      <c r="J1000" s="57"/>
      <c r="K1000" s="59"/>
      <c r="L1000" s="57"/>
      <c r="M1000" s="60"/>
      <c r="N1000" s="59"/>
      <c r="O1000" s="57"/>
      <c r="P1000" s="57"/>
      <c r="Q1000" s="57"/>
      <c r="R1000" s="57"/>
      <c r="S1000" s="59"/>
      <c r="T1000" s="57"/>
      <c r="U1000" s="60"/>
      <c r="V1000" s="59"/>
      <c r="W1000" s="57"/>
      <c r="X1000" s="57"/>
      <c r="Y1000" s="57" t="s">
        <v>20</v>
      </c>
      <c r="Z1000" s="57" t="s">
        <v>359</v>
      </c>
      <c r="AA1000" s="59">
        <v>18327</v>
      </c>
      <c r="AB1000" s="57" t="s">
        <v>61</v>
      </c>
      <c r="AC1000" s="60">
        <v>45987</v>
      </c>
      <c r="AD1000" s="59">
        <v>18327</v>
      </c>
      <c r="AE1000" s="57" t="s">
        <v>4273</v>
      </c>
      <c r="AF1000" s="57" t="s">
        <v>4274</v>
      </c>
    </row>
    <row r="1001" spans="1:32">
      <c r="A1001" s="57">
        <v>1000</v>
      </c>
      <c r="B1001" s="58">
        <v>45990.364571759259</v>
      </c>
      <c r="C1001" s="58">
        <v>45990.368541666663</v>
      </c>
      <c r="D1001" s="57" t="s">
        <v>1018</v>
      </c>
      <c r="E1001" s="57" t="s">
        <v>1019</v>
      </c>
      <c r="F1001" s="58"/>
      <c r="G1001" s="57" t="s">
        <v>472</v>
      </c>
      <c r="H1001" s="59">
        <v>1</v>
      </c>
      <c r="I1001" s="57"/>
      <c r="J1001" s="57"/>
      <c r="K1001" s="59"/>
      <c r="L1001" s="57"/>
      <c r="M1001" s="60"/>
      <c r="N1001" s="59"/>
      <c r="O1001" s="57"/>
      <c r="P1001" s="57"/>
      <c r="Q1001" s="57"/>
      <c r="R1001" s="57"/>
      <c r="S1001" s="59"/>
      <c r="T1001" s="57"/>
      <c r="U1001" s="60"/>
      <c r="V1001" s="59"/>
      <c r="W1001" s="57"/>
      <c r="X1001" s="57"/>
      <c r="Y1001" s="57" t="s">
        <v>20</v>
      </c>
      <c r="Z1001" s="57" t="s">
        <v>138</v>
      </c>
      <c r="AA1001" s="59">
        <v>52319</v>
      </c>
      <c r="AB1001" s="57" t="s">
        <v>61</v>
      </c>
      <c r="AC1001" s="60">
        <v>45931</v>
      </c>
      <c r="AD1001" s="59">
        <v>52319</v>
      </c>
      <c r="AE1001" s="57" t="s">
        <v>4275</v>
      </c>
      <c r="AF1001" s="57" t="s">
        <v>4276</v>
      </c>
    </row>
    <row r="1002" spans="1:32">
      <c r="A1002" s="57">
        <v>1001</v>
      </c>
      <c r="B1002" s="58">
        <v>45990.444201388891</v>
      </c>
      <c r="C1002" s="58">
        <v>45990.468043981477</v>
      </c>
      <c r="D1002" s="57" t="s">
        <v>930</v>
      </c>
      <c r="E1002" s="57" t="s">
        <v>931</v>
      </c>
      <c r="F1002" s="58"/>
      <c r="G1002" s="57" t="s">
        <v>562</v>
      </c>
      <c r="H1002" s="59">
        <v>2</v>
      </c>
      <c r="I1002" s="57"/>
      <c r="J1002" s="57"/>
      <c r="K1002" s="59"/>
      <c r="L1002" s="57"/>
      <c r="M1002" s="60"/>
      <c r="N1002" s="59"/>
      <c r="O1002" s="57"/>
      <c r="P1002" s="57"/>
      <c r="Q1002" s="57" t="s">
        <v>22</v>
      </c>
      <c r="R1002" s="57" t="s">
        <v>232</v>
      </c>
      <c r="S1002" s="59">
        <v>92950</v>
      </c>
      <c r="T1002" s="57" t="s">
        <v>61</v>
      </c>
      <c r="U1002" s="60">
        <v>45932</v>
      </c>
      <c r="V1002" s="59">
        <v>92950</v>
      </c>
      <c r="W1002" s="57" t="s">
        <v>4277</v>
      </c>
      <c r="X1002" s="57" t="s">
        <v>4278</v>
      </c>
      <c r="Y1002" s="57" t="s">
        <v>21</v>
      </c>
      <c r="Z1002" s="57" t="s">
        <v>320</v>
      </c>
      <c r="AA1002" s="59">
        <v>18324</v>
      </c>
      <c r="AB1002" s="57" t="s">
        <v>61</v>
      </c>
      <c r="AC1002" s="60">
        <v>45847</v>
      </c>
      <c r="AD1002" s="59">
        <v>18324</v>
      </c>
      <c r="AE1002" s="57" t="s">
        <v>4279</v>
      </c>
      <c r="AF1002" s="57" t="s">
        <v>4280</v>
      </c>
    </row>
    <row r="1003" spans="1:32">
      <c r="A1003" s="57">
        <v>1002</v>
      </c>
      <c r="B1003" s="58">
        <v>45990.350636574083</v>
      </c>
      <c r="C1003" s="58">
        <v>45990.476388888892</v>
      </c>
      <c r="D1003" s="57" t="s">
        <v>3541</v>
      </c>
      <c r="E1003" s="57" t="s">
        <v>3542</v>
      </c>
      <c r="F1003" s="58"/>
      <c r="G1003" s="57" t="s">
        <v>631</v>
      </c>
      <c r="H1003" s="59">
        <v>1</v>
      </c>
      <c r="I1003" s="57"/>
      <c r="J1003" s="57"/>
      <c r="K1003" s="59"/>
      <c r="L1003" s="57"/>
      <c r="M1003" s="60"/>
      <c r="N1003" s="59"/>
      <c r="O1003" s="57"/>
      <c r="P1003" s="57"/>
      <c r="Q1003" s="57"/>
      <c r="R1003" s="57"/>
      <c r="S1003" s="59"/>
      <c r="T1003" s="57"/>
      <c r="U1003" s="60"/>
      <c r="V1003" s="59"/>
      <c r="W1003" s="57"/>
      <c r="X1003" s="57"/>
      <c r="Y1003" s="57" t="s">
        <v>21</v>
      </c>
      <c r="Z1003" s="57" t="s">
        <v>319</v>
      </c>
      <c r="AA1003" s="59">
        <v>9024</v>
      </c>
      <c r="AB1003" s="57" t="s">
        <v>61</v>
      </c>
      <c r="AC1003" s="60">
        <v>45989</v>
      </c>
      <c r="AD1003" s="59">
        <v>9024</v>
      </c>
      <c r="AE1003" s="57" t="s">
        <v>4281</v>
      </c>
      <c r="AF1003" s="57" t="s">
        <v>4282</v>
      </c>
    </row>
    <row r="1004" spans="1:32">
      <c r="A1004" s="57">
        <v>1003</v>
      </c>
      <c r="B1004" s="58">
        <v>45990.516747685193</v>
      </c>
      <c r="C1004" s="58">
        <v>45990.521006944437</v>
      </c>
      <c r="D1004" s="57" t="s">
        <v>1551</v>
      </c>
      <c r="E1004" s="57" t="s">
        <v>1552</v>
      </c>
      <c r="F1004" s="58"/>
      <c r="G1004" s="57" t="s">
        <v>543</v>
      </c>
      <c r="H1004" s="59">
        <v>2</v>
      </c>
      <c r="I1004" s="57"/>
      <c r="J1004" s="57"/>
      <c r="K1004" s="59"/>
      <c r="L1004" s="57"/>
      <c r="M1004" s="60"/>
      <c r="N1004" s="59"/>
      <c r="O1004" s="57"/>
      <c r="P1004" s="57"/>
      <c r="Q1004" s="57" t="s">
        <v>20</v>
      </c>
      <c r="R1004" s="57" t="s">
        <v>212</v>
      </c>
      <c r="S1004" s="59">
        <v>74299</v>
      </c>
      <c r="T1004" s="57" t="s">
        <v>61</v>
      </c>
      <c r="U1004" s="60">
        <v>45954</v>
      </c>
      <c r="V1004" s="59">
        <v>74299</v>
      </c>
      <c r="W1004" s="57" t="s">
        <v>4283</v>
      </c>
      <c r="X1004" s="57" t="s">
        <v>4284</v>
      </c>
      <c r="Y1004" s="57" t="s">
        <v>22</v>
      </c>
      <c r="Z1004" s="57" t="s">
        <v>300</v>
      </c>
      <c r="AA1004" s="59">
        <v>17003</v>
      </c>
      <c r="AB1004" s="57" t="s">
        <v>61</v>
      </c>
      <c r="AC1004" s="60">
        <v>45957</v>
      </c>
      <c r="AD1004" s="59">
        <v>17003</v>
      </c>
      <c r="AE1004" s="57" t="s">
        <v>4285</v>
      </c>
      <c r="AF1004" s="57" t="s">
        <v>4286</v>
      </c>
    </row>
    <row r="1005" spans="1:32">
      <c r="A1005" s="57">
        <v>1004</v>
      </c>
      <c r="B1005" s="58">
        <v>45990.560868055552</v>
      </c>
      <c r="C1005" s="58">
        <v>45990.568287037036</v>
      </c>
      <c r="D1005" s="57" t="s">
        <v>1163</v>
      </c>
      <c r="E1005" s="57" t="s">
        <v>1164</v>
      </c>
      <c r="F1005" s="58"/>
      <c r="G1005" s="57" t="s">
        <v>536</v>
      </c>
      <c r="H1005" s="59">
        <v>2</v>
      </c>
      <c r="I1005" s="57"/>
      <c r="J1005" s="57"/>
      <c r="K1005" s="59"/>
      <c r="L1005" s="57"/>
      <c r="M1005" s="60"/>
      <c r="N1005" s="59"/>
      <c r="O1005" s="57"/>
      <c r="P1005" s="57"/>
      <c r="Q1005" s="57" t="s">
        <v>21</v>
      </c>
      <c r="R1005" s="57" t="s">
        <v>327</v>
      </c>
      <c r="S1005" s="59">
        <v>15631</v>
      </c>
      <c r="T1005" s="57" t="s">
        <v>61</v>
      </c>
      <c r="U1005" s="60">
        <v>45874</v>
      </c>
      <c r="V1005" s="59">
        <v>15631</v>
      </c>
      <c r="W1005" s="57" t="s">
        <v>4287</v>
      </c>
      <c r="X1005" s="57" t="s">
        <v>4288</v>
      </c>
      <c r="Y1005" s="57" t="s">
        <v>22</v>
      </c>
      <c r="Z1005" s="57" t="s">
        <v>204</v>
      </c>
      <c r="AA1005" s="59">
        <v>85289</v>
      </c>
      <c r="AB1005" s="57" t="s">
        <v>61</v>
      </c>
      <c r="AC1005" s="60">
        <v>45902</v>
      </c>
      <c r="AD1005" s="59">
        <v>85289</v>
      </c>
      <c r="AE1005" s="57" t="s">
        <v>4289</v>
      </c>
      <c r="AF1005" s="57" t="s">
        <v>4290</v>
      </c>
    </row>
    <row r="1006" spans="1:32">
      <c r="A1006" s="57">
        <v>1005</v>
      </c>
      <c r="B1006" s="58">
        <v>45990.857881944437</v>
      </c>
      <c r="C1006" s="58">
        <v>45990.861770833333</v>
      </c>
      <c r="D1006" s="57" t="s">
        <v>1135</v>
      </c>
      <c r="E1006" s="57" t="s">
        <v>1136</v>
      </c>
      <c r="F1006" s="58"/>
      <c r="G1006" s="57" t="s">
        <v>453</v>
      </c>
      <c r="H1006" s="59">
        <v>1</v>
      </c>
      <c r="I1006" s="57"/>
      <c r="J1006" s="57"/>
      <c r="K1006" s="59"/>
      <c r="L1006" s="57"/>
      <c r="M1006" s="60"/>
      <c r="N1006" s="59"/>
      <c r="O1006" s="57"/>
      <c r="P1006" s="57"/>
      <c r="Q1006" s="57"/>
      <c r="R1006" s="57"/>
      <c r="S1006" s="59"/>
      <c r="T1006" s="57"/>
      <c r="U1006" s="60"/>
      <c r="V1006" s="59"/>
      <c r="W1006" s="57"/>
      <c r="X1006" s="57"/>
      <c r="Y1006" s="57" t="s">
        <v>21</v>
      </c>
      <c r="Z1006" s="57" t="s">
        <v>119</v>
      </c>
      <c r="AA1006" s="59">
        <v>26697</v>
      </c>
      <c r="AB1006" s="57" t="s">
        <v>61</v>
      </c>
      <c r="AC1006" s="60">
        <v>45810</v>
      </c>
      <c r="AD1006" s="59">
        <v>26697</v>
      </c>
      <c r="AE1006" s="57" t="s">
        <v>4291</v>
      </c>
      <c r="AF1006" s="57" t="s">
        <v>4292</v>
      </c>
    </row>
    <row r="1007" spans="1:32">
      <c r="A1007" s="57">
        <v>1006</v>
      </c>
      <c r="B1007" s="58">
        <v>45991.390532407408</v>
      </c>
      <c r="C1007" s="58">
        <v>45991.397997685177</v>
      </c>
      <c r="D1007" s="57" t="s">
        <v>1682</v>
      </c>
      <c r="E1007" s="57" t="s">
        <v>1683</v>
      </c>
      <c r="F1007" s="58"/>
      <c r="G1007" s="57" t="s">
        <v>606</v>
      </c>
      <c r="H1007" s="59">
        <v>3</v>
      </c>
      <c r="I1007" s="57" t="s">
        <v>21</v>
      </c>
      <c r="J1007" s="57" t="s">
        <v>364</v>
      </c>
      <c r="K1007" s="59">
        <v>17421</v>
      </c>
      <c r="L1007" s="57" t="s">
        <v>61</v>
      </c>
      <c r="M1007" s="60">
        <v>45916</v>
      </c>
      <c r="N1007" s="59">
        <v>17421</v>
      </c>
      <c r="O1007" s="57" t="s">
        <v>4293</v>
      </c>
      <c r="P1007" s="57" t="s">
        <v>4294</v>
      </c>
      <c r="Q1007" s="57" t="s">
        <v>22</v>
      </c>
      <c r="R1007" s="57" t="s">
        <v>284</v>
      </c>
      <c r="S1007" s="59">
        <v>13328</v>
      </c>
      <c r="T1007" s="57" t="s">
        <v>61</v>
      </c>
      <c r="U1007" s="60">
        <v>45925</v>
      </c>
      <c r="V1007" s="59">
        <v>13328</v>
      </c>
      <c r="W1007" s="57" t="s">
        <v>4295</v>
      </c>
      <c r="X1007" s="57" t="s">
        <v>4296</v>
      </c>
      <c r="Y1007" s="57" t="s">
        <v>20</v>
      </c>
      <c r="Z1007" s="57" t="s">
        <v>1684</v>
      </c>
      <c r="AA1007" s="59">
        <v>74787</v>
      </c>
      <c r="AB1007" s="57" t="s">
        <v>61</v>
      </c>
      <c r="AC1007" s="60">
        <v>45911</v>
      </c>
      <c r="AD1007" s="59">
        <v>74787</v>
      </c>
      <c r="AE1007" s="57" t="s">
        <v>4297</v>
      </c>
      <c r="AF1007" s="57" t="s">
        <v>4298</v>
      </c>
    </row>
    <row r="1008" spans="1:32">
      <c r="A1008" s="57">
        <v>1007</v>
      </c>
      <c r="B1008" s="58">
        <v>45991.47996527778</v>
      </c>
      <c r="C1008" s="58">
        <v>45991.482094907413</v>
      </c>
      <c r="D1008" s="57" t="s">
        <v>1209</v>
      </c>
      <c r="E1008" s="57" t="s">
        <v>1210</v>
      </c>
      <c r="F1008" s="58"/>
      <c r="G1008" s="57" t="s">
        <v>581</v>
      </c>
      <c r="H1008" s="59">
        <v>3</v>
      </c>
      <c r="I1008" s="57" t="s">
        <v>22</v>
      </c>
      <c r="J1008" s="57" t="s">
        <v>255</v>
      </c>
      <c r="K1008" s="59">
        <v>27213</v>
      </c>
      <c r="L1008" s="57" t="s">
        <v>61</v>
      </c>
      <c r="M1008" s="60">
        <v>45763</v>
      </c>
      <c r="N1008" s="59">
        <v>27213</v>
      </c>
      <c r="O1008" s="57" t="s">
        <v>4299</v>
      </c>
      <c r="P1008" s="57" t="s">
        <v>4300</v>
      </c>
      <c r="Q1008" s="57" t="s">
        <v>20</v>
      </c>
      <c r="R1008" s="57" t="s">
        <v>1211</v>
      </c>
      <c r="S1008" s="59">
        <v>45506</v>
      </c>
      <c r="T1008" s="57" t="s">
        <v>61</v>
      </c>
      <c r="U1008" s="60">
        <v>45874</v>
      </c>
      <c r="V1008" s="59">
        <v>45506</v>
      </c>
      <c r="W1008" s="57" t="s">
        <v>4301</v>
      </c>
      <c r="X1008" s="57" t="s">
        <v>4302</v>
      </c>
      <c r="Y1008" s="57" t="s">
        <v>21</v>
      </c>
      <c r="Z1008" s="57" t="s">
        <v>417</v>
      </c>
      <c r="AA1008" s="59">
        <v>1237</v>
      </c>
      <c r="AB1008" s="57" t="s">
        <v>61</v>
      </c>
      <c r="AC1008" s="60">
        <v>45959</v>
      </c>
      <c r="AD1008" s="59">
        <v>1237</v>
      </c>
      <c r="AE1008" s="57" t="s">
        <v>4303</v>
      </c>
      <c r="AF1008" s="57" t="s">
        <v>4304</v>
      </c>
    </row>
    <row r="1009" spans="1:32">
      <c r="A1009" s="57">
        <v>1008</v>
      </c>
      <c r="B1009" s="58">
        <v>45991.581018518518</v>
      </c>
      <c r="C1009" s="58">
        <v>45991.587743055563</v>
      </c>
      <c r="D1009" s="57" t="s">
        <v>1226</v>
      </c>
      <c r="E1009" s="57" t="s">
        <v>1227</v>
      </c>
      <c r="F1009" s="58"/>
      <c r="G1009" s="57" t="s">
        <v>526</v>
      </c>
      <c r="H1009" s="59">
        <v>2</v>
      </c>
      <c r="I1009" s="57"/>
      <c r="J1009" s="57"/>
      <c r="K1009" s="59"/>
      <c r="L1009" s="57"/>
      <c r="M1009" s="60"/>
      <c r="N1009" s="59"/>
      <c r="O1009" s="57"/>
      <c r="P1009" s="57"/>
      <c r="Q1009" s="57" t="s">
        <v>22</v>
      </c>
      <c r="R1009" s="57" t="s">
        <v>193</v>
      </c>
      <c r="S1009" s="59">
        <v>36710</v>
      </c>
      <c r="T1009" s="57" t="s">
        <v>61</v>
      </c>
      <c r="U1009" s="60">
        <v>45979</v>
      </c>
      <c r="V1009" s="59">
        <v>36710</v>
      </c>
      <c r="W1009" s="57" t="s">
        <v>4305</v>
      </c>
      <c r="X1009" s="57" t="s">
        <v>4306</v>
      </c>
      <c r="Y1009" s="57" t="s">
        <v>21</v>
      </c>
      <c r="Z1009" s="57" t="s">
        <v>372</v>
      </c>
      <c r="AA1009" s="59">
        <v>4658</v>
      </c>
      <c r="AB1009" s="57" t="s">
        <v>61</v>
      </c>
      <c r="AC1009" s="60">
        <v>45909</v>
      </c>
      <c r="AD1009" s="59">
        <v>4658</v>
      </c>
      <c r="AE1009" s="57" t="s">
        <v>4307</v>
      </c>
      <c r="AF1009" s="57" t="s">
        <v>4308</v>
      </c>
    </row>
    <row r="1010" spans="1:32">
      <c r="A1010" s="57">
        <v>1009</v>
      </c>
      <c r="B1010" s="58">
        <v>45991.42900462963</v>
      </c>
      <c r="C1010" s="58">
        <v>45991.625416666669</v>
      </c>
      <c r="D1010" s="57" t="s">
        <v>2619</v>
      </c>
      <c r="E1010" s="57" t="s">
        <v>2620</v>
      </c>
      <c r="F1010" s="58"/>
      <c r="G1010" s="57" t="s">
        <v>550</v>
      </c>
      <c r="H1010" s="59">
        <v>2</v>
      </c>
      <c r="I1010" s="57"/>
      <c r="J1010" s="57"/>
      <c r="K1010" s="59"/>
      <c r="L1010" s="57"/>
      <c r="M1010" s="60"/>
      <c r="N1010" s="59"/>
      <c r="O1010" s="57"/>
      <c r="P1010" s="57"/>
      <c r="Q1010" s="57" t="s">
        <v>21</v>
      </c>
      <c r="R1010" s="57" t="s">
        <v>335</v>
      </c>
      <c r="S1010" s="59">
        <v>11256</v>
      </c>
      <c r="T1010" s="57" t="s">
        <v>61</v>
      </c>
      <c r="U1010" s="60">
        <v>45987</v>
      </c>
      <c r="V1010" s="59">
        <v>11256</v>
      </c>
      <c r="W1010" s="57" t="s">
        <v>4309</v>
      </c>
      <c r="X1010" s="57" t="s">
        <v>4310</v>
      </c>
      <c r="Y1010" s="57" t="s">
        <v>22</v>
      </c>
      <c r="Z1010" s="57" t="s">
        <v>219</v>
      </c>
      <c r="AA1010" s="59">
        <v>63400</v>
      </c>
      <c r="AB1010" s="57" t="s">
        <v>61</v>
      </c>
      <c r="AC1010" s="60">
        <v>45875</v>
      </c>
      <c r="AD1010" s="59">
        <v>63400</v>
      </c>
      <c r="AE1010" s="57" t="s">
        <v>4311</v>
      </c>
      <c r="AF1010" s="57" t="s">
        <v>4312</v>
      </c>
    </row>
    <row r="1011" spans="1:32">
      <c r="A1011" s="57">
        <v>1010</v>
      </c>
      <c r="B1011" s="58">
        <v>45992.3675</v>
      </c>
      <c r="C1011" s="58">
        <v>45992.370069444441</v>
      </c>
      <c r="D1011" s="57" t="s">
        <v>1333</v>
      </c>
      <c r="E1011" s="57" t="s">
        <v>1334</v>
      </c>
      <c r="F1011" s="58"/>
      <c r="G1011" s="57" t="s">
        <v>516</v>
      </c>
      <c r="H1011" s="59">
        <v>1</v>
      </c>
      <c r="I1011" s="57"/>
      <c r="J1011" s="57"/>
      <c r="K1011" s="59"/>
      <c r="L1011" s="57"/>
      <c r="M1011" s="60"/>
      <c r="N1011" s="59"/>
      <c r="O1011" s="57"/>
      <c r="P1011" s="57"/>
      <c r="Q1011" s="57"/>
      <c r="R1011" s="57"/>
      <c r="S1011" s="59"/>
      <c r="T1011" s="57"/>
      <c r="U1011" s="60"/>
      <c r="V1011" s="59"/>
      <c r="W1011" s="57"/>
      <c r="X1011" s="57"/>
      <c r="Y1011" s="57" t="s">
        <v>20</v>
      </c>
      <c r="Z1011" s="57" t="s">
        <v>183</v>
      </c>
      <c r="AA1011" s="59">
        <v>55359</v>
      </c>
      <c r="AB1011" s="57" t="s">
        <v>61</v>
      </c>
      <c r="AC1011" s="60">
        <v>45876</v>
      </c>
      <c r="AD1011" s="59">
        <v>55359</v>
      </c>
      <c r="AE1011" s="57" t="s">
        <v>4313</v>
      </c>
      <c r="AF1011" s="57" t="s">
        <v>4314</v>
      </c>
    </row>
    <row r="1012" spans="1:32">
      <c r="A1012" s="57">
        <v>1011</v>
      </c>
      <c r="B1012" s="58">
        <v>45992.361342592587</v>
      </c>
      <c r="C1012" s="58">
        <v>45992.371504629627</v>
      </c>
      <c r="D1012" s="57" t="s">
        <v>2263</v>
      </c>
      <c r="E1012" s="57" t="s">
        <v>2264</v>
      </c>
      <c r="F1012" s="58"/>
      <c r="G1012" s="57" t="s">
        <v>694</v>
      </c>
      <c r="H1012" s="59">
        <v>1</v>
      </c>
      <c r="I1012" s="57"/>
      <c r="J1012" s="57"/>
      <c r="K1012" s="59"/>
      <c r="L1012" s="57"/>
      <c r="M1012" s="60"/>
      <c r="N1012" s="59"/>
      <c r="O1012" s="57"/>
      <c r="P1012" s="57"/>
      <c r="Q1012" s="57"/>
      <c r="R1012" s="57"/>
      <c r="S1012" s="59"/>
      <c r="T1012" s="57"/>
      <c r="U1012" s="60"/>
      <c r="V1012" s="59"/>
      <c r="W1012" s="57"/>
      <c r="X1012" s="57"/>
      <c r="Y1012" s="57" t="s">
        <v>21</v>
      </c>
      <c r="Z1012" s="57" t="s">
        <v>416</v>
      </c>
      <c r="AA1012" s="59">
        <v>1520</v>
      </c>
      <c r="AB1012" s="57" t="s">
        <v>61</v>
      </c>
      <c r="AC1012" s="60">
        <v>45953</v>
      </c>
      <c r="AD1012" s="59">
        <v>1520</v>
      </c>
      <c r="AE1012" s="57" t="s">
        <v>4315</v>
      </c>
      <c r="AF1012" s="57" t="s">
        <v>4316</v>
      </c>
    </row>
    <row r="1013" spans="1:32">
      <c r="A1013" s="57">
        <v>1012</v>
      </c>
      <c r="B1013" s="58">
        <v>45992.658020833333</v>
      </c>
      <c r="C1013" s="58">
        <v>45992.661365740743</v>
      </c>
      <c r="D1013" s="57" t="s">
        <v>1572</v>
      </c>
      <c r="E1013" s="57" t="s">
        <v>1573</v>
      </c>
      <c r="F1013" s="58"/>
      <c r="G1013" s="57" t="s">
        <v>640</v>
      </c>
      <c r="H1013" s="59">
        <v>1</v>
      </c>
      <c r="I1013" s="57"/>
      <c r="J1013" s="57"/>
      <c r="K1013" s="59"/>
      <c r="L1013" s="57"/>
      <c r="M1013" s="60"/>
      <c r="N1013" s="59"/>
      <c r="O1013" s="57"/>
      <c r="P1013" s="57"/>
      <c r="Q1013" s="57"/>
      <c r="R1013" s="57"/>
      <c r="S1013" s="59"/>
      <c r="T1013" s="57"/>
      <c r="U1013" s="60"/>
      <c r="V1013" s="59"/>
      <c r="W1013" s="57"/>
      <c r="X1013" s="57"/>
      <c r="Y1013" s="57" t="s">
        <v>21</v>
      </c>
      <c r="Z1013" s="57" t="s">
        <v>333</v>
      </c>
      <c r="AA1013" s="59">
        <v>12826</v>
      </c>
      <c r="AB1013" s="57" t="s">
        <v>61</v>
      </c>
      <c r="AC1013" s="60">
        <v>45881</v>
      </c>
      <c r="AD1013" s="59">
        <v>12826</v>
      </c>
      <c r="AE1013" s="57" t="s">
        <v>4317</v>
      </c>
      <c r="AF1013" s="57" t="s">
        <v>4318</v>
      </c>
    </row>
    <row r="1014" spans="1:32">
      <c r="A1014" s="57">
        <v>1013</v>
      </c>
      <c r="B1014" s="58">
        <v>45992.65898148148</v>
      </c>
      <c r="C1014" s="58">
        <v>45992.664895833332</v>
      </c>
      <c r="D1014" s="57" t="s">
        <v>1434</v>
      </c>
      <c r="E1014" s="57" t="s">
        <v>1435</v>
      </c>
      <c r="F1014" s="58"/>
      <c r="G1014" s="57" t="s">
        <v>634</v>
      </c>
      <c r="H1014" s="59">
        <v>1</v>
      </c>
      <c r="I1014" s="57"/>
      <c r="J1014" s="57"/>
      <c r="K1014" s="59"/>
      <c r="L1014" s="57"/>
      <c r="M1014" s="60"/>
      <c r="N1014" s="59"/>
      <c r="O1014" s="57"/>
      <c r="P1014" s="57"/>
      <c r="Q1014" s="57"/>
      <c r="R1014" s="57"/>
      <c r="S1014" s="59"/>
      <c r="T1014" s="57"/>
      <c r="U1014" s="60"/>
      <c r="V1014" s="59"/>
      <c r="W1014" s="57"/>
      <c r="X1014" s="57"/>
      <c r="Y1014" s="57" t="s">
        <v>20</v>
      </c>
      <c r="Z1014" s="57" t="s">
        <v>325</v>
      </c>
      <c r="AA1014" s="59">
        <v>11538</v>
      </c>
      <c r="AB1014" s="57" t="s">
        <v>61</v>
      </c>
      <c r="AC1014" s="60">
        <v>45874</v>
      </c>
      <c r="AD1014" s="59">
        <v>11538</v>
      </c>
      <c r="AE1014" s="57" t="s">
        <v>4319</v>
      </c>
      <c r="AF1014" s="57" t="s">
        <v>4320</v>
      </c>
    </row>
    <row r="1015" spans="1:32">
      <c r="A1015" s="57">
        <v>1014</v>
      </c>
      <c r="B1015" s="58">
        <v>45993.463182870371</v>
      </c>
      <c r="C1015" s="58">
        <v>45993.467094907413</v>
      </c>
      <c r="D1015" s="57" t="s">
        <v>1003</v>
      </c>
      <c r="E1015" s="57" t="s">
        <v>1004</v>
      </c>
      <c r="F1015" s="58"/>
      <c r="G1015" s="57" t="s">
        <v>636</v>
      </c>
      <c r="H1015" s="59">
        <v>1</v>
      </c>
      <c r="I1015" s="57"/>
      <c r="J1015" s="57"/>
      <c r="K1015" s="59"/>
      <c r="L1015" s="57"/>
      <c r="M1015" s="60"/>
      <c r="N1015" s="59"/>
      <c r="O1015" s="57"/>
      <c r="P1015" s="57"/>
      <c r="Q1015" s="57"/>
      <c r="R1015" s="57"/>
      <c r="S1015" s="59"/>
      <c r="T1015" s="57"/>
      <c r="U1015" s="60"/>
      <c r="V1015" s="59"/>
      <c r="W1015" s="57"/>
      <c r="X1015" s="57"/>
      <c r="Y1015" s="57" t="s">
        <v>20</v>
      </c>
      <c r="Z1015" s="57" t="s">
        <v>329</v>
      </c>
      <c r="AA1015" s="59">
        <v>2875</v>
      </c>
      <c r="AB1015" s="57" t="s">
        <v>61</v>
      </c>
      <c r="AC1015" s="60">
        <v>45899</v>
      </c>
      <c r="AD1015" s="59">
        <v>2875</v>
      </c>
      <c r="AE1015" s="57" t="s">
        <v>4321</v>
      </c>
      <c r="AF1015" s="57" t="s">
        <v>4322</v>
      </c>
    </row>
    <row r="1016" spans="1:32">
      <c r="A1016" s="57">
        <v>1015</v>
      </c>
      <c r="B1016" s="58">
        <v>45993.467083333337</v>
      </c>
      <c r="C1016" s="58">
        <v>45993.468946759262</v>
      </c>
      <c r="D1016" s="57" t="s">
        <v>1522</v>
      </c>
      <c r="E1016" s="57" t="s">
        <v>1523</v>
      </c>
      <c r="F1016" s="58"/>
      <c r="G1016" s="57" t="s">
        <v>696</v>
      </c>
      <c r="H1016" s="59">
        <v>1</v>
      </c>
      <c r="I1016" s="57"/>
      <c r="J1016" s="57"/>
      <c r="K1016" s="59"/>
      <c r="L1016" s="57"/>
      <c r="M1016" s="60"/>
      <c r="N1016" s="59"/>
      <c r="O1016" s="57"/>
      <c r="P1016" s="57"/>
      <c r="Q1016" s="57"/>
      <c r="R1016" s="57"/>
      <c r="S1016" s="59"/>
      <c r="T1016" s="57"/>
      <c r="U1016" s="60"/>
      <c r="V1016" s="59"/>
      <c r="W1016" s="57"/>
      <c r="X1016" s="57"/>
      <c r="Y1016" s="57" t="s">
        <v>21</v>
      </c>
      <c r="Z1016" s="57" t="s">
        <v>419</v>
      </c>
      <c r="AA1016" s="59">
        <v>753</v>
      </c>
      <c r="AB1016" s="57" t="s">
        <v>61</v>
      </c>
      <c r="AC1016" s="60">
        <v>45992</v>
      </c>
      <c r="AD1016" s="59">
        <v>753</v>
      </c>
      <c r="AE1016" s="57" t="s">
        <v>4323</v>
      </c>
      <c r="AF1016" s="57" t="s">
        <v>4324</v>
      </c>
    </row>
    <row r="1017" spans="1:32">
      <c r="A1017" s="57">
        <v>1016</v>
      </c>
      <c r="B1017" s="58">
        <v>45993.463159722232</v>
      </c>
      <c r="C1017" s="58">
        <v>45993.49559027778</v>
      </c>
      <c r="D1017" s="57" t="s">
        <v>4325</v>
      </c>
      <c r="E1017" s="57" t="s">
        <v>4326</v>
      </c>
      <c r="F1017" s="58"/>
      <c r="G1017" s="57" t="s">
        <v>506</v>
      </c>
      <c r="H1017" s="59">
        <v>2</v>
      </c>
      <c r="I1017" s="57"/>
      <c r="J1017" s="57"/>
      <c r="K1017" s="59"/>
      <c r="L1017" s="57"/>
      <c r="M1017" s="60"/>
      <c r="N1017" s="59"/>
      <c r="O1017" s="57"/>
      <c r="P1017" s="57"/>
      <c r="Q1017" s="57" t="s">
        <v>22</v>
      </c>
      <c r="R1017" s="57" t="s">
        <v>198</v>
      </c>
      <c r="S1017" s="59">
        <v>47322</v>
      </c>
      <c r="T1017" s="57" t="s">
        <v>61</v>
      </c>
      <c r="U1017" s="60">
        <v>45887</v>
      </c>
      <c r="V1017" s="59">
        <v>47322</v>
      </c>
      <c r="W1017" s="57" t="s">
        <v>4327</v>
      </c>
      <c r="X1017" s="57" t="s">
        <v>4328</v>
      </c>
      <c r="Y1017" s="57" t="s">
        <v>20</v>
      </c>
      <c r="Z1017" s="57" t="s">
        <v>172</v>
      </c>
      <c r="AA1017" s="59">
        <v>21996</v>
      </c>
      <c r="AB1017" s="57" t="s">
        <v>61</v>
      </c>
      <c r="AC1017" s="60">
        <v>45887</v>
      </c>
      <c r="AD1017" s="59">
        <v>21996</v>
      </c>
      <c r="AE1017" s="57" t="s">
        <v>4329</v>
      </c>
      <c r="AF1017" s="57" t="s">
        <v>4330</v>
      </c>
    </row>
    <row r="1018" spans="1:32">
      <c r="A1018" s="57">
        <v>1017</v>
      </c>
      <c r="B1018" s="58">
        <v>45993.655960648153</v>
      </c>
      <c r="C1018" s="58">
        <v>45993.658958333333</v>
      </c>
      <c r="D1018" s="57" t="s">
        <v>2026</v>
      </c>
      <c r="E1018" s="57" t="s">
        <v>2027</v>
      </c>
      <c r="F1018" s="58"/>
      <c r="G1018" s="57" t="s">
        <v>579</v>
      </c>
      <c r="H1018" s="59">
        <v>2</v>
      </c>
      <c r="I1018" s="57"/>
      <c r="J1018" s="57"/>
      <c r="K1018" s="59"/>
      <c r="L1018" s="57"/>
      <c r="M1018" s="60"/>
      <c r="N1018" s="59"/>
      <c r="O1018" s="57"/>
      <c r="P1018" s="57"/>
      <c r="Q1018" s="57" t="s">
        <v>22</v>
      </c>
      <c r="R1018" s="57" t="s">
        <v>251</v>
      </c>
      <c r="S1018" s="59">
        <v>47208</v>
      </c>
      <c r="T1018" s="57" t="s">
        <v>61</v>
      </c>
      <c r="U1018" s="60">
        <v>45960</v>
      </c>
      <c r="V1018" s="59">
        <v>47208</v>
      </c>
      <c r="W1018" s="57" t="s">
        <v>4331</v>
      </c>
      <c r="X1018" s="57" t="s">
        <v>4332</v>
      </c>
      <c r="Y1018" s="57" t="s">
        <v>21</v>
      </c>
      <c r="Z1018" s="57" t="s">
        <v>1239</v>
      </c>
      <c r="AA1018" s="59">
        <v>57843</v>
      </c>
      <c r="AB1018" s="57" t="s">
        <v>61</v>
      </c>
      <c r="AC1018" s="60">
        <v>45982</v>
      </c>
      <c r="AD1018" s="59">
        <v>57843</v>
      </c>
      <c r="AE1018" s="57" t="s">
        <v>4333</v>
      </c>
      <c r="AF1018" s="57" t="s">
        <v>4334</v>
      </c>
    </row>
    <row r="1019" spans="1:32">
      <c r="A1019" s="57">
        <v>1018</v>
      </c>
      <c r="B1019" s="58">
        <v>45993.679201388892</v>
      </c>
      <c r="C1019" s="58">
        <v>45993.6872337963</v>
      </c>
      <c r="D1019" s="57" t="s">
        <v>956</v>
      </c>
      <c r="E1019" s="57" t="s">
        <v>957</v>
      </c>
      <c r="F1019" s="58"/>
      <c r="G1019" s="57" t="s">
        <v>717</v>
      </c>
      <c r="H1019" s="59">
        <v>1</v>
      </c>
      <c r="I1019" s="57"/>
      <c r="J1019" s="57"/>
      <c r="K1019" s="59"/>
      <c r="L1019" s="57"/>
      <c r="M1019" s="60"/>
      <c r="N1019" s="59"/>
      <c r="O1019" s="57"/>
      <c r="P1019" s="57"/>
      <c r="Q1019" s="57"/>
      <c r="R1019" s="57"/>
      <c r="S1019" s="59"/>
      <c r="T1019" s="57"/>
      <c r="U1019" s="60"/>
      <c r="V1019" s="59"/>
      <c r="W1019" s="57"/>
      <c r="X1019" s="57"/>
      <c r="Y1019" s="57" t="s">
        <v>20</v>
      </c>
      <c r="Z1019" s="57" t="s">
        <v>958</v>
      </c>
      <c r="AA1019" s="59">
        <v>24791</v>
      </c>
      <c r="AB1019" s="57" t="s">
        <v>61</v>
      </c>
      <c r="AC1019" s="60">
        <v>45982</v>
      </c>
      <c r="AD1019" s="59">
        <v>24791</v>
      </c>
      <c r="AE1019" s="57" t="s">
        <v>4335</v>
      </c>
      <c r="AF1019" s="57" t="s">
        <v>4336</v>
      </c>
    </row>
    <row r="1020" spans="1:32">
      <c r="A1020" s="57">
        <v>1019</v>
      </c>
      <c r="B1020" s="58">
        <v>45994.344363425917</v>
      </c>
      <c r="C1020" s="58">
        <v>45994.346377314818</v>
      </c>
      <c r="D1020" s="57" t="s">
        <v>2494</v>
      </c>
      <c r="E1020" s="57" t="s">
        <v>2495</v>
      </c>
      <c r="F1020" s="58"/>
      <c r="G1020" s="57" t="s">
        <v>670</v>
      </c>
      <c r="H1020" s="59">
        <v>1</v>
      </c>
      <c r="I1020" s="57"/>
      <c r="J1020" s="57"/>
      <c r="K1020" s="59"/>
      <c r="L1020" s="57"/>
      <c r="M1020" s="60"/>
      <c r="N1020" s="59"/>
      <c r="O1020" s="57"/>
      <c r="P1020" s="57"/>
      <c r="Q1020" s="57"/>
      <c r="R1020" s="57"/>
      <c r="S1020" s="59"/>
      <c r="T1020" s="57"/>
      <c r="U1020" s="60"/>
      <c r="V1020" s="59"/>
      <c r="W1020" s="57"/>
      <c r="X1020" s="57"/>
      <c r="Y1020" s="57" t="s">
        <v>21</v>
      </c>
      <c r="Z1020" s="57" t="s">
        <v>381</v>
      </c>
      <c r="AA1020" s="59">
        <v>6393</v>
      </c>
      <c r="AB1020" s="57" t="s">
        <v>61</v>
      </c>
      <c r="AC1020" s="60">
        <v>45832</v>
      </c>
      <c r="AD1020" s="59">
        <v>6393</v>
      </c>
      <c r="AE1020" s="57" t="s">
        <v>4337</v>
      </c>
      <c r="AF1020" s="57" t="s">
        <v>4338</v>
      </c>
    </row>
    <row r="1021" spans="1:32">
      <c r="A1021" s="57">
        <v>1020</v>
      </c>
      <c r="B1021" s="58">
        <v>45994.437372685177</v>
      </c>
      <c r="C1021" s="58">
        <v>45994.441099537027</v>
      </c>
      <c r="D1021" s="57" t="s">
        <v>2522</v>
      </c>
      <c r="E1021" s="57" t="s">
        <v>2523</v>
      </c>
      <c r="F1021" s="58"/>
      <c r="G1021" s="57" t="s">
        <v>464</v>
      </c>
      <c r="H1021" s="59">
        <v>2</v>
      </c>
      <c r="I1021" s="57"/>
      <c r="J1021" s="57"/>
      <c r="K1021" s="59"/>
      <c r="L1021" s="57"/>
      <c r="M1021" s="60"/>
      <c r="N1021" s="59"/>
      <c r="O1021" s="57"/>
      <c r="P1021" s="57"/>
      <c r="Q1021" s="57" t="s">
        <v>22</v>
      </c>
      <c r="R1021" s="57" t="s">
        <v>2524</v>
      </c>
      <c r="S1021" s="59">
        <v>83165</v>
      </c>
      <c r="T1021" s="57" t="s">
        <v>61</v>
      </c>
      <c r="U1021" s="60">
        <v>45950</v>
      </c>
      <c r="V1021" s="59">
        <v>83165</v>
      </c>
      <c r="W1021" s="57" t="s">
        <v>4339</v>
      </c>
      <c r="X1021" s="57" t="s">
        <v>4340</v>
      </c>
      <c r="Y1021" s="57" t="s">
        <v>21</v>
      </c>
      <c r="Z1021" s="57" t="s">
        <v>2527</v>
      </c>
      <c r="AA1021" s="59">
        <v>8949</v>
      </c>
      <c r="AB1021" s="57" t="s">
        <v>61</v>
      </c>
      <c r="AC1021" s="60">
        <v>45854</v>
      </c>
      <c r="AD1021" s="59">
        <v>8949</v>
      </c>
      <c r="AE1021" s="57" t="s">
        <v>4341</v>
      </c>
      <c r="AF1021" s="57" t="s">
        <v>4342</v>
      </c>
    </row>
    <row r="1022" spans="1:32">
      <c r="A1022" s="57">
        <v>1021</v>
      </c>
      <c r="B1022" s="58">
        <v>45994.440763888888</v>
      </c>
      <c r="C1022" s="58">
        <v>45994.442835648151</v>
      </c>
      <c r="D1022" s="57" t="s">
        <v>2324</v>
      </c>
      <c r="E1022" s="57" t="s">
        <v>2325</v>
      </c>
      <c r="F1022" s="58"/>
      <c r="G1022" s="57" t="s">
        <v>2326</v>
      </c>
      <c r="H1022" s="59">
        <v>1</v>
      </c>
      <c r="I1022" s="57"/>
      <c r="J1022" s="57"/>
      <c r="K1022" s="59"/>
      <c r="L1022" s="57"/>
      <c r="M1022" s="60"/>
      <c r="N1022" s="59"/>
      <c r="O1022" s="57"/>
      <c r="P1022" s="57"/>
      <c r="Q1022" s="57"/>
      <c r="R1022" s="57"/>
      <c r="S1022" s="59"/>
      <c r="T1022" s="57"/>
      <c r="U1022" s="60"/>
      <c r="V1022" s="59"/>
      <c r="W1022" s="57"/>
      <c r="X1022" s="57"/>
      <c r="Y1022" s="57" t="s">
        <v>20</v>
      </c>
      <c r="Z1022" s="57" t="s">
        <v>374</v>
      </c>
      <c r="AA1022" s="59">
        <v>4574</v>
      </c>
      <c r="AB1022" s="57" t="s">
        <v>61</v>
      </c>
      <c r="AC1022" s="60">
        <v>45929</v>
      </c>
      <c r="AD1022" s="59">
        <v>4574</v>
      </c>
      <c r="AE1022" s="57" t="s">
        <v>4343</v>
      </c>
      <c r="AF1022" s="57" t="s">
        <v>4344</v>
      </c>
    </row>
    <row r="1023" spans="1:32">
      <c r="A1023" s="57">
        <v>1022</v>
      </c>
      <c r="B1023" s="58">
        <v>45994.437685185178</v>
      </c>
      <c r="C1023" s="58">
        <v>45994.44390046296</v>
      </c>
      <c r="D1023" s="57" t="s">
        <v>4345</v>
      </c>
      <c r="E1023" s="57" t="s">
        <v>4346</v>
      </c>
      <c r="F1023" s="58"/>
      <c r="G1023" s="57" t="s">
        <v>612</v>
      </c>
      <c r="H1023" s="59">
        <v>1</v>
      </c>
      <c r="I1023" s="57"/>
      <c r="J1023" s="57"/>
      <c r="K1023" s="59"/>
      <c r="L1023" s="57"/>
      <c r="M1023" s="60"/>
      <c r="N1023" s="59"/>
      <c r="O1023" s="57"/>
      <c r="P1023" s="57"/>
      <c r="Q1023" s="57"/>
      <c r="R1023" s="57"/>
      <c r="S1023" s="59"/>
      <c r="T1023" s="57"/>
      <c r="U1023" s="60"/>
      <c r="V1023" s="59"/>
      <c r="W1023" s="57"/>
      <c r="X1023" s="57"/>
      <c r="Y1023" s="57" t="s">
        <v>21</v>
      </c>
      <c r="Z1023" s="57" t="s">
        <v>292</v>
      </c>
      <c r="AA1023" s="59">
        <v>12817</v>
      </c>
      <c r="AB1023" s="57" t="s">
        <v>61</v>
      </c>
      <c r="AC1023" s="60">
        <v>45912</v>
      </c>
      <c r="AD1023" s="59">
        <v>12817</v>
      </c>
      <c r="AE1023" s="57" t="s">
        <v>4347</v>
      </c>
      <c r="AF1023" s="57" t="s">
        <v>4348</v>
      </c>
    </row>
    <row r="1024" spans="1:32">
      <c r="A1024" s="57">
        <v>1023</v>
      </c>
      <c r="B1024" s="58">
        <v>45994.439409722218</v>
      </c>
      <c r="C1024" s="58">
        <v>45994.450185185182</v>
      </c>
      <c r="D1024" s="57" t="s">
        <v>3164</v>
      </c>
      <c r="E1024" s="57" t="s">
        <v>3165</v>
      </c>
      <c r="F1024" s="58"/>
      <c r="G1024" s="57" t="s">
        <v>602</v>
      </c>
      <c r="H1024" s="59">
        <v>1</v>
      </c>
      <c r="I1024" s="57"/>
      <c r="J1024" s="57"/>
      <c r="K1024" s="59"/>
      <c r="L1024" s="57"/>
      <c r="M1024" s="60"/>
      <c r="N1024" s="59"/>
      <c r="O1024" s="57"/>
      <c r="P1024" s="57"/>
      <c r="Q1024" s="57"/>
      <c r="R1024" s="57"/>
      <c r="S1024" s="59"/>
      <c r="T1024" s="57"/>
      <c r="U1024" s="60"/>
      <c r="V1024" s="59"/>
      <c r="W1024" s="57"/>
      <c r="X1024" s="57"/>
      <c r="Y1024" s="57" t="s">
        <v>20</v>
      </c>
      <c r="Z1024" s="57" t="s">
        <v>279</v>
      </c>
      <c r="AA1024" s="59">
        <v>19602</v>
      </c>
      <c r="AB1024" s="57" t="s">
        <v>61</v>
      </c>
      <c r="AC1024" s="60">
        <v>45960</v>
      </c>
      <c r="AD1024" s="59">
        <v>19602</v>
      </c>
      <c r="AE1024" s="57" t="s">
        <v>4349</v>
      </c>
      <c r="AF1024" s="57" t="s">
        <v>4350</v>
      </c>
    </row>
    <row r="1025" spans="1:32">
      <c r="A1025" s="57">
        <v>1024</v>
      </c>
      <c r="B1025" s="58">
        <v>45994.451631944437</v>
      </c>
      <c r="C1025" s="58">
        <v>45994.455358796287</v>
      </c>
      <c r="D1025" s="57" t="s">
        <v>799</v>
      </c>
      <c r="E1025" s="57" t="s">
        <v>800</v>
      </c>
      <c r="F1025" s="58"/>
      <c r="G1025" s="57" t="s">
        <v>618</v>
      </c>
      <c r="H1025" s="59">
        <v>2</v>
      </c>
      <c r="I1025" s="57"/>
      <c r="J1025" s="57"/>
      <c r="K1025" s="59"/>
      <c r="L1025" s="57"/>
      <c r="M1025" s="60"/>
      <c r="N1025" s="59"/>
      <c r="O1025" s="57"/>
      <c r="P1025" s="57"/>
      <c r="Q1025" s="57" t="s">
        <v>22</v>
      </c>
      <c r="R1025" s="57" t="s">
        <v>299</v>
      </c>
      <c r="S1025" s="59">
        <v>24341</v>
      </c>
      <c r="T1025" s="57" t="s">
        <v>61</v>
      </c>
      <c r="U1025" s="60">
        <v>45955</v>
      </c>
      <c r="V1025" s="59">
        <v>24341</v>
      </c>
      <c r="W1025" s="57" t="s">
        <v>4351</v>
      </c>
      <c r="X1025" s="57" t="s">
        <v>4352</v>
      </c>
      <c r="Y1025" s="57" t="s">
        <v>20</v>
      </c>
      <c r="Z1025" s="57" t="s">
        <v>370</v>
      </c>
      <c r="AA1025" s="59">
        <v>12996</v>
      </c>
      <c r="AB1025" s="57" t="s">
        <v>61</v>
      </c>
      <c r="AC1025" s="60">
        <v>45953</v>
      </c>
      <c r="AD1025" s="59">
        <v>12996</v>
      </c>
      <c r="AE1025" s="57" t="s">
        <v>4353</v>
      </c>
      <c r="AF1025" s="57" t="s">
        <v>4354</v>
      </c>
    </row>
    <row r="1026" spans="1:32">
      <c r="A1026" s="57">
        <v>1025</v>
      </c>
      <c r="B1026" s="58">
        <v>45994.438333333332</v>
      </c>
      <c r="C1026" s="58">
        <v>45994.457916666674</v>
      </c>
      <c r="D1026" s="57" t="s">
        <v>4355</v>
      </c>
      <c r="E1026" s="57" t="s">
        <v>4356</v>
      </c>
      <c r="F1026" s="58"/>
      <c r="G1026" s="57" t="s">
        <v>665</v>
      </c>
      <c r="H1026" s="59">
        <v>1</v>
      </c>
      <c r="I1026" s="57"/>
      <c r="J1026" s="57"/>
      <c r="K1026" s="59"/>
      <c r="L1026" s="57"/>
      <c r="M1026" s="60"/>
      <c r="N1026" s="59"/>
      <c r="O1026" s="57"/>
      <c r="P1026" s="57"/>
      <c r="Q1026" s="57"/>
      <c r="R1026" s="57"/>
      <c r="S1026" s="59"/>
      <c r="T1026" s="57"/>
      <c r="U1026" s="60"/>
      <c r="V1026" s="59"/>
      <c r="W1026" s="57"/>
      <c r="X1026" s="57"/>
      <c r="Y1026" s="57" t="s">
        <v>21</v>
      </c>
      <c r="Z1026" s="57" t="s">
        <v>367</v>
      </c>
      <c r="AA1026" s="59">
        <v>7057</v>
      </c>
      <c r="AB1026" s="57" t="s">
        <v>61</v>
      </c>
      <c r="AC1026" s="60">
        <v>45985</v>
      </c>
      <c r="AD1026" s="59">
        <v>7057</v>
      </c>
      <c r="AE1026" s="57" t="s">
        <v>4357</v>
      </c>
      <c r="AF1026" s="57" t="s">
        <v>4358</v>
      </c>
    </row>
    <row r="1027" spans="1:32">
      <c r="A1027" s="57">
        <v>1026</v>
      </c>
      <c r="B1027" s="58">
        <v>45994.446597222217</v>
      </c>
      <c r="C1027" s="58">
        <v>45994.458715277768</v>
      </c>
      <c r="D1027" s="57" t="s">
        <v>1773</v>
      </c>
      <c r="E1027" s="57" t="s">
        <v>1774</v>
      </c>
      <c r="F1027" s="58"/>
      <c r="G1027" s="57" t="s">
        <v>539</v>
      </c>
      <c r="H1027" s="59">
        <v>1</v>
      </c>
      <c r="I1027" s="57"/>
      <c r="J1027" s="57"/>
      <c r="K1027" s="59"/>
      <c r="L1027" s="57"/>
      <c r="M1027" s="60"/>
      <c r="N1027" s="59"/>
      <c r="O1027" s="57"/>
      <c r="P1027" s="57"/>
      <c r="Q1027" s="57"/>
      <c r="R1027" s="57"/>
      <c r="S1027" s="59"/>
      <c r="T1027" s="57"/>
      <c r="U1027" s="60"/>
      <c r="V1027" s="59"/>
      <c r="W1027" s="57"/>
      <c r="X1027" s="57"/>
      <c r="Y1027" s="57" t="s">
        <v>20</v>
      </c>
      <c r="Z1027" s="57" t="s">
        <v>207</v>
      </c>
      <c r="AA1027" s="59">
        <v>44870</v>
      </c>
      <c r="AB1027" s="57" t="s">
        <v>61</v>
      </c>
      <c r="AC1027" s="60">
        <v>45911</v>
      </c>
      <c r="AD1027" s="59">
        <v>44870</v>
      </c>
      <c r="AE1027" s="57" t="s">
        <v>4359</v>
      </c>
      <c r="AF1027" s="57" t="s">
        <v>4360</v>
      </c>
    </row>
    <row r="1028" spans="1:32">
      <c r="A1028" s="57">
        <v>1027</v>
      </c>
      <c r="B1028" s="58">
        <v>45994.454560185193</v>
      </c>
      <c r="C1028" s="58">
        <v>45994.46365740741</v>
      </c>
      <c r="D1028" s="57" t="s">
        <v>1084</v>
      </c>
      <c r="E1028" s="57" t="s">
        <v>1085</v>
      </c>
      <c r="F1028" s="58"/>
      <c r="G1028" s="57" t="s">
        <v>532</v>
      </c>
      <c r="H1028" s="59">
        <v>2</v>
      </c>
      <c r="I1028" s="57"/>
      <c r="J1028" s="57"/>
      <c r="K1028" s="59"/>
      <c r="L1028" s="57"/>
      <c r="M1028" s="60"/>
      <c r="N1028" s="59"/>
      <c r="O1028" s="57"/>
      <c r="P1028" s="57"/>
      <c r="Q1028" s="57" t="s">
        <v>22</v>
      </c>
      <c r="R1028" s="57" t="s">
        <v>200</v>
      </c>
      <c r="S1028" s="59">
        <v>109021</v>
      </c>
      <c r="T1028" s="57" t="s">
        <v>61</v>
      </c>
      <c r="U1028" s="60">
        <v>45938</v>
      </c>
      <c r="V1028" s="59">
        <v>109021</v>
      </c>
      <c r="W1028" s="57" t="s">
        <v>4361</v>
      </c>
      <c r="X1028" s="57" t="s">
        <v>4362</v>
      </c>
      <c r="Y1028" s="57" t="s">
        <v>21</v>
      </c>
      <c r="Z1028" s="57" t="s">
        <v>379</v>
      </c>
      <c r="AA1028" s="59">
        <v>9451</v>
      </c>
      <c r="AB1028" s="57" t="s">
        <v>61</v>
      </c>
      <c r="AC1028" s="60">
        <v>45834</v>
      </c>
      <c r="AD1028" s="59">
        <v>9451</v>
      </c>
      <c r="AE1028" s="57" t="s">
        <v>4363</v>
      </c>
      <c r="AF1028" s="57" t="s">
        <v>4364</v>
      </c>
    </row>
    <row r="1029" spans="1:32">
      <c r="A1029" s="57">
        <v>1028</v>
      </c>
      <c r="B1029" s="58">
        <v>45994.455370370371</v>
      </c>
      <c r="C1029" s="58">
        <v>45994.467997685177</v>
      </c>
      <c r="D1029" s="57" t="s">
        <v>3321</v>
      </c>
      <c r="E1029" s="57" t="s">
        <v>3322</v>
      </c>
      <c r="F1029" s="58"/>
      <c r="G1029" s="57" t="s">
        <v>719</v>
      </c>
      <c r="H1029" s="59">
        <v>1</v>
      </c>
      <c r="I1029" s="57"/>
      <c r="J1029" s="57"/>
      <c r="K1029" s="59"/>
      <c r="L1029" s="57"/>
      <c r="M1029" s="60"/>
      <c r="N1029" s="59"/>
      <c r="O1029" s="57"/>
      <c r="P1029" s="57"/>
      <c r="Q1029" s="57"/>
      <c r="R1029" s="57"/>
      <c r="S1029" s="59"/>
      <c r="T1029" s="57"/>
      <c r="U1029" s="60"/>
      <c r="V1029" s="59"/>
      <c r="W1029" s="57"/>
      <c r="X1029" s="57"/>
      <c r="Y1029" s="57" t="s">
        <v>21</v>
      </c>
      <c r="Z1029" s="57" t="s">
        <v>1042</v>
      </c>
      <c r="AA1029" s="59">
        <v>57556</v>
      </c>
      <c r="AB1029" s="57" t="s">
        <v>61</v>
      </c>
      <c r="AC1029" s="60">
        <v>45914</v>
      </c>
      <c r="AD1029" s="59">
        <v>57556</v>
      </c>
      <c r="AE1029" s="57" t="s">
        <v>4365</v>
      </c>
      <c r="AF1029" s="57" t="s">
        <v>4366</v>
      </c>
    </row>
    <row r="1030" spans="1:32">
      <c r="A1030" s="57">
        <v>1029</v>
      </c>
      <c r="B1030" s="58">
        <v>45994.477754629632</v>
      </c>
      <c r="C1030" s="58">
        <v>45994.482361111113</v>
      </c>
      <c r="D1030" s="57" t="s">
        <v>3749</v>
      </c>
      <c r="E1030" s="57" t="s">
        <v>3750</v>
      </c>
      <c r="F1030" s="58"/>
      <c r="G1030" s="57" t="s">
        <v>505</v>
      </c>
      <c r="H1030" s="59">
        <v>1</v>
      </c>
      <c r="I1030" s="57"/>
      <c r="J1030" s="57"/>
      <c r="K1030" s="59"/>
      <c r="L1030" s="57"/>
      <c r="M1030" s="60"/>
      <c r="N1030" s="59"/>
      <c r="O1030" s="57"/>
      <c r="P1030" s="57"/>
      <c r="Q1030" s="57"/>
      <c r="R1030" s="57"/>
      <c r="S1030" s="59"/>
      <c r="T1030" s="57"/>
      <c r="U1030" s="60"/>
      <c r="V1030" s="59"/>
      <c r="W1030" s="57"/>
      <c r="X1030" s="57"/>
      <c r="Y1030" s="57" t="s">
        <v>20</v>
      </c>
      <c r="Z1030" s="57" t="s">
        <v>171</v>
      </c>
      <c r="AA1030" s="59">
        <v>74313</v>
      </c>
      <c r="AB1030" s="57" t="s">
        <v>61</v>
      </c>
      <c r="AC1030" s="60">
        <v>45909</v>
      </c>
      <c r="AD1030" s="59">
        <v>74313</v>
      </c>
      <c r="AE1030" s="57" t="s">
        <v>4367</v>
      </c>
      <c r="AF1030" s="57" t="s">
        <v>4368</v>
      </c>
    </row>
    <row r="1031" spans="1:32">
      <c r="A1031" s="57">
        <v>1030</v>
      </c>
      <c r="B1031" s="58">
        <v>45994.504618055558</v>
      </c>
      <c r="C1031" s="58">
        <v>45994.507638888892</v>
      </c>
      <c r="D1031" s="57" t="s">
        <v>836</v>
      </c>
      <c r="E1031" s="57" t="s">
        <v>837</v>
      </c>
      <c r="F1031" s="58"/>
      <c r="G1031" s="57" t="s">
        <v>614</v>
      </c>
      <c r="H1031" s="59">
        <v>1</v>
      </c>
      <c r="I1031" s="57"/>
      <c r="J1031" s="57"/>
      <c r="K1031" s="59"/>
      <c r="L1031" s="57"/>
      <c r="M1031" s="60"/>
      <c r="N1031" s="59"/>
      <c r="O1031" s="57"/>
      <c r="P1031" s="57"/>
      <c r="Q1031" s="57"/>
      <c r="R1031" s="57"/>
      <c r="S1031" s="59"/>
      <c r="T1031" s="57"/>
      <c r="U1031" s="60"/>
      <c r="V1031" s="59"/>
      <c r="W1031" s="57"/>
      <c r="X1031" s="57"/>
      <c r="Y1031" s="57" t="s">
        <v>21</v>
      </c>
      <c r="Z1031" s="57" t="s">
        <v>294</v>
      </c>
      <c r="AA1031" s="59">
        <v>18855</v>
      </c>
      <c r="AB1031" s="57" t="s">
        <v>61</v>
      </c>
      <c r="AC1031" s="60">
        <v>45992</v>
      </c>
      <c r="AD1031" s="59">
        <v>18855</v>
      </c>
      <c r="AE1031" s="57" t="s">
        <v>4369</v>
      </c>
      <c r="AF1031" s="57" t="s">
        <v>4370</v>
      </c>
    </row>
    <row r="1032" spans="1:32">
      <c r="A1032" s="57">
        <v>1031</v>
      </c>
      <c r="B1032" s="58">
        <v>45994.44971064815</v>
      </c>
      <c r="C1032" s="58">
        <v>45994.509884259263</v>
      </c>
      <c r="D1032" s="57" t="s">
        <v>2163</v>
      </c>
      <c r="E1032" s="57" t="s">
        <v>2164</v>
      </c>
      <c r="F1032" s="58"/>
      <c r="G1032" s="57" t="s">
        <v>484</v>
      </c>
      <c r="H1032" s="59">
        <v>3</v>
      </c>
      <c r="I1032" s="57" t="s">
        <v>22</v>
      </c>
      <c r="J1032" s="57" t="s">
        <v>254</v>
      </c>
      <c r="K1032" s="59">
        <v>27668</v>
      </c>
      <c r="L1032" s="57" t="s">
        <v>61</v>
      </c>
      <c r="M1032" s="60">
        <v>45986</v>
      </c>
      <c r="N1032" s="59">
        <v>27668</v>
      </c>
      <c r="O1032" s="57" t="s">
        <v>4371</v>
      </c>
      <c r="P1032" s="57" t="s">
        <v>4372</v>
      </c>
      <c r="Q1032" s="57" t="s">
        <v>21</v>
      </c>
      <c r="R1032" s="57" t="s">
        <v>2165</v>
      </c>
      <c r="S1032" s="59">
        <v>5943</v>
      </c>
      <c r="T1032" s="57" t="s">
        <v>61</v>
      </c>
      <c r="U1032" s="60">
        <v>45783</v>
      </c>
      <c r="V1032" s="59">
        <v>5943</v>
      </c>
      <c r="W1032" s="57" t="s">
        <v>4373</v>
      </c>
      <c r="X1032" s="57" t="s">
        <v>4374</v>
      </c>
      <c r="Y1032" s="57" t="s">
        <v>22</v>
      </c>
      <c r="Z1032" s="57" t="s">
        <v>150</v>
      </c>
      <c r="AA1032" s="59">
        <v>35829</v>
      </c>
      <c r="AB1032" s="57" t="s">
        <v>61</v>
      </c>
      <c r="AC1032" s="60">
        <v>45608</v>
      </c>
      <c r="AD1032" s="59">
        <v>35829</v>
      </c>
      <c r="AE1032" s="57" t="s">
        <v>4375</v>
      </c>
      <c r="AF1032" s="57" t="s">
        <v>4376</v>
      </c>
    </row>
    <row r="1033" spans="1:32">
      <c r="A1033" s="57">
        <v>1032</v>
      </c>
      <c r="B1033" s="58">
        <v>45991.484826388893</v>
      </c>
      <c r="C1033" s="58">
        <v>45994.62296296296</v>
      </c>
      <c r="D1033" s="57" t="s">
        <v>1723</v>
      </c>
      <c r="E1033" s="57" t="s">
        <v>1724</v>
      </c>
      <c r="F1033" s="58"/>
      <c r="G1033" s="57" t="s">
        <v>700</v>
      </c>
      <c r="H1033" s="59">
        <v>2</v>
      </c>
      <c r="I1033" s="57"/>
      <c r="J1033" s="57"/>
      <c r="K1033" s="59"/>
      <c r="L1033" s="57"/>
      <c r="M1033" s="60"/>
      <c r="N1033" s="59"/>
      <c r="O1033" s="57"/>
      <c r="P1033" s="57"/>
      <c r="Q1033" s="57" t="s">
        <v>21</v>
      </c>
      <c r="R1033" s="57" t="s">
        <v>2135</v>
      </c>
      <c r="S1033" s="59">
        <v>30288</v>
      </c>
      <c r="T1033" s="57" t="s">
        <v>61</v>
      </c>
      <c r="U1033" s="60">
        <v>45903</v>
      </c>
      <c r="V1033" s="59">
        <v>30288</v>
      </c>
      <c r="W1033" s="57" t="s">
        <v>4377</v>
      </c>
      <c r="X1033" s="57" t="s">
        <v>4378</v>
      </c>
      <c r="Y1033" s="57" t="s">
        <v>21</v>
      </c>
      <c r="Z1033" s="57" t="s">
        <v>426</v>
      </c>
      <c r="AA1033" s="59">
        <v>1673</v>
      </c>
      <c r="AB1033" s="57" t="s">
        <v>61</v>
      </c>
      <c r="AC1033" s="60">
        <v>45967</v>
      </c>
      <c r="AD1033" s="59">
        <v>1673</v>
      </c>
      <c r="AE1033" s="57" t="s">
        <v>4379</v>
      </c>
      <c r="AF1033" s="57" t="s">
        <v>4380</v>
      </c>
    </row>
    <row r="1034" spans="1:32">
      <c r="A1034" s="57">
        <v>1033</v>
      </c>
      <c r="B1034" s="58">
        <v>45994.624560185177</v>
      </c>
      <c r="C1034" s="58">
        <v>45994.62736111111</v>
      </c>
      <c r="D1034" s="57" t="s">
        <v>1356</v>
      </c>
      <c r="E1034" s="57" t="s">
        <v>1357</v>
      </c>
      <c r="F1034" s="58"/>
      <c r="G1034" s="57" t="s">
        <v>690</v>
      </c>
      <c r="H1034" s="59">
        <v>1</v>
      </c>
      <c r="I1034" s="57"/>
      <c r="J1034" s="57"/>
      <c r="K1034" s="59"/>
      <c r="L1034" s="57"/>
      <c r="M1034" s="60"/>
      <c r="N1034" s="59"/>
      <c r="O1034" s="57"/>
      <c r="P1034" s="57"/>
      <c r="Q1034" s="57"/>
      <c r="R1034" s="57"/>
      <c r="S1034" s="59"/>
      <c r="T1034" s="57"/>
      <c r="U1034" s="60"/>
      <c r="V1034" s="59"/>
      <c r="W1034" s="57"/>
      <c r="X1034" s="57"/>
      <c r="Y1034" s="57" t="s">
        <v>21</v>
      </c>
      <c r="Z1034" s="57" t="s">
        <v>410</v>
      </c>
      <c r="AA1034" s="59">
        <v>414</v>
      </c>
      <c r="AB1034" s="57" t="s">
        <v>61</v>
      </c>
      <c r="AC1034" s="60">
        <v>45994</v>
      </c>
      <c r="AD1034" s="59">
        <v>414</v>
      </c>
      <c r="AE1034" s="57" t="s">
        <v>4381</v>
      </c>
      <c r="AF1034" s="57" t="s">
        <v>4382</v>
      </c>
    </row>
    <row r="1035" spans="1:32">
      <c r="A1035" s="57">
        <v>1034</v>
      </c>
      <c r="B1035" s="58">
        <v>45994.643888888888</v>
      </c>
      <c r="C1035" s="58">
        <v>45994.645636574067</v>
      </c>
      <c r="D1035" s="57" t="s">
        <v>1547</v>
      </c>
      <c r="E1035" s="57" t="s">
        <v>1548</v>
      </c>
      <c r="F1035" s="58"/>
      <c r="G1035" s="57" t="s">
        <v>664</v>
      </c>
      <c r="H1035" s="59">
        <v>1</v>
      </c>
      <c r="I1035" s="57"/>
      <c r="J1035" s="57"/>
      <c r="K1035" s="59"/>
      <c r="L1035" s="57"/>
      <c r="M1035" s="60"/>
      <c r="N1035" s="59"/>
      <c r="O1035" s="57"/>
      <c r="P1035" s="57"/>
      <c r="Q1035" s="57"/>
      <c r="R1035" s="57"/>
      <c r="S1035" s="59"/>
      <c r="T1035" s="57"/>
      <c r="U1035" s="60"/>
      <c r="V1035" s="59"/>
      <c r="W1035" s="57"/>
      <c r="X1035" s="57"/>
      <c r="Y1035" s="57" t="s">
        <v>21</v>
      </c>
      <c r="Z1035" s="57" t="s">
        <v>366</v>
      </c>
      <c r="AA1035" s="59">
        <v>7527</v>
      </c>
      <c r="AB1035" s="57" t="s">
        <v>61</v>
      </c>
      <c r="AC1035" s="60">
        <v>45915</v>
      </c>
      <c r="AD1035" s="59">
        <v>7527</v>
      </c>
      <c r="AE1035" s="57" t="s">
        <v>4383</v>
      </c>
      <c r="AF1035" s="57" t="s">
        <v>4384</v>
      </c>
    </row>
    <row r="1036" spans="1:32">
      <c r="A1036" s="57">
        <v>1035</v>
      </c>
      <c r="B1036" s="58">
        <v>45994.647361111107</v>
      </c>
      <c r="C1036" s="58">
        <v>45994.651550925933</v>
      </c>
      <c r="D1036" s="57" t="s">
        <v>1139</v>
      </c>
      <c r="E1036" s="57" t="s">
        <v>1140</v>
      </c>
      <c r="F1036" s="58"/>
      <c r="G1036" s="57" t="s">
        <v>592</v>
      </c>
      <c r="H1036" s="59">
        <v>1</v>
      </c>
      <c r="I1036" s="57"/>
      <c r="J1036" s="57"/>
      <c r="K1036" s="59"/>
      <c r="L1036" s="57"/>
      <c r="M1036" s="60"/>
      <c r="N1036" s="59"/>
      <c r="O1036" s="57"/>
      <c r="P1036" s="57"/>
      <c r="Q1036" s="57"/>
      <c r="R1036" s="57"/>
      <c r="S1036" s="59"/>
      <c r="T1036" s="57"/>
      <c r="U1036" s="60"/>
      <c r="V1036" s="59"/>
      <c r="W1036" s="57"/>
      <c r="X1036" s="57"/>
      <c r="Y1036" s="57" t="s">
        <v>21</v>
      </c>
      <c r="Z1036" s="57" t="s">
        <v>268</v>
      </c>
      <c r="AA1036" s="59">
        <v>33318</v>
      </c>
      <c r="AB1036" s="57" t="s">
        <v>61</v>
      </c>
      <c r="AC1036" s="60">
        <v>45915</v>
      </c>
      <c r="AD1036" s="59">
        <v>33318</v>
      </c>
      <c r="AE1036" s="57" t="s">
        <v>4385</v>
      </c>
      <c r="AF1036" s="57" t="s">
        <v>4386</v>
      </c>
    </row>
    <row r="1037" spans="1:32">
      <c r="A1037" s="57">
        <v>1036</v>
      </c>
      <c r="B1037" s="58">
        <v>45994.655173611107</v>
      </c>
      <c r="C1037" s="58">
        <v>45994.66300925926</v>
      </c>
      <c r="D1037" s="57" t="s">
        <v>1026</v>
      </c>
      <c r="E1037" s="57" t="s">
        <v>1027</v>
      </c>
      <c r="F1037" s="58"/>
      <c r="G1037" s="57" t="s">
        <v>478</v>
      </c>
      <c r="H1037" s="59">
        <v>1</v>
      </c>
      <c r="I1037" s="57"/>
      <c r="J1037" s="57"/>
      <c r="K1037" s="59"/>
      <c r="L1037" s="57"/>
      <c r="M1037" s="60"/>
      <c r="N1037" s="59"/>
      <c r="O1037" s="57"/>
      <c r="P1037" s="57"/>
      <c r="Q1037" s="57"/>
      <c r="R1037" s="57"/>
      <c r="S1037" s="59"/>
      <c r="T1037" s="57"/>
      <c r="U1037" s="60"/>
      <c r="V1037" s="59"/>
      <c r="W1037" s="57"/>
      <c r="X1037" s="57"/>
      <c r="Y1037" s="57" t="s">
        <v>20</v>
      </c>
      <c r="Z1037" s="57" t="s">
        <v>144</v>
      </c>
      <c r="AA1037" s="59">
        <v>57586</v>
      </c>
      <c r="AB1037" s="57" t="s">
        <v>61</v>
      </c>
      <c r="AC1037" s="60">
        <v>45912</v>
      </c>
      <c r="AD1037" s="59">
        <v>57586</v>
      </c>
      <c r="AE1037" s="57" t="s">
        <v>4387</v>
      </c>
      <c r="AF1037" s="57" t="s">
        <v>4388</v>
      </c>
    </row>
    <row r="1038" spans="1:32">
      <c r="A1038" s="57">
        <v>1037</v>
      </c>
      <c r="B1038" s="58">
        <v>45994.632280092592</v>
      </c>
      <c r="C1038" s="58">
        <v>45994.663634259261</v>
      </c>
      <c r="D1038" s="57" t="s">
        <v>2068</v>
      </c>
      <c r="E1038" s="57" t="s">
        <v>2069</v>
      </c>
      <c r="F1038" s="58"/>
      <c r="G1038" s="57" t="s">
        <v>643</v>
      </c>
      <c r="H1038" s="59">
        <v>1</v>
      </c>
      <c r="I1038" s="57"/>
      <c r="J1038" s="57"/>
      <c r="K1038" s="59"/>
      <c r="L1038" s="57"/>
      <c r="M1038" s="60"/>
      <c r="N1038" s="59"/>
      <c r="O1038" s="57"/>
      <c r="P1038" s="57"/>
      <c r="Q1038" s="57"/>
      <c r="R1038" s="57"/>
      <c r="S1038" s="59"/>
      <c r="T1038" s="57"/>
      <c r="U1038" s="60"/>
      <c r="V1038" s="59"/>
      <c r="W1038" s="57"/>
      <c r="X1038" s="57"/>
      <c r="Y1038" s="57" t="s">
        <v>21</v>
      </c>
      <c r="Z1038" s="57" t="s">
        <v>338</v>
      </c>
      <c r="AA1038" s="59">
        <v>13303</v>
      </c>
      <c r="AB1038" s="57" t="s">
        <v>61</v>
      </c>
      <c r="AC1038" s="60">
        <v>45923</v>
      </c>
      <c r="AD1038" s="59">
        <v>13303</v>
      </c>
      <c r="AE1038" s="57" t="s">
        <v>4389</v>
      </c>
      <c r="AF1038" s="57" t="s">
        <v>4390</v>
      </c>
    </row>
    <row r="1039" spans="1:32">
      <c r="A1039" s="57">
        <v>1038</v>
      </c>
      <c r="B1039" s="58">
        <v>45994.622164351851</v>
      </c>
      <c r="C1039" s="58">
        <v>45994.67119212963</v>
      </c>
      <c r="D1039" s="57" t="s">
        <v>1249</v>
      </c>
      <c r="E1039" s="57" t="s">
        <v>1250</v>
      </c>
      <c r="F1039" s="58"/>
      <c r="G1039" s="57" t="s">
        <v>660</v>
      </c>
      <c r="H1039" s="59">
        <v>2</v>
      </c>
      <c r="I1039" s="57"/>
      <c r="J1039" s="57"/>
      <c r="K1039" s="59"/>
      <c r="L1039" s="57"/>
      <c r="M1039" s="60"/>
      <c r="N1039" s="59"/>
      <c r="O1039" s="57"/>
      <c r="P1039" s="57"/>
      <c r="Q1039" s="57" t="s">
        <v>20</v>
      </c>
      <c r="R1039" s="57" t="s">
        <v>1251</v>
      </c>
      <c r="S1039" s="59">
        <v>112649</v>
      </c>
      <c r="T1039" s="57" t="s">
        <v>61</v>
      </c>
      <c r="U1039" s="60">
        <v>45972</v>
      </c>
      <c r="V1039" s="59">
        <v>112649</v>
      </c>
      <c r="W1039" s="57" t="s">
        <v>4391</v>
      </c>
      <c r="X1039" s="57" t="s">
        <v>4392</v>
      </c>
      <c r="Y1039" s="57" t="s">
        <v>22</v>
      </c>
      <c r="Z1039" s="57" t="s">
        <v>361</v>
      </c>
      <c r="AA1039" s="59">
        <v>14669</v>
      </c>
      <c r="AB1039" s="57" t="s">
        <v>61</v>
      </c>
      <c r="AC1039" s="60">
        <v>45972</v>
      </c>
      <c r="AD1039" s="59">
        <v>14669</v>
      </c>
      <c r="AE1039" s="57" t="s">
        <v>4393</v>
      </c>
      <c r="AF1039" s="57" t="s">
        <v>4394</v>
      </c>
    </row>
    <row r="1040" spans="1:32">
      <c r="A1040" s="57">
        <v>1039</v>
      </c>
      <c r="B1040" s="58">
        <v>45994.626018518517</v>
      </c>
      <c r="C1040" s="58">
        <v>45994.686574074083</v>
      </c>
      <c r="D1040" s="57" t="s">
        <v>1406</v>
      </c>
      <c r="E1040" s="57" t="s">
        <v>1407</v>
      </c>
      <c r="F1040" s="58"/>
      <c r="G1040" s="57" t="s">
        <v>531</v>
      </c>
      <c r="H1040" s="59">
        <v>1</v>
      </c>
      <c r="I1040" s="57"/>
      <c r="J1040" s="57"/>
      <c r="K1040" s="59"/>
      <c r="L1040" s="57"/>
      <c r="M1040" s="60"/>
      <c r="N1040" s="59"/>
      <c r="O1040" s="57"/>
      <c r="P1040" s="57"/>
      <c r="Q1040" s="57"/>
      <c r="R1040" s="57"/>
      <c r="S1040" s="59"/>
      <c r="T1040" s="57"/>
      <c r="U1040" s="60"/>
      <c r="V1040" s="59"/>
      <c r="W1040" s="57"/>
      <c r="X1040" s="57"/>
      <c r="Y1040" s="57" t="s">
        <v>21</v>
      </c>
      <c r="Z1040" s="57" t="s">
        <v>199</v>
      </c>
      <c r="AA1040" s="59">
        <v>2741</v>
      </c>
      <c r="AB1040" s="57" t="s">
        <v>61</v>
      </c>
      <c r="AC1040" s="60">
        <v>45902</v>
      </c>
      <c r="AD1040" s="59">
        <v>2741</v>
      </c>
      <c r="AE1040" s="57" t="s">
        <v>4395</v>
      </c>
      <c r="AF1040" s="57" t="s">
        <v>4396</v>
      </c>
    </row>
    <row r="1041" spans="1:32">
      <c r="A1041" s="57">
        <v>1040</v>
      </c>
      <c r="B1041" s="58">
        <v>45994.6640625</v>
      </c>
      <c r="C1041" s="58">
        <v>45994.701018518521</v>
      </c>
      <c r="D1041" s="57" t="s">
        <v>1754</v>
      </c>
      <c r="E1041" s="57" t="s">
        <v>1755</v>
      </c>
      <c r="F1041" s="58"/>
      <c r="G1041" s="57" t="s">
        <v>620</v>
      </c>
      <c r="H1041" s="59">
        <v>2</v>
      </c>
      <c r="I1041" s="57"/>
      <c r="J1041" s="57"/>
      <c r="K1041" s="59"/>
      <c r="L1041" s="57"/>
      <c r="M1041" s="60"/>
      <c r="N1041" s="59"/>
      <c r="O1041" s="57"/>
      <c r="P1041" s="57"/>
      <c r="Q1041" s="57" t="s">
        <v>22</v>
      </c>
      <c r="R1041" s="57" t="s">
        <v>302</v>
      </c>
      <c r="S1041" s="59">
        <v>20333</v>
      </c>
      <c r="T1041" s="57" t="s">
        <v>61</v>
      </c>
      <c r="U1041" s="60">
        <v>45978</v>
      </c>
      <c r="V1041" s="59">
        <v>20333</v>
      </c>
      <c r="W1041" s="57" t="s">
        <v>4397</v>
      </c>
      <c r="X1041" s="57" t="s">
        <v>4398</v>
      </c>
      <c r="Y1041" s="57" t="s">
        <v>21</v>
      </c>
      <c r="Z1041" s="57" t="s">
        <v>357</v>
      </c>
      <c r="AA1041" s="59">
        <v>7370</v>
      </c>
      <c r="AB1041" s="57" t="s">
        <v>61</v>
      </c>
      <c r="AC1041" s="60">
        <v>45908</v>
      </c>
      <c r="AD1041" s="59">
        <v>7370</v>
      </c>
      <c r="AE1041" s="57" t="s">
        <v>4399</v>
      </c>
      <c r="AF1041" s="57" t="s">
        <v>4400</v>
      </c>
    </row>
    <row r="1042" spans="1:32">
      <c r="A1042" s="57">
        <v>1041</v>
      </c>
      <c r="B1042" s="58">
        <v>45994.852199074077</v>
      </c>
      <c r="C1042" s="58">
        <v>45994.860277777778</v>
      </c>
      <c r="D1042" s="57" t="s">
        <v>1542</v>
      </c>
      <c r="E1042" s="57" t="s">
        <v>1543</v>
      </c>
      <c r="F1042" s="58"/>
      <c r="G1042" s="57" t="s">
        <v>678</v>
      </c>
      <c r="H1042" s="59">
        <v>1</v>
      </c>
      <c r="I1042" s="57"/>
      <c r="J1042" s="57"/>
      <c r="K1042" s="59"/>
      <c r="L1042" s="57"/>
      <c r="M1042" s="60"/>
      <c r="N1042" s="59"/>
      <c r="O1042" s="57"/>
      <c r="P1042" s="57"/>
      <c r="Q1042" s="57"/>
      <c r="R1042" s="57"/>
      <c r="S1042" s="59"/>
      <c r="T1042" s="57"/>
      <c r="U1042" s="60"/>
      <c r="V1042" s="59"/>
      <c r="W1042" s="57"/>
      <c r="X1042" s="57"/>
      <c r="Y1042" s="57" t="s">
        <v>20</v>
      </c>
      <c r="Z1042" s="57" t="s">
        <v>392</v>
      </c>
      <c r="AA1042" s="59">
        <v>4827</v>
      </c>
      <c r="AB1042" s="57" t="s">
        <v>61</v>
      </c>
      <c r="AC1042" s="60">
        <v>45855</v>
      </c>
      <c r="AD1042" s="59">
        <v>4827</v>
      </c>
      <c r="AE1042" s="57" t="s">
        <v>4401</v>
      </c>
      <c r="AF1042" s="57" t="s">
        <v>4402</v>
      </c>
    </row>
    <row r="1043" spans="1:32">
      <c r="A1043" s="57">
        <v>1042</v>
      </c>
      <c r="B1043" s="58">
        <v>45995.328344907408</v>
      </c>
      <c r="C1043" s="58">
        <v>45995.337569444448</v>
      </c>
      <c r="D1043" s="57" t="s">
        <v>1885</v>
      </c>
      <c r="E1043" s="57" t="s">
        <v>1886</v>
      </c>
      <c r="F1043" s="58"/>
      <c r="G1043" s="57" t="s">
        <v>486</v>
      </c>
      <c r="H1043" s="59">
        <v>2</v>
      </c>
      <c r="I1043" s="57"/>
      <c r="J1043" s="57"/>
      <c r="K1043" s="59"/>
      <c r="L1043" s="57"/>
      <c r="M1043" s="60"/>
      <c r="N1043" s="59"/>
      <c r="O1043" s="57"/>
      <c r="P1043" s="57"/>
      <c r="Q1043" s="57" t="s">
        <v>20</v>
      </c>
      <c r="R1043" s="57" t="s">
        <v>152</v>
      </c>
      <c r="S1043" s="59">
        <v>457646</v>
      </c>
      <c r="T1043" s="57" t="s">
        <v>61</v>
      </c>
      <c r="U1043" s="60">
        <v>45936</v>
      </c>
      <c r="V1043" s="59">
        <v>457646</v>
      </c>
      <c r="W1043" s="57" t="s">
        <v>4403</v>
      </c>
      <c r="X1043" s="57" t="s">
        <v>4404</v>
      </c>
      <c r="Y1043" s="57" t="s">
        <v>20</v>
      </c>
      <c r="Z1043" s="57" t="s">
        <v>1889</v>
      </c>
      <c r="AA1043" s="59">
        <v>53534</v>
      </c>
      <c r="AB1043" s="57" t="s">
        <v>61</v>
      </c>
      <c r="AC1043" s="60">
        <v>45936</v>
      </c>
      <c r="AD1043" s="59">
        <v>53534</v>
      </c>
      <c r="AE1043" s="57" t="s">
        <v>4405</v>
      </c>
      <c r="AF1043" s="57" t="s">
        <v>4406</v>
      </c>
    </row>
    <row r="1044" spans="1:32">
      <c r="A1044" s="57">
        <v>1043</v>
      </c>
      <c r="B1044" s="58">
        <v>45995.342187499999</v>
      </c>
      <c r="C1044" s="58">
        <v>45995.380243055559</v>
      </c>
      <c r="D1044" s="57" t="s">
        <v>4407</v>
      </c>
      <c r="E1044" s="57" t="s">
        <v>4408</v>
      </c>
      <c r="F1044" s="58"/>
      <c r="G1044" s="57" t="s">
        <v>650</v>
      </c>
      <c r="H1044" s="59">
        <v>1</v>
      </c>
      <c r="I1044" s="57"/>
      <c r="J1044" s="57"/>
      <c r="K1044" s="59"/>
      <c r="L1044" s="57"/>
      <c r="M1044" s="60"/>
      <c r="N1044" s="59"/>
      <c r="O1044" s="57"/>
      <c r="P1044" s="57"/>
      <c r="Q1044" s="57"/>
      <c r="R1044" s="57"/>
      <c r="S1044" s="59"/>
      <c r="T1044" s="57"/>
      <c r="U1044" s="60"/>
      <c r="V1044" s="59"/>
      <c r="W1044" s="57"/>
      <c r="X1044" s="57"/>
      <c r="Y1044" s="57" t="s">
        <v>21</v>
      </c>
      <c r="Z1044" s="57" t="s">
        <v>347</v>
      </c>
      <c r="AA1044" s="59">
        <v>1302389</v>
      </c>
      <c r="AB1044" s="57" t="s">
        <v>61</v>
      </c>
      <c r="AC1044" s="60">
        <v>45916</v>
      </c>
      <c r="AD1044" s="59">
        <v>1302389</v>
      </c>
      <c r="AE1044" s="57" t="s">
        <v>4409</v>
      </c>
      <c r="AF1044" s="57" t="s">
        <v>4410</v>
      </c>
    </row>
    <row r="1045" spans="1:32">
      <c r="A1045" s="57">
        <v>1044</v>
      </c>
      <c r="B1045" s="58">
        <v>45995.45516203704</v>
      </c>
      <c r="C1045" s="58">
        <v>45995.459421296298</v>
      </c>
      <c r="D1045" s="57" t="s">
        <v>2131</v>
      </c>
      <c r="E1045" s="57" t="s">
        <v>2132</v>
      </c>
      <c r="F1045" s="58"/>
      <c r="G1045" s="57" t="s">
        <v>651</v>
      </c>
      <c r="H1045" s="59">
        <v>1</v>
      </c>
      <c r="I1045" s="57"/>
      <c r="J1045" s="57"/>
      <c r="K1045" s="59"/>
      <c r="L1045" s="57"/>
      <c r="M1045" s="60"/>
      <c r="N1045" s="59"/>
      <c r="O1045" s="57"/>
      <c r="P1045" s="57"/>
      <c r="Q1045" s="57"/>
      <c r="R1045" s="57"/>
      <c r="S1045" s="59"/>
      <c r="T1045" s="57"/>
      <c r="U1045" s="60"/>
      <c r="V1045" s="59"/>
      <c r="W1045" s="57"/>
      <c r="X1045" s="57"/>
      <c r="Y1045" s="57" t="s">
        <v>21</v>
      </c>
      <c r="Z1045" s="57" t="s">
        <v>348</v>
      </c>
      <c r="AA1045" s="59">
        <v>18016</v>
      </c>
      <c r="AB1045" s="57" t="s">
        <v>61</v>
      </c>
      <c r="AC1045" s="60">
        <v>45854</v>
      </c>
      <c r="AD1045" s="59">
        <v>18016</v>
      </c>
      <c r="AE1045" s="57" t="s">
        <v>4411</v>
      </c>
      <c r="AF1045" s="57" t="s">
        <v>4412</v>
      </c>
    </row>
    <row r="1046" spans="1:32">
      <c r="A1046" s="57">
        <v>1045</v>
      </c>
      <c r="B1046" s="58">
        <v>45995.482442129629</v>
      </c>
      <c r="C1046" s="58">
        <v>45995.487638888888</v>
      </c>
      <c r="D1046" s="57" t="s">
        <v>4413</v>
      </c>
      <c r="E1046" s="57" t="s">
        <v>4414</v>
      </c>
      <c r="F1046" s="58"/>
      <c r="G1046" s="57" t="s">
        <v>666</v>
      </c>
      <c r="H1046" s="59">
        <v>1</v>
      </c>
      <c r="I1046" s="57"/>
      <c r="J1046" s="57"/>
      <c r="K1046" s="59"/>
      <c r="L1046" s="57"/>
      <c r="M1046" s="60"/>
      <c r="N1046" s="59"/>
      <c r="O1046" s="57"/>
      <c r="P1046" s="57"/>
      <c r="Q1046" s="57"/>
      <c r="R1046" s="57"/>
      <c r="S1046" s="59"/>
      <c r="T1046" s="57"/>
      <c r="U1046" s="60"/>
      <c r="V1046" s="59"/>
      <c r="W1046" s="57"/>
      <c r="X1046" s="57"/>
      <c r="Y1046" s="57" t="s">
        <v>21</v>
      </c>
      <c r="Z1046" s="57" t="s">
        <v>376</v>
      </c>
      <c r="AA1046" s="59">
        <v>8597</v>
      </c>
      <c r="AB1046" s="57" t="s">
        <v>61</v>
      </c>
      <c r="AC1046" s="60">
        <v>45995</v>
      </c>
      <c r="AD1046" s="59">
        <v>8597</v>
      </c>
      <c r="AE1046" s="57" t="s">
        <v>4415</v>
      </c>
      <c r="AF1046" s="57" t="s">
        <v>4416</v>
      </c>
    </row>
    <row r="1047" spans="1:32">
      <c r="A1047" s="57">
        <v>1046</v>
      </c>
      <c r="B1047" s="58">
        <v>45996.345983796287</v>
      </c>
      <c r="C1047" s="58">
        <v>45996.360092592593</v>
      </c>
      <c r="D1047" s="57" t="s">
        <v>1387</v>
      </c>
      <c r="E1047" s="57" t="s">
        <v>1388</v>
      </c>
      <c r="F1047" s="58"/>
      <c r="G1047" s="57" t="s">
        <v>462</v>
      </c>
      <c r="H1047" s="59">
        <v>1</v>
      </c>
      <c r="I1047" s="57"/>
      <c r="J1047" s="57"/>
      <c r="K1047" s="59"/>
      <c r="L1047" s="57"/>
      <c r="M1047" s="60"/>
      <c r="N1047" s="59"/>
      <c r="O1047" s="57"/>
      <c r="P1047" s="57"/>
      <c r="Q1047" s="57"/>
      <c r="R1047" s="57"/>
      <c r="S1047" s="59"/>
      <c r="T1047" s="57"/>
      <c r="U1047" s="60"/>
      <c r="V1047" s="59"/>
      <c r="W1047" s="57"/>
      <c r="X1047" s="57"/>
      <c r="Y1047" s="57" t="s">
        <v>21</v>
      </c>
      <c r="Z1047" s="57" t="s">
        <v>127</v>
      </c>
      <c r="AA1047" s="59">
        <v>19655</v>
      </c>
      <c r="AB1047" s="57" t="s">
        <v>61</v>
      </c>
      <c r="AC1047" s="60">
        <v>45668</v>
      </c>
      <c r="AD1047" s="59">
        <v>19655</v>
      </c>
      <c r="AE1047" s="57" t="s">
        <v>4417</v>
      </c>
      <c r="AF1047" s="57" t="s">
        <v>4418</v>
      </c>
    </row>
    <row r="1048" spans="1:32">
      <c r="A1048" s="57">
        <v>1047</v>
      </c>
      <c r="B1048" s="58">
        <v>45996.385578703703</v>
      </c>
      <c r="C1048" s="58">
        <v>45996.388055555559</v>
      </c>
      <c r="D1048" s="57" t="s">
        <v>1469</v>
      </c>
      <c r="E1048" s="57" t="s">
        <v>1470</v>
      </c>
      <c r="F1048" s="58"/>
      <c r="G1048" s="57" t="s">
        <v>523</v>
      </c>
      <c r="H1048" s="59">
        <v>1</v>
      </c>
      <c r="I1048" s="57"/>
      <c r="J1048" s="57"/>
      <c r="K1048" s="59"/>
      <c r="L1048" s="57"/>
      <c r="M1048" s="60"/>
      <c r="N1048" s="59"/>
      <c r="O1048" s="57"/>
      <c r="P1048" s="57"/>
      <c r="Q1048" s="57"/>
      <c r="R1048" s="57"/>
      <c r="S1048" s="59"/>
      <c r="T1048" s="57"/>
      <c r="U1048" s="60"/>
      <c r="V1048" s="59"/>
      <c r="W1048" s="57"/>
      <c r="X1048" s="57"/>
      <c r="Y1048" s="57" t="s">
        <v>21</v>
      </c>
      <c r="Z1048" s="57" t="s">
        <v>190</v>
      </c>
      <c r="AA1048" s="59">
        <v>32789</v>
      </c>
      <c r="AB1048" s="57" t="s">
        <v>61</v>
      </c>
      <c r="AC1048" s="60">
        <v>45911</v>
      </c>
      <c r="AD1048" s="59">
        <v>32789</v>
      </c>
      <c r="AE1048" s="57" t="s">
        <v>4419</v>
      </c>
      <c r="AF1048" s="57" t="s">
        <v>4420</v>
      </c>
    </row>
    <row r="1049" spans="1:32">
      <c r="A1049" s="57">
        <v>1048</v>
      </c>
      <c r="B1049" s="58">
        <v>45996.394583333327</v>
      </c>
      <c r="C1049" s="58">
        <v>45996.406493055547</v>
      </c>
      <c r="D1049" s="57" t="s">
        <v>792</v>
      </c>
      <c r="E1049" s="57" t="s">
        <v>793</v>
      </c>
      <c r="F1049" s="58"/>
      <c r="G1049" s="57" t="s">
        <v>555</v>
      </c>
      <c r="H1049" s="59">
        <v>2</v>
      </c>
      <c r="I1049" s="57"/>
      <c r="J1049" s="57"/>
      <c r="K1049" s="59"/>
      <c r="L1049" s="57"/>
      <c r="M1049" s="60"/>
      <c r="N1049" s="59"/>
      <c r="O1049" s="57"/>
      <c r="P1049" s="57"/>
      <c r="Q1049" s="57" t="s">
        <v>22</v>
      </c>
      <c r="R1049" s="57" t="s">
        <v>224</v>
      </c>
      <c r="S1049" s="59">
        <v>39597</v>
      </c>
      <c r="T1049" s="57" t="s">
        <v>61</v>
      </c>
      <c r="U1049" s="60">
        <v>45950</v>
      </c>
      <c r="V1049" s="59">
        <v>39597</v>
      </c>
      <c r="W1049" s="57" t="s">
        <v>4421</v>
      </c>
      <c r="X1049" s="57" t="s">
        <v>4422</v>
      </c>
      <c r="Y1049" s="57" t="s">
        <v>21</v>
      </c>
      <c r="Z1049" s="57" t="s">
        <v>796</v>
      </c>
      <c r="AA1049" s="59">
        <v>19995</v>
      </c>
      <c r="AB1049" s="57" t="s">
        <v>61</v>
      </c>
      <c r="AC1049" s="60">
        <v>45825</v>
      </c>
      <c r="AD1049" s="59">
        <v>19995</v>
      </c>
      <c r="AE1049" s="57" t="s">
        <v>4423</v>
      </c>
      <c r="AF1049" s="57" t="s">
        <v>4424</v>
      </c>
    </row>
    <row r="1050" spans="1:32">
      <c r="A1050" s="57">
        <v>1049</v>
      </c>
      <c r="B1050" s="58">
        <v>45996.646516203713</v>
      </c>
      <c r="C1050" s="58">
        <v>45996.652349537027</v>
      </c>
      <c r="D1050" s="57" t="s">
        <v>2635</v>
      </c>
      <c r="E1050" s="57" t="s">
        <v>2636</v>
      </c>
      <c r="F1050" s="58"/>
      <c r="G1050" s="57" t="s">
        <v>492</v>
      </c>
      <c r="H1050" s="59">
        <v>2</v>
      </c>
      <c r="I1050" s="57"/>
      <c r="J1050" s="57"/>
      <c r="K1050" s="59"/>
      <c r="L1050" s="57"/>
      <c r="M1050" s="60"/>
      <c r="N1050" s="59"/>
      <c r="O1050" s="57"/>
      <c r="P1050" s="57"/>
      <c r="Q1050" s="57" t="s">
        <v>22</v>
      </c>
      <c r="R1050" s="57" t="s">
        <v>223</v>
      </c>
      <c r="S1050" s="59">
        <v>99881</v>
      </c>
      <c r="T1050" s="57" t="s">
        <v>61</v>
      </c>
      <c r="U1050" s="60">
        <v>45876</v>
      </c>
      <c r="V1050" s="59">
        <v>99881</v>
      </c>
      <c r="W1050" s="57" t="s">
        <v>4425</v>
      </c>
      <c r="X1050" s="57" t="s">
        <v>4426</v>
      </c>
      <c r="Y1050" s="57" t="s">
        <v>21</v>
      </c>
      <c r="Z1050" s="57" t="s">
        <v>158</v>
      </c>
      <c r="AA1050" s="59">
        <v>60652</v>
      </c>
      <c r="AB1050" s="57" t="s">
        <v>61</v>
      </c>
      <c r="AC1050" s="60">
        <v>45875</v>
      </c>
      <c r="AD1050" s="59">
        <v>60652</v>
      </c>
      <c r="AE1050" s="57" t="s">
        <v>4427</v>
      </c>
      <c r="AF1050" s="57" t="s">
        <v>4428</v>
      </c>
    </row>
    <row r="1051" spans="1:32">
      <c r="A1051" s="57">
        <v>1050</v>
      </c>
      <c r="B1051" s="58">
        <v>45996.810243055559</v>
      </c>
      <c r="C1051" s="58">
        <v>45996.812905092593</v>
      </c>
      <c r="D1051" s="57" t="s">
        <v>1371</v>
      </c>
      <c r="E1051" s="57" t="s">
        <v>1372</v>
      </c>
      <c r="F1051" s="58"/>
      <c r="G1051" s="57" t="s">
        <v>514</v>
      </c>
      <c r="H1051" s="59">
        <v>1</v>
      </c>
      <c r="I1051" s="57"/>
      <c r="J1051" s="57"/>
      <c r="K1051" s="59"/>
      <c r="L1051" s="57"/>
      <c r="M1051" s="60"/>
      <c r="N1051" s="59"/>
      <c r="O1051" s="57"/>
      <c r="P1051" s="57"/>
      <c r="Q1051" s="57"/>
      <c r="R1051" s="57"/>
      <c r="S1051" s="59"/>
      <c r="T1051" s="57"/>
      <c r="U1051" s="60"/>
      <c r="V1051" s="59"/>
      <c r="W1051" s="57"/>
      <c r="X1051" s="57"/>
      <c r="Y1051" s="57" t="s">
        <v>21</v>
      </c>
      <c r="Z1051" s="57" t="s">
        <v>181</v>
      </c>
      <c r="AA1051" s="59">
        <v>34123</v>
      </c>
      <c r="AB1051" s="57" t="s">
        <v>61</v>
      </c>
      <c r="AC1051" s="60">
        <v>45996</v>
      </c>
      <c r="AD1051" s="59">
        <v>34123</v>
      </c>
      <c r="AE1051" s="57" t="s">
        <v>4429</v>
      </c>
      <c r="AF1051" s="57" t="s">
        <v>4430</v>
      </c>
    </row>
    <row r="1052" spans="1:32">
      <c r="A1052" s="57">
        <v>1051</v>
      </c>
      <c r="B1052" s="58">
        <v>45997.331307870372</v>
      </c>
      <c r="C1052" s="58">
        <v>45997.338472222233</v>
      </c>
      <c r="D1052" s="57" t="s">
        <v>2040</v>
      </c>
      <c r="E1052" s="57" t="s">
        <v>2041</v>
      </c>
      <c r="F1052" s="58"/>
      <c r="G1052" s="57" t="s">
        <v>573</v>
      </c>
      <c r="H1052" s="59">
        <v>2</v>
      </c>
      <c r="I1052" s="57"/>
      <c r="J1052" s="57"/>
      <c r="K1052" s="59"/>
      <c r="L1052" s="57"/>
      <c r="M1052" s="60"/>
      <c r="N1052" s="59"/>
      <c r="O1052" s="57"/>
      <c r="P1052" s="57"/>
      <c r="Q1052" s="57" t="s">
        <v>22</v>
      </c>
      <c r="R1052" s="57" t="s">
        <v>245</v>
      </c>
      <c r="S1052" s="59">
        <v>27638</v>
      </c>
      <c r="T1052" s="57" t="s">
        <v>61</v>
      </c>
      <c r="U1052" s="60">
        <v>45943</v>
      </c>
      <c r="V1052" s="59">
        <v>27638</v>
      </c>
      <c r="W1052" s="57" t="s">
        <v>4431</v>
      </c>
      <c r="X1052" s="57" t="s">
        <v>4432</v>
      </c>
      <c r="Y1052" s="57" t="s">
        <v>21</v>
      </c>
      <c r="Z1052" s="57" t="s">
        <v>2044</v>
      </c>
      <c r="AA1052" s="59">
        <v>54293</v>
      </c>
      <c r="AB1052" s="57" t="s">
        <v>61</v>
      </c>
      <c r="AC1052" s="60">
        <v>45913</v>
      </c>
      <c r="AD1052" s="59">
        <v>54293</v>
      </c>
      <c r="AE1052" s="57" t="s">
        <v>4433</v>
      </c>
      <c r="AF1052" s="57" t="s">
        <v>4434</v>
      </c>
    </row>
    <row r="1053" spans="1:32">
      <c r="A1053" s="57">
        <v>1052</v>
      </c>
      <c r="B1053" s="58">
        <v>45999.4062037037</v>
      </c>
      <c r="C1053" s="58">
        <v>45999.409131944441</v>
      </c>
      <c r="D1053" s="57" t="s">
        <v>1425</v>
      </c>
      <c r="E1053" s="57" t="s">
        <v>1426</v>
      </c>
      <c r="F1053" s="58"/>
      <c r="G1053" s="57" t="s">
        <v>689</v>
      </c>
      <c r="H1053" s="59">
        <v>1</v>
      </c>
      <c r="I1053" s="57"/>
      <c r="J1053" s="57"/>
      <c r="K1053" s="59"/>
      <c r="L1053" s="57"/>
      <c r="M1053" s="60"/>
      <c r="N1053" s="59"/>
      <c r="O1053" s="57"/>
      <c r="P1053" s="57"/>
      <c r="Q1053" s="57"/>
      <c r="R1053" s="57"/>
      <c r="S1053" s="59"/>
      <c r="T1053" s="57"/>
      <c r="U1053" s="60"/>
      <c r="V1053" s="59"/>
      <c r="W1053" s="57"/>
      <c r="X1053" s="57"/>
      <c r="Y1053" s="57" t="s">
        <v>20</v>
      </c>
      <c r="Z1053" s="57" t="s">
        <v>408</v>
      </c>
      <c r="AA1053" s="59">
        <v>5490</v>
      </c>
      <c r="AB1053" s="57" t="s">
        <v>61</v>
      </c>
      <c r="AC1053" s="60">
        <v>45946</v>
      </c>
      <c r="AD1053" s="59">
        <v>5490</v>
      </c>
      <c r="AE1053" s="57" t="s">
        <v>4435</v>
      </c>
      <c r="AF1053" s="57" t="s">
        <v>4436</v>
      </c>
    </row>
    <row r="1054" spans="1:32">
      <c r="A1054" s="57">
        <v>1053</v>
      </c>
      <c r="B1054" s="58">
        <v>45999.404664351852</v>
      </c>
      <c r="C1054" s="58">
        <v>45999.409583333327</v>
      </c>
      <c r="D1054" s="57" t="s">
        <v>2002</v>
      </c>
      <c r="E1054" s="57" t="s">
        <v>2003</v>
      </c>
      <c r="F1054" s="58"/>
      <c r="G1054" s="57" t="s">
        <v>454</v>
      </c>
      <c r="H1054" s="59">
        <v>1</v>
      </c>
      <c r="I1054" s="57"/>
      <c r="J1054" s="57"/>
      <c r="K1054" s="59"/>
      <c r="L1054" s="57"/>
      <c r="M1054" s="60"/>
      <c r="N1054" s="59"/>
      <c r="O1054" s="57"/>
      <c r="P1054" s="57"/>
      <c r="Q1054" s="57"/>
      <c r="R1054" s="57"/>
      <c r="S1054" s="59"/>
      <c r="T1054" s="57"/>
      <c r="U1054" s="60"/>
      <c r="V1054" s="59"/>
      <c r="W1054" s="57"/>
      <c r="X1054" s="57"/>
      <c r="Y1054" s="57" t="s">
        <v>21</v>
      </c>
      <c r="Z1054" s="57" t="s">
        <v>120</v>
      </c>
      <c r="AA1054" s="59">
        <v>115845</v>
      </c>
      <c r="AB1054" s="57" t="s">
        <v>61</v>
      </c>
      <c r="AC1054" s="60">
        <v>45918</v>
      </c>
      <c r="AD1054" s="59">
        <v>115845</v>
      </c>
      <c r="AE1054" s="57" t="s">
        <v>4437</v>
      </c>
      <c r="AF1054" s="57" t="s">
        <v>4438</v>
      </c>
    </row>
    <row r="1055" spans="1:32">
      <c r="A1055" s="57">
        <v>1054</v>
      </c>
      <c r="B1055" s="58">
        <v>45999.405277777783</v>
      </c>
      <c r="C1055" s="58">
        <v>45999.409733796303</v>
      </c>
      <c r="D1055" s="57" t="s">
        <v>2334</v>
      </c>
      <c r="E1055" s="57" t="s">
        <v>2335</v>
      </c>
      <c r="F1055" s="58"/>
      <c r="G1055" s="57" t="s">
        <v>519</v>
      </c>
      <c r="H1055" s="59">
        <v>2</v>
      </c>
      <c r="I1055" s="57"/>
      <c r="J1055" s="57"/>
      <c r="K1055" s="59"/>
      <c r="L1055" s="57"/>
      <c r="M1055" s="60"/>
      <c r="N1055" s="59"/>
      <c r="O1055" s="57"/>
      <c r="P1055" s="57"/>
      <c r="Q1055" s="57" t="s">
        <v>22</v>
      </c>
      <c r="R1055" s="57" t="s">
        <v>222</v>
      </c>
      <c r="S1055" s="59">
        <v>30839</v>
      </c>
      <c r="T1055" s="57" t="s">
        <v>61</v>
      </c>
      <c r="U1055" s="60">
        <v>45982</v>
      </c>
      <c r="V1055" s="59">
        <v>30839</v>
      </c>
      <c r="W1055" s="57" t="s">
        <v>4439</v>
      </c>
      <c r="X1055" s="57" t="s">
        <v>4440</v>
      </c>
      <c r="Y1055" s="57" t="s">
        <v>21</v>
      </c>
      <c r="Z1055" s="57" t="s">
        <v>186</v>
      </c>
      <c r="AA1055" s="59">
        <v>21708</v>
      </c>
      <c r="AB1055" s="57" t="s">
        <v>61</v>
      </c>
      <c r="AC1055" s="60">
        <v>45889</v>
      </c>
      <c r="AD1055" s="59">
        <v>21708</v>
      </c>
      <c r="AE1055" s="57" t="s">
        <v>4441</v>
      </c>
      <c r="AF1055" s="57" t="s">
        <v>4442</v>
      </c>
    </row>
    <row r="1056" spans="1:32">
      <c r="A1056" s="57">
        <v>1055</v>
      </c>
      <c r="B1056" s="58">
        <v>45999.405578703707</v>
      </c>
      <c r="C1056" s="58">
        <v>45999.411863425928</v>
      </c>
      <c r="D1056" s="57" t="s">
        <v>1419</v>
      </c>
      <c r="E1056" s="57" t="s">
        <v>1420</v>
      </c>
      <c r="F1056" s="58"/>
      <c r="G1056" s="57" t="s">
        <v>603</v>
      </c>
      <c r="H1056" s="59">
        <v>1</v>
      </c>
      <c r="I1056" s="57"/>
      <c r="J1056" s="57"/>
      <c r="K1056" s="59"/>
      <c r="L1056" s="57"/>
      <c r="M1056" s="60"/>
      <c r="N1056" s="59"/>
      <c r="O1056" s="57"/>
      <c r="P1056" s="57"/>
      <c r="Q1056" s="57"/>
      <c r="R1056" s="57"/>
      <c r="S1056" s="59"/>
      <c r="T1056" s="57"/>
      <c r="U1056" s="60"/>
      <c r="V1056" s="59"/>
      <c r="W1056" s="57"/>
      <c r="X1056" s="57"/>
      <c r="Y1056" s="57" t="s">
        <v>21</v>
      </c>
      <c r="Z1056" s="57" t="s">
        <v>280</v>
      </c>
      <c r="AA1056" s="59">
        <v>25441</v>
      </c>
      <c r="AB1056" s="57" t="s">
        <v>61</v>
      </c>
      <c r="AC1056" s="60">
        <v>45885</v>
      </c>
      <c r="AD1056" s="59">
        <v>25441</v>
      </c>
      <c r="AE1056" s="57" t="s">
        <v>4443</v>
      </c>
      <c r="AF1056" s="57" t="s">
        <v>4444</v>
      </c>
    </row>
    <row r="1057" spans="1:32">
      <c r="A1057" s="57">
        <v>1056</v>
      </c>
      <c r="B1057" s="58">
        <v>45999.408136574071</v>
      </c>
      <c r="C1057" s="58">
        <v>45999.41333333333</v>
      </c>
      <c r="D1057" s="57" t="s">
        <v>1728</v>
      </c>
      <c r="E1057" s="57" t="s">
        <v>1729</v>
      </c>
      <c r="F1057" s="58"/>
      <c r="G1057" s="57" t="s">
        <v>561</v>
      </c>
      <c r="H1057" s="59">
        <v>2</v>
      </c>
      <c r="I1057" s="57"/>
      <c r="J1057" s="57"/>
      <c r="K1057" s="59"/>
      <c r="L1057" s="57"/>
      <c r="M1057" s="60"/>
      <c r="N1057" s="59"/>
      <c r="O1057" s="57"/>
      <c r="P1057" s="57"/>
      <c r="Q1057" s="57" t="s">
        <v>22</v>
      </c>
      <c r="R1057" s="57" t="s">
        <v>231</v>
      </c>
      <c r="S1057" s="59">
        <v>65643</v>
      </c>
      <c r="T1057" s="57" t="s">
        <v>61</v>
      </c>
      <c r="U1057" s="60">
        <v>45987</v>
      </c>
      <c r="V1057" s="59">
        <v>65643</v>
      </c>
      <c r="W1057" s="57" t="s">
        <v>4445</v>
      </c>
      <c r="X1057" s="57" t="s">
        <v>4446</v>
      </c>
      <c r="Y1057" s="57" t="s">
        <v>21</v>
      </c>
      <c r="Z1057" s="57" t="s">
        <v>411</v>
      </c>
      <c r="AA1057" s="59">
        <v>3652</v>
      </c>
      <c r="AB1057" s="57" t="s">
        <v>61</v>
      </c>
      <c r="AC1057" s="60">
        <v>45947</v>
      </c>
      <c r="AD1057" s="59">
        <v>3652</v>
      </c>
      <c r="AE1057" s="57" t="s">
        <v>4447</v>
      </c>
      <c r="AF1057" s="57" t="s">
        <v>4448</v>
      </c>
    </row>
    <row r="1058" spans="1:32">
      <c r="A1058" s="57">
        <v>1057</v>
      </c>
      <c r="B1058" s="58">
        <v>45999.409201388888</v>
      </c>
      <c r="C1058" s="58">
        <v>45999.413564814808</v>
      </c>
      <c r="D1058" s="57" t="s">
        <v>905</v>
      </c>
      <c r="E1058" s="57" t="s">
        <v>906</v>
      </c>
      <c r="F1058" s="58"/>
      <c r="G1058" s="57" t="s">
        <v>661</v>
      </c>
      <c r="H1058" s="59">
        <v>1</v>
      </c>
      <c r="I1058" s="57"/>
      <c r="J1058" s="57"/>
      <c r="K1058" s="59"/>
      <c r="L1058" s="57"/>
      <c r="M1058" s="60"/>
      <c r="N1058" s="59"/>
      <c r="O1058" s="57"/>
      <c r="P1058" s="57"/>
      <c r="Q1058" s="57"/>
      <c r="R1058" s="57"/>
      <c r="S1058" s="59"/>
      <c r="T1058" s="57"/>
      <c r="U1058" s="60"/>
      <c r="V1058" s="59"/>
      <c r="W1058" s="57"/>
      <c r="X1058" s="57"/>
      <c r="Y1058" s="57" t="s">
        <v>21</v>
      </c>
      <c r="Z1058" s="57" t="s">
        <v>362</v>
      </c>
      <c r="AA1058" s="59">
        <v>5384</v>
      </c>
      <c r="AB1058" s="57" t="s">
        <v>61</v>
      </c>
      <c r="AC1058" s="60">
        <v>45934</v>
      </c>
      <c r="AD1058" s="59">
        <v>5384</v>
      </c>
      <c r="AE1058" s="57" t="s">
        <v>4449</v>
      </c>
      <c r="AF1058" s="57" t="s">
        <v>4450</v>
      </c>
    </row>
    <row r="1059" spans="1:32">
      <c r="A1059" s="57">
        <v>1058</v>
      </c>
      <c r="B1059" s="58">
        <v>45999.417546296303</v>
      </c>
      <c r="C1059" s="58">
        <v>45999.418009259258</v>
      </c>
      <c r="D1059" s="57" t="s">
        <v>1927</v>
      </c>
      <c r="E1059" s="57" t="s">
        <v>1928</v>
      </c>
      <c r="F1059" s="58"/>
      <c r="G1059" s="57" t="s">
        <v>663</v>
      </c>
      <c r="H1059" s="59">
        <v>1</v>
      </c>
      <c r="I1059" s="57"/>
      <c r="J1059" s="57"/>
      <c r="K1059" s="59"/>
      <c r="L1059" s="57"/>
      <c r="M1059" s="60"/>
      <c r="N1059" s="59"/>
      <c r="O1059" s="57"/>
      <c r="P1059" s="57"/>
      <c r="Q1059" s="57"/>
      <c r="R1059" s="57"/>
      <c r="S1059" s="59"/>
      <c r="T1059" s="57"/>
      <c r="U1059" s="60"/>
      <c r="V1059" s="59"/>
      <c r="W1059" s="57"/>
      <c r="X1059" s="57"/>
      <c r="Y1059" s="57" t="s">
        <v>20</v>
      </c>
      <c r="Z1059" s="57" t="s">
        <v>365</v>
      </c>
      <c r="AA1059" s="59">
        <v>15066</v>
      </c>
      <c r="AB1059" s="57" t="s">
        <v>61</v>
      </c>
      <c r="AC1059" s="60">
        <v>45941</v>
      </c>
      <c r="AD1059" s="59">
        <v>15066</v>
      </c>
      <c r="AE1059" s="57" t="s">
        <v>4451</v>
      </c>
      <c r="AF1059" s="57" t="s">
        <v>4452</v>
      </c>
    </row>
    <row r="1060" spans="1:32">
      <c r="A1060" s="57">
        <v>1059</v>
      </c>
      <c r="B1060" s="58">
        <v>45999.423171296286</v>
      </c>
      <c r="C1060" s="58">
        <v>45999.425729166673</v>
      </c>
      <c r="D1060" s="57" t="s">
        <v>3183</v>
      </c>
      <c r="E1060" s="57" t="s">
        <v>3184</v>
      </c>
      <c r="F1060" s="58"/>
      <c r="G1060" s="57" t="s">
        <v>520</v>
      </c>
      <c r="H1060" s="59">
        <v>2</v>
      </c>
      <c r="I1060" s="57"/>
      <c r="J1060" s="57"/>
      <c r="K1060" s="59"/>
      <c r="L1060" s="57"/>
      <c r="M1060" s="60"/>
      <c r="N1060" s="59"/>
      <c r="O1060" s="57"/>
      <c r="P1060" s="57"/>
      <c r="Q1060" s="57" t="s">
        <v>21</v>
      </c>
      <c r="R1060" s="57" t="s">
        <v>187</v>
      </c>
      <c r="S1060" s="59">
        <v>18011</v>
      </c>
      <c r="T1060" s="57" t="s">
        <v>61</v>
      </c>
      <c r="U1060" s="60">
        <v>45423</v>
      </c>
      <c r="V1060" s="59">
        <v>18011</v>
      </c>
      <c r="W1060" s="57" t="s">
        <v>4453</v>
      </c>
      <c r="X1060" s="57" t="s">
        <v>4454</v>
      </c>
      <c r="Y1060" s="57" t="s">
        <v>21</v>
      </c>
      <c r="Z1060" s="57" t="s">
        <v>424</v>
      </c>
      <c r="AA1060" s="59">
        <v>1275</v>
      </c>
      <c r="AB1060" s="57" t="s">
        <v>61</v>
      </c>
      <c r="AC1060" s="60">
        <v>45967</v>
      </c>
      <c r="AD1060" s="59">
        <v>1275</v>
      </c>
      <c r="AE1060" s="57" t="s">
        <v>4455</v>
      </c>
      <c r="AF1060" s="57" t="s">
        <v>4456</v>
      </c>
    </row>
    <row r="1061" spans="1:32">
      <c r="A1061" s="57">
        <v>1060</v>
      </c>
      <c r="B1061" s="58">
        <v>45999.411990740737</v>
      </c>
      <c r="C1061" s="58">
        <v>45999.42827546296</v>
      </c>
      <c r="D1061" s="57" t="s">
        <v>3241</v>
      </c>
      <c r="E1061" s="57" t="s">
        <v>3242</v>
      </c>
      <c r="F1061" s="58"/>
      <c r="G1061" s="57" t="s">
        <v>646</v>
      </c>
      <c r="H1061" s="59">
        <v>1</v>
      </c>
      <c r="I1061" s="57"/>
      <c r="J1061" s="57"/>
      <c r="K1061" s="59"/>
      <c r="L1061" s="57"/>
      <c r="M1061" s="60"/>
      <c r="N1061" s="59"/>
      <c r="O1061" s="57"/>
      <c r="P1061" s="57"/>
      <c r="Q1061" s="57"/>
      <c r="R1061" s="57"/>
      <c r="S1061" s="59"/>
      <c r="T1061" s="57"/>
      <c r="U1061" s="60"/>
      <c r="V1061" s="59"/>
      <c r="W1061" s="57"/>
      <c r="X1061" s="57"/>
      <c r="Y1061" s="57" t="s">
        <v>21</v>
      </c>
      <c r="Z1061" s="57" t="s">
        <v>341</v>
      </c>
      <c r="AA1061" s="59">
        <v>5227</v>
      </c>
      <c r="AB1061" s="57" t="s">
        <v>61</v>
      </c>
      <c r="AC1061" s="60">
        <v>45721</v>
      </c>
      <c r="AD1061" s="59">
        <v>5227</v>
      </c>
      <c r="AE1061" s="57" t="s">
        <v>4457</v>
      </c>
      <c r="AF1061" s="57" t="s">
        <v>4458</v>
      </c>
    </row>
    <row r="1062" spans="1:32">
      <c r="A1062" s="57">
        <v>1061</v>
      </c>
      <c r="B1062" s="58">
        <v>45999.425254629627</v>
      </c>
      <c r="C1062" s="58">
        <v>45999.428842592592</v>
      </c>
      <c r="D1062" s="57" t="s">
        <v>1820</v>
      </c>
      <c r="E1062" s="57" t="s">
        <v>1821</v>
      </c>
      <c r="F1062" s="58"/>
      <c r="G1062" s="57" t="s">
        <v>476</v>
      </c>
      <c r="H1062" s="59">
        <v>1</v>
      </c>
      <c r="I1062" s="57"/>
      <c r="J1062" s="57"/>
      <c r="K1062" s="59"/>
      <c r="L1062" s="57"/>
      <c r="M1062" s="60"/>
      <c r="N1062" s="59"/>
      <c r="O1062" s="57"/>
      <c r="P1062" s="57"/>
      <c r="Q1062" s="57"/>
      <c r="R1062" s="57"/>
      <c r="S1062" s="59"/>
      <c r="T1062" s="57"/>
      <c r="U1062" s="60"/>
      <c r="V1062" s="59"/>
      <c r="W1062" s="57"/>
      <c r="X1062" s="57"/>
      <c r="Y1062" s="57" t="s">
        <v>21</v>
      </c>
      <c r="Z1062" s="57" t="s">
        <v>142</v>
      </c>
      <c r="AA1062" s="59">
        <v>47346</v>
      </c>
      <c r="AB1062" s="57" t="s">
        <v>61</v>
      </c>
      <c r="AC1062" s="60">
        <v>45992</v>
      </c>
      <c r="AD1062" s="59">
        <v>47346</v>
      </c>
      <c r="AE1062" s="57" t="s">
        <v>4459</v>
      </c>
      <c r="AF1062" s="57" t="s">
        <v>4460</v>
      </c>
    </row>
    <row r="1063" spans="1:32">
      <c r="A1063" s="57">
        <v>1062</v>
      </c>
      <c r="B1063" s="58">
        <v>45999.406666666669</v>
      </c>
      <c r="C1063" s="58">
        <v>45999.446840277778</v>
      </c>
      <c r="D1063" s="57" t="s">
        <v>4461</v>
      </c>
      <c r="E1063" s="57" t="s">
        <v>4462</v>
      </c>
      <c r="F1063" s="58"/>
      <c r="G1063" s="57" t="s">
        <v>711</v>
      </c>
      <c r="H1063" s="59">
        <v>1</v>
      </c>
      <c r="I1063" s="57"/>
      <c r="J1063" s="57"/>
      <c r="K1063" s="59"/>
      <c r="L1063" s="57"/>
      <c r="M1063" s="60"/>
      <c r="N1063" s="59"/>
      <c r="O1063" s="57"/>
      <c r="P1063" s="57"/>
      <c r="Q1063" s="57"/>
      <c r="R1063" s="57"/>
      <c r="S1063" s="59"/>
      <c r="T1063" s="57"/>
      <c r="U1063" s="60"/>
      <c r="V1063" s="59"/>
      <c r="W1063" s="57"/>
      <c r="X1063" s="57"/>
      <c r="Y1063" s="57" t="s">
        <v>20</v>
      </c>
      <c r="Z1063" s="57" t="s">
        <v>1614</v>
      </c>
      <c r="AA1063" s="59">
        <v>100063</v>
      </c>
      <c r="AB1063" s="57" t="s">
        <v>61</v>
      </c>
      <c r="AC1063" s="60">
        <v>45934</v>
      </c>
      <c r="AD1063" s="59">
        <v>100063</v>
      </c>
      <c r="AE1063" s="57" t="s">
        <v>4463</v>
      </c>
      <c r="AF1063" s="57" t="s">
        <v>4464</v>
      </c>
    </row>
    <row r="1064" spans="1:32">
      <c r="A1064" s="57">
        <v>1063</v>
      </c>
      <c r="B1064" s="58">
        <v>45999.441655092603</v>
      </c>
      <c r="C1064" s="58">
        <v>45999.450682870367</v>
      </c>
      <c r="D1064" s="57" t="s">
        <v>1713</v>
      </c>
      <c r="E1064" s="57" t="s">
        <v>1714</v>
      </c>
      <c r="F1064" s="58"/>
      <c r="G1064" s="57" t="s">
        <v>608</v>
      </c>
      <c r="H1064" s="59">
        <v>1</v>
      </c>
      <c r="I1064" s="57"/>
      <c r="J1064" s="57"/>
      <c r="K1064" s="59"/>
      <c r="L1064" s="57"/>
      <c r="M1064" s="60"/>
      <c r="N1064" s="59"/>
      <c r="O1064" s="57"/>
      <c r="P1064" s="57"/>
      <c r="Q1064" s="57"/>
      <c r="R1064" s="57"/>
      <c r="S1064" s="59"/>
      <c r="T1064" s="57"/>
      <c r="U1064" s="60"/>
      <c r="V1064" s="59"/>
      <c r="W1064" s="57"/>
      <c r="X1064" s="57"/>
      <c r="Y1064" s="57" t="s">
        <v>21</v>
      </c>
      <c r="Z1064" s="57" t="s">
        <v>286</v>
      </c>
      <c r="AA1064" s="59">
        <v>10627</v>
      </c>
      <c r="AB1064" s="57" t="s">
        <v>61</v>
      </c>
      <c r="AC1064" s="60">
        <v>45845</v>
      </c>
      <c r="AD1064" s="59">
        <v>10627</v>
      </c>
      <c r="AE1064" s="57" t="s">
        <v>4465</v>
      </c>
      <c r="AF1064" s="57" t="s">
        <v>4466</v>
      </c>
    </row>
    <row r="1065" spans="1:32">
      <c r="A1065" s="57">
        <v>1064</v>
      </c>
      <c r="B1065" s="58">
        <v>45999.444305555553</v>
      </c>
      <c r="C1065" s="58">
        <v>45999.457268518519</v>
      </c>
      <c r="D1065" s="57" t="s">
        <v>2508</v>
      </c>
      <c r="E1065" s="57" t="s">
        <v>2509</v>
      </c>
      <c r="F1065" s="58"/>
      <c r="G1065" s="57" t="s">
        <v>633</v>
      </c>
      <c r="H1065" s="59">
        <v>3</v>
      </c>
      <c r="I1065" s="57" t="s">
        <v>22</v>
      </c>
      <c r="J1065" s="57" t="s">
        <v>386</v>
      </c>
      <c r="K1065" s="59">
        <v>11389</v>
      </c>
      <c r="L1065" s="57" t="s">
        <v>61</v>
      </c>
      <c r="M1065" s="60">
        <v>45968</v>
      </c>
      <c r="N1065" s="59">
        <v>11389</v>
      </c>
      <c r="O1065" s="57" t="s">
        <v>4467</v>
      </c>
      <c r="P1065" s="57" t="s">
        <v>4468</v>
      </c>
      <c r="Q1065" s="57" t="s">
        <v>20</v>
      </c>
      <c r="R1065" s="57" t="s">
        <v>356</v>
      </c>
      <c r="S1065" s="59">
        <v>19981</v>
      </c>
      <c r="T1065" s="57" t="s">
        <v>61</v>
      </c>
      <c r="U1065" s="60">
        <v>45904</v>
      </c>
      <c r="V1065" s="59">
        <v>19981</v>
      </c>
      <c r="W1065" s="57" t="s">
        <v>4469</v>
      </c>
      <c r="X1065" s="57" t="s">
        <v>4470</v>
      </c>
      <c r="Y1065" s="57" t="s">
        <v>20</v>
      </c>
      <c r="Z1065" s="57" t="s">
        <v>322</v>
      </c>
      <c r="AA1065" s="59">
        <v>19186</v>
      </c>
      <c r="AB1065" s="57" t="s">
        <v>61</v>
      </c>
      <c r="AC1065" s="60">
        <v>45825</v>
      </c>
      <c r="AD1065" s="59">
        <v>19186</v>
      </c>
      <c r="AE1065" s="57" t="s">
        <v>4471</v>
      </c>
      <c r="AF1065" s="57" t="s">
        <v>4472</v>
      </c>
    </row>
    <row r="1066" spans="1:32">
      <c r="A1066" s="57">
        <v>1065</v>
      </c>
      <c r="B1066" s="58">
        <v>45999.455462962957</v>
      </c>
      <c r="C1066" s="58">
        <v>45999.460416666669</v>
      </c>
      <c r="D1066" s="57" t="s">
        <v>3430</v>
      </c>
      <c r="E1066" s="57" t="s">
        <v>3431</v>
      </c>
      <c r="F1066" s="58"/>
      <c r="G1066" s="57" t="s">
        <v>563</v>
      </c>
      <c r="H1066" s="59">
        <v>2</v>
      </c>
      <c r="I1066" s="57"/>
      <c r="J1066" s="57"/>
      <c r="K1066" s="59"/>
      <c r="L1066" s="57"/>
      <c r="M1066" s="60"/>
      <c r="N1066" s="59"/>
      <c r="O1066" s="57"/>
      <c r="P1066" s="57"/>
      <c r="Q1066" s="57" t="s">
        <v>22</v>
      </c>
      <c r="R1066" s="57" t="s">
        <v>234</v>
      </c>
      <c r="S1066" s="59">
        <v>53560</v>
      </c>
      <c r="T1066" s="57" t="s">
        <v>61</v>
      </c>
      <c r="U1066" s="60">
        <v>45810</v>
      </c>
      <c r="V1066" s="59">
        <v>53560</v>
      </c>
      <c r="W1066" s="57" t="s">
        <v>4473</v>
      </c>
      <c r="X1066" s="57" t="s">
        <v>4474</v>
      </c>
      <c r="Y1066" s="57" t="s">
        <v>21</v>
      </c>
      <c r="Z1066" s="57" t="s">
        <v>409</v>
      </c>
      <c r="AA1066" s="59">
        <v>1314</v>
      </c>
      <c r="AB1066" s="57" t="s">
        <v>61</v>
      </c>
      <c r="AC1066" s="60">
        <v>45947</v>
      </c>
      <c r="AD1066" s="59">
        <v>1314</v>
      </c>
      <c r="AE1066" s="57" t="s">
        <v>4475</v>
      </c>
      <c r="AF1066" s="57" t="s">
        <v>4476</v>
      </c>
    </row>
    <row r="1067" spans="1:32">
      <c r="A1067" s="57">
        <v>1066</v>
      </c>
      <c r="B1067" s="58">
        <v>45999.484675925924</v>
      </c>
      <c r="C1067" s="58">
        <v>45999.490347222221</v>
      </c>
      <c r="D1067" s="57" t="s">
        <v>2407</v>
      </c>
      <c r="E1067" s="57" t="s">
        <v>2408</v>
      </c>
      <c r="F1067" s="58"/>
      <c r="G1067" s="57" t="s">
        <v>672</v>
      </c>
      <c r="H1067" s="59">
        <v>1</v>
      </c>
      <c r="I1067" s="57"/>
      <c r="J1067" s="57"/>
      <c r="K1067" s="59"/>
      <c r="L1067" s="57"/>
      <c r="M1067" s="60"/>
      <c r="N1067" s="59"/>
      <c r="O1067" s="57"/>
      <c r="P1067" s="57"/>
      <c r="Q1067" s="57"/>
      <c r="R1067" s="57"/>
      <c r="S1067" s="59"/>
      <c r="T1067" s="57"/>
      <c r="U1067" s="60"/>
      <c r="V1067" s="59"/>
      <c r="W1067" s="57"/>
      <c r="X1067" s="57"/>
      <c r="Y1067" s="57" t="s">
        <v>20</v>
      </c>
      <c r="Z1067" s="57" t="s">
        <v>384</v>
      </c>
      <c r="AA1067" s="59">
        <v>10246</v>
      </c>
      <c r="AB1067" s="57" t="s">
        <v>61</v>
      </c>
      <c r="AC1067" s="60">
        <v>45919</v>
      </c>
      <c r="AD1067" s="59">
        <v>10246</v>
      </c>
      <c r="AE1067" s="57" t="s">
        <v>4477</v>
      </c>
      <c r="AF1067" s="57" t="s">
        <v>4478</v>
      </c>
    </row>
    <row r="1068" spans="1:32">
      <c r="A1068" s="57">
        <v>1067</v>
      </c>
      <c r="B1068" s="58">
        <v>45999.465069444443</v>
      </c>
      <c r="C1068" s="58">
        <v>45999.513796296298</v>
      </c>
      <c r="D1068" s="57" t="s">
        <v>3802</v>
      </c>
      <c r="E1068" s="57" t="s">
        <v>3803</v>
      </c>
      <c r="F1068" s="58"/>
      <c r="G1068" s="57" t="s">
        <v>463</v>
      </c>
      <c r="H1068" s="59">
        <v>1</v>
      </c>
      <c r="I1068" s="57"/>
      <c r="J1068" s="57"/>
      <c r="K1068" s="59"/>
      <c r="L1068" s="57"/>
      <c r="M1068" s="60"/>
      <c r="N1068" s="59"/>
      <c r="O1068" s="57"/>
      <c r="P1068" s="57"/>
      <c r="Q1068" s="57"/>
      <c r="R1068" s="57"/>
      <c r="S1068" s="59"/>
      <c r="T1068" s="57"/>
      <c r="U1068" s="60"/>
      <c r="V1068" s="59"/>
      <c r="W1068" s="57"/>
      <c r="X1068" s="57"/>
      <c r="Y1068" s="57" t="s">
        <v>21</v>
      </c>
      <c r="Z1068" s="57" t="s">
        <v>128</v>
      </c>
      <c r="AA1068" s="59">
        <v>24689</v>
      </c>
      <c r="AB1068" s="57" t="s">
        <v>61</v>
      </c>
      <c r="AC1068" s="60">
        <v>45985</v>
      </c>
      <c r="AD1068" s="59">
        <v>24689</v>
      </c>
      <c r="AE1068" s="57" t="s">
        <v>4479</v>
      </c>
      <c r="AF1068" s="57" t="s">
        <v>4480</v>
      </c>
    </row>
    <row r="1069" spans="1:32">
      <c r="A1069" s="57">
        <v>1068</v>
      </c>
      <c r="B1069" s="58">
        <v>45999.560428240737</v>
      </c>
      <c r="C1069" s="58">
        <v>45999.566030092603</v>
      </c>
      <c r="D1069" s="57" t="s">
        <v>2350</v>
      </c>
      <c r="E1069" s="57" t="s">
        <v>2351</v>
      </c>
      <c r="F1069" s="58"/>
      <c r="G1069" s="57" t="s">
        <v>704</v>
      </c>
      <c r="H1069" s="59">
        <v>1</v>
      </c>
      <c r="I1069" s="57"/>
      <c r="J1069" s="57"/>
      <c r="K1069" s="59"/>
      <c r="L1069" s="57"/>
      <c r="M1069" s="60"/>
      <c r="N1069" s="59"/>
      <c r="O1069" s="57"/>
      <c r="P1069" s="57"/>
      <c r="Q1069" s="57"/>
      <c r="R1069" s="57"/>
      <c r="S1069" s="59"/>
      <c r="T1069" s="57"/>
      <c r="U1069" s="60"/>
      <c r="V1069" s="59"/>
      <c r="W1069" s="57"/>
      <c r="X1069" s="57"/>
      <c r="Y1069" s="57" t="s">
        <v>21</v>
      </c>
      <c r="Z1069" s="57" t="s">
        <v>432</v>
      </c>
      <c r="AA1069" s="59">
        <v>323</v>
      </c>
      <c r="AB1069" s="57" t="s">
        <v>61</v>
      </c>
      <c r="AC1069" s="60">
        <v>45990</v>
      </c>
      <c r="AD1069" s="59">
        <v>323</v>
      </c>
      <c r="AE1069" s="57" t="s">
        <v>4481</v>
      </c>
      <c r="AF1069" s="57" t="s">
        <v>4482</v>
      </c>
    </row>
    <row r="1070" spans="1:32">
      <c r="A1070" s="57">
        <v>1069</v>
      </c>
      <c r="B1070" s="58">
        <v>45999.562164351853</v>
      </c>
      <c r="C1070" s="58">
        <v>45999.566053240742</v>
      </c>
      <c r="D1070" s="57" t="s">
        <v>4483</v>
      </c>
      <c r="E1070" s="57" t="s">
        <v>4484</v>
      </c>
      <c r="F1070" s="58"/>
      <c r="G1070" s="57" t="s">
        <v>580</v>
      </c>
      <c r="H1070" s="59">
        <v>1</v>
      </c>
      <c r="I1070" s="57"/>
      <c r="J1070" s="57"/>
      <c r="K1070" s="59"/>
      <c r="L1070" s="57"/>
      <c r="M1070" s="60"/>
      <c r="N1070" s="59"/>
      <c r="O1070" s="57"/>
      <c r="P1070" s="57"/>
      <c r="Q1070" s="57"/>
      <c r="R1070" s="57"/>
      <c r="S1070" s="59"/>
      <c r="T1070" s="57"/>
      <c r="U1070" s="60"/>
      <c r="V1070" s="59"/>
      <c r="W1070" s="57"/>
      <c r="X1070" s="57"/>
      <c r="Y1070" s="57" t="s">
        <v>22</v>
      </c>
      <c r="Z1070" s="57" t="s">
        <v>281</v>
      </c>
      <c r="AA1070" s="59">
        <v>37764</v>
      </c>
      <c r="AB1070" s="57" t="s">
        <v>61</v>
      </c>
      <c r="AC1070" s="60">
        <v>45875</v>
      </c>
      <c r="AD1070" s="59">
        <v>37764</v>
      </c>
      <c r="AE1070" s="57" t="s">
        <v>4485</v>
      </c>
      <c r="AF1070" s="57" t="s">
        <v>4486</v>
      </c>
    </row>
    <row r="1071" spans="1:32">
      <c r="A1071" s="57">
        <v>1070</v>
      </c>
      <c r="B1071" s="58">
        <v>45999.549363425933</v>
      </c>
      <c r="C1071" s="58">
        <v>45999.569768518522</v>
      </c>
      <c r="D1071" s="57" t="s">
        <v>1668</v>
      </c>
      <c r="E1071" s="57" t="s">
        <v>1669</v>
      </c>
      <c r="F1071" s="58"/>
      <c r="G1071" s="57" t="s">
        <v>622</v>
      </c>
      <c r="H1071" s="59">
        <v>2</v>
      </c>
      <c r="I1071" s="57"/>
      <c r="J1071" s="57"/>
      <c r="K1071" s="59"/>
      <c r="L1071" s="57"/>
      <c r="M1071" s="60"/>
      <c r="N1071" s="59"/>
      <c r="O1071" s="57"/>
      <c r="P1071" s="57"/>
      <c r="Q1071" s="57" t="s">
        <v>21</v>
      </c>
      <c r="R1071" s="57" t="s">
        <v>308</v>
      </c>
      <c r="S1071" s="59">
        <v>12669</v>
      </c>
      <c r="T1071" s="57" t="s">
        <v>61</v>
      </c>
      <c r="U1071" s="60">
        <v>45863</v>
      </c>
      <c r="V1071" s="59">
        <v>12669</v>
      </c>
      <c r="W1071" s="57" t="s">
        <v>4487</v>
      </c>
      <c r="X1071" s="57" t="s">
        <v>4488</v>
      </c>
      <c r="Y1071" s="57" t="s">
        <v>22</v>
      </c>
      <c r="Z1071" s="57" t="s">
        <v>304</v>
      </c>
      <c r="AA1071" s="59">
        <v>24377</v>
      </c>
      <c r="AB1071" s="57" t="s">
        <v>61</v>
      </c>
      <c r="AC1071" s="60">
        <v>45953</v>
      </c>
      <c r="AD1071" s="59">
        <v>24377</v>
      </c>
      <c r="AE1071" s="57" t="s">
        <v>4489</v>
      </c>
      <c r="AF1071" s="57" t="s">
        <v>4490</v>
      </c>
    </row>
    <row r="1072" spans="1:32">
      <c r="A1072" s="57">
        <v>1071</v>
      </c>
      <c r="B1072" s="58">
        <v>45999.562141203707</v>
      </c>
      <c r="C1072" s="58">
        <v>45999.592824074083</v>
      </c>
      <c r="D1072" s="57" t="s">
        <v>970</v>
      </c>
      <c r="E1072" s="57" t="s">
        <v>971</v>
      </c>
      <c r="F1072" s="58"/>
      <c r="G1072" s="57" t="s">
        <v>548</v>
      </c>
      <c r="H1072" s="59">
        <v>1</v>
      </c>
      <c r="I1072" s="57"/>
      <c r="J1072" s="57"/>
      <c r="K1072" s="59"/>
      <c r="L1072" s="57"/>
      <c r="M1072" s="60"/>
      <c r="N1072" s="59"/>
      <c r="O1072" s="57"/>
      <c r="P1072" s="57"/>
      <c r="Q1072" s="57"/>
      <c r="R1072" s="57"/>
      <c r="S1072" s="59"/>
      <c r="T1072" s="57"/>
      <c r="U1072" s="60"/>
      <c r="V1072" s="59"/>
      <c r="W1072" s="57"/>
      <c r="X1072" s="57"/>
      <c r="Y1072" s="57" t="s">
        <v>20</v>
      </c>
      <c r="Z1072" s="57" t="s">
        <v>217</v>
      </c>
      <c r="AA1072" s="59">
        <v>26536</v>
      </c>
      <c r="AB1072" s="57" t="s">
        <v>61</v>
      </c>
      <c r="AC1072" s="60">
        <v>45993</v>
      </c>
      <c r="AD1072" s="59">
        <v>26536</v>
      </c>
      <c r="AE1072" s="57" t="s">
        <v>4491</v>
      </c>
      <c r="AF1072" s="57" t="s">
        <v>4492</v>
      </c>
    </row>
    <row r="1073" spans="1:32">
      <c r="A1073" s="57">
        <v>1072</v>
      </c>
      <c r="B1073" s="58">
        <v>45999.414201388892</v>
      </c>
      <c r="C1073" s="58">
        <v>45999.64340277778</v>
      </c>
      <c r="D1073" s="57" t="s">
        <v>2549</v>
      </c>
      <c r="E1073" s="57" t="s">
        <v>2550</v>
      </c>
      <c r="F1073" s="58"/>
      <c r="G1073" s="57" t="s">
        <v>654</v>
      </c>
      <c r="H1073" s="59">
        <v>2</v>
      </c>
      <c r="I1073" s="57"/>
      <c r="J1073" s="57"/>
      <c r="K1073" s="59"/>
      <c r="L1073" s="57"/>
      <c r="M1073" s="60"/>
      <c r="N1073" s="59"/>
      <c r="O1073" s="57"/>
      <c r="P1073" s="57"/>
      <c r="Q1073" s="57" t="s">
        <v>22</v>
      </c>
      <c r="R1073" s="57" t="s">
        <v>352</v>
      </c>
      <c r="S1073" s="59">
        <v>152193</v>
      </c>
      <c r="T1073" s="57" t="s">
        <v>61</v>
      </c>
      <c r="U1073" s="60">
        <v>45944</v>
      </c>
      <c r="V1073" s="59">
        <v>152193</v>
      </c>
      <c r="W1073" s="57" t="s">
        <v>4493</v>
      </c>
      <c r="X1073" s="57" t="s">
        <v>4494</v>
      </c>
      <c r="Y1073" s="57" t="s">
        <v>21</v>
      </c>
      <c r="Z1073" s="57" t="s">
        <v>394</v>
      </c>
      <c r="AA1073" s="59">
        <v>6291</v>
      </c>
      <c r="AB1073" s="57" t="s">
        <v>61</v>
      </c>
      <c r="AC1073" s="60">
        <v>45884</v>
      </c>
      <c r="AD1073" s="59">
        <v>6291</v>
      </c>
      <c r="AE1073" s="57" t="s">
        <v>4495</v>
      </c>
      <c r="AF1073" s="57" t="s">
        <v>4496</v>
      </c>
    </row>
    <row r="1074" spans="1:32">
      <c r="A1074" s="57">
        <v>1073</v>
      </c>
      <c r="B1074" s="58">
        <v>45999.418495370373</v>
      </c>
      <c r="C1074" s="58">
        <v>45999.665567129632</v>
      </c>
      <c r="D1074" s="57" t="s">
        <v>1717</v>
      </c>
      <c r="E1074" s="57" t="s">
        <v>1718</v>
      </c>
      <c r="F1074" s="58"/>
      <c r="G1074" s="57" t="s">
        <v>570</v>
      </c>
      <c r="H1074" s="59">
        <v>2</v>
      </c>
      <c r="I1074" s="57"/>
      <c r="J1074" s="57"/>
      <c r="K1074" s="59"/>
      <c r="L1074" s="57"/>
      <c r="M1074" s="60"/>
      <c r="N1074" s="59"/>
      <c r="O1074" s="57"/>
      <c r="P1074" s="57"/>
      <c r="Q1074" s="57" t="s">
        <v>22</v>
      </c>
      <c r="R1074" s="57" t="s">
        <v>242</v>
      </c>
      <c r="S1074" s="59">
        <v>11019</v>
      </c>
      <c r="T1074" s="57" t="s">
        <v>61</v>
      </c>
      <c r="U1074" s="60">
        <v>45848</v>
      </c>
      <c r="V1074" s="59">
        <v>11019</v>
      </c>
      <c r="W1074" s="57" t="s">
        <v>4497</v>
      </c>
      <c r="X1074" s="57" t="s">
        <v>4498</v>
      </c>
      <c r="Y1074" s="57" t="s">
        <v>21</v>
      </c>
      <c r="Z1074" s="57" t="s">
        <v>312</v>
      </c>
      <c r="AA1074" s="59">
        <v>1613</v>
      </c>
      <c r="AB1074" s="57" t="s">
        <v>61</v>
      </c>
      <c r="AC1074" s="60">
        <v>45883</v>
      </c>
      <c r="AD1074" s="59">
        <v>1613</v>
      </c>
      <c r="AE1074" s="57" t="s">
        <v>4499</v>
      </c>
      <c r="AF1074" s="57" t="s">
        <v>4500</v>
      </c>
    </row>
    <row r="1075" spans="1:32">
      <c r="A1075" s="57">
        <v>1074</v>
      </c>
      <c r="B1075" s="58">
        <v>45999.695972222216</v>
      </c>
      <c r="C1075" s="58">
        <v>45999.707002314812</v>
      </c>
      <c r="D1075" s="57" t="s">
        <v>2006</v>
      </c>
      <c r="E1075" s="57" t="s">
        <v>2007</v>
      </c>
      <c r="F1075" s="58"/>
      <c r="G1075" s="57" t="s">
        <v>545</v>
      </c>
      <c r="H1075" s="59">
        <v>1</v>
      </c>
      <c r="I1075" s="57"/>
      <c r="J1075" s="57"/>
      <c r="K1075" s="59"/>
      <c r="L1075" s="57"/>
      <c r="M1075" s="60"/>
      <c r="N1075" s="59"/>
      <c r="O1075" s="57"/>
      <c r="P1075" s="57"/>
      <c r="Q1075" s="57"/>
      <c r="R1075" s="57"/>
      <c r="S1075" s="59"/>
      <c r="T1075" s="57"/>
      <c r="U1075" s="60"/>
      <c r="V1075" s="59"/>
      <c r="W1075" s="57"/>
      <c r="X1075" s="57"/>
      <c r="Y1075" s="57" t="s">
        <v>22</v>
      </c>
      <c r="Z1075" s="57" t="s">
        <v>214</v>
      </c>
      <c r="AA1075" s="59">
        <v>54357</v>
      </c>
      <c r="AB1075" s="57" t="s">
        <v>61</v>
      </c>
      <c r="AC1075" s="60">
        <v>45927</v>
      </c>
      <c r="AD1075" s="59">
        <v>54357</v>
      </c>
      <c r="AE1075" s="57" t="s">
        <v>4501</v>
      </c>
      <c r="AF1075" s="57" t="s">
        <v>4502</v>
      </c>
    </row>
    <row r="1076" spans="1:32">
      <c r="A1076" s="57">
        <v>1075</v>
      </c>
      <c r="B1076" s="58">
        <v>45999.750740740739</v>
      </c>
      <c r="C1076" s="58">
        <v>45999.751863425918</v>
      </c>
      <c r="D1076" s="57" t="s">
        <v>2188</v>
      </c>
      <c r="E1076" s="57" t="s">
        <v>2189</v>
      </c>
      <c r="F1076" s="58"/>
      <c r="G1076" s="57" t="s">
        <v>683</v>
      </c>
      <c r="H1076" s="59">
        <v>1</v>
      </c>
      <c r="I1076" s="57"/>
      <c r="J1076" s="57"/>
      <c r="K1076" s="59"/>
      <c r="L1076" s="57"/>
      <c r="M1076" s="60"/>
      <c r="N1076" s="59"/>
      <c r="O1076" s="57"/>
      <c r="P1076" s="57"/>
      <c r="Q1076" s="57"/>
      <c r="R1076" s="57"/>
      <c r="S1076" s="59"/>
      <c r="T1076" s="57"/>
      <c r="U1076" s="60"/>
      <c r="V1076" s="59"/>
      <c r="W1076" s="57"/>
      <c r="X1076" s="57"/>
      <c r="Y1076" s="57" t="s">
        <v>21</v>
      </c>
      <c r="Z1076" s="57" t="s">
        <v>399</v>
      </c>
      <c r="AA1076" s="59">
        <v>7978</v>
      </c>
      <c r="AB1076" s="57" t="s">
        <v>61</v>
      </c>
      <c r="AC1076" s="60">
        <v>45962</v>
      </c>
      <c r="AD1076" s="59">
        <v>7978</v>
      </c>
      <c r="AE1076" s="57" t="s">
        <v>4503</v>
      </c>
      <c r="AF1076" s="57" t="s">
        <v>4504</v>
      </c>
    </row>
    <row r="1077" spans="1:32">
      <c r="A1077" s="57">
        <v>1076</v>
      </c>
      <c r="B1077" s="58">
        <v>46000.318356481483</v>
      </c>
      <c r="C1077" s="58">
        <v>46000.320081018523</v>
      </c>
      <c r="D1077" s="57" t="s">
        <v>882</v>
      </c>
      <c r="E1077" s="57" t="s">
        <v>883</v>
      </c>
      <c r="F1077" s="58"/>
      <c r="G1077" s="57" t="s">
        <v>500</v>
      </c>
      <c r="H1077" s="59">
        <v>1</v>
      </c>
      <c r="I1077" s="57"/>
      <c r="J1077" s="57"/>
      <c r="K1077" s="59"/>
      <c r="L1077" s="57"/>
      <c r="M1077" s="60"/>
      <c r="N1077" s="59"/>
      <c r="O1077" s="57"/>
      <c r="P1077" s="57"/>
      <c r="Q1077" s="57"/>
      <c r="R1077" s="57"/>
      <c r="S1077" s="59"/>
      <c r="T1077" s="57"/>
      <c r="U1077" s="60"/>
      <c r="V1077" s="59"/>
      <c r="W1077" s="57"/>
      <c r="X1077" s="57"/>
      <c r="Y1077" s="57" t="s">
        <v>20</v>
      </c>
      <c r="Z1077" s="57" t="s">
        <v>166</v>
      </c>
      <c r="AA1077" s="59">
        <v>34814</v>
      </c>
      <c r="AB1077" s="57" t="s">
        <v>61</v>
      </c>
      <c r="AC1077" s="60">
        <v>45953</v>
      </c>
      <c r="AD1077" s="59">
        <v>34814</v>
      </c>
      <c r="AE1077" s="57" t="s">
        <v>4505</v>
      </c>
      <c r="AF1077" s="57" t="s">
        <v>4506</v>
      </c>
    </row>
    <row r="1078" spans="1:32">
      <c r="A1078" s="57">
        <v>1077</v>
      </c>
      <c r="B1078" s="58">
        <v>46001.38553240741</v>
      </c>
      <c r="C1078" s="58">
        <v>46001.389409722222</v>
      </c>
      <c r="D1078" s="57" t="s">
        <v>1489</v>
      </c>
      <c r="E1078" s="57" t="s">
        <v>1490</v>
      </c>
      <c r="F1078" s="58"/>
      <c r="G1078" s="57" t="s">
        <v>648</v>
      </c>
      <c r="H1078" s="59">
        <v>1</v>
      </c>
      <c r="I1078" s="57"/>
      <c r="J1078" s="57"/>
      <c r="K1078" s="59"/>
      <c r="L1078" s="57"/>
      <c r="M1078" s="60"/>
      <c r="N1078" s="59"/>
      <c r="O1078" s="57"/>
      <c r="P1078" s="57"/>
      <c r="Q1078" s="57"/>
      <c r="R1078" s="57"/>
      <c r="S1078" s="59"/>
      <c r="T1078" s="57"/>
      <c r="U1078" s="60"/>
      <c r="V1078" s="59"/>
      <c r="W1078" s="57"/>
      <c r="X1078" s="57"/>
      <c r="Y1078" s="57" t="s">
        <v>21</v>
      </c>
      <c r="Z1078" s="57" t="s">
        <v>344</v>
      </c>
      <c r="AA1078" s="59">
        <v>13790</v>
      </c>
      <c r="AB1078" s="57" t="s">
        <v>61</v>
      </c>
      <c r="AC1078" s="60">
        <v>45916</v>
      </c>
      <c r="AD1078" s="59">
        <v>13790</v>
      </c>
      <c r="AE1078" s="57" t="s">
        <v>4507</v>
      </c>
      <c r="AF1078" s="57" t="s">
        <v>4508</v>
      </c>
    </row>
    <row r="1079" spans="1:32">
      <c r="A1079" s="57">
        <v>1078</v>
      </c>
      <c r="B1079" s="58">
        <v>46001.493043981478</v>
      </c>
      <c r="C1079" s="58">
        <v>46001.501643518517</v>
      </c>
      <c r="D1079" s="57" t="s">
        <v>1342</v>
      </c>
      <c r="E1079" s="57" t="s">
        <v>1343</v>
      </c>
      <c r="F1079" s="58"/>
      <c r="G1079" s="57" t="s">
        <v>629</v>
      </c>
      <c r="H1079" s="59">
        <v>3</v>
      </c>
      <c r="I1079" s="57" t="s">
        <v>20</v>
      </c>
      <c r="J1079" s="57" t="s">
        <v>315</v>
      </c>
      <c r="K1079" s="59">
        <v>36204</v>
      </c>
      <c r="L1079" s="57" t="s">
        <v>61</v>
      </c>
      <c r="M1079" s="60">
        <v>45917</v>
      </c>
      <c r="N1079" s="59">
        <v>36204</v>
      </c>
      <c r="O1079" s="57" t="s">
        <v>4509</v>
      </c>
      <c r="P1079" s="57" t="s">
        <v>4510</v>
      </c>
      <c r="Q1079" s="57" t="s">
        <v>20</v>
      </c>
      <c r="R1079" s="57" t="s">
        <v>789</v>
      </c>
      <c r="S1079" s="59">
        <v>19726</v>
      </c>
      <c r="T1079" s="57" t="s">
        <v>61</v>
      </c>
      <c r="U1079" s="60">
        <v>45966</v>
      </c>
      <c r="V1079" s="59">
        <v>19726</v>
      </c>
      <c r="W1079" s="57" t="s">
        <v>4511</v>
      </c>
      <c r="X1079" s="57" t="s">
        <v>4512</v>
      </c>
      <c r="Y1079" s="57" t="s">
        <v>20</v>
      </c>
      <c r="Z1079" s="57" t="s">
        <v>1346</v>
      </c>
      <c r="AA1079" s="59">
        <v>69310</v>
      </c>
      <c r="AB1079" s="57" t="s">
        <v>61</v>
      </c>
      <c r="AC1079" s="60">
        <v>45811</v>
      </c>
      <c r="AD1079" s="59">
        <v>69310</v>
      </c>
      <c r="AE1079" s="57" t="s">
        <v>4513</v>
      </c>
      <c r="AF1079" s="57" t="s">
        <v>4514</v>
      </c>
    </row>
    <row r="1080" spans="1:32">
      <c r="A1080" s="57">
        <v>1079</v>
      </c>
      <c r="B1080" s="58">
        <v>46013.408796296288</v>
      </c>
      <c r="C1080" s="58">
        <v>46013.413275462961</v>
      </c>
      <c r="D1080" s="57" t="s">
        <v>936</v>
      </c>
      <c r="E1080" s="57" t="s">
        <v>937</v>
      </c>
      <c r="F1080" s="58"/>
      <c r="G1080" s="57" t="s">
        <v>466</v>
      </c>
      <c r="H1080" s="59">
        <v>1</v>
      </c>
      <c r="I1080" s="57"/>
      <c r="J1080" s="57"/>
      <c r="K1080" s="59"/>
      <c r="L1080" s="57"/>
      <c r="M1080" s="60"/>
      <c r="N1080" s="59"/>
      <c r="O1080" s="57"/>
      <c r="P1080" s="57"/>
      <c r="Q1080" s="57"/>
      <c r="R1080" s="57"/>
      <c r="S1080" s="59"/>
      <c r="T1080" s="57"/>
      <c r="U1080" s="60"/>
      <c r="V1080" s="59"/>
      <c r="W1080" s="57"/>
      <c r="X1080" s="57"/>
      <c r="Y1080" s="57" t="s">
        <v>20</v>
      </c>
      <c r="Z1080" s="57" t="s">
        <v>131</v>
      </c>
      <c r="AA1080" s="59">
        <v>87009</v>
      </c>
      <c r="AB1080" s="57" t="s">
        <v>61</v>
      </c>
      <c r="AC1080" s="60">
        <v>45999</v>
      </c>
      <c r="AD1080" s="59">
        <v>87009</v>
      </c>
      <c r="AE1080" s="57" t="s">
        <v>4515</v>
      </c>
      <c r="AF1080" s="57" t="s">
        <v>4516</v>
      </c>
    </row>
    <row r="1081" spans="1:32">
      <c r="A1081" s="57">
        <v>1080</v>
      </c>
      <c r="B1081" s="58">
        <v>46013.413078703707</v>
      </c>
      <c r="C1081" s="58">
        <v>46013.41609953704</v>
      </c>
      <c r="D1081" s="57" t="s">
        <v>909</v>
      </c>
      <c r="E1081" s="57" t="s">
        <v>910</v>
      </c>
      <c r="F1081" s="58"/>
      <c r="G1081" s="57" t="s">
        <v>712</v>
      </c>
      <c r="H1081" s="59">
        <v>1</v>
      </c>
      <c r="I1081" s="57"/>
      <c r="J1081" s="57"/>
      <c r="K1081" s="59"/>
      <c r="L1081" s="57"/>
      <c r="M1081" s="60"/>
      <c r="N1081" s="59"/>
      <c r="O1081" s="57"/>
      <c r="P1081" s="57"/>
      <c r="Q1081" s="57"/>
      <c r="R1081" s="57"/>
      <c r="S1081" s="59"/>
      <c r="T1081" s="57"/>
      <c r="U1081" s="60"/>
      <c r="V1081" s="59"/>
      <c r="W1081" s="57"/>
      <c r="X1081" s="57"/>
      <c r="Y1081" s="57" t="s">
        <v>21</v>
      </c>
      <c r="Z1081" s="57" t="s">
        <v>911</v>
      </c>
      <c r="AA1081" s="59">
        <v>65735</v>
      </c>
      <c r="AB1081" s="57" t="s">
        <v>61</v>
      </c>
      <c r="AC1081" s="60">
        <v>45885</v>
      </c>
      <c r="AD1081" s="59">
        <v>65735</v>
      </c>
      <c r="AE1081" s="57" t="s">
        <v>4517</v>
      </c>
      <c r="AF1081" s="57" t="s">
        <v>4518</v>
      </c>
    </row>
    <row r="1082" spans="1:32">
      <c r="A1082" s="57">
        <v>1081</v>
      </c>
      <c r="B1082" s="58">
        <v>46013.414340277777</v>
      </c>
      <c r="C1082" s="58">
        <v>46013.416215277779</v>
      </c>
      <c r="D1082" s="57" t="s">
        <v>936</v>
      </c>
      <c r="E1082" s="57" t="s">
        <v>937</v>
      </c>
      <c r="F1082" s="58"/>
      <c r="G1082" s="57" t="s">
        <v>466</v>
      </c>
      <c r="H1082" s="59">
        <v>1</v>
      </c>
      <c r="I1082" s="57"/>
      <c r="J1082" s="57"/>
      <c r="K1082" s="59"/>
      <c r="L1082" s="57"/>
      <c r="M1082" s="60"/>
      <c r="N1082" s="59"/>
      <c r="O1082" s="57"/>
      <c r="P1082" s="57"/>
      <c r="Q1082" s="57"/>
      <c r="R1082" s="57"/>
      <c r="S1082" s="59"/>
      <c r="T1082" s="57"/>
      <c r="U1082" s="60"/>
      <c r="V1082" s="59"/>
      <c r="W1082" s="57"/>
      <c r="X1082" s="57"/>
      <c r="Y1082" s="57" t="s">
        <v>20</v>
      </c>
      <c r="Z1082" s="57" t="s">
        <v>131</v>
      </c>
      <c r="AA1082" s="59">
        <v>86755</v>
      </c>
      <c r="AB1082" s="57" t="s">
        <v>61</v>
      </c>
      <c r="AC1082" s="60">
        <v>45999</v>
      </c>
      <c r="AD1082" s="59">
        <v>86755</v>
      </c>
      <c r="AE1082" s="57" t="s">
        <v>4519</v>
      </c>
      <c r="AF1082" s="57" t="s">
        <v>4520</v>
      </c>
    </row>
    <row r="1083" spans="1:32">
      <c r="A1083" s="57">
        <v>1082</v>
      </c>
      <c r="B1083" s="58">
        <v>46013.413032407407</v>
      </c>
      <c r="C1083" s="58">
        <v>46013.416678240741</v>
      </c>
      <c r="D1083" s="57" t="s">
        <v>734</v>
      </c>
      <c r="E1083" s="57" t="s">
        <v>735</v>
      </c>
      <c r="F1083" s="58"/>
      <c r="G1083" s="57" t="s">
        <v>691</v>
      </c>
      <c r="H1083" s="59">
        <v>1</v>
      </c>
      <c r="I1083" s="57"/>
      <c r="J1083" s="57"/>
      <c r="K1083" s="59"/>
      <c r="L1083" s="57"/>
      <c r="M1083" s="60"/>
      <c r="N1083" s="59"/>
      <c r="O1083" s="57"/>
      <c r="P1083" s="57"/>
      <c r="Q1083" s="57"/>
      <c r="R1083" s="57"/>
      <c r="S1083" s="59"/>
      <c r="T1083" s="57"/>
      <c r="U1083" s="60"/>
      <c r="V1083" s="59"/>
      <c r="W1083" s="57"/>
      <c r="X1083" s="57"/>
      <c r="Y1083" s="57" t="s">
        <v>20</v>
      </c>
      <c r="Z1083" s="57" t="s">
        <v>412</v>
      </c>
      <c r="AA1083" s="59">
        <v>6375</v>
      </c>
      <c r="AB1083" s="57" t="s">
        <v>61</v>
      </c>
      <c r="AC1083" s="60">
        <v>45950</v>
      </c>
      <c r="AD1083" s="59">
        <v>6375</v>
      </c>
      <c r="AE1083" s="57" t="s">
        <v>4521</v>
      </c>
      <c r="AF1083" s="57" t="s">
        <v>4522</v>
      </c>
    </row>
    <row r="1084" spans="1:32">
      <c r="A1084" s="57">
        <v>1083</v>
      </c>
      <c r="B1084" s="58">
        <v>46013.4141087963</v>
      </c>
      <c r="C1084" s="58">
        <v>46013.420173611114</v>
      </c>
      <c r="D1084" s="57" t="s">
        <v>2613</v>
      </c>
      <c r="E1084" s="57" t="s">
        <v>2614</v>
      </c>
      <c r="F1084" s="58"/>
      <c r="G1084" s="57" t="s">
        <v>482</v>
      </c>
      <c r="H1084" s="59">
        <v>2</v>
      </c>
      <c r="I1084" s="57"/>
      <c r="J1084" s="57"/>
      <c r="K1084" s="59"/>
      <c r="L1084" s="57"/>
      <c r="M1084" s="60"/>
      <c r="N1084" s="59"/>
      <c r="O1084" s="57"/>
      <c r="P1084" s="57"/>
      <c r="Q1084" s="57" t="s">
        <v>22</v>
      </c>
      <c r="R1084" s="57" t="s">
        <v>148</v>
      </c>
      <c r="S1084" s="59">
        <v>56337</v>
      </c>
      <c r="T1084" s="57" t="s">
        <v>61</v>
      </c>
      <c r="U1084" s="60">
        <v>45847</v>
      </c>
      <c r="V1084" s="59">
        <v>56337</v>
      </c>
      <c r="W1084" s="57" t="s">
        <v>4523</v>
      </c>
      <c r="X1084" s="57" t="s">
        <v>4524</v>
      </c>
      <c r="Y1084" s="57" t="s">
        <v>21</v>
      </c>
      <c r="Z1084" s="57" t="s">
        <v>316</v>
      </c>
      <c r="AA1084" s="59">
        <v>9802</v>
      </c>
      <c r="AB1084" s="57" t="s">
        <v>61</v>
      </c>
      <c r="AC1084" s="60">
        <v>45936</v>
      </c>
      <c r="AD1084" s="59">
        <v>9802</v>
      </c>
      <c r="AE1084" s="57" t="s">
        <v>4525</v>
      </c>
      <c r="AF1084" s="57" t="s">
        <v>4526</v>
      </c>
    </row>
    <row r="1085" spans="1:32">
      <c r="A1085" s="57">
        <v>1084</v>
      </c>
      <c r="B1085" s="58">
        <v>46013.413981481477</v>
      </c>
      <c r="C1085" s="58">
        <v>46013.420300925929</v>
      </c>
      <c r="D1085" s="57" t="s">
        <v>748</v>
      </c>
      <c r="E1085" s="57" t="s">
        <v>749</v>
      </c>
      <c r="F1085" s="58"/>
      <c r="G1085" s="57" t="s">
        <v>619</v>
      </c>
      <c r="H1085" s="59">
        <v>3</v>
      </c>
      <c r="I1085" s="57" t="s">
        <v>22</v>
      </c>
      <c r="J1085" s="57" t="s">
        <v>301</v>
      </c>
      <c r="K1085" s="59">
        <v>18613</v>
      </c>
      <c r="L1085" s="57" t="s">
        <v>61</v>
      </c>
      <c r="M1085" s="60">
        <v>45972</v>
      </c>
      <c r="N1085" s="59">
        <v>18613</v>
      </c>
      <c r="O1085" s="57" t="s">
        <v>4527</v>
      </c>
      <c r="P1085" s="57" t="s">
        <v>4528</v>
      </c>
      <c r="Q1085" s="57" t="s">
        <v>20</v>
      </c>
      <c r="R1085" s="57" t="s">
        <v>752</v>
      </c>
      <c r="S1085" s="59">
        <v>79258</v>
      </c>
      <c r="T1085" s="57" t="s">
        <v>61</v>
      </c>
      <c r="U1085" s="60">
        <v>45972</v>
      </c>
      <c r="V1085" s="59">
        <v>79258</v>
      </c>
      <c r="W1085" s="57" t="s">
        <v>4529</v>
      </c>
      <c r="X1085" s="57" t="s">
        <v>4530</v>
      </c>
      <c r="Y1085" s="57" t="s">
        <v>22</v>
      </c>
      <c r="Z1085" s="57" t="s">
        <v>4531</v>
      </c>
      <c r="AA1085" s="59">
        <v>26654</v>
      </c>
      <c r="AB1085" s="57" t="s">
        <v>61</v>
      </c>
      <c r="AC1085" s="60">
        <v>46009</v>
      </c>
      <c r="AD1085" s="59">
        <v>26654</v>
      </c>
      <c r="AE1085" s="57" t="s">
        <v>4532</v>
      </c>
      <c r="AF1085" s="57" t="s">
        <v>4533</v>
      </c>
    </row>
    <row r="1086" spans="1:32">
      <c r="A1086" s="57">
        <v>1085</v>
      </c>
      <c r="B1086" s="58">
        <v>46013.414386574077</v>
      </c>
      <c r="C1086" s="58">
        <v>46013.420358796298</v>
      </c>
      <c r="D1086" s="57" t="s">
        <v>893</v>
      </c>
      <c r="E1086" s="57" t="s">
        <v>894</v>
      </c>
      <c r="F1086" s="58"/>
      <c r="G1086" s="57" t="s">
        <v>508</v>
      </c>
      <c r="H1086" s="59">
        <v>1</v>
      </c>
      <c r="I1086" s="57"/>
      <c r="J1086" s="57"/>
      <c r="K1086" s="59"/>
      <c r="L1086" s="57"/>
      <c r="M1086" s="60"/>
      <c r="N1086" s="59"/>
      <c r="O1086" s="57"/>
      <c r="P1086" s="57"/>
      <c r="Q1086" s="57"/>
      <c r="R1086" s="57"/>
      <c r="S1086" s="59"/>
      <c r="T1086" s="57"/>
      <c r="U1086" s="60"/>
      <c r="V1086" s="59"/>
      <c r="W1086" s="57"/>
      <c r="X1086" s="57"/>
      <c r="Y1086" s="57" t="s">
        <v>20</v>
      </c>
      <c r="Z1086" s="57" t="s">
        <v>174</v>
      </c>
      <c r="AA1086" s="59">
        <v>50653</v>
      </c>
      <c r="AB1086" s="57" t="s">
        <v>61</v>
      </c>
      <c r="AC1086" s="60">
        <v>46096</v>
      </c>
      <c r="AD1086" s="59">
        <v>50653</v>
      </c>
      <c r="AE1086" s="57" t="s">
        <v>4534</v>
      </c>
      <c r="AF1086" s="57" t="s">
        <v>4535</v>
      </c>
    </row>
    <row r="1087" spans="1:32">
      <c r="A1087" s="57">
        <v>1086</v>
      </c>
      <c r="B1087" s="58">
        <v>46013.41605324074</v>
      </c>
      <c r="C1087" s="58">
        <v>46013.420659722222</v>
      </c>
      <c r="D1087" s="57" t="s">
        <v>999</v>
      </c>
      <c r="E1087" s="57" t="s">
        <v>1000</v>
      </c>
      <c r="F1087" s="58"/>
      <c r="G1087" s="57" t="s">
        <v>577</v>
      </c>
      <c r="H1087" s="59">
        <v>1</v>
      </c>
      <c r="I1087" s="57"/>
      <c r="J1087" s="57"/>
      <c r="K1087" s="59"/>
      <c r="L1087" s="57"/>
      <c r="M1087" s="60"/>
      <c r="N1087" s="59"/>
      <c r="O1087" s="57"/>
      <c r="P1087" s="57"/>
      <c r="Q1087" s="57"/>
      <c r="R1087" s="57"/>
      <c r="S1087" s="59"/>
      <c r="T1087" s="57"/>
      <c r="U1087" s="60"/>
      <c r="V1087" s="59"/>
      <c r="W1087" s="57"/>
      <c r="X1087" s="57"/>
      <c r="Y1087" s="57" t="s">
        <v>20</v>
      </c>
      <c r="Z1087" s="57" t="s">
        <v>249</v>
      </c>
      <c r="AA1087" s="59">
        <v>21154</v>
      </c>
      <c r="AB1087" s="57" t="s">
        <v>61</v>
      </c>
      <c r="AC1087" s="60">
        <v>45911</v>
      </c>
      <c r="AD1087" s="59">
        <v>21154</v>
      </c>
      <c r="AE1087" s="57" t="s">
        <v>4536</v>
      </c>
      <c r="AF1087" s="57" t="s">
        <v>4537</v>
      </c>
    </row>
    <row r="1088" spans="1:32">
      <c r="A1088" s="57">
        <v>1087</v>
      </c>
      <c r="B1088" s="58">
        <v>46013.419444444437</v>
      </c>
      <c r="C1088" s="58">
        <v>46013.421111111107</v>
      </c>
      <c r="D1088" s="57" t="s">
        <v>1773</v>
      </c>
      <c r="E1088" s="57" t="s">
        <v>1774</v>
      </c>
      <c r="F1088" s="58"/>
      <c r="G1088" s="57" t="s">
        <v>539</v>
      </c>
      <c r="H1088" s="59">
        <v>1</v>
      </c>
      <c r="I1088" s="57"/>
      <c r="J1088" s="57"/>
      <c r="K1088" s="59"/>
      <c r="L1088" s="57"/>
      <c r="M1088" s="60"/>
      <c r="N1088" s="59"/>
      <c r="O1088" s="57"/>
      <c r="P1088" s="57"/>
      <c r="Q1088" s="57"/>
      <c r="R1088" s="57"/>
      <c r="S1088" s="59"/>
      <c r="T1088" s="57"/>
      <c r="U1088" s="60"/>
      <c r="V1088" s="59"/>
      <c r="W1088" s="57"/>
      <c r="X1088" s="57"/>
      <c r="Y1088" s="57" t="s">
        <v>20</v>
      </c>
      <c r="Z1088" s="57" t="s">
        <v>207</v>
      </c>
      <c r="AA1088" s="59">
        <v>47099</v>
      </c>
      <c r="AB1088" s="57" t="s">
        <v>61</v>
      </c>
      <c r="AC1088" s="60">
        <v>46003</v>
      </c>
      <c r="AD1088" s="59">
        <v>47099</v>
      </c>
      <c r="AE1088" s="57" t="s">
        <v>4538</v>
      </c>
      <c r="AF1088" s="57" t="s">
        <v>4539</v>
      </c>
    </row>
    <row r="1089" spans="1:32">
      <c r="A1089" s="57">
        <v>1088</v>
      </c>
      <c r="B1089" s="58">
        <v>46013.422546296293</v>
      </c>
      <c r="C1089" s="58">
        <v>46013.424560185187</v>
      </c>
      <c r="D1089" s="57" t="s">
        <v>1337</v>
      </c>
      <c r="E1089" s="57" t="s">
        <v>1338</v>
      </c>
      <c r="F1089" s="58"/>
      <c r="G1089" s="57" t="s">
        <v>710</v>
      </c>
      <c r="H1089" s="59">
        <v>1</v>
      </c>
      <c r="I1089" s="57"/>
      <c r="J1089" s="57"/>
      <c r="K1089" s="59"/>
      <c r="L1089" s="57"/>
      <c r="M1089" s="60"/>
      <c r="N1089" s="59"/>
      <c r="O1089" s="57"/>
      <c r="P1089" s="57"/>
      <c r="Q1089" s="57"/>
      <c r="R1089" s="57"/>
      <c r="S1089" s="59"/>
      <c r="T1089" s="57"/>
      <c r="U1089" s="60"/>
      <c r="V1089" s="59"/>
      <c r="W1089" s="57"/>
      <c r="X1089" s="57"/>
      <c r="Y1089" s="57" t="s">
        <v>21</v>
      </c>
      <c r="Z1089" s="57" t="s">
        <v>1339</v>
      </c>
      <c r="AA1089" s="59">
        <v>44002</v>
      </c>
      <c r="AB1089" s="57" t="s">
        <v>61</v>
      </c>
      <c r="AC1089" s="60">
        <v>45953</v>
      </c>
      <c r="AD1089" s="59">
        <v>44002</v>
      </c>
      <c r="AE1089" s="57" t="s">
        <v>4540</v>
      </c>
      <c r="AF1089" s="57" t="s">
        <v>4541</v>
      </c>
    </row>
    <row r="1090" spans="1:32">
      <c r="A1090" s="57">
        <v>1089</v>
      </c>
      <c r="B1090" s="58">
        <v>46013.422696759262</v>
      </c>
      <c r="C1090" s="58">
        <v>46013.424733796302</v>
      </c>
      <c r="D1090" s="57" t="s">
        <v>1456</v>
      </c>
      <c r="E1090" s="57" t="s">
        <v>1457</v>
      </c>
      <c r="F1090" s="58"/>
      <c r="G1090" s="57" t="s">
        <v>547</v>
      </c>
      <c r="H1090" s="59">
        <v>2</v>
      </c>
      <c r="I1090" s="57"/>
      <c r="J1090" s="57"/>
      <c r="K1090" s="59"/>
      <c r="L1090" s="57"/>
      <c r="M1090" s="60"/>
      <c r="N1090" s="59"/>
      <c r="O1090" s="57"/>
      <c r="P1090" s="57"/>
      <c r="Q1090" s="57" t="s">
        <v>22</v>
      </c>
      <c r="R1090" s="57" t="s">
        <v>225</v>
      </c>
      <c r="S1090" s="59">
        <v>90201</v>
      </c>
      <c r="T1090" s="57" t="s">
        <v>61</v>
      </c>
      <c r="U1090" s="60">
        <v>45955</v>
      </c>
      <c r="V1090" s="59">
        <v>90201</v>
      </c>
      <c r="W1090" s="57" t="s">
        <v>4542</v>
      </c>
      <c r="X1090" s="57" t="s">
        <v>4543</v>
      </c>
      <c r="Y1090" s="57" t="s">
        <v>21</v>
      </c>
      <c r="Z1090" s="57" t="s">
        <v>216</v>
      </c>
      <c r="AA1090" s="59">
        <v>2927</v>
      </c>
      <c r="AB1090" s="57" t="s">
        <v>61</v>
      </c>
      <c r="AC1090" s="60">
        <v>45952</v>
      </c>
      <c r="AD1090" s="59">
        <v>2927</v>
      </c>
      <c r="AE1090" s="57" t="s">
        <v>4544</v>
      </c>
      <c r="AF1090" s="57" t="s">
        <v>4545</v>
      </c>
    </row>
    <row r="1091" spans="1:32">
      <c r="A1091" s="57">
        <v>1090</v>
      </c>
      <c r="B1091" s="58">
        <v>46013.413078703707</v>
      </c>
      <c r="C1091" s="58">
        <v>46013.424988425933</v>
      </c>
      <c r="D1091" s="57" t="s">
        <v>1661</v>
      </c>
      <c r="E1091" s="57" t="s">
        <v>1662</v>
      </c>
      <c r="F1091" s="58"/>
      <c r="G1091" s="57" t="s">
        <v>591</v>
      </c>
      <c r="H1091" s="59">
        <v>1</v>
      </c>
      <c r="I1091" s="57"/>
      <c r="J1091" s="57"/>
      <c r="K1091" s="59"/>
      <c r="L1091" s="57"/>
      <c r="M1091" s="60"/>
      <c r="N1091" s="59"/>
      <c r="O1091" s="57"/>
      <c r="P1091" s="57"/>
      <c r="Q1091" s="57"/>
      <c r="R1091" s="57"/>
      <c r="S1091" s="59"/>
      <c r="T1091" s="57"/>
      <c r="U1091" s="60"/>
      <c r="V1091" s="59"/>
      <c r="W1091" s="57"/>
      <c r="X1091" s="57"/>
      <c r="Y1091" s="57" t="s">
        <v>20</v>
      </c>
      <c r="Z1091" s="57" t="s">
        <v>266</v>
      </c>
      <c r="AA1091" s="59">
        <v>38705</v>
      </c>
      <c r="AB1091" s="57" t="s">
        <v>61</v>
      </c>
      <c r="AC1091" s="60">
        <v>45945</v>
      </c>
      <c r="AD1091" s="59">
        <v>38705</v>
      </c>
      <c r="AE1091" s="57" t="s">
        <v>4546</v>
      </c>
      <c r="AF1091" s="57" t="s">
        <v>4547</v>
      </c>
    </row>
    <row r="1092" spans="1:32">
      <c r="A1092" s="57">
        <v>1091</v>
      </c>
      <c r="B1092" s="58">
        <v>46013.419861111113</v>
      </c>
      <c r="C1092" s="58">
        <v>46013.427141203712</v>
      </c>
      <c r="D1092" s="57" t="s">
        <v>1361</v>
      </c>
      <c r="E1092" s="57" t="s">
        <v>1362</v>
      </c>
      <c r="F1092" s="58"/>
      <c r="G1092" s="57" t="s">
        <v>487</v>
      </c>
      <c r="H1092" s="59">
        <v>1</v>
      </c>
      <c r="I1092" s="57"/>
      <c r="J1092" s="57"/>
      <c r="K1092" s="59"/>
      <c r="L1092" s="57"/>
      <c r="M1092" s="60"/>
      <c r="N1092" s="59"/>
      <c r="O1092" s="57"/>
      <c r="P1092" s="57"/>
      <c r="Q1092" s="57"/>
      <c r="R1092" s="57"/>
      <c r="S1092" s="59"/>
      <c r="T1092" s="57"/>
      <c r="U1092" s="60"/>
      <c r="V1092" s="59"/>
      <c r="W1092" s="57"/>
      <c r="X1092" s="57"/>
      <c r="Y1092" s="57" t="s">
        <v>21</v>
      </c>
      <c r="Z1092" s="57" t="s">
        <v>153</v>
      </c>
      <c r="AA1092" s="59">
        <v>19128</v>
      </c>
      <c r="AB1092" s="57" t="s">
        <v>61</v>
      </c>
      <c r="AC1092" s="60">
        <v>45911</v>
      </c>
      <c r="AD1092" s="59">
        <v>19128</v>
      </c>
      <c r="AE1092" s="57" t="s">
        <v>4548</v>
      </c>
      <c r="AF1092" s="57" t="s">
        <v>4549</v>
      </c>
    </row>
    <row r="1093" spans="1:32">
      <c r="A1093" s="57">
        <v>1092</v>
      </c>
      <c r="B1093" s="58">
        <v>46013.426759259259</v>
      </c>
      <c r="C1093" s="58">
        <v>46013.435763888891</v>
      </c>
      <c r="D1093" s="57" t="s">
        <v>1506</v>
      </c>
      <c r="E1093" s="57" t="s">
        <v>1507</v>
      </c>
      <c r="F1093" s="58"/>
      <c r="G1093" s="57" t="s">
        <v>477</v>
      </c>
      <c r="H1093" s="59">
        <v>1</v>
      </c>
      <c r="I1093" s="57"/>
      <c r="J1093" s="57"/>
      <c r="K1093" s="59"/>
      <c r="L1093" s="57"/>
      <c r="M1093" s="60"/>
      <c r="N1093" s="59"/>
      <c r="O1093" s="57"/>
      <c r="P1093" s="57"/>
      <c r="Q1093" s="57"/>
      <c r="R1093" s="57"/>
      <c r="S1093" s="59"/>
      <c r="T1093" s="57"/>
      <c r="U1093" s="60"/>
      <c r="V1093" s="59"/>
      <c r="W1093" s="57"/>
      <c r="X1093" s="57"/>
      <c r="Y1093" s="57" t="s">
        <v>20</v>
      </c>
      <c r="Z1093" s="57" t="s">
        <v>143</v>
      </c>
      <c r="AA1093" s="59">
        <v>81930</v>
      </c>
      <c r="AB1093" s="57" t="s">
        <v>61</v>
      </c>
      <c r="AC1093" s="60">
        <v>45951</v>
      </c>
      <c r="AD1093" s="59">
        <v>81930</v>
      </c>
      <c r="AE1093" s="57" t="s">
        <v>4550</v>
      </c>
      <c r="AF1093" s="57" t="s">
        <v>4551</v>
      </c>
    </row>
    <row r="1094" spans="1:32">
      <c r="A1094" s="57">
        <v>1093</v>
      </c>
      <c r="B1094" s="58">
        <v>46013.426770833343</v>
      </c>
      <c r="C1094" s="58">
        <v>46013.436701388891</v>
      </c>
      <c r="D1094" s="57" t="s">
        <v>1356</v>
      </c>
      <c r="E1094" s="57" t="s">
        <v>1357</v>
      </c>
      <c r="F1094" s="58"/>
      <c r="G1094" s="57" t="s">
        <v>690</v>
      </c>
      <c r="H1094" s="59">
        <v>1</v>
      </c>
      <c r="I1094" s="57"/>
      <c r="J1094" s="57"/>
      <c r="K1094" s="59"/>
      <c r="L1094" s="57"/>
      <c r="M1094" s="60"/>
      <c r="N1094" s="59"/>
      <c r="O1094" s="57"/>
      <c r="P1094" s="57"/>
      <c r="Q1094" s="57"/>
      <c r="R1094" s="57"/>
      <c r="S1094" s="59"/>
      <c r="T1094" s="57"/>
      <c r="U1094" s="60"/>
      <c r="V1094" s="59"/>
      <c r="W1094" s="57"/>
      <c r="X1094" s="57"/>
      <c r="Y1094" s="57" t="s">
        <v>21</v>
      </c>
      <c r="Z1094" s="57" t="s">
        <v>410</v>
      </c>
      <c r="AA1094" s="59">
        <v>512</v>
      </c>
      <c r="AB1094" s="57" t="s">
        <v>61</v>
      </c>
      <c r="AC1094" s="60">
        <v>45992</v>
      </c>
      <c r="AD1094" s="59">
        <v>512</v>
      </c>
      <c r="AE1094" s="57" t="s">
        <v>4552</v>
      </c>
      <c r="AF1094" s="57" t="s">
        <v>4553</v>
      </c>
    </row>
    <row r="1095" spans="1:32">
      <c r="A1095" s="57">
        <v>1094</v>
      </c>
      <c r="B1095" s="58">
        <v>46013.436539351853</v>
      </c>
      <c r="C1095" s="58">
        <v>46013.439768518518</v>
      </c>
      <c r="D1095" s="57" t="s">
        <v>1148</v>
      </c>
      <c r="E1095" s="57" t="s">
        <v>1149</v>
      </c>
      <c r="F1095" s="58"/>
      <c r="G1095" s="57" t="s">
        <v>609</v>
      </c>
      <c r="H1095" s="59">
        <v>1</v>
      </c>
      <c r="I1095" s="57"/>
      <c r="J1095" s="57"/>
      <c r="K1095" s="59"/>
      <c r="L1095" s="57"/>
      <c r="M1095" s="60"/>
      <c r="N1095" s="59"/>
      <c r="O1095" s="57"/>
      <c r="P1095" s="57"/>
      <c r="Q1095" s="57"/>
      <c r="R1095" s="57"/>
      <c r="S1095" s="59"/>
      <c r="T1095" s="57"/>
      <c r="U1095" s="60"/>
      <c r="V1095" s="59"/>
      <c r="W1095" s="57"/>
      <c r="X1095" s="57"/>
      <c r="Y1095" s="57" t="s">
        <v>21</v>
      </c>
      <c r="Z1095" s="57" t="s">
        <v>287</v>
      </c>
      <c r="AA1095" s="59">
        <v>23309</v>
      </c>
      <c r="AB1095" s="57" t="s">
        <v>61</v>
      </c>
      <c r="AC1095" s="60">
        <v>45982</v>
      </c>
      <c r="AD1095" s="59">
        <v>23309</v>
      </c>
      <c r="AE1095" s="57" t="s">
        <v>4554</v>
      </c>
      <c r="AF1095" s="57" t="s">
        <v>4555</v>
      </c>
    </row>
    <row r="1096" spans="1:32">
      <c r="A1096" s="57">
        <v>1095</v>
      </c>
      <c r="B1096" s="58">
        <v>46013.435162037043</v>
      </c>
      <c r="C1096" s="58">
        <v>46013.44059027778</v>
      </c>
      <c r="D1096" s="57" t="s">
        <v>730</v>
      </c>
      <c r="E1096" s="57" t="s">
        <v>731</v>
      </c>
      <c r="F1096" s="58"/>
      <c r="G1096" s="57" t="s">
        <v>604</v>
      </c>
      <c r="H1096" s="59">
        <v>1</v>
      </c>
      <c r="I1096" s="57"/>
      <c r="J1096" s="57"/>
      <c r="K1096" s="59"/>
      <c r="L1096" s="57"/>
      <c r="M1096" s="60"/>
      <c r="N1096" s="59"/>
      <c r="O1096" s="57"/>
      <c r="P1096" s="57"/>
      <c r="Q1096" s="57"/>
      <c r="R1096" s="57"/>
      <c r="S1096" s="59"/>
      <c r="T1096" s="57"/>
      <c r="U1096" s="60"/>
      <c r="V1096" s="59"/>
      <c r="W1096" s="57"/>
      <c r="X1096" s="57"/>
      <c r="Y1096" s="57" t="s">
        <v>20</v>
      </c>
      <c r="Z1096" s="57" t="s">
        <v>2923</v>
      </c>
      <c r="AA1096" s="59">
        <v>39673</v>
      </c>
      <c r="AB1096" s="57" t="s">
        <v>61</v>
      </c>
      <c r="AC1096" s="60">
        <v>46001</v>
      </c>
      <c r="AD1096" s="59">
        <v>39673</v>
      </c>
      <c r="AE1096" s="57" t="s">
        <v>4556</v>
      </c>
      <c r="AF1096" s="57" t="s">
        <v>4557</v>
      </c>
    </row>
    <row r="1097" spans="1:32">
      <c r="A1097" s="57">
        <v>1096</v>
      </c>
      <c r="B1097" s="58">
        <v>46013.413310185177</v>
      </c>
      <c r="C1097" s="58">
        <v>46013.442997685182</v>
      </c>
      <c r="D1097" s="57" t="s">
        <v>985</v>
      </c>
      <c r="E1097" s="57" t="s">
        <v>986</v>
      </c>
      <c r="F1097" s="58"/>
      <c r="G1097" s="57" t="s">
        <v>715</v>
      </c>
      <c r="H1097" s="59">
        <v>1</v>
      </c>
      <c r="I1097" s="57"/>
      <c r="J1097" s="57"/>
      <c r="K1097" s="59"/>
      <c r="L1097" s="57"/>
      <c r="M1097" s="60"/>
      <c r="N1097" s="59"/>
      <c r="O1097" s="57"/>
      <c r="P1097" s="57"/>
      <c r="Q1097" s="57"/>
      <c r="R1097" s="57"/>
      <c r="S1097" s="59"/>
      <c r="T1097" s="57"/>
      <c r="U1097" s="60"/>
      <c r="V1097" s="59"/>
      <c r="W1097" s="57"/>
      <c r="X1097" s="57"/>
      <c r="Y1097" s="57" t="s">
        <v>21</v>
      </c>
      <c r="Z1097" s="57" t="s">
        <v>987</v>
      </c>
      <c r="AA1097" s="59">
        <v>31508</v>
      </c>
      <c r="AB1097" s="57" t="s">
        <v>61</v>
      </c>
      <c r="AC1097" s="60">
        <v>45831</v>
      </c>
      <c r="AD1097" s="59">
        <v>31508</v>
      </c>
      <c r="AE1097" s="57" t="s">
        <v>4558</v>
      </c>
      <c r="AF1097" s="57" t="s">
        <v>4559</v>
      </c>
    </row>
    <row r="1098" spans="1:32">
      <c r="A1098" s="57">
        <v>1097</v>
      </c>
      <c r="B1098" s="58">
        <v>46013.424664351849</v>
      </c>
      <c r="C1098" s="58">
        <v>46013.443229166667</v>
      </c>
      <c r="D1098" s="57" t="s">
        <v>1644</v>
      </c>
      <c r="E1098" s="57" t="s">
        <v>1645</v>
      </c>
      <c r="F1098" s="58"/>
      <c r="G1098" s="57" t="s">
        <v>649</v>
      </c>
      <c r="H1098" s="59">
        <v>1</v>
      </c>
      <c r="I1098" s="57"/>
      <c r="J1098" s="57"/>
      <c r="K1098" s="59"/>
      <c r="L1098" s="57"/>
      <c r="M1098" s="60"/>
      <c r="N1098" s="59"/>
      <c r="O1098" s="57"/>
      <c r="P1098" s="57"/>
      <c r="Q1098" s="57"/>
      <c r="R1098" s="57"/>
      <c r="S1098" s="59"/>
      <c r="T1098" s="57"/>
      <c r="U1098" s="60"/>
      <c r="V1098" s="59"/>
      <c r="W1098" s="57"/>
      <c r="X1098" s="57"/>
      <c r="Y1098" s="57" t="s">
        <v>21</v>
      </c>
      <c r="Z1098" s="57" t="s">
        <v>345</v>
      </c>
      <c r="AA1098" s="59">
        <v>1025</v>
      </c>
      <c r="AB1098" s="57" t="s">
        <v>61</v>
      </c>
      <c r="AC1098" s="60">
        <v>45996</v>
      </c>
      <c r="AD1098" s="59">
        <v>1025</v>
      </c>
      <c r="AE1098" s="57" t="s">
        <v>4560</v>
      </c>
      <c r="AF1098" s="57" t="s">
        <v>4561</v>
      </c>
    </row>
    <row r="1099" spans="1:32">
      <c r="A1099" s="57">
        <v>1098</v>
      </c>
      <c r="B1099" s="58">
        <v>46013.424641203703</v>
      </c>
      <c r="C1099" s="58">
        <v>46013.443773148138</v>
      </c>
      <c r="D1099" s="57" t="s">
        <v>1644</v>
      </c>
      <c r="E1099" s="57" t="s">
        <v>1645</v>
      </c>
      <c r="F1099" s="58"/>
      <c r="G1099" s="57" t="s">
        <v>649</v>
      </c>
      <c r="H1099" s="59">
        <v>1</v>
      </c>
      <c r="I1099" s="57"/>
      <c r="J1099" s="57"/>
      <c r="K1099" s="59"/>
      <c r="L1099" s="57"/>
      <c r="M1099" s="60"/>
      <c r="N1099" s="59"/>
      <c r="O1099" s="57"/>
      <c r="P1099" s="57"/>
      <c r="Q1099" s="57"/>
      <c r="R1099" s="57"/>
      <c r="S1099" s="59"/>
      <c r="T1099" s="57"/>
      <c r="U1099" s="60"/>
      <c r="V1099" s="59"/>
      <c r="W1099" s="57"/>
      <c r="X1099" s="57"/>
      <c r="Y1099" s="57" t="s">
        <v>21</v>
      </c>
      <c r="Z1099" s="57" t="s">
        <v>345</v>
      </c>
      <c r="AA1099" s="59">
        <v>1072</v>
      </c>
      <c r="AB1099" s="57" t="s">
        <v>61</v>
      </c>
      <c r="AC1099" s="60">
        <v>45996</v>
      </c>
      <c r="AD1099" s="59">
        <v>1072</v>
      </c>
      <c r="AE1099" s="57" t="s">
        <v>4562</v>
      </c>
      <c r="AF1099" s="57" t="s">
        <v>4563</v>
      </c>
    </row>
    <row r="1100" spans="1:32">
      <c r="A1100" s="57">
        <v>1099</v>
      </c>
      <c r="B1100" s="58">
        <v>46013.443530092591</v>
      </c>
      <c r="C1100" s="58">
        <v>46013.444837962961</v>
      </c>
      <c r="D1100" s="57" t="s">
        <v>853</v>
      </c>
      <c r="E1100" s="57" t="s">
        <v>854</v>
      </c>
      <c r="F1100" s="58"/>
      <c r="G1100" s="57" t="s">
        <v>571</v>
      </c>
      <c r="H1100" s="59">
        <v>1</v>
      </c>
      <c r="I1100" s="57"/>
      <c r="J1100" s="57"/>
      <c r="K1100" s="59"/>
      <c r="L1100" s="57"/>
      <c r="M1100" s="60"/>
      <c r="N1100" s="59"/>
      <c r="O1100" s="57"/>
      <c r="P1100" s="57"/>
      <c r="Q1100" s="57"/>
      <c r="R1100" s="57"/>
      <c r="S1100" s="59"/>
      <c r="T1100" s="57"/>
      <c r="U1100" s="60"/>
      <c r="V1100" s="59"/>
      <c r="W1100" s="57"/>
      <c r="X1100" s="57"/>
      <c r="Y1100" s="57" t="s">
        <v>21</v>
      </c>
      <c r="Z1100" s="57" t="s">
        <v>346</v>
      </c>
      <c r="AA1100" s="59">
        <v>14397</v>
      </c>
      <c r="AB1100" s="57" t="s">
        <v>61</v>
      </c>
      <c r="AC1100" s="60">
        <v>45919</v>
      </c>
      <c r="AD1100" s="59">
        <v>14397</v>
      </c>
      <c r="AE1100" s="57" t="s">
        <v>4564</v>
      </c>
      <c r="AF1100" s="57" t="s">
        <v>4565</v>
      </c>
    </row>
    <row r="1101" spans="1:32">
      <c r="A1101" s="57">
        <v>1100</v>
      </c>
      <c r="B1101" s="58">
        <v>46013.445092592592</v>
      </c>
      <c r="C1101" s="58">
        <v>46013.445462962962</v>
      </c>
      <c r="D1101" s="57" t="s">
        <v>4566</v>
      </c>
      <c r="E1101" s="57" t="s">
        <v>4567</v>
      </c>
      <c r="F1101" s="58"/>
      <c r="G1101" s="57" t="s">
        <v>667</v>
      </c>
      <c r="H1101" s="59">
        <v>1</v>
      </c>
      <c r="I1101" s="57"/>
      <c r="J1101" s="57"/>
      <c r="K1101" s="59"/>
      <c r="L1101" s="57"/>
      <c r="M1101" s="60"/>
      <c r="N1101" s="59"/>
      <c r="O1101" s="57"/>
      <c r="P1101" s="57"/>
      <c r="Q1101" s="57"/>
      <c r="R1101" s="57"/>
      <c r="S1101" s="59"/>
      <c r="T1101" s="57"/>
      <c r="U1101" s="60"/>
      <c r="V1101" s="59"/>
      <c r="W1101" s="57"/>
      <c r="X1101" s="57"/>
      <c r="Y1101" s="57" t="s">
        <v>21</v>
      </c>
      <c r="Z1101" s="57" t="s">
        <v>4568</v>
      </c>
      <c r="AA1101" s="59">
        <v>71400</v>
      </c>
      <c r="AB1101" s="57" t="s">
        <v>61</v>
      </c>
      <c r="AC1101" s="60">
        <v>45994</v>
      </c>
      <c r="AD1101" s="59">
        <v>71400</v>
      </c>
      <c r="AE1101" s="57" t="s">
        <v>4569</v>
      </c>
      <c r="AF1101" s="57" t="s">
        <v>4570</v>
      </c>
    </row>
    <row r="1102" spans="1:32">
      <c r="A1102" s="57">
        <v>1101</v>
      </c>
      <c r="B1102" s="58">
        <v>46013.445891203701</v>
      </c>
      <c r="C1102" s="58">
        <v>46013.447939814818</v>
      </c>
      <c r="D1102" s="57" t="s">
        <v>1931</v>
      </c>
      <c r="E1102" s="57" t="s">
        <v>1932</v>
      </c>
      <c r="F1102" s="58"/>
      <c r="G1102" s="57" t="s">
        <v>498</v>
      </c>
      <c r="H1102" s="59">
        <v>1</v>
      </c>
      <c r="I1102" s="57"/>
      <c r="J1102" s="57"/>
      <c r="K1102" s="59"/>
      <c r="L1102" s="57"/>
      <c r="M1102" s="60"/>
      <c r="N1102" s="59"/>
      <c r="O1102" s="57"/>
      <c r="P1102" s="57"/>
      <c r="Q1102" s="57"/>
      <c r="R1102" s="57"/>
      <c r="S1102" s="59"/>
      <c r="T1102" s="57"/>
      <c r="U1102" s="60"/>
      <c r="V1102" s="59"/>
      <c r="W1102" s="57"/>
      <c r="X1102" s="57"/>
      <c r="Y1102" s="57" t="s">
        <v>20</v>
      </c>
      <c r="Z1102" s="57" t="s">
        <v>164</v>
      </c>
      <c r="AA1102" s="59">
        <v>94758</v>
      </c>
      <c r="AB1102" s="57" t="s">
        <v>61</v>
      </c>
      <c r="AC1102" s="60">
        <v>46013</v>
      </c>
      <c r="AD1102" s="59">
        <v>94758</v>
      </c>
      <c r="AE1102" s="57" t="s">
        <v>4571</v>
      </c>
      <c r="AF1102" s="57" t="s">
        <v>4572</v>
      </c>
    </row>
    <row r="1103" spans="1:32">
      <c r="A1103" s="57">
        <v>1102</v>
      </c>
      <c r="B1103" s="58">
        <v>46013.440254629633</v>
      </c>
      <c r="C1103" s="58">
        <v>46013.448113425933</v>
      </c>
      <c r="D1103" s="57" t="s">
        <v>1084</v>
      </c>
      <c r="E1103" s="57" t="s">
        <v>1085</v>
      </c>
      <c r="F1103" s="58"/>
      <c r="G1103" s="57" t="s">
        <v>532</v>
      </c>
      <c r="H1103" s="59">
        <v>2</v>
      </c>
      <c r="I1103" s="57"/>
      <c r="J1103" s="57"/>
      <c r="K1103" s="59"/>
      <c r="L1103" s="57"/>
      <c r="M1103" s="60"/>
      <c r="N1103" s="59"/>
      <c r="O1103" s="57"/>
      <c r="P1103" s="57"/>
      <c r="Q1103" s="57" t="s">
        <v>22</v>
      </c>
      <c r="R1103" s="57" t="s">
        <v>200</v>
      </c>
      <c r="S1103" s="59">
        <v>105033</v>
      </c>
      <c r="T1103" s="57" t="s">
        <v>61</v>
      </c>
      <c r="U1103" s="60">
        <v>45938</v>
      </c>
      <c r="V1103" s="59">
        <v>105033</v>
      </c>
      <c r="W1103" s="57" t="s">
        <v>4573</v>
      </c>
      <c r="X1103" s="57" t="s">
        <v>4574</v>
      </c>
      <c r="Y1103" s="57" t="s">
        <v>21</v>
      </c>
      <c r="Z1103" s="57" t="s">
        <v>379</v>
      </c>
      <c r="AA1103" s="59">
        <v>11646</v>
      </c>
      <c r="AB1103" s="57" t="s">
        <v>61</v>
      </c>
      <c r="AC1103" s="60">
        <v>45994</v>
      </c>
      <c r="AD1103" s="59">
        <v>11646</v>
      </c>
      <c r="AE1103" s="57" t="s">
        <v>4575</v>
      </c>
      <c r="AF1103" s="57" t="s">
        <v>4576</v>
      </c>
    </row>
    <row r="1104" spans="1:32">
      <c r="A1104" s="57">
        <v>1103</v>
      </c>
      <c r="B1104" s="58">
        <v>46013.409317129634</v>
      </c>
      <c r="C1104" s="58">
        <v>46013.451354166667</v>
      </c>
      <c r="D1104" s="57" t="s">
        <v>2002</v>
      </c>
      <c r="E1104" s="57" t="s">
        <v>2003</v>
      </c>
      <c r="F1104" s="58"/>
      <c r="G1104" s="57" t="s">
        <v>454</v>
      </c>
      <c r="H1104" s="59">
        <v>1</v>
      </c>
      <c r="I1104" s="57"/>
      <c r="J1104" s="57"/>
      <c r="K1104" s="59"/>
      <c r="L1104" s="57"/>
      <c r="M1104" s="60"/>
      <c r="N1104" s="59"/>
      <c r="O1104" s="57"/>
      <c r="P1104" s="57"/>
      <c r="Q1104" s="57"/>
      <c r="R1104" s="57"/>
      <c r="S1104" s="59"/>
      <c r="T1104" s="57"/>
      <c r="U1104" s="60"/>
      <c r="V1104" s="59"/>
      <c r="W1104" s="57"/>
      <c r="X1104" s="57"/>
      <c r="Y1104" s="57" t="s">
        <v>21</v>
      </c>
      <c r="Z1104" s="57" t="s">
        <v>120</v>
      </c>
      <c r="AA1104" s="59">
        <v>110519</v>
      </c>
      <c r="AB1104" s="57" t="s">
        <v>61</v>
      </c>
      <c r="AC1104" s="60">
        <v>45918</v>
      </c>
      <c r="AD1104" s="59">
        <v>110519</v>
      </c>
      <c r="AE1104" s="57" t="s">
        <v>4577</v>
      </c>
      <c r="AF1104" s="57" t="s">
        <v>4578</v>
      </c>
    </row>
    <row r="1105" spans="1:32">
      <c r="A1105" s="57">
        <v>1104</v>
      </c>
      <c r="B1105" s="58">
        <v>46013.441296296303</v>
      </c>
      <c r="C1105" s="58">
        <v>46013.451990740738</v>
      </c>
      <c r="D1105" s="57" t="s">
        <v>2232</v>
      </c>
      <c r="E1105" s="57" t="s">
        <v>2233</v>
      </c>
      <c r="F1105" s="58"/>
      <c r="G1105" s="57" t="s">
        <v>600</v>
      </c>
      <c r="H1105" s="59">
        <v>1</v>
      </c>
      <c r="I1105" s="57"/>
      <c r="J1105" s="57"/>
      <c r="K1105" s="59"/>
      <c r="L1105" s="57"/>
      <c r="M1105" s="60"/>
      <c r="N1105" s="59"/>
      <c r="O1105" s="57"/>
      <c r="P1105" s="57"/>
      <c r="Q1105" s="57"/>
      <c r="R1105" s="57"/>
      <c r="S1105" s="59"/>
      <c r="T1105" s="57"/>
      <c r="U1105" s="60"/>
      <c r="V1105" s="59"/>
      <c r="W1105" s="57"/>
      <c r="X1105" s="57"/>
      <c r="Y1105" s="57" t="s">
        <v>20</v>
      </c>
      <c r="Z1105" s="57" t="s">
        <v>276</v>
      </c>
      <c r="AA1105" s="59">
        <v>26999</v>
      </c>
      <c r="AB1105" s="57" t="s">
        <v>61</v>
      </c>
      <c r="AC1105" s="60">
        <v>45889</v>
      </c>
      <c r="AD1105" s="59">
        <v>26999</v>
      </c>
      <c r="AE1105" s="57" t="s">
        <v>4579</v>
      </c>
      <c r="AF1105" s="57" t="s">
        <v>4580</v>
      </c>
    </row>
    <row r="1106" spans="1:32">
      <c r="A1106" s="57">
        <v>1105</v>
      </c>
      <c r="B1106" s="58">
        <v>46013.439641203702</v>
      </c>
      <c r="C1106" s="58">
        <v>46013.453125</v>
      </c>
      <c r="D1106" s="57" t="s">
        <v>3344</v>
      </c>
      <c r="E1106" s="57" t="s">
        <v>3345</v>
      </c>
      <c r="F1106" s="58"/>
      <c r="G1106" s="57" t="s">
        <v>687</v>
      </c>
      <c r="H1106" s="59">
        <v>1</v>
      </c>
      <c r="I1106" s="57"/>
      <c r="J1106" s="57"/>
      <c r="K1106" s="59"/>
      <c r="L1106" s="57"/>
      <c r="M1106" s="60"/>
      <c r="N1106" s="59"/>
      <c r="O1106" s="57"/>
      <c r="P1106" s="57"/>
      <c r="Q1106" s="57"/>
      <c r="R1106" s="57"/>
      <c r="S1106" s="59"/>
      <c r="T1106" s="57"/>
      <c r="U1106" s="60"/>
      <c r="V1106" s="59"/>
      <c r="W1106" s="57"/>
      <c r="X1106" s="57"/>
      <c r="Y1106" s="57" t="s">
        <v>21</v>
      </c>
      <c r="Z1106" s="57" t="s">
        <v>406</v>
      </c>
      <c r="AA1106" s="59">
        <v>794</v>
      </c>
      <c r="AB1106" s="57" t="s">
        <v>61</v>
      </c>
      <c r="AC1106" s="60">
        <v>45974</v>
      </c>
      <c r="AD1106" s="59">
        <v>794</v>
      </c>
      <c r="AE1106" s="57" t="s">
        <v>4581</v>
      </c>
      <c r="AF1106" s="57" t="s">
        <v>4582</v>
      </c>
    </row>
    <row r="1107" spans="1:32">
      <c r="A1107" s="57">
        <v>1106</v>
      </c>
      <c r="B1107" s="58">
        <v>46013.453958333332</v>
      </c>
      <c r="C1107" s="58">
        <v>46013.455092592587</v>
      </c>
      <c r="D1107" s="57" t="s">
        <v>1198</v>
      </c>
      <c r="E1107" s="57" t="s">
        <v>1199</v>
      </c>
      <c r="F1107" s="58"/>
      <c r="G1107" s="57" t="s">
        <v>452</v>
      </c>
      <c r="H1107" s="59">
        <v>1</v>
      </c>
      <c r="I1107" s="57"/>
      <c r="J1107" s="57"/>
      <c r="K1107" s="59"/>
      <c r="L1107" s="57"/>
      <c r="M1107" s="60"/>
      <c r="N1107" s="59"/>
      <c r="O1107" s="57"/>
      <c r="P1107" s="57"/>
      <c r="Q1107" s="57"/>
      <c r="R1107" s="57"/>
      <c r="S1107" s="59"/>
      <c r="T1107" s="57"/>
      <c r="U1107" s="60"/>
      <c r="V1107" s="59"/>
      <c r="W1107" s="57"/>
      <c r="X1107" s="57"/>
      <c r="Y1107" s="57" t="s">
        <v>22</v>
      </c>
      <c r="Z1107" s="57" t="s">
        <v>118</v>
      </c>
      <c r="AA1107" s="59">
        <v>61625</v>
      </c>
      <c r="AB1107" s="57" t="s">
        <v>61</v>
      </c>
      <c r="AC1107" s="60">
        <v>45897</v>
      </c>
      <c r="AD1107" s="59">
        <v>61625</v>
      </c>
      <c r="AE1107" s="57" t="s">
        <v>4583</v>
      </c>
      <c r="AF1107" s="57" t="s">
        <v>4584</v>
      </c>
    </row>
    <row r="1108" spans="1:32">
      <c r="A1108" s="57">
        <v>1107</v>
      </c>
      <c r="B1108" s="58">
        <v>46013.448310185187</v>
      </c>
      <c r="C1108" s="58">
        <v>46013.455312500002</v>
      </c>
      <c r="D1108" s="57" t="s">
        <v>3624</v>
      </c>
      <c r="E1108" s="57" t="s">
        <v>3625</v>
      </c>
      <c r="F1108" s="58"/>
      <c r="G1108" s="57" t="s">
        <v>542</v>
      </c>
      <c r="H1108" s="59">
        <v>1</v>
      </c>
      <c r="I1108" s="57"/>
      <c r="J1108" s="57"/>
      <c r="K1108" s="59"/>
      <c r="L1108" s="57"/>
      <c r="M1108" s="60"/>
      <c r="N1108" s="59"/>
      <c r="O1108" s="57"/>
      <c r="P1108" s="57"/>
      <c r="Q1108" s="57"/>
      <c r="R1108" s="57"/>
      <c r="S1108" s="59"/>
      <c r="T1108" s="57"/>
      <c r="U1108" s="60"/>
      <c r="V1108" s="59"/>
      <c r="W1108" s="57"/>
      <c r="X1108" s="57"/>
      <c r="Y1108" s="57" t="s">
        <v>20</v>
      </c>
      <c r="Z1108" s="57" t="s">
        <v>211</v>
      </c>
      <c r="AA1108" s="59">
        <v>27720</v>
      </c>
      <c r="AB1108" s="57" t="s">
        <v>61</v>
      </c>
      <c r="AC1108" s="60">
        <v>45995</v>
      </c>
      <c r="AD1108" s="59">
        <v>27720</v>
      </c>
      <c r="AE1108" s="57" t="s">
        <v>4585</v>
      </c>
      <c r="AF1108" s="57" t="s">
        <v>4586</v>
      </c>
    </row>
    <row r="1109" spans="1:32">
      <c r="A1109" s="57">
        <v>1108</v>
      </c>
      <c r="B1109" s="58">
        <v>46013.458067129628</v>
      </c>
      <c r="C1109" s="58">
        <v>46013.461921296293</v>
      </c>
      <c r="D1109" s="57" t="s">
        <v>897</v>
      </c>
      <c r="E1109" s="57" t="s">
        <v>898</v>
      </c>
      <c r="F1109" s="58"/>
      <c r="G1109" s="57" t="s">
        <v>697</v>
      </c>
      <c r="H1109" s="59">
        <v>1</v>
      </c>
      <c r="I1109" s="57"/>
      <c r="J1109" s="57"/>
      <c r="K1109" s="59"/>
      <c r="L1109" s="57"/>
      <c r="M1109" s="60"/>
      <c r="N1109" s="59"/>
      <c r="O1109" s="57"/>
      <c r="P1109" s="57"/>
      <c r="Q1109" s="57"/>
      <c r="R1109" s="57"/>
      <c r="S1109" s="59"/>
      <c r="T1109" s="57"/>
      <c r="U1109" s="60"/>
      <c r="V1109" s="59"/>
      <c r="W1109" s="57"/>
      <c r="X1109" s="57"/>
      <c r="Y1109" s="57" t="s">
        <v>21</v>
      </c>
      <c r="Z1109" s="57" t="s">
        <v>899</v>
      </c>
      <c r="AA1109" s="59">
        <v>52799</v>
      </c>
      <c r="AB1109" s="57" t="s">
        <v>61</v>
      </c>
      <c r="AC1109" s="60">
        <v>45909</v>
      </c>
      <c r="AD1109" s="59">
        <v>52799</v>
      </c>
      <c r="AE1109" s="57" t="s">
        <v>4587</v>
      </c>
      <c r="AF1109" s="57" t="s">
        <v>4588</v>
      </c>
    </row>
    <row r="1110" spans="1:32">
      <c r="A1110" s="57">
        <v>1109</v>
      </c>
      <c r="B1110" s="58">
        <v>46013.463946759257</v>
      </c>
      <c r="C1110" s="58">
        <v>46013.466273148151</v>
      </c>
      <c r="D1110" s="57" t="s">
        <v>1105</v>
      </c>
      <c r="E1110" s="57" t="s">
        <v>1106</v>
      </c>
      <c r="F1110" s="58"/>
      <c r="G1110" s="57" t="s">
        <v>652</v>
      </c>
      <c r="H1110" s="59">
        <v>1</v>
      </c>
      <c r="I1110" s="57"/>
      <c r="J1110" s="57"/>
      <c r="K1110" s="59"/>
      <c r="L1110" s="57"/>
      <c r="M1110" s="60"/>
      <c r="N1110" s="59"/>
      <c r="O1110" s="57"/>
      <c r="P1110" s="57"/>
      <c r="Q1110" s="57"/>
      <c r="R1110" s="57"/>
      <c r="S1110" s="59"/>
      <c r="T1110" s="57"/>
      <c r="U1110" s="60"/>
      <c r="V1110" s="59"/>
      <c r="W1110" s="57"/>
      <c r="X1110" s="57"/>
      <c r="Y1110" s="57" t="s">
        <v>21</v>
      </c>
      <c r="Z1110" s="57" t="s">
        <v>350</v>
      </c>
      <c r="AA1110" s="59">
        <v>10443</v>
      </c>
      <c r="AB1110" s="57" t="s">
        <v>61</v>
      </c>
      <c r="AC1110" s="60">
        <v>45884</v>
      </c>
      <c r="AD1110" s="59">
        <v>10443</v>
      </c>
      <c r="AE1110" s="57" t="s">
        <v>4589</v>
      </c>
      <c r="AF1110" s="57" t="s">
        <v>4590</v>
      </c>
    </row>
    <row r="1111" spans="1:32">
      <c r="A1111" s="57">
        <v>1110</v>
      </c>
      <c r="B1111" s="58">
        <v>46013.464224537027</v>
      </c>
      <c r="C1111" s="58">
        <v>46013.47488425926</v>
      </c>
      <c r="D1111" s="57" t="s">
        <v>857</v>
      </c>
      <c r="E1111" s="57" t="s">
        <v>858</v>
      </c>
      <c r="F1111" s="58"/>
      <c r="G1111" s="57" t="s">
        <v>702</v>
      </c>
      <c r="H1111" s="59">
        <v>1</v>
      </c>
      <c r="I1111" s="57"/>
      <c r="J1111" s="57"/>
      <c r="K1111" s="59"/>
      <c r="L1111" s="57"/>
      <c r="M1111" s="60"/>
      <c r="N1111" s="59"/>
      <c r="O1111" s="57"/>
      <c r="P1111" s="57"/>
      <c r="Q1111" s="57"/>
      <c r="R1111" s="57"/>
      <c r="S1111" s="59"/>
      <c r="T1111" s="57"/>
      <c r="U1111" s="60"/>
      <c r="V1111" s="59"/>
      <c r="W1111" s="57"/>
      <c r="X1111" s="57"/>
      <c r="Y1111" s="57" t="s">
        <v>21</v>
      </c>
      <c r="Z1111" s="57" t="s">
        <v>431</v>
      </c>
      <c r="AA1111" s="59">
        <v>558</v>
      </c>
      <c r="AB1111" s="57" t="s">
        <v>61</v>
      </c>
      <c r="AC1111" s="60">
        <v>45931</v>
      </c>
      <c r="AD1111" s="59">
        <v>558</v>
      </c>
      <c r="AE1111" s="57" t="s">
        <v>4591</v>
      </c>
      <c r="AF1111" s="57" t="s">
        <v>4592</v>
      </c>
    </row>
    <row r="1112" spans="1:32">
      <c r="A1112" s="57">
        <v>1111</v>
      </c>
      <c r="B1112" s="58">
        <v>46013.413599537038</v>
      </c>
      <c r="C1112" s="58">
        <v>46013.47519675926</v>
      </c>
      <c r="D1112" s="57" t="s">
        <v>1131</v>
      </c>
      <c r="E1112" s="57" t="s">
        <v>1132</v>
      </c>
      <c r="F1112" s="58"/>
      <c r="G1112" s="57" t="s">
        <v>615</v>
      </c>
      <c r="H1112" s="59">
        <v>1</v>
      </c>
      <c r="I1112" s="57"/>
      <c r="J1112" s="57"/>
      <c r="K1112" s="59"/>
      <c r="L1112" s="57"/>
      <c r="M1112" s="60"/>
      <c r="N1112" s="59"/>
      <c r="O1112" s="57"/>
      <c r="P1112" s="57"/>
      <c r="Q1112" s="57"/>
      <c r="R1112" s="57"/>
      <c r="S1112" s="59"/>
      <c r="T1112" s="57"/>
      <c r="U1112" s="60"/>
      <c r="V1112" s="59"/>
      <c r="W1112" s="57"/>
      <c r="X1112" s="57"/>
      <c r="Y1112" s="57" t="s">
        <v>21</v>
      </c>
      <c r="Z1112" s="57" t="s">
        <v>295</v>
      </c>
      <c r="AA1112" s="59">
        <v>17045</v>
      </c>
      <c r="AB1112" s="57" t="s">
        <v>61</v>
      </c>
      <c r="AC1112" s="60">
        <v>45962</v>
      </c>
      <c r="AD1112" s="59">
        <v>17045</v>
      </c>
      <c r="AE1112" s="57" t="s">
        <v>4593</v>
      </c>
      <c r="AF1112" s="57" t="s">
        <v>4594</v>
      </c>
    </row>
    <row r="1113" spans="1:32">
      <c r="A1113" s="57">
        <v>1112</v>
      </c>
      <c r="B1113" s="58">
        <v>46013.475034722222</v>
      </c>
      <c r="C1113" s="58">
        <v>46013.479849537027</v>
      </c>
      <c r="D1113" s="57" t="s">
        <v>4325</v>
      </c>
      <c r="E1113" s="57" t="s">
        <v>4326</v>
      </c>
      <c r="F1113" s="58"/>
      <c r="G1113" s="57" t="s">
        <v>506</v>
      </c>
      <c r="H1113" s="59">
        <v>2</v>
      </c>
      <c r="I1113" s="57"/>
      <c r="J1113" s="57"/>
      <c r="K1113" s="59"/>
      <c r="L1113" s="57"/>
      <c r="M1113" s="60"/>
      <c r="N1113" s="59"/>
      <c r="O1113" s="57"/>
      <c r="P1113" s="57"/>
      <c r="Q1113" s="57" t="s">
        <v>22</v>
      </c>
      <c r="R1113" s="57" t="s">
        <v>4595</v>
      </c>
      <c r="S1113" s="59">
        <v>51731</v>
      </c>
      <c r="T1113" s="57" t="s">
        <v>61</v>
      </c>
      <c r="U1113" s="60">
        <v>45887</v>
      </c>
      <c r="V1113" s="59">
        <v>51731</v>
      </c>
      <c r="W1113" s="57" t="s">
        <v>4596</v>
      </c>
      <c r="X1113" s="57" t="s">
        <v>4597</v>
      </c>
      <c r="Y1113" s="57" t="s">
        <v>20</v>
      </c>
      <c r="Z1113" s="57" t="s">
        <v>172</v>
      </c>
      <c r="AA1113" s="59">
        <v>23880</v>
      </c>
      <c r="AB1113" s="57" t="s">
        <v>61</v>
      </c>
      <c r="AC1113" s="60">
        <v>45785</v>
      </c>
      <c r="AD1113" s="59">
        <v>23880</v>
      </c>
      <c r="AE1113" s="57" t="s">
        <v>4598</v>
      </c>
      <c r="AF1113" s="57" t="s">
        <v>4599</v>
      </c>
    </row>
    <row r="1114" spans="1:32">
      <c r="A1114" s="57">
        <v>1113</v>
      </c>
      <c r="B1114" s="58">
        <v>46013.479745370372</v>
      </c>
      <c r="C1114" s="58">
        <v>46013.482557870368</v>
      </c>
      <c r="D1114" s="57" t="s">
        <v>1542</v>
      </c>
      <c r="E1114" s="57" t="s">
        <v>1543</v>
      </c>
      <c r="F1114" s="58"/>
      <c r="G1114" s="57" t="s">
        <v>678</v>
      </c>
      <c r="H1114" s="59">
        <v>1</v>
      </c>
      <c r="I1114" s="57"/>
      <c r="J1114" s="57"/>
      <c r="K1114" s="59"/>
      <c r="L1114" s="57"/>
      <c r="M1114" s="60"/>
      <c r="N1114" s="59"/>
      <c r="O1114" s="57"/>
      <c r="P1114" s="57"/>
      <c r="Q1114" s="57"/>
      <c r="R1114" s="57"/>
      <c r="S1114" s="59"/>
      <c r="T1114" s="57"/>
      <c r="U1114" s="60"/>
      <c r="V1114" s="59"/>
      <c r="W1114" s="57"/>
      <c r="X1114" s="57"/>
      <c r="Y1114" s="57" t="s">
        <v>20</v>
      </c>
      <c r="Z1114" s="57" t="s">
        <v>392</v>
      </c>
      <c r="AA1114" s="59">
        <v>6024</v>
      </c>
      <c r="AB1114" s="57" t="s">
        <v>61</v>
      </c>
      <c r="AC1114" s="60">
        <v>46002</v>
      </c>
      <c r="AD1114" s="59">
        <v>6024</v>
      </c>
      <c r="AE1114" s="57" t="s">
        <v>4600</v>
      </c>
      <c r="AF1114" s="57" t="s">
        <v>4601</v>
      </c>
    </row>
    <row r="1115" spans="1:32">
      <c r="A1115" s="57">
        <v>1114</v>
      </c>
      <c r="B1115" s="58">
        <v>46013.479062500002</v>
      </c>
      <c r="C1115" s="58">
        <v>46013.487129629633</v>
      </c>
      <c r="D1115" s="57" t="s">
        <v>1717</v>
      </c>
      <c r="E1115" s="57" t="s">
        <v>1718</v>
      </c>
      <c r="F1115" s="58"/>
      <c r="G1115" s="57" t="s">
        <v>570</v>
      </c>
      <c r="H1115" s="59">
        <v>2</v>
      </c>
      <c r="I1115" s="57"/>
      <c r="J1115" s="57"/>
      <c r="K1115" s="59"/>
      <c r="L1115" s="57"/>
      <c r="M1115" s="60"/>
      <c r="N1115" s="59"/>
      <c r="O1115" s="57"/>
      <c r="P1115" s="57"/>
      <c r="Q1115" s="57" t="s">
        <v>22</v>
      </c>
      <c r="R1115" s="57" t="s">
        <v>242</v>
      </c>
      <c r="S1115" s="59">
        <v>11201</v>
      </c>
      <c r="T1115" s="57" t="s">
        <v>61</v>
      </c>
      <c r="U1115" s="60">
        <v>46006</v>
      </c>
      <c r="V1115" s="59">
        <v>11201</v>
      </c>
      <c r="W1115" s="57" t="s">
        <v>4602</v>
      </c>
      <c r="X1115" s="57" t="s">
        <v>4603</v>
      </c>
      <c r="Y1115" s="57" t="s">
        <v>21</v>
      </c>
      <c r="Z1115" s="57" t="s">
        <v>312</v>
      </c>
      <c r="AA1115" s="59">
        <v>1820</v>
      </c>
      <c r="AB1115" s="57" t="s">
        <v>61</v>
      </c>
      <c r="AC1115" s="60">
        <v>46006</v>
      </c>
      <c r="AD1115" s="59">
        <v>1820</v>
      </c>
      <c r="AE1115" s="57" t="s">
        <v>4604</v>
      </c>
      <c r="AF1115" s="57" t="s">
        <v>4605</v>
      </c>
    </row>
    <row r="1116" spans="1:32">
      <c r="A1116" s="57">
        <v>1115</v>
      </c>
      <c r="B1116" s="58">
        <v>46013.466458333343</v>
      </c>
      <c r="C1116" s="58">
        <v>46013.48814814815</v>
      </c>
      <c r="D1116" s="57" t="s">
        <v>2440</v>
      </c>
      <c r="E1116" s="57" t="s">
        <v>2441</v>
      </c>
      <c r="F1116" s="58"/>
      <c r="G1116" s="57" t="s">
        <v>588</v>
      </c>
      <c r="H1116" s="59">
        <v>1</v>
      </c>
      <c r="I1116" s="57"/>
      <c r="J1116" s="57"/>
      <c r="K1116" s="59"/>
      <c r="L1116" s="57"/>
      <c r="M1116" s="60"/>
      <c r="N1116" s="59"/>
      <c r="O1116" s="57"/>
      <c r="P1116" s="57"/>
      <c r="Q1116" s="57"/>
      <c r="R1116" s="57"/>
      <c r="S1116" s="59"/>
      <c r="T1116" s="57"/>
      <c r="U1116" s="60"/>
      <c r="V1116" s="59"/>
      <c r="W1116" s="57"/>
      <c r="X1116" s="57"/>
      <c r="Y1116" s="57" t="s">
        <v>21</v>
      </c>
      <c r="Z1116" s="57" t="s">
        <v>4606</v>
      </c>
      <c r="AA1116" s="59">
        <v>52391</v>
      </c>
      <c r="AB1116" s="57" t="s">
        <v>61</v>
      </c>
      <c r="AC1116" s="60">
        <v>45825</v>
      </c>
      <c r="AD1116" s="59">
        <v>52391</v>
      </c>
      <c r="AE1116" s="57" t="s">
        <v>4607</v>
      </c>
      <c r="AF1116" s="57" t="s">
        <v>4608</v>
      </c>
    </row>
    <row r="1117" spans="1:32">
      <c r="A1117" s="57">
        <v>1116</v>
      </c>
      <c r="B1117" s="58">
        <v>46013.486585648148</v>
      </c>
      <c r="C1117" s="58">
        <v>46013.490856481483</v>
      </c>
      <c r="D1117" s="57" t="s">
        <v>1414</v>
      </c>
      <c r="E1117" s="57" t="s">
        <v>1415</v>
      </c>
      <c r="F1117" s="58"/>
      <c r="G1117" s="57" t="s">
        <v>578</v>
      </c>
      <c r="H1117" s="59">
        <v>1</v>
      </c>
      <c r="I1117" s="57"/>
      <c r="J1117" s="57"/>
      <c r="K1117" s="59"/>
      <c r="L1117" s="57"/>
      <c r="M1117" s="60"/>
      <c r="N1117" s="59"/>
      <c r="O1117" s="57"/>
      <c r="P1117" s="57"/>
      <c r="Q1117" s="57"/>
      <c r="R1117" s="57"/>
      <c r="S1117" s="59"/>
      <c r="T1117" s="57"/>
      <c r="U1117" s="60"/>
      <c r="V1117" s="59"/>
      <c r="W1117" s="57"/>
      <c r="X1117" s="57"/>
      <c r="Y1117" s="57" t="s">
        <v>21</v>
      </c>
      <c r="Z1117" s="57" t="s">
        <v>250</v>
      </c>
      <c r="AA1117" s="59">
        <v>14557</v>
      </c>
      <c r="AB1117" s="57" t="s">
        <v>61</v>
      </c>
      <c r="AC1117" s="60">
        <v>45896</v>
      </c>
      <c r="AD1117" s="59">
        <v>14557</v>
      </c>
      <c r="AE1117" s="57" t="s">
        <v>4609</v>
      </c>
      <c r="AF1117" s="57" t="s">
        <v>4610</v>
      </c>
    </row>
    <row r="1118" spans="1:32">
      <c r="A1118" s="57">
        <v>1117</v>
      </c>
      <c r="B1118" s="58">
        <v>46013.435370370367</v>
      </c>
      <c r="C1118" s="58">
        <v>46013.495775462958</v>
      </c>
      <c r="D1118" s="57" t="s">
        <v>1628</v>
      </c>
      <c r="E1118" s="57" t="s">
        <v>1629</v>
      </c>
      <c r="F1118" s="58"/>
      <c r="G1118" s="57" t="s">
        <v>705</v>
      </c>
      <c r="H1118" s="59">
        <v>1</v>
      </c>
      <c r="I1118" s="57"/>
      <c r="J1118" s="57"/>
      <c r="K1118" s="59"/>
      <c r="L1118" s="57"/>
      <c r="M1118" s="60"/>
      <c r="N1118" s="59"/>
      <c r="O1118" s="57"/>
      <c r="P1118" s="57"/>
      <c r="Q1118" s="57"/>
      <c r="R1118" s="57"/>
      <c r="S1118" s="59"/>
      <c r="T1118" s="57"/>
      <c r="U1118" s="60"/>
      <c r="V1118" s="59"/>
      <c r="W1118" s="57"/>
      <c r="X1118" s="57"/>
      <c r="Y1118" s="57" t="s">
        <v>21</v>
      </c>
      <c r="Z1118" s="57" t="s">
        <v>433</v>
      </c>
      <c r="AA1118" s="59">
        <v>903</v>
      </c>
      <c r="AB1118" s="57" t="s">
        <v>61</v>
      </c>
      <c r="AC1118" s="60">
        <v>46013</v>
      </c>
      <c r="AD1118" s="59">
        <v>903</v>
      </c>
      <c r="AE1118" s="57" t="s">
        <v>4611</v>
      </c>
      <c r="AF1118" s="57" t="s">
        <v>4612</v>
      </c>
    </row>
    <row r="1119" spans="1:32">
      <c r="A1119" s="57">
        <v>1118</v>
      </c>
      <c r="B1119" s="58">
        <v>46013.415648148148</v>
      </c>
      <c r="C1119" s="58">
        <v>46013.498738425929</v>
      </c>
      <c r="D1119" s="57" t="s">
        <v>981</v>
      </c>
      <c r="E1119" s="57" t="s">
        <v>982</v>
      </c>
      <c r="F1119" s="58"/>
      <c r="G1119" s="57" t="s">
        <v>628</v>
      </c>
      <c r="H1119" s="59">
        <v>2</v>
      </c>
      <c r="I1119" s="57"/>
      <c r="J1119" s="57"/>
      <c r="K1119" s="59"/>
      <c r="L1119" s="57"/>
      <c r="M1119" s="60"/>
      <c r="N1119" s="59"/>
      <c r="O1119" s="57"/>
      <c r="P1119" s="57"/>
      <c r="Q1119" s="57" t="s">
        <v>22</v>
      </c>
      <c r="R1119" s="57" t="s">
        <v>390</v>
      </c>
      <c r="S1119" s="59">
        <v>6674</v>
      </c>
      <c r="T1119" s="57" t="s">
        <v>61</v>
      </c>
      <c r="U1119" s="60">
        <v>45995</v>
      </c>
      <c r="V1119" s="59">
        <v>6674</v>
      </c>
      <c r="W1119" s="57" t="s">
        <v>4613</v>
      </c>
      <c r="X1119" s="57" t="s">
        <v>4614</v>
      </c>
      <c r="Y1119" s="57" t="s">
        <v>21</v>
      </c>
      <c r="Z1119" s="57" t="s">
        <v>314</v>
      </c>
      <c r="AA1119" s="59">
        <v>8268</v>
      </c>
      <c r="AB1119" s="57" t="s">
        <v>61</v>
      </c>
      <c r="AC1119" s="60">
        <v>45973</v>
      </c>
      <c r="AD1119" s="59">
        <v>8268</v>
      </c>
      <c r="AE1119" s="57" t="s">
        <v>4615</v>
      </c>
      <c r="AF1119" s="57" t="s">
        <v>4616</v>
      </c>
    </row>
    <row r="1120" spans="1:32">
      <c r="A1120" s="57">
        <v>1119</v>
      </c>
      <c r="B1120" s="58">
        <v>46013.49622685185</v>
      </c>
      <c r="C1120" s="58">
        <v>46013.499513888892</v>
      </c>
      <c r="D1120" s="57" t="s">
        <v>1007</v>
      </c>
      <c r="E1120" s="57" t="s">
        <v>1008</v>
      </c>
      <c r="F1120" s="58"/>
      <c r="G1120" s="57" t="s">
        <v>528</v>
      </c>
      <c r="H1120" s="59">
        <v>2</v>
      </c>
      <c r="I1120" s="57"/>
      <c r="J1120" s="57"/>
      <c r="K1120" s="59"/>
      <c r="L1120" s="57"/>
      <c r="M1120" s="60"/>
      <c r="N1120" s="59"/>
      <c r="O1120" s="57"/>
      <c r="P1120" s="57"/>
      <c r="Q1120" s="57" t="s">
        <v>22</v>
      </c>
      <c r="R1120" s="57" t="s">
        <v>195</v>
      </c>
      <c r="S1120" s="59">
        <v>44087</v>
      </c>
      <c r="T1120" s="57" t="s">
        <v>61</v>
      </c>
      <c r="U1120" s="60">
        <v>46002</v>
      </c>
      <c r="V1120" s="59">
        <v>44087</v>
      </c>
      <c r="W1120" s="57" t="s">
        <v>4617</v>
      </c>
      <c r="X1120" s="57" t="s">
        <v>4618</v>
      </c>
      <c r="Y1120" s="57" t="s">
        <v>20</v>
      </c>
      <c r="Z1120" s="57" t="s">
        <v>400</v>
      </c>
      <c r="AA1120" s="59">
        <v>4010</v>
      </c>
      <c r="AB1120" s="57" t="s">
        <v>61</v>
      </c>
      <c r="AC1120" s="60">
        <v>46002</v>
      </c>
      <c r="AD1120" s="59">
        <v>4010</v>
      </c>
      <c r="AE1120" s="57" t="s">
        <v>4619</v>
      </c>
      <c r="AF1120" s="57" t="s">
        <v>4620</v>
      </c>
    </row>
    <row r="1121" spans="1:32">
      <c r="A1121" s="57">
        <v>1120</v>
      </c>
      <c r="B1121" s="58">
        <v>46013.500324074077</v>
      </c>
      <c r="C1121" s="58">
        <v>46013.503206018519</v>
      </c>
      <c r="D1121" s="57" t="s">
        <v>1463</v>
      </c>
      <c r="E1121" s="57" t="s">
        <v>1464</v>
      </c>
      <c r="F1121" s="58"/>
      <c r="G1121" s="57" t="s">
        <v>501</v>
      </c>
      <c r="H1121" s="59">
        <v>2</v>
      </c>
      <c r="I1121" s="57"/>
      <c r="J1121" s="57"/>
      <c r="K1121" s="59"/>
      <c r="L1121" s="57"/>
      <c r="M1121" s="60"/>
      <c r="N1121" s="59"/>
      <c r="O1121" s="57"/>
      <c r="P1121" s="57"/>
      <c r="Q1121" s="57" t="s">
        <v>21</v>
      </c>
      <c r="R1121" s="57" t="s">
        <v>167</v>
      </c>
      <c r="S1121" s="59">
        <v>30639</v>
      </c>
      <c r="T1121" s="57" t="s">
        <v>61</v>
      </c>
      <c r="U1121" s="60">
        <v>45841</v>
      </c>
      <c r="V1121" s="59">
        <v>30639</v>
      </c>
      <c r="W1121" s="57" t="s">
        <v>4621</v>
      </c>
      <c r="X1121" s="57" t="s">
        <v>4622</v>
      </c>
      <c r="Y1121" s="57" t="s">
        <v>22</v>
      </c>
      <c r="Z1121" s="57" t="s">
        <v>236</v>
      </c>
      <c r="AA1121" s="59">
        <v>61431</v>
      </c>
      <c r="AB1121" s="57" t="s">
        <v>61</v>
      </c>
      <c r="AC1121" s="60">
        <v>45944</v>
      </c>
      <c r="AD1121" s="59">
        <v>61431</v>
      </c>
      <c r="AE1121" s="57" t="s">
        <v>4623</v>
      </c>
      <c r="AF1121" s="57" t="s">
        <v>4624</v>
      </c>
    </row>
    <row r="1122" spans="1:32">
      <c r="A1122" s="57">
        <v>1121</v>
      </c>
      <c r="B1122" s="58">
        <v>46013.488344907397</v>
      </c>
      <c r="C1122" s="58">
        <v>46013.505613425928</v>
      </c>
      <c r="D1122" s="57" t="s">
        <v>2395</v>
      </c>
      <c r="E1122" s="57" t="s">
        <v>2396</v>
      </c>
      <c r="F1122" s="58"/>
      <c r="G1122" s="57" t="s">
        <v>513</v>
      </c>
      <c r="H1122" s="59">
        <v>1</v>
      </c>
      <c r="I1122" s="57"/>
      <c r="J1122" s="57"/>
      <c r="K1122" s="59"/>
      <c r="L1122" s="57"/>
      <c r="M1122" s="60"/>
      <c r="N1122" s="59"/>
      <c r="O1122" s="57"/>
      <c r="P1122" s="57"/>
      <c r="Q1122" s="57"/>
      <c r="R1122" s="57"/>
      <c r="S1122" s="59"/>
      <c r="T1122" s="57"/>
      <c r="U1122" s="60"/>
      <c r="V1122" s="59"/>
      <c r="W1122" s="57"/>
      <c r="X1122" s="57"/>
      <c r="Y1122" s="57" t="s">
        <v>21</v>
      </c>
      <c r="Z1122" s="57" t="s">
        <v>180</v>
      </c>
      <c r="AA1122" s="59">
        <v>36122</v>
      </c>
      <c r="AB1122" s="57" t="s">
        <v>61</v>
      </c>
      <c r="AC1122" s="60">
        <v>45962</v>
      </c>
      <c r="AD1122" s="59">
        <v>36122</v>
      </c>
      <c r="AE1122" s="57" t="s">
        <v>4625</v>
      </c>
      <c r="AF1122" s="57" t="s">
        <v>4626</v>
      </c>
    </row>
    <row r="1123" spans="1:32">
      <c r="A1123" s="57">
        <v>1122</v>
      </c>
      <c r="B1123" s="58">
        <v>46013.497812499998</v>
      </c>
      <c r="C1123" s="58">
        <v>46013.509166666663</v>
      </c>
      <c r="D1123" s="57" t="s">
        <v>1135</v>
      </c>
      <c r="E1123" s="57" t="s">
        <v>1136</v>
      </c>
      <c r="F1123" s="58"/>
      <c r="G1123" s="57" t="s">
        <v>453</v>
      </c>
      <c r="H1123" s="59">
        <v>1</v>
      </c>
      <c r="I1123" s="57"/>
      <c r="J1123" s="57"/>
      <c r="K1123" s="59"/>
      <c r="L1123" s="57"/>
      <c r="M1123" s="60"/>
      <c r="N1123" s="59"/>
      <c r="O1123" s="57"/>
      <c r="P1123" s="57"/>
      <c r="Q1123" s="57"/>
      <c r="R1123" s="57"/>
      <c r="S1123" s="59"/>
      <c r="T1123" s="57"/>
      <c r="U1123" s="60"/>
      <c r="V1123" s="59"/>
      <c r="W1123" s="57"/>
      <c r="X1123" s="57"/>
      <c r="Y1123" s="57" t="s">
        <v>21</v>
      </c>
      <c r="Z1123" s="57" t="s">
        <v>119</v>
      </c>
      <c r="AA1123" s="59">
        <v>27354</v>
      </c>
      <c r="AB1123" s="57" t="s">
        <v>61</v>
      </c>
      <c r="AC1123" s="60">
        <v>45810</v>
      </c>
      <c r="AD1123" s="59">
        <v>27354</v>
      </c>
      <c r="AE1123" s="57" t="s">
        <v>4627</v>
      </c>
      <c r="AF1123" s="57" t="s">
        <v>4628</v>
      </c>
    </row>
    <row r="1124" spans="1:32">
      <c r="A1124" s="57">
        <v>1123</v>
      </c>
      <c r="B1124" s="58">
        <v>46013.509745370371</v>
      </c>
      <c r="C1124" s="58">
        <v>46013.511979166673</v>
      </c>
      <c r="D1124" s="57" t="s">
        <v>726</v>
      </c>
      <c r="E1124" s="57" t="s">
        <v>727</v>
      </c>
      <c r="F1124" s="58"/>
      <c r="G1124" s="57" t="s">
        <v>540</v>
      </c>
      <c r="H1124" s="59">
        <v>1</v>
      </c>
      <c r="I1124" s="57"/>
      <c r="J1124" s="57"/>
      <c r="K1124" s="59"/>
      <c r="L1124" s="57"/>
      <c r="M1124" s="60"/>
      <c r="N1124" s="59"/>
      <c r="O1124" s="57"/>
      <c r="P1124" s="57"/>
      <c r="Q1124" s="57"/>
      <c r="R1124" s="57"/>
      <c r="S1124" s="59"/>
      <c r="T1124" s="57"/>
      <c r="U1124" s="60"/>
      <c r="V1124" s="59"/>
      <c r="W1124" s="57"/>
      <c r="X1124" s="57"/>
      <c r="Y1124" s="57" t="s">
        <v>20</v>
      </c>
      <c r="Z1124" s="57" t="s">
        <v>208</v>
      </c>
      <c r="AA1124" s="59">
        <v>61465</v>
      </c>
      <c r="AB1124" s="57" t="s">
        <v>61</v>
      </c>
      <c r="AC1124" s="60">
        <v>45938</v>
      </c>
      <c r="AD1124" s="59">
        <v>61465</v>
      </c>
      <c r="AE1124" s="57" t="s">
        <v>4629</v>
      </c>
      <c r="AF1124" s="57" t="s">
        <v>4630</v>
      </c>
    </row>
    <row r="1125" spans="1:32">
      <c r="A1125" s="57">
        <v>1124</v>
      </c>
      <c r="B1125" s="58">
        <v>46013.508773148147</v>
      </c>
      <c r="C1125" s="58">
        <v>46013.513078703712</v>
      </c>
      <c r="D1125" s="57" t="s">
        <v>1159</v>
      </c>
      <c r="E1125" s="57" t="s">
        <v>1160</v>
      </c>
      <c r="F1125" s="58"/>
      <c r="G1125" s="57" t="s">
        <v>551</v>
      </c>
      <c r="H1125" s="59">
        <v>1</v>
      </c>
      <c r="I1125" s="57"/>
      <c r="J1125" s="57"/>
      <c r="K1125" s="59"/>
      <c r="L1125" s="57"/>
      <c r="M1125" s="60"/>
      <c r="N1125" s="59"/>
      <c r="O1125" s="57"/>
      <c r="P1125" s="57"/>
      <c r="Q1125" s="57"/>
      <c r="R1125" s="57"/>
      <c r="S1125" s="59"/>
      <c r="T1125" s="57"/>
      <c r="U1125" s="60"/>
      <c r="V1125" s="59"/>
      <c r="W1125" s="57"/>
      <c r="X1125" s="57"/>
      <c r="Y1125" s="57" t="s">
        <v>20</v>
      </c>
      <c r="Z1125" s="57" t="s">
        <v>220</v>
      </c>
      <c r="AA1125" s="59">
        <v>41163</v>
      </c>
      <c r="AB1125" s="57" t="s">
        <v>61</v>
      </c>
      <c r="AC1125" s="60">
        <v>46008</v>
      </c>
      <c r="AD1125" s="59">
        <v>41163</v>
      </c>
      <c r="AE1125" s="57" t="s">
        <v>4631</v>
      </c>
      <c r="AF1125" s="57" t="s">
        <v>4632</v>
      </c>
    </row>
    <row r="1126" spans="1:32">
      <c r="A1126" s="57">
        <v>1125</v>
      </c>
      <c r="B1126" s="58">
        <v>46013.423009259262</v>
      </c>
      <c r="C1126" s="58">
        <v>46013.526342592602</v>
      </c>
      <c r="D1126" s="57" t="s">
        <v>1723</v>
      </c>
      <c r="E1126" s="57" t="s">
        <v>1724</v>
      </c>
      <c r="F1126" s="58"/>
      <c r="G1126" s="57" t="s">
        <v>700</v>
      </c>
      <c r="H1126" s="59">
        <v>2</v>
      </c>
      <c r="I1126" s="57"/>
      <c r="J1126" s="57"/>
      <c r="K1126" s="59"/>
      <c r="L1126" s="57"/>
      <c r="M1126" s="60"/>
      <c r="N1126" s="59"/>
      <c r="O1126" s="57"/>
      <c r="P1126" s="57"/>
      <c r="Q1126" s="57" t="s">
        <v>21</v>
      </c>
      <c r="R1126" s="57" t="s">
        <v>426</v>
      </c>
      <c r="S1126" s="59">
        <v>1606</v>
      </c>
      <c r="T1126" s="57" t="s">
        <v>61</v>
      </c>
      <c r="U1126" s="60">
        <v>45967</v>
      </c>
      <c r="V1126" s="59">
        <v>1606</v>
      </c>
      <c r="W1126" s="57" t="s">
        <v>4633</v>
      </c>
      <c r="X1126" s="57" t="s">
        <v>4634</v>
      </c>
      <c r="Y1126" s="57" t="s">
        <v>21</v>
      </c>
      <c r="Z1126" s="57" t="s">
        <v>2135</v>
      </c>
      <c r="AA1126" s="59">
        <v>27624</v>
      </c>
      <c r="AB1126" s="57" t="s">
        <v>61</v>
      </c>
      <c r="AC1126" s="60">
        <v>45903</v>
      </c>
      <c r="AD1126" s="59">
        <v>27624</v>
      </c>
      <c r="AE1126" s="57" t="s">
        <v>4635</v>
      </c>
      <c r="AF1126" s="57" t="s">
        <v>4636</v>
      </c>
    </row>
    <row r="1127" spans="1:32">
      <c r="A1127" s="57">
        <v>1126</v>
      </c>
      <c r="B1127" s="58">
        <v>46013.522430555553</v>
      </c>
      <c r="C1127" s="58">
        <v>46013.530601851853</v>
      </c>
      <c r="D1127" s="57" t="s">
        <v>1445</v>
      </c>
      <c r="E1127" s="57" t="s">
        <v>1446</v>
      </c>
      <c r="F1127" s="58"/>
      <c r="G1127" s="57" t="s">
        <v>596</v>
      </c>
      <c r="H1127" s="59">
        <v>2</v>
      </c>
      <c r="I1127" s="57"/>
      <c r="J1127" s="57"/>
      <c r="K1127" s="59"/>
      <c r="L1127" s="57"/>
      <c r="M1127" s="60"/>
      <c r="N1127" s="59"/>
      <c r="O1127" s="57"/>
      <c r="P1127" s="57"/>
      <c r="Q1127" s="57" t="s">
        <v>22</v>
      </c>
      <c r="R1127" s="57" t="s">
        <v>401</v>
      </c>
      <c r="S1127" s="59">
        <v>9549</v>
      </c>
      <c r="T1127" s="57" t="s">
        <v>61</v>
      </c>
      <c r="U1127" s="60">
        <v>45919</v>
      </c>
      <c r="V1127" s="59">
        <v>9549</v>
      </c>
      <c r="W1127" s="57" t="s">
        <v>4637</v>
      </c>
      <c r="X1127" s="57" t="s">
        <v>4638</v>
      </c>
      <c r="Y1127" s="57" t="s">
        <v>21</v>
      </c>
      <c r="Z1127" s="57" t="s">
        <v>272</v>
      </c>
      <c r="AA1127" s="59">
        <v>19365</v>
      </c>
      <c r="AB1127" s="57" t="s">
        <v>61</v>
      </c>
      <c r="AC1127" s="60">
        <v>45943</v>
      </c>
      <c r="AD1127" s="59">
        <v>19365</v>
      </c>
      <c r="AE1127" s="57" t="s">
        <v>4639</v>
      </c>
      <c r="AF1127" s="57" t="s">
        <v>4640</v>
      </c>
    </row>
    <row r="1128" spans="1:32">
      <c r="A1128" s="57">
        <v>1127</v>
      </c>
      <c r="B1128" s="58">
        <v>46013.536620370367</v>
      </c>
      <c r="C1128" s="58">
        <v>46013.538217592592</v>
      </c>
      <c r="D1128" s="57" t="s">
        <v>765</v>
      </c>
      <c r="E1128" s="57" t="s">
        <v>766</v>
      </c>
      <c r="F1128" s="58"/>
      <c r="G1128" s="57" t="s">
        <v>458</v>
      </c>
      <c r="H1128" s="59">
        <v>1</v>
      </c>
      <c r="I1128" s="57"/>
      <c r="J1128" s="57"/>
      <c r="K1128" s="59"/>
      <c r="L1128" s="57"/>
      <c r="M1128" s="60"/>
      <c r="N1128" s="59"/>
      <c r="O1128" s="57"/>
      <c r="P1128" s="57"/>
      <c r="Q1128" s="57"/>
      <c r="R1128" s="57"/>
      <c r="S1128" s="59"/>
      <c r="T1128" s="57"/>
      <c r="U1128" s="60"/>
      <c r="V1128" s="59"/>
      <c r="W1128" s="57"/>
      <c r="X1128" s="57"/>
      <c r="Y1128" s="57" t="s">
        <v>21</v>
      </c>
      <c r="Z1128" s="57" t="s">
        <v>124</v>
      </c>
      <c r="AA1128" s="59">
        <v>38500</v>
      </c>
      <c r="AB1128" s="57" t="s">
        <v>61</v>
      </c>
      <c r="AC1128" s="60">
        <v>45927</v>
      </c>
      <c r="AD1128" s="59">
        <v>38500</v>
      </c>
      <c r="AE1128" s="57" t="s">
        <v>4641</v>
      </c>
      <c r="AF1128" s="57" t="s">
        <v>4642</v>
      </c>
    </row>
    <row r="1129" spans="1:32">
      <c r="A1129" s="57">
        <v>1128</v>
      </c>
      <c r="B1129" s="58">
        <v>46013.412453703713</v>
      </c>
      <c r="C1129" s="58">
        <v>46013.54859953704</v>
      </c>
      <c r="D1129" s="57" t="s">
        <v>840</v>
      </c>
      <c r="E1129" s="57" t="s">
        <v>841</v>
      </c>
      <c r="F1129" s="58"/>
      <c r="G1129" s="57" t="s">
        <v>564</v>
      </c>
      <c r="H1129" s="59">
        <v>1</v>
      </c>
      <c r="I1129" s="57"/>
      <c r="J1129" s="57"/>
      <c r="K1129" s="59"/>
      <c r="L1129" s="57"/>
      <c r="M1129" s="60"/>
      <c r="N1129" s="59"/>
      <c r="O1129" s="57"/>
      <c r="P1129" s="57"/>
      <c r="Q1129" s="57"/>
      <c r="R1129" s="57"/>
      <c r="S1129" s="59"/>
      <c r="T1129" s="57"/>
      <c r="U1129" s="60"/>
      <c r="V1129" s="59"/>
      <c r="W1129" s="57"/>
      <c r="X1129" s="57"/>
      <c r="Y1129" s="57" t="s">
        <v>20</v>
      </c>
      <c r="Z1129" s="57" t="s">
        <v>235</v>
      </c>
      <c r="AA1129" s="59">
        <v>17174</v>
      </c>
      <c r="AB1129" s="57" t="s">
        <v>61</v>
      </c>
      <c r="AC1129" s="60">
        <v>45812</v>
      </c>
      <c r="AD1129" s="59">
        <v>17174</v>
      </c>
      <c r="AE1129" s="57" t="s">
        <v>4643</v>
      </c>
      <c r="AF1129" s="57" t="s">
        <v>4644</v>
      </c>
    </row>
    <row r="1130" spans="1:32">
      <c r="A1130" s="57">
        <v>1129</v>
      </c>
      <c r="B1130" s="58">
        <v>46013.547708333332</v>
      </c>
      <c r="C1130" s="58">
        <v>46013.552361111113</v>
      </c>
      <c r="D1130" s="57" t="s">
        <v>952</v>
      </c>
      <c r="E1130" s="57" t="s">
        <v>953</v>
      </c>
      <c r="F1130" s="58"/>
      <c r="G1130" s="57" t="s">
        <v>644</v>
      </c>
      <c r="H1130" s="59">
        <v>1</v>
      </c>
      <c r="I1130" s="57"/>
      <c r="J1130" s="57"/>
      <c r="K1130" s="59"/>
      <c r="L1130" s="57"/>
      <c r="M1130" s="60"/>
      <c r="N1130" s="59"/>
      <c r="O1130" s="57"/>
      <c r="P1130" s="57"/>
      <c r="Q1130" s="57"/>
      <c r="R1130" s="57"/>
      <c r="S1130" s="59"/>
      <c r="T1130" s="57"/>
      <c r="U1130" s="60"/>
      <c r="V1130" s="59"/>
      <c r="W1130" s="57"/>
      <c r="X1130" s="57"/>
      <c r="Y1130" s="57" t="s">
        <v>21</v>
      </c>
      <c r="Z1130" s="57" t="s">
        <v>339</v>
      </c>
      <c r="AA1130" s="59">
        <v>9759</v>
      </c>
      <c r="AB1130" s="57" t="s">
        <v>61</v>
      </c>
      <c r="AC1130" s="60">
        <v>45972</v>
      </c>
      <c r="AD1130" s="59">
        <v>9759</v>
      </c>
      <c r="AE1130" s="57" t="s">
        <v>4645</v>
      </c>
      <c r="AF1130" s="57" t="s">
        <v>4646</v>
      </c>
    </row>
    <row r="1131" spans="1:32">
      <c r="A1131" s="57">
        <v>1130</v>
      </c>
      <c r="B1131" s="58">
        <v>46013.556215277778</v>
      </c>
      <c r="C1131" s="58">
        <v>46013.557951388888</v>
      </c>
      <c r="D1131" s="57" t="s">
        <v>1624</v>
      </c>
      <c r="E1131" s="57" t="s">
        <v>1625</v>
      </c>
      <c r="F1131" s="58"/>
      <c r="G1131" s="57" t="s">
        <v>470</v>
      </c>
      <c r="H1131" s="59">
        <v>1</v>
      </c>
      <c r="I1131" s="57"/>
      <c r="J1131" s="57"/>
      <c r="K1131" s="59"/>
      <c r="L1131" s="57"/>
      <c r="M1131" s="60"/>
      <c r="N1131" s="59"/>
      <c r="O1131" s="57"/>
      <c r="P1131" s="57"/>
      <c r="Q1131" s="57"/>
      <c r="R1131" s="57"/>
      <c r="S1131" s="59"/>
      <c r="T1131" s="57"/>
      <c r="U1131" s="60"/>
      <c r="V1131" s="59"/>
      <c r="W1131" s="57"/>
      <c r="X1131" s="57"/>
      <c r="Y1131" s="57" t="s">
        <v>20</v>
      </c>
      <c r="Z1131" s="57" t="s">
        <v>136</v>
      </c>
      <c r="AA1131" s="59">
        <v>85805</v>
      </c>
      <c r="AB1131" s="57" t="s">
        <v>61</v>
      </c>
      <c r="AC1131" s="60">
        <v>46004</v>
      </c>
      <c r="AD1131" s="59">
        <v>85805</v>
      </c>
      <c r="AE1131" s="57" t="s">
        <v>4647</v>
      </c>
      <c r="AF1131" s="57" t="s">
        <v>4648</v>
      </c>
    </row>
    <row r="1132" spans="1:32">
      <c r="A1132" s="57">
        <v>1131</v>
      </c>
      <c r="B1132" s="58">
        <v>46013.56449074074</v>
      </c>
      <c r="C1132" s="58">
        <v>46013.565798611111</v>
      </c>
      <c r="D1132" s="57" t="s">
        <v>2391</v>
      </c>
      <c r="E1132" s="57" t="s">
        <v>2392</v>
      </c>
      <c r="F1132" s="58"/>
      <c r="G1132" s="57" t="s">
        <v>669</v>
      </c>
      <c r="H1132" s="59">
        <v>1</v>
      </c>
      <c r="I1132" s="57"/>
      <c r="J1132" s="57"/>
      <c r="K1132" s="59"/>
      <c r="L1132" s="57"/>
      <c r="M1132" s="60"/>
      <c r="N1132" s="59"/>
      <c r="O1132" s="57"/>
      <c r="P1132" s="57"/>
      <c r="Q1132" s="57"/>
      <c r="R1132" s="57"/>
      <c r="S1132" s="59"/>
      <c r="T1132" s="57"/>
      <c r="U1132" s="60"/>
      <c r="V1132" s="59"/>
      <c r="W1132" s="57"/>
      <c r="X1132" s="57"/>
      <c r="Y1132" s="57" t="s">
        <v>21</v>
      </c>
      <c r="Z1132" s="57" t="s">
        <v>380</v>
      </c>
      <c r="AA1132" s="59">
        <v>2016</v>
      </c>
      <c r="AB1132" s="57" t="s">
        <v>61</v>
      </c>
      <c r="AC1132" s="60">
        <v>45814</v>
      </c>
      <c r="AD1132" s="59">
        <v>2016</v>
      </c>
      <c r="AE1132" s="57" t="s">
        <v>4649</v>
      </c>
      <c r="AF1132" s="57" t="s">
        <v>4650</v>
      </c>
    </row>
    <row r="1133" spans="1:32">
      <c r="A1133" s="57">
        <v>1132</v>
      </c>
      <c r="B1133" s="58">
        <v>46013.579143518517</v>
      </c>
      <c r="C1133" s="58">
        <v>46013.584537037037</v>
      </c>
      <c r="D1133" s="57" t="s">
        <v>1333</v>
      </c>
      <c r="E1133" s="57" t="s">
        <v>1334</v>
      </c>
      <c r="F1133" s="58"/>
      <c r="G1133" s="57" t="s">
        <v>516</v>
      </c>
      <c r="H1133" s="59">
        <v>1</v>
      </c>
      <c r="I1133" s="57"/>
      <c r="J1133" s="57"/>
      <c r="K1133" s="59"/>
      <c r="L1133" s="57"/>
      <c r="M1133" s="60"/>
      <c r="N1133" s="59"/>
      <c r="O1133" s="57"/>
      <c r="P1133" s="57"/>
      <c r="Q1133" s="57"/>
      <c r="R1133" s="57"/>
      <c r="S1133" s="59"/>
      <c r="T1133" s="57"/>
      <c r="U1133" s="60"/>
      <c r="V1133" s="59"/>
      <c r="W1133" s="57"/>
      <c r="X1133" s="57"/>
      <c r="Y1133" s="57" t="s">
        <v>20</v>
      </c>
      <c r="Z1133" s="57" t="s">
        <v>183</v>
      </c>
      <c r="AA1133" s="59">
        <v>51044</v>
      </c>
      <c r="AB1133" s="57" t="s">
        <v>61</v>
      </c>
      <c r="AC1133" s="60">
        <v>45876</v>
      </c>
      <c r="AD1133" s="59">
        <v>51044</v>
      </c>
      <c r="AE1133" s="57" t="s">
        <v>4651</v>
      </c>
      <c r="AF1133" s="57" t="s">
        <v>4652</v>
      </c>
    </row>
    <row r="1134" spans="1:32">
      <c r="A1134" s="57">
        <v>1133</v>
      </c>
      <c r="B1134" s="58">
        <v>46013.587673611109</v>
      </c>
      <c r="C1134" s="58">
        <v>46013.589178240742</v>
      </c>
      <c r="D1134" s="57" t="s">
        <v>1276</v>
      </c>
      <c r="E1134" s="57" t="s">
        <v>1277</v>
      </c>
      <c r="F1134" s="58"/>
      <c r="G1134" s="57" t="s">
        <v>668</v>
      </c>
      <c r="H1134" s="59">
        <v>1</v>
      </c>
      <c r="I1134" s="57"/>
      <c r="J1134" s="57"/>
      <c r="K1134" s="59"/>
      <c r="L1134" s="57"/>
      <c r="M1134" s="60"/>
      <c r="N1134" s="59"/>
      <c r="O1134" s="57"/>
      <c r="P1134" s="57"/>
      <c r="Q1134" s="57"/>
      <c r="R1134" s="57"/>
      <c r="S1134" s="59"/>
      <c r="T1134" s="57"/>
      <c r="U1134" s="60"/>
      <c r="V1134" s="59"/>
      <c r="W1134" s="57"/>
      <c r="X1134" s="57"/>
      <c r="Y1134" s="57" t="s">
        <v>20</v>
      </c>
      <c r="Z1134" s="57" t="s">
        <v>378</v>
      </c>
      <c r="AA1134" s="59">
        <v>11109</v>
      </c>
      <c r="AB1134" s="57" t="s">
        <v>61</v>
      </c>
      <c r="AC1134" s="60">
        <v>46013</v>
      </c>
      <c r="AD1134" s="59">
        <v>11109</v>
      </c>
      <c r="AE1134" s="57" t="s">
        <v>4653</v>
      </c>
      <c r="AF1134" s="57" t="s">
        <v>4654</v>
      </c>
    </row>
    <row r="1135" spans="1:32">
      <c r="A1135" s="57">
        <v>1134</v>
      </c>
      <c r="B1135" s="58">
        <v>46013.586354166669</v>
      </c>
      <c r="C1135" s="58">
        <v>46013.59107638889</v>
      </c>
      <c r="D1135" s="57" t="s">
        <v>1326</v>
      </c>
      <c r="E1135" s="57" t="s">
        <v>1327</v>
      </c>
      <c r="F1135" s="58"/>
      <c r="G1135" s="57" t="s">
        <v>565</v>
      </c>
      <c r="H1135" s="59">
        <v>1</v>
      </c>
      <c r="I1135" s="57"/>
      <c r="J1135" s="57"/>
      <c r="K1135" s="59"/>
      <c r="L1135" s="57"/>
      <c r="M1135" s="60"/>
      <c r="N1135" s="59"/>
      <c r="O1135" s="57"/>
      <c r="P1135" s="57"/>
      <c r="Q1135" s="57"/>
      <c r="R1135" s="57"/>
      <c r="S1135" s="59"/>
      <c r="T1135" s="57"/>
      <c r="U1135" s="60"/>
      <c r="V1135" s="59"/>
      <c r="W1135" s="57"/>
      <c r="X1135" s="57"/>
      <c r="Y1135" s="57" t="s">
        <v>21</v>
      </c>
      <c r="Z1135" s="57" t="s">
        <v>237</v>
      </c>
      <c r="AA1135" s="59">
        <v>43808</v>
      </c>
      <c r="AB1135" s="57" t="s">
        <v>61</v>
      </c>
      <c r="AC1135" s="60">
        <v>45981</v>
      </c>
      <c r="AD1135" s="59">
        <v>43808</v>
      </c>
      <c r="AE1135" s="57" t="s">
        <v>4655</v>
      </c>
      <c r="AF1135" s="57" t="s">
        <v>4656</v>
      </c>
    </row>
    <row r="1136" spans="1:32">
      <c r="A1136" s="57">
        <v>1135</v>
      </c>
      <c r="B1136" s="58">
        <v>46013.504965277767</v>
      </c>
      <c r="C1136" s="58">
        <v>46013.594050925924</v>
      </c>
      <c r="D1136" s="57" t="s">
        <v>1780</v>
      </c>
      <c r="E1136" s="57" t="s">
        <v>1781</v>
      </c>
      <c r="F1136" s="58"/>
      <c r="G1136" s="57" t="s">
        <v>599</v>
      </c>
      <c r="H1136" s="59">
        <v>1</v>
      </c>
      <c r="I1136" s="57"/>
      <c r="J1136" s="57"/>
      <c r="K1136" s="59"/>
      <c r="L1136" s="57"/>
      <c r="M1136" s="60"/>
      <c r="N1136" s="59"/>
      <c r="O1136" s="57"/>
      <c r="P1136" s="57"/>
      <c r="Q1136" s="57"/>
      <c r="R1136" s="57"/>
      <c r="S1136" s="59"/>
      <c r="T1136" s="57"/>
      <c r="U1136" s="60"/>
      <c r="V1136" s="59"/>
      <c r="W1136" s="57"/>
      <c r="X1136" s="57"/>
      <c r="Y1136" s="57" t="s">
        <v>20</v>
      </c>
      <c r="Z1136" s="57" t="s">
        <v>275</v>
      </c>
      <c r="AA1136" s="59">
        <v>46523</v>
      </c>
      <c r="AB1136" s="57" t="s">
        <v>61</v>
      </c>
      <c r="AC1136" s="60">
        <v>45995</v>
      </c>
      <c r="AD1136" s="59">
        <v>46523</v>
      </c>
      <c r="AE1136" s="57" t="s">
        <v>4657</v>
      </c>
      <c r="AF1136" s="57" t="s">
        <v>4658</v>
      </c>
    </row>
    <row r="1137" spans="1:32">
      <c r="A1137" s="57">
        <v>1136</v>
      </c>
      <c r="B1137" s="58">
        <v>46013.453634259262</v>
      </c>
      <c r="C1137" s="58">
        <v>46013.599710648137</v>
      </c>
      <c r="D1137" s="57" t="s">
        <v>1155</v>
      </c>
      <c r="E1137" s="57" t="s">
        <v>1156</v>
      </c>
      <c r="F1137" s="58"/>
      <c r="G1137" s="57" t="s">
        <v>521</v>
      </c>
      <c r="H1137" s="59">
        <v>1</v>
      </c>
      <c r="I1137" s="57"/>
      <c r="J1137" s="57"/>
      <c r="K1137" s="59"/>
      <c r="L1137" s="57"/>
      <c r="M1137" s="60"/>
      <c r="N1137" s="59"/>
      <c r="O1137" s="57"/>
      <c r="P1137" s="57"/>
      <c r="Q1137" s="57"/>
      <c r="R1137" s="57"/>
      <c r="S1137" s="59"/>
      <c r="T1137" s="57"/>
      <c r="U1137" s="60"/>
      <c r="V1137" s="59"/>
      <c r="W1137" s="57"/>
      <c r="X1137" s="57"/>
      <c r="Y1137" s="57" t="s">
        <v>21</v>
      </c>
      <c r="Z1137" s="57" t="s">
        <v>188</v>
      </c>
      <c r="AA1137" s="59">
        <v>51666</v>
      </c>
      <c r="AB1137" s="57" t="s">
        <v>61</v>
      </c>
      <c r="AC1137" s="60">
        <v>45934</v>
      </c>
      <c r="AD1137" s="59">
        <v>51666</v>
      </c>
      <c r="AE1137" s="57" t="s">
        <v>4659</v>
      </c>
      <c r="AF1137" s="57" t="s">
        <v>4660</v>
      </c>
    </row>
    <row r="1138" spans="1:32">
      <c r="A1138" s="57">
        <v>1137</v>
      </c>
      <c r="B1138" s="58">
        <v>46013.596620370372</v>
      </c>
      <c r="C1138" s="58">
        <v>46013.599733796298</v>
      </c>
      <c r="D1138" s="57" t="s">
        <v>1633</v>
      </c>
      <c r="E1138" s="57" t="s">
        <v>1634</v>
      </c>
      <c r="F1138" s="58"/>
      <c r="G1138" s="57" t="s">
        <v>679</v>
      </c>
      <c r="H1138" s="59">
        <v>1</v>
      </c>
      <c r="I1138" s="57"/>
      <c r="J1138" s="57"/>
      <c r="K1138" s="59"/>
      <c r="L1138" s="57"/>
      <c r="M1138" s="60"/>
      <c r="N1138" s="59"/>
      <c r="O1138" s="57"/>
      <c r="P1138" s="57"/>
      <c r="Q1138" s="57"/>
      <c r="R1138" s="57"/>
      <c r="S1138" s="59"/>
      <c r="T1138" s="57"/>
      <c r="U1138" s="60"/>
      <c r="V1138" s="59"/>
      <c r="W1138" s="57"/>
      <c r="X1138" s="57"/>
      <c r="Y1138" s="57" t="s">
        <v>21</v>
      </c>
      <c r="Z1138" s="57" t="s">
        <v>393</v>
      </c>
      <c r="AA1138" s="59">
        <v>7392</v>
      </c>
      <c r="AB1138" s="57" t="s">
        <v>61</v>
      </c>
      <c r="AC1138" s="60">
        <v>45917</v>
      </c>
      <c r="AD1138" s="59">
        <v>7392</v>
      </c>
      <c r="AE1138" s="57" t="s">
        <v>4661</v>
      </c>
      <c r="AF1138" s="57" t="s">
        <v>4662</v>
      </c>
    </row>
    <row r="1139" spans="1:32">
      <c r="A1139" s="57">
        <v>1138</v>
      </c>
      <c r="B1139" s="58">
        <v>46013.496030092603</v>
      </c>
      <c r="C1139" s="58">
        <v>46013.603344907409</v>
      </c>
      <c r="D1139" s="57" t="s">
        <v>956</v>
      </c>
      <c r="E1139" s="57" t="s">
        <v>957</v>
      </c>
      <c r="F1139" s="58"/>
      <c r="G1139" s="57" t="s">
        <v>534</v>
      </c>
      <c r="H1139" s="59">
        <v>2</v>
      </c>
      <c r="I1139" s="57"/>
      <c r="J1139" s="57"/>
      <c r="K1139" s="59"/>
      <c r="L1139" s="57"/>
      <c r="M1139" s="60"/>
      <c r="N1139" s="59"/>
      <c r="O1139" s="57"/>
      <c r="P1139" s="57"/>
      <c r="Q1139" s="57" t="s">
        <v>20</v>
      </c>
      <c r="R1139" s="57" t="s">
        <v>202</v>
      </c>
      <c r="S1139" s="59">
        <v>34164</v>
      </c>
      <c r="T1139" s="57" t="s">
        <v>61</v>
      </c>
      <c r="U1139" s="60">
        <v>45974</v>
      </c>
      <c r="V1139" s="59">
        <v>34164</v>
      </c>
      <c r="W1139" s="57" t="s">
        <v>4663</v>
      </c>
      <c r="X1139" s="57" t="s">
        <v>4664</v>
      </c>
      <c r="Y1139" s="57" t="s">
        <v>22</v>
      </c>
      <c r="Z1139" s="57" t="s">
        <v>4003</v>
      </c>
      <c r="AA1139" s="59">
        <v>70086</v>
      </c>
      <c r="AB1139" s="57" t="s">
        <v>61</v>
      </c>
      <c r="AC1139" s="60">
        <v>45937</v>
      </c>
      <c r="AD1139" s="59">
        <v>70086</v>
      </c>
      <c r="AE1139" s="57" t="s">
        <v>4665</v>
      </c>
      <c r="AF1139" s="57" t="s">
        <v>4666</v>
      </c>
    </row>
    <row r="1140" spans="1:32">
      <c r="A1140" s="57">
        <v>1139</v>
      </c>
      <c r="B1140" s="58">
        <v>46013.599421296298</v>
      </c>
      <c r="C1140" s="58">
        <v>46013.604039351849</v>
      </c>
      <c r="D1140" s="57" t="s">
        <v>914</v>
      </c>
      <c r="E1140" s="57" t="s">
        <v>915</v>
      </c>
      <c r="F1140" s="58"/>
      <c r="G1140" s="57" t="s">
        <v>480</v>
      </c>
      <c r="H1140" s="59">
        <v>1</v>
      </c>
      <c r="I1140" s="57"/>
      <c r="J1140" s="57"/>
      <c r="K1140" s="59"/>
      <c r="L1140" s="57"/>
      <c r="M1140" s="60"/>
      <c r="N1140" s="59"/>
      <c r="O1140" s="57"/>
      <c r="P1140" s="57"/>
      <c r="Q1140" s="57"/>
      <c r="R1140" s="57"/>
      <c r="S1140" s="59"/>
      <c r="T1140" s="57"/>
      <c r="U1140" s="60"/>
      <c r="V1140" s="59"/>
      <c r="W1140" s="57"/>
      <c r="X1140" s="57"/>
      <c r="Y1140" s="57" t="s">
        <v>20</v>
      </c>
      <c r="Z1140" s="57" t="s">
        <v>146</v>
      </c>
      <c r="AA1140" s="59">
        <v>66002</v>
      </c>
      <c r="AB1140" s="57" t="s">
        <v>61</v>
      </c>
      <c r="AC1140" s="60">
        <v>45982</v>
      </c>
      <c r="AD1140" s="59">
        <v>66002</v>
      </c>
      <c r="AE1140" s="57" t="s">
        <v>4667</v>
      </c>
      <c r="AF1140" s="57" t="s">
        <v>4668</v>
      </c>
    </row>
    <row r="1141" spans="1:32">
      <c r="A1141" s="57">
        <v>1140</v>
      </c>
      <c r="B1141" s="58">
        <v>46013.610775462963</v>
      </c>
      <c r="C1141" s="58">
        <v>46013.619351851848</v>
      </c>
      <c r="D1141" s="57" t="s">
        <v>1802</v>
      </c>
      <c r="E1141" s="57" t="s">
        <v>1803</v>
      </c>
      <c r="F1141" s="58"/>
      <c r="G1141" s="57" t="s">
        <v>535</v>
      </c>
      <c r="H1141" s="59">
        <v>2</v>
      </c>
      <c r="I1141" s="57"/>
      <c r="J1141" s="57"/>
      <c r="K1141" s="59"/>
      <c r="L1141" s="57"/>
      <c r="M1141" s="60"/>
      <c r="N1141" s="59"/>
      <c r="O1141" s="57"/>
      <c r="P1141" s="57"/>
      <c r="Q1141" s="57" t="s">
        <v>22</v>
      </c>
      <c r="R1141" s="57" t="s">
        <v>209</v>
      </c>
      <c r="S1141" s="59">
        <v>73428</v>
      </c>
      <c r="T1141" s="57" t="s">
        <v>61</v>
      </c>
      <c r="U1141" s="60">
        <v>45992</v>
      </c>
      <c r="V1141" s="59">
        <v>73428</v>
      </c>
      <c r="W1141" s="57" t="s">
        <v>4669</v>
      </c>
      <c r="X1141" s="57" t="s">
        <v>4670</v>
      </c>
      <c r="Y1141" s="57" t="s">
        <v>20</v>
      </c>
      <c r="Z1141" s="57" t="s">
        <v>203</v>
      </c>
      <c r="AA1141" s="59">
        <v>23800</v>
      </c>
      <c r="AB1141" s="57" t="s">
        <v>61</v>
      </c>
      <c r="AC1141" s="60">
        <v>45999</v>
      </c>
      <c r="AD1141" s="59">
        <v>23800</v>
      </c>
      <c r="AE1141" s="57" t="s">
        <v>4671</v>
      </c>
      <c r="AF1141" s="57" t="s">
        <v>4672</v>
      </c>
    </row>
    <row r="1142" spans="1:32">
      <c r="A1142" s="57">
        <v>1141</v>
      </c>
      <c r="B1142" s="58">
        <v>46013.609363425923</v>
      </c>
      <c r="C1142" s="58">
        <v>46013.620486111111</v>
      </c>
      <c r="D1142" s="57" t="s">
        <v>3321</v>
      </c>
      <c r="E1142" s="57" t="s">
        <v>3322</v>
      </c>
      <c r="F1142" s="58"/>
      <c r="G1142" s="57" t="s">
        <v>719</v>
      </c>
      <c r="H1142" s="59">
        <v>1</v>
      </c>
      <c r="I1142" s="57"/>
      <c r="J1142" s="57"/>
      <c r="K1142" s="59"/>
      <c r="L1142" s="57"/>
      <c r="M1142" s="60"/>
      <c r="N1142" s="59"/>
      <c r="O1142" s="57"/>
      <c r="P1142" s="57"/>
      <c r="Q1142" s="57"/>
      <c r="R1142" s="57"/>
      <c r="S1142" s="59"/>
      <c r="T1142" s="57"/>
      <c r="U1142" s="60"/>
      <c r="V1142" s="59"/>
      <c r="W1142" s="57"/>
      <c r="X1142" s="57"/>
      <c r="Y1142" s="57" t="s">
        <v>21</v>
      </c>
      <c r="Z1142" s="57" t="s">
        <v>1042</v>
      </c>
      <c r="AA1142" s="59">
        <v>54291</v>
      </c>
      <c r="AB1142" s="57" t="s">
        <v>61</v>
      </c>
      <c r="AC1142" s="60">
        <v>45883</v>
      </c>
      <c r="AD1142" s="59">
        <v>54291</v>
      </c>
      <c r="AE1142" s="57" t="s">
        <v>4673</v>
      </c>
      <c r="AF1142" s="57" t="s">
        <v>4674</v>
      </c>
    </row>
    <row r="1143" spans="1:32">
      <c r="A1143" s="57">
        <v>1142</v>
      </c>
      <c r="B1143" s="58">
        <v>46013.619386574072</v>
      </c>
      <c r="C1143" s="58">
        <v>46013.623182870368</v>
      </c>
      <c r="D1143" s="57" t="s">
        <v>1576</v>
      </c>
      <c r="E1143" s="57" t="s">
        <v>1577</v>
      </c>
      <c r="F1143" s="58"/>
      <c r="G1143" s="57" t="s">
        <v>657</v>
      </c>
      <c r="H1143" s="59">
        <v>2</v>
      </c>
      <c r="I1143" s="57"/>
      <c r="J1143" s="57"/>
      <c r="K1143" s="59"/>
      <c r="L1143" s="57"/>
      <c r="M1143" s="60"/>
      <c r="N1143" s="59"/>
      <c r="O1143" s="57"/>
      <c r="P1143" s="57"/>
      <c r="Q1143" s="57" t="s">
        <v>22</v>
      </c>
      <c r="R1143" s="57" t="s">
        <v>402</v>
      </c>
      <c r="S1143" s="59">
        <v>7703</v>
      </c>
      <c r="T1143" s="57" t="s">
        <v>61</v>
      </c>
      <c r="U1143" s="60">
        <v>45920</v>
      </c>
      <c r="V1143" s="59">
        <v>7703</v>
      </c>
      <c r="W1143" s="57" t="s">
        <v>4675</v>
      </c>
      <c r="X1143" s="57" t="s">
        <v>4676</v>
      </c>
      <c r="Y1143" s="57" t="s">
        <v>21</v>
      </c>
      <c r="Z1143" s="57" t="s">
        <v>358</v>
      </c>
      <c r="AA1143" s="59">
        <v>5372</v>
      </c>
      <c r="AB1143" s="57" t="s">
        <v>61</v>
      </c>
      <c r="AC1143" s="60">
        <v>45930</v>
      </c>
      <c r="AD1143" s="59">
        <v>5372</v>
      </c>
      <c r="AE1143" s="57" t="s">
        <v>4677</v>
      </c>
      <c r="AF1143" s="57" t="s">
        <v>4678</v>
      </c>
    </row>
    <row r="1144" spans="1:32">
      <c r="A1144" s="57">
        <v>1143</v>
      </c>
      <c r="B1144" s="58">
        <v>46013.636990740742</v>
      </c>
      <c r="C1144" s="58">
        <v>46013.64</v>
      </c>
      <c r="D1144" s="57" t="s">
        <v>1452</v>
      </c>
      <c r="E1144" s="57" t="s">
        <v>1453</v>
      </c>
      <c r="F1144" s="58"/>
      <c r="G1144" s="57" t="s">
        <v>635</v>
      </c>
      <c r="H1144" s="59">
        <v>2</v>
      </c>
      <c r="I1144" s="57"/>
      <c r="J1144" s="57"/>
      <c r="K1144" s="59"/>
      <c r="L1144" s="57"/>
      <c r="M1144" s="60"/>
      <c r="N1144" s="59"/>
      <c r="O1144" s="57"/>
      <c r="P1144" s="57"/>
      <c r="Q1144" s="57" t="s">
        <v>20</v>
      </c>
      <c r="R1144" s="57" t="s">
        <v>326</v>
      </c>
      <c r="S1144" s="59">
        <v>36056</v>
      </c>
      <c r="T1144" s="57" t="s">
        <v>61</v>
      </c>
      <c r="U1144" s="60">
        <v>45953</v>
      </c>
      <c r="V1144" s="59">
        <v>36056</v>
      </c>
      <c r="W1144" s="57" t="s">
        <v>4679</v>
      </c>
      <c r="X1144" s="57" t="s">
        <v>4680</v>
      </c>
      <c r="Y1144" s="57" t="s">
        <v>21</v>
      </c>
      <c r="Z1144" s="57" t="s">
        <v>425</v>
      </c>
      <c r="AA1144" s="59">
        <v>2247</v>
      </c>
      <c r="AB1144" s="57" t="s">
        <v>61</v>
      </c>
      <c r="AC1144" s="60">
        <v>46013</v>
      </c>
      <c r="AD1144" s="59">
        <v>2247</v>
      </c>
      <c r="AE1144" s="57" t="s">
        <v>4681</v>
      </c>
      <c r="AF1144" s="57" t="s">
        <v>4682</v>
      </c>
    </row>
    <row r="1145" spans="1:32">
      <c r="A1145" s="57">
        <v>1144</v>
      </c>
      <c r="B1145" s="58">
        <v>46013.653715277767</v>
      </c>
      <c r="C1145" s="58">
        <v>46013.655069444438</v>
      </c>
      <c r="D1145" s="57" t="s">
        <v>722</v>
      </c>
      <c r="E1145" s="57" t="s">
        <v>723</v>
      </c>
      <c r="F1145" s="58"/>
      <c r="G1145" s="57" t="s">
        <v>525</v>
      </c>
      <c r="H1145" s="59">
        <v>1</v>
      </c>
      <c r="I1145" s="57"/>
      <c r="J1145" s="57"/>
      <c r="K1145" s="59"/>
      <c r="L1145" s="57"/>
      <c r="M1145" s="60"/>
      <c r="N1145" s="59"/>
      <c r="O1145" s="57"/>
      <c r="P1145" s="57"/>
      <c r="Q1145" s="57"/>
      <c r="R1145" s="57"/>
      <c r="S1145" s="59"/>
      <c r="T1145" s="57"/>
      <c r="U1145" s="60"/>
      <c r="V1145" s="59"/>
      <c r="W1145" s="57"/>
      <c r="X1145" s="57"/>
      <c r="Y1145" s="57" t="s">
        <v>21</v>
      </c>
      <c r="Z1145" s="57" t="s">
        <v>192</v>
      </c>
      <c r="AA1145" s="59">
        <v>96665</v>
      </c>
      <c r="AB1145" s="57" t="s">
        <v>61</v>
      </c>
      <c r="AC1145" s="60">
        <v>46008</v>
      </c>
      <c r="AD1145" s="59">
        <v>96665</v>
      </c>
      <c r="AE1145" s="57" t="s">
        <v>4683</v>
      </c>
      <c r="AF1145" s="57" t="s">
        <v>4684</v>
      </c>
    </row>
    <row r="1146" spans="1:32">
      <c r="A1146" s="57">
        <v>1145</v>
      </c>
      <c r="B1146" s="58">
        <v>46013.50068287037</v>
      </c>
      <c r="C1146" s="58">
        <v>46013.661770833343</v>
      </c>
      <c r="D1146" s="57" t="s">
        <v>1489</v>
      </c>
      <c r="E1146" s="57" t="s">
        <v>1490</v>
      </c>
      <c r="F1146" s="58"/>
      <c r="G1146" s="57" t="s">
        <v>648</v>
      </c>
      <c r="H1146" s="59">
        <v>1</v>
      </c>
      <c r="I1146" s="57"/>
      <c r="J1146" s="57"/>
      <c r="K1146" s="59"/>
      <c r="L1146" s="57"/>
      <c r="M1146" s="60"/>
      <c r="N1146" s="59"/>
      <c r="O1146" s="57"/>
      <c r="P1146" s="57"/>
      <c r="Q1146" s="57"/>
      <c r="R1146" s="57"/>
      <c r="S1146" s="59"/>
      <c r="T1146" s="57"/>
      <c r="U1146" s="60"/>
      <c r="V1146" s="59"/>
      <c r="W1146" s="57"/>
      <c r="X1146" s="57"/>
      <c r="Y1146" s="57" t="s">
        <v>21</v>
      </c>
      <c r="Z1146" s="57" t="s">
        <v>344</v>
      </c>
      <c r="AA1146" s="59">
        <v>14</v>
      </c>
      <c r="AB1146" s="57" t="s">
        <v>61</v>
      </c>
      <c r="AC1146" s="60">
        <v>45915</v>
      </c>
      <c r="AD1146" s="59">
        <v>14</v>
      </c>
      <c r="AE1146" s="57" t="s">
        <v>4685</v>
      </c>
      <c r="AF1146" s="57" t="s">
        <v>4686</v>
      </c>
    </row>
    <row r="1147" spans="1:32">
      <c r="A1147" s="57">
        <v>1146</v>
      </c>
      <c r="B1147" s="58">
        <v>46013.661365740743</v>
      </c>
      <c r="C1147" s="58">
        <v>46013.663553240738</v>
      </c>
      <c r="D1147" s="57" t="s">
        <v>1309</v>
      </c>
      <c r="E1147" s="57" t="s">
        <v>1310</v>
      </c>
      <c r="F1147" s="58"/>
      <c r="G1147" s="57" t="s">
        <v>613</v>
      </c>
      <c r="H1147" s="59">
        <v>2</v>
      </c>
      <c r="I1147" s="57"/>
      <c r="J1147" s="57"/>
      <c r="K1147" s="59"/>
      <c r="L1147" s="57"/>
      <c r="M1147" s="60"/>
      <c r="N1147" s="59"/>
      <c r="O1147" s="57"/>
      <c r="P1147" s="57"/>
      <c r="Q1147" s="57" t="s">
        <v>22</v>
      </c>
      <c r="R1147" s="57" t="s">
        <v>369</v>
      </c>
      <c r="S1147" s="59">
        <v>17690</v>
      </c>
      <c r="T1147" s="57" t="s">
        <v>61</v>
      </c>
      <c r="U1147" s="60">
        <v>45952</v>
      </c>
      <c r="V1147" s="59">
        <v>17690</v>
      </c>
      <c r="W1147" s="57" t="s">
        <v>4687</v>
      </c>
      <c r="X1147" s="57" t="s">
        <v>4688</v>
      </c>
      <c r="Y1147" s="57" t="s">
        <v>21</v>
      </c>
      <c r="Z1147" s="57" t="s">
        <v>293</v>
      </c>
      <c r="AA1147" s="59">
        <v>28853</v>
      </c>
      <c r="AB1147" s="57" t="s">
        <v>61</v>
      </c>
      <c r="AC1147" s="60">
        <v>45947</v>
      </c>
      <c r="AD1147" s="59">
        <v>28853</v>
      </c>
      <c r="AE1147" s="57" t="s">
        <v>4689</v>
      </c>
      <c r="AF1147" s="57" t="s">
        <v>4690</v>
      </c>
    </row>
    <row r="1148" spans="1:32">
      <c r="A1148" s="57">
        <v>1147</v>
      </c>
      <c r="B1148" s="58">
        <v>46013.664340277777</v>
      </c>
      <c r="C1148" s="58">
        <v>46013.666354166657</v>
      </c>
      <c r="D1148" s="57" t="s">
        <v>3237</v>
      </c>
      <c r="E1148" s="57" t="s">
        <v>3238</v>
      </c>
      <c r="F1148" s="58"/>
      <c r="G1148" s="57" t="s">
        <v>527</v>
      </c>
      <c r="H1148" s="59">
        <v>1</v>
      </c>
      <c r="I1148" s="57"/>
      <c r="J1148" s="57"/>
      <c r="K1148" s="59"/>
      <c r="L1148" s="57"/>
      <c r="M1148" s="60"/>
      <c r="N1148" s="59"/>
      <c r="O1148" s="57"/>
      <c r="P1148" s="57"/>
      <c r="Q1148" s="57"/>
      <c r="R1148" s="57"/>
      <c r="S1148" s="59"/>
      <c r="T1148" s="57"/>
      <c r="U1148" s="60"/>
      <c r="V1148" s="59"/>
      <c r="W1148" s="57"/>
      <c r="X1148" s="57"/>
      <c r="Y1148" s="57" t="s">
        <v>21</v>
      </c>
      <c r="Z1148" s="57" t="s">
        <v>194</v>
      </c>
      <c r="AA1148" s="59">
        <v>63171</v>
      </c>
      <c r="AB1148" s="57" t="s">
        <v>61</v>
      </c>
      <c r="AC1148" s="60">
        <v>46008</v>
      </c>
      <c r="AD1148" s="59">
        <v>63171</v>
      </c>
      <c r="AE1148" s="57" t="s">
        <v>4691</v>
      </c>
      <c r="AF1148" s="57" t="s">
        <v>4692</v>
      </c>
    </row>
    <row r="1149" spans="1:32">
      <c r="A1149" s="57">
        <v>1148</v>
      </c>
      <c r="B1149" s="58">
        <v>46013.665520833332</v>
      </c>
      <c r="C1149" s="58">
        <v>46013.668530092589</v>
      </c>
      <c r="D1149" s="57" t="s">
        <v>1498</v>
      </c>
      <c r="E1149" s="57" t="s">
        <v>1499</v>
      </c>
      <c r="F1149" s="58"/>
      <c r="G1149" s="57" t="s">
        <v>616</v>
      </c>
      <c r="H1149" s="59">
        <v>1</v>
      </c>
      <c r="I1149" s="57"/>
      <c r="J1149" s="57"/>
      <c r="K1149" s="59"/>
      <c r="L1149" s="57"/>
      <c r="M1149" s="60"/>
      <c r="N1149" s="59"/>
      <c r="O1149" s="57"/>
      <c r="P1149" s="57"/>
      <c r="Q1149" s="57"/>
      <c r="R1149" s="57"/>
      <c r="S1149" s="59"/>
      <c r="T1149" s="57"/>
      <c r="U1149" s="60"/>
      <c r="V1149" s="59"/>
      <c r="W1149" s="57"/>
      <c r="X1149" s="57"/>
      <c r="Y1149" s="57" t="s">
        <v>21</v>
      </c>
      <c r="Z1149" s="57" t="s">
        <v>296</v>
      </c>
      <c r="AA1149" s="59">
        <v>16618</v>
      </c>
      <c r="AB1149" s="57" t="s">
        <v>61</v>
      </c>
      <c r="AC1149" s="60">
        <v>45823</v>
      </c>
      <c r="AD1149" s="59">
        <v>16618</v>
      </c>
      <c r="AE1149" s="57" t="s">
        <v>4693</v>
      </c>
      <c r="AF1149" s="57" t="s">
        <v>4694</v>
      </c>
    </row>
    <row r="1150" spans="1:32">
      <c r="A1150" s="57">
        <v>1149</v>
      </c>
      <c r="B1150" s="58">
        <v>46013.600474537037</v>
      </c>
      <c r="C1150" s="58">
        <v>46013.680636574078</v>
      </c>
      <c r="D1150" s="57" t="s">
        <v>970</v>
      </c>
      <c r="E1150" s="57" t="s">
        <v>971</v>
      </c>
      <c r="F1150" s="58"/>
      <c r="G1150" s="57" t="s">
        <v>548</v>
      </c>
      <c r="H1150" s="59">
        <v>1</v>
      </c>
      <c r="I1150" s="57"/>
      <c r="J1150" s="57"/>
      <c r="K1150" s="59"/>
      <c r="L1150" s="57"/>
      <c r="M1150" s="60"/>
      <c r="N1150" s="59"/>
      <c r="O1150" s="57"/>
      <c r="P1150" s="57"/>
      <c r="Q1150" s="57"/>
      <c r="R1150" s="57"/>
      <c r="S1150" s="59"/>
      <c r="T1150" s="57"/>
      <c r="U1150" s="60"/>
      <c r="V1150" s="59"/>
      <c r="W1150" s="57"/>
      <c r="X1150" s="57"/>
      <c r="Y1150" s="57" t="s">
        <v>20</v>
      </c>
      <c r="Z1150" s="57" t="s">
        <v>233</v>
      </c>
      <c r="AA1150" s="59">
        <v>8188</v>
      </c>
      <c r="AB1150" s="57" t="s">
        <v>61</v>
      </c>
      <c r="AC1150" s="60">
        <v>45993</v>
      </c>
      <c r="AD1150" s="59">
        <v>8188</v>
      </c>
      <c r="AE1150" s="57" t="s">
        <v>4695</v>
      </c>
      <c r="AF1150" s="57" t="s">
        <v>4696</v>
      </c>
    </row>
    <row r="1151" spans="1:32">
      <c r="A1151" s="57">
        <v>1150</v>
      </c>
      <c r="B1151" s="58">
        <v>46013.691018518519</v>
      </c>
      <c r="C1151" s="58">
        <v>46013.693912037037</v>
      </c>
      <c r="D1151" s="57" t="s">
        <v>1127</v>
      </c>
      <c r="E1151" s="57" t="s">
        <v>1128</v>
      </c>
      <c r="F1151" s="58"/>
      <c r="G1151" s="57" t="s">
        <v>455</v>
      </c>
      <c r="H1151" s="59">
        <v>1</v>
      </c>
      <c r="I1151" s="57"/>
      <c r="J1151" s="57"/>
      <c r="K1151" s="59"/>
      <c r="L1151" s="57"/>
      <c r="M1151" s="60"/>
      <c r="N1151" s="59"/>
      <c r="O1151" s="57"/>
      <c r="P1151" s="57"/>
      <c r="Q1151" s="57"/>
      <c r="R1151" s="57"/>
      <c r="S1151" s="59"/>
      <c r="T1151" s="57"/>
      <c r="U1151" s="60"/>
      <c r="V1151" s="59"/>
      <c r="W1151" s="57"/>
      <c r="X1151" s="57"/>
      <c r="Y1151" s="57" t="s">
        <v>21</v>
      </c>
      <c r="Z1151" s="57" t="s">
        <v>121</v>
      </c>
      <c r="AA1151" s="59">
        <v>33618</v>
      </c>
      <c r="AB1151" s="57" t="s">
        <v>61</v>
      </c>
      <c r="AC1151" s="60">
        <v>45986</v>
      </c>
      <c r="AD1151" s="59">
        <v>33618</v>
      </c>
      <c r="AE1151" s="57" t="s">
        <v>4697</v>
      </c>
      <c r="AF1151" s="57" t="s">
        <v>4698</v>
      </c>
    </row>
    <row r="1152" spans="1:32">
      <c r="A1152" s="57">
        <v>1151</v>
      </c>
      <c r="B1152" s="58">
        <v>46013.477824074071</v>
      </c>
      <c r="C1152" s="58">
        <v>46013.699953703697</v>
      </c>
      <c r="D1152" s="57" t="s">
        <v>2172</v>
      </c>
      <c r="E1152" s="57" t="s">
        <v>2173</v>
      </c>
      <c r="F1152" s="58"/>
      <c r="G1152" s="57" t="s">
        <v>515</v>
      </c>
      <c r="H1152" s="59">
        <v>1</v>
      </c>
      <c r="I1152" s="57"/>
      <c r="J1152" s="57"/>
      <c r="K1152" s="59"/>
      <c r="L1152" s="57"/>
      <c r="M1152" s="60"/>
      <c r="N1152" s="59"/>
      <c r="O1152" s="57"/>
      <c r="P1152" s="57"/>
      <c r="Q1152" s="57"/>
      <c r="R1152" s="57"/>
      <c r="S1152" s="59"/>
      <c r="T1152" s="57"/>
      <c r="U1152" s="60"/>
      <c r="V1152" s="59"/>
      <c r="W1152" s="57"/>
      <c r="X1152" s="57"/>
      <c r="Y1152" s="57" t="s">
        <v>21</v>
      </c>
      <c r="Z1152" s="57" t="s">
        <v>182</v>
      </c>
      <c r="AA1152" s="59">
        <v>34034</v>
      </c>
      <c r="AB1152" s="57" t="s">
        <v>61</v>
      </c>
      <c r="AC1152" s="60">
        <v>45895</v>
      </c>
      <c r="AD1152" s="59">
        <v>34034</v>
      </c>
      <c r="AE1152" s="57" t="s">
        <v>4699</v>
      </c>
      <c r="AF1152" s="57" t="s">
        <v>4700</v>
      </c>
    </row>
    <row r="1153" spans="1:32">
      <c r="A1153" s="57">
        <v>1152</v>
      </c>
      <c r="B1153" s="58">
        <v>46013.695185185177</v>
      </c>
      <c r="C1153" s="58">
        <v>46013.700694444437</v>
      </c>
      <c r="D1153" s="57" t="s">
        <v>4701</v>
      </c>
      <c r="E1153" s="57" t="s">
        <v>4702</v>
      </c>
      <c r="F1153" s="58"/>
      <c r="G1153" s="57" t="s">
        <v>510</v>
      </c>
      <c r="H1153" s="59">
        <v>1</v>
      </c>
      <c r="I1153" s="57"/>
      <c r="J1153" s="57"/>
      <c r="K1153" s="59"/>
      <c r="L1153" s="57"/>
      <c r="M1153" s="60"/>
      <c r="N1153" s="59"/>
      <c r="O1153" s="57"/>
      <c r="P1153" s="57"/>
      <c r="Q1153" s="57"/>
      <c r="R1153" s="57"/>
      <c r="S1153" s="59"/>
      <c r="T1153" s="57"/>
      <c r="U1153" s="60"/>
      <c r="V1153" s="59"/>
      <c r="W1153" s="57"/>
      <c r="X1153" s="57"/>
      <c r="Y1153" s="57" t="s">
        <v>20</v>
      </c>
      <c r="Z1153" s="57" t="s">
        <v>177</v>
      </c>
      <c r="AA1153" s="59">
        <v>49356</v>
      </c>
      <c r="AB1153" s="57" t="s">
        <v>61</v>
      </c>
      <c r="AC1153" s="60">
        <v>46013</v>
      </c>
      <c r="AD1153" s="59">
        <v>49356</v>
      </c>
      <c r="AE1153" s="57" t="s">
        <v>4703</v>
      </c>
      <c r="AF1153" s="57" t="s">
        <v>4704</v>
      </c>
    </row>
    <row r="1154" spans="1:32">
      <c r="A1154" s="57">
        <v>1153</v>
      </c>
      <c r="B1154" s="58">
        <v>46013.693182870367</v>
      </c>
      <c r="C1154" s="58">
        <v>46013.723854166667</v>
      </c>
      <c r="D1154" s="57" t="s">
        <v>2180</v>
      </c>
      <c r="E1154" s="57" t="s">
        <v>2181</v>
      </c>
      <c r="F1154" s="58"/>
      <c r="G1154" s="57" t="s">
        <v>590</v>
      </c>
      <c r="H1154" s="59">
        <v>2</v>
      </c>
      <c r="I1154" s="57"/>
      <c r="J1154" s="57"/>
      <c r="K1154" s="59"/>
      <c r="L1154" s="57"/>
      <c r="M1154" s="60"/>
      <c r="N1154" s="59"/>
      <c r="O1154" s="57"/>
      <c r="P1154" s="57"/>
      <c r="Q1154" s="57" t="s">
        <v>22</v>
      </c>
      <c r="R1154" s="57" t="s">
        <v>264</v>
      </c>
      <c r="S1154" s="59">
        <v>31687</v>
      </c>
      <c r="T1154" s="57" t="s">
        <v>61</v>
      </c>
      <c r="U1154" s="60">
        <v>45985</v>
      </c>
      <c r="V1154" s="59">
        <v>31687</v>
      </c>
      <c r="W1154" s="57" t="s">
        <v>4705</v>
      </c>
      <c r="X1154" s="57" t="s">
        <v>4706</v>
      </c>
      <c r="Y1154" s="57" t="s">
        <v>20</v>
      </c>
      <c r="Z1154" s="57" t="s">
        <v>382</v>
      </c>
      <c r="AA1154" s="59">
        <v>5860</v>
      </c>
      <c r="AB1154" s="57" t="s">
        <v>61</v>
      </c>
      <c r="AC1154" s="60">
        <v>45849</v>
      </c>
      <c r="AD1154" s="59">
        <v>5860</v>
      </c>
      <c r="AE1154" s="57" t="s">
        <v>4707</v>
      </c>
      <c r="AF1154" s="57" t="s">
        <v>4708</v>
      </c>
    </row>
    <row r="1155" spans="1:32">
      <c r="A1155" s="57">
        <v>1154</v>
      </c>
      <c r="B1155" s="58">
        <v>46013.519872685189</v>
      </c>
      <c r="C1155" s="58">
        <v>46013.727581018517</v>
      </c>
      <c r="D1155" s="57" t="s">
        <v>4111</v>
      </c>
      <c r="E1155" s="57" t="s">
        <v>4112</v>
      </c>
      <c r="F1155" s="58"/>
      <c r="G1155" s="57" t="s">
        <v>460</v>
      </c>
      <c r="H1155" s="59">
        <v>1</v>
      </c>
      <c r="I1155" s="57"/>
      <c r="J1155" s="57"/>
      <c r="K1155" s="59"/>
      <c r="L1155" s="57"/>
      <c r="M1155" s="60"/>
      <c r="N1155" s="59"/>
      <c r="O1155" s="57"/>
      <c r="P1155" s="57"/>
      <c r="Q1155" s="57"/>
      <c r="R1155" s="57"/>
      <c r="S1155" s="59"/>
      <c r="T1155" s="57"/>
      <c r="U1155" s="60"/>
      <c r="V1155" s="59"/>
      <c r="W1155" s="57"/>
      <c r="X1155" s="57"/>
      <c r="Y1155" s="57" t="s">
        <v>21</v>
      </c>
      <c r="Z1155" s="57" t="s">
        <v>126</v>
      </c>
      <c r="AA1155" s="59">
        <v>8116</v>
      </c>
      <c r="AB1155" s="57" t="s">
        <v>61</v>
      </c>
      <c r="AC1155" s="60">
        <v>45859</v>
      </c>
      <c r="AD1155" s="59">
        <v>8116</v>
      </c>
      <c r="AE1155" s="57" t="s">
        <v>4709</v>
      </c>
      <c r="AF1155" s="57" t="s">
        <v>4710</v>
      </c>
    </row>
    <row r="1156" spans="1:32">
      <c r="A1156" s="57">
        <v>1155</v>
      </c>
      <c r="B1156" s="58">
        <v>46013.719699074078</v>
      </c>
      <c r="C1156" s="58">
        <v>46013.730254629627</v>
      </c>
      <c r="D1156" s="57" t="s">
        <v>1078</v>
      </c>
      <c r="E1156" s="57" t="s">
        <v>1079</v>
      </c>
      <c r="F1156" s="58"/>
      <c r="G1156" s="57" t="s">
        <v>456</v>
      </c>
      <c r="H1156" s="59">
        <v>2</v>
      </c>
      <c r="I1156" s="57"/>
      <c r="J1156" s="57"/>
      <c r="K1156" s="59"/>
      <c r="L1156" s="57"/>
      <c r="M1156" s="60"/>
      <c r="N1156" s="59"/>
      <c r="O1156" s="57"/>
      <c r="P1156" s="57"/>
      <c r="Q1156" s="57" t="s">
        <v>22</v>
      </c>
      <c r="R1156" s="57" t="s">
        <v>132</v>
      </c>
      <c r="S1156" s="59">
        <v>48690</v>
      </c>
      <c r="T1156" s="57" t="s">
        <v>61</v>
      </c>
      <c r="U1156" s="60">
        <v>45889</v>
      </c>
      <c r="V1156" s="59">
        <v>48690</v>
      </c>
      <c r="W1156" s="57" t="s">
        <v>4711</v>
      </c>
      <c r="X1156" s="57" t="s">
        <v>4712</v>
      </c>
      <c r="Y1156" s="57" t="s">
        <v>20</v>
      </c>
      <c r="Z1156" s="57" t="s">
        <v>122</v>
      </c>
      <c r="AA1156" s="59">
        <v>50402</v>
      </c>
      <c r="AB1156" s="57" t="s">
        <v>61</v>
      </c>
      <c r="AC1156" s="60">
        <v>45889</v>
      </c>
      <c r="AD1156" s="59">
        <v>50402</v>
      </c>
      <c r="AE1156" s="57" t="s">
        <v>4713</v>
      </c>
      <c r="AF1156" s="57" t="s">
        <v>4714</v>
      </c>
    </row>
    <row r="1157" spans="1:32">
      <c r="A1157" s="57">
        <v>1156</v>
      </c>
      <c r="B1157" s="58">
        <v>46013.657013888893</v>
      </c>
      <c r="C1157" s="58">
        <v>46013.731064814812</v>
      </c>
      <c r="D1157" s="57" t="s">
        <v>822</v>
      </c>
      <c r="E1157" s="57" t="s">
        <v>823</v>
      </c>
      <c r="F1157" s="58"/>
      <c r="G1157" s="57" t="s">
        <v>721</v>
      </c>
      <c r="H1157" s="59">
        <v>1</v>
      </c>
      <c r="I1157" s="57"/>
      <c r="J1157" s="57"/>
      <c r="K1157" s="59"/>
      <c r="L1157" s="57"/>
      <c r="M1157" s="60"/>
      <c r="N1157" s="59"/>
      <c r="O1157" s="57"/>
      <c r="P1157" s="57"/>
      <c r="Q1157" s="57"/>
      <c r="R1157" s="57"/>
      <c r="S1157" s="59"/>
      <c r="T1157" s="57"/>
      <c r="U1157" s="60"/>
      <c r="V1157" s="59"/>
      <c r="W1157" s="57"/>
      <c r="X1157" s="57"/>
      <c r="Y1157" s="57" t="s">
        <v>21</v>
      </c>
      <c r="Z1157" s="57" t="s">
        <v>451</v>
      </c>
      <c r="AA1157" s="59">
        <v>1220</v>
      </c>
      <c r="AB1157" s="57" t="s">
        <v>61</v>
      </c>
      <c r="AC1157" s="60">
        <v>45995</v>
      </c>
      <c r="AD1157" s="59">
        <v>1220</v>
      </c>
      <c r="AE1157" s="57" t="s">
        <v>4715</v>
      </c>
      <c r="AF1157" s="57" t="s">
        <v>4716</v>
      </c>
    </row>
    <row r="1158" spans="1:32">
      <c r="A1158" s="57">
        <v>1157</v>
      </c>
      <c r="B1158" s="58">
        <v>46013.733344907407</v>
      </c>
      <c r="C1158" s="58">
        <v>46013.73474537037</v>
      </c>
      <c r="D1158" s="57" t="s">
        <v>1101</v>
      </c>
      <c r="E1158" s="57" t="s">
        <v>1102</v>
      </c>
      <c r="F1158" s="58"/>
      <c r="G1158" s="57" t="s">
        <v>574</v>
      </c>
      <c r="H1158" s="59">
        <v>1</v>
      </c>
      <c r="I1158" s="57"/>
      <c r="J1158" s="57"/>
      <c r="K1158" s="59"/>
      <c r="L1158" s="57"/>
      <c r="M1158" s="60"/>
      <c r="N1158" s="59"/>
      <c r="O1158" s="57"/>
      <c r="P1158" s="57"/>
      <c r="Q1158" s="57"/>
      <c r="R1158" s="57"/>
      <c r="S1158" s="59"/>
      <c r="T1158" s="57"/>
      <c r="U1158" s="60"/>
      <c r="V1158" s="59"/>
      <c r="W1158" s="57"/>
      <c r="X1158" s="57"/>
      <c r="Y1158" s="57" t="s">
        <v>21</v>
      </c>
      <c r="Z1158" s="57" t="s">
        <v>246</v>
      </c>
      <c r="AA1158" s="59">
        <v>30410</v>
      </c>
      <c r="AB1158" s="57" t="s">
        <v>61</v>
      </c>
      <c r="AC1158" s="60">
        <v>45885</v>
      </c>
      <c r="AD1158" s="59">
        <v>30410</v>
      </c>
      <c r="AE1158" s="57" t="s">
        <v>4717</v>
      </c>
      <c r="AF1158" s="57" t="s">
        <v>4718</v>
      </c>
    </row>
    <row r="1159" spans="1:32">
      <c r="A1159" s="57">
        <v>1158</v>
      </c>
      <c r="B1159" s="58">
        <v>46013.734837962962</v>
      </c>
      <c r="C1159" s="58">
        <v>46013.744988425933</v>
      </c>
      <c r="D1159" s="57" t="s">
        <v>4177</v>
      </c>
      <c r="E1159" s="57" t="s">
        <v>4178</v>
      </c>
      <c r="F1159" s="58"/>
      <c r="G1159" s="57" t="s">
        <v>499</v>
      </c>
      <c r="H1159" s="59">
        <v>2</v>
      </c>
      <c r="I1159" s="57"/>
      <c r="J1159" s="57"/>
      <c r="K1159" s="59"/>
      <c r="L1159" s="57"/>
      <c r="M1159" s="60"/>
      <c r="N1159" s="59"/>
      <c r="O1159" s="57"/>
      <c r="P1159" s="57"/>
      <c r="Q1159" s="57" t="s">
        <v>21</v>
      </c>
      <c r="R1159" s="57" t="s">
        <v>428</v>
      </c>
      <c r="S1159" s="59">
        <v>669</v>
      </c>
      <c r="T1159" s="57" t="s">
        <v>61</v>
      </c>
      <c r="U1159" s="60">
        <v>45987</v>
      </c>
      <c r="V1159" s="59">
        <v>669</v>
      </c>
      <c r="W1159" s="57" t="s">
        <v>4719</v>
      </c>
      <c r="X1159" s="57" t="s">
        <v>4720</v>
      </c>
      <c r="Y1159" s="57" t="s">
        <v>22</v>
      </c>
      <c r="Z1159" s="57" t="s">
        <v>165</v>
      </c>
      <c r="AA1159" s="59">
        <v>33759</v>
      </c>
      <c r="AB1159" s="57" t="s">
        <v>61</v>
      </c>
      <c r="AC1159" s="60">
        <v>45953</v>
      </c>
      <c r="AD1159" s="59">
        <v>33759</v>
      </c>
      <c r="AE1159" s="57" t="s">
        <v>4721</v>
      </c>
      <c r="AF1159" s="57" t="s">
        <v>4722</v>
      </c>
    </row>
    <row r="1160" spans="1:32">
      <c r="A1160" s="57">
        <v>1159</v>
      </c>
      <c r="B1160" s="58">
        <v>46013.85837962963</v>
      </c>
      <c r="C1160" s="58">
        <v>46013.864560185182</v>
      </c>
      <c r="D1160" s="57" t="s">
        <v>4723</v>
      </c>
      <c r="E1160" s="57" t="s">
        <v>4724</v>
      </c>
      <c r="F1160" s="58"/>
      <c r="G1160" s="57" t="s">
        <v>475</v>
      </c>
      <c r="H1160" s="59">
        <v>1</v>
      </c>
      <c r="I1160" s="57"/>
      <c r="J1160" s="57"/>
      <c r="K1160" s="59"/>
      <c r="L1160" s="57"/>
      <c r="M1160" s="60"/>
      <c r="N1160" s="59"/>
      <c r="O1160" s="57"/>
      <c r="P1160" s="57"/>
      <c r="Q1160" s="57"/>
      <c r="R1160" s="57"/>
      <c r="S1160" s="59"/>
      <c r="T1160" s="57"/>
      <c r="U1160" s="60"/>
      <c r="V1160" s="59"/>
      <c r="W1160" s="57"/>
      <c r="X1160" s="57"/>
      <c r="Y1160" s="57" t="s">
        <v>21</v>
      </c>
      <c r="Z1160" s="57" t="s">
        <v>141</v>
      </c>
      <c r="AA1160" s="59">
        <v>108848</v>
      </c>
      <c r="AB1160" s="57" t="s">
        <v>61</v>
      </c>
      <c r="AC1160" s="60">
        <v>46004</v>
      </c>
      <c r="AD1160" s="59">
        <v>108848</v>
      </c>
      <c r="AE1160" s="57" t="s">
        <v>4725</v>
      </c>
      <c r="AF1160" s="57" t="s">
        <v>4726</v>
      </c>
    </row>
    <row r="1161" spans="1:32">
      <c r="A1161" s="57">
        <v>1160</v>
      </c>
      <c r="B1161" s="58">
        <v>46014.345810185187</v>
      </c>
      <c r="C1161" s="58">
        <v>46014.355069444442</v>
      </c>
      <c r="D1161" s="57" t="s">
        <v>792</v>
      </c>
      <c r="E1161" s="57" t="s">
        <v>793</v>
      </c>
      <c r="F1161" s="58"/>
      <c r="G1161" s="57" t="s">
        <v>555</v>
      </c>
      <c r="H1161" s="59">
        <v>2</v>
      </c>
      <c r="I1161" s="57"/>
      <c r="J1161" s="57"/>
      <c r="K1161" s="59"/>
      <c r="L1161" s="57"/>
      <c r="M1161" s="60"/>
      <c r="N1161" s="59"/>
      <c r="O1161" s="57"/>
      <c r="P1161" s="57"/>
      <c r="Q1161" s="57" t="s">
        <v>22</v>
      </c>
      <c r="R1161" s="57" t="s">
        <v>224</v>
      </c>
      <c r="S1161" s="59">
        <v>37368</v>
      </c>
      <c r="T1161" s="57" t="s">
        <v>61</v>
      </c>
      <c r="U1161" s="60">
        <v>46000</v>
      </c>
      <c r="V1161" s="59">
        <v>37368</v>
      </c>
      <c r="W1161" s="57" t="s">
        <v>4727</v>
      </c>
      <c r="X1161" s="57" t="s">
        <v>4728</v>
      </c>
      <c r="Y1161" s="57" t="s">
        <v>21</v>
      </c>
      <c r="Z1161" s="57" t="s">
        <v>796</v>
      </c>
      <c r="AA1161" s="59">
        <v>19333</v>
      </c>
      <c r="AB1161" s="57" t="s">
        <v>61</v>
      </c>
      <c r="AC1161" s="60">
        <v>45825</v>
      </c>
      <c r="AD1161" s="59">
        <v>19333</v>
      </c>
      <c r="AE1161" s="57" t="s">
        <v>4729</v>
      </c>
      <c r="AF1161" s="57" t="s">
        <v>4730</v>
      </c>
    </row>
    <row r="1162" spans="1:32">
      <c r="A1162" s="57">
        <v>1161</v>
      </c>
      <c r="B1162" s="58">
        <v>46014.340567129628</v>
      </c>
      <c r="C1162" s="58">
        <v>46014.357037037043</v>
      </c>
      <c r="D1162" s="57" t="s">
        <v>1143</v>
      </c>
      <c r="E1162" s="57" t="s">
        <v>1144</v>
      </c>
      <c r="F1162" s="58"/>
      <c r="G1162" s="57" t="s">
        <v>630</v>
      </c>
      <c r="H1162" s="59">
        <v>1</v>
      </c>
      <c r="I1162" s="57"/>
      <c r="J1162" s="57"/>
      <c r="K1162" s="59"/>
      <c r="L1162" s="57"/>
      <c r="M1162" s="60"/>
      <c r="N1162" s="59"/>
      <c r="O1162" s="57"/>
      <c r="P1162" s="57"/>
      <c r="Q1162" s="57"/>
      <c r="R1162" s="57"/>
      <c r="S1162" s="59"/>
      <c r="T1162" s="57"/>
      <c r="U1162" s="60"/>
      <c r="V1162" s="59"/>
      <c r="W1162" s="57"/>
      <c r="X1162" s="57"/>
      <c r="Y1162" s="57" t="s">
        <v>21</v>
      </c>
      <c r="Z1162" s="57" t="s">
        <v>318</v>
      </c>
      <c r="AA1162" s="59">
        <v>2848</v>
      </c>
      <c r="AB1162" s="57" t="s">
        <v>61</v>
      </c>
      <c r="AC1162" s="60">
        <v>45918</v>
      </c>
      <c r="AD1162" s="59">
        <v>2848</v>
      </c>
      <c r="AE1162" s="57" t="s">
        <v>4731</v>
      </c>
      <c r="AF1162" s="57" t="s">
        <v>4732</v>
      </c>
    </row>
    <row r="1163" spans="1:32">
      <c r="A1163" s="57">
        <v>1162</v>
      </c>
      <c r="B1163" s="58">
        <v>46014.353541666656</v>
      </c>
      <c r="C1163" s="58">
        <v>46014.361944444441</v>
      </c>
      <c r="D1163" s="57" t="s">
        <v>1256</v>
      </c>
      <c r="E1163" s="57" t="s">
        <v>1257</v>
      </c>
      <c r="F1163" s="58"/>
      <c r="G1163" s="57" t="s">
        <v>473</v>
      </c>
      <c r="H1163" s="59">
        <v>1</v>
      </c>
      <c r="I1163" s="57"/>
      <c r="J1163" s="57"/>
      <c r="K1163" s="59"/>
      <c r="L1163" s="57"/>
      <c r="M1163" s="60"/>
      <c r="N1163" s="59"/>
      <c r="O1163" s="57"/>
      <c r="P1163" s="57"/>
      <c r="Q1163" s="57"/>
      <c r="R1163" s="57"/>
      <c r="S1163" s="59"/>
      <c r="T1163" s="57"/>
      <c r="U1163" s="60"/>
      <c r="V1163" s="59"/>
      <c r="W1163" s="57"/>
      <c r="X1163" s="57"/>
      <c r="Y1163" s="57" t="s">
        <v>21</v>
      </c>
      <c r="Z1163" s="57" t="s">
        <v>139</v>
      </c>
      <c r="AA1163" s="59">
        <v>106558</v>
      </c>
      <c r="AB1163" s="57" t="s">
        <v>61</v>
      </c>
      <c r="AC1163" s="60">
        <v>45985</v>
      </c>
      <c r="AD1163" s="59">
        <v>106558</v>
      </c>
      <c r="AE1163" s="57" t="s">
        <v>4733</v>
      </c>
      <c r="AF1163" s="57" t="s">
        <v>4734</v>
      </c>
    </row>
    <row r="1164" spans="1:32">
      <c r="A1164" s="57">
        <v>1163</v>
      </c>
      <c r="B1164" s="58">
        <v>46014.360856481479</v>
      </c>
      <c r="C1164" s="58">
        <v>46014.364571759259</v>
      </c>
      <c r="D1164" s="57" t="s">
        <v>2867</v>
      </c>
      <c r="E1164" s="57" t="s">
        <v>2868</v>
      </c>
      <c r="F1164" s="58"/>
      <c r="G1164" s="57" t="s">
        <v>676</v>
      </c>
      <c r="H1164" s="59">
        <v>1</v>
      </c>
      <c r="I1164" s="57"/>
      <c r="J1164" s="57"/>
      <c r="K1164" s="59"/>
      <c r="L1164" s="57"/>
      <c r="M1164" s="60"/>
      <c r="N1164" s="59"/>
      <c r="O1164" s="57"/>
      <c r="P1164" s="57"/>
      <c r="Q1164" s="57"/>
      <c r="R1164" s="57"/>
      <c r="S1164" s="59"/>
      <c r="T1164" s="57"/>
      <c r="U1164" s="60"/>
      <c r="V1164" s="59"/>
      <c r="W1164" s="57"/>
      <c r="X1164" s="57"/>
      <c r="Y1164" s="57" t="s">
        <v>20</v>
      </c>
      <c r="Z1164" s="57" t="s">
        <v>4735</v>
      </c>
      <c r="AA1164" s="59">
        <v>11274</v>
      </c>
      <c r="AB1164" s="57" t="s">
        <v>61</v>
      </c>
      <c r="AC1164" s="60">
        <v>46010</v>
      </c>
      <c r="AD1164" s="59">
        <v>11274</v>
      </c>
      <c r="AE1164" s="57" t="s">
        <v>4736</v>
      </c>
      <c r="AF1164" s="57" t="s">
        <v>4737</v>
      </c>
    </row>
    <row r="1165" spans="1:32">
      <c r="A1165" s="57">
        <v>1164</v>
      </c>
      <c r="B1165" s="58">
        <v>46014.375277777777</v>
      </c>
      <c r="C1165" s="58">
        <v>46014.380196759259</v>
      </c>
      <c r="D1165" s="57" t="s">
        <v>990</v>
      </c>
      <c r="E1165" s="57" t="s">
        <v>991</v>
      </c>
      <c r="F1165" s="58"/>
      <c r="G1165" s="57" t="s">
        <v>607</v>
      </c>
      <c r="H1165" s="59">
        <v>1</v>
      </c>
      <c r="I1165" s="57"/>
      <c r="J1165" s="57"/>
      <c r="K1165" s="59"/>
      <c r="L1165" s="57"/>
      <c r="M1165" s="60"/>
      <c r="N1165" s="59"/>
      <c r="O1165" s="57"/>
      <c r="P1165" s="57"/>
      <c r="Q1165" s="57"/>
      <c r="R1165" s="57"/>
      <c r="S1165" s="59"/>
      <c r="T1165" s="57"/>
      <c r="U1165" s="60"/>
      <c r="V1165" s="59"/>
      <c r="W1165" s="57"/>
      <c r="X1165" s="57"/>
      <c r="Y1165" s="57" t="s">
        <v>21</v>
      </c>
      <c r="Z1165" s="57" t="s">
        <v>285</v>
      </c>
      <c r="AA1165" s="59">
        <v>26792</v>
      </c>
      <c r="AB1165" s="57" t="s">
        <v>61</v>
      </c>
      <c r="AC1165" s="60">
        <v>46012</v>
      </c>
      <c r="AD1165" s="59">
        <v>26792</v>
      </c>
      <c r="AE1165" s="57" t="s">
        <v>4738</v>
      </c>
      <c r="AF1165" s="57" t="s">
        <v>4739</v>
      </c>
    </row>
    <row r="1166" spans="1:32">
      <c r="A1166" s="57">
        <v>1165</v>
      </c>
      <c r="B1166" s="58">
        <v>46014.389328703714</v>
      </c>
      <c r="C1166" s="58">
        <v>46014.390243055554</v>
      </c>
      <c r="D1166" s="57" t="s">
        <v>744</v>
      </c>
      <c r="E1166" s="57" t="s">
        <v>745</v>
      </c>
      <c r="F1166" s="58"/>
      <c r="G1166" s="57" t="s">
        <v>572</v>
      </c>
      <c r="H1166" s="59">
        <v>1</v>
      </c>
      <c r="I1166" s="57"/>
      <c r="J1166" s="57"/>
      <c r="K1166" s="59"/>
      <c r="L1166" s="57"/>
      <c r="M1166" s="60"/>
      <c r="N1166" s="59"/>
      <c r="O1166" s="57"/>
      <c r="P1166" s="57"/>
      <c r="Q1166" s="57"/>
      <c r="R1166" s="57"/>
      <c r="S1166" s="59"/>
      <c r="T1166" s="57"/>
      <c r="U1166" s="60"/>
      <c r="V1166" s="59"/>
      <c r="W1166" s="57"/>
      <c r="X1166" s="57"/>
      <c r="Y1166" s="57" t="s">
        <v>21</v>
      </c>
      <c r="Z1166" s="57" t="s">
        <v>244</v>
      </c>
      <c r="AA1166" s="59">
        <v>22867</v>
      </c>
      <c r="AB1166" s="57" t="s">
        <v>61</v>
      </c>
      <c r="AC1166" s="60">
        <v>45841</v>
      </c>
      <c r="AD1166" s="59">
        <v>22867</v>
      </c>
      <c r="AE1166" s="57" t="s">
        <v>4740</v>
      </c>
      <c r="AF1166" s="57" t="s">
        <v>4741</v>
      </c>
    </row>
    <row r="1167" spans="1:32">
      <c r="A1167" s="57">
        <v>1166</v>
      </c>
      <c r="B1167" s="58">
        <v>46014.360277777778</v>
      </c>
      <c r="C1167" s="58">
        <v>46014.402499999997</v>
      </c>
      <c r="D1167" s="57" t="s">
        <v>1289</v>
      </c>
      <c r="E1167" s="57" t="s">
        <v>1290</v>
      </c>
      <c r="F1167" s="58"/>
      <c r="G1167" s="57" t="s">
        <v>641</v>
      </c>
      <c r="H1167" s="59">
        <v>1</v>
      </c>
      <c r="I1167" s="57"/>
      <c r="J1167" s="57"/>
      <c r="K1167" s="59"/>
      <c r="L1167" s="57"/>
      <c r="M1167" s="60"/>
      <c r="N1167" s="59"/>
      <c r="O1167" s="57"/>
      <c r="P1167" s="57"/>
      <c r="Q1167" s="57"/>
      <c r="R1167" s="57"/>
      <c r="S1167" s="59"/>
      <c r="T1167" s="57"/>
      <c r="U1167" s="60"/>
      <c r="V1167" s="59"/>
      <c r="W1167" s="57"/>
      <c r="X1167" s="57"/>
      <c r="Y1167" s="57" t="s">
        <v>21</v>
      </c>
      <c r="Z1167" s="57" t="s">
        <v>336</v>
      </c>
      <c r="AA1167" s="59">
        <v>16771</v>
      </c>
      <c r="AB1167" s="57" t="s">
        <v>61</v>
      </c>
      <c r="AC1167" s="60">
        <v>45923</v>
      </c>
      <c r="AD1167" s="59">
        <v>16771</v>
      </c>
      <c r="AE1167" s="57" t="s">
        <v>4742</v>
      </c>
      <c r="AF1167" s="57" t="s">
        <v>4743</v>
      </c>
    </row>
    <row r="1168" spans="1:32">
      <c r="A1168" s="57">
        <v>1167</v>
      </c>
      <c r="B1168" s="58">
        <v>46013.67050925926</v>
      </c>
      <c r="C1168" s="58">
        <v>46014.409236111111</v>
      </c>
      <c r="D1168" s="57" t="s">
        <v>4744</v>
      </c>
      <c r="E1168" s="57" t="s">
        <v>4745</v>
      </c>
      <c r="F1168" s="58"/>
      <c r="G1168" s="57" t="s">
        <v>709</v>
      </c>
      <c r="H1168" s="59">
        <v>1</v>
      </c>
      <c r="I1168" s="57"/>
      <c r="J1168" s="57"/>
      <c r="K1168" s="59"/>
      <c r="L1168" s="57"/>
      <c r="M1168" s="60"/>
      <c r="N1168" s="59"/>
      <c r="O1168" s="57"/>
      <c r="P1168" s="57"/>
      <c r="Q1168" s="57"/>
      <c r="R1168" s="57"/>
      <c r="S1168" s="59"/>
      <c r="T1168" s="57"/>
      <c r="U1168" s="60"/>
      <c r="V1168" s="59"/>
      <c r="W1168" s="57"/>
      <c r="X1168" s="57"/>
      <c r="Y1168" s="57" t="s">
        <v>20</v>
      </c>
      <c r="Z1168" s="57" t="s">
        <v>437</v>
      </c>
      <c r="AA1168" s="59">
        <v>626</v>
      </c>
      <c r="AB1168" s="57" t="s">
        <v>61</v>
      </c>
      <c r="AC1168" s="60">
        <v>45992</v>
      </c>
      <c r="AD1168" s="59">
        <v>626</v>
      </c>
      <c r="AE1168" s="57" t="s">
        <v>4746</v>
      </c>
      <c r="AF1168" s="57" t="s">
        <v>4747</v>
      </c>
    </row>
    <row r="1169" spans="1:32">
      <c r="A1169" s="57">
        <v>1168</v>
      </c>
      <c r="B1169" s="58">
        <v>46014.389976851853</v>
      </c>
      <c r="C1169" s="58">
        <v>46014.411689814813</v>
      </c>
      <c r="D1169" s="57" t="s">
        <v>4748</v>
      </c>
      <c r="E1169" s="57" t="s">
        <v>4749</v>
      </c>
      <c r="F1169" s="58"/>
      <c r="G1169" s="57" t="s">
        <v>621</v>
      </c>
      <c r="H1169" s="59">
        <v>1</v>
      </c>
      <c r="I1169" s="57"/>
      <c r="J1169" s="57"/>
      <c r="K1169" s="59"/>
      <c r="L1169" s="57"/>
      <c r="M1169" s="60"/>
      <c r="N1169" s="59"/>
      <c r="O1169" s="57"/>
      <c r="P1169" s="57"/>
      <c r="Q1169" s="57"/>
      <c r="R1169" s="57"/>
      <c r="S1169" s="59"/>
      <c r="T1169" s="57"/>
      <c r="U1169" s="60"/>
      <c r="V1169" s="59"/>
      <c r="W1169" s="57"/>
      <c r="X1169" s="57"/>
      <c r="Y1169" s="57" t="s">
        <v>21</v>
      </c>
      <c r="Z1169" s="57" t="s">
        <v>4750</v>
      </c>
      <c r="AA1169" s="59">
        <v>11300</v>
      </c>
      <c r="AB1169" s="57" t="s">
        <v>61</v>
      </c>
      <c r="AC1169" s="60">
        <v>45995</v>
      </c>
      <c r="AD1169" s="59">
        <v>11300</v>
      </c>
      <c r="AE1169" s="57" t="s">
        <v>4751</v>
      </c>
      <c r="AF1169" s="57" t="s">
        <v>4752</v>
      </c>
    </row>
    <row r="1170" spans="1:32">
      <c r="A1170" s="57">
        <v>1169</v>
      </c>
      <c r="B1170" s="58">
        <v>46014.408958333333</v>
      </c>
      <c r="C1170" s="58">
        <v>46014.414386574077</v>
      </c>
      <c r="D1170" s="57" t="s">
        <v>1064</v>
      </c>
      <c r="E1170" s="57" t="s">
        <v>1065</v>
      </c>
      <c r="F1170" s="58"/>
      <c r="G1170" s="57" t="s">
        <v>544</v>
      </c>
      <c r="H1170" s="59">
        <v>1</v>
      </c>
      <c r="I1170" s="57"/>
      <c r="J1170" s="57"/>
      <c r="K1170" s="59"/>
      <c r="L1170" s="57"/>
      <c r="M1170" s="60"/>
      <c r="N1170" s="59"/>
      <c r="O1170" s="57"/>
      <c r="P1170" s="57"/>
      <c r="Q1170" s="57"/>
      <c r="R1170" s="57"/>
      <c r="S1170" s="59"/>
      <c r="T1170" s="57"/>
      <c r="U1170" s="60"/>
      <c r="V1170" s="59"/>
      <c r="W1170" s="57"/>
      <c r="X1170" s="57"/>
      <c r="Y1170" s="57" t="s">
        <v>21</v>
      </c>
      <c r="Z1170" s="57" t="s">
        <v>213</v>
      </c>
      <c r="AA1170" s="59">
        <v>47931</v>
      </c>
      <c r="AB1170" s="57" t="s">
        <v>61</v>
      </c>
      <c r="AC1170" s="60">
        <v>45964</v>
      </c>
      <c r="AD1170" s="59">
        <v>47931</v>
      </c>
      <c r="AE1170" s="57" t="s">
        <v>4753</v>
      </c>
      <c r="AF1170" s="57" t="s">
        <v>4754</v>
      </c>
    </row>
    <row r="1171" spans="1:32">
      <c r="A1171" s="57">
        <v>1170</v>
      </c>
      <c r="B1171" s="58">
        <v>46014.43172453704</v>
      </c>
      <c r="C1171" s="58">
        <v>46014.4377662037</v>
      </c>
      <c r="D1171" s="57" t="s">
        <v>2040</v>
      </c>
      <c r="E1171" s="57" t="s">
        <v>2041</v>
      </c>
      <c r="F1171" s="58"/>
      <c r="G1171" s="57" t="s">
        <v>573</v>
      </c>
      <c r="H1171" s="59">
        <v>2</v>
      </c>
      <c r="I1171" s="57"/>
      <c r="J1171" s="57"/>
      <c r="K1171" s="59"/>
      <c r="L1171" s="57"/>
      <c r="M1171" s="60"/>
      <c r="N1171" s="59"/>
      <c r="O1171" s="57"/>
      <c r="P1171" s="57"/>
      <c r="Q1171" s="57" t="s">
        <v>22</v>
      </c>
      <c r="R1171" s="57" t="s">
        <v>245</v>
      </c>
      <c r="S1171" s="59">
        <v>31126</v>
      </c>
      <c r="T1171" s="57" t="s">
        <v>61</v>
      </c>
      <c r="U1171" s="60">
        <v>45943</v>
      </c>
      <c r="V1171" s="59">
        <v>31126</v>
      </c>
      <c r="W1171" s="57" t="s">
        <v>4755</v>
      </c>
      <c r="X1171" s="57" t="s">
        <v>4756</v>
      </c>
      <c r="Y1171" s="57" t="s">
        <v>21</v>
      </c>
      <c r="Z1171" s="57" t="s">
        <v>2044</v>
      </c>
      <c r="AA1171" s="59">
        <v>49317</v>
      </c>
      <c r="AB1171" s="57" t="s">
        <v>61</v>
      </c>
      <c r="AC1171" s="60">
        <v>45913</v>
      </c>
      <c r="AD1171" s="59">
        <v>49317</v>
      </c>
      <c r="AE1171" s="57" t="s">
        <v>4757</v>
      </c>
      <c r="AF1171" s="57" t="s">
        <v>4758</v>
      </c>
    </row>
    <row r="1172" spans="1:32">
      <c r="A1172" s="57">
        <v>1171</v>
      </c>
      <c r="B1172" s="58">
        <v>46014.591273148151</v>
      </c>
      <c r="C1172" s="58">
        <v>46014.59783564815</v>
      </c>
      <c r="D1172" s="57" t="s">
        <v>1173</v>
      </c>
      <c r="E1172" s="57" t="s">
        <v>1174</v>
      </c>
      <c r="F1172" s="58"/>
      <c r="G1172" s="57" t="s">
        <v>593</v>
      </c>
      <c r="H1172" s="59">
        <v>1</v>
      </c>
      <c r="I1172" s="57"/>
      <c r="J1172" s="57"/>
      <c r="K1172" s="59"/>
      <c r="L1172" s="57"/>
      <c r="M1172" s="60"/>
      <c r="N1172" s="59"/>
      <c r="O1172" s="57"/>
      <c r="P1172" s="57"/>
      <c r="Q1172" s="57"/>
      <c r="R1172" s="57"/>
      <c r="S1172" s="59"/>
      <c r="T1172" s="57"/>
      <c r="U1172" s="60"/>
      <c r="V1172" s="59"/>
      <c r="W1172" s="57"/>
      <c r="X1172" s="57"/>
      <c r="Y1172" s="57" t="s">
        <v>21</v>
      </c>
      <c r="Z1172" s="57" t="s">
        <v>269</v>
      </c>
      <c r="AA1172" s="59">
        <v>22837</v>
      </c>
      <c r="AB1172" s="57" t="s">
        <v>61</v>
      </c>
      <c r="AC1172" s="60">
        <v>45861</v>
      </c>
      <c r="AD1172" s="59">
        <v>22837</v>
      </c>
      <c r="AE1172" s="57" t="s">
        <v>4759</v>
      </c>
      <c r="AF1172" s="57" t="s">
        <v>4760</v>
      </c>
    </row>
    <row r="1173" spans="1:32">
      <c r="A1173" s="57">
        <v>1172</v>
      </c>
      <c r="B1173" s="58">
        <v>46014.621944444443</v>
      </c>
      <c r="C1173" s="58">
        <v>46014.623541666668</v>
      </c>
      <c r="D1173" s="57" t="s">
        <v>1568</v>
      </c>
      <c r="E1173" s="57" t="s">
        <v>1569</v>
      </c>
      <c r="F1173" s="58"/>
      <c r="G1173" s="57" t="s">
        <v>505</v>
      </c>
      <c r="H1173" s="59">
        <v>1</v>
      </c>
      <c r="I1173" s="57"/>
      <c r="J1173" s="57"/>
      <c r="K1173" s="59"/>
      <c r="L1173" s="57"/>
      <c r="M1173" s="60"/>
      <c r="N1173" s="59"/>
      <c r="O1173" s="57"/>
      <c r="P1173" s="57"/>
      <c r="Q1173" s="57"/>
      <c r="R1173" s="57"/>
      <c r="S1173" s="59"/>
      <c r="T1173" s="57"/>
      <c r="U1173" s="60"/>
      <c r="V1173" s="59"/>
      <c r="W1173" s="57"/>
      <c r="X1173" s="57"/>
      <c r="Y1173" s="57" t="s">
        <v>20</v>
      </c>
      <c r="Z1173" s="57" t="s">
        <v>171</v>
      </c>
      <c r="AA1173" s="59">
        <v>76846</v>
      </c>
      <c r="AB1173" s="57" t="s">
        <v>61</v>
      </c>
      <c r="AC1173" s="60">
        <v>46000</v>
      </c>
      <c r="AD1173" s="59">
        <v>76846</v>
      </c>
      <c r="AE1173" s="57" t="s">
        <v>4761</v>
      </c>
      <c r="AF1173" s="57" t="s">
        <v>4762</v>
      </c>
    </row>
    <row r="1174" spans="1:32">
      <c r="A1174" s="57">
        <v>1173</v>
      </c>
      <c r="B1174" s="58">
        <v>46014.623645833337</v>
      </c>
      <c r="C1174" s="58">
        <v>46014.625219907408</v>
      </c>
      <c r="D1174" s="57" t="s">
        <v>1885</v>
      </c>
      <c r="E1174" s="57" t="s">
        <v>1886</v>
      </c>
      <c r="F1174" s="58"/>
      <c r="G1174" s="57" t="s">
        <v>486</v>
      </c>
      <c r="H1174" s="59">
        <v>1</v>
      </c>
      <c r="I1174" s="57"/>
      <c r="J1174" s="57"/>
      <c r="K1174" s="59"/>
      <c r="L1174" s="57"/>
      <c r="M1174" s="60"/>
      <c r="N1174" s="59"/>
      <c r="O1174" s="57"/>
      <c r="P1174" s="57"/>
      <c r="Q1174" s="57"/>
      <c r="R1174" s="57"/>
      <c r="S1174" s="59"/>
      <c r="T1174" s="57"/>
      <c r="U1174" s="60"/>
      <c r="V1174" s="59"/>
      <c r="W1174" s="57"/>
      <c r="X1174" s="57"/>
      <c r="Y1174" s="57" t="s">
        <v>20</v>
      </c>
      <c r="Z1174" s="57" t="s">
        <v>152</v>
      </c>
      <c r="AA1174" s="59">
        <v>48354</v>
      </c>
      <c r="AB1174" s="57" t="s">
        <v>61</v>
      </c>
      <c r="AC1174" s="60">
        <v>45936</v>
      </c>
      <c r="AD1174" s="59">
        <v>48354</v>
      </c>
      <c r="AE1174" s="57" t="s">
        <v>4763</v>
      </c>
      <c r="AF1174" s="57" t="s">
        <v>4764</v>
      </c>
    </row>
    <row r="1175" spans="1:32">
      <c r="A1175" s="57">
        <v>1174</v>
      </c>
      <c r="B1175" s="58">
        <v>46014.625069444453</v>
      </c>
      <c r="C1175" s="58">
        <v>46014.626574074071</v>
      </c>
      <c r="D1175" s="57" t="s">
        <v>2530</v>
      </c>
      <c r="E1175" s="57" t="s">
        <v>2531</v>
      </c>
      <c r="F1175" s="58"/>
      <c r="G1175" s="57" t="s">
        <v>659</v>
      </c>
      <c r="H1175" s="59">
        <v>1</v>
      </c>
      <c r="I1175" s="57"/>
      <c r="J1175" s="57"/>
      <c r="K1175" s="59"/>
      <c r="L1175" s="57"/>
      <c r="M1175" s="60"/>
      <c r="N1175" s="59"/>
      <c r="O1175" s="57"/>
      <c r="P1175" s="57"/>
      <c r="Q1175" s="57"/>
      <c r="R1175" s="57"/>
      <c r="S1175" s="59"/>
      <c r="T1175" s="57"/>
      <c r="U1175" s="60"/>
      <c r="V1175" s="59"/>
      <c r="W1175" s="57"/>
      <c r="X1175" s="57"/>
      <c r="Y1175" s="57" t="s">
        <v>21</v>
      </c>
      <c r="Z1175" s="57" t="s">
        <v>360</v>
      </c>
      <c r="AA1175" s="59">
        <v>14413</v>
      </c>
      <c r="AB1175" s="57" t="s">
        <v>61</v>
      </c>
      <c r="AC1175" s="60">
        <v>45937</v>
      </c>
      <c r="AD1175" s="59">
        <v>14413</v>
      </c>
      <c r="AE1175" s="57" t="s">
        <v>4765</v>
      </c>
      <c r="AF1175" s="57" t="s">
        <v>4766</v>
      </c>
    </row>
    <row r="1176" spans="1:32">
      <c r="A1176" s="57">
        <v>1175</v>
      </c>
      <c r="B1176" s="58">
        <v>46014.626828703702</v>
      </c>
      <c r="C1176" s="58">
        <v>46014.632199074083</v>
      </c>
      <c r="D1176" s="57" t="s">
        <v>2212</v>
      </c>
      <c r="E1176" s="57" t="s">
        <v>2213</v>
      </c>
      <c r="F1176" s="58"/>
      <c r="G1176" s="57" t="s">
        <v>707</v>
      </c>
      <c r="H1176" s="59">
        <v>2</v>
      </c>
      <c r="I1176" s="57"/>
      <c r="J1176" s="57"/>
      <c r="K1176" s="59"/>
      <c r="L1176" s="57"/>
      <c r="M1176" s="60"/>
      <c r="N1176" s="59"/>
      <c r="O1176" s="57"/>
      <c r="P1176" s="57"/>
      <c r="Q1176" s="57" t="s">
        <v>22</v>
      </c>
      <c r="R1176" s="57" t="s">
        <v>435</v>
      </c>
      <c r="S1176" s="59">
        <v>803</v>
      </c>
      <c r="T1176" s="57" t="s">
        <v>61</v>
      </c>
      <c r="U1176" s="60">
        <v>45999</v>
      </c>
      <c r="V1176" s="59">
        <v>803</v>
      </c>
      <c r="W1176" s="57" t="s">
        <v>4767</v>
      </c>
      <c r="X1176" s="57" t="s">
        <v>4768</v>
      </c>
      <c r="Y1176" s="57" t="s">
        <v>20</v>
      </c>
      <c r="Z1176" s="57" t="s">
        <v>436</v>
      </c>
      <c r="AA1176" s="59">
        <v>339</v>
      </c>
      <c r="AB1176" s="57" t="s">
        <v>61</v>
      </c>
      <c r="AC1176" s="60">
        <v>45999</v>
      </c>
      <c r="AD1176" s="59">
        <v>339</v>
      </c>
      <c r="AE1176" s="57" t="s">
        <v>4769</v>
      </c>
      <c r="AF1176" s="57" t="s">
        <v>4770</v>
      </c>
    </row>
    <row r="1177" spans="1:32">
      <c r="A1177" s="57">
        <v>1176</v>
      </c>
      <c r="B1177" s="58">
        <v>46014.646018518521</v>
      </c>
      <c r="C1177" s="58">
        <v>46014.65384259259</v>
      </c>
      <c r="D1177" s="57" t="s">
        <v>1226</v>
      </c>
      <c r="E1177" s="57" t="s">
        <v>1227</v>
      </c>
      <c r="F1177" s="58"/>
      <c r="G1177" s="57" t="s">
        <v>526</v>
      </c>
      <c r="H1177" s="59">
        <v>2</v>
      </c>
      <c r="I1177" s="57"/>
      <c r="J1177" s="57"/>
      <c r="K1177" s="59"/>
      <c r="L1177" s="57"/>
      <c r="M1177" s="60"/>
      <c r="N1177" s="59"/>
      <c r="O1177" s="57"/>
      <c r="P1177" s="57"/>
      <c r="Q1177" s="57" t="s">
        <v>22</v>
      </c>
      <c r="R1177" s="57" t="s">
        <v>193</v>
      </c>
      <c r="S1177" s="59">
        <v>35817</v>
      </c>
      <c r="T1177" s="57" t="s">
        <v>61</v>
      </c>
      <c r="U1177" s="60">
        <v>45798</v>
      </c>
      <c r="V1177" s="59">
        <v>35817</v>
      </c>
      <c r="W1177" s="57" t="s">
        <v>4771</v>
      </c>
      <c r="X1177" s="57" t="s">
        <v>4772</v>
      </c>
      <c r="Y1177" s="57" t="s">
        <v>21</v>
      </c>
      <c r="Z1177" s="57" t="s">
        <v>372</v>
      </c>
      <c r="AA1177" s="59">
        <v>5254</v>
      </c>
      <c r="AB1177" s="57" t="s">
        <v>61</v>
      </c>
      <c r="AC1177" s="60">
        <v>45909</v>
      </c>
      <c r="AD1177" s="59">
        <v>5254</v>
      </c>
      <c r="AE1177" s="57" t="s">
        <v>4773</v>
      </c>
      <c r="AF1177" s="57" t="s">
        <v>4774</v>
      </c>
    </row>
    <row r="1178" spans="1:32">
      <c r="A1178" s="57">
        <v>1177</v>
      </c>
      <c r="B1178" s="58">
        <v>46014.678900462961</v>
      </c>
      <c r="C1178" s="58">
        <v>46014.687349537038</v>
      </c>
      <c r="D1178" s="57" t="s">
        <v>862</v>
      </c>
      <c r="E1178" s="57" t="s">
        <v>863</v>
      </c>
      <c r="F1178" s="58"/>
      <c r="G1178" s="57" t="s">
        <v>568</v>
      </c>
      <c r="H1178" s="59">
        <v>1</v>
      </c>
      <c r="I1178" s="57"/>
      <c r="J1178" s="57"/>
      <c r="K1178" s="59"/>
      <c r="L1178" s="57"/>
      <c r="M1178" s="60"/>
      <c r="N1178" s="59"/>
      <c r="O1178" s="57"/>
      <c r="P1178" s="57"/>
      <c r="Q1178" s="57"/>
      <c r="R1178" s="57"/>
      <c r="S1178" s="59"/>
      <c r="T1178" s="57"/>
      <c r="U1178" s="60"/>
      <c r="V1178" s="59"/>
      <c r="W1178" s="57"/>
      <c r="X1178" s="57"/>
      <c r="Y1178" s="57" t="s">
        <v>20</v>
      </c>
      <c r="Z1178" s="57" t="s">
        <v>240</v>
      </c>
      <c r="AA1178" s="59">
        <v>37296</v>
      </c>
      <c r="AB1178" s="57" t="s">
        <v>61</v>
      </c>
      <c r="AC1178" s="60">
        <v>45923</v>
      </c>
      <c r="AD1178" s="59">
        <v>37296</v>
      </c>
      <c r="AE1178" s="57" t="s">
        <v>4775</v>
      </c>
      <c r="AF1178" s="57" t="s">
        <v>4776</v>
      </c>
    </row>
    <row r="1179" spans="1:32">
      <c r="A1179" s="57">
        <v>1178</v>
      </c>
      <c r="B1179" s="58">
        <v>46014.693483796298</v>
      </c>
      <c r="C1179" s="58">
        <v>46014.698101851849</v>
      </c>
      <c r="D1179" s="57" t="s">
        <v>940</v>
      </c>
      <c r="E1179" s="57" t="s">
        <v>941</v>
      </c>
      <c r="F1179" s="58"/>
      <c r="G1179" s="57" t="s">
        <v>688</v>
      </c>
      <c r="H1179" s="59">
        <v>1</v>
      </c>
      <c r="I1179" s="57"/>
      <c r="J1179" s="57"/>
      <c r="K1179" s="59"/>
      <c r="L1179" s="57"/>
      <c r="M1179" s="60"/>
      <c r="N1179" s="59"/>
      <c r="O1179" s="57"/>
      <c r="P1179" s="57"/>
      <c r="Q1179" s="57"/>
      <c r="R1179" s="57"/>
      <c r="S1179" s="59"/>
      <c r="T1179" s="57"/>
      <c r="U1179" s="60"/>
      <c r="V1179" s="59"/>
      <c r="W1179" s="57"/>
      <c r="X1179" s="57"/>
      <c r="Y1179" s="57" t="s">
        <v>20</v>
      </c>
      <c r="Z1179" s="57" t="s">
        <v>407</v>
      </c>
      <c r="AA1179" s="59">
        <v>5979</v>
      </c>
      <c r="AB1179" s="57" t="s">
        <v>61</v>
      </c>
      <c r="AC1179" s="60">
        <v>45943</v>
      </c>
      <c r="AD1179" s="59">
        <v>5979</v>
      </c>
      <c r="AE1179" s="57" t="s">
        <v>4777</v>
      </c>
      <c r="AF1179" s="57" t="s">
        <v>4778</v>
      </c>
    </row>
    <row r="1180" spans="1:32">
      <c r="A1180" s="57">
        <v>1179</v>
      </c>
      <c r="B1180" s="58">
        <v>46014.718055555553</v>
      </c>
      <c r="C1180" s="58">
        <v>46014.727372685193</v>
      </c>
      <c r="D1180" s="57" t="s">
        <v>3219</v>
      </c>
      <c r="E1180" s="57" t="s">
        <v>3220</v>
      </c>
      <c r="F1180" s="58"/>
      <c r="G1180" s="57" t="s">
        <v>717</v>
      </c>
      <c r="H1180" s="59">
        <v>1</v>
      </c>
      <c r="I1180" s="57"/>
      <c r="J1180" s="57"/>
      <c r="K1180" s="59"/>
      <c r="L1180" s="57"/>
      <c r="M1180" s="60"/>
      <c r="N1180" s="59"/>
      <c r="O1180" s="57"/>
      <c r="P1180" s="57"/>
      <c r="Q1180" s="57"/>
      <c r="R1180" s="57"/>
      <c r="S1180" s="59"/>
      <c r="T1180" s="57"/>
      <c r="U1180" s="60"/>
      <c r="V1180" s="59"/>
      <c r="W1180" s="57"/>
      <c r="X1180" s="57"/>
      <c r="Y1180" s="57" t="s">
        <v>20</v>
      </c>
      <c r="Z1180" s="57" t="s">
        <v>958</v>
      </c>
      <c r="AA1180" s="59">
        <v>25212</v>
      </c>
      <c r="AB1180" s="57" t="s">
        <v>61</v>
      </c>
      <c r="AC1180" s="60">
        <v>45982</v>
      </c>
      <c r="AD1180" s="59">
        <v>25212</v>
      </c>
      <c r="AE1180" s="57" t="s">
        <v>4779</v>
      </c>
      <c r="AF1180" s="57" t="s">
        <v>4780</v>
      </c>
    </row>
    <row r="1181" spans="1:32">
      <c r="A1181" s="57">
        <v>1180</v>
      </c>
      <c r="B1181" s="58">
        <v>46014.761504629627</v>
      </c>
      <c r="C1181" s="58">
        <v>46014.769791666673</v>
      </c>
      <c r="D1181" s="57" t="s">
        <v>3541</v>
      </c>
      <c r="E1181" s="57" t="s">
        <v>3542</v>
      </c>
      <c r="F1181" s="58"/>
      <c r="G1181" s="57" t="s">
        <v>631</v>
      </c>
      <c r="H1181" s="59">
        <v>1</v>
      </c>
      <c r="I1181" s="57"/>
      <c r="J1181" s="57"/>
      <c r="K1181" s="59"/>
      <c r="L1181" s="57"/>
      <c r="M1181" s="60"/>
      <c r="N1181" s="59"/>
      <c r="O1181" s="57"/>
      <c r="P1181" s="57"/>
      <c r="Q1181" s="57"/>
      <c r="R1181" s="57"/>
      <c r="S1181" s="59"/>
      <c r="T1181" s="57"/>
      <c r="U1181" s="60"/>
      <c r="V1181" s="59"/>
      <c r="W1181" s="57"/>
      <c r="X1181" s="57"/>
      <c r="Y1181" s="57" t="s">
        <v>21</v>
      </c>
      <c r="Z1181" s="57" t="s">
        <v>319</v>
      </c>
      <c r="AA1181" s="59">
        <v>10259</v>
      </c>
      <c r="AB1181" s="57" t="s">
        <v>61</v>
      </c>
      <c r="AC1181" s="60">
        <v>45989</v>
      </c>
      <c r="AD1181" s="59">
        <v>10259</v>
      </c>
      <c r="AE1181" s="57" t="s">
        <v>4781</v>
      </c>
      <c r="AF1181" s="57" t="s">
        <v>4782</v>
      </c>
    </row>
    <row r="1182" spans="1:32">
      <c r="A1182" s="57">
        <v>1181</v>
      </c>
      <c r="B1182" s="58">
        <v>46015.338379629633</v>
      </c>
      <c r="C1182" s="58">
        <v>46015.339988425927</v>
      </c>
      <c r="D1182" s="57" t="s">
        <v>809</v>
      </c>
      <c r="E1182" s="57" t="s">
        <v>810</v>
      </c>
      <c r="F1182" s="58"/>
      <c r="G1182" s="57" t="s">
        <v>468</v>
      </c>
      <c r="H1182" s="59">
        <v>1</v>
      </c>
      <c r="I1182" s="57"/>
      <c r="J1182" s="57"/>
      <c r="K1182" s="59"/>
      <c r="L1182" s="57"/>
      <c r="M1182" s="60"/>
      <c r="N1182" s="59"/>
      <c r="O1182" s="57"/>
      <c r="P1182" s="57"/>
      <c r="Q1182" s="57"/>
      <c r="R1182" s="57"/>
      <c r="S1182" s="59"/>
      <c r="T1182" s="57"/>
      <c r="U1182" s="60"/>
      <c r="V1182" s="59"/>
      <c r="W1182" s="57"/>
      <c r="X1182" s="57"/>
      <c r="Y1182" s="57" t="s">
        <v>21</v>
      </c>
      <c r="Z1182" s="57" t="s">
        <v>134</v>
      </c>
      <c r="AA1182" s="59">
        <v>46540</v>
      </c>
      <c r="AB1182" s="57" t="s">
        <v>61</v>
      </c>
      <c r="AC1182" s="60">
        <v>45931</v>
      </c>
      <c r="AD1182" s="59">
        <v>46540</v>
      </c>
      <c r="AE1182" s="57" t="s">
        <v>4783</v>
      </c>
      <c r="AF1182" s="57" t="s">
        <v>4784</v>
      </c>
    </row>
    <row r="1183" spans="1:32">
      <c r="A1183" s="57">
        <v>1182</v>
      </c>
      <c r="B1183" s="58">
        <v>46013.779594907413</v>
      </c>
      <c r="C1183" s="58">
        <v>46015.347314814811</v>
      </c>
      <c r="D1183" s="57" t="s">
        <v>1114</v>
      </c>
      <c r="E1183" s="57" t="s">
        <v>1115</v>
      </c>
      <c r="F1183" s="58"/>
      <c r="G1183" s="57" t="s">
        <v>597</v>
      </c>
      <c r="H1183" s="59">
        <v>2</v>
      </c>
      <c r="I1183" s="57"/>
      <c r="J1183" s="57"/>
      <c r="K1183" s="59"/>
      <c r="L1183" s="57"/>
      <c r="M1183" s="60"/>
      <c r="N1183" s="59"/>
      <c r="O1183" s="57"/>
      <c r="P1183" s="57"/>
      <c r="Q1183" s="57" t="s">
        <v>22</v>
      </c>
      <c r="R1183" s="57" t="s">
        <v>273</v>
      </c>
      <c r="S1183" s="59">
        <v>47537</v>
      </c>
      <c r="T1183" s="57" t="s">
        <v>61</v>
      </c>
      <c r="U1183" s="60">
        <v>45931</v>
      </c>
      <c r="V1183" s="59">
        <v>47537</v>
      </c>
      <c r="W1183" s="57" t="s">
        <v>4785</v>
      </c>
      <c r="X1183" s="57" t="s">
        <v>4786</v>
      </c>
      <c r="Y1183" s="57" t="s">
        <v>21</v>
      </c>
      <c r="Z1183" s="57" t="s">
        <v>324</v>
      </c>
      <c r="AA1183" s="59">
        <v>14209</v>
      </c>
      <c r="AB1183" s="57" t="s">
        <v>61</v>
      </c>
      <c r="AC1183" s="60">
        <v>45904</v>
      </c>
      <c r="AD1183" s="59">
        <v>14209</v>
      </c>
      <c r="AE1183" s="57" t="s">
        <v>4787</v>
      </c>
      <c r="AF1183" s="57" t="s">
        <v>4788</v>
      </c>
    </row>
    <row r="1184" spans="1:32">
      <c r="A1184" s="57">
        <v>1183</v>
      </c>
      <c r="B1184" s="58">
        <v>46015.343553240738</v>
      </c>
      <c r="C1184" s="58">
        <v>46015.358356481483</v>
      </c>
      <c r="D1184" s="57" t="s">
        <v>2420</v>
      </c>
      <c r="E1184" s="57" t="s">
        <v>2421</v>
      </c>
      <c r="F1184" s="58"/>
      <c r="G1184" s="57" t="s">
        <v>611</v>
      </c>
      <c r="H1184" s="59">
        <v>1</v>
      </c>
      <c r="I1184" s="57"/>
      <c r="J1184" s="57"/>
      <c r="K1184" s="59"/>
      <c r="L1184" s="57"/>
      <c r="M1184" s="60"/>
      <c r="N1184" s="59"/>
      <c r="O1184" s="57"/>
      <c r="P1184" s="57"/>
      <c r="Q1184" s="57"/>
      <c r="R1184" s="57"/>
      <c r="S1184" s="59"/>
      <c r="T1184" s="57"/>
      <c r="U1184" s="60"/>
      <c r="V1184" s="59"/>
      <c r="W1184" s="57"/>
      <c r="X1184" s="57"/>
      <c r="Y1184" s="57" t="s">
        <v>21</v>
      </c>
      <c r="Z1184" s="57" t="s">
        <v>291</v>
      </c>
      <c r="AA1184" s="59">
        <v>9011</v>
      </c>
      <c r="AB1184" s="57" t="s">
        <v>61</v>
      </c>
      <c r="AC1184" s="60">
        <v>46014</v>
      </c>
      <c r="AD1184" s="59">
        <v>9011</v>
      </c>
      <c r="AE1184" s="57" t="s">
        <v>4789</v>
      </c>
      <c r="AF1184" s="57" t="s">
        <v>4790</v>
      </c>
    </row>
    <row r="1185" spans="1:32">
      <c r="A1185" s="57">
        <v>1184</v>
      </c>
      <c r="B1185" s="58">
        <v>46015.36755787037</v>
      </c>
      <c r="C1185" s="58">
        <v>46015.372696759259</v>
      </c>
      <c r="D1185" s="57" t="s">
        <v>1617</v>
      </c>
      <c r="E1185" s="57" t="s">
        <v>1618</v>
      </c>
      <c r="F1185" s="58"/>
      <c r="G1185" s="57" t="s">
        <v>625</v>
      </c>
      <c r="H1185" s="59">
        <v>2</v>
      </c>
      <c r="I1185" s="57"/>
      <c r="J1185" s="57"/>
      <c r="K1185" s="59"/>
      <c r="L1185" s="57"/>
      <c r="M1185" s="60"/>
      <c r="N1185" s="59"/>
      <c r="O1185" s="57"/>
      <c r="P1185" s="57"/>
      <c r="Q1185" s="57" t="s">
        <v>22</v>
      </c>
      <c r="R1185" s="57" t="s">
        <v>349</v>
      </c>
      <c r="S1185" s="59">
        <v>17990</v>
      </c>
      <c r="T1185" s="57" t="s">
        <v>61</v>
      </c>
      <c r="U1185" s="60">
        <v>45866</v>
      </c>
      <c r="V1185" s="59">
        <v>17990</v>
      </c>
      <c r="W1185" s="57" t="s">
        <v>4791</v>
      </c>
      <c r="X1185" s="57" t="s">
        <v>4792</v>
      </c>
      <c r="Y1185" s="57" t="s">
        <v>21</v>
      </c>
      <c r="Z1185" s="57" t="s">
        <v>307</v>
      </c>
      <c r="AA1185" s="59">
        <v>25231</v>
      </c>
      <c r="AB1185" s="57" t="s">
        <v>61</v>
      </c>
      <c r="AC1185" s="60">
        <v>45920</v>
      </c>
      <c r="AD1185" s="59">
        <v>25231</v>
      </c>
      <c r="AE1185" s="57" t="s">
        <v>4793</v>
      </c>
      <c r="AF1185" s="57" t="s">
        <v>4794</v>
      </c>
    </row>
    <row r="1186" spans="1:32">
      <c r="A1186" s="57">
        <v>1185</v>
      </c>
      <c r="B1186" s="58">
        <v>46015.395949074067</v>
      </c>
      <c r="C1186" s="58">
        <v>46015.402453703697</v>
      </c>
      <c r="D1186" s="57" t="s">
        <v>836</v>
      </c>
      <c r="E1186" s="57" t="s">
        <v>837</v>
      </c>
      <c r="F1186" s="58"/>
      <c r="G1186" s="57" t="s">
        <v>614</v>
      </c>
      <c r="H1186" s="59">
        <v>1</v>
      </c>
      <c r="I1186" s="57"/>
      <c r="J1186" s="57"/>
      <c r="K1186" s="59"/>
      <c r="L1186" s="57"/>
      <c r="M1186" s="60"/>
      <c r="N1186" s="59"/>
      <c r="O1186" s="57"/>
      <c r="P1186" s="57"/>
      <c r="Q1186" s="57"/>
      <c r="R1186" s="57"/>
      <c r="S1186" s="59"/>
      <c r="T1186" s="57"/>
      <c r="U1186" s="60"/>
      <c r="V1186" s="59"/>
      <c r="W1186" s="57"/>
      <c r="X1186" s="57"/>
      <c r="Y1186" s="57" t="s">
        <v>21</v>
      </c>
      <c r="Z1186" s="57" t="s">
        <v>294</v>
      </c>
      <c r="AA1186" s="59">
        <v>22513</v>
      </c>
      <c r="AB1186" s="57" t="s">
        <v>61</v>
      </c>
      <c r="AC1186" s="60">
        <v>45992</v>
      </c>
      <c r="AD1186" s="59">
        <v>22513</v>
      </c>
      <c r="AE1186" s="57" t="s">
        <v>4795</v>
      </c>
      <c r="AF1186" s="57" t="s">
        <v>4796</v>
      </c>
    </row>
    <row r="1187" spans="1:32">
      <c r="A1187" s="57">
        <v>1186</v>
      </c>
      <c r="B1187" s="58">
        <v>46015.392928240741</v>
      </c>
      <c r="C1187" s="58">
        <v>46015.403460648151</v>
      </c>
      <c r="D1187" s="57" t="s">
        <v>1014</v>
      </c>
      <c r="E1187" s="57" t="s">
        <v>1015</v>
      </c>
      <c r="F1187" s="58"/>
      <c r="G1187" s="57" t="s">
        <v>623</v>
      </c>
      <c r="H1187" s="59">
        <v>1</v>
      </c>
      <c r="I1187" s="57"/>
      <c r="J1187" s="57"/>
      <c r="K1187" s="59"/>
      <c r="L1187" s="57"/>
      <c r="M1187" s="60"/>
      <c r="N1187" s="59"/>
      <c r="O1187" s="57"/>
      <c r="P1187" s="57"/>
      <c r="Q1187" s="57"/>
      <c r="R1187" s="57"/>
      <c r="S1187" s="59"/>
      <c r="T1187" s="57"/>
      <c r="U1187" s="60"/>
      <c r="V1187" s="59"/>
      <c r="W1187" s="57"/>
      <c r="X1187" s="57"/>
      <c r="Y1187" s="57" t="s">
        <v>20</v>
      </c>
      <c r="Z1187" s="57" t="s">
        <v>305</v>
      </c>
      <c r="AA1187" s="59">
        <v>27557</v>
      </c>
      <c r="AB1187" s="57" t="s">
        <v>61</v>
      </c>
      <c r="AC1187" s="60">
        <v>45946</v>
      </c>
      <c r="AD1187" s="59">
        <v>27557</v>
      </c>
      <c r="AE1187" s="57" t="s">
        <v>4797</v>
      </c>
      <c r="AF1187" s="57" t="s">
        <v>4798</v>
      </c>
    </row>
    <row r="1188" spans="1:32">
      <c r="A1188" s="57">
        <v>1187</v>
      </c>
      <c r="B1188" s="58">
        <v>46015.427754629629</v>
      </c>
      <c r="C1188" s="58">
        <v>46015.430543981478</v>
      </c>
      <c r="D1188" s="57" t="s">
        <v>849</v>
      </c>
      <c r="E1188" s="57" t="s">
        <v>850</v>
      </c>
      <c r="F1188" s="58"/>
      <c r="G1188" s="57" t="s">
        <v>627</v>
      </c>
      <c r="H1188" s="59">
        <v>1</v>
      </c>
      <c r="I1188" s="57"/>
      <c r="J1188" s="57"/>
      <c r="K1188" s="59"/>
      <c r="L1188" s="57"/>
      <c r="M1188" s="60"/>
      <c r="N1188" s="59"/>
      <c r="O1188" s="57"/>
      <c r="P1188" s="57"/>
      <c r="Q1188" s="57"/>
      <c r="R1188" s="57"/>
      <c r="S1188" s="59"/>
      <c r="T1188" s="57"/>
      <c r="U1188" s="60"/>
      <c r="V1188" s="59"/>
      <c r="W1188" s="57"/>
      <c r="X1188" s="57"/>
      <c r="Y1188" s="57" t="s">
        <v>21</v>
      </c>
      <c r="Z1188" s="57" t="s">
        <v>310</v>
      </c>
      <c r="AA1188" s="59">
        <v>10355</v>
      </c>
      <c r="AB1188" s="57" t="s">
        <v>61</v>
      </c>
      <c r="AC1188" s="60">
        <v>45827</v>
      </c>
      <c r="AD1188" s="59">
        <v>10355</v>
      </c>
      <c r="AE1188" s="57" t="s">
        <v>4799</v>
      </c>
      <c r="AF1188" s="57" t="s">
        <v>4800</v>
      </c>
    </row>
    <row r="1189" spans="1:32">
      <c r="A1189" s="57">
        <v>1188</v>
      </c>
      <c r="B1189" s="58">
        <v>46015.429467592592</v>
      </c>
      <c r="C1189" s="58">
        <v>46015.440370370372</v>
      </c>
      <c r="D1189" s="57" t="s">
        <v>1434</v>
      </c>
      <c r="E1189" s="57" t="s">
        <v>1435</v>
      </c>
      <c r="F1189" s="58"/>
      <c r="G1189" s="57" t="s">
        <v>634</v>
      </c>
      <c r="H1189" s="59">
        <v>1</v>
      </c>
      <c r="I1189" s="57"/>
      <c r="J1189" s="57"/>
      <c r="K1189" s="59"/>
      <c r="L1189" s="57"/>
      <c r="M1189" s="60"/>
      <c r="N1189" s="59"/>
      <c r="O1189" s="57"/>
      <c r="P1189" s="57"/>
      <c r="Q1189" s="57"/>
      <c r="R1189" s="57"/>
      <c r="S1189" s="59"/>
      <c r="T1189" s="57"/>
      <c r="U1189" s="60"/>
      <c r="V1189" s="59"/>
      <c r="W1189" s="57"/>
      <c r="X1189" s="57"/>
      <c r="Y1189" s="57" t="s">
        <v>20</v>
      </c>
      <c r="Z1189" s="57" t="s">
        <v>325</v>
      </c>
      <c r="AA1189" s="59">
        <v>17051</v>
      </c>
      <c r="AB1189" s="57" t="s">
        <v>61</v>
      </c>
      <c r="AC1189" s="60">
        <v>45874</v>
      </c>
      <c r="AD1189" s="59">
        <v>17051</v>
      </c>
      <c r="AE1189" s="57" t="s">
        <v>4801</v>
      </c>
      <c r="AF1189" s="57" t="s">
        <v>4802</v>
      </c>
    </row>
    <row r="1190" spans="1:32">
      <c r="A1190" s="57">
        <v>1189</v>
      </c>
      <c r="B1190" s="58">
        <v>46015.441250000003</v>
      </c>
      <c r="C1190" s="58">
        <v>46015.443148148152</v>
      </c>
      <c r="D1190" s="57" t="s">
        <v>1691</v>
      </c>
      <c r="E1190" s="57" t="s">
        <v>1692</v>
      </c>
      <c r="F1190" s="58"/>
      <c r="G1190" s="57" t="s">
        <v>512</v>
      </c>
      <c r="H1190" s="59">
        <v>1</v>
      </c>
      <c r="I1190" s="57"/>
      <c r="J1190" s="57"/>
      <c r="K1190" s="59"/>
      <c r="L1190" s="57"/>
      <c r="M1190" s="60"/>
      <c r="N1190" s="59"/>
      <c r="O1190" s="57"/>
      <c r="P1190" s="57"/>
      <c r="Q1190" s="57"/>
      <c r="R1190" s="57"/>
      <c r="S1190" s="59"/>
      <c r="T1190" s="57"/>
      <c r="U1190" s="60"/>
      <c r="V1190" s="59"/>
      <c r="W1190" s="57"/>
      <c r="X1190" s="57"/>
      <c r="Y1190" s="57" t="s">
        <v>20</v>
      </c>
      <c r="Z1190" s="57" t="s">
        <v>3191</v>
      </c>
      <c r="AA1190" s="59">
        <v>73056</v>
      </c>
      <c r="AB1190" s="57" t="s">
        <v>61</v>
      </c>
      <c r="AC1190" s="60">
        <v>45974</v>
      </c>
      <c r="AD1190" s="59">
        <v>73056</v>
      </c>
      <c r="AE1190" s="57" t="s">
        <v>4803</v>
      </c>
      <c r="AF1190" s="57" t="s">
        <v>4804</v>
      </c>
    </row>
    <row r="1191" spans="1:32">
      <c r="A1191" s="57">
        <v>1190</v>
      </c>
      <c r="B1191" s="58">
        <v>46015.465648148151</v>
      </c>
      <c r="C1191" s="58">
        <v>46015.471319444441</v>
      </c>
      <c r="D1191" s="57" t="s">
        <v>1547</v>
      </c>
      <c r="E1191" s="57" t="s">
        <v>1548</v>
      </c>
      <c r="F1191" s="58"/>
      <c r="G1191" s="57" t="s">
        <v>664</v>
      </c>
      <c r="H1191" s="59">
        <v>1</v>
      </c>
      <c r="I1191" s="57"/>
      <c r="J1191" s="57"/>
      <c r="K1191" s="59"/>
      <c r="L1191" s="57"/>
      <c r="M1191" s="60"/>
      <c r="N1191" s="59"/>
      <c r="O1191" s="57"/>
      <c r="P1191" s="57"/>
      <c r="Q1191" s="57"/>
      <c r="R1191" s="57"/>
      <c r="S1191" s="59"/>
      <c r="T1191" s="57"/>
      <c r="U1191" s="60"/>
      <c r="V1191" s="59"/>
      <c r="W1191" s="57"/>
      <c r="X1191" s="57"/>
      <c r="Y1191" s="57" t="s">
        <v>21</v>
      </c>
      <c r="Z1191" s="57" t="s">
        <v>366</v>
      </c>
      <c r="AA1191" s="59">
        <v>8172</v>
      </c>
      <c r="AB1191" s="57" t="s">
        <v>61</v>
      </c>
      <c r="AC1191" s="60">
        <v>45915</v>
      </c>
      <c r="AD1191" s="59">
        <v>8172</v>
      </c>
      <c r="AE1191" s="57" t="s">
        <v>4805</v>
      </c>
      <c r="AF1191" s="57" t="s">
        <v>4806</v>
      </c>
    </row>
    <row r="1192" spans="1:32">
      <c r="A1192" s="57">
        <v>1191</v>
      </c>
      <c r="B1192" s="58">
        <v>46015.477280092593</v>
      </c>
      <c r="C1192" s="58">
        <v>46015.482361111113</v>
      </c>
      <c r="D1192" s="57" t="s">
        <v>1517</v>
      </c>
      <c r="E1192" s="57" t="s">
        <v>1518</v>
      </c>
      <c r="F1192" s="58"/>
      <c r="G1192" s="57" t="s">
        <v>585</v>
      </c>
      <c r="H1192" s="59">
        <v>1</v>
      </c>
      <c r="I1192" s="57"/>
      <c r="J1192" s="57"/>
      <c r="K1192" s="59"/>
      <c r="L1192" s="57"/>
      <c r="M1192" s="60"/>
      <c r="N1192" s="59"/>
      <c r="O1192" s="57"/>
      <c r="P1192" s="57"/>
      <c r="Q1192" s="57"/>
      <c r="R1192" s="57"/>
      <c r="S1192" s="59"/>
      <c r="T1192" s="57"/>
      <c r="U1192" s="60"/>
      <c r="V1192" s="59"/>
      <c r="W1192" s="57"/>
      <c r="X1192" s="57"/>
      <c r="Y1192" s="57" t="s">
        <v>21</v>
      </c>
      <c r="Z1192" s="57" t="s">
        <v>259</v>
      </c>
      <c r="AA1192" s="59">
        <v>39228</v>
      </c>
      <c r="AB1192" s="57" t="s">
        <v>61</v>
      </c>
      <c r="AC1192" s="60">
        <v>45849</v>
      </c>
      <c r="AD1192" s="59">
        <v>39228</v>
      </c>
      <c r="AE1192" s="57" t="s">
        <v>4807</v>
      </c>
      <c r="AF1192" s="57" t="s">
        <v>4808</v>
      </c>
    </row>
    <row r="1193" spans="1:32">
      <c r="A1193" s="57">
        <v>1192</v>
      </c>
      <c r="B1193" s="58">
        <v>46015.541574074072</v>
      </c>
      <c r="C1193" s="58">
        <v>46015.545578703714</v>
      </c>
      <c r="D1193" s="57" t="s">
        <v>1205</v>
      </c>
      <c r="E1193" s="57" t="s">
        <v>1206</v>
      </c>
      <c r="F1193" s="58"/>
      <c r="G1193" s="57" t="s">
        <v>474</v>
      </c>
      <c r="H1193" s="59">
        <v>1</v>
      </c>
      <c r="I1193" s="57"/>
      <c r="J1193" s="57"/>
      <c r="K1193" s="59"/>
      <c r="L1193" s="57"/>
      <c r="M1193" s="60"/>
      <c r="N1193" s="59"/>
      <c r="O1193" s="57"/>
      <c r="P1193" s="57"/>
      <c r="Q1193" s="57"/>
      <c r="R1193" s="57"/>
      <c r="S1193" s="59"/>
      <c r="T1193" s="57"/>
      <c r="U1193" s="60"/>
      <c r="V1193" s="59"/>
      <c r="W1193" s="57"/>
      <c r="X1193" s="57"/>
      <c r="Y1193" s="57" t="s">
        <v>21</v>
      </c>
      <c r="Z1193" s="57" t="s">
        <v>140</v>
      </c>
      <c r="AA1193" s="59">
        <v>22546</v>
      </c>
      <c r="AB1193" s="57" t="s">
        <v>61</v>
      </c>
      <c r="AC1193" s="60">
        <v>45903</v>
      </c>
      <c r="AD1193" s="59">
        <v>22546</v>
      </c>
      <c r="AE1193" s="57" t="s">
        <v>4809</v>
      </c>
      <c r="AF1193" s="57" t="s">
        <v>4810</v>
      </c>
    </row>
    <row r="1194" spans="1:32">
      <c r="A1194" s="57">
        <v>1193</v>
      </c>
      <c r="B1194" s="58">
        <v>46015.598020833328</v>
      </c>
      <c r="C1194" s="58">
        <v>46015.601412037038</v>
      </c>
      <c r="D1194" s="57" t="s">
        <v>1365</v>
      </c>
      <c r="E1194" s="57" t="s">
        <v>1366</v>
      </c>
      <c r="F1194" s="58"/>
      <c r="G1194" s="57" t="s">
        <v>638</v>
      </c>
      <c r="H1194" s="59">
        <v>1</v>
      </c>
      <c r="I1194" s="57"/>
      <c r="J1194" s="57"/>
      <c r="K1194" s="59"/>
      <c r="L1194" s="57"/>
      <c r="M1194" s="60"/>
      <c r="N1194" s="59"/>
      <c r="O1194" s="57"/>
      <c r="P1194" s="57"/>
      <c r="Q1194" s="57"/>
      <c r="R1194" s="57"/>
      <c r="S1194" s="59"/>
      <c r="T1194" s="57"/>
      <c r="U1194" s="60"/>
      <c r="V1194" s="59"/>
      <c r="W1194" s="57"/>
      <c r="X1194" s="57"/>
      <c r="Y1194" s="57" t="s">
        <v>21</v>
      </c>
      <c r="Z1194" s="57" t="s">
        <v>331</v>
      </c>
      <c r="AA1194" s="59">
        <v>10093</v>
      </c>
      <c r="AB1194" s="57" t="s">
        <v>61</v>
      </c>
      <c r="AC1194" s="60">
        <v>45867</v>
      </c>
      <c r="AD1194" s="59">
        <v>10093</v>
      </c>
      <c r="AE1194" s="57" t="s">
        <v>4811</v>
      </c>
      <c r="AF1194" s="57" t="s">
        <v>4812</v>
      </c>
    </row>
    <row r="1195" spans="1:32">
      <c r="A1195" s="57">
        <v>1194</v>
      </c>
      <c r="B1195" s="58">
        <v>46015.591145833343</v>
      </c>
      <c r="C1195" s="58">
        <v>46015.607604166667</v>
      </c>
      <c r="D1195" s="57" t="s">
        <v>1045</v>
      </c>
      <c r="E1195" s="57" t="s">
        <v>1046</v>
      </c>
      <c r="F1195" s="58"/>
      <c r="G1195" s="57" t="s">
        <v>610</v>
      </c>
      <c r="H1195" s="59">
        <v>1</v>
      </c>
      <c r="I1195" s="57"/>
      <c r="J1195" s="57"/>
      <c r="K1195" s="59"/>
      <c r="L1195" s="57"/>
      <c r="M1195" s="60"/>
      <c r="N1195" s="59"/>
      <c r="O1195" s="57"/>
      <c r="P1195" s="57"/>
      <c r="Q1195" s="57"/>
      <c r="R1195" s="57"/>
      <c r="S1195" s="59"/>
      <c r="T1195" s="57"/>
      <c r="U1195" s="60"/>
      <c r="V1195" s="59"/>
      <c r="W1195" s="57"/>
      <c r="X1195" s="57"/>
      <c r="Y1195" s="57" t="s">
        <v>21</v>
      </c>
      <c r="Z1195" s="57" t="s">
        <v>290</v>
      </c>
      <c r="AA1195" s="59">
        <v>22163</v>
      </c>
      <c r="AB1195" s="57" t="s">
        <v>61</v>
      </c>
      <c r="AC1195" s="60">
        <v>45988</v>
      </c>
      <c r="AD1195" s="59">
        <v>22163</v>
      </c>
      <c r="AE1195" s="57" t="s">
        <v>4813</v>
      </c>
      <c r="AF1195" s="57" t="s">
        <v>4814</v>
      </c>
    </row>
    <row r="1196" spans="1:32">
      <c r="A1196" s="57">
        <v>1195</v>
      </c>
      <c r="B1196" s="58">
        <v>46015.605729166673</v>
      </c>
      <c r="C1196" s="58">
        <v>46015.610937500001</v>
      </c>
      <c r="D1196" s="57" t="s">
        <v>2026</v>
      </c>
      <c r="E1196" s="57" t="s">
        <v>2027</v>
      </c>
      <c r="F1196" s="58"/>
      <c r="G1196" s="57" t="s">
        <v>579</v>
      </c>
      <c r="H1196" s="59">
        <v>2</v>
      </c>
      <c r="I1196" s="57"/>
      <c r="J1196" s="57"/>
      <c r="K1196" s="59"/>
      <c r="L1196" s="57"/>
      <c r="M1196" s="60"/>
      <c r="N1196" s="59"/>
      <c r="O1196" s="57"/>
      <c r="P1196" s="57"/>
      <c r="Q1196" s="57" t="s">
        <v>22</v>
      </c>
      <c r="R1196" s="57" t="s">
        <v>251</v>
      </c>
      <c r="S1196" s="59">
        <v>51791</v>
      </c>
      <c r="T1196" s="57" t="s">
        <v>61</v>
      </c>
      <c r="U1196" s="60">
        <v>45960</v>
      </c>
      <c r="V1196" s="59">
        <v>51791</v>
      </c>
      <c r="W1196" s="57" t="s">
        <v>4815</v>
      </c>
      <c r="X1196" s="57" t="s">
        <v>4816</v>
      </c>
      <c r="Y1196" s="57" t="s">
        <v>20</v>
      </c>
      <c r="Z1196" s="57" t="s">
        <v>438</v>
      </c>
      <c r="AA1196" s="59">
        <v>125</v>
      </c>
      <c r="AB1196" s="57" t="s">
        <v>61</v>
      </c>
      <c r="AC1196" s="60">
        <v>46010</v>
      </c>
      <c r="AD1196" s="59">
        <v>125</v>
      </c>
      <c r="AE1196" s="57" t="s">
        <v>4817</v>
      </c>
      <c r="AF1196" s="57" t="s">
        <v>4818</v>
      </c>
    </row>
    <row r="1197" spans="1:32">
      <c r="A1197" s="57">
        <v>1196</v>
      </c>
      <c r="B1197" s="58">
        <v>46015.605590277781</v>
      </c>
      <c r="C1197" s="58">
        <v>46015.611863425933</v>
      </c>
      <c r="D1197" s="57" t="s">
        <v>1068</v>
      </c>
      <c r="E1197" s="57" t="s">
        <v>1069</v>
      </c>
      <c r="F1197" s="58"/>
      <c r="G1197" s="57" t="s">
        <v>485</v>
      </c>
      <c r="H1197" s="59">
        <v>2</v>
      </c>
      <c r="I1197" s="57"/>
      <c r="J1197" s="57"/>
      <c r="K1197" s="59"/>
      <c r="L1197" s="57"/>
      <c r="M1197" s="60"/>
      <c r="N1197" s="59"/>
      <c r="O1197" s="57"/>
      <c r="P1197" s="57"/>
      <c r="Q1197" s="57" t="s">
        <v>22</v>
      </c>
      <c r="R1197" s="57" t="s">
        <v>1072</v>
      </c>
      <c r="S1197" s="59">
        <v>111429</v>
      </c>
      <c r="T1197" s="57" t="s">
        <v>61</v>
      </c>
      <c r="U1197" s="60">
        <v>45954</v>
      </c>
      <c r="V1197" s="59">
        <v>111429</v>
      </c>
      <c r="W1197" s="57" t="s">
        <v>4819</v>
      </c>
      <c r="X1197" s="57" t="s">
        <v>4820</v>
      </c>
      <c r="Y1197" s="57" t="s">
        <v>21</v>
      </c>
      <c r="Z1197" s="57" t="s">
        <v>151</v>
      </c>
      <c r="AA1197" s="59">
        <v>35094</v>
      </c>
      <c r="AB1197" s="57" t="s">
        <v>61</v>
      </c>
      <c r="AC1197" s="60">
        <v>45936</v>
      </c>
      <c r="AD1197" s="59">
        <v>35094</v>
      </c>
      <c r="AE1197" s="57" t="s">
        <v>4821</v>
      </c>
      <c r="AF1197" s="57" t="s">
        <v>4822</v>
      </c>
    </row>
    <row r="1198" spans="1:32">
      <c r="A1198" s="57">
        <v>1197</v>
      </c>
      <c r="B1198" s="58">
        <v>46015.675266203703</v>
      </c>
      <c r="C1198" s="58">
        <v>46015.678472222222</v>
      </c>
      <c r="D1198" s="57" t="s">
        <v>1760</v>
      </c>
      <c r="E1198" s="57" t="s">
        <v>1761</v>
      </c>
      <c r="F1198" s="58"/>
      <c r="G1198" s="57" t="s">
        <v>488</v>
      </c>
      <c r="H1198" s="59">
        <v>1</v>
      </c>
      <c r="I1198" s="57"/>
      <c r="J1198" s="57"/>
      <c r="K1198" s="59"/>
      <c r="L1198" s="57"/>
      <c r="M1198" s="60"/>
      <c r="N1198" s="59"/>
      <c r="O1198" s="57"/>
      <c r="P1198" s="57"/>
      <c r="Q1198" s="57"/>
      <c r="R1198" s="57"/>
      <c r="S1198" s="59"/>
      <c r="T1198" s="57"/>
      <c r="U1198" s="60"/>
      <c r="V1198" s="59"/>
      <c r="W1198" s="57"/>
      <c r="X1198" s="57"/>
      <c r="Y1198" s="57" t="s">
        <v>21</v>
      </c>
      <c r="Z1198" s="57" t="s">
        <v>154</v>
      </c>
      <c r="AA1198" s="59">
        <v>45401</v>
      </c>
      <c r="AB1198" s="57" t="s">
        <v>61</v>
      </c>
      <c r="AC1198" s="60">
        <v>45820</v>
      </c>
      <c r="AD1198" s="59">
        <v>45401</v>
      </c>
      <c r="AE1198" s="57" t="s">
        <v>4823</v>
      </c>
      <c r="AF1198" s="57" t="s">
        <v>4824</v>
      </c>
    </row>
    <row r="1199" spans="1:32">
      <c r="A1199" s="57">
        <v>1198</v>
      </c>
      <c r="B1199" s="58">
        <v>46017.383773148147</v>
      </c>
      <c r="C1199" s="58">
        <v>46017.393495370372</v>
      </c>
      <c r="D1199" s="57" t="s">
        <v>961</v>
      </c>
      <c r="E1199" s="57" t="s">
        <v>962</v>
      </c>
      <c r="F1199" s="58"/>
      <c r="G1199" s="57" t="s">
        <v>655</v>
      </c>
      <c r="H1199" s="59">
        <v>1</v>
      </c>
      <c r="I1199" s="57"/>
      <c r="J1199" s="57"/>
      <c r="K1199" s="59"/>
      <c r="L1199" s="57"/>
      <c r="M1199" s="60"/>
      <c r="N1199" s="59"/>
      <c r="O1199" s="57"/>
      <c r="P1199" s="57"/>
      <c r="Q1199" s="57"/>
      <c r="R1199" s="57"/>
      <c r="S1199" s="59"/>
      <c r="T1199" s="57"/>
      <c r="U1199" s="60"/>
      <c r="V1199" s="59"/>
      <c r="W1199" s="57"/>
      <c r="X1199" s="57"/>
      <c r="Y1199" s="57" t="s">
        <v>21</v>
      </c>
      <c r="Z1199" s="57" t="s">
        <v>353</v>
      </c>
      <c r="AA1199" s="59">
        <v>10318</v>
      </c>
      <c r="AB1199" s="57" t="s">
        <v>61</v>
      </c>
      <c r="AC1199" s="60">
        <v>45902</v>
      </c>
      <c r="AD1199" s="59">
        <v>10318</v>
      </c>
      <c r="AE1199" s="57" t="s">
        <v>4825</v>
      </c>
      <c r="AF1199" s="57" t="s">
        <v>4826</v>
      </c>
    </row>
    <row r="1200" spans="1:32">
      <c r="A1200" s="57">
        <v>1199</v>
      </c>
      <c r="B1200" s="58">
        <v>46017.596458333333</v>
      </c>
      <c r="C1200" s="58">
        <v>46017.600902777784</v>
      </c>
      <c r="D1200" s="57" t="s">
        <v>1485</v>
      </c>
      <c r="E1200" s="57" t="s">
        <v>1486</v>
      </c>
      <c r="F1200" s="58"/>
      <c r="G1200" s="57" t="s">
        <v>479</v>
      </c>
      <c r="H1200" s="59">
        <v>1</v>
      </c>
      <c r="I1200" s="57"/>
      <c r="J1200" s="57"/>
      <c r="K1200" s="59"/>
      <c r="L1200" s="57"/>
      <c r="M1200" s="60"/>
      <c r="N1200" s="59"/>
      <c r="O1200" s="57"/>
      <c r="P1200" s="57"/>
      <c r="Q1200" s="57"/>
      <c r="R1200" s="57"/>
      <c r="S1200" s="59"/>
      <c r="T1200" s="57"/>
      <c r="U1200" s="60"/>
      <c r="V1200" s="59"/>
      <c r="W1200" s="57"/>
      <c r="X1200" s="57"/>
      <c r="Y1200" s="57" t="s">
        <v>21</v>
      </c>
      <c r="Z1200" s="57" t="s">
        <v>145</v>
      </c>
      <c r="AA1200" s="59">
        <v>58787</v>
      </c>
      <c r="AB1200" s="57" t="s">
        <v>61</v>
      </c>
      <c r="AC1200" s="60">
        <v>45870</v>
      </c>
      <c r="AD1200" s="59">
        <v>58787</v>
      </c>
      <c r="AE1200" s="57" t="s">
        <v>4827</v>
      </c>
      <c r="AF1200" s="57" t="s">
        <v>4828</v>
      </c>
    </row>
    <row r="1201" spans="1:32">
      <c r="A1201" s="57">
        <v>1200</v>
      </c>
      <c r="B1201" s="58">
        <v>46017.600914351853</v>
      </c>
      <c r="C1201" s="58">
        <v>46017.602754629632</v>
      </c>
      <c r="D1201" s="57" t="s">
        <v>1480</v>
      </c>
      <c r="E1201" s="57" t="s">
        <v>1481</v>
      </c>
      <c r="F1201" s="58"/>
      <c r="G1201" s="57" t="s">
        <v>504</v>
      </c>
      <c r="H1201" s="59">
        <v>1</v>
      </c>
      <c r="I1201" s="57"/>
      <c r="J1201" s="57"/>
      <c r="K1201" s="59"/>
      <c r="L1201" s="57"/>
      <c r="M1201" s="60"/>
      <c r="N1201" s="59"/>
      <c r="O1201" s="57"/>
      <c r="P1201" s="57"/>
      <c r="Q1201" s="57"/>
      <c r="R1201" s="57"/>
      <c r="S1201" s="59"/>
      <c r="T1201" s="57"/>
      <c r="U1201" s="60"/>
      <c r="V1201" s="59"/>
      <c r="W1201" s="57"/>
      <c r="X1201" s="57"/>
      <c r="Y1201" s="57" t="s">
        <v>21</v>
      </c>
      <c r="Z1201" s="57" t="s">
        <v>170</v>
      </c>
      <c r="AA1201" s="59">
        <v>62843</v>
      </c>
      <c r="AB1201" s="57" t="s">
        <v>61</v>
      </c>
      <c r="AC1201" s="60">
        <v>45960</v>
      </c>
      <c r="AD1201" s="59">
        <v>62843</v>
      </c>
      <c r="AE1201" s="57" t="s">
        <v>4829</v>
      </c>
      <c r="AF1201" s="57" t="s">
        <v>4830</v>
      </c>
    </row>
    <row r="1202" spans="1:32">
      <c r="A1202" s="57">
        <v>1201</v>
      </c>
      <c r="B1202" s="58">
        <v>46017.606747685182</v>
      </c>
      <c r="C1202" s="58">
        <v>46017.609884259262</v>
      </c>
      <c r="D1202" s="57" t="s">
        <v>1022</v>
      </c>
      <c r="E1202" s="57" t="s">
        <v>1023</v>
      </c>
      <c r="F1202" s="58"/>
      <c r="G1202" s="57" t="s">
        <v>589</v>
      </c>
      <c r="H1202" s="59">
        <v>1</v>
      </c>
      <c r="I1202" s="57"/>
      <c r="J1202" s="57"/>
      <c r="K1202" s="59"/>
      <c r="L1202" s="57"/>
      <c r="M1202" s="60"/>
      <c r="N1202" s="59"/>
      <c r="O1202" s="57"/>
      <c r="P1202" s="57"/>
      <c r="Q1202" s="57"/>
      <c r="R1202" s="57"/>
      <c r="S1202" s="59"/>
      <c r="T1202" s="57"/>
      <c r="U1202" s="60"/>
      <c r="V1202" s="59"/>
      <c r="W1202" s="57"/>
      <c r="X1202" s="57"/>
      <c r="Y1202" s="57" t="s">
        <v>21</v>
      </c>
      <c r="Z1202" s="57" t="s">
        <v>263</v>
      </c>
      <c r="AA1202" s="59">
        <v>17299</v>
      </c>
      <c r="AB1202" s="57" t="s">
        <v>61</v>
      </c>
      <c r="AC1202" s="60">
        <v>45827</v>
      </c>
      <c r="AD1202" s="59">
        <v>17299</v>
      </c>
      <c r="AE1202" s="57" t="s">
        <v>4831</v>
      </c>
      <c r="AF1202" s="57" t="s">
        <v>4832</v>
      </c>
    </row>
    <row r="1203" spans="1:32">
      <c r="A1203" s="57">
        <v>1202</v>
      </c>
      <c r="B1203" s="58">
        <v>46018.297523148147</v>
      </c>
      <c r="C1203" s="58">
        <v>46018.303067129629</v>
      </c>
      <c r="D1203" s="57" t="s">
        <v>769</v>
      </c>
      <c r="E1203" s="57" t="s">
        <v>770</v>
      </c>
      <c r="F1203" s="58"/>
      <c r="G1203" s="57" t="s">
        <v>582</v>
      </c>
      <c r="H1203" s="59">
        <v>1</v>
      </c>
      <c r="I1203" s="57"/>
      <c r="J1203" s="57"/>
      <c r="K1203" s="59"/>
      <c r="L1203" s="57"/>
      <c r="M1203" s="60"/>
      <c r="N1203" s="59"/>
      <c r="O1203" s="57"/>
      <c r="P1203" s="57"/>
      <c r="Q1203" s="57"/>
      <c r="R1203" s="57"/>
      <c r="S1203" s="59"/>
      <c r="T1203" s="57"/>
      <c r="U1203" s="60"/>
      <c r="V1203" s="59"/>
      <c r="W1203" s="57"/>
      <c r="X1203" s="57"/>
      <c r="Y1203" s="57" t="s">
        <v>21</v>
      </c>
      <c r="Z1203" s="57" t="s">
        <v>256</v>
      </c>
      <c r="AA1203" s="59">
        <v>53512</v>
      </c>
      <c r="AB1203" s="57" t="s">
        <v>61</v>
      </c>
      <c r="AC1203" s="60">
        <v>45958</v>
      </c>
      <c r="AD1203" s="59">
        <v>53512</v>
      </c>
      <c r="AE1203" s="57" t="s">
        <v>4833</v>
      </c>
      <c r="AF1203" s="57" t="s">
        <v>4834</v>
      </c>
    </row>
    <row r="1204" spans="1:32">
      <c r="A1204" s="57">
        <v>1203</v>
      </c>
      <c r="B1204" s="58">
        <v>46018.379189814812</v>
      </c>
      <c r="C1204" s="58">
        <v>46018.383645833332</v>
      </c>
      <c r="D1204" s="57" t="s">
        <v>1018</v>
      </c>
      <c r="E1204" s="57" t="s">
        <v>1019</v>
      </c>
      <c r="F1204" s="58"/>
      <c r="G1204" s="57" t="s">
        <v>472</v>
      </c>
      <c r="H1204" s="59">
        <v>1</v>
      </c>
      <c r="I1204" s="57"/>
      <c r="J1204" s="57"/>
      <c r="K1204" s="59"/>
      <c r="L1204" s="57"/>
      <c r="M1204" s="60"/>
      <c r="N1204" s="59"/>
      <c r="O1204" s="57"/>
      <c r="P1204" s="57"/>
      <c r="Q1204" s="57"/>
      <c r="R1204" s="57"/>
      <c r="S1204" s="59"/>
      <c r="T1204" s="57"/>
      <c r="U1204" s="60"/>
      <c r="V1204" s="59"/>
      <c r="W1204" s="57"/>
      <c r="X1204" s="57"/>
      <c r="Y1204" s="57" t="s">
        <v>20</v>
      </c>
      <c r="Z1204" s="57" t="s">
        <v>138</v>
      </c>
      <c r="AA1204" s="59">
        <v>48350</v>
      </c>
      <c r="AB1204" s="57" t="s">
        <v>61</v>
      </c>
      <c r="AC1204" s="60">
        <v>45931</v>
      </c>
      <c r="AD1204" s="59">
        <v>48350</v>
      </c>
      <c r="AE1204" s="57" t="s">
        <v>4835</v>
      </c>
      <c r="AF1204" s="57" t="s">
        <v>4836</v>
      </c>
    </row>
    <row r="1205" spans="1:32">
      <c r="A1205" s="57">
        <v>1204</v>
      </c>
      <c r="B1205" s="58">
        <v>46018.386469907397</v>
      </c>
      <c r="C1205" s="58">
        <v>46018.405347222222</v>
      </c>
      <c r="D1205" s="57" t="s">
        <v>970</v>
      </c>
      <c r="E1205" s="57" t="s">
        <v>971</v>
      </c>
      <c r="F1205" s="58"/>
      <c r="G1205" s="57" t="s">
        <v>548</v>
      </c>
      <c r="H1205" s="59">
        <v>2</v>
      </c>
      <c r="I1205" s="57"/>
      <c r="J1205" s="57"/>
      <c r="K1205" s="59"/>
      <c r="L1205" s="57"/>
      <c r="M1205" s="60"/>
      <c r="N1205" s="59"/>
      <c r="O1205" s="57"/>
      <c r="P1205" s="57"/>
      <c r="Q1205" s="57" t="s">
        <v>22</v>
      </c>
      <c r="R1205" s="57" t="s">
        <v>217</v>
      </c>
      <c r="S1205" s="59">
        <v>27128</v>
      </c>
      <c r="T1205" s="57" t="s">
        <v>61</v>
      </c>
      <c r="U1205" s="60">
        <v>45978</v>
      </c>
      <c r="V1205" s="59">
        <v>27128</v>
      </c>
      <c r="W1205" s="57" t="s">
        <v>4837</v>
      </c>
      <c r="X1205" s="57" t="s">
        <v>4838</v>
      </c>
      <c r="Y1205" s="57" t="s">
        <v>22</v>
      </c>
      <c r="Z1205" s="57" t="s">
        <v>217</v>
      </c>
      <c r="AA1205" s="59">
        <v>26610</v>
      </c>
      <c r="AB1205" s="57" t="s">
        <v>61</v>
      </c>
      <c r="AC1205" s="60">
        <v>45978</v>
      </c>
      <c r="AD1205" s="59">
        <v>26610</v>
      </c>
      <c r="AE1205" s="57" t="s">
        <v>4839</v>
      </c>
      <c r="AF1205" s="57" t="s">
        <v>4840</v>
      </c>
    </row>
    <row r="1206" spans="1:32">
      <c r="A1206" s="57">
        <v>1205</v>
      </c>
      <c r="B1206" s="58">
        <v>46018.4140625</v>
      </c>
      <c r="C1206" s="58">
        <v>46018.418865740743</v>
      </c>
      <c r="D1206" s="57" t="s">
        <v>827</v>
      </c>
      <c r="E1206" s="57" t="s">
        <v>828</v>
      </c>
      <c r="F1206" s="58"/>
      <c r="G1206" s="57" t="s">
        <v>566</v>
      </c>
      <c r="H1206" s="59">
        <v>2</v>
      </c>
      <c r="I1206" s="57"/>
      <c r="J1206" s="57"/>
      <c r="K1206" s="59"/>
      <c r="L1206" s="57"/>
      <c r="M1206" s="60"/>
      <c r="N1206" s="59"/>
      <c r="O1206" s="57"/>
      <c r="P1206" s="57"/>
      <c r="Q1206" s="57" t="s">
        <v>22</v>
      </c>
      <c r="R1206" s="57" t="s">
        <v>238</v>
      </c>
      <c r="S1206" s="59">
        <v>58124</v>
      </c>
      <c r="T1206" s="57" t="s">
        <v>61</v>
      </c>
      <c r="U1206" s="60">
        <v>45924</v>
      </c>
      <c r="V1206" s="59">
        <v>58124</v>
      </c>
      <c r="W1206" s="57" t="s">
        <v>4841</v>
      </c>
      <c r="X1206" s="57" t="s">
        <v>4842</v>
      </c>
      <c r="Y1206" s="57" t="s">
        <v>21</v>
      </c>
      <c r="Z1206" s="57" t="s">
        <v>413</v>
      </c>
      <c r="AA1206" s="59">
        <v>2166</v>
      </c>
      <c r="AB1206" s="57" t="s">
        <v>61</v>
      </c>
      <c r="AC1206" s="60">
        <v>45961</v>
      </c>
      <c r="AD1206" s="59">
        <v>2166</v>
      </c>
      <c r="AE1206" s="57" t="s">
        <v>4843</v>
      </c>
      <c r="AF1206" s="57" t="s">
        <v>4844</v>
      </c>
    </row>
    <row r="1207" spans="1:32">
      <c r="A1207" s="57">
        <v>1206</v>
      </c>
      <c r="B1207" s="58">
        <v>46019.474814814806</v>
      </c>
      <c r="C1207" s="58">
        <v>46019.482430555552</v>
      </c>
      <c r="D1207" s="57" t="s">
        <v>2263</v>
      </c>
      <c r="E1207" s="57" t="s">
        <v>2264</v>
      </c>
      <c r="F1207" s="58"/>
      <c r="G1207" s="57" t="s">
        <v>694</v>
      </c>
      <c r="H1207" s="59">
        <v>1</v>
      </c>
      <c r="I1207" s="57"/>
      <c r="J1207" s="57"/>
      <c r="K1207" s="59"/>
      <c r="L1207" s="57"/>
      <c r="M1207" s="60"/>
      <c r="N1207" s="59"/>
      <c r="O1207" s="57"/>
      <c r="P1207" s="57"/>
      <c r="Q1207" s="57"/>
      <c r="R1207" s="57"/>
      <c r="S1207" s="59"/>
      <c r="T1207" s="57"/>
      <c r="U1207" s="60"/>
      <c r="V1207" s="59"/>
      <c r="W1207" s="57"/>
      <c r="X1207" s="57"/>
      <c r="Y1207" s="57" t="s">
        <v>21</v>
      </c>
      <c r="Z1207" s="57" t="s">
        <v>416</v>
      </c>
      <c r="AA1207" s="59">
        <v>2919</v>
      </c>
      <c r="AB1207" s="57" t="s">
        <v>61</v>
      </c>
      <c r="AC1207" s="60">
        <v>45953</v>
      </c>
      <c r="AD1207" s="59">
        <v>2919</v>
      </c>
      <c r="AE1207" s="57" t="s">
        <v>4845</v>
      </c>
      <c r="AF1207" s="57" t="s">
        <v>4846</v>
      </c>
    </row>
    <row r="1208" spans="1:32">
      <c r="A1208" s="57">
        <v>1207</v>
      </c>
      <c r="B1208" s="58">
        <v>46019.66028935185</v>
      </c>
      <c r="C1208" s="58">
        <v>46019.663761574076</v>
      </c>
      <c r="D1208" s="57" t="s">
        <v>1741</v>
      </c>
      <c r="E1208" s="57" t="s">
        <v>1742</v>
      </c>
      <c r="F1208" s="58"/>
      <c r="G1208" s="57" t="s">
        <v>509</v>
      </c>
      <c r="H1208" s="59">
        <v>1</v>
      </c>
      <c r="I1208" s="57"/>
      <c r="J1208" s="57"/>
      <c r="K1208" s="59"/>
      <c r="L1208" s="57"/>
      <c r="M1208" s="60"/>
      <c r="N1208" s="59"/>
      <c r="O1208" s="57"/>
      <c r="P1208" s="57"/>
      <c r="Q1208" s="57"/>
      <c r="R1208" s="57"/>
      <c r="S1208" s="59"/>
      <c r="T1208" s="57"/>
      <c r="U1208" s="60"/>
      <c r="V1208" s="59"/>
      <c r="W1208" s="57"/>
      <c r="X1208" s="57"/>
      <c r="Y1208" s="57" t="s">
        <v>21</v>
      </c>
      <c r="Z1208" s="57" t="s">
        <v>175</v>
      </c>
      <c r="AA1208" s="59">
        <v>42203</v>
      </c>
      <c r="AB1208" s="57" t="s">
        <v>61</v>
      </c>
      <c r="AC1208" s="60">
        <v>45926</v>
      </c>
      <c r="AD1208" s="59">
        <v>42203</v>
      </c>
      <c r="AE1208" s="57" t="s">
        <v>4847</v>
      </c>
      <c r="AF1208" s="57" t="s">
        <v>4848</v>
      </c>
    </row>
    <row r="1209" spans="1:32">
      <c r="A1209" s="57">
        <v>1208</v>
      </c>
      <c r="B1209" s="58">
        <v>46020.346967592603</v>
      </c>
      <c r="C1209" s="58">
        <v>46020.348993055559</v>
      </c>
      <c r="D1209" s="57" t="s">
        <v>2530</v>
      </c>
      <c r="E1209" s="57" t="s">
        <v>2531</v>
      </c>
      <c r="F1209" s="58"/>
      <c r="G1209" s="57" t="s">
        <v>659</v>
      </c>
      <c r="H1209" s="59">
        <v>1</v>
      </c>
      <c r="I1209" s="57"/>
      <c r="J1209" s="57"/>
      <c r="K1209" s="59"/>
      <c r="L1209" s="57"/>
      <c r="M1209" s="60"/>
      <c r="N1209" s="59"/>
      <c r="O1209" s="57"/>
      <c r="P1209" s="57"/>
      <c r="Q1209" s="57"/>
      <c r="R1209" s="57"/>
      <c r="S1209" s="59"/>
      <c r="T1209" s="57"/>
      <c r="U1209" s="60"/>
      <c r="V1209" s="59"/>
      <c r="W1209" s="57"/>
      <c r="X1209" s="57"/>
      <c r="Y1209" s="57" t="s">
        <v>21</v>
      </c>
      <c r="Z1209" s="57" t="s">
        <v>360</v>
      </c>
      <c r="AA1209" s="59">
        <v>13789</v>
      </c>
      <c r="AB1209" s="57" t="s">
        <v>61</v>
      </c>
      <c r="AC1209" s="60">
        <v>45937</v>
      </c>
      <c r="AD1209" s="59">
        <v>13789</v>
      </c>
      <c r="AE1209" s="57" t="s">
        <v>4849</v>
      </c>
      <c r="AF1209" s="57" t="s">
        <v>4850</v>
      </c>
    </row>
    <row r="1210" spans="1:32">
      <c r="A1210" s="57">
        <v>1209</v>
      </c>
      <c r="B1210" s="58">
        <v>46020.348217592589</v>
      </c>
      <c r="C1210" s="58">
        <v>46020.350717592592</v>
      </c>
      <c r="D1210" s="57" t="s">
        <v>966</v>
      </c>
      <c r="E1210" s="57" t="s">
        <v>967</v>
      </c>
      <c r="F1210" s="58"/>
      <c r="G1210" s="57" t="s">
        <v>503</v>
      </c>
      <c r="H1210" s="59">
        <v>1</v>
      </c>
      <c r="I1210" s="57"/>
      <c r="J1210" s="57"/>
      <c r="K1210" s="59"/>
      <c r="L1210" s="57"/>
      <c r="M1210" s="60"/>
      <c r="N1210" s="59"/>
      <c r="O1210" s="57"/>
      <c r="P1210" s="57"/>
      <c r="Q1210" s="57"/>
      <c r="R1210" s="57"/>
      <c r="S1210" s="59"/>
      <c r="T1210" s="57"/>
      <c r="U1210" s="60"/>
      <c r="V1210" s="59"/>
      <c r="W1210" s="57"/>
      <c r="X1210" s="57"/>
      <c r="Y1210" s="57" t="s">
        <v>20</v>
      </c>
      <c r="Z1210" s="57" t="s">
        <v>169</v>
      </c>
      <c r="AA1210" s="59">
        <v>97170</v>
      </c>
      <c r="AB1210" s="57" t="s">
        <v>61</v>
      </c>
      <c r="AC1210" s="60">
        <v>46015</v>
      </c>
      <c r="AD1210" s="59">
        <v>97170</v>
      </c>
      <c r="AE1210" s="57" t="s">
        <v>4851</v>
      </c>
      <c r="AF1210" s="57" t="s">
        <v>4852</v>
      </c>
    </row>
    <row r="1211" spans="1:32">
      <c r="A1211" s="57">
        <v>1210</v>
      </c>
      <c r="B1211" s="58">
        <v>46020.433738425927</v>
      </c>
      <c r="C1211" s="58">
        <v>46020.438125000001</v>
      </c>
      <c r="D1211" s="57" t="s">
        <v>3164</v>
      </c>
      <c r="E1211" s="57" t="s">
        <v>3165</v>
      </c>
      <c r="F1211" s="58"/>
      <c r="G1211" s="57" t="s">
        <v>602</v>
      </c>
      <c r="H1211" s="59">
        <v>1</v>
      </c>
      <c r="I1211" s="57"/>
      <c r="J1211" s="57"/>
      <c r="K1211" s="59"/>
      <c r="L1211" s="57"/>
      <c r="M1211" s="60"/>
      <c r="N1211" s="59"/>
      <c r="O1211" s="57"/>
      <c r="P1211" s="57"/>
      <c r="Q1211" s="57"/>
      <c r="R1211" s="57"/>
      <c r="S1211" s="59"/>
      <c r="T1211" s="57"/>
      <c r="U1211" s="60"/>
      <c r="V1211" s="59"/>
      <c r="W1211" s="57"/>
      <c r="X1211" s="57"/>
      <c r="Y1211" s="57" t="s">
        <v>20</v>
      </c>
      <c r="Z1211" s="57" t="s">
        <v>279</v>
      </c>
      <c r="AA1211" s="59">
        <v>21914</v>
      </c>
      <c r="AB1211" s="57" t="s">
        <v>61</v>
      </c>
      <c r="AC1211" s="60">
        <v>45960</v>
      </c>
      <c r="AD1211" s="59">
        <v>21914</v>
      </c>
      <c r="AE1211" s="57" t="s">
        <v>4853</v>
      </c>
      <c r="AF1211" s="57" t="s">
        <v>4854</v>
      </c>
    </row>
    <row r="1212" spans="1:32">
      <c r="A1212" s="57">
        <v>1211</v>
      </c>
      <c r="B1212" s="58">
        <v>46020.466828703713</v>
      </c>
      <c r="C1212" s="58">
        <v>46020.469305555547</v>
      </c>
      <c r="D1212" s="57" t="s">
        <v>1410</v>
      </c>
      <c r="E1212" s="57" t="s">
        <v>1411</v>
      </c>
      <c r="F1212" s="58"/>
      <c r="G1212" s="57" t="s">
        <v>493</v>
      </c>
      <c r="H1212" s="59">
        <v>2</v>
      </c>
      <c r="I1212" s="57"/>
      <c r="J1212" s="57"/>
      <c r="K1212" s="59"/>
      <c r="L1212" s="57"/>
      <c r="M1212" s="60"/>
      <c r="N1212" s="59"/>
      <c r="O1212" s="57"/>
      <c r="P1212" s="57"/>
      <c r="Q1212" s="57" t="s">
        <v>22</v>
      </c>
      <c r="R1212" s="57" t="s">
        <v>397</v>
      </c>
      <c r="S1212" s="59">
        <v>7133</v>
      </c>
      <c r="T1212" s="57" t="s">
        <v>61</v>
      </c>
      <c r="U1212" s="60">
        <v>46020</v>
      </c>
      <c r="V1212" s="59">
        <v>7133</v>
      </c>
      <c r="W1212" s="57" t="s">
        <v>4855</v>
      </c>
      <c r="X1212" s="57" t="s">
        <v>4856</v>
      </c>
      <c r="Y1212" s="57" t="s">
        <v>21</v>
      </c>
      <c r="Z1212" s="57" t="s">
        <v>3207</v>
      </c>
      <c r="AA1212" s="59">
        <v>66659</v>
      </c>
      <c r="AB1212" s="57" t="s">
        <v>61</v>
      </c>
      <c r="AC1212" s="60">
        <v>46020</v>
      </c>
      <c r="AD1212" s="59">
        <v>66659</v>
      </c>
      <c r="AE1212" s="57" t="s">
        <v>4857</v>
      </c>
      <c r="AF1212" s="57" t="s">
        <v>4858</v>
      </c>
    </row>
    <row r="1213" spans="1:32">
      <c r="A1213" s="57">
        <v>1212</v>
      </c>
      <c r="B1213" s="58">
        <v>46020.483124999999</v>
      </c>
      <c r="C1213" s="58">
        <v>46020.483622685177</v>
      </c>
      <c r="D1213" s="57" t="s">
        <v>782</v>
      </c>
      <c r="E1213" s="57" t="s">
        <v>783</v>
      </c>
      <c r="F1213" s="58"/>
      <c r="G1213" s="57" t="s">
        <v>685</v>
      </c>
      <c r="H1213" s="59">
        <v>1</v>
      </c>
      <c r="I1213" s="57"/>
      <c r="J1213" s="57"/>
      <c r="K1213" s="59"/>
      <c r="L1213" s="57"/>
      <c r="M1213" s="60"/>
      <c r="N1213" s="59"/>
      <c r="O1213" s="57"/>
      <c r="P1213" s="57"/>
      <c r="Q1213" s="57"/>
      <c r="R1213" s="57"/>
      <c r="S1213" s="59"/>
      <c r="T1213" s="57"/>
      <c r="U1213" s="60"/>
      <c r="V1213" s="59"/>
      <c r="W1213" s="57"/>
      <c r="X1213" s="57"/>
      <c r="Y1213" s="57" t="s">
        <v>20</v>
      </c>
      <c r="Z1213" s="57" t="s">
        <v>403</v>
      </c>
      <c r="AA1213" s="59">
        <v>2856</v>
      </c>
      <c r="AB1213" s="57" t="s">
        <v>61</v>
      </c>
      <c r="AC1213" s="60">
        <v>46001</v>
      </c>
      <c r="AD1213" s="59">
        <v>2856</v>
      </c>
      <c r="AE1213" s="57" t="s">
        <v>4859</v>
      </c>
      <c r="AF1213" s="57" t="s">
        <v>4860</v>
      </c>
    </row>
    <row r="1214" spans="1:32">
      <c r="A1214" s="57">
        <v>1213</v>
      </c>
      <c r="B1214" s="58">
        <v>46020.585625</v>
      </c>
      <c r="C1214" s="58">
        <v>46020.59</v>
      </c>
      <c r="D1214" s="57" t="s">
        <v>813</v>
      </c>
      <c r="E1214" s="57" t="s">
        <v>814</v>
      </c>
      <c r="F1214" s="58"/>
      <c r="G1214" s="57" t="s">
        <v>471</v>
      </c>
      <c r="H1214" s="59">
        <v>1</v>
      </c>
      <c r="I1214" s="57"/>
      <c r="J1214" s="57"/>
      <c r="K1214" s="59"/>
      <c r="L1214" s="57"/>
      <c r="M1214" s="60"/>
      <c r="N1214" s="59"/>
      <c r="O1214" s="57"/>
      <c r="P1214" s="57"/>
      <c r="Q1214" s="57"/>
      <c r="R1214" s="57"/>
      <c r="S1214" s="59"/>
      <c r="T1214" s="57"/>
      <c r="U1214" s="60"/>
      <c r="V1214" s="59"/>
      <c r="W1214" s="57"/>
      <c r="X1214" s="57"/>
      <c r="Y1214" s="57" t="s">
        <v>21</v>
      </c>
      <c r="Z1214" s="57" t="s">
        <v>137</v>
      </c>
      <c r="AA1214" s="59">
        <v>3068</v>
      </c>
      <c r="AB1214" s="57" t="s">
        <v>61</v>
      </c>
      <c r="AC1214" s="60">
        <v>45980</v>
      </c>
      <c r="AD1214" s="59">
        <v>3068</v>
      </c>
      <c r="AE1214" s="57" t="s">
        <v>4861</v>
      </c>
      <c r="AF1214" s="57" t="s">
        <v>4862</v>
      </c>
    </row>
    <row r="1215" spans="1:32">
      <c r="A1215" s="57">
        <v>1214</v>
      </c>
      <c r="B1215" s="58">
        <v>46020.650023148148</v>
      </c>
      <c r="C1215" s="58">
        <v>46020.652199074073</v>
      </c>
      <c r="D1215" s="57" t="s">
        <v>1713</v>
      </c>
      <c r="E1215" s="57" t="s">
        <v>1714</v>
      </c>
      <c r="F1215" s="58"/>
      <c r="G1215" s="57" t="s">
        <v>608</v>
      </c>
      <c r="H1215" s="59">
        <v>1</v>
      </c>
      <c r="I1215" s="57"/>
      <c r="J1215" s="57"/>
      <c r="K1215" s="59"/>
      <c r="L1215" s="57"/>
      <c r="M1215" s="60"/>
      <c r="N1215" s="59"/>
      <c r="O1215" s="57"/>
      <c r="P1215" s="57"/>
      <c r="Q1215" s="57"/>
      <c r="R1215" s="57"/>
      <c r="S1215" s="59"/>
      <c r="T1215" s="57"/>
      <c r="U1215" s="60"/>
      <c r="V1215" s="59"/>
      <c r="W1215" s="57"/>
      <c r="X1215" s="57"/>
      <c r="Y1215" s="57" t="s">
        <v>21</v>
      </c>
      <c r="Z1215" s="57" t="s">
        <v>286</v>
      </c>
      <c r="AA1215" s="59">
        <v>10767</v>
      </c>
      <c r="AB1215" s="57" t="s">
        <v>61</v>
      </c>
      <c r="AC1215" s="60">
        <v>45848</v>
      </c>
      <c r="AD1215" s="59">
        <v>10767</v>
      </c>
      <c r="AE1215" s="57" t="s">
        <v>4863</v>
      </c>
      <c r="AF1215" s="57" t="s">
        <v>4864</v>
      </c>
    </row>
    <row r="1216" spans="1:32">
      <c r="A1216" s="57">
        <v>1215</v>
      </c>
      <c r="B1216" s="58">
        <v>46020.652766203697</v>
      </c>
      <c r="C1216" s="58">
        <v>46020.658437500002</v>
      </c>
      <c r="D1216" s="57" t="s">
        <v>4865</v>
      </c>
      <c r="E1216" s="57" t="s">
        <v>4866</v>
      </c>
      <c r="F1216" s="58"/>
      <c r="G1216" s="57" t="s">
        <v>698</v>
      </c>
      <c r="H1216" s="59">
        <v>2</v>
      </c>
      <c r="I1216" s="57"/>
      <c r="J1216" s="57"/>
      <c r="K1216" s="59"/>
      <c r="L1216" s="57"/>
      <c r="M1216" s="60"/>
      <c r="N1216" s="59"/>
      <c r="O1216" s="57"/>
      <c r="P1216" s="57"/>
      <c r="Q1216" s="57" t="s">
        <v>22</v>
      </c>
      <c r="R1216" s="57" t="s">
        <v>422</v>
      </c>
      <c r="S1216" s="59">
        <v>3173</v>
      </c>
      <c r="T1216" s="57" t="s">
        <v>61</v>
      </c>
      <c r="U1216" s="60">
        <v>45974</v>
      </c>
      <c r="V1216" s="59">
        <v>3173</v>
      </c>
      <c r="W1216" s="57" t="s">
        <v>4867</v>
      </c>
      <c r="X1216" s="57" t="s">
        <v>4868</v>
      </c>
      <c r="Y1216" s="57" t="s">
        <v>21</v>
      </c>
      <c r="Z1216" s="57" t="s">
        <v>427</v>
      </c>
      <c r="AA1216" s="59">
        <v>2243</v>
      </c>
      <c r="AB1216" s="57" t="s">
        <v>61</v>
      </c>
      <c r="AC1216" s="60">
        <v>45992</v>
      </c>
      <c r="AD1216" s="59">
        <v>2243</v>
      </c>
      <c r="AE1216" s="57" t="s">
        <v>4869</v>
      </c>
      <c r="AF1216" s="57" t="s">
        <v>4870</v>
      </c>
    </row>
    <row r="1217" spans="1:32">
      <c r="A1217" s="57">
        <v>1216</v>
      </c>
      <c r="B1217" s="58">
        <v>46020.705775462957</v>
      </c>
      <c r="C1217" s="58">
        <v>46020.70890046296</v>
      </c>
      <c r="D1217" s="57" t="s">
        <v>1260</v>
      </c>
      <c r="E1217" s="57" t="s">
        <v>1261</v>
      </c>
      <c r="F1217" s="58"/>
      <c r="G1217" s="57" t="s">
        <v>637</v>
      </c>
      <c r="H1217" s="59">
        <v>2</v>
      </c>
      <c r="I1217" s="57"/>
      <c r="J1217" s="57"/>
      <c r="K1217" s="59"/>
      <c r="L1217" s="57"/>
      <c r="M1217" s="60"/>
      <c r="N1217" s="59"/>
      <c r="O1217" s="57"/>
      <c r="P1217" s="57"/>
      <c r="Q1217" s="57" t="s">
        <v>20</v>
      </c>
      <c r="R1217" s="57" t="s">
        <v>330</v>
      </c>
      <c r="S1217" s="59">
        <v>27760</v>
      </c>
      <c r="T1217" s="57" t="s">
        <v>61</v>
      </c>
      <c r="U1217" s="60">
        <v>45941</v>
      </c>
      <c r="V1217" s="59">
        <v>27760</v>
      </c>
      <c r="W1217" s="57" t="s">
        <v>4871</v>
      </c>
      <c r="X1217" s="57" t="s">
        <v>4872</v>
      </c>
      <c r="Y1217" s="57" t="s">
        <v>20</v>
      </c>
      <c r="Z1217" s="57" t="s">
        <v>1315</v>
      </c>
      <c r="AA1217" s="59">
        <v>56093</v>
      </c>
      <c r="AB1217" s="57" t="s">
        <v>61</v>
      </c>
      <c r="AC1217" s="60">
        <v>45941</v>
      </c>
      <c r="AD1217" s="59">
        <v>56093</v>
      </c>
      <c r="AE1217" s="57" t="s">
        <v>4873</v>
      </c>
      <c r="AF1217" s="57" t="s">
        <v>4874</v>
      </c>
    </row>
    <row r="1218" spans="1:32">
      <c r="A1218" s="57">
        <v>1217</v>
      </c>
      <c r="B1218" s="58">
        <v>46020.748807870368</v>
      </c>
      <c r="C1218" s="58">
        <v>46020.754513888889</v>
      </c>
      <c r="D1218" s="57" t="s">
        <v>1283</v>
      </c>
      <c r="E1218" s="57" t="s">
        <v>1284</v>
      </c>
      <c r="F1218" s="58"/>
      <c r="G1218" s="57" t="s">
        <v>653</v>
      </c>
      <c r="H1218" s="59">
        <v>2</v>
      </c>
      <c r="I1218" s="57"/>
      <c r="J1218" s="57"/>
      <c r="K1218" s="59"/>
      <c r="L1218" s="57"/>
      <c r="M1218" s="60"/>
      <c r="N1218" s="59"/>
      <c r="O1218" s="57"/>
      <c r="P1218" s="57"/>
      <c r="Q1218" s="57" t="s">
        <v>22</v>
      </c>
      <c r="R1218" s="57" t="s">
        <v>351</v>
      </c>
      <c r="S1218" s="59">
        <v>20801</v>
      </c>
      <c r="T1218" s="57" t="s">
        <v>61</v>
      </c>
      <c r="U1218" s="60">
        <v>46009</v>
      </c>
      <c r="V1218" s="59">
        <v>20801</v>
      </c>
      <c r="W1218" s="57" t="s">
        <v>4875</v>
      </c>
      <c r="X1218" s="57" t="s">
        <v>4876</v>
      </c>
      <c r="Y1218" s="57" t="s">
        <v>21</v>
      </c>
      <c r="Z1218" s="57" t="s">
        <v>375</v>
      </c>
      <c r="AA1218" s="59">
        <v>10654</v>
      </c>
      <c r="AB1218" s="57" t="s">
        <v>61</v>
      </c>
      <c r="AC1218" s="60">
        <v>45871</v>
      </c>
      <c r="AD1218" s="59">
        <v>10654</v>
      </c>
      <c r="AE1218" s="57" t="s">
        <v>4877</v>
      </c>
      <c r="AF1218" s="57" t="s">
        <v>4878</v>
      </c>
    </row>
    <row r="1219" spans="1:32">
      <c r="A1219" s="57">
        <v>1218</v>
      </c>
      <c r="B1219" s="58">
        <v>46021.388067129628</v>
      </c>
      <c r="C1219" s="58">
        <v>46021.420891203707</v>
      </c>
      <c r="D1219" s="57" t="s">
        <v>1120</v>
      </c>
      <c r="E1219" s="57" t="s">
        <v>1121</v>
      </c>
      <c r="F1219" s="58"/>
      <c r="G1219" s="57" t="s">
        <v>556</v>
      </c>
      <c r="H1219" s="59">
        <v>2</v>
      </c>
      <c r="I1219" s="57"/>
      <c r="J1219" s="57"/>
      <c r="K1219" s="59"/>
      <c r="L1219" s="57"/>
      <c r="M1219" s="60"/>
      <c r="N1219" s="59"/>
      <c r="O1219" s="57"/>
      <c r="P1219" s="57"/>
      <c r="Q1219" s="57" t="s">
        <v>22</v>
      </c>
      <c r="R1219" s="57" t="s">
        <v>226</v>
      </c>
      <c r="S1219" s="59">
        <v>53590</v>
      </c>
      <c r="T1219" s="57" t="s">
        <v>61</v>
      </c>
      <c r="U1219" s="60">
        <v>45876</v>
      </c>
      <c r="V1219" s="59">
        <v>53590</v>
      </c>
      <c r="W1219" s="57" t="s">
        <v>4879</v>
      </c>
      <c r="X1219" s="57" t="s">
        <v>4880</v>
      </c>
      <c r="Y1219" s="57" t="s">
        <v>21</v>
      </c>
      <c r="Z1219" s="57" t="s">
        <v>439</v>
      </c>
      <c r="AA1219" s="59">
        <v>364</v>
      </c>
      <c r="AB1219" s="57" t="s">
        <v>61</v>
      </c>
      <c r="AC1219" s="60">
        <v>45980</v>
      </c>
      <c r="AD1219" s="59">
        <v>364</v>
      </c>
      <c r="AE1219" s="57" t="s">
        <v>4881</v>
      </c>
      <c r="AF1219" s="57" t="s">
        <v>4882</v>
      </c>
    </row>
    <row r="1220" spans="1:32">
      <c r="A1220" s="57">
        <v>1219</v>
      </c>
      <c r="B1220" s="58">
        <v>46021.51258101852</v>
      </c>
      <c r="C1220" s="58">
        <v>46021.520439814813</v>
      </c>
      <c r="D1220" s="57" t="s">
        <v>1342</v>
      </c>
      <c r="E1220" s="57" t="s">
        <v>1343</v>
      </c>
      <c r="F1220" s="58"/>
      <c r="G1220" s="57" t="s">
        <v>629</v>
      </c>
      <c r="H1220" s="59">
        <v>1</v>
      </c>
      <c r="I1220" s="57"/>
      <c r="J1220" s="57"/>
      <c r="K1220" s="59"/>
      <c r="L1220" s="57"/>
      <c r="M1220" s="60"/>
      <c r="N1220" s="59"/>
      <c r="O1220" s="57"/>
      <c r="P1220" s="57"/>
      <c r="Q1220" s="57"/>
      <c r="R1220" s="57"/>
      <c r="S1220" s="59"/>
      <c r="T1220" s="57"/>
      <c r="U1220" s="60"/>
      <c r="V1220" s="59"/>
      <c r="W1220" s="57"/>
      <c r="X1220" s="57"/>
      <c r="Y1220" s="57" t="s">
        <v>20</v>
      </c>
      <c r="Z1220" s="57" t="s">
        <v>315</v>
      </c>
      <c r="AA1220" s="59">
        <v>44065</v>
      </c>
      <c r="AB1220" s="57" t="s">
        <v>61</v>
      </c>
      <c r="AC1220" s="60">
        <v>45917</v>
      </c>
      <c r="AD1220" s="59">
        <v>44065</v>
      </c>
      <c r="AE1220" s="57" t="s">
        <v>4883</v>
      </c>
      <c r="AF1220" s="57" t="s">
        <v>4884</v>
      </c>
    </row>
    <row r="1221" spans="1:32">
      <c r="A1221" s="57">
        <v>1220</v>
      </c>
      <c r="B1221" s="58">
        <v>46021.339560185188</v>
      </c>
      <c r="C1221" s="58">
        <v>46021.562118055554</v>
      </c>
      <c r="D1221" s="57" t="s">
        <v>1735</v>
      </c>
      <c r="E1221" s="57" t="s">
        <v>1736</v>
      </c>
      <c r="F1221" s="58"/>
      <c r="G1221" s="57" t="s">
        <v>569</v>
      </c>
      <c r="H1221" s="59">
        <v>2</v>
      </c>
      <c r="I1221" s="57"/>
      <c r="J1221" s="57"/>
      <c r="K1221" s="59"/>
      <c r="L1221" s="57"/>
      <c r="M1221" s="60"/>
      <c r="N1221" s="59"/>
      <c r="O1221" s="57"/>
      <c r="P1221" s="57"/>
      <c r="Q1221" s="57" t="s">
        <v>22</v>
      </c>
      <c r="R1221" s="57" t="s">
        <v>241</v>
      </c>
      <c r="S1221" s="59">
        <v>33909</v>
      </c>
      <c r="T1221" s="57" t="s">
        <v>61</v>
      </c>
      <c r="U1221" s="60">
        <v>45892</v>
      </c>
      <c r="V1221" s="59">
        <v>33909</v>
      </c>
      <c r="W1221" s="57" t="s">
        <v>4885</v>
      </c>
      <c r="X1221" s="57" t="s">
        <v>4886</v>
      </c>
      <c r="Y1221" s="57" t="s">
        <v>21</v>
      </c>
      <c r="Z1221" s="57" t="s">
        <v>334</v>
      </c>
      <c r="AA1221" s="59">
        <v>3241</v>
      </c>
      <c r="AB1221" s="57" t="s">
        <v>61</v>
      </c>
      <c r="AC1221" s="60">
        <v>45720</v>
      </c>
      <c r="AD1221" s="59">
        <v>3241</v>
      </c>
      <c r="AE1221" s="57" t="s">
        <v>4887</v>
      </c>
      <c r="AF1221" s="57" t="s">
        <v>4888</v>
      </c>
    </row>
    <row r="1222" spans="1:32">
      <c r="A1222" s="57">
        <v>1221</v>
      </c>
      <c r="B1222" s="58">
        <v>46021.396053240736</v>
      </c>
      <c r="C1222" s="58">
        <v>46021.623692129629</v>
      </c>
      <c r="D1222" s="57" t="s">
        <v>1561</v>
      </c>
      <c r="E1222" s="57" t="s">
        <v>1562</v>
      </c>
      <c r="F1222" s="58"/>
      <c r="G1222" s="57" t="s">
        <v>658</v>
      </c>
      <c r="H1222" s="59">
        <v>2</v>
      </c>
      <c r="I1222" s="57"/>
      <c r="J1222" s="57"/>
      <c r="K1222" s="59"/>
      <c r="L1222" s="57"/>
      <c r="M1222" s="60"/>
      <c r="N1222" s="59"/>
      <c r="O1222" s="57"/>
      <c r="P1222" s="57"/>
      <c r="Q1222" s="57" t="s">
        <v>20</v>
      </c>
      <c r="R1222" s="57" t="s">
        <v>359</v>
      </c>
      <c r="S1222" s="59">
        <v>17664</v>
      </c>
      <c r="T1222" s="57" t="s">
        <v>61</v>
      </c>
      <c r="U1222" s="60">
        <v>46009</v>
      </c>
      <c r="V1222" s="59">
        <v>17664</v>
      </c>
      <c r="W1222" s="57" t="s">
        <v>4889</v>
      </c>
      <c r="X1222" s="57" t="s">
        <v>4890</v>
      </c>
      <c r="Y1222" s="57" t="s">
        <v>20</v>
      </c>
      <c r="Z1222" s="57" t="s">
        <v>4891</v>
      </c>
      <c r="AA1222" s="59">
        <v>2573</v>
      </c>
      <c r="AB1222" s="57" t="s">
        <v>61</v>
      </c>
      <c r="AC1222" s="60">
        <v>46015</v>
      </c>
      <c r="AD1222" s="59">
        <v>2573</v>
      </c>
      <c r="AE1222" s="57" t="s">
        <v>4892</v>
      </c>
      <c r="AF1222" s="57" t="s">
        <v>4893</v>
      </c>
    </row>
    <row r="1223" spans="1:32">
      <c r="A1223" s="57">
        <v>1222</v>
      </c>
      <c r="B1223" s="58">
        <v>46021.441851851851</v>
      </c>
      <c r="C1223" s="58">
        <v>46021.645509259259</v>
      </c>
      <c r="D1223" s="57" t="s">
        <v>2334</v>
      </c>
      <c r="E1223" s="57" t="s">
        <v>2335</v>
      </c>
      <c r="F1223" s="58"/>
      <c r="G1223" s="57" t="s">
        <v>519</v>
      </c>
      <c r="H1223" s="59">
        <v>2</v>
      </c>
      <c r="I1223" s="57"/>
      <c r="J1223" s="57"/>
      <c r="K1223" s="59"/>
      <c r="L1223" s="57"/>
      <c r="M1223" s="60"/>
      <c r="N1223" s="59"/>
      <c r="O1223" s="57"/>
      <c r="P1223" s="57"/>
      <c r="Q1223" s="57" t="s">
        <v>21</v>
      </c>
      <c r="R1223" s="57" t="s">
        <v>186</v>
      </c>
      <c r="S1223" s="59">
        <v>22197</v>
      </c>
      <c r="T1223" s="57" t="s">
        <v>61</v>
      </c>
      <c r="U1223" s="60">
        <v>45889</v>
      </c>
      <c r="V1223" s="59">
        <v>22197</v>
      </c>
      <c r="W1223" s="57" t="s">
        <v>4894</v>
      </c>
      <c r="X1223" s="57" t="s">
        <v>4895</v>
      </c>
      <c r="Y1223" s="57" t="s">
        <v>22</v>
      </c>
      <c r="Z1223" s="57" t="s">
        <v>222</v>
      </c>
      <c r="AA1223" s="59">
        <v>29823</v>
      </c>
      <c r="AB1223" s="57" t="s">
        <v>61</v>
      </c>
      <c r="AC1223" s="60">
        <v>45982</v>
      </c>
      <c r="AD1223" s="59">
        <v>29823</v>
      </c>
      <c r="AE1223" s="57" t="s">
        <v>4896</v>
      </c>
      <c r="AF1223" s="57" t="s">
        <v>4897</v>
      </c>
    </row>
    <row r="1224" spans="1:32">
      <c r="A1224" s="57">
        <v>1223</v>
      </c>
      <c r="B1224" s="58">
        <v>46022.568379629629</v>
      </c>
      <c r="C1224" s="58">
        <v>46022.571226851847</v>
      </c>
      <c r="D1224" s="57" t="s">
        <v>1655</v>
      </c>
      <c r="E1224" s="57" t="s">
        <v>1656</v>
      </c>
      <c r="F1224" s="58"/>
      <c r="G1224" s="57" t="s">
        <v>549</v>
      </c>
      <c r="H1224" s="59">
        <v>2</v>
      </c>
      <c r="I1224" s="57"/>
      <c r="J1224" s="57"/>
      <c r="K1224" s="59"/>
      <c r="L1224" s="57"/>
      <c r="M1224" s="60"/>
      <c r="N1224" s="59"/>
      <c r="O1224" s="57"/>
      <c r="P1224" s="57"/>
      <c r="Q1224" s="57" t="s">
        <v>22</v>
      </c>
      <c r="R1224" s="57" t="s">
        <v>218</v>
      </c>
      <c r="S1224" s="59">
        <v>71425</v>
      </c>
      <c r="T1224" s="57" t="s">
        <v>61</v>
      </c>
      <c r="U1224" s="60">
        <v>45944</v>
      </c>
      <c r="V1224" s="59">
        <v>71425</v>
      </c>
      <c r="W1224" s="57" t="s">
        <v>4898</v>
      </c>
      <c r="X1224" s="57" t="s">
        <v>4899</v>
      </c>
      <c r="Y1224" s="57" t="s">
        <v>21</v>
      </c>
      <c r="Z1224" s="57" t="s">
        <v>253</v>
      </c>
      <c r="AA1224" s="59">
        <v>23776</v>
      </c>
      <c r="AB1224" s="57" t="s">
        <v>61</v>
      </c>
      <c r="AC1224" s="60">
        <v>45854</v>
      </c>
      <c r="AD1224" s="59">
        <v>23776</v>
      </c>
      <c r="AE1224" s="57" t="s">
        <v>4900</v>
      </c>
      <c r="AF1224" s="57" t="s">
        <v>4901</v>
      </c>
    </row>
    <row r="1225" spans="1:32">
      <c r="A1225" s="57">
        <v>1224</v>
      </c>
      <c r="B1225" s="58">
        <v>46022.602962962963</v>
      </c>
      <c r="C1225" s="58">
        <v>46022.607673611114</v>
      </c>
      <c r="D1225" s="57" t="s">
        <v>1187</v>
      </c>
      <c r="E1225" s="57" t="s">
        <v>1188</v>
      </c>
      <c r="F1225" s="58"/>
      <c r="G1225" s="57" t="s">
        <v>490</v>
      </c>
      <c r="H1225" s="59">
        <v>2</v>
      </c>
      <c r="I1225" s="57"/>
      <c r="J1225" s="57"/>
      <c r="K1225" s="59"/>
      <c r="L1225" s="57"/>
      <c r="M1225" s="60"/>
      <c r="N1225" s="59"/>
      <c r="O1225" s="57"/>
      <c r="P1225" s="57"/>
      <c r="Q1225" s="57" t="s">
        <v>22</v>
      </c>
      <c r="R1225" s="57" t="s">
        <v>277</v>
      </c>
      <c r="S1225" s="59">
        <v>24043</v>
      </c>
      <c r="T1225" s="57" t="s">
        <v>61</v>
      </c>
      <c r="U1225" s="60">
        <v>45923</v>
      </c>
      <c r="V1225" s="59">
        <v>24043</v>
      </c>
      <c r="W1225" s="57" t="s">
        <v>4902</v>
      </c>
      <c r="X1225" s="57" t="s">
        <v>4903</v>
      </c>
      <c r="Y1225" s="57" t="s">
        <v>21</v>
      </c>
      <c r="Z1225" s="57" t="s">
        <v>156</v>
      </c>
      <c r="AA1225" s="59">
        <v>18629</v>
      </c>
      <c r="AB1225" s="57" t="s">
        <v>61</v>
      </c>
      <c r="AC1225" s="60">
        <v>45960</v>
      </c>
      <c r="AD1225" s="59">
        <v>18629</v>
      </c>
      <c r="AE1225" s="57" t="s">
        <v>4904</v>
      </c>
      <c r="AF1225" s="57" t="s">
        <v>4905</v>
      </c>
    </row>
    <row r="1226" spans="1:32">
      <c r="A1226" s="57">
        <v>1225</v>
      </c>
      <c r="B1226" s="58">
        <v>46022.632280092592</v>
      </c>
      <c r="C1226" s="58">
        <v>46022.633692129632</v>
      </c>
      <c r="D1226" s="57" t="s">
        <v>849</v>
      </c>
      <c r="E1226" s="57" t="s">
        <v>850</v>
      </c>
      <c r="F1226" s="58"/>
      <c r="G1226" s="57" t="s">
        <v>627</v>
      </c>
      <c r="H1226" s="59">
        <v>1</v>
      </c>
      <c r="I1226" s="57"/>
      <c r="J1226" s="57"/>
      <c r="K1226" s="59"/>
      <c r="L1226" s="57"/>
      <c r="M1226" s="60"/>
      <c r="N1226" s="59"/>
      <c r="O1226" s="57"/>
      <c r="P1226" s="57"/>
      <c r="Q1226" s="57"/>
      <c r="R1226" s="57"/>
      <c r="S1226" s="59"/>
      <c r="T1226" s="57"/>
      <c r="U1226" s="60"/>
      <c r="V1226" s="59"/>
      <c r="W1226" s="57"/>
      <c r="X1226" s="57"/>
      <c r="Y1226" s="57" t="s">
        <v>21</v>
      </c>
      <c r="Z1226" s="57" t="s">
        <v>310</v>
      </c>
      <c r="AA1226" s="59">
        <v>10065</v>
      </c>
      <c r="AB1226" s="57" t="s">
        <v>61</v>
      </c>
      <c r="AC1226" s="60">
        <v>46022</v>
      </c>
      <c r="AD1226" s="59">
        <v>10065</v>
      </c>
      <c r="AE1226" s="57" t="s">
        <v>4906</v>
      </c>
      <c r="AF1226" s="57" t="s">
        <v>4907</v>
      </c>
    </row>
    <row r="1227" spans="1:32">
      <c r="A1227" s="57">
        <v>1226</v>
      </c>
      <c r="B1227" s="58">
        <v>46022.824826388889</v>
      </c>
      <c r="C1227" s="58">
        <v>46022.829629629632</v>
      </c>
      <c r="D1227" s="57" t="s">
        <v>1678</v>
      </c>
      <c r="E1227" s="57" t="s">
        <v>1679</v>
      </c>
      <c r="F1227" s="58"/>
      <c r="G1227" s="57" t="s">
        <v>522</v>
      </c>
      <c r="H1227" s="59">
        <v>1</v>
      </c>
      <c r="I1227" s="57"/>
      <c r="J1227" s="57"/>
      <c r="K1227" s="59"/>
      <c r="L1227" s="57"/>
      <c r="M1227" s="60"/>
      <c r="N1227" s="59"/>
      <c r="O1227" s="57"/>
      <c r="P1227" s="57"/>
      <c r="Q1227" s="57"/>
      <c r="R1227" s="57"/>
      <c r="S1227" s="59"/>
      <c r="T1227" s="57"/>
      <c r="U1227" s="60"/>
      <c r="V1227" s="59"/>
      <c r="W1227" s="57"/>
      <c r="X1227" s="57"/>
      <c r="Y1227" s="57" t="s">
        <v>20</v>
      </c>
      <c r="Z1227" s="57" t="s">
        <v>189</v>
      </c>
      <c r="AA1227" s="59">
        <v>25569</v>
      </c>
      <c r="AB1227" s="57" t="s">
        <v>61</v>
      </c>
      <c r="AC1227" s="60">
        <v>45939</v>
      </c>
      <c r="AD1227" s="59">
        <v>25569</v>
      </c>
      <c r="AE1227" s="57" t="s">
        <v>4908</v>
      </c>
      <c r="AF1227" s="57" t="s">
        <v>4909</v>
      </c>
    </row>
    <row r="1228" spans="1:32">
      <c r="A1228" s="57">
        <v>1227</v>
      </c>
      <c r="B1228" s="58">
        <v>46024.379629629628</v>
      </c>
      <c r="C1228" s="58">
        <v>46024.380416666667</v>
      </c>
      <c r="D1228" s="57" t="s">
        <v>4054</v>
      </c>
      <c r="E1228" s="57" t="s">
        <v>4055</v>
      </c>
      <c r="F1228" s="58"/>
      <c r="G1228" s="57" t="s">
        <v>517</v>
      </c>
      <c r="H1228" s="59">
        <v>1</v>
      </c>
      <c r="I1228" s="57"/>
      <c r="J1228" s="57"/>
      <c r="K1228" s="59"/>
      <c r="L1228" s="57"/>
      <c r="M1228" s="60"/>
      <c r="N1228" s="59"/>
      <c r="O1228" s="57"/>
      <c r="P1228" s="57"/>
      <c r="Q1228" s="57"/>
      <c r="R1228" s="57"/>
      <c r="S1228" s="59"/>
      <c r="T1228" s="57"/>
      <c r="U1228" s="60"/>
      <c r="V1228" s="59"/>
      <c r="W1228" s="57"/>
      <c r="X1228" s="57"/>
      <c r="Y1228" s="57" t="s">
        <v>21</v>
      </c>
      <c r="Z1228" s="57" t="s">
        <v>184</v>
      </c>
      <c r="AA1228" s="59">
        <v>59796</v>
      </c>
      <c r="AB1228" s="57" t="s">
        <v>61</v>
      </c>
      <c r="AC1228" s="60">
        <v>45944</v>
      </c>
      <c r="AD1228" s="59">
        <v>59796</v>
      </c>
      <c r="AE1228" s="57" t="s">
        <v>4910</v>
      </c>
      <c r="AF1228" s="57" t="s">
        <v>4911</v>
      </c>
    </row>
    <row r="1229" spans="1:32">
      <c r="A1229" s="57">
        <v>1228</v>
      </c>
      <c r="B1229" s="58">
        <v>46024.654849537037</v>
      </c>
      <c r="C1229" s="58">
        <v>46024.6562037037</v>
      </c>
      <c r="D1229" s="57" t="s">
        <v>1109</v>
      </c>
      <c r="E1229" s="57" t="s">
        <v>1110</v>
      </c>
      <c r="F1229" s="58"/>
      <c r="G1229" s="57" t="s">
        <v>718</v>
      </c>
      <c r="H1229" s="59">
        <v>1</v>
      </c>
      <c r="I1229" s="57"/>
      <c r="J1229" s="57"/>
      <c r="K1229" s="59"/>
      <c r="L1229" s="57"/>
      <c r="M1229" s="60"/>
      <c r="N1229" s="59"/>
      <c r="O1229" s="57"/>
      <c r="P1229" s="57"/>
      <c r="Q1229" s="57"/>
      <c r="R1229" s="57"/>
      <c r="S1229" s="59"/>
      <c r="T1229" s="57"/>
      <c r="U1229" s="60"/>
      <c r="V1229" s="59"/>
      <c r="W1229" s="57"/>
      <c r="X1229" s="57"/>
      <c r="Y1229" s="57" t="s">
        <v>20</v>
      </c>
      <c r="Z1229" s="57" t="s">
        <v>1111</v>
      </c>
      <c r="AA1229" s="59">
        <v>133499</v>
      </c>
      <c r="AB1229" s="57" t="s">
        <v>61</v>
      </c>
      <c r="AC1229" s="60">
        <v>45906</v>
      </c>
      <c r="AD1229" s="59">
        <v>133499</v>
      </c>
      <c r="AE1229" s="57" t="s">
        <v>4912</v>
      </c>
      <c r="AF1229" s="57" t="s">
        <v>4913</v>
      </c>
    </row>
    <row r="1230" spans="1:32">
      <c r="A1230" s="57">
        <v>1229</v>
      </c>
      <c r="B1230" s="58">
        <v>46024.679097222222</v>
      </c>
      <c r="C1230" s="58">
        <v>46025.444444444453</v>
      </c>
      <c r="D1230" s="57" t="s">
        <v>1607</v>
      </c>
      <c r="E1230" s="57" t="s">
        <v>1608</v>
      </c>
      <c r="F1230" s="58"/>
      <c r="G1230" s="57" t="s">
        <v>682</v>
      </c>
      <c r="H1230" s="59">
        <v>2</v>
      </c>
      <c r="I1230" s="57"/>
      <c r="J1230" s="57"/>
      <c r="K1230" s="59"/>
      <c r="L1230" s="57"/>
      <c r="M1230" s="60"/>
      <c r="N1230" s="59"/>
      <c r="O1230" s="57"/>
      <c r="P1230" s="57"/>
      <c r="Q1230" s="57" t="s">
        <v>22</v>
      </c>
      <c r="R1230" s="57" t="s">
        <v>420</v>
      </c>
      <c r="S1230" s="59">
        <v>2971</v>
      </c>
      <c r="T1230" s="57" t="s">
        <v>61</v>
      </c>
      <c r="U1230" s="60">
        <v>45966</v>
      </c>
      <c r="V1230" s="59">
        <v>2971</v>
      </c>
      <c r="W1230" s="57" t="s">
        <v>4914</v>
      </c>
      <c r="X1230" s="57" t="s">
        <v>4915</v>
      </c>
      <c r="Y1230" s="57" t="s">
        <v>21</v>
      </c>
      <c r="Z1230" s="57" t="s">
        <v>398</v>
      </c>
      <c r="AA1230" s="59">
        <v>3107</v>
      </c>
      <c r="AB1230" s="57" t="s">
        <v>61</v>
      </c>
      <c r="AC1230" s="60">
        <v>45911</v>
      </c>
      <c r="AD1230" s="59">
        <v>3107</v>
      </c>
      <c r="AE1230" s="57" t="s">
        <v>4916</v>
      </c>
      <c r="AF1230" s="57" t="s">
        <v>4917</v>
      </c>
    </row>
    <row r="1231" spans="1:32">
      <c r="A1231" s="57">
        <v>1230</v>
      </c>
      <c r="B1231" s="58">
        <v>46025.772719907407</v>
      </c>
      <c r="C1231" s="58">
        <v>46025.781712962962</v>
      </c>
      <c r="D1231" s="57" t="s">
        <v>1682</v>
      </c>
      <c r="E1231" s="57" t="s">
        <v>1683</v>
      </c>
      <c r="F1231" s="58"/>
      <c r="G1231" s="57" t="s">
        <v>606</v>
      </c>
      <c r="H1231" s="59">
        <v>3</v>
      </c>
      <c r="I1231" s="57" t="s">
        <v>22</v>
      </c>
      <c r="J1231" s="57" t="s">
        <v>284</v>
      </c>
      <c r="K1231" s="59">
        <v>16271</v>
      </c>
      <c r="L1231" s="57" t="s">
        <v>61</v>
      </c>
      <c r="M1231" s="60">
        <v>45925</v>
      </c>
      <c r="N1231" s="59">
        <v>16271</v>
      </c>
      <c r="O1231" s="57" t="s">
        <v>4918</v>
      </c>
      <c r="P1231" s="57" t="s">
        <v>4919</v>
      </c>
      <c r="Q1231" s="57" t="s">
        <v>20</v>
      </c>
      <c r="R1231" s="57" t="s">
        <v>1684</v>
      </c>
      <c r="S1231" s="59">
        <v>69899</v>
      </c>
      <c r="T1231" s="57" t="s">
        <v>61</v>
      </c>
      <c r="U1231" s="60">
        <v>45911</v>
      </c>
      <c r="V1231" s="59">
        <v>69899</v>
      </c>
      <c r="W1231" s="57" t="s">
        <v>4920</v>
      </c>
      <c r="X1231" s="57" t="s">
        <v>4921</v>
      </c>
      <c r="Y1231" s="57" t="s">
        <v>21</v>
      </c>
      <c r="Z1231" s="57" t="s">
        <v>364</v>
      </c>
      <c r="AA1231" s="59">
        <v>20516</v>
      </c>
      <c r="AB1231" s="57" t="s">
        <v>61</v>
      </c>
      <c r="AC1231" s="60">
        <v>45916</v>
      </c>
      <c r="AD1231" s="59">
        <v>20516</v>
      </c>
      <c r="AE1231" s="57" t="s">
        <v>4922</v>
      </c>
      <c r="AF1231" s="57" t="s">
        <v>4923</v>
      </c>
    </row>
    <row r="1232" spans="1:32">
      <c r="A1232" s="57">
        <v>1231</v>
      </c>
      <c r="B1232" s="58">
        <v>46027.33902777778</v>
      </c>
      <c r="C1232" s="58">
        <v>46027.34715277778</v>
      </c>
      <c r="D1232" s="57" t="s">
        <v>2267</v>
      </c>
      <c r="E1232" s="57" t="s">
        <v>2268</v>
      </c>
      <c r="F1232" s="58"/>
      <c r="G1232" s="57" t="s">
        <v>518</v>
      </c>
      <c r="H1232" s="59">
        <v>2</v>
      </c>
      <c r="I1232" s="57"/>
      <c r="J1232" s="57"/>
      <c r="K1232" s="59"/>
      <c r="L1232" s="57"/>
      <c r="M1232" s="60"/>
      <c r="N1232" s="59"/>
      <c r="O1232" s="57"/>
      <c r="P1232" s="57"/>
      <c r="Q1232" s="57" t="s">
        <v>22</v>
      </c>
      <c r="R1232" s="57" t="s">
        <v>265</v>
      </c>
      <c r="S1232" s="59">
        <v>55924</v>
      </c>
      <c r="T1232" s="57" t="s">
        <v>61</v>
      </c>
      <c r="U1232" s="60">
        <v>45923</v>
      </c>
      <c r="V1232" s="59">
        <v>55924</v>
      </c>
      <c r="W1232" s="57" t="s">
        <v>4924</v>
      </c>
      <c r="X1232" s="57" t="s">
        <v>4925</v>
      </c>
      <c r="Y1232" s="57" t="s">
        <v>20</v>
      </c>
      <c r="Z1232" s="57" t="s">
        <v>185</v>
      </c>
      <c r="AA1232" s="59">
        <v>62498</v>
      </c>
      <c r="AB1232" s="57" t="s">
        <v>61</v>
      </c>
      <c r="AC1232" s="60">
        <v>45983</v>
      </c>
      <c r="AD1232" s="59">
        <v>62498</v>
      </c>
      <c r="AE1232" s="57" t="s">
        <v>4926</v>
      </c>
      <c r="AF1232" s="57" t="s">
        <v>4927</v>
      </c>
    </row>
    <row r="1233" spans="1:32">
      <c r="A1233" s="57">
        <v>1232</v>
      </c>
      <c r="B1233" s="58">
        <v>46027.377604166657</v>
      </c>
      <c r="C1233" s="58">
        <v>46027.383703703701</v>
      </c>
      <c r="D1233" s="57" t="s">
        <v>1603</v>
      </c>
      <c r="E1233" s="57" t="s">
        <v>1604</v>
      </c>
      <c r="F1233" s="58"/>
      <c r="G1233" s="57" t="s">
        <v>538</v>
      </c>
      <c r="H1233" s="59">
        <v>1</v>
      </c>
      <c r="I1233" s="57"/>
      <c r="J1233" s="57"/>
      <c r="K1233" s="59"/>
      <c r="L1233" s="57"/>
      <c r="M1233" s="60"/>
      <c r="N1233" s="59"/>
      <c r="O1233" s="57"/>
      <c r="P1233" s="57"/>
      <c r="Q1233" s="57"/>
      <c r="R1233" s="57"/>
      <c r="S1233" s="59"/>
      <c r="T1233" s="57"/>
      <c r="U1233" s="60"/>
      <c r="V1233" s="59"/>
      <c r="W1233" s="57"/>
      <c r="X1233" s="57"/>
      <c r="Y1233" s="57" t="s">
        <v>21</v>
      </c>
      <c r="Z1233" s="57" t="s">
        <v>206</v>
      </c>
      <c r="AA1233" s="59">
        <v>52506</v>
      </c>
      <c r="AB1233" s="57" t="s">
        <v>61</v>
      </c>
      <c r="AC1233" s="60">
        <v>45912</v>
      </c>
      <c r="AD1233" s="59">
        <v>52506</v>
      </c>
      <c r="AE1233" s="57" t="s">
        <v>4928</v>
      </c>
      <c r="AF1233" s="57" t="s">
        <v>4929</v>
      </c>
    </row>
    <row r="1234" spans="1:32">
      <c r="A1234" s="57">
        <v>1233</v>
      </c>
      <c r="B1234" s="58">
        <v>46027.417372685188</v>
      </c>
      <c r="C1234" s="58">
        <v>46027.425300925926</v>
      </c>
      <c r="D1234" s="57" t="s">
        <v>2163</v>
      </c>
      <c r="E1234" s="57" t="s">
        <v>2164</v>
      </c>
      <c r="F1234" s="58"/>
      <c r="G1234" s="57" t="s">
        <v>484</v>
      </c>
      <c r="H1234" s="59">
        <v>2</v>
      </c>
      <c r="I1234" s="57"/>
      <c r="J1234" s="57"/>
      <c r="K1234" s="59"/>
      <c r="L1234" s="57"/>
      <c r="M1234" s="60"/>
      <c r="N1234" s="59"/>
      <c r="O1234" s="57"/>
      <c r="P1234" s="57"/>
      <c r="Q1234" s="57" t="s">
        <v>22</v>
      </c>
      <c r="R1234" s="57" t="s">
        <v>254</v>
      </c>
      <c r="S1234" s="59">
        <v>31418</v>
      </c>
      <c r="T1234" s="57" t="s">
        <v>61</v>
      </c>
      <c r="U1234" s="60">
        <v>45986</v>
      </c>
      <c r="V1234" s="59">
        <v>31418</v>
      </c>
      <c r="W1234" s="57" t="s">
        <v>4930</v>
      </c>
      <c r="X1234" s="57" t="s">
        <v>4931</v>
      </c>
      <c r="Y1234" s="57" t="s">
        <v>21</v>
      </c>
      <c r="Z1234" s="57" t="s">
        <v>4932</v>
      </c>
      <c r="AA1234" s="59">
        <v>43042</v>
      </c>
      <c r="AB1234" s="57" t="s">
        <v>61</v>
      </c>
      <c r="AC1234" s="60">
        <v>45811</v>
      </c>
      <c r="AD1234" s="59">
        <v>43042</v>
      </c>
      <c r="AE1234" s="57" t="s">
        <v>4933</v>
      </c>
      <c r="AF1234" s="57" t="s">
        <v>4934</v>
      </c>
    </row>
    <row r="1235" spans="1:32">
      <c r="A1235" s="57">
        <v>1234</v>
      </c>
      <c r="B1235" s="58">
        <v>46027.426180555558</v>
      </c>
      <c r="C1235" s="58">
        <v>46027.434155092589</v>
      </c>
      <c r="D1235" s="57" t="s">
        <v>930</v>
      </c>
      <c r="E1235" s="57" t="s">
        <v>931</v>
      </c>
      <c r="F1235" s="58"/>
      <c r="G1235" s="57" t="s">
        <v>562</v>
      </c>
      <c r="H1235" s="59">
        <v>2</v>
      </c>
      <c r="I1235" s="57"/>
      <c r="J1235" s="57"/>
      <c r="K1235" s="59"/>
      <c r="L1235" s="57"/>
      <c r="M1235" s="60"/>
      <c r="N1235" s="59"/>
      <c r="O1235" s="57"/>
      <c r="P1235" s="57"/>
      <c r="Q1235" s="57" t="s">
        <v>22</v>
      </c>
      <c r="R1235" s="57" t="s">
        <v>232</v>
      </c>
      <c r="S1235" s="59">
        <v>103745</v>
      </c>
      <c r="T1235" s="57" t="s">
        <v>61</v>
      </c>
      <c r="U1235" s="60">
        <v>45932</v>
      </c>
      <c r="V1235" s="59">
        <v>103745</v>
      </c>
      <c r="W1235" s="57" t="s">
        <v>4935</v>
      </c>
      <c r="X1235" s="57" t="s">
        <v>4936</v>
      </c>
      <c r="Y1235" s="57" t="s">
        <v>21</v>
      </c>
      <c r="Z1235" s="57" t="s">
        <v>320</v>
      </c>
      <c r="AA1235" s="59">
        <v>21379</v>
      </c>
      <c r="AB1235" s="57" t="s">
        <v>61</v>
      </c>
      <c r="AC1235" s="60">
        <v>45997</v>
      </c>
      <c r="AD1235" s="59">
        <v>21379</v>
      </c>
      <c r="AE1235" s="57" t="s">
        <v>4937</v>
      </c>
      <c r="AF1235" s="57" t="s">
        <v>4938</v>
      </c>
    </row>
    <row r="1236" spans="1:32">
      <c r="A1236" s="57">
        <v>1235</v>
      </c>
      <c r="B1236" s="58">
        <v>46027.425717592603</v>
      </c>
      <c r="C1236" s="58">
        <v>46027.435011574067</v>
      </c>
      <c r="D1236" s="57" t="s">
        <v>777</v>
      </c>
      <c r="E1236" s="57" t="s">
        <v>778</v>
      </c>
      <c r="F1236" s="58"/>
      <c r="G1236" s="57" t="s">
        <v>701</v>
      </c>
      <c r="H1236" s="59">
        <v>1</v>
      </c>
      <c r="I1236" s="57"/>
      <c r="J1236" s="57"/>
      <c r="K1236" s="59"/>
      <c r="L1236" s="57"/>
      <c r="M1236" s="60"/>
      <c r="N1236" s="59"/>
      <c r="O1236" s="57"/>
      <c r="P1236" s="57"/>
      <c r="Q1236" s="57"/>
      <c r="R1236" s="57"/>
      <c r="S1236" s="59"/>
      <c r="T1236" s="57"/>
      <c r="U1236" s="60"/>
      <c r="V1236" s="59"/>
      <c r="W1236" s="57"/>
      <c r="X1236" s="57"/>
      <c r="Y1236" s="57" t="s">
        <v>21</v>
      </c>
      <c r="Z1236" s="57" t="s">
        <v>779</v>
      </c>
      <c r="AA1236" s="59">
        <v>65780</v>
      </c>
      <c r="AB1236" s="57" t="s">
        <v>61</v>
      </c>
      <c r="AC1236" s="60">
        <v>45831</v>
      </c>
      <c r="AD1236" s="59">
        <v>65780</v>
      </c>
      <c r="AE1236" s="57" t="s">
        <v>4939</v>
      </c>
      <c r="AF1236" s="57" t="s">
        <v>4940</v>
      </c>
    </row>
    <row r="1237" spans="1:32">
      <c r="A1237" s="57">
        <v>1236</v>
      </c>
      <c r="B1237" s="58">
        <v>46027.433449074073</v>
      </c>
      <c r="C1237" s="58">
        <v>46027.439409722218</v>
      </c>
      <c r="D1237" s="57" t="s">
        <v>1469</v>
      </c>
      <c r="E1237" s="57" t="s">
        <v>1470</v>
      </c>
      <c r="F1237" s="58"/>
      <c r="G1237" s="57" t="s">
        <v>523</v>
      </c>
      <c r="H1237" s="59">
        <v>1</v>
      </c>
      <c r="I1237" s="57"/>
      <c r="J1237" s="57"/>
      <c r="K1237" s="59"/>
      <c r="L1237" s="57"/>
      <c r="M1237" s="60"/>
      <c r="N1237" s="59"/>
      <c r="O1237" s="57"/>
      <c r="P1237" s="57"/>
      <c r="Q1237" s="57"/>
      <c r="R1237" s="57"/>
      <c r="S1237" s="59"/>
      <c r="T1237" s="57"/>
      <c r="U1237" s="60"/>
      <c r="V1237" s="59"/>
      <c r="W1237" s="57"/>
      <c r="X1237" s="57"/>
      <c r="Y1237" s="57" t="s">
        <v>21</v>
      </c>
      <c r="Z1237" s="57" t="s">
        <v>190</v>
      </c>
      <c r="AA1237" s="59">
        <v>31782</v>
      </c>
      <c r="AB1237" s="57" t="s">
        <v>61</v>
      </c>
      <c r="AC1237" s="60">
        <v>45911</v>
      </c>
      <c r="AD1237" s="59">
        <v>31782</v>
      </c>
      <c r="AE1237" s="57" t="s">
        <v>4941</v>
      </c>
      <c r="AF1237" s="57" t="s">
        <v>4942</v>
      </c>
    </row>
    <row r="1238" spans="1:32">
      <c r="A1238" s="57">
        <v>1237</v>
      </c>
      <c r="B1238" s="58">
        <v>46027.438344907408</v>
      </c>
      <c r="C1238" s="58">
        <v>46027.448773148149</v>
      </c>
      <c r="D1238" s="57" t="s">
        <v>1703</v>
      </c>
      <c r="E1238" s="57" t="s">
        <v>1704</v>
      </c>
      <c r="F1238" s="58"/>
      <c r="G1238" s="57" t="s">
        <v>524</v>
      </c>
      <c r="H1238" s="59">
        <v>2</v>
      </c>
      <c r="I1238" s="57"/>
      <c r="J1238" s="57"/>
      <c r="K1238" s="59"/>
      <c r="L1238" s="57"/>
      <c r="M1238" s="60"/>
      <c r="N1238" s="59"/>
      <c r="O1238" s="57"/>
      <c r="P1238" s="57"/>
      <c r="Q1238" s="57" t="s">
        <v>22</v>
      </c>
      <c r="R1238" s="57" t="s">
        <v>191</v>
      </c>
      <c r="S1238" s="59">
        <v>55205</v>
      </c>
      <c r="T1238" s="57" t="s">
        <v>61</v>
      </c>
      <c r="U1238" s="60">
        <v>45970</v>
      </c>
      <c r="V1238" s="59">
        <v>55205</v>
      </c>
      <c r="W1238" s="57" t="s">
        <v>4943</v>
      </c>
      <c r="X1238" s="57" t="s">
        <v>4944</v>
      </c>
      <c r="Y1238" s="57" t="s">
        <v>20</v>
      </c>
      <c r="Z1238" s="57" t="s">
        <v>311</v>
      </c>
      <c r="AA1238" s="59">
        <v>27710</v>
      </c>
      <c r="AB1238" s="57" t="s">
        <v>61</v>
      </c>
      <c r="AC1238" s="60">
        <v>45964</v>
      </c>
      <c r="AD1238" s="59">
        <v>27710</v>
      </c>
      <c r="AE1238" s="57" t="s">
        <v>4945</v>
      </c>
      <c r="AF1238" s="57" t="s">
        <v>4946</v>
      </c>
    </row>
    <row r="1239" spans="1:32">
      <c r="A1239" s="57">
        <v>1238</v>
      </c>
      <c r="B1239" s="58">
        <v>46027.465590277781</v>
      </c>
      <c r="C1239" s="58">
        <v>46027.470092592594</v>
      </c>
      <c r="D1239" s="57" t="s">
        <v>1058</v>
      </c>
      <c r="E1239" s="57" t="s">
        <v>1059</v>
      </c>
      <c r="F1239" s="58"/>
      <c r="G1239" s="57" t="s">
        <v>467</v>
      </c>
      <c r="H1239" s="59">
        <v>2</v>
      </c>
      <c r="I1239" s="57"/>
      <c r="J1239" s="57"/>
      <c r="K1239" s="59"/>
      <c r="L1239" s="57"/>
      <c r="M1239" s="60"/>
      <c r="N1239" s="59"/>
      <c r="O1239" s="57"/>
      <c r="P1239" s="57"/>
      <c r="Q1239" s="57" t="s">
        <v>22</v>
      </c>
      <c r="R1239" s="57" t="s">
        <v>133</v>
      </c>
      <c r="S1239" s="59">
        <v>61427</v>
      </c>
      <c r="T1239" s="57" t="s">
        <v>61</v>
      </c>
      <c r="U1239" s="60">
        <v>46002</v>
      </c>
      <c r="V1239" s="59">
        <v>61427</v>
      </c>
      <c r="W1239" s="57" t="s">
        <v>4947</v>
      </c>
      <c r="X1239" s="57" t="s">
        <v>4948</v>
      </c>
      <c r="Y1239" s="57" t="s">
        <v>21</v>
      </c>
      <c r="Z1239" s="57" t="s">
        <v>176</v>
      </c>
      <c r="AA1239" s="59">
        <v>38247</v>
      </c>
      <c r="AB1239" s="57" t="s">
        <v>61</v>
      </c>
      <c r="AC1239" s="60">
        <v>45982</v>
      </c>
      <c r="AD1239" s="59">
        <v>38247</v>
      </c>
      <c r="AE1239" s="57" t="s">
        <v>4949</v>
      </c>
      <c r="AF1239" s="57" t="s">
        <v>4950</v>
      </c>
    </row>
    <row r="1240" spans="1:32">
      <c r="A1240" s="57">
        <v>1239</v>
      </c>
      <c r="B1240" s="58">
        <v>46027.462789351863</v>
      </c>
      <c r="C1240" s="58">
        <v>46027.470231481479</v>
      </c>
      <c r="D1240" s="57" t="s">
        <v>2440</v>
      </c>
      <c r="E1240" s="57" t="s">
        <v>2441</v>
      </c>
      <c r="F1240" s="58"/>
      <c r="G1240" s="57" t="s">
        <v>588</v>
      </c>
      <c r="H1240" s="59">
        <v>1</v>
      </c>
      <c r="I1240" s="57"/>
      <c r="J1240" s="57"/>
      <c r="K1240" s="59"/>
      <c r="L1240" s="57"/>
      <c r="M1240" s="60"/>
      <c r="N1240" s="59"/>
      <c r="O1240" s="57"/>
      <c r="P1240" s="57"/>
      <c r="Q1240" s="57"/>
      <c r="R1240" s="57"/>
      <c r="S1240" s="59"/>
      <c r="T1240" s="57"/>
      <c r="U1240" s="60"/>
      <c r="V1240" s="59"/>
      <c r="W1240" s="57"/>
      <c r="X1240" s="57"/>
      <c r="Y1240" s="57" t="s">
        <v>21</v>
      </c>
      <c r="Z1240" s="57" t="s">
        <v>262</v>
      </c>
      <c r="AA1240" s="59">
        <v>55518</v>
      </c>
      <c r="AB1240" s="57" t="s">
        <v>61</v>
      </c>
      <c r="AC1240" s="60">
        <v>45825</v>
      </c>
      <c r="AD1240" s="59">
        <v>55518</v>
      </c>
      <c r="AE1240" s="57" t="s">
        <v>4951</v>
      </c>
      <c r="AF1240" s="57" t="s">
        <v>4952</v>
      </c>
    </row>
    <row r="1241" spans="1:32">
      <c r="A1241" s="57">
        <v>1240</v>
      </c>
      <c r="B1241" s="58">
        <v>46027.582986111112</v>
      </c>
      <c r="C1241" s="58">
        <v>46027.584444444437</v>
      </c>
      <c r="D1241" s="57" t="s">
        <v>1767</v>
      </c>
      <c r="E1241" s="57" t="s">
        <v>1768</v>
      </c>
      <c r="F1241" s="58"/>
      <c r="G1241" s="57" t="s">
        <v>541</v>
      </c>
      <c r="H1241" s="59">
        <v>1</v>
      </c>
      <c r="I1241" s="57"/>
      <c r="J1241" s="57"/>
      <c r="K1241" s="59"/>
      <c r="L1241" s="57"/>
      <c r="M1241" s="60"/>
      <c r="N1241" s="59"/>
      <c r="O1241" s="57"/>
      <c r="P1241" s="57"/>
      <c r="Q1241" s="57"/>
      <c r="R1241" s="57"/>
      <c r="S1241" s="59"/>
      <c r="T1241" s="57"/>
      <c r="U1241" s="60"/>
      <c r="V1241" s="59"/>
      <c r="W1241" s="57"/>
      <c r="X1241" s="57"/>
      <c r="Y1241" s="57" t="s">
        <v>21</v>
      </c>
      <c r="Z1241" s="57" t="s">
        <v>210</v>
      </c>
      <c r="AA1241" s="59">
        <v>57753</v>
      </c>
      <c r="AB1241" s="57" t="s">
        <v>61</v>
      </c>
      <c r="AC1241" s="60">
        <v>45862</v>
      </c>
      <c r="AD1241" s="59">
        <v>57753</v>
      </c>
      <c r="AE1241" s="57" t="s">
        <v>4953</v>
      </c>
      <c r="AF1241" s="57" t="s">
        <v>4954</v>
      </c>
    </row>
    <row r="1242" spans="1:32">
      <c r="A1242" s="57">
        <v>1241</v>
      </c>
      <c r="B1242" s="58">
        <v>46027.426099537042</v>
      </c>
      <c r="C1242" s="58">
        <v>46027.647476851853</v>
      </c>
      <c r="D1242" s="57" t="s">
        <v>985</v>
      </c>
      <c r="E1242" s="57" t="s">
        <v>986</v>
      </c>
      <c r="F1242" s="58"/>
      <c r="G1242" s="57" t="s">
        <v>715</v>
      </c>
      <c r="H1242" s="59">
        <v>1</v>
      </c>
      <c r="I1242" s="57"/>
      <c r="J1242" s="57"/>
      <c r="K1242" s="59"/>
      <c r="L1242" s="57"/>
      <c r="M1242" s="60"/>
      <c r="N1242" s="59"/>
      <c r="O1242" s="57"/>
      <c r="P1242" s="57"/>
      <c r="Q1242" s="57"/>
      <c r="R1242" s="57"/>
      <c r="S1242" s="59"/>
      <c r="T1242" s="57"/>
      <c r="U1242" s="60"/>
      <c r="V1242" s="59"/>
      <c r="W1242" s="57"/>
      <c r="X1242" s="57"/>
      <c r="Y1242" s="57" t="s">
        <v>21</v>
      </c>
      <c r="Z1242" s="57" t="s">
        <v>987</v>
      </c>
      <c r="AA1242" s="59">
        <v>32674</v>
      </c>
      <c r="AB1242" s="57" t="s">
        <v>61</v>
      </c>
      <c r="AC1242" s="60">
        <v>45831</v>
      </c>
      <c r="AD1242" s="59">
        <v>32674</v>
      </c>
      <c r="AE1242" s="57" t="s">
        <v>4955</v>
      </c>
      <c r="AF1242" s="57" t="s">
        <v>4956</v>
      </c>
    </row>
    <row r="1243" spans="1:32">
      <c r="A1243" s="57">
        <v>1242</v>
      </c>
      <c r="B1243" s="58">
        <v>46028.364837962959</v>
      </c>
      <c r="C1243" s="58">
        <v>46028.369143518517</v>
      </c>
      <c r="D1243" s="57" t="s">
        <v>1638</v>
      </c>
      <c r="E1243" s="57" t="s">
        <v>1639</v>
      </c>
      <c r="F1243" s="58"/>
      <c r="G1243" s="57" t="s">
        <v>639</v>
      </c>
      <c r="H1243" s="59">
        <v>2</v>
      </c>
      <c r="I1243" s="57"/>
      <c r="J1243" s="57"/>
      <c r="K1243" s="59"/>
      <c r="L1243" s="57"/>
      <c r="M1243" s="60"/>
      <c r="N1243" s="59"/>
      <c r="O1243" s="57"/>
      <c r="P1243" s="57"/>
      <c r="Q1243" s="57" t="s">
        <v>22</v>
      </c>
      <c r="R1243" s="57" t="s">
        <v>243</v>
      </c>
      <c r="S1243" s="59">
        <v>47642</v>
      </c>
      <c r="T1243" s="57" t="s">
        <v>61</v>
      </c>
      <c r="U1243" s="60">
        <v>45974</v>
      </c>
      <c r="V1243" s="59">
        <v>47642</v>
      </c>
      <c r="W1243" s="57" t="s">
        <v>4957</v>
      </c>
      <c r="X1243" s="57" t="s">
        <v>4958</v>
      </c>
      <c r="Y1243" s="57" t="s">
        <v>20</v>
      </c>
      <c r="Z1243" s="57" t="s">
        <v>332</v>
      </c>
      <c r="AA1243" s="59">
        <v>13503</v>
      </c>
      <c r="AB1243" s="57" t="s">
        <v>61</v>
      </c>
      <c r="AC1243" s="60">
        <v>45917</v>
      </c>
      <c r="AD1243" s="59">
        <v>13503</v>
      </c>
      <c r="AE1243" s="57" t="s">
        <v>4959</v>
      </c>
      <c r="AF1243" s="57" t="s">
        <v>4960</v>
      </c>
    </row>
    <row r="1244" spans="1:32">
      <c r="A1244" s="57">
        <v>1243</v>
      </c>
      <c r="B1244" s="58">
        <v>46028.443564814806</v>
      </c>
      <c r="C1244" s="58">
        <v>46028.447731481479</v>
      </c>
      <c r="D1244" s="57" t="s">
        <v>897</v>
      </c>
      <c r="E1244" s="57" t="s">
        <v>898</v>
      </c>
      <c r="F1244" s="58"/>
      <c r="G1244" s="57" t="s">
        <v>697</v>
      </c>
      <c r="H1244" s="59">
        <v>1</v>
      </c>
      <c r="I1244" s="57"/>
      <c r="J1244" s="57"/>
      <c r="K1244" s="59"/>
      <c r="L1244" s="57"/>
      <c r="M1244" s="60"/>
      <c r="N1244" s="59"/>
      <c r="O1244" s="57"/>
      <c r="P1244" s="57"/>
      <c r="Q1244" s="57"/>
      <c r="R1244" s="57"/>
      <c r="S1244" s="59"/>
      <c r="T1244" s="57"/>
      <c r="U1244" s="60"/>
      <c r="V1244" s="59"/>
      <c r="W1244" s="57"/>
      <c r="X1244" s="57"/>
      <c r="Y1244" s="57" t="s">
        <v>21</v>
      </c>
      <c r="Z1244" s="57" t="s">
        <v>899</v>
      </c>
      <c r="AA1244" s="59">
        <v>58190</v>
      </c>
      <c r="AB1244" s="57" t="s">
        <v>61</v>
      </c>
      <c r="AC1244" s="60">
        <v>45909</v>
      </c>
      <c r="AD1244" s="59">
        <v>58190</v>
      </c>
      <c r="AE1244" s="57" t="s">
        <v>4961</v>
      </c>
      <c r="AF1244" s="57" t="s">
        <v>4962</v>
      </c>
    </row>
    <row r="1245" spans="1:32">
      <c r="A1245" s="57">
        <v>1244</v>
      </c>
      <c r="B1245" s="58">
        <v>46028.468692129631</v>
      </c>
      <c r="C1245" s="58">
        <v>46028.472824074073</v>
      </c>
      <c r="D1245" s="57" t="s">
        <v>1709</v>
      </c>
      <c r="E1245" s="57" t="s">
        <v>1710</v>
      </c>
      <c r="F1245" s="58"/>
      <c r="G1245" s="57" t="s">
        <v>533</v>
      </c>
      <c r="H1245" s="59">
        <v>1</v>
      </c>
      <c r="I1245" s="57"/>
      <c r="J1245" s="57"/>
      <c r="K1245" s="59"/>
      <c r="L1245" s="57"/>
      <c r="M1245" s="60"/>
      <c r="N1245" s="59"/>
      <c r="O1245" s="57"/>
      <c r="P1245" s="57"/>
      <c r="Q1245" s="57"/>
      <c r="R1245" s="57"/>
      <c r="S1245" s="59"/>
      <c r="T1245" s="57"/>
      <c r="U1245" s="60"/>
      <c r="V1245" s="59"/>
      <c r="W1245" s="57"/>
      <c r="X1245" s="57"/>
      <c r="Y1245" s="57" t="s">
        <v>20</v>
      </c>
      <c r="Z1245" s="57" t="s">
        <v>201</v>
      </c>
      <c r="AA1245" s="59">
        <v>51758</v>
      </c>
      <c r="AB1245" s="57" t="s">
        <v>61</v>
      </c>
      <c r="AC1245" s="60">
        <v>45943</v>
      </c>
      <c r="AD1245" s="59">
        <v>51758</v>
      </c>
      <c r="AE1245" s="57" t="s">
        <v>4963</v>
      </c>
      <c r="AF1245" s="57" t="s">
        <v>4964</v>
      </c>
    </row>
    <row r="1246" spans="1:32">
      <c r="A1246" s="57">
        <v>1245</v>
      </c>
      <c r="B1246" s="58">
        <v>46028.62400462963</v>
      </c>
      <c r="C1246" s="58">
        <v>46028.626793981479</v>
      </c>
      <c r="D1246" s="57" t="s">
        <v>3749</v>
      </c>
      <c r="E1246" s="57" t="s">
        <v>3750</v>
      </c>
      <c r="F1246" s="58"/>
      <c r="G1246" s="57" t="s">
        <v>505</v>
      </c>
      <c r="H1246" s="59">
        <v>1</v>
      </c>
      <c r="I1246" s="57"/>
      <c r="J1246" s="57"/>
      <c r="K1246" s="59"/>
      <c r="L1246" s="57"/>
      <c r="M1246" s="60"/>
      <c r="N1246" s="59"/>
      <c r="O1246" s="57"/>
      <c r="P1246" s="57"/>
      <c r="Q1246" s="57"/>
      <c r="R1246" s="57"/>
      <c r="S1246" s="59"/>
      <c r="T1246" s="57"/>
      <c r="U1246" s="60"/>
      <c r="V1246" s="59"/>
      <c r="W1246" s="57"/>
      <c r="X1246" s="57"/>
      <c r="Y1246" s="57" t="s">
        <v>20</v>
      </c>
      <c r="Z1246" s="57" t="s">
        <v>171</v>
      </c>
      <c r="AA1246" s="59">
        <v>85936</v>
      </c>
      <c r="AB1246" s="57" t="s">
        <v>61</v>
      </c>
      <c r="AC1246" s="60">
        <v>46000</v>
      </c>
      <c r="AD1246" s="59">
        <v>85936</v>
      </c>
      <c r="AE1246" s="57" t="s">
        <v>4965</v>
      </c>
      <c r="AF1246" s="57" t="s">
        <v>4966</v>
      </c>
    </row>
    <row r="1247" spans="1:32">
      <c r="A1247" s="57">
        <v>1246</v>
      </c>
      <c r="B1247" s="58">
        <v>46028.580810185187</v>
      </c>
      <c r="C1247" s="58">
        <v>46028.674837962957</v>
      </c>
      <c r="D1247" s="57" t="s">
        <v>1365</v>
      </c>
      <c r="E1247" s="57" t="s">
        <v>1366</v>
      </c>
      <c r="F1247" s="58"/>
      <c r="G1247" s="57" t="s">
        <v>638</v>
      </c>
      <c r="H1247" s="59">
        <v>1</v>
      </c>
      <c r="I1247" s="57"/>
      <c r="J1247" s="57"/>
      <c r="K1247" s="59"/>
      <c r="L1247" s="57"/>
      <c r="M1247" s="60"/>
      <c r="N1247" s="59"/>
      <c r="O1247" s="57"/>
      <c r="P1247" s="57"/>
      <c r="Q1247" s="57"/>
      <c r="R1247" s="57"/>
      <c r="S1247" s="59"/>
      <c r="T1247" s="57"/>
      <c r="U1247" s="60"/>
      <c r="V1247" s="59"/>
      <c r="W1247" s="57"/>
      <c r="X1247" s="57"/>
      <c r="Y1247" s="57" t="s">
        <v>21</v>
      </c>
      <c r="Z1247" s="57" t="s">
        <v>331</v>
      </c>
      <c r="AA1247" s="59">
        <v>10283</v>
      </c>
      <c r="AB1247" s="57" t="s">
        <v>61</v>
      </c>
      <c r="AC1247" s="60">
        <v>45867</v>
      </c>
      <c r="AD1247" s="59">
        <v>10283</v>
      </c>
      <c r="AE1247" s="57" t="s">
        <v>4967</v>
      </c>
      <c r="AF1247" s="57" t="s">
        <v>4968</v>
      </c>
    </row>
    <row r="1248" spans="1:32">
      <c r="A1248" s="57">
        <v>1247</v>
      </c>
      <c r="B1248" s="58">
        <v>46028.568090277768</v>
      </c>
      <c r="C1248" s="58">
        <v>46028.776469907411</v>
      </c>
      <c r="D1248" s="57" t="s">
        <v>1583</v>
      </c>
      <c r="E1248" s="57" t="s">
        <v>1584</v>
      </c>
      <c r="F1248" s="58"/>
      <c r="G1248" s="57" t="s">
        <v>537</v>
      </c>
      <c r="H1248" s="59">
        <v>1</v>
      </c>
      <c r="I1248" s="57"/>
      <c r="J1248" s="57"/>
      <c r="K1248" s="59"/>
      <c r="L1248" s="57"/>
      <c r="M1248" s="60"/>
      <c r="N1248" s="59"/>
      <c r="O1248" s="57"/>
      <c r="P1248" s="57"/>
      <c r="Q1248" s="57"/>
      <c r="R1248" s="57"/>
      <c r="S1248" s="59"/>
      <c r="T1248" s="57"/>
      <c r="U1248" s="60"/>
      <c r="V1248" s="59"/>
      <c r="W1248" s="57"/>
      <c r="X1248" s="57"/>
      <c r="Y1248" s="57" t="s">
        <v>22</v>
      </c>
      <c r="Z1248" s="57" t="s">
        <v>205</v>
      </c>
      <c r="AA1248" s="59">
        <v>38659</v>
      </c>
      <c r="AB1248" s="57" t="s">
        <v>61</v>
      </c>
      <c r="AC1248" s="60">
        <v>45850</v>
      </c>
      <c r="AD1248" s="59">
        <v>38659</v>
      </c>
      <c r="AE1248" s="57" t="s">
        <v>4969</v>
      </c>
      <c r="AF1248" s="57" t="s">
        <v>4970</v>
      </c>
    </row>
    <row r="1249" spans="1:32">
      <c r="A1249" s="57">
        <v>1248</v>
      </c>
      <c r="B1249" s="58">
        <v>46028.669074074067</v>
      </c>
      <c r="C1249" s="58">
        <v>46028.815497685187</v>
      </c>
      <c r="D1249" s="57" t="s">
        <v>4723</v>
      </c>
      <c r="E1249" s="57" t="s">
        <v>4724</v>
      </c>
      <c r="F1249" s="58"/>
      <c r="G1249" s="57" t="s">
        <v>475</v>
      </c>
      <c r="H1249" s="59">
        <v>1</v>
      </c>
      <c r="I1249" s="57"/>
      <c r="J1249" s="57"/>
      <c r="K1249" s="59"/>
      <c r="L1249" s="57"/>
      <c r="M1249" s="60"/>
      <c r="N1249" s="59"/>
      <c r="O1249" s="57"/>
      <c r="P1249" s="57"/>
      <c r="Q1249" s="57"/>
      <c r="R1249" s="57"/>
      <c r="S1249" s="59"/>
      <c r="T1249" s="57"/>
      <c r="U1249" s="60"/>
      <c r="V1249" s="59"/>
      <c r="W1249" s="57"/>
      <c r="X1249" s="57"/>
      <c r="Y1249" s="57" t="s">
        <v>21</v>
      </c>
      <c r="Z1249" s="57" t="s">
        <v>141</v>
      </c>
      <c r="AA1249" s="59">
        <v>119071</v>
      </c>
      <c r="AB1249" s="57" t="s">
        <v>61</v>
      </c>
      <c r="AC1249" s="60">
        <v>46004</v>
      </c>
      <c r="AD1249" s="59">
        <v>119071</v>
      </c>
      <c r="AE1249" s="57" t="s">
        <v>4971</v>
      </c>
      <c r="AF1249" s="57" t="s">
        <v>4972</v>
      </c>
    </row>
    <row r="1250" spans="1:32">
      <c r="A1250" s="57">
        <v>1249</v>
      </c>
      <c r="B1250" s="58">
        <v>46029.342534722222</v>
      </c>
      <c r="C1250" s="58">
        <v>46029.346319444441</v>
      </c>
      <c r="D1250" s="57" t="s">
        <v>1633</v>
      </c>
      <c r="E1250" s="57" t="s">
        <v>1634</v>
      </c>
      <c r="F1250" s="58"/>
      <c r="G1250" s="57" t="s">
        <v>679</v>
      </c>
      <c r="H1250" s="59">
        <v>1</v>
      </c>
      <c r="I1250" s="57"/>
      <c r="J1250" s="57"/>
      <c r="K1250" s="59"/>
      <c r="L1250" s="57"/>
      <c r="M1250" s="60"/>
      <c r="N1250" s="59"/>
      <c r="O1250" s="57"/>
      <c r="P1250" s="57"/>
      <c r="Q1250" s="57"/>
      <c r="R1250" s="57"/>
      <c r="S1250" s="59"/>
      <c r="T1250" s="57"/>
      <c r="U1250" s="60"/>
      <c r="V1250" s="59"/>
      <c r="W1250" s="57"/>
      <c r="X1250" s="57"/>
      <c r="Y1250" s="57" t="s">
        <v>21</v>
      </c>
      <c r="Z1250" s="57" t="s">
        <v>393</v>
      </c>
      <c r="AA1250" s="59">
        <v>7713</v>
      </c>
      <c r="AB1250" s="57" t="s">
        <v>61</v>
      </c>
      <c r="AC1250" s="60">
        <v>45880</v>
      </c>
      <c r="AD1250" s="59">
        <v>7713</v>
      </c>
      <c r="AE1250" s="57" t="s">
        <v>4973</v>
      </c>
      <c r="AF1250" s="57" t="s">
        <v>4974</v>
      </c>
    </row>
    <row r="1251" spans="1:32">
      <c r="A1251" s="57">
        <v>1250</v>
      </c>
      <c r="B1251" s="58">
        <v>46029.488761574074</v>
      </c>
      <c r="C1251" s="58">
        <v>46029.498611111107</v>
      </c>
      <c r="D1251" s="57" t="s">
        <v>1572</v>
      </c>
      <c r="E1251" s="57" t="s">
        <v>1573</v>
      </c>
      <c r="F1251" s="58"/>
      <c r="G1251" s="57" t="s">
        <v>640</v>
      </c>
      <c r="H1251" s="59">
        <v>1</v>
      </c>
      <c r="I1251" s="57"/>
      <c r="J1251" s="57"/>
      <c r="K1251" s="59"/>
      <c r="L1251" s="57"/>
      <c r="M1251" s="60"/>
      <c r="N1251" s="59"/>
      <c r="O1251" s="57"/>
      <c r="P1251" s="57"/>
      <c r="Q1251" s="57"/>
      <c r="R1251" s="57"/>
      <c r="S1251" s="59"/>
      <c r="T1251" s="57"/>
      <c r="U1251" s="60"/>
      <c r="V1251" s="59"/>
      <c r="W1251" s="57"/>
      <c r="X1251" s="57"/>
      <c r="Y1251" s="57" t="s">
        <v>21</v>
      </c>
      <c r="Z1251" s="57" t="s">
        <v>333</v>
      </c>
      <c r="AA1251" s="59">
        <v>14894</v>
      </c>
      <c r="AB1251" s="57" t="s">
        <v>61</v>
      </c>
      <c r="AC1251" s="60">
        <v>45710</v>
      </c>
      <c r="AD1251" s="59">
        <v>14894</v>
      </c>
      <c r="AE1251" s="57" t="s">
        <v>4975</v>
      </c>
      <c r="AF1251" s="57" t="s">
        <v>4976</v>
      </c>
    </row>
    <row r="1252" spans="1:32">
      <c r="A1252" s="57">
        <v>1251</v>
      </c>
      <c r="B1252" s="58">
        <v>46029.621620370373</v>
      </c>
      <c r="C1252" s="58">
        <v>46029.622569444437</v>
      </c>
      <c r="D1252" s="57" t="s">
        <v>905</v>
      </c>
      <c r="E1252" s="57" t="s">
        <v>906</v>
      </c>
      <c r="F1252" s="58"/>
      <c r="G1252" s="57" t="s">
        <v>661</v>
      </c>
      <c r="H1252" s="59">
        <v>1</v>
      </c>
      <c r="I1252" s="57"/>
      <c r="J1252" s="57"/>
      <c r="K1252" s="59"/>
      <c r="L1252" s="57"/>
      <c r="M1252" s="60"/>
      <c r="N1252" s="59"/>
      <c r="O1252" s="57"/>
      <c r="P1252" s="57"/>
      <c r="Q1252" s="57"/>
      <c r="R1252" s="57"/>
      <c r="S1252" s="59"/>
      <c r="T1252" s="57"/>
      <c r="U1252" s="60"/>
      <c r="V1252" s="59"/>
      <c r="W1252" s="57"/>
      <c r="X1252" s="57"/>
      <c r="Y1252" s="57" t="s">
        <v>21</v>
      </c>
      <c r="Z1252" s="57" t="s">
        <v>362</v>
      </c>
      <c r="AA1252" s="59">
        <v>9053</v>
      </c>
      <c r="AB1252" s="57" t="s">
        <v>61</v>
      </c>
      <c r="AC1252" s="60">
        <v>45934</v>
      </c>
      <c r="AD1252" s="59">
        <v>9053</v>
      </c>
      <c r="AE1252" s="57" t="s">
        <v>4977</v>
      </c>
      <c r="AF1252" s="57" t="s">
        <v>4978</v>
      </c>
    </row>
    <row r="1253" spans="1:32">
      <c r="A1253" s="57">
        <v>1252</v>
      </c>
      <c r="B1253" s="58">
        <v>46029.618645833332</v>
      </c>
      <c r="C1253" s="58">
        <v>46029.623078703713</v>
      </c>
      <c r="D1253" s="57" t="s">
        <v>1003</v>
      </c>
      <c r="E1253" s="57" t="s">
        <v>1004</v>
      </c>
      <c r="F1253" s="58"/>
      <c r="G1253" s="57" t="s">
        <v>636</v>
      </c>
      <c r="H1253" s="59">
        <v>1</v>
      </c>
      <c r="I1253" s="57"/>
      <c r="J1253" s="57"/>
      <c r="K1253" s="59"/>
      <c r="L1253" s="57"/>
      <c r="M1253" s="60"/>
      <c r="N1253" s="59"/>
      <c r="O1253" s="57"/>
      <c r="P1253" s="57"/>
      <c r="Q1253" s="57"/>
      <c r="R1253" s="57"/>
      <c r="S1253" s="59"/>
      <c r="T1253" s="57"/>
      <c r="U1253" s="60"/>
      <c r="V1253" s="59"/>
      <c r="W1253" s="57"/>
      <c r="X1253" s="57"/>
      <c r="Y1253" s="57" t="s">
        <v>20</v>
      </c>
      <c r="Z1253" s="57" t="s">
        <v>329</v>
      </c>
      <c r="AA1253" s="59">
        <v>3086</v>
      </c>
      <c r="AB1253" s="57" t="s">
        <v>61</v>
      </c>
      <c r="AC1253" s="60">
        <v>45899</v>
      </c>
      <c r="AD1253" s="59">
        <v>3086</v>
      </c>
      <c r="AE1253" s="57" t="s">
        <v>4979</v>
      </c>
      <c r="AF1253" s="57" t="s">
        <v>4980</v>
      </c>
    </row>
    <row r="1254" spans="1:32">
      <c r="A1254" s="57">
        <v>1253</v>
      </c>
      <c r="B1254" s="58">
        <v>46029.620486111111</v>
      </c>
      <c r="C1254" s="58">
        <v>46029.624120370368</v>
      </c>
      <c r="D1254" s="57" t="s">
        <v>2391</v>
      </c>
      <c r="E1254" s="57" t="s">
        <v>2392</v>
      </c>
      <c r="F1254" s="58"/>
      <c r="G1254" s="57" t="s">
        <v>669</v>
      </c>
      <c r="H1254" s="59">
        <v>1</v>
      </c>
      <c r="I1254" s="57"/>
      <c r="J1254" s="57"/>
      <c r="K1254" s="59"/>
      <c r="L1254" s="57"/>
      <c r="M1254" s="60"/>
      <c r="N1254" s="59"/>
      <c r="O1254" s="57"/>
      <c r="P1254" s="57"/>
      <c r="Q1254" s="57"/>
      <c r="R1254" s="57"/>
      <c r="S1254" s="59"/>
      <c r="T1254" s="57"/>
      <c r="U1254" s="60"/>
      <c r="V1254" s="59"/>
      <c r="W1254" s="57"/>
      <c r="X1254" s="57"/>
      <c r="Y1254" s="57" t="s">
        <v>21</v>
      </c>
      <c r="Z1254" s="57" t="s">
        <v>380</v>
      </c>
      <c r="AA1254" s="59">
        <v>1967</v>
      </c>
      <c r="AB1254" s="57" t="s">
        <v>61</v>
      </c>
      <c r="AC1254" s="60">
        <v>45814</v>
      </c>
      <c r="AD1254" s="59">
        <v>1967</v>
      </c>
      <c r="AE1254" s="57" t="s">
        <v>4981</v>
      </c>
      <c r="AF1254" s="57" t="s">
        <v>4982</v>
      </c>
    </row>
    <row r="1255" spans="1:32">
      <c r="A1255" s="57">
        <v>1254</v>
      </c>
      <c r="B1255" s="58">
        <v>46029.618472222217</v>
      </c>
      <c r="C1255" s="58">
        <v>46029.627326388887</v>
      </c>
      <c r="D1255" s="57" t="s">
        <v>1419</v>
      </c>
      <c r="E1255" s="57" t="s">
        <v>1420</v>
      </c>
      <c r="F1255" s="58"/>
      <c r="G1255" s="57" t="s">
        <v>603</v>
      </c>
      <c r="H1255" s="59">
        <v>1</v>
      </c>
      <c r="I1255" s="57"/>
      <c r="J1255" s="57"/>
      <c r="K1255" s="59"/>
      <c r="L1255" s="57"/>
      <c r="M1255" s="60"/>
      <c r="N1255" s="59"/>
      <c r="O1255" s="57"/>
      <c r="P1255" s="57"/>
      <c r="Q1255" s="57"/>
      <c r="R1255" s="57"/>
      <c r="S1255" s="59"/>
      <c r="T1255" s="57"/>
      <c r="U1255" s="60"/>
      <c r="V1255" s="59"/>
      <c r="W1255" s="57"/>
      <c r="X1255" s="57"/>
      <c r="Y1255" s="57" t="s">
        <v>21</v>
      </c>
      <c r="Z1255" s="57" t="s">
        <v>280</v>
      </c>
      <c r="AA1255" s="59">
        <v>27146</v>
      </c>
      <c r="AB1255" s="57" t="s">
        <v>61</v>
      </c>
      <c r="AC1255" s="60">
        <v>45885</v>
      </c>
      <c r="AD1255" s="59">
        <v>27146</v>
      </c>
      <c r="AE1255" s="57" t="s">
        <v>4983</v>
      </c>
      <c r="AF1255" s="57" t="s">
        <v>4984</v>
      </c>
    </row>
    <row r="1256" spans="1:32">
      <c r="A1256" s="57">
        <v>1255</v>
      </c>
      <c r="B1256" s="58">
        <v>46029.617615740739</v>
      </c>
      <c r="C1256" s="58">
        <v>46029.627928240741</v>
      </c>
      <c r="D1256" s="57" t="s">
        <v>2378</v>
      </c>
      <c r="E1256" s="57" t="s">
        <v>2379</v>
      </c>
      <c r="F1256" s="58"/>
      <c r="G1256" s="57" t="s">
        <v>576</v>
      </c>
      <c r="H1256" s="59">
        <v>1</v>
      </c>
      <c r="I1256" s="57"/>
      <c r="J1256" s="57"/>
      <c r="K1256" s="59"/>
      <c r="L1256" s="57"/>
      <c r="M1256" s="60"/>
      <c r="N1256" s="59"/>
      <c r="O1256" s="57"/>
      <c r="P1256" s="57"/>
      <c r="Q1256" s="57"/>
      <c r="R1256" s="57"/>
      <c r="S1256" s="59"/>
      <c r="T1256" s="57"/>
      <c r="U1256" s="60"/>
      <c r="V1256" s="59"/>
      <c r="W1256" s="57"/>
      <c r="X1256" s="57"/>
      <c r="Y1256" s="57" t="s">
        <v>20</v>
      </c>
      <c r="Z1256" s="57" t="s">
        <v>248</v>
      </c>
      <c r="AA1256" s="59">
        <v>39740</v>
      </c>
      <c r="AB1256" s="57" t="s">
        <v>61</v>
      </c>
      <c r="AC1256" s="60">
        <v>45888</v>
      </c>
      <c r="AD1256" s="59">
        <v>39740</v>
      </c>
      <c r="AE1256" s="57" t="s">
        <v>4985</v>
      </c>
      <c r="AF1256" s="57" t="s">
        <v>4986</v>
      </c>
    </row>
    <row r="1257" spans="1:32">
      <c r="A1257" s="57">
        <v>1256</v>
      </c>
      <c r="B1257" s="58">
        <v>46029.622152777767</v>
      </c>
      <c r="C1257" s="58">
        <v>46029.628368055557</v>
      </c>
      <c r="D1257" s="57" t="s">
        <v>2088</v>
      </c>
      <c r="E1257" s="57" t="s">
        <v>2089</v>
      </c>
      <c r="F1257" s="58"/>
      <c r="G1257" s="57" t="s">
        <v>692</v>
      </c>
      <c r="H1257" s="59">
        <v>1</v>
      </c>
      <c r="I1257" s="57"/>
      <c r="J1257" s="57"/>
      <c r="K1257" s="59"/>
      <c r="L1257" s="57"/>
      <c r="M1257" s="60"/>
      <c r="N1257" s="59"/>
      <c r="O1257" s="57"/>
      <c r="P1257" s="57"/>
      <c r="Q1257" s="57"/>
      <c r="R1257" s="57"/>
      <c r="S1257" s="59"/>
      <c r="T1257" s="57"/>
      <c r="U1257" s="60"/>
      <c r="V1257" s="59"/>
      <c r="W1257" s="57"/>
      <c r="X1257" s="57"/>
      <c r="Y1257" s="57" t="s">
        <v>21</v>
      </c>
      <c r="Z1257" s="57" t="s">
        <v>414</v>
      </c>
      <c r="AA1257" s="59">
        <v>2524</v>
      </c>
      <c r="AB1257" s="57" t="s">
        <v>61</v>
      </c>
      <c r="AC1257" s="60">
        <v>45957</v>
      </c>
      <c r="AD1257" s="59">
        <v>2524</v>
      </c>
      <c r="AE1257" s="57" t="s">
        <v>4987</v>
      </c>
      <c r="AF1257" s="57" t="s">
        <v>4988</v>
      </c>
    </row>
    <row r="1258" spans="1:32">
      <c r="A1258" s="57">
        <v>1257</v>
      </c>
      <c r="B1258" s="58">
        <v>46029.619398148148</v>
      </c>
      <c r="C1258" s="58">
        <v>46029.630266203712</v>
      </c>
      <c r="D1258" s="57" t="s">
        <v>2217</v>
      </c>
      <c r="E1258" s="57" t="s">
        <v>2218</v>
      </c>
      <c r="F1258" s="58"/>
      <c r="G1258" s="57" t="s">
        <v>546</v>
      </c>
      <c r="H1258" s="59">
        <v>1</v>
      </c>
      <c r="I1258" s="57"/>
      <c r="J1258" s="57"/>
      <c r="K1258" s="59"/>
      <c r="L1258" s="57"/>
      <c r="M1258" s="60"/>
      <c r="N1258" s="59"/>
      <c r="O1258" s="57"/>
      <c r="P1258" s="57"/>
      <c r="Q1258" s="57"/>
      <c r="R1258" s="57"/>
      <c r="S1258" s="59"/>
      <c r="T1258" s="57"/>
      <c r="U1258" s="60"/>
      <c r="V1258" s="59"/>
      <c r="W1258" s="57"/>
      <c r="X1258" s="57"/>
      <c r="Y1258" s="57" t="s">
        <v>21</v>
      </c>
      <c r="Z1258" s="57" t="s">
        <v>215</v>
      </c>
      <c r="AA1258" s="59">
        <v>17825</v>
      </c>
      <c r="AB1258" s="57" t="s">
        <v>61</v>
      </c>
      <c r="AC1258" s="60">
        <v>45989</v>
      </c>
      <c r="AD1258" s="59">
        <v>17825</v>
      </c>
      <c r="AE1258" s="57" t="s">
        <v>4989</v>
      </c>
      <c r="AF1258" s="57" t="s">
        <v>4990</v>
      </c>
    </row>
    <row r="1259" spans="1:32">
      <c r="A1259" s="57">
        <v>1258</v>
      </c>
      <c r="B1259" s="58">
        <v>46029.627835648149</v>
      </c>
      <c r="C1259" s="58">
        <v>46029.631909722222</v>
      </c>
      <c r="D1259" s="57" t="s">
        <v>1209</v>
      </c>
      <c r="E1259" s="57" t="s">
        <v>1210</v>
      </c>
      <c r="F1259" s="58"/>
      <c r="G1259" s="57" t="s">
        <v>581</v>
      </c>
      <c r="H1259" s="59">
        <v>2</v>
      </c>
      <c r="I1259" s="57"/>
      <c r="J1259" s="57"/>
      <c r="K1259" s="59"/>
      <c r="L1259" s="57"/>
      <c r="M1259" s="60"/>
      <c r="N1259" s="59"/>
      <c r="O1259" s="57"/>
      <c r="P1259" s="57"/>
      <c r="Q1259" s="57" t="s">
        <v>22</v>
      </c>
      <c r="R1259" s="57" t="s">
        <v>255</v>
      </c>
      <c r="S1259" s="59">
        <v>31211</v>
      </c>
      <c r="T1259" s="57" t="s">
        <v>61</v>
      </c>
      <c r="U1259" s="60">
        <v>45763</v>
      </c>
      <c r="V1259" s="59">
        <v>31211</v>
      </c>
      <c r="W1259" s="57" t="s">
        <v>4991</v>
      </c>
      <c r="X1259" s="57" t="s">
        <v>4992</v>
      </c>
      <c r="Y1259" s="57" t="s">
        <v>21</v>
      </c>
      <c r="Z1259" s="57" t="s">
        <v>417</v>
      </c>
      <c r="AA1259" s="59">
        <v>2158</v>
      </c>
      <c r="AB1259" s="57" t="s">
        <v>61</v>
      </c>
      <c r="AC1259" s="60">
        <v>46002</v>
      </c>
      <c r="AD1259" s="59">
        <v>2158</v>
      </c>
      <c r="AE1259" s="57" t="s">
        <v>4993</v>
      </c>
      <c r="AF1259" s="57" t="s">
        <v>4994</v>
      </c>
    </row>
    <row r="1260" spans="1:32">
      <c r="A1260" s="57">
        <v>1259</v>
      </c>
      <c r="B1260" s="58">
        <v>46029.630208333343</v>
      </c>
      <c r="C1260" s="58">
        <v>46029.632743055547</v>
      </c>
      <c r="D1260" s="57" t="s">
        <v>1375</v>
      </c>
      <c r="E1260" s="57" t="s">
        <v>1376</v>
      </c>
      <c r="F1260" s="58"/>
      <c r="G1260" s="57" t="s">
        <v>681</v>
      </c>
      <c r="H1260" s="59">
        <v>1</v>
      </c>
      <c r="I1260" s="57"/>
      <c r="J1260" s="57"/>
      <c r="K1260" s="59"/>
      <c r="L1260" s="57"/>
      <c r="M1260" s="60"/>
      <c r="N1260" s="59"/>
      <c r="O1260" s="57"/>
      <c r="P1260" s="57"/>
      <c r="Q1260" s="57"/>
      <c r="R1260" s="57"/>
      <c r="S1260" s="59"/>
      <c r="T1260" s="57"/>
      <c r="U1260" s="60"/>
      <c r="V1260" s="59"/>
      <c r="W1260" s="57"/>
      <c r="X1260" s="57"/>
      <c r="Y1260" s="57" t="s">
        <v>21</v>
      </c>
      <c r="Z1260" s="57" t="s">
        <v>396</v>
      </c>
      <c r="AA1260" s="59">
        <v>16045</v>
      </c>
      <c r="AB1260" s="57" t="s">
        <v>61</v>
      </c>
      <c r="AC1260" s="60">
        <v>46028</v>
      </c>
      <c r="AD1260" s="59">
        <v>16045</v>
      </c>
      <c r="AE1260" s="57" t="s">
        <v>4995</v>
      </c>
      <c r="AF1260" s="57" t="s">
        <v>4996</v>
      </c>
    </row>
    <row r="1261" spans="1:32">
      <c r="A1261" s="57">
        <v>1260</v>
      </c>
      <c r="B1261" s="58">
        <v>46029.619710648149</v>
      </c>
      <c r="C1261" s="58">
        <v>46029.638020833343</v>
      </c>
      <c r="D1261" s="57" t="s">
        <v>2542</v>
      </c>
      <c r="E1261" s="57" t="s">
        <v>2543</v>
      </c>
      <c r="F1261" s="58"/>
      <c r="G1261" s="57" t="s">
        <v>560</v>
      </c>
      <c r="H1261" s="59">
        <v>2</v>
      </c>
      <c r="I1261" s="57"/>
      <c r="J1261" s="57"/>
      <c r="K1261" s="59"/>
      <c r="L1261" s="57"/>
      <c r="M1261" s="60"/>
      <c r="N1261" s="59"/>
      <c r="O1261" s="57"/>
      <c r="P1261" s="57"/>
      <c r="Q1261" s="57" t="s">
        <v>22</v>
      </c>
      <c r="R1261" s="57" t="s">
        <v>230</v>
      </c>
      <c r="S1261" s="59">
        <v>23779</v>
      </c>
      <c r="T1261" s="57" t="s">
        <v>61</v>
      </c>
      <c r="U1261" s="60">
        <v>45980</v>
      </c>
      <c r="V1261" s="59">
        <v>23779</v>
      </c>
      <c r="W1261" s="57" t="s">
        <v>4997</v>
      </c>
      <c r="X1261" s="57" t="s">
        <v>4998</v>
      </c>
      <c r="Y1261" s="57" t="s">
        <v>21</v>
      </c>
      <c r="Z1261" s="57" t="s">
        <v>317</v>
      </c>
      <c r="AA1261" s="59">
        <v>5225</v>
      </c>
      <c r="AB1261" s="57" t="s">
        <v>61</v>
      </c>
      <c r="AC1261" s="60">
        <v>45883</v>
      </c>
      <c r="AD1261" s="59">
        <v>5225</v>
      </c>
      <c r="AE1261" s="57" t="s">
        <v>4999</v>
      </c>
      <c r="AF1261" s="57" t="s">
        <v>5000</v>
      </c>
    </row>
    <row r="1262" spans="1:32">
      <c r="A1262" s="57">
        <v>1261</v>
      </c>
      <c r="B1262" s="58">
        <v>46029.627997685187</v>
      </c>
      <c r="C1262" s="58">
        <v>46029.642581018517</v>
      </c>
      <c r="D1262" s="57" t="s">
        <v>1787</v>
      </c>
      <c r="E1262" s="57" t="s">
        <v>1788</v>
      </c>
      <c r="F1262" s="58"/>
      <c r="G1262" s="57" t="s">
        <v>496</v>
      </c>
      <c r="H1262" s="59">
        <v>1</v>
      </c>
      <c r="I1262" s="57"/>
      <c r="J1262" s="57"/>
      <c r="K1262" s="59"/>
      <c r="L1262" s="57"/>
      <c r="M1262" s="60"/>
      <c r="N1262" s="59"/>
      <c r="O1262" s="57"/>
      <c r="P1262" s="57"/>
      <c r="Q1262" s="57"/>
      <c r="R1262" s="57"/>
      <c r="S1262" s="59"/>
      <c r="T1262" s="57"/>
      <c r="U1262" s="60"/>
      <c r="V1262" s="59"/>
      <c r="W1262" s="57"/>
      <c r="X1262" s="57"/>
      <c r="Y1262" s="57" t="s">
        <v>20</v>
      </c>
      <c r="Z1262" s="57" t="s">
        <v>162</v>
      </c>
      <c r="AA1262" s="59">
        <v>38552</v>
      </c>
      <c r="AB1262" s="57" t="s">
        <v>61</v>
      </c>
      <c r="AC1262" s="60">
        <v>45849</v>
      </c>
      <c r="AD1262" s="59">
        <v>38552</v>
      </c>
      <c r="AE1262" s="57" t="s">
        <v>5001</v>
      </c>
      <c r="AF1262" s="57" t="s">
        <v>5002</v>
      </c>
    </row>
    <row r="1263" spans="1:32">
      <c r="A1263" s="57">
        <v>1262</v>
      </c>
      <c r="B1263" s="58">
        <v>46029.629710648151</v>
      </c>
      <c r="C1263" s="58">
        <v>46029.650949074072</v>
      </c>
      <c r="D1263" s="57" t="s">
        <v>1383</v>
      </c>
      <c r="E1263" s="57" t="s">
        <v>1384</v>
      </c>
      <c r="F1263" s="58"/>
      <c r="G1263" s="57" t="s">
        <v>626</v>
      </c>
      <c r="H1263" s="59">
        <v>1</v>
      </c>
      <c r="I1263" s="57"/>
      <c r="J1263" s="57"/>
      <c r="K1263" s="59"/>
      <c r="L1263" s="57"/>
      <c r="M1263" s="60"/>
      <c r="N1263" s="59"/>
      <c r="O1263" s="57"/>
      <c r="P1263" s="57"/>
      <c r="Q1263" s="57"/>
      <c r="R1263" s="57"/>
      <c r="S1263" s="59"/>
      <c r="T1263" s="57"/>
      <c r="U1263" s="60"/>
      <c r="V1263" s="59"/>
      <c r="W1263" s="57"/>
      <c r="X1263" s="57"/>
      <c r="Y1263" s="57" t="s">
        <v>21</v>
      </c>
      <c r="Z1263" s="57" t="s">
        <v>309</v>
      </c>
      <c r="AA1263" s="59">
        <v>27214</v>
      </c>
      <c r="AB1263" s="57" t="s">
        <v>61</v>
      </c>
      <c r="AC1263" s="60">
        <v>45955</v>
      </c>
      <c r="AD1263" s="59">
        <v>27214</v>
      </c>
      <c r="AE1263" s="57" t="s">
        <v>5003</v>
      </c>
      <c r="AF1263" s="57" t="s">
        <v>5004</v>
      </c>
    </row>
    <row r="1264" spans="1:32">
      <c r="A1264" s="57">
        <v>1263</v>
      </c>
      <c r="B1264" s="58">
        <v>46029.657025462962</v>
      </c>
      <c r="C1264" s="58">
        <v>46029.658842592587</v>
      </c>
      <c r="D1264" s="57" t="s">
        <v>1522</v>
      </c>
      <c r="E1264" s="57" t="s">
        <v>1523</v>
      </c>
      <c r="F1264" s="58"/>
      <c r="G1264" s="57" t="s">
        <v>696</v>
      </c>
      <c r="H1264" s="59">
        <v>1</v>
      </c>
      <c r="I1264" s="57"/>
      <c r="J1264" s="57"/>
      <c r="K1264" s="59"/>
      <c r="L1264" s="57"/>
      <c r="M1264" s="60"/>
      <c r="N1264" s="59"/>
      <c r="O1264" s="57"/>
      <c r="P1264" s="57"/>
      <c r="Q1264" s="57"/>
      <c r="R1264" s="57"/>
      <c r="S1264" s="59"/>
      <c r="T1264" s="57"/>
      <c r="U1264" s="60"/>
      <c r="V1264" s="59"/>
      <c r="W1264" s="57"/>
      <c r="X1264" s="57"/>
      <c r="Y1264" s="57" t="s">
        <v>21</v>
      </c>
      <c r="Z1264" s="57" t="s">
        <v>419</v>
      </c>
      <c r="AA1264" s="59">
        <v>3122</v>
      </c>
      <c r="AB1264" s="57" t="s">
        <v>61</v>
      </c>
      <c r="AC1264" s="60">
        <v>45962</v>
      </c>
      <c r="AD1264" s="59">
        <v>3122</v>
      </c>
      <c r="AE1264" s="57" t="s">
        <v>5005</v>
      </c>
      <c r="AF1264" s="57" t="s">
        <v>5006</v>
      </c>
    </row>
    <row r="1265" spans="1:32">
      <c r="A1265" s="57">
        <v>1264</v>
      </c>
      <c r="B1265" s="58">
        <v>46029.65452546296</v>
      </c>
      <c r="C1265" s="58">
        <v>46029.661979166667</v>
      </c>
      <c r="D1265" s="57" t="s">
        <v>1820</v>
      </c>
      <c r="E1265" s="57" t="s">
        <v>1821</v>
      </c>
      <c r="F1265" s="58"/>
      <c r="G1265" s="57" t="s">
        <v>476</v>
      </c>
      <c r="H1265" s="59">
        <v>1</v>
      </c>
      <c r="I1265" s="57"/>
      <c r="J1265" s="57"/>
      <c r="K1265" s="59"/>
      <c r="L1265" s="57"/>
      <c r="M1265" s="60"/>
      <c r="N1265" s="59"/>
      <c r="O1265" s="57"/>
      <c r="P1265" s="57"/>
      <c r="Q1265" s="57"/>
      <c r="R1265" s="57"/>
      <c r="S1265" s="59"/>
      <c r="T1265" s="57"/>
      <c r="U1265" s="60"/>
      <c r="V1265" s="59"/>
      <c r="W1265" s="57"/>
      <c r="X1265" s="57"/>
      <c r="Y1265" s="57" t="s">
        <v>21</v>
      </c>
      <c r="Z1265" s="57" t="s">
        <v>142</v>
      </c>
      <c r="AA1265" s="59">
        <v>52136</v>
      </c>
      <c r="AB1265" s="57" t="s">
        <v>61</v>
      </c>
      <c r="AC1265" s="60">
        <v>45992</v>
      </c>
      <c r="AD1265" s="59">
        <v>52136</v>
      </c>
      <c r="AE1265" s="57" t="s">
        <v>5007</v>
      </c>
      <c r="AF1265" s="57" t="s">
        <v>5008</v>
      </c>
    </row>
    <row r="1266" spans="1:32">
      <c r="A1266" s="57">
        <v>1265</v>
      </c>
      <c r="B1266" s="58">
        <v>46029.67701388889</v>
      </c>
      <c r="C1266" s="58">
        <v>46029.684351851851</v>
      </c>
      <c r="D1266" s="57" t="s">
        <v>1303</v>
      </c>
      <c r="E1266" s="57" t="s">
        <v>1304</v>
      </c>
      <c r="F1266" s="58"/>
      <c r="G1266" s="57" t="s">
        <v>558</v>
      </c>
      <c r="H1266" s="59">
        <v>2</v>
      </c>
      <c r="I1266" s="57"/>
      <c r="J1266" s="57"/>
      <c r="K1266" s="59"/>
      <c r="L1266" s="57"/>
      <c r="M1266" s="60"/>
      <c r="N1266" s="59"/>
      <c r="O1266" s="57"/>
      <c r="P1266" s="57"/>
      <c r="Q1266" s="57" t="s">
        <v>22</v>
      </c>
      <c r="R1266" s="57" t="s">
        <v>228</v>
      </c>
      <c r="S1266" s="59">
        <v>63490</v>
      </c>
      <c r="T1266" s="57" t="s">
        <v>61</v>
      </c>
      <c r="U1266" s="60">
        <v>45866</v>
      </c>
      <c r="V1266" s="59">
        <v>63490</v>
      </c>
      <c r="W1266" s="57" t="s">
        <v>5009</v>
      </c>
      <c r="X1266" s="57" t="s">
        <v>5010</v>
      </c>
      <c r="Y1266" s="57" t="s">
        <v>20</v>
      </c>
      <c r="Z1266" s="57" t="s">
        <v>313</v>
      </c>
      <c r="AA1266" s="59">
        <v>11579</v>
      </c>
      <c r="AB1266" s="57" t="s">
        <v>61</v>
      </c>
      <c r="AC1266" s="60">
        <v>45840</v>
      </c>
      <c r="AD1266" s="59">
        <v>11579</v>
      </c>
      <c r="AE1266" s="57" t="s">
        <v>5011</v>
      </c>
      <c r="AF1266" s="57" t="s">
        <v>5012</v>
      </c>
    </row>
    <row r="1267" spans="1:32">
      <c r="A1267" s="57">
        <v>1266</v>
      </c>
      <c r="B1267" s="58">
        <v>46029.690821759257</v>
      </c>
      <c r="C1267" s="58">
        <v>46029.693680555552</v>
      </c>
      <c r="D1267" s="57" t="s">
        <v>3573</v>
      </c>
      <c r="E1267" s="57" t="s">
        <v>3574</v>
      </c>
      <c r="F1267" s="58"/>
      <c r="G1267" s="57" t="s">
        <v>587</v>
      </c>
      <c r="H1267" s="59">
        <v>1</v>
      </c>
      <c r="I1267" s="57"/>
      <c r="J1267" s="57"/>
      <c r="K1267" s="59"/>
      <c r="L1267" s="57"/>
      <c r="M1267" s="60"/>
      <c r="N1267" s="59"/>
      <c r="O1267" s="57"/>
      <c r="P1267" s="57"/>
      <c r="Q1267" s="57"/>
      <c r="R1267" s="57"/>
      <c r="S1267" s="59"/>
      <c r="T1267" s="57"/>
      <c r="U1267" s="60"/>
      <c r="V1267" s="59"/>
      <c r="W1267" s="57"/>
      <c r="X1267" s="57"/>
      <c r="Y1267" s="57" t="s">
        <v>21</v>
      </c>
      <c r="Z1267" s="57" t="s">
        <v>261</v>
      </c>
      <c r="AA1267" s="59">
        <v>33698</v>
      </c>
      <c r="AB1267" s="57" t="s">
        <v>61</v>
      </c>
      <c r="AC1267" s="60">
        <v>45845</v>
      </c>
      <c r="AD1267" s="59">
        <v>33698</v>
      </c>
      <c r="AE1267" s="57" t="s">
        <v>5013</v>
      </c>
      <c r="AF1267" s="57" t="s">
        <v>5014</v>
      </c>
    </row>
    <row r="1268" spans="1:32">
      <c r="A1268" s="57">
        <v>1267</v>
      </c>
      <c r="B1268" s="58">
        <v>46029.708483796298</v>
      </c>
      <c r="C1268" s="58">
        <v>46029.717569444438</v>
      </c>
      <c r="D1268" s="57" t="s">
        <v>4345</v>
      </c>
      <c r="E1268" s="57" t="s">
        <v>4346</v>
      </c>
      <c r="F1268" s="58"/>
      <c r="G1268" s="57" t="s">
        <v>612</v>
      </c>
      <c r="H1268" s="59">
        <v>1</v>
      </c>
      <c r="I1268" s="57"/>
      <c r="J1268" s="57"/>
      <c r="K1268" s="59"/>
      <c r="L1268" s="57"/>
      <c r="M1268" s="60"/>
      <c r="N1268" s="59"/>
      <c r="O1268" s="57"/>
      <c r="P1268" s="57"/>
      <c r="Q1268" s="57"/>
      <c r="R1268" s="57"/>
      <c r="S1268" s="59"/>
      <c r="T1268" s="57"/>
      <c r="U1268" s="60"/>
      <c r="V1268" s="59"/>
      <c r="W1268" s="57"/>
      <c r="X1268" s="57"/>
      <c r="Y1268" s="57" t="s">
        <v>21</v>
      </c>
      <c r="Z1268" s="57" t="s">
        <v>292</v>
      </c>
      <c r="AA1268" s="59">
        <v>12647</v>
      </c>
      <c r="AB1268" s="57" t="s">
        <v>61</v>
      </c>
      <c r="AC1268" s="60">
        <v>45912</v>
      </c>
      <c r="AD1268" s="59">
        <v>12647</v>
      </c>
      <c r="AE1268" s="57" t="s">
        <v>5015</v>
      </c>
      <c r="AF1268" s="57" t="s">
        <v>5016</v>
      </c>
    </row>
    <row r="1269" spans="1:32">
      <c r="A1269" s="57">
        <v>1268</v>
      </c>
      <c r="B1269" s="58">
        <v>46030.334953703707</v>
      </c>
      <c r="C1269" s="58">
        <v>46030.340798611112</v>
      </c>
      <c r="D1269" s="57" t="s">
        <v>799</v>
      </c>
      <c r="E1269" s="57" t="s">
        <v>800</v>
      </c>
      <c r="F1269" s="58"/>
      <c r="G1269" s="57" t="s">
        <v>618</v>
      </c>
      <c r="H1269" s="59">
        <v>2</v>
      </c>
      <c r="I1269" s="57"/>
      <c r="J1269" s="57"/>
      <c r="K1269" s="59"/>
      <c r="L1269" s="57"/>
      <c r="M1269" s="60"/>
      <c r="N1269" s="59"/>
      <c r="O1269" s="57"/>
      <c r="P1269" s="57"/>
      <c r="Q1269" s="57" t="s">
        <v>22</v>
      </c>
      <c r="R1269" s="57" t="s">
        <v>299</v>
      </c>
      <c r="S1269" s="59">
        <v>29151</v>
      </c>
      <c r="T1269" s="57" t="s">
        <v>61</v>
      </c>
      <c r="U1269" s="60">
        <v>45955</v>
      </c>
      <c r="V1269" s="59">
        <v>29151</v>
      </c>
      <c r="W1269" s="57" t="s">
        <v>5017</v>
      </c>
      <c r="X1269" s="57" t="s">
        <v>5018</v>
      </c>
      <c r="Y1269" s="57" t="s">
        <v>21</v>
      </c>
      <c r="Z1269" s="57" t="s">
        <v>370</v>
      </c>
      <c r="AA1269" s="59">
        <v>16297</v>
      </c>
      <c r="AB1269" s="57" t="s">
        <v>61</v>
      </c>
      <c r="AC1269" s="60">
        <v>45953</v>
      </c>
      <c r="AD1269" s="59">
        <v>16297</v>
      </c>
      <c r="AE1269" s="57" t="s">
        <v>5019</v>
      </c>
      <c r="AF1269" s="57" t="s">
        <v>5020</v>
      </c>
    </row>
    <row r="1270" spans="1:32">
      <c r="A1270" s="57">
        <v>1269</v>
      </c>
      <c r="B1270" s="58">
        <v>46030.35255787037</v>
      </c>
      <c r="C1270" s="58">
        <v>46030.35428240741</v>
      </c>
      <c r="D1270" s="57" t="s">
        <v>1026</v>
      </c>
      <c r="E1270" s="57" t="s">
        <v>1027</v>
      </c>
      <c r="F1270" s="58"/>
      <c r="G1270" s="57" t="s">
        <v>478</v>
      </c>
      <c r="H1270" s="59">
        <v>1</v>
      </c>
      <c r="I1270" s="57"/>
      <c r="J1270" s="57"/>
      <c r="K1270" s="59"/>
      <c r="L1270" s="57"/>
      <c r="M1270" s="60"/>
      <c r="N1270" s="59"/>
      <c r="O1270" s="57"/>
      <c r="P1270" s="57"/>
      <c r="Q1270" s="57"/>
      <c r="R1270" s="57"/>
      <c r="S1270" s="59"/>
      <c r="T1270" s="57"/>
      <c r="U1270" s="60"/>
      <c r="V1270" s="59"/>
      <c r="W1270" s="57"/>
      <c r="X1270" s="57"/>
      <c r="Y1270" s="57" t="s">
        <v>20</v>
      </c>
      <c r="Z1270" s="57" t="s">
        <v>144</v>
      </c>
      <c r="AA1270" s="59">
        <v>67411</v>
      </c>
      <c r="AB1270" s="57" t="s">
        <v>61</v>
      </c>
      <c r="AC1270" s="60">
        <v>46027</v>
      </c>
      <c r="AD1270" s="59">
        <v>67411</v>
      </c>
      <c r="AE1270" s="57" t="s">
        <v>5021</v>
      </c>
      <c r="AF1270" s="57" t="s">
        <v>5022</v>
      </c>
    </row>
    <row r="1271" spans="1:32">
      <c r="A1271" s="57">
        <v>1270</v>
      </c>
      <c r="B1271" s="58">
        <v>46014.566724537042</v>
      </c>
      <c r="C1271" s="58">
        <v>46030.423379629632</v>
      </c>
      <c r="D1271" s="57" t="s">
        <v>1598</v>
      </c>
      <c r="E1271" s="57" t="s">
        <v>1599</v>
      </c>
      <c r="F1271" s="58"/>
      <c r="G1271" s="57" t="s">
        <v>671</v>
      </c>
      <c r="H1271" s="59">
        <v>2</v>
      </c>
      <c r="I1271" s="57"/>
      <c r="J1271" s="57"/>
      <c r="K1271" s="59"/>
      <c r="L1271" s="57"/>
      <c r="M1271" s="60"/>
      <c r="N1271" s="59"/>
      <c r="O1271" s="57"/>
      <c r="P1271" s="57"/>
      <c r="Q1271" s="57" t="s">
        <v>21</v>
      </c>
      <c r="R1271" s="57" t="s">
        <v>441</v>
      </c>
      <c r="S1271" s="59">
        <v>923</v>
      </c>
      <c r="T1271" s="57" t="s">
        <v>61</v>
      </c>
      <c r="U1271" s="60">
        <v>46010</v>
      </c>
      <c r="V1271" s="59">
        <v>923</v>
      </c>
      <c r="W1271" s="57" t="s">
        <v>5023</v>
      </c>
      <c r="X1271" s="57" t="s">
        <v>5024</v>
      </c>
      <c r="Y1271" s="57" t="s">
        <v>22</v>
      </c>
      <c r="Z1271" s="57" t="s">
        <v>383</v>
      </c>
      <c r="AA1271" s="59">
        <v>15162</v>
      </c>
      <c r="AB1271" s="57" t="s">
        <v>61</v>
      </c>
      <c r="AC1271" s="60">
        <v>45980</v>
      </c>
      <c r="AD1271" s="59">
        <v>15162</v>
      </c>
      <c r="AE1271" s="57" t="s">
        <v>5025</v>
      </c>
      <c r="AF1271" s="57" t="s">
        <v>5026</v>
      </c>
    </row>
    <row r="1272" spans="1:32">
      <c r="A1272" s="57">
        <v>1271</v>
      </c>
      <c r="B1272" s="58">
        <v>46030.436469907407</v>
      </c>
      <c r="C1272" s="58">
        <v>46030.454201388893</v>
      </c>
      <c r="D1272" s="57" t="s">
        <v>925</v>
      </c>
      <c r="E1272" s="57" t="s">
        <v>926</v>
      </c>
      <c r="F1272" s="58"/>
      <c r="G1272" s="57" t="s">
        <v>586</v>
      </c>
      <c r="H1272" s="59">
        <v>2</v>
      </c>
      <c r="I1272" s="57"/>
      <c r="J1272" s="57"/>
      <c r="K1272" s="59"/>
      <c r="L1272" s="57"/>
      <c r="M1272" s="60"/>
      <c r="N1272" s="59"/>
      <c r="O1272" s="57"/>
      <c r="P1272" s="57"/>
      <c r="Q1272" s="57" t="s">
        <v>22</v>
      </c>
      <c r="R1272" s="57" t="s">
        <v>368</v>
      </c>
      <c r="S1272" s="59">
        <v>12023</v>
      </c>
      <c r="T1272" s="57" t="s">
        <v>61</v>
      </c>
      <c r="U1272" s="60">
        <v>45972</v>
      </c>
      <c r="V1272" s="59">
        <v>12023</v>
      </c>
      <c r="W1272" s="57" t="s">
        <v>5027</v>
      </c>
      <c r="X1272" s="57" t="s">
        <v>5028</v>
      </c>
      <c r="Y1272" s="57" t="s">
        <v>21</v>
      </c>
      <c r="Z1272" s="57" t="s">
        <v>260</v>
      </c>
      <c r="AA1272" s="59">
        <v>32265</v>
      </c>
      <c r="AB1272" s="57" t="s">
        <v>61</v>
      </c>
      <c r="AC1272" s="60">
        <v>45917</v>
      </c>
      <c r="AD1272" s="59">
        <v>32265</v>
      </c>
      <c r="AE1272" s="57" t="s">
        <v>5029</v>
      </c>
      <c r="AF1272" s="57" t="s">
        <v>5030</v>
      </c>
    </row>
    <row r="1273" spans="1:32">
      <c r="A1273" s="57">
        <v>1272</v>
      </c>
      <c r="B1273" s="58">
        <v>46030.449930555558</v>
      </c>
      <c r="C1273" s="58">
        <v>46030.454456018517</v>
      </c>
      <c r="D1273" s="57" t="s">
        <v>1163</v>
      </c>
      <c r="E1273" s="57" t="s">
        <v>1164</v>
      </c>
      <c r="F1273" s="58"/>
      <c r="G1273" s="57" t="s">
        <v>536</v>
      </c>
      <c r="H1273" s="59">
        <v>2</v>
      </c>
      <c r="I1273" s="57"/>
      <c r="J1273" s="57"/>
      <c r="K1273" s="59"/>
      <c r="L1273" s="57"/>
      <c r="M1273" s="60"/>
      <c r="N1273" s="59"/>
      <c r="O1273" s="57"/>
      <c r="P1273" s="57"/>
      <c r="Q1273" s="57" t="s">
        <v>22</v>
      </c>
      <c r="R1273" s="57" t="s">
        <v>204</v>
      </c>
      <c r="S1273" s="59">
        <v>87316</v>
      </c>
      <c r="T1273" s="57" t="s">
        <v>61</v>
      </c>
      <c r="U1273" s="60">
        <v>45902</v>
      </c>
      <c r="V1273" s="59">
        <v>87316</v>
      </c>
      <c r="W1273" s="57" t="s">
        <v>5031</v>
      </c>
      <c r="X1273" s="57" t="s">
        <v>5032</v>
      </c>
      <c r="Y1273" s="57" t="s">
        <v>21</v>
      </c>
      <c r="Z1273" s="57" t="s">
        <v>327</v>
      </c>
      <c r="AA1273" s="59">
        <v>18372</v>
      </c>
      <c r="AB1273" s="57" t="s">
        <v>61</v>
      </c>
      <c r="AC1273" s="60">
        <v>45874</v>
      </c>
      <c r="AD1273" s="59">
        <v>18372</v>
      </c>
      <c r="AE1273" s="57" t="s">
        <v>5033</v>
      </c>
      <c r="AF1273" s="57" t="s">
        <v>5034</v>
      </c>
    </row>
    <row r="1274" spans="1:32">
      <c r="A1274" s="57">
        <v>1273</v>
      </c>
      <c r="B1274" s="58">
        <v>46030.4141087963</v>
      </c>
      <c r="C1274" s="58">
        <v>46030.458680555559</v>
      </c>
      <c r="D1274" s="57" t="s">
        <v>2619</v>
      </c>
      <c r="E1274" s="57" t="s">
        <v>2620</v>
      </c>
      <c r="F1274" s="58"/>
      <c r="G1274" s="57" t="s">
        <v>550</v>
      </c>
      <c r="H1274" s="59">
        <v>2</v>
      </c>
      <c r="I1274" s="57"/>
      <c r="J1274" s="57"/>
      <c r="K1274" s="59"/>
      <c r="L1274" s="57"/>
      <c r="M1274" s="60"/>
      <c r="N1274" s="59"/>
      <c r="O1274" s="57"/>
      <c r="P1274" s="57"/>
      <c r="Q1274" s="57" t="s">
        <v>21</v>
      </c>
      <c r="R1274" s="57" t="s">
        <v>5035</v>
      </c>
      <c r="S1274" s="59">
        <v>12793</v>
      </c>
      <c r="T1274" s="57" t="s">
        <v>61</v>
      </c>
      <c r="U1274" s="60">
        <v>45987</v>
      </c>
      <c r="V1274" s="59">
        <v>12793</v>
      </c>
      <c r="W1274" s="57" t="s">
        <v>5036</v>
      </c>
      <c r="X1274" s="57" t="s">
        <v>5037</v>
      </c>
      <c r="Y1274" s="57" t="s">
        <v>22</v>
      </c>
      <c r="Z1274" s="57" t="s">
        <v>219</v>
      </c>
      <c r="AA1274" s="59">
        <v>65545</v>
      </c>
      <c r="AB1274" s="57" t="s">
        <v>61</v>
      </c>
      <c r="AC1274" s="60">
        <v>45875</v>
      </c>
      <c r="AD1274" s="59">
        <v>65545</v>
      </c>
      <c r="AE1274" s="57" t="s">
        <v>5038</v>
      </c>
      <c r="AF1274" s="57" t="s">
        <v>5039</v>
      </c>
    </row>
    <row r="1275" spans="1:32">
      <c r="A1275" s="57">
        <v>1274</v>
      </c>
      <c r="B1275" s="58">
        <v>46030.460879629631</v>
      </c>
      <c r="C1275" s="58">
        <v>46030.464120370372</v>
      </c>
      <c r="D1275" s="57" t="s">
        <v>2522</v>
      </c>
      <c r="E1275" s="57" t="s">
        <v>2523</v>
      </c>
      <c r="F1275" s="58"/>
      <c r="G1275" s="57" t="s">
        <v>464</v>
      </c>
      <c r="H1275" s="59">
        <v>2</v>
      </c>
      <c r="I1275" s="57"/>
      <c r="J1275" s="57"/>
      <c r="K1275" s="59"/>
      <c r="L1275" s="57"/>
      <c r="M1275" s="60"/>
      <c r="N1275" s="59"/>
      <c r="O1275" s="57"/>
      <c r="P1275" s="57"/>
      <c r="Q1275" s="57" t="s">
        <v>22</v>
      </c>
      <c r="R1275" s="57" t="s">
        <v>129</v>
      </c>
      <c r="S1275" s="59">
        <v>86315</v>
      </c>
      <c r="T1275" s="57" t="s">
        <v>61</v>
      </c>
      <c r="U1275" s="60">
        <v>45950</v>
      </c>
      <c r="V1275" s="59">
        <v>86315</v>
      </c>
      <c r="W1275" s="57" t="s">
        <v>5040</v>
      </c>
      <c r="X1275" s="57" t="s">
        <v>5041</v>
      </c>
      <c r="Y1275" s="57" t="s">
        <v>21</v>
      </c>
      <c r="Z1275" s="57" t="s">
        <v>288</v>
      </c>
      <c r="AA1275" s="59">
        <v>12104</v>
      </c>
      <c r="AB1275" s="57" t="s">
        <v>61</v>
      </c>
      <c r="AC1275" s="60">
        <v>46029</v>
      </c>
      <c r="AD1275" s="59">
        <v>12104</v>
      </c>
      <c r="AE1275" s="57" t="s">
        <v>5042</v>
      </c>
      <c r="AF1275" s="57" t="s">
        <v>5043</v>
      </c>
    </row>
    <row r="1276" spans="1:32">
      <c r="A1276" s="57">
        <v>1275</v>
      </c>
      <c r="B1276" s="58">
        <v>46030.565983796303</v>
      </c>
      <c r="C1276" s="58">
        <v>46030.581122685187</v>
      </c>
      <c r="D1276" s="57" t="s">
        <v>809</v>
      </c>
      <c r="E1276" s="57" t="s">
        <v>810</v>
      </c>
      <c r="F1276" s="58"/>
      <c r="G1276" s="57" t="s">
        <v>468</v>
      </c>
      <c r="H1276" s="59">
        <v>1</v>
      </c>
      <c r="I1276" s="57"/>
      <c r="J1276" s="57"/>
      <c r="K1276" s="59"/>
      <c r="L1276" s="57"/>
      <c r="M1276" s="60"/>
      <c r="N1276" s="59"/>
      <c r="O1276" s="57"/>
      <c r="P1276" s="57"/>
      <c r="Q1276" s="57"/>
      <c r="R1276" s="57"/>
      <c r="S1276" s="59"/>
      <c r="T1276" s="57"/>
      <c r="U1276" s="60"/>
      <c r="V1276" s="59"/>
      <c r="W1276" s="57"/>
      <c r="X1276" s="57"/>
      <c r="Y1276" s="57" t="s">
        <v>21</v>
      </c>
      <c r="Z1276" s="57" t="s">
        <v>134</v>
      </c>
      <c r="AA1276" s="59">
        <v>49014</v>
      </c>
      <c r="AB1276" s="57" t="s">
        <v>61</v>
      </c>
      <c r="AC1276" s="60">
        <v>45931</v>
      </c>
      <c r="AD1276" s="59">
        <v>49014</v>
      </c>
      <c r="AE1276" s="57" t="s">
        <v>5044</v>
      </c>
      <c r="AF1276" s="57" t="s">
        <v>5045</v>
      </c>
    </row>
    <row r="1277" spans="1:32">
      <c r="A1277" s="57">
        <v>1276</v>
      </c>
      <c r="B1277" s="58">
        <v>46030.634085648147</v>
      </c>
      <c r="C1277" s="58">
        <v>46030.640613425923</v>
      </c>
      <c r="D1277" s="57" t="s">
        <v>773</v>
      </c>
      <c r="E1277" s="57" t="s">
        <v>774</v>
      </c>
      <c r="F1277" s="58"/>
      <c r="G1277" s="57" t="s">
        <v>594</v>
      </c>
      <c r="H1277" s="59">
        <v>1</v>
      </c>
      <c r="I1277" s="57"/>
      <c r="J1277" s="57"/>
      <c r="K1277" s="59"/>
      <c r="L1277" s="57"/>
      <c r="M1277" s="60"/>
      <c r="N1277" s="59"/>
      <c r="O1277" s="57"/>
      <c r="P1277" s="57"/>
      <c r="Q1277" s="57"/>
      <c r="R1277" s="57"/>
      <c r="S1277" s="59"/>
      <c r="T1277" s="57"/>
      <c r="U1277" s="60"/>
      <c r="V1277" s="59"/>
      <c r="W1277" s="57"/>
      <c r="X1277" s="57"/>
      <c r="Y1277" s="57" t="s">
        <v>20</v>
      </c>
      <c r="Z1277" s="57" t="s">
        <v>270</v>
      </c>
      <c r="AA1277" s="59">
        <v>25668</v>
      </c>
      <c r="AB1277" s="57" t="s">
        <v>61</v>
      </c>
      <c r="AC1277" s="60">
        <v>45918</v>
      </c>
      <c r="AD1277" s="59">
        <v>25668</v>
      </c>
      <c r="AE1277" s="57" t="s">
        <v>5046</v>
      </c>
      <c r="AF1277" s="57" t="s">
        <v>5047</v>
      </c>
    </row>
    <row r="1278" spans="1:32">
      <c r="A1278" s="57">
        <v>1277</v>
      </c>
      <c r="B1278" s="58">
        <v>46030.639293981483</v>
      </c>
      <c r="C1278" s="58">
        <v>46030.642812500002</v>
      </c>
      <c r="D1278" s="57" t="s">
        <v>1351</v>
      </c>
      <c r="E1278" s="57" t="s">
        <v>1352</v>
      </c>
      <c r="F1278" s="58"/>
      <c r="G1278" s="57" t="s">
        <v>673</v>
      </c>
      <c r="H1278" s="59">
        <v>1</v>
      </c>
      <c r="I1278" s="57"/>
      <c r="J1278" s="57"/>
      <c r="K1278" s="59"/>
      <c r="L1278" s="57"/>
      <c r="M1278" s="60"/>
      <c r="N1278" s="59"/>
      <c r="O1278" s="57"/>
      <c r="P1278" s="57"/>
      <c r="Q1278" s="57"/>
      <c r="R1278" s="57"/>
      <c r="S1278" s="59"/>
      <c r="T1278" s="57"/>
      <c r="U1278" s="60"/>
      <c r="V1278" s="59"/>
      <c r="W1278" s="57"/>
      <c r="X1278" s="57"/>
      <c r="Y1278" s="57" t="s">
        <v>21</v>
      </c>
      <c r="Z1278" s="57" t="s">
        <v>385</v>
      </c>
      <c r="AA1278" s="59">
        <v>9694</v>
      </c>
      <c r="AB1278" s="57" t="s">
        <v>61</v>
      </c>
      <c r="AC1278" s="60">
        <v>46030</v>
      </c>
      <c r="AD1278" s="59">
        <v>9694</v>
      </c>
      <c r="AE1278" s="57" t="s">
        <v>5048</v>
      </c>
      <c r="AF1278" s="57" t="s">
        <v>5049</v>
      </c>
    </row>
    <row r="1279" spans="1:32">
      <c r="A1279" s="57">
        <v>1278</v>
      </c>
      <c r="B1279" s="58">
        <v>46030.613912037043</v>
      </c>
      <c r="C1279" s="58">
        <v>46030.660069444442</v>
      </c>
      <c r="D1279" s="57" t="s">
        <v>1193</v>
      </c>
      <c r="E1279" s="57" t="s">
        <v>1194</v>
      </c>
      <c r="F1279" s="58"/>
      <c r="G1279" s="57" t="s">
        <v>656</v>
      </c>
      <c r="H1279" s="59">
        <v>1</v>
      </c>
      <c r="I1279" s="57"/>
      <c r="J1279" s="57"/>
      <c r="K1279" s="59"/>
      <c r="L1279" s="57"/>
      <c r="M1279" s="60"/>
      <c r="N1279" s="59"/>
      <c r="O1279" s="57"/>
      <c r="P1279" s="57"/>
      <c r="Q1279" s="57"/>
      <c r="R1279" s="57"/>
      <c r="S1279" s="59"/>
      <c r="T1279" s="57"/>
      <c r="U1279" s="60"/>
      <c r="V1279" s="59"/>
      <c r="W1279" s="57"/>
      <c r="X1279" s="57"/>
      <c r="Y1279" s="57" t="s">
        <v>20</v>
      </c>
      <c r="Z1279" s="57" t="s">
        <v>354</v>
      </c>
      <c r="AA1279" s="59">
        <v>17476</v>
      </c>
      <c r="AB1279" s="57" t="s">
        <v>61</v>
      </c>
      <c r="AC1279" s="60">
        <v>46030</v>
      </c>
      <c r="AD1279" s="59">
        <v>17476</v>
      </c>
      <c r="AE1279" s="57" t="s">
        <v>5050</v>
      </c>
      <c r="AF1279" s="57" t="s">
        <v>5051</v>
      </c>
    </row>
    <row r="1280" spans="1:32">
      <c r="A1280" s="57">
        <v>1279</v>
      </c>
      <c r="B1280" s="58">
        <v>46030.683020833327</v>
      </c>
      <c r="C1280" s="58">
        <v>46030.689201388886</v>
      </c>
      <c r="D1280" s="57" t="s">
        <v>1272</v>
      </c>
      <c r="E1280" s="57" t="s">
        <v>1273</v>
      </c>
      <c r="F1280" s="58"/>
      <c r="G1280" s="57" t="s">
        <v>489</v>
      </c>
      <c r="H1280" s="59">
        <v>1</v>
      </c>
      <c r="I1280" s="57"/>
      <c r="J1280" s="57"/>
      <c r="K1280" s="59"/>
      <c r="L1280" s="57"/>
      <c r="M1280" s="60"/>
      <c r="N1280" s="59"/>
      <c r="O1280" s="57"/>
      <c r="P1280" s="57"/>
      <c r="Q1280" s="57"/>
      <c r="R1280" s="57"/>
      <c r="S1280" s="59"/>
      <c r="T1280" s="57"/>
      <c r="U1280" s="60"/>
      <c r="V1280" s="59"/>
      <c r="W1280" s="57"/>
      <c r="X1280" s="57"/>
      <c r="Y1280" s="57" t="s">
        <v>20</v>
      </c>
      <c r="Z1280" s="57" t="s">
        <v>155</v>
      </c>
      <c r="AA1280" s="59">
        <v>44001</v>
      </c>
      <c r="AB1280" s="57" t="s">
        <v>61</v>
      </c>
      <c r="AC1280" s="60">
        <v>46028</v>
      </c>
      <c r="AD1280" s="59">
        <v>44001</v>
      </c>
      <c r="AE1280" s="57" t="s">
        <v>5052</v>
      </c>
      <c r="AF1280" s="57" t="s">
        <v>5053</v>
      </c>
    </row>
    <row r="1281" spans="1:32">
      <c r="A1281" s="57">
        <v>1280</v>
      </c>
      <c r="B1281" s="58">
        <v>46030.747997685183</v>
      </c>
      <c r="C1281" s="58">
        <v>46030.754027777781</v>
      </c>
      <c r="D1281" s="57" t="s">
        <v>5054</v>
      </c>
      <c r="E1281" s="57" t="s">
        <v>5055</v>
      </c>
      <c r="F1281" s="58"/>
      <c r="G1281" s="57" t="s">
        <v>651</v>
      </c>
      <c r="H1281" s="59">
        <v>1</v>
      </c>
      <c r="I1281" s="57"/>
      <c r="J1281" s="57"/>
      <c r="K1281" s="59"/>
      <c r="L1281" s="57"/>
      <c r="M1281" s="60"/>
      <c r="N1281" s="59"/>
      <c r="O1281" s="57"/>
      <c r="P1281" s="57"/>
      <c r="Q1281" s="57"/>
      <c r="R1281" s="57"/>
      <c r="S1281" s="59"/>
      <c r="T1281" s="57"/>
      <c r="U1281" s="60"/>
      <c r="V1281" s="59"/>
      <c r="W1281" s="57"/>
      <c r="X1281" s="57"/>
      <c r="Y1281" s="57" t="s">
        <v>21</v>
      </c>
      <c r="Z1281" s="57" t="s">
        <v>348</v>
      </c>
      <c r="AA1281" s="59">
        <v>19610</v>
      </c>
      <c r="AB1281" s="57" t="s">
        <v>61</v>
      </c>
      <c r="AC1281" s="60">
        <v>46008</v>
      </c>
      <c r="AD1281" s="59">
        <v>19610</v>
      </c>
      <c r="AE1281" s="57" t="s">
        <v>5056</v>
      </c>
      <c r="AF1281" s="57" t="s">
        <v>5057</v>
      </c>
    </row>
    <row r="1282" spans="1:32">
      <c r="A1282" s="57">
        <v>1281</v>
      </c>
      <c r="B1282" s="58">
        <v>46031.381909722222</v>
      </c>
      <c r="C1282" s="58">
        <v>46031.385497685187</v>
      </c>
      <c r="D1282" s="57" t="s">
        <v>1745</v>
      </c>
      <c r="E1282" s="57" t="s">
        <v>1746</v>
      </c>
      <c r="F1282" s="58"/>
      <c r="G1282" s="57" t="s">
        <v>557</v>
      </c>
      <c r="H1282" s="59">
        <v>2</v>
      </c>
      <c r="I1282" s="57"/>
      <c r="J1282" s="57"/>
      <c r="K1282" s="59"/>
      <c r="L1282" s="57"/>
      <c r="M1282" s="60"/>
      <c r="N1282" s="59"/>
      <c r="O1282" s="57"/>
      <c r="P1282" s="57"/>
      <c r="Q1282" s="57" t="s">
        <v>22</v>
      </c>
      <c r="R1282" s="57" t="s">
        <v>227</v>
      </c>
      <c r="S1282" s="59">
        <v>74558</v>
      </c>
      <c r="T1282" s="57" t="s">
        <v>61</v>
      </c>
      <c r="U1282" s="60">
        <v>46030</v>
      </c>
      <c r="V1282" s="59">
        <v>74558</v>
      </c>
      <c r="W1282" s="57" t="s">
        <v>5058</v>
      </c>
      <c r="X1282" s="57" t="s">
        <v>5059</v>
      </c>
      <c r="Y1282" s="57" t="s">
        <v>20</v>
      </c>
      <c r="Z1282" s="57" t="s">
        <v>405</v>
      </c>
      <c r="AA1282" s="59">
        <v>10086</v>
      </c>
      <c r="AB1282" s="57" t="s">
        <v>61</v>
      </c>
      <c r="AC1282" s="60">
        <v>46031</v>
      </c>
      <c r="AD1282" s="59">
        <v>10086</v>
      </c>
      <c r="AE1282" s="57" t="s">
        <v>5060</v>
      </c>
      <c r="AF1282" s="57" t="s">
        <v>5061</v>
      </c>
    </row>
    <row r="1283" spans="1:32">
      <c r="A1283" s="57">
        <v>1282</v>
      </c>
      <c r="B1283" s="58">
        <v>46031.46303240741</v>
      </c>
      <c r="C1283" s="58">
        <v>46031.466793981483</v>
      </c>
      <c r="D1283" s="57" t="s">
        <v>2494</v>
      </c>
      <c r="E1283" s="57" t="s">
        <v>2495</v>
      </c>
      <c r="F1283" s="58"/>
      <c r="G1283" s="57" t="s">
        <v>670</v>
      </c>
      <c r="H1283" s="59">
        <v>2</v>
      </c>
      <c r="I1283" s="57"/>
      <c r="J1283" s="57"/>
      <c r="K1283" s="59"/>
      <c r="L1283" s="57"/>
      <c r="M1283" s="60"/>
      <c r="N1283" s="59"/>
      <c r="O1283" s="57"/>
      <c r="P1283" s="57"/>
      <c r="Q1283" s="57" t="s">
        <v>21</v>
      </c>
      <c r="R1283" s="57" t="s">
        <v>424</v>
      </c>
      <c r="S1283" s="59">
        <v>1478</v>
      </c>
      <c r="T1283" s="57" t="s">
        <v>61</v>
      </c>
      <c r="U1283" s="60">
        <v>45967</v>
      </c>
      <c r="V1283" s="59">
        <v>1478</v>
      </c>
      <c r="W1283" s="57" t="s">
        <v>5062</v>
      </c>
      <c r="X1283" s="57" t="s">
        <v>5063</v>
      </c>
      <c r="Y1283" s="57" t="s">
        <v>21</v>
      </c>
      <c r="Z1283" s="57" t="s">
        <v>381</v>
      </c>
      <c r="AA1283" s="59">
        <v>7032</v>
      </c>
      <c r="AB1283" s="57" t="s">
        <v>61</v>
      </c>
      <c r="AC1283" s="60">
        <v>45832</v>
      </c>
      <c r="AD1283" s="59">
        <v>7032</v>
      </c>
      <c r="AE1283" s="57" t="s">
        <v>5064</v>
      </c>
      <c r="AF1283" s="57" t="s">
        <v>5065</v>
      </c>
    </row>
    <row r="1284" spans="1:32">
      <c r="A1284" s="57">
        <v>1283</v>
      </c>
      <c r="B1284" s="58">
        <v>46031.432384259257</v>
      </c>
      <c r="C1284" s="58">
        <v>46031.468182870369</v>
      </c>
      <c r="D1284" s="57" t="s">
        <v>1668</v>
      </c>
      <c r="E1284" s="57" t="s">
        <v>1669</v>
      </c>
      <c r="F1284" s="58"/>
      <c r="G1284" s="57" t="s">
        <v>622</v>
      </c>
      <c r="H1284" s="59">
        <v>2</v>
      </c>
      <c r="I1284" s="57"/>
      <c r="J1284" s="57"/>
      <c r="K1284" s="59"/>
      <c r="L1284" s="57"/>
      <c r="M1284" s="60"/>
      <c r="N1284" s="59"/>
      <c r="O1284" s="57"/>
      <c r="P1284" s="57"/>
      <c r="Q1284" s="57" t="s">
        <v>22</v>
      </c>
      <c r="R1284" s="57" t="s">
        <v>304</v>
      </c>
      <c r="S1284" s="59">
        <v>26113</v>
      </c>
      <c r="T1284" s="57" t="s">
        <v>61</v>
      </c>
      <c r="U1284" s="60">
        <v>45953</v>
      </c>
      <c r="V1284" s="59">
        <v>26113</v>
      </c>
      <c r="W1284" s="57" t="s">
        <v>5066</v>
      </c>
      <c r="X1284" s="57" t="s">
        <v>5067</v>
      </c>
      <c r="Y1284" s="57" t="s">
        <v>21</v>
      </c>
      <c r="Z1284" s="57" t="s">
        <v>308</v>
      </c>
      <c r="AA1284" s="59">
        <v>14483</v>
      </c>
      <c r="AB1284" s="57" t="s">
        <v>61</v>
      </c>
      <c r="AC1284" s="60">
        <v>45863</v>
      </c>
      <c r="AD1284" s="59">
        <v>14483</v>
      </c>
      <c r="AE1284" s="57" t="s">
        <v>5068</v>
      </c>
      <c r="AF1284" s="57" t="s">
        <v>5069</v>
      </c>
    </row>
    <row r="1285" spans="1:32">
      <c r="A1285" s="57">
        <v>1284</v>
      </c>
      <c r="B1285" s="58">
        <v>46031.470694444448</v>
      </c>
      <c r="C1285" s="58">
        <v>46031.477418981478</v>
      </c>
      <c r="D1285" s="57" t="s">
        <v>3802</v>
      </c>
      <c r="E1285" s="57" t="s">
        <v>3803</v>
      </c>
      <c r="F1285" s="58"/>
      <c r="G1285" s="57" t="s">
        <v>463</v>
      </c>
      <c r="H1285" s="59">
        <v>1</v>
      </c>
      <c r="I1285" s="57"/>
      <c r="J1285" s="57"/>
      <c r="K1285" s="59"/>
      <c r="L1285" s="57"/>
      <c r="M1285" s="60"/>
      <c r="N1285" s="59"/>
      <c r="O1285" s="57"/>
      <c r="P1285" s="57"/>
      <c r="Q1285" s="57"/>
      <c r="R1285" s="57"/>
      <c r="S1285" s="59"/>
      <c r="T1285" s="57"/>
      <c r="U1285" s="60"/>
      <c r="V1285" s="59"/>
      <c r="W1285" s="57"/>
      <c r="X1285" s="57"/>
      <c r="Y1285" s="57" t="s">
        <v>21</v>
      </c>
      <c r="Z1285" s="57" t="s">
        <v>128</v>
      </c>
      <c r="AA1285" s="59">
        <v>23428</v>
      </c>
      <c r="AB1285" s="57" t="s">
        <v>61</v>
      </c>
      <c r="AC1285" s="60">
        <v>45985</v>
      </c>
      <c r="AD1285" s="59">
        <v>23428</v>
      </c>
      <c r="AE1285" s="57" t="s">
        <v>5070</v>
      </c>
      <c r="AF1285" s="57" t="s">
        <v>5071</v>
      </c>
    </row>
    <row r="1286" spans="1:32">
      <c r="A1286" s="57">
        <v>1285</v>
      </c>
      <c r="B1286" s="58">
        <v>46031.562673611108</v>
      </c>
      <c r="C1286" s="58">
        <v>46031.565196759257</v>
      </c>
      <c r="D1286" s="57" t="s">
        <v>761</v>
      </c>
      <c r="E1286" s="57" t="s">
        <v>762</v>
      </c>
      <c r="F1286" s="58"/>
      <c r="G1286" s="57" t="s">
        <v>693</v>
      </c>
      <c r="H1286" s="59">
        <v>1</v>
      </c>
      <c r="I1286" s="57"/>
      <c r="J1286" s="57"/>
      <c r="K1286" s="59"/>
      <c r="L1286" s="57"/>
      <c r="M1286" s="60"/>
      <c r="N1286" s="59"/>
      <c r="O1286" s="57"/>
      <c r="P1286" s="57"/>
      <c r="Q1286" s="57"/>
      <c r="R1286" s="57"/>
      <c r="S1286" s="59"/>
      <c r="T1286" s="57"/>
      <c r="U1286" s="60"/>
      <c r="V1286" s="59"/>
      <c r="W1286" s="57"/>
      <c r="X1286" s="57"/>
      <c r="Y1286" s="57" t="s">
        <v>21</v>
      </c>
      <c r="Z1286" s="57" t="s">
        <v>415</v>
      </c>
      <c r="AA1286" s="59">
        <v>4899</v>
      </c>
      <c r="AB1286" s="57" t="s">
        <v>61</v>
      </c>
      <c r="AC1286" s="60">
        <v>45952</v>
      </c>
      <c r="AD1286" s="59">
        <v>4899</v>
      </c>
      <c r="AE1286" s="57" t="s">
        <v>5072</v>
      </c>
      <c r="AF1286" s="57" t="s">
        <v>5073</v>
      </c>
    </row>
    <row r="1287" spans="1:32">
      <c r="A1287" s="57">
        <v>1286</v>
      </c>
      <c r="B1287" s="58">
        <v>46031.639675925922</v>
      </c>
      <c r="C1287" s="58">
        <v>46031.642268518517</v>
      </c>
      <c r="D1287" s="57" t="s">
        <v>1473</v>
      </c>
      <c r="E1287" s="57" t="s">
        <v>1474</v>
      </c>
      <c r="F1287" s="58"/>
      <c r="G1287" s="57" t="s">
        <v>3896</v>
      </c>
      <c r="H1287" s="59">
        <v>1</v>
      </c>
      <c r="I1287" s="57"/>
      <c r="J1287" s="57"/>
      <c r="K1287" s="59"/>
      <c r="L1287" s="57"/>
      <c r="M1287" s="60"/>
      <c r="N1287" s="59"/>
      <c r="O1287" s="57"/>
      <c r="P1287" s="57"/>
      <c r="Q1287" s="57"/>
      <c r="R1287" s="57"/>
      <c r="S1287" s="59"/>
      <c r="T1287" s="57"/>
      <c r="U1287" s="60"/>
      <c r="V1287" s="59"/>
      <c r="W1287" s="57"/>
      <c r="X1287" s="57"/>
      <c r="Y1287" s="57" t="s">
        <v>20</v>
      </c>
      <c r="Z1287" s="57" t="s">
        <v>160</v>
      </c>
      <c r="AA1287" s="59">
        <v>34695</v>
      </c>
      <c r="AB1287" s="57" t="s">
        <v>61</v>
      </c>
      <c r="AC1287" s="60">
        <v>45848</v>
      </c>
      <c r="AD1287" s="59">
        <v>34695</v>
      </c>
      <c r="AE1287" s="57" t="s">
        <v>5074</v>
      </c>
      <c r="AF1287" s="57" t="s">
        <v>5075</v>
      </c>
    </row>
    <row r="1288" spans="1:32">
      <c r="A1288" s="57">
        <v>1287</v>
      </c>
      <c r="B1288" s="58">
        <v>46031.683541666673</v>
      </c>
      <c r="C1288" s="58">
        <v>46031.685879629629</v>
      </c>
      <c r="D1288" s="57" t="s">
        <v>769</v>
      </c>
      <c r="E1288" s="57" t="s">
        <v>770</v>
      </c>
      <c r="F1288" s="58"/>
      <c r="G1288" s="57" t="s">
        <v>582</v>
      </c>
      <c r="H1288" s="59">
        <v>2</v>
      </c>
      <c r="I1288" s="57"/>
      <c r="J1288" s="57"/>
      <c r="K1288" s="59"/>
      <c r="L1288" s="57"/>
      <c r="M1288" s="60"/>
      <c r="N1288" s="59"/>
      <c r="O1288" s="57"/>
      <c r="P1288" s="57"/>
      <c r="Q1288" s="57" t="s">
        <v>21</v>
      </c>
      <c r="R1288" s="57" t="s">
        <v>257</v>
      </c>
      <c r="S1288" s="59">
        <v>31228</v>
      </c>
      <c r="T1288" s="57" t="s">
        <v>61</v>
      </c>
      <c r="U1288" s="60">
        <v>46030</v>
      </c>
      <c r="V1288" s="59">
        <v>31228</v>
      </c>
      <c r="W1288" s="57" t="s">
        <v>5076</v>
      </c>
      <c r="X1288" s="57" t="s">
        <v>5077</v>
      </c>
      <c r="Y1288" s="57" t="s">
        <v>21</v>
      </c>
      <c r="Z1288" s="57" t="s">
        <v>256</v>
      </c>
      <c r="AA1288" s="59">
        <v>42134</v>
      </c>
      <c r="AB1288" s="57" t="s">
        <v>61</v>
      </c>
      <c r="AC1288" s="60">
        <v>45958</v>
      </c>
      <c r="AD1288" s="59">
        <v>42134</v>
      </c>
      <c r="AE1288" s="57" t="s">
        <v>5078</v>
      </c>
      <c r="AF1288" s="57" t="s">
        <v>5079</v>
      </c>
    </row>
    <row r="1289" spans="1:32">
      <c r="A1289" s="57">
        <v>1288</v>
      </c>
      <c r="B1289" s="58">
        <v>46031.685486111113</v>
      </c>
      <c r="C1289" s="58">
        <v>46031.686990740738</v>
      </c>
      <c r="D1289" s="57" t="s">
        <v>1590</v>
      </c>
      <c r="E1289" s="57" t="s">
        <v>1591</v>
      </c>
      <c r="F1289" s="58"/>
      <c r="G1289" s="57" t="s">
        <v>465</v>
      </c>
      <c r="H1289" s="59">
        <v>1</v>
      </c>
      <c r="I1289" s="57"/>
      <c r="J1289" s="57"/>
      <c r="K1289" s="59"/>
      <c r="L1289" s="57"/>
      <c r="M1289" s="60"/>
      <c r="N1289" s="59"/>
      <c r="O1289" s="57"/>
      <c r="P1289" s="57"/>
      <c r="Q1289" s="57"/>
      <c r="R1289" s="57"/>
      <c r="S1289" s="59"/>
      <c r="T1289" s="57"/>
      <c r="U1289" s="60"/>
      <c r="V1289" s="59"/>
      <c r="W1289" s="57"/>
      <c r="X1289" s="57"/>
      <c r="Y1289" s="57" t="s">
        <v>20</v>
      </c>
      <c r="Z1289" s="57" t="s">
        <v>130</v>
      </c>
      <c r="AA1289" s="59">
        <v>85294</v>
      </c>
      <c r="AB1289" s="57" t="s">
        <v>61</v>
      </c>
      <c r="AC1289" s="60">
        <v>45933</v>
      </c>
      <c r="AD1289" s="59">
        <v>85294</v>
      </c>
      <c r="AE1289" s="57" t="s">
        <v>5080</v>
      </c>
      <c r="AF1289" s="57" t="s">
        <v>5081</v>
      </c>
    </row>
    <row r="1290" spans="1:32">
      <c r="A1290" s="57">
        <v>1289</v>
      </c>
      <c r="B1290" s="58">
        <v>46031.692673611113</v>
      </c>
      <c r="C1290" s="58">
        <v>46031.704895833333</v>
      </c>
      <c r="D1290" s="57" t="s">
        <v>4483</v>
      </c>
      <c r="E1290" s="57" t="s">
        <v>4484</v>
      </c>
      <c r="F1290" s="58"/>
      <c r="G1290" s="57" t="s">
        <v>580</v>
      </c>
      <c r="H1290" s="59">
        <v>1</v>
      </c>
      <c r="I1290" s="57"/>
      <c r="J1290" s="57"/>
      <c r="K1290" s="59"/>
      <c r="L1290" s="57"/>
      <c r="M1290" s="60"/>
      <c r="N1290" s="59"/>
      <c r="O1290" s="57"/>
      <c r="P1290" s="57"/>
      <c r="Q1290" s="57"/>
      <c r="R1290" s="57"/>
      <c r="S1290" s="59"/>
      <c r="T1290" s="57"/>
      <c r="U1290" s="60"/>
      <c r="V1290" s="59"/>
      <c r="W1290" s="57"/>
      <c r="X1290" s="57"/>
      <c r="Y1290" s="57" t="s">
        <v>22</v>
      </c>
      <c r="Z1290" s="57" t="s">
        <v>281</v>
      </c>
      <c r="AA1290" s="59">
        <v>41587</v>
      </c>
      <c r="AB1290" s="57" t="s">
        <v>61</v>
      </c>
      <c r="AC1290" s="60">
        <v>46002</v>
      </c>
      <c r="AD1290" s="59">
        <v>41587</v>
      </c>
      <c r="AE1290" s="57" t="s">
        <v>5082</v>
      </c>
      <c r="AF1290" s="57" t="s">
        <v>5083</v>
      </c>
    </row>
    <row r="1291" spans="1:32">
      <c r="A1291" s="57">
        <v>1290</v>
      </c>
      <c r="B1291" s="58">
        <v>46029.649247685193</v>
      </c>
      <c r="C1291" s="58">
        <v>46031.746053240742</v>
      </c>
      <c r="D1291" s="57" t="s">
        <v>2549</v>
      </c>
      <c r="E1291" s="57" t="s">
        <v>2550</v>
      </c>
      <c r="F1291" s="58"/>
      <c r="G1291" s="57" t="s">
        <v>654</v>
      </c>
      <c r="H1291" s="59">
        <v>2</v>
      </c>
      <c r="I1291" s="57"/>
      <c r="J1291" s="57"/>
      <c r="K1291" s="59"/>
      <c r="L1291" s="57"/>
      <c r="M1291" s="60"/>
      <c r="N1291" s="59"/>
      <c r="O1291" s="57"/>
      <c r="P1291" s="57"/>
      <c r="Q1291" s="57" t="s">
        <v>21</v>
      </c>
      <c r="R1291" s="57" t="s">
        <v>394</v>
      </c>
      <c r="S1291" s="59">
        <v>6567</v>
      </c>
      <c r="T1291" s="57" t="s">
        <v>61</v>
      </c>
      <c r="U1291" s="60">
        <v>46031</v>
      </c>
      <c r="V1291" s="59">
        <v>6567</v>
      </c>
      <c r="W1291" s="57" t="s">
        <v>5084</v>
      </c>
      <c r="X1291" s="57" t="s">
        <v>5085</v>
      </c>
      <c r="Y1291" s="57" t="s">
        <v>22</v>
      </c>
      <c r="Z1291" s="57" t="s">
        <v>352</v>
      </c>
      <c r="AA1291" s="59">
        <v>18202</v>
      </c>
      <c r="AB1291" s="57" t="s">
        <v>61</v>
      </c>
      <c r="AC1291" s="60">
        <v>45944</v>
      </c>
      <c r="AD1291" s="59">
        <v>18202</v>
      </c>
      <c r="AE1291" s="57" t="s">
        <v>5086</v>
      </c>
      <c r="AF1291" s="57" t="s">
        <v>5087</v>
      </c>
    </row>
    <row r="1292" spans="1:32">
      <c r="A1292" s="57">
        <v>1291</v>
      </c>
      <c r="B1292" s="58">
        <v>46031.361342592587</v>
      </c>
      <c r="C1292" s="58">
        <v>46031.766817129632</v>
      </c>
      <c r="D1292" s="57" t="s">
        <v>1551</v>
      </c>
      <c r="E1292" s="57" t="s">
        <v>1552</v>
      </c>
      <c r="F1292" s="58"/>
      <c r="G1292" s="57" t="s">
        <v>543</v>
      </c>
      <c r="H1292" s="59">
        <v>2</v>
      </c>
      <c r="I1292" s="57"/>
      <c r="J1292" s="57"/>
      <c r="K1292" s="59"/>
      <c r="L1292" s="57"/>
      <c r="M1292" s="60"/>
      <c r="N1292" s="59"/>
      <c r="O1292" s="57"/>
      <c r="P1292" s="57"/>
      <c r="Q1292" s="57" t="s">
        <v>22</v>
      </c>
      <c r="R1292" s="57" t="s">
        <v>300</v>
      </c>
      <c r="S1292" s="59">
        <v>20581</v>
      </c>
      <c r="T1292" s="57" t="s">
        <v>61</v>
      </c>
      <c r="U1292" s="60">
        <v>45957</v>
      </c>
      <c r="V1292" s="59">
        <v>20581</v>
      </c>
      <c r="W1292" s="57" t="s">
        <v>5088</v>
      </c>
      <c r="X1292" s="57" t="s">
        <v>5089</v>
      </c>
      <c r="Y1292" s="57" t="s">
        <v>20</v>
      </c>
      <c r="Z1292" s="57" t="s">
        <v>212</v>
      </c>
      <c r="AA1292" s="59">
        <v>67396</v>
      </c>
      <c r="AB1292" s="57" t="s">
        <v>61</v>
      </c>
      <c r="AC1292" s="60">
        <v>45954</v>
      </c>
      <c r="AD1292" s="59">
        <v>67396</v>
      </c>
      <c r="AE1292" s="57" t="s">
        <v>5090</v>
      </c>
      <c r="AF1292" s="57" t="s">
        <v>5091</v>
      </c>
    </row>
    <row r="1293" spans="1:32">
      <c r="A1293" s="57">
        <v>1292</v>
      </c>
      <c r="B1293" s="58">
        <v>46031.826574074083</v>
      </c>
      <c r="C1293" s="58">
        <v>46031.839479166672</v>
      </c>
      <c r="D1293" s="57" t="s">
        <v>1750</v>
      </c>
      <c r="E1293" s="57" t="s">
        <v>1751</v>
      </c>
      <c r="F1293" s="58"/>
      <c r="G1293" s="57" t="s">
        <v>530</v>
      </c>
      <c r="H1293" s="59">
        <v>1</v>
      </c>
      <c r="I1293" s="57"/>
      <c r="J1293" s="57"/>
      <c r="K1293" s="59"/>
      <c r="L1293" s="57"/>
      <c r="M1293" s="60"/>
      <c r="N1293" s="59"/>
      <c r="O1293" s="57"/>
      <c r="P1293" s="57"/>
      <c r="Q1293" s="57"/>
      <c r="R1293" s="57"/>
      <c r="S1293" s="59"/>
      <c r="T1293" s="57"/>
      <c r="U1293" s="60"/>
      <c r="V1293" s="59"/>
      <c r="W1293" s="57"/>
      <c r="X1293" s="57"/>
      <c r="Y1293" s="57" t="s">
        <v>21</v>
      </c>
      <c r="Z1293" s="57" t="s">
        <v>197</v>
      </c>
      <c r="AA1293" s="59">
        <v>32515</v>
      </c>
      <c r="AB1293" s="57" t="s">
        <v>61</v>
      </c>
      <c r="AC1293" s="60">
        <v>45898</v>
      </c>
      <c r="AD1293" s="59">
        <v>32515</v>
      </c>
      <c r="AE1293" s="57" t="s">
        <v>5092</v>
      </c>
      <c r="AF1293" s="57" t="s">
        <v>5093</v>
      </c>
    </row>
    <row r="1294" spans="1:32">
      <c r="A1294" s="57">
        <v>1293</v>
      </c>
      <c r="B1294" s="58">
        <v>46032.378703703696</v>
      </c>
      <c r="C1294" s="58">
        <v>46032.380567129629</v>
      </c>
      <c r="D1294" s="57" t="s">
        <v>1885</v>
      </c>
      <c r="E1294" s="57" t="s">
        <v>1886</v>
      </c>
      <c r="F1294" s="58"/>
      <c r="G1294" s="57" t="s">
        <v>486</v>
      </c>
      <c r="H1294" s="59">
        <v>1</v>
      </c>
      <c r="I1294" s="57"/>
      <c r="J1294" s="57"/>
      <c r="K1294" s="59"/>
      <c r="L1294" s="57"/>
      <c r="M1294" s="60"/>
      <c r="N1294" s="59"/>
      <c r="O1294" s="57"/>
      <c r="P1294" s="57"/>
      <c r="Q1294" s="57"/>
      <c r="R1294" s="57"/>
      <c r="S1294" s="59"/>
      <c r="T1294" s="57"/>
      <c r="U1294" s="60"/>
      <c r="V1294" s="59"/>
      <c r="W1294" s="57"/>
      <c r="X1294" s="57"/>
      <c r="Y1294" s="57" t="s">
        <v>20</v>
      </c>
      <c r="Z1294" s="57" t="s">
        <v>5094</v>
      </c>
      <c r="AA1294" s="59">
        <v>48565</v>
      </c>
      <c r="AB1294" s="57" t="s">
        <v>61</v>
      </c>
      <c r="AC1294" s="60">
        <v>45936</v>
      </c>
      <c r="AD1294" s="59">
        <v>48565</v>
      </c>
      <c r="AE1294" s="57" t="s">
        <v>5095</v>
      </c>
      <c r="AF1294" s="57" t="s">
        <v>5096</v>
      </c>
    </row>
    <row r="1295" spans="1:32">
      <c r="A1295" s="57">
        <v>1294</v>
      </c>
      <c r="B1295" s="58">
        <v>46032.396828703713</v>
      </c>
      <c r="C1295" s="58">
        <v>46032.407372685193</v>
      </c>
      <c r="D1295" s="57" t="s">
        <v>1387</v>
      </c>
      <c r="E1295" s="57" t="s">
        <v>1388</v>
      </c>
      <c r="F1295" s="58"/>
      <c r="G1295" s="57" t="s">
        <v>462</v>
      </c>
      <c r="H1295" s="59">
        <v>1</v>
      </c>
      <c r="I1295" s="57"/>
      <c r="J1295" s="57"/>
      <c r="K1295" s="59"/>
      <c r="L1295" s="57"/>
      <c r="M1295" s="60"/>
      <c r="N1295" s="59"/>
      <c r="O1295" s="57"/>
      <c r="P1295" s="57"/>
      <c r="Q1295" s="57"/>
      <c r="R1295" s="57"/>
      <c r="S1295" s="59"/>
      <c r="T1295" s="57"/>
      <c r="U1295" s="60"/>
      <c r="V1295" s="59"/>
      <c r="W1295" s="57"/>
      <c r="X1295" s="57"/>
      <c r="Y1295" s="57" t="s">
        <v>21</v>
      </c>
      <c r="Z1295" s="57" t="s">
        <v>127</v>
      </c>
      <c r="AA1295" s="59">
        <v>22754</v>
      </c>
      <c r="AB1295" s="57" t="s">
        <v>61</v>
      </c>
      <c r="AC1295" s="60">
        <v>45668</v>
      </c>
      <c r="AD1295" s="59">
        <v>22754</v>
      </c>
      <c r="AE1295" s="57" t="s">
        <v>5097</v>
      </c>
      <c r="AF1295" s="57" t="s">
        <v>5098</v>
      </c>
    </row>
    <row r="1296" spans="1:32">
      <c r="A1296" s="57">
        <v>1295</v>
      </c>
      <c r="B1296" s="58">
        <v>46032.420590277783</v>
      </c>
      <c r="C1296" s="58">
        <v>46032.424444444441</v>
      </c>
      <c r="D1296" s="57" t="s">
        <v>994</v>
      </c>
      <c r="E1296" s="57" t="s">
        <v>995</v>
      </c>
      <c r="F1296" s="58"/>
      <c r="G1296" s="57" t="s">
        <v>720</v>
      </c>
      <c r="H1296" s="59">
        <v>1</v>
      </c>
      <c r="I1296" s="57"/>
      <c r="J1296" s="57"/>
      <c r="K1296" s="59"/>
      <c r="L1296" s="57"/>
      <c r="M1296" s="60"/>
      <c r="N1296" s="59"/>
      <c r="O1296" s="57"/>
      <c r="P1296" s="57"/>
      <c r="Q1296" s="57"/>
      <c r="R1296" s="57"/>
      <c r="S1296" s="59"/>
      <c r="T1296" s="57"/>
      <c r="U1296" s="60"/>
      <c r="V1296" s="59"/>
      <c r="W1296" s="57"/>
      <c r="X1296" s="57"/>
      <c r="Y1296" s="57" t="s">
        <v>21</v>
      </c>
      <c r="Z1296" s="57" t="s">
        <v>996</v>
      </c>
      <c r="AA1296" s="59">
        <v>66159</v>
      </c>
      <c r="AB1296" s="57" t="s">
        <v>61</v>
      </c>
      <c r="AC1296" s="60">
        <v>45926</v>
      </c>
      <c r="AD1296" s="59">
        <v>66159</v>
      </c>
      <c r="AE1296" s="57" t="s">
        <v>5099</v>
      </c>
      <c r="AF1296" s="57" t="s">
        <v>5100</v>
      </c>
    </row>
    <row r="1297" spans="1:32">
      <c r="A1297" s="57">
        <v>1296</v>
      </c>
      <c r="B1297" s="58">
        <v>46032.431458333333</v>
      </c>
      <c r="C1297" s="58">
        <v>46032.43613425926</v>
      </c>
      <c r="D1297" s="57" t="s">
        <v>1536</v>
      </c>
      <c r="E1297" s="57" t="s">
        <v>1537</v>
      </c>
      <c r="F1297" s="58"/>
      <c r="G1297" s="57" t="s">
        <v>605</v>
      </c>
      <c r="H1297" s="59">
        <v>2</v>
      </c>
      <c r="I1297" s="57"/>
      <c r="J1297" s="57"/>
      <c r="K1297" s="59"/>
      <c r="L1297" s="57"/>
      <c r="M1297" s="60"/>
      <c r="N1297" s="59"/>
      <c r="O1297" s="57"/>
      <c r="P1297" s="57"/>
      <c r="Q1297" s="57" t="s">
        <v>22</v>
      </c>
      <c r="R1297" s="57" t="s">
        <v>297</v>
      </c>
      <c r="S1297" s="59">
        <v>14774</v>
      </c>
      <c r="T1297" s="57" t="s">
        <v>61</v>
      </c>
      <c r="U1297" s="60">
        <v>45974</v>
      </c>
      <c r="V1297" s="59">
        <v>14774</v>
      </c>
      <c r="W1297" s="57" t="s">
        <v>5101</v>
      </c>
      <c r="X1297" s="57" t="s">
        <v>5102</v>
      </c>
      <c r="Y1297" s="57" t="s">
        <v>21</v>
      </c>
      <c r="Z1297" s="57" t="s">
        <v>283</v>
      </c>
      <c r="AA1297" s="59">
        <v>20782</v>
      </c>
      <c r="AB1297" s="57" t="s">
        <v>61</v>
      </c>
      <c r="AC1297" s="60">
        <v>45878</v>
      </c>
      <c r="AD1297" s="59">
        <v>20782</v>
      </c>
      <c r="AE1297" s="57" t="s">
        <v>5103</v>
      </c>
      <c r="AF1297" s="57" t="s">
        <v>5104</v>
      </c>
    </row>
    <row r="1298" spans="1:32">
      <c r="A1298" s="57">
        <v>1297</v>
      </c>
      <c r="B1298" s="58">
        <v>46032.346967592603</v>
      </c>
      <c r="C1298" s="58">
        <v>46032.527442129627</v>
      </c>
      <c r="D1298" s="57" t="s">
        <v>1502</v>
      </c>
      <c r="E1298" s="57" t="s">
        <v>1503</v>
      </c>
      <c r="F1298" s="58"/>
      <c r="G1298" s="57" t="s">
        <v>491</v>
      </c>
      <c r="H1298" s="59">
        <v>2</v>
      </c>
      <c r="I1298" s="57"/>
      <c r="J1298" s="57"/>
      <c r="K1298" s="59"/>
      <c r="L1298" s="57"/>
      <c r="M1298" s="60"/>
      <c r="N1298" s="59"/>
      <c r="O1298" s="57"/>
      <c r="P1298" s="57"/>
      <c r="Q1298" s="57" t="s">
        <v>20</v>
      </c>
      <c r="R1298" s="57" t="s">
        <v>157</v>
      </c>
      <c r="S1298" s="59">
        <v>54320</v>
      </c>
      <c r="T1298" s="57" t="s">
        <v>61</v>
      </c>
      <c r="U1298" s="60">
        <v>45968</v>
      </c>
      <c r="V1298" s="59">
        <v>54320</v>
      </c>
      <c r="W1298" s="57" t="s">
        <v>5105</v>
      </c>
      <c r="X1298" s="57" t="s">
        <v>5106</v>
      </c>
      <c r="Y1298" s="57" t="s">
        <v>22</v>
      </c>
      <c r="Z1298" s="57" t="s">
        <v>373</v>
      </c>
      <c r="AA1298" s="59">
        <v>20678</v>
      </c>
      <c r="AB1298" s="57" t="s">
        <v>61</v>
      </c>
      <c r="AC1298" s="60">
        <v>46021</v>
      </c>
      <c r="AD1298" s="59">
        <v>20678</v>
      </c>
      <c r="AE1298" s="57" t="s">
        <v>5107</v>
      </c>
      <c r="AF1298" s="57" t="s">
        <v>5108</v>
      </c>
    </row>
    <row r="1299" spans="1:32">
      <c r="A1299" s="57">
        <v>1298</v>
      </c>
      <c r="B1299" s="58">
        <v>46032.792858796303</v>
      </c>
      <c r="C1299" s="58">
        <v>46032.799525462957</v>
      </c>
      <c r="D1299" s="57" t="s">
        <v>1249</v>
      </c>
      <c r="E1299" s="57" t="s">
        <v>1250</v>
      </c>
      <c r="F1299" s="58"/>
      <c r="G1299" s="57" t="s">
        <v>660</v>
      </c>
      <c r="H1299" s="59">
        <v>2</v>
      </c>
      <c r="I1299" s="57"/>
      <c r="J1299" s="57"/>
      <c r="K1299" s="59"/>
      <c r="L1299" s="57"/>
      <c r="M1299" s="60"/>
      <c r="N1299" s="59"/>
      <c r="O1299" s="57"/>
      <c r="P1299" s="57"/>
      <c r="Q1299" s="57" t="s">
        <v>22</v>
      </c>
      <c r="R1299" s="57" t="s">
        <v>361</v>
      </c>
      <c r="S1299" s="59">
        <v>18629</v>
      </c>
      <c r="T1299" s="57" t="s">
        <v>61</v>
      </c>
      <c r="U1299" s="60">
        <v>45972</v>
      </c>
      <c r="V1299" s="59">
        <v>18629</v>
      </c>
      <c r="W1299" s="57" t="s">
        <v>5109</v>
      </c>
      <c r="X1299" s="57" t="s">
        <v>5110</v>
      </c>
      <c r="Y1299" s="57" t="s">
        <v>20</v>
      </c>
      <c r="Z1299" s="57" t="s">
        <v>1251</v>
      </c>
      <c r="AA1299" s="59">
        <v>122170</v>
      </c>
      <c r="AB1299" s="57" t="s">
        <v>61</v>
      </c>
      <c r="AC1299" s="60">
        <v>45972</v>
      </c>
      <c r="AD1299" s="59">
        <v>122170</v>
      </c>
      <c r="AE1299" s="57" t="s">
        <v>5111</v>
      </c>
      <c r="AF1299" s="57" t="s">
        <v>5112</v>
      </c>
    </row>
    <row r="1300" spans="1:32">
      <c r="A1300" s="57">
        <v>1299</v>
      </c>
      <c r="B1300" s="58">
        <v>46034.412268518521</v>
      </c>
      <c r="C1300" s="58">
        <v>46034.433969907397</v>
      </c>
      <c r="D1300" s="57" t="s">
        <v>974</v>
      </c>
      <c r="E1300" s="57" t="s">
        <v>975</v>
      </c>
      <c r="F1300" s="58"/>
      <c r="G1300" s="57" t="s">
        <v>481</v>
      </c>
      <c r="H1300" s="59">
        <v>1</v>
      </c>
      <c r="I1300" s="57"/>
      <c r="J1300" s="57"/>
      <c r="K1300" s="59"/>
      <c r="L1300" s="57"/>
      <c r="M1300" s="60"/>
      <c r="N1300" s="59"/>
      <c r="O1300" s="57"/>
      <c r="P1300" s="57"/>
      <c r="Q1300" s="57"/>
      <c r="R1300" s="57"/>
      <c r="S1300" s="59"/>
      <c r="T1300" s="57"/>
      <c r="U1300" s="60"/>
      <c r="V1300" s="59"/>
      <c r="W1300" s="57"/>
      <c r="X1300" s="57"/>
      <c r="Y1300" s="57" t="s">
        <v>21</v>
      </c>
      <c r="Z1300" s="57" t="s">
        <v>147</v>
      </c>
      <c r="AA1300" s="59">
        <v>45544</v>
      </c>
      <c r="AB1300" s="57" t="s">
        <v>61</v>
      </c>
      <c r="AC1300" s="60">
        <v>45988</v>
      </c>
      <c r="AD1300" s="59">
        <v>45544</v>
      </c>
      <c r="AE1300" s="57" t="s">
        <v>5113</v>
      </c>
      <c r="AF1300" s="57" t="s">
        <v>5114</v>
      </c>
    </row>
    <row r="1301" spans="1:32">
      <c r="A1301" s="57">
        <v>1300</v>
      </c>
      <c r="B1301" s="58">
        <v>46032.46665509259</v>
      </c>
      <c r="C1301" s="58">
        <v>46034.448946759258</v>
      </c>
      <c r="D1301" s="57" t="s">
        <v>1379</v>
      </c>
      <c r="E1301" s="57" t="s">
        <v>1380</v>
      </c>
      <c r="F1301" s="58"/>
      <c r="G1301" s="57" t="s">
        <v>598</v>
      </c>
      <c r="H1301" s="59">
        <v>1</v>
      </c>
      <c r="I1301" s="57"/>
      <c r="J1301" s="57"/>
      <c r="K1301" s="59"/>
      <c r="L1301" s="57"/>
      <c r="M1301" s="60"/>
      <c r="N1301" s="59"/>
      <c r="O1301" s="57"/>
      <c r="P1301" s="57"/>
      <c r="Q1301" s="57"/>
      <c r="R1301" s="57"/>
      <c r="S1301" s="59"/>
      <c r="T1301" s="57"/>
      <c r="U1301" s="60"/>
      <c r="V1301" s="59"/>
      <c r="W1301" s="57"/>
      <c r="X1301" s="57"/>
      <c r="Y1301" s="57" t="s">
        <v>21</v>
      </c>
      <c r="Z1301" s="57" t="s">
        <v>274</v>
      </c>
      <c r="AA1301" s="59">
        <v>26477</v>
      </c>
      <c r="AB1301" s="57" t="s">
        <v>61</v>
      </c>
      <c r="AC1301" s="60">
        <v>45889</v>
      </c>
      <c r="AD1301" s="59">
        <v>26477</v>
      </c>
      <c r="AE1301" s="57" t="s">
        <v>5115</v>
      </c>
      <c r="AF1301" s="57" t="s">
        <v>5116</v>
      </c>
    </row>
    <row r="1302" spans="1:32">
      <c r="A1302" s="57">
        <v>1301</v>
      </c>
      <c r="B1302" s="58">
        <v>46034.432905092603</v>
      </c>
      <c r="C1302" s="58">
        <v>46034.511122685188</v>
      </c>
      <c r="D1302" s="57" t="s">
        <v>1795</v>
      </c>
      <c r="E1302" s="57" t="s">
        <v>1796</v>
      </c>
      <c r="F1302" s="58"/>
      <c r="G1302" s="57" t="s">
        <v>632</v>
      </c>
      <c r="H1302" s="59">
        <v>2</v>
      </c>
      <c r="I1302" s="57"/>
      <c r="J1302" s="57"/>
      <c r="K1302" s="59"/>
      <c r="L1302" s="57"/>
      <c r="M1302" s="60"/>
      <c r="N1302" s="59"/>
      <c r="O1302" s="57"/>
      <c r="P1302" s="57"/>
      <c r="Q1302" s="57" t="s">
        <v>22</v>
      </c>
      <c r="R1302" s="57" t="s">
        <v>443</v>
      </c>
      <c r="S1302" s="59">
        <v>839</v>
      </c>
      <c r="T1302" s="57" t="s">
        <v>61</v>
      </c>
      <c r="U1302" s="60">
        <v>46034</v>
      </c>
      <c r="V1302" s="59">
        <v>839</v>
      </c>
      <c r="W1302" s="57" t="s">
        <v>5117</v>
      </c>
      <c r="X1302" s="57" t="s">
        <v>5118</v>
      </c>
      <c r="Y1302" s="57" t="s">
        <v>21</v>
      </c>
      <c r="Z1302" s="57" t="s">
        <v>321</v>
      </c>
      <c r="AA1302" s="59">
        <v>3679</v>
      </c>
      <c r="AB1302" s="57" t="s">
        <v>61</v>
      </c>
      <c r="AC1302" s="60">
        <v>45890</v>
      </c>
      <c r="AD1302" s="59">
        <v>3679</v>
      </c>
      <c r="AE1302" s="57" t="s">
        <v>5119</v>
      </c>
      <c r="AF1302" s="57" t="s">
        <v>5120</v>
      </c>
    </row>
    <row r="1303" spans="1:32">
      <c r="A1303" s="57">
        <v>1302</v>
      </c>
      <c r="B1303" s="58">
        <v>46034.522476851853</v>
      </c>
      <c r="C1303" s="58">
        <v>46034.525219907409</v>
      </c>
      <c r="D1303" s="57" t="s">
        <v>2212</v>
      </c>
      <c r="E1303" s="57" t="s">
        <v>2213</v>
      </c>
      <c r="F1303" s="58"/>
      <c r="G1303" s="57" t="s">
        <v>707</v>
      </c>
      <c r="H1303" s="59">
        <v>2</v>
      </c>
      <c r="I1303" s="57"/>
      <c r="J1303" s="57"/>
      <c r="K1303" s="59"/>
      <c r="L1303" s="57"/>
      <c r="M1303" s="60"/>
      <c r="N1303" s="59"/>
      <c r="O1303" s="57"/>
      <c r="P1303" s="57"/>
      <c r="Q1303" s="57" t="s">
        <v>22</v>
      </c>
      <c r="R1303" s="57" t="s">
        <v>5121</v>
      </c>
      <c r="S1303" s="59">
        <v>1291</v>
      </c>
      <c r="T1303" s="57" t="s">
        <v>61</v>
      </c>
      <c r="U1303" s="60">
        <v>45999</v>
      </c>
      <c r="V1303" s="59">
        <v>1291</v>
      </c>
      <c r="W1303" s="57" t="s">
        <v>5122</v>
      </c>
      <c r="X1303" s="57" t="s">
        <v>5123</v>
      </c>
      <c r="Y1303" s="57" t="s">
        <v>20</v>
      </c>
      <c r="Z1303" s="57" t="s">
        <v>436</v>
      </c>
      <c r="AA1303" s="59">
        <v>682</v>
      </c>
      <c r="AB1303" s="57" t="s">
        <v>61</v>
      </c>
      <c r="AC1303" s="60">
        <v>45999</v>
      </c>
      <c r="AD1303" s="59">
        <v>682</v>
      </c>
      <c r="AE1303" s="57" t="s">
        <v>5124</v>
      </c>
      <c r="AF1303" s="57" t="s">
        <v>5125</v>
      </c>
    </row>
    <row r="1304" spans="1:32">
      <c r="A1304" s="57">
        <v>1303</v>
      </c>
      <c r="B1304" s="58">
        <v>46035.662847222222</v>
      </c>
      <c r="C1304" s="58">
        <v>46035.663923611108</v>
      </c>
      <c r="D1304" s="57" t="s">
        <v>1760</v>
      </c>
      <c r="E1304" s="57" t="s">
        <v>1761</v>
      </c>
      <c r="F1304" s="58"/>
      <c r="G1304" s="57" t="s">
        <v>488</v>
      </c>
      <c r="H1304" s="59">
        <v>1</v>
      </c>
      <c r="I1304" s="57"/>
      <c r="J1304" s="57"/>
      <c r="K1304" s="59"/>
      <c r="L1304" s="57"/>
      <c r="M1304" s="60"/>
      <c r="N1304" s="59"/>
      <c r="O1304" s="57"/>
      <c r="P1304" s="57"/>
      <c r="Q1304" s="57"/>
      <c r="R1304" s="57"/>
      <c r="S1304" s="59"/>
      <c r="T1304" s="57"/>
      <c r="U1304" s="60"/>
      <c r="V1304" s="59"/>
      <c r="W1304" s="57"/>
      <c r="X1304" s="57"/>
      <c r="Y1304" s="57" t="s">
        <v>21</v>
      </c>
      <c r="Z1304" s="57" t="s">
        <v>154</v>
      </c>
      <c r="AA1304" s="59">
        <v>45375</v>
      </c>
      <c r="AB1304" s="57" t="s">
        <v>61</v>
      </c>
      <c r="AC1304" s="60">
        <v>46029</v>
      </c>
      <c r="AD1304" s="59">
        <v>45375</v>
      </c>
      <c r="AE1304" s="57" t="s">
        <v>5126</v>
      </c>
      <c r="AF1304" s="57" t="s">
        <v>5127</v>
      </c>
    </row>
    <row r="1305" spans="1:32">
      <c r="A1305" s="57">
        <v>1304</v>
      </c>
      <c r="B1305" s="58">
        <v>46043.372939814813</v>
      </c>
      <c r="C1305" s="58">
        <v>46043.374814814822</v>
      </c>
      <c r="D1305" s="57" t="s">
        <v>1773</v>
      </c>
      <c r="E1305" s="57" t="s">
        <v>1774</v>
      </c>
      <c r="F1305" s="58"/>
      <c r="G1305" s="57" t="s">
        <v>539</v>
      </c>
      <c r="H1305" s="59">
        <v>1</v>
      </c>
      <c r="I1305" s="57"/>
      <c r="J1305" s="57"/>
      <c r="K1305" s="59"/>
      <c r="L1305" s="57"/>
      <c r="M1305" s="60"/>
      <c r="N1305" s="59"/>
      <c r="O1305" s="57"/>
      <c r="P1305" s="57"/>
      <c r="Q1305" s="57"/>
      <c r="R1305" s="57"/>
      <c r="S1305" s="59"/>
      <c r="T1305" s="57"/>
      <c r="U1305" s="60"/>
      <c r="V1305" s="59"/>
      <c r="W1305" s="57"/>
      <c r="X1305" s="57"/>
      <c r="Y1305" s="57" t="s">
        <v>20</v>
      </c>
      <c r="Z1305" s="57" t="s">
        <v>207</v>
      </c>
      <c r="AA1305" s="59">
        <v>44351</v>
      </c>
      <c r="AB1305" s="57" t="s">
        <v>61</v>
      </c>
      <c r="AC1305" s="60">
        <v>46003</v>
      </c>
      <c r="AD1305" s="59">
        <v>44351</v>
      </c>
      <c r="AE1305" s="57" t="s">
        <v>5128</v>
      </c>
      <c r="AF1305" s="57" t="s">
        <v>5129</v>
      </c>
    </row>
    <row r="1306" spans="1:32">
      <c r="A1306" s="57">
        <v>1305</v>
      </c>
      <c r="B1306" s="58">
        <v>46043.374178240738</v>
      </c>
      <c r="C1306" s="58">
        <v>46043.377916666657</v>
      </c>
      <c r="D1306" s="57" t="s">
        <v>726</v>
      </c>
      <c r="E1306" s="57" t="s">
        <v>727</v>
      </c>
      <c r="F1306" s="58"/>
      <c r="G1306" s="57" t="s">
        <v>540</v>
      </c>
      <c r="H1306" s="59">
        <v>1</v>
      </c>
      <c r="I1306" s="57"/>
      <c r="J1306" s="57"/>
      <c r="K1306" s="59"/>
      <c r="L1306" s="57"/>
      <c r="M1306" s="60"/>
      <c r="N1306" s="59"/>
      <c r="O1306" s="57"/>
      <c r="P1306" s="57"/>
      <c r="Q1306" s="57"/>
      <c r="R1306" s="57"/>
      <c r="S1306" s="59"/>
      <c r="T1306" s="57"/>
      <c r="U1306" s="60"/>
      <c r="V1306" s="59"/>
      <c r="W1306" s="57"/>
      <c r="X1306" s="57"/>
      <c r="Y1306" s="57" t="s">
        <v>20</v>
      </c>
      <c r="Z1306" s="57" t="s">
        <v>208</v>
      </c>
      <c r="AA1306" s="59">
        <v>68390</v>
      </c>
      <c r="AB1306" s="57" t="s">
        <v>61</v>
      </c>
      <c r="AC1306" s="60">
        <v>45938</v>
      </c>
      <c r="AD1306" s="59">
        <v>68390</v>
      </c>
      <c r="AE1306" s="57" t="s">
        <v>5130</v>
      </c>
      <c r="AF1306" s="57" t="s">
        <v>5131</v>
      </c>
    </row>
    <row r="1307" spans="1:32">
      <c r="A1307" s="57">
        <v>1306</v>
      </c>
      <c r="B1307" s="58">
        <v>46043.379675925928</v>
      </c>
      <c r="C1307" s="58">
        <v>46043.381585648152</v>
      </c>
      <c r="D1307" s="57" t="s">
        <v>840</v>
      </c>
      <c r="E1307" s="57" t="s">
        <v>841</v>
      </c>
      <c r="F1307" s="58"/>
      <c r="G1307" s="57" t="s">
        <v>564</v>
      </c>
      <c r="H1307" s="59">
        <v>1</v>
      </c>
      <c r="I1307" s="57"/>
      <c r="J1307" s="57"/>
      <c r="K1307" s="59"/>
      <c r="L1307" s="57"/>
      <c r="M1307" s="60"/>
      <c r="N1307" s="59"/>
      <c r="O1307" s="57"/>
      <c r="P1307" s="57"/>
      <c r="Q1307" s="57"/>
      <c r="R1307" s="57"/>
      <c r="S1307" s="59"/>
      <c r="T1307" s="57"/>
      <c r="U1307" s="60"/>
      <c r="V1307" s="59"/>
      <c r="W1307" s="57"/>
      <c r="X1307" s="57"/>
      <c r="Y1307" s="57" t="s">
        <v>20</v>
      </c>
      <c r="Z1307" s="57" t="s">
        <v>235</v>
      </c>
      <c r="AA1307" s="59">
        <v>16291</v>
      </c>
      <c r="AB1307" s="57" t="s">
        <v>61</v>
      </c>
      <c r="AC1307" s="60">
        <v>46027</v>
      </c>
      <c r="AD1307" s="59">
        <v>16291</v>
      </c>
      <c r="AE1307" s="57" t="s">
        <v>5132</v>
      </c>
      <c r="AF1307" s="57" t="s">
        <v>5133</v>
      </c>
    </row>
    <row r="1308" spans="1:32">
      <c r="A1308" s="57">
        <v>1307</v>
      </c>
      <c r="B1308" s="58">
        <v>46043.382557870369</v>
      </c>
      <c r="C1308" s="58">
        <v>46043.384398148148</v>
      </c>
      <c r="D1308" s="57" t="s">
        <v>822</v>
      </c>
      <c r="E1308" s="57" t="s">
        <v>823</v>
      </c>
      <c r="F1308" s="58"/>
      <c r="G1308" s="57" t="s">
        <v>721</v>
      </c>
      <c r="H1308" s="59">
        <v>1</v>
      </c>
      <c r="I1308" s="57"/>
      <c r="J1308" s="57"/>
      <c r="K1308" s="59"/>
      <c r="L1308" s="57"/>
      <c r="M1308" s="60"/>
      <c r="N1308" s="59"/>
      <c r="O1308" s="57"/>
      <c r="P1308" s="57"/>
      <c r="Q1308" s="57"/>
      <c r="R1308" s="57"/>
      <c r="S1308" s="59"/>
      <c r="T1308" s="57"/>
      <c r="U1308" s="60"/>
      <c r="V1308" s="59"/>
      <c r="W1308" s="57"/>
      <c r="X1308" s="57"/>
      <c r="Y1308" s="57" t="s">
        <v>21</v>
      </c>
      <c r="Z1308" s="57" t="s">
        <v>451</v>
      </c>
      <c r="AA1308" s="59">
        <v>3932</v>
      </c>
      <c r="AB1308" s="57" t="s">
        <v>61</v>
      </c>
      <c r="AC1308" s="60">
        <v>45994</v>
      </c>
      <c r="AD1308" s="59">
        <v>3932</v>
      </c>
      <c r="AE1308" s="57" t="s">
        <v>5134</v>
      </c>
      <c r="AF1308" s="57" t="s">
        <v>5135</v>
      </c>
    </row>
    <row r="1309" spans="1:32">
      <c r="A1309" s="57">
        <v>1308</v>
      </c>
      <c r="B1309" s="58">
        <v>46043.37190972222</v>
      </c>
      <c r="C1309" s="58">
        <v>46043.385462962957</v>
      </c>
      <c r="D1309" s="57" t="s">
        <v>1678</v>
      </c>
      <c r="E1309" s="57" t="s">
        <v>1679</v>
      </c>
      <c r="F1309" s="58"/>
      <c r="G1309" s="57" t="s">
        <v>522</v>
      </c>
      <c r="H1309" s="59">
        <v>1</v>
      </c>
      <c r="I1309" s="57"/>
      <c r="J1309" s="57"/>
      <c r="K1309" s="59"/>
      <c r="L1309" s="57"/>
      <c r="M1309" s="60"/>
      <c r="N1309" s="59"/>
      <c r="O1309" s="57"/>
      <c r="P1309" s="57"/>
      <c r="Q1309" s="57"/>
      <c r="R1309" s="57"/>
      <c r="S1309" s="59"/>
      <c r="T1309" s="57"/>
      <c r="U1309" s="60"/>
      <c r="V1309" s="59"/>
      <c r="W1309" s="57"/>
      <c r="X1309" s="57"/>
      <c r="Y1309" s="57" t="s">
        <v>20</v>
      </c>
      <c r="Z1309" s="57" t="s">
        <v>189</v>
      </c>
      <c r="AA1309" s="59">
        <v>25355</v>
      </c>
      <c r="AB1309" s="57" t="s">
        <v>61</v>
      </c>
      <c r="AC1309" s="60">
        <v>46035</v>
      </c>
      <c r="AD1309" s="59">
        <v>25355</v>
      </c>
      <c r="AE1309" s="57" t="s">
        <v>5136</v>
      </c>
      <c r="AF1309" s="57" t="s">
        <v>5137</v>
      </c>
    </row>
    <row r="1310" spans="1:32">
      <c r="A1310" s="57">
        <v>1309</v>
      </c>
      <c r="B1310" s="58">
        <v>46043.374398148153</v>
      </c>
      <c r="C1310" s="58">
        <v>46043.398344907408</v>
      </c>
      <c r="D1310" s="57" t="s">
        <v>849</v>
      </c>
      <c r="E1310" s="57" t="s">
        <v>850</v>
      </c>
      <c r="F1310" s="58"/>
      <c r="G1310" s="57" t="s">
        <v>627</v>
      </c>
      <c r="H1310" s="59">
        <v>1</v>
      </c>
      <c r="I1310" s="57"/>
      <c r="J1310" s="57"/>
      <c r="K1310" s="59"/>
      <c r="L1310" s="57"/>
      <c r="M1310" s="60"/>
      <c r="N1310" s="59"/>
      <c r="O1310" s="57"/>
      <c r="P1310" s="57"/>
      <c r="Q1310" s="57"/>
      <c r="R1310" s="57"/>
      <c r="S1310" s="59"/>
      <c r="T1310" s="57"/>
      <c r="U1310" s="60"/>
      <c r="V1310" s="59"/>
      <c r="W1310" s="57"/>
      <c r="X1310" s="57"/>
      <c r="Y1310" s="57" t="s">
        <v>21</v>
      </c>
      <c r="Z1310" s="57" t="s">
        <v>310</v>
      </c>
      <c r="AA1310" s="59">
        <v>11307</v>
      </c>
      <c r="AB1310" s="57" t="s">
        <v>61</v>
      </c>
      <c r="AC1310" s="60">
        <v>46022</v>
      </c>
      <c r="AD1310" s="59">
        <v>11307</v>
      </c>
      <c r="AE1310" s="57" t="s">
        <v>5138</v>
      </c>
      <c r="AF1310" s="57" t="s">
        <v>5139</v>
      </c>
    </row>
    <row r="1311" spans="1:32">
      <c r="A1311" s="57">
        <v>1310</v>
      </c>
      <c r="B1311" s="58">
        <v>46043.390104166669</v>
      </c>
      <c r="C1311" s="58">
        <v>46043.401006944441</v>
      </c>
      <c r="D1311" s="57" t="s">
        <v>1256</v>
      </c>
      <c r="E1311" s="57" t="s">
        <v>1257</v>
      </c>
      <c r="F1311" s="58"/>
      <c r="G1311" s="57" t="s">
        <v>473</v>
      </c>
      <c r="H1311" s="59">
        <v>1</v>
      </c>
      <c r="I1311" s="57"/>
      <c r="J1311" s="57"/>
      <c r="K1311" s="59"/>
      <c r="L1311" s="57"/>
      <c r="M1311" s="60"/>
      <c r="N1311" s="59"/>
      <c r="O1311" s="57"/>
      <c r="P1311" s="57"/>
      <c r="Q1311" s="57"/>
      <c r="R1311" s="57"/>
      <c r="S1311" s="59"/>
      <c r="T1311" s="57"/>
      <c r="U1311" s="60"/>
      <c r="V1311" s="59"/>
      <c r="W1311" s="57"/>
      <c r="X1311" s="57"/>
      <c r="Y1311" s="57" t="s">
        <v>21</v>
      </c>
      <c r="Z1311" s="57" t="s">
        <v>139</v>
      </c>
      <c r="AA1311" s="59">
        <v>99276</v>
      </c>
      <c r="AB1311" s="57" t="s">
        <v>61</v>
      </c>
      <c r="AC1311" s="60">
        <v>45985</v>
      </c>
      <c r="AD1311" s="59">
        <v>99276</v>
      </c>
      <c r="AE1311" s="57" t="s">
        <v>5140</v>
      </c>
      <c r="AF1311" s="57" t="s">
        <v>5141</v>
      </c>
    </row>
    <row r="1312" spans="1:32">
      <c r="A1312" s="57">
        <v>1311</v>
      </c>
      <c r="B1312" s="58">
        <v>46043.40221064815</v>
      </c>
      <c r="C1312" s="58">
        <v>46043.405972222223</v>
      </c>
      <c r="D1312" s="57" t="s">
        <v>836</v>
      </c>
      <c r="E1312" s="57" t="s">
        <v>837</v>
      </c>
      <c r="F1312" s="58"/>
      <c r="G1312" s="57" t="s">
        <v>614</v>
      </c>
      <c r="H1312" s="59">
        <v>1</v>
      </c>
      <c r="I1312" s="57"/>
      <c r="J1312" s="57"/>
      <c r="K1312" s="59"/>
      <c r="L1312" s="57"/>
      <c r="M1312" s="60"/>
      <c r="N1312" s="59"/>
      <c r="O1312" s="57"/>
      <c r="P1312" s="57"/>
      <c r="Q1312" s="57"/>
      <c r="R1312" s="57"/>
      <c r="S1312" s="59"/>
      <c r="T1312" s="57"/>
      <c r="U1312" s="60"/>
      <c r="V1312" s="59"/>
      <c r="W1312" s="57"/>
      <c r="X1312" s="57"/>
      <c r="Y1312" s="57" t="s">
        <v>21</v>
      </c>
      <c r="Z1312" s="57" t="s">
        <v>294</v>
      </c>
      <c r="AA1312" s="59">
        <v>24363</v>
      </c>
      <c r="AB1312" s="57" t="s">
        <v>61</v>
      </c>
      <c r="AC1312" s="60">
        <v>45992</v>
      </c>
      <c r="AD1312" s="59">
        <v>24363</v>
      </c>
      <c r="AE1312" s="57" t="s">
        <v>5142</v>
      </c>
      <c r="AF1312" s="57" t="s">
        <v>5143</v>
      </c>
    </row>
    <row r="1313" spans="1:32">
      <c r="A1313" s="57">
        <v>1312</v>
      </c>
      <c r="B1313" s="58">
        <v>46043.401365740741</v>
      </c>
      <c r="C1313" s="58">
        <v>46043.408506944441</v>
      </c>
      <c r="D1313" s="57" t="s">
        <v>1209</v>
      </c>
      <c r="E1313" s="57" t="s">
        <v>1210</v>
      </c>
      <c r="F1313" s="58"/>
      <c r="G1313" s="57" t="s">
        <v>581</v>
      </c>
      <c r="H1313" s="59">
        <v>2</v>
      </c>
      <c r="I1313" s="57"/>
      <c r="J1313" s="57"/>
      <c r="K1313" s="59"/>
      <c r="L1313" s="57"/>
      <c r="M1313" s="60"/>
      <c r="N1313" s="59"/>
      <c r="O1313" s="57"/>
      <c r="P1313" s="57"/>
      <c r="Q1313" s="57" t="s">
        <v>22</v>
      </c>
      <c r="R1313" s="57" t="s">
        <v>255</v>
      </c>
      <c r="S1313" s="59">
        <v>31537</v>
      </c>
      <c r="T1313" s="57" t="s">
        <v>61</v>
      </c>
      <c r="U1313" s="60">
        <v>46041</v>
      </c>
      <c r="V1313" s="59">
        <v>31537</v>
      </c>
      <c r="W1313" s="57" t="s">
        <v>5144</v>
      </c>
      <c r="X1313" s="57" t="s">
        <v>5145</v>
      </c>
      <c r="Y1313" s="57" t="s">
        <v>21</v>
      </c>
      <c r="Z1313" s="57" t="s">
        <v>417</v>
      </c>
      <c r="AA1313" s="59">
        <v>3159</v>
      </c>
      <c r="AB1313" s="57" t="s">
        <v>61</v>
      </c>
      <c r="AC1313" s="60">
        <v>46003</v>
      </c>
      <c r="AD1313" s="59">
        <v>3159</v>
      </c>
      <c r="AE1313" s="57" t="s">
        <v>5146</v>
      </c>
      <c r="AF1313" s="57" t="s">
        <v>5147</v>
      </c>
    </row>
    <row r="1314" spans="1:32">
      <c r="A1314" s="57">
        <v>1313</v>
      </c>
      <c r="B1314" s="58">
        <v>46043.387118055558</v>
      </c>
      <c r="C1314" s="58">
        <v>46043.410995370366</v>
      </c>
      <c r="D1314" s="57" t="s">
        <v>1337</v>
      </c>
      <c r="E1314" s="57" t="s">
        <v>1338</v>
      </c>
      <c r="F1314" s="58"/>
      <c r="G1314" s="57" t="s">
        <v>710</v>
      </c>
      <c r="H1314" s="59">
        <v>1</v>
      </c>
      <c r="I1314" s="57"/>
      <c r="J1314" s="57"/>
      <c r="K1314" s="59"/>
      <c r="L1314" s="57"/>
      <c r="M1314" s="60"/>
      <c r="N1314" s="59"/>
      <c r="O1314" s="57"/>
      <c r="P1314" s="57"/>
      <c r="Q1314" s="57"/>
      <c r="R1314" s="57"/>
      <c r="S1314" s="59"/>
      <c r="T1314" s="57"/>
      <c r="U1314" s="60"/>
      <c r="V1314" s="59"/>
      <c r="W1314" s="57"/>
      <c r="X1314" s="57"/>
      <c r="Y1314" s="57" t="s">
        <v>21</v>
      </c>
      <c r="Z1314" s="57" t="s">
        <v>440</v>
      </c>
      <c r="AA1314" s="59">
        <v>279</v>
      </c>
      <c r="AB1314" s="57" t="s">
        <v>61</v>
      </c>
      <c r="AC1314" s="60">
        <v>46010</v>
      </c>
      <c r="AD1314" s="59">
        <v>279</v>
      </c>
      <c r="AE1314" s="57" t="s">
        <v>5148</v>
      </c>
      <c r="AF1314" s="57" t="s">
        <v>5149</v>
      </c>
    </row>
    <row r="1315" spans="1:32">
      <c r="A1315" s="57">
        <v>1314</v>
      </c>
      <c r="B1315" s="58">
        <v>46043.407372685193</v>
      </c>
      <c r="C1315" s="58">
        <v>46043.412314814806</v>
      </c>
      <c r="D1315" s="57" t="s">
        <v>1717</v>
      </c>
      <c r="E1315" s="57" t="s">
        <v>1718</v>
      </c>
      <c r="F1315" s="58"/>
      <c r="G1315" s="57" t="s">
        <v>570</v>
      </c>
      <c r="H1315" s="59">
        <v>2</v>
      </c>
      <c r="I1315" s="57"/>
      <c r="J1315" s="57"/>
      <c r="K1315" s="59"/>
      <c r="L1315" s="57"/>
      <c r="M1315" s="60"/>
      <c r="N1315" s="59"/>
      <c r="O1315" s="57"/>
      <c r="P1315" s="57"/>
      <c r="Q1315" s="57" t="s">
        <v>22</v>
      </c>
      <c r="R1315" s="57" t="s">
        <v>242</v>
      </c>
      <c r="S1315" s="59">
        <v>10139</v>
      </c>
      <c r="T1315" s="57" t="s">
        <v>61</v>
      </c>
      <c r="U1315" s="60">
        <v>46006</v>
      </c>
      <c r="V1315" s="59">
        <v>10139</v>
      </c>
      <c r="W1315" s="57" t="s">
        <v>5150</v>
      </c>
      <c r="X1315" s="57" t="s">
        <v>5151</v>
      </c>
      <c r="Y1315" s="57" t="s">
        <v>21</v>
      </c>
      <c r="Z1315" s="57" t="s">
        <v>312</v>
      </c>
      <c r="AA1315" s="59">
        <v>1839</v>
      </c>
      <c r="AB1315" s="57" t="s">
        <v>61</v>
      </c>
      <c r="AC1315" s="60">
        <v>46006</v>
      </c>
      <c r="AD1315" s="59">
        <v>1839</v>
      </c>
      <c r="AE1315" s="57" t="s">
        <v>5152</v>
      </c>
      <c r="AF1315" s="57" t="s">
        <v>5153</v>
      </c>
    </row>
    <row r="1316" spans="1:32">
      <c r="A1316" s="57">
        <v>1315</v>
      </c>
      <c r="B1316" s="58">
        <v>46043.414988425917</v>
      </c>
      <c r="C1316" s="58">
        <v>46043.418136574073</v>
      </c>
      <c r="D1316" s="57" t="s">
        <v>4345</v>
      </c>
      <c r="E1316" s="57" t="s">
        <v>4346</v>
      </c>
      <c r="F1316" s="58"/>
      <c r="G1316" s="57" t="s">
        <v>612</v>
      </c>
      <c r="H1316" s="59">
        <v>1</v>
      </c>
      <c r="I1316" s="57"/>
      <c r="J1316" s="57"/>
      <c r="K1316" s="59"/>
      <c r="L1316" s="57"/>
      <c r="M1316" s="60"/>
      <c r="N1316" s="59"/>
      <c r="O1316" s="57"/>
      <c r="P1316" s="57"/>
      <c r="Q1316" s="57"/>
      <c r="R1316" s="57"/>
      <c r="S1316" s="59"/>
      <c r="T1316" s="57"/>
      <c r="U1316" s="60"/>
      <c r="V1316" s="59"/>
      <c r="W1316" s="57"/>
      <c r="X1316" s="57"/>
      <c r="Y1316" s="57" t="s">
        <v>21</v>
      </c>
      <c r="Z1316" s="57" t="s">
        <v>292</v>
      </c>
      <c r="AA1316" s="59">
        <v>12577</v>
      </c>
      <c r="AB1316" s="57" t="s">
        <v>61</v>
      </c>
      <c r="AC1316" s="60">
        <v>46042</v>
      </c>
      <c r="AD1316" s="59">
        <v>12577</v>
      </c>
      <c r="AE1316" s="57" t="s">
        <v>5154</v>
      </c>
      <c r="AF1316" s="57" t="s">
        <v>5155</v>
      </c>
    </row>
    <row r="1317" spans="1:32">
      <c r="A1317" s="57">
        <v>1316</v>
      </c>
      <c r="B1317" s="58">
        <v>46043.416967592602</v>
      </c>
      <c r="C1317" s="58">
        <v>46043.418900462973</v>
      </c>
      <c r="D1317" s="57" t="s">
        <v>961</v>
      </c>
      <c r="E1317" s="57" t="s">
        <v>962</v>
      </c>
      <c r="F1317" s="58"/>
      <c r="G1317" s="57" t="s">
        <v>655</v>
      </c>
      <c r="H1317" s="59">
        <v>1</v>
      </c>
      <c r="I1317" s="57"/>
      <c r="J1317" s="57"/>
      <c r="K1317" s="59"/>
      <c r="L1317" s="57"/>
      <c r="M1317" s="60"/>
      <c r="N1317" s="59"/>
      <c r="O1317" s="57"/>
      <c r="P1317" s="57"/>
      <c r="Q1317" s="57"/>
      <c r="R1317" s="57"/>
      <c r="S1317" s="59"/>
      <c r="T1317" s="57"/>
      <c r="U1317" s="60"/>
      <c r="V1317" s="59"/>
      <c r="W1317" s="57"/>
      <c r="X1317" s="57"/>
      <c r="Y1317" s="57" t="s">
        <v>21</v>
      </c>
      <c r="Z1317" s="57" t="s">
        <v>353</v>
      </c>
      <c r="AA1317" s="59">
        <v>10236</v>
      </c>
      <c r="AB1317" s="57" t="s">
        <v>61</v>
      </c>
      <c r="AC1317" s="60">
        <v>46034</v>
      </c>
      <c r="AD1317" s="59">
        <v>10236</v>
      </c>
      <c r="AE1317" s="57" t="s">
        <v>5156</v>
      </c>
      <c r="AF1317" s="57" t="s">
        <v>5157</v>
      </c>
    </row>
    <row r="1318" spans="1:32">
      <c r="A1318" s="57">
        <v>1317</v>
      </c>
      <c r="B1318" s="58">
        <v>46043.413356481477</v>
      </c>
      <c r="C1318" s="58">
        <v>46043.421481481477</v>
      </c>
      <c r="D1318" s="57" t="s">
        <v>893</v>
      </c>
      <c r="E1318" s="57" t="s">
        <v>894</v>
      </c>
      <c r="F1318" s="58"/>
      <c r="G1318" s="57" t="s">
        <v>508</v>
      </c>
      <c r="H1318" s="59">
        <v>1</v>
      </c>
      <c r="I1318" s="57"/>
      <c r="J1318" s="57"/>
      <c r="K1318" s="59"/>
      <c r="L1318" s="57"/>
      <c r="M1318" s="60"/>
      <c r="N1318" s="59"/>
      <c r="O1318" s="57"/>
      <c r="P1318" s="57"/>
      <c r="Q1318" s="57"/>
      <c r="R1318" s="57"/>
      <c r="S1318" s="59"/>
      <c r="T1318" s="57"/>
      <c r="U1318" s="60"/>
      <c r="V1318" s="59"/>
      <c r="W1318" s="57"/>
      <c r="X1318" s="57"/>
      <c r="Y1318" s="57" t="s">
        <v>20</v>
      </c>
      <c r="Z1318" s="57" t="s">
        <v>174</v>
      </c>
      <c r="AA1318" s="59">
        <v>55474</v>
      </c>
      <c r="AB1318" s="57" t="s">
        <v>61</v>
      </c>
      <c r="AC1318" s="60">
        <v>46038</v>
      </c>
      <c r="AD1318" s="59">
        <v>55474</v>
      </c>
      <c r="AE1318" s="57" t="s">
        <v>5158</v>
      </c>
      <c r="AF1318" s="57" t="s">
        <v>5159</v>
      </c>
    </row>
    <row r="1319" spans="1:32">
      <c r="A1319" s="57">
        <v>1318</v>
      </c>
      <c r="B1319" s="58">
        <v>46043.389907407407</v>
      </c>
      <c r="C1319" s="58">
        <v>46043.42359953704</v>
      </c>
      <c r="D1319" s="57" t="s">
        <v>2395</v>
      </c>
      <c r="E1319" s="57" t="s">
        <v>2396</v>
      </c>
      <c r="F1319" s="58"/>
      <c r="G1319" s="57" t="s">
        <v>513</v>
      </c>
      <c r="H1319" s="59">
        <v>1</v>
      </c>
      <c r="I1319" s="57"/>
      <c r="J1319" s="57"/>
      <c r="K1319" s="59"/>
      <c r="L1319" s="57"/>
      <c r="M1319" s="60"/>
      <c r="N1319" s="59"/>
      <c r="O1319" s="57"/>
      <c r="P1319" s="57"/>
      <c r="Q1319" s="57"/>
      <c r="R1319" s="57"/>
      <c r="S1319" s="59"/>
      <c r="T1319" s="57"/>
      <c r="U1319" s="60"/>
      <c r="V1319" s="59"/>
      <c r="W1319" s="57"/>
      <c r="X1319" s="57"/>
      <c r="Y1319" s="57" t="s">
        <v>21</v>
      </c>
      <c r="Z1319" s="57" t="s">
        <v>180</v>
      </c>
      <c r="AA1319" s="59">
        <v>32031</v>
      </c>
      <c r="AB1319" s="57" t="s">
        <v>61</v>
      </c>
      <c r="AC1319" s="60">
        <v>45962</v>
      </c>
      <c r="AD1319" s="59">
        <v>32031</v>
      </c>
      <c r="AE1319" s="57" t="s">
        <v>5160</v>
      </c>
      <c r="AF1319" s="57" t="s">
        <v>5161</v>
      </c>
    </row>
    <row r="1320" spans="1:32">
      <c r="A1320" s="57">
        <v>1319</v>
      </c>
      <c r="B1320" s="58">
        <v>46043.424328703702</v>
      </c>
      <c r="C1320" s="58">
        <v>46043.425798611112</v>
      </c>
      <c r="D1320" s="57" t="s">
        <v>2598</v>
      </c>
      <c r="E1320" s="57" t="s">
        <v>2599</v>
      </c>
      <c r="F1320" s="58"/>
      <c r="G1320" s="57" t="s">
        <v>584</v>
      </c>
      <c r="H1320" s="59">
        <v>1</v>
      </c>
      <c r="I1320" s="57"/>
      <c r="J1320" s="57"/>
      <c r="K1320" s="59"/>
      <c r="L1320" s="57"/>
      <c r="M1320" s="60"/>
      <c r="N1320" s="59"/>
      <c r="O1320" s="57"/>
      <c r="P1320" s="57"/>
      <c r="Q1320" s="57"/>
      <c r="R1320" s="57"/>
      <c r="S1320" s="59"/>
      <c r="T1320" s="57"/>
      <c r="U1320" s="60"/>
      <c r="V1320" s="59"/>
      <c r="W1320" s="57"/>
      <c r="X1320" s="57"/>
      <c r="Y1320" s="57" t="s">
        <v>21</v>
      </c>
      <c r="Z1320" s="57" t="s">
        <v>2600</v>
      </c>
      <c r="AA1320" s="59">
        <v>15858</v>
      </c>
      <c r="AB1320" s="57" t="s">
        <v>61</v>
      </c>
      <c r="AC1320" s="60">
        <v>45911</v>
      </c>
      <c r="AD1320" s="59">
        <v>15858</v>
      </c>
      <c r="AE1320" s="57" t="s">
        <v>5162</v>
      </c>
      <c r="AF1320" s="57" t="s">
        <v>5163</v>
      </c>
    </row>
    <row r="1321" spans="1:32">
      <c r="A1321" s="57">
        <v>1320</v>
      </c>
      <c r="B1321" s="58">
        <v>46043.425798611112</v>
      </c>
      <c r="C1321" s="58">
        <v>46043.427418981482</v>
      </c>
      <c r="D1321" s="57" t="s">
        <v>1014</v>
      </c>
      <c r="E1321" s="57" t="s">
        <v>1015</v>
      </c>
      <c r="F1321" s="58"/>
      <c r="G1321" s="57" t="s">
        <v>623</v>
      </c>
      <c r="H1321" s="59">
        <v>1</v>
      </c>
      <c r="I1321" s="57"/>
      <c r="J1321" s="57"/>
      <c r="K1321" s="59"/>
      <c r="L1321" s="57"/>
      <c r="M1321" s="60"/>
      <c r="N1321" s="59"/>
      <c r="O1321" s="57"/>
      <c r="P1321" s="57"/>
      <c r="Q1321" s="57"/>
      <c r="R1321" s="57"/>
      <c r="S1321" s="59"/>
      <c r="T1321" s="57"/>
      <c r="U1321" s="60"/>
      <c r="V1321" s="59"/>
      <c r="W1321" s="57"/>
      <c r="X1321" s="57"/>
      <c r="Y1321" s="57" t="s">
        <v>20</v>
      </c>
      <c r="Z1321" s="57" t="s">
        <v>305</v>
      </c>
      <c r="AA1321" s="59">
        <v>34269</v>
      </c>
      <c r="AB1321" s="57" t="s">
        <v>61</v>
      </c>
      <c r="AC1321" s="60">
        <v>46035</v>
      </c>
      <c r="AD1321" s="59">
        <v>34269</v>
      </c>
      <c r="AE1321" s="57" t="s">
        <v>5164</v>
      </c>
      <c r="AF1321" s="57" t="s">
        <v>5165</v>
      </c>
    </row>
    <row r="1322" spans="1:32">
      <c r="A1322" s="57">
        <v>1321</v>
      </c>
      <c r="B1322" s="58">
        <v>46043.423263888893</v>
      </c>
      <c r="C1322" s="58">
        <v>46043.427465277768</v>
      </c>
      <c r="D1322" s="57" t="s">
        <v>999</v>
      </c>
      <c r="E1322" s="57" t="s">
        <v>1000</v>
      </c>
      <c r="F1322" s="58"/>
      <c r="G1322" s="57" t="s">
        <v>577</v>
      </c>
      <c r="H1322" s="59">
        <v>1</v>
      </c>
      <c r="I1322" s="57"/>
      <c r="J1322" s="57"/>
      <c r="K1322" s="59"/>
      <c r="L1322" s="57"/>
      <c r="M1322" s="60"/>
      <c r="N1322" s="59"/>
      <c r="O1322" s="57"/>
      <c r="P1322" s="57"/>
      <c r="Q1322" s="57"/>
      <c r="R1322" s="57"/>
      <c r="S1322" s="59"/>
      <c r="T1322" s="57"/>
      <c r="U1322" s="60"/>
      <c r="V1322" s="59"/>
      <c r="W1322" s="57"/>
      <c r="X1322" s="57"/>
      <c r="Y1322" s="57" t="s">
        <v>21</v>
      </c>
      <c r="Z1322" s="57" t="s">
        <v>249</v>
      </c>
      <c r="AA1322" s="59">
        <v>23148</v>
      </c>
      <c r="AB1322" s="57" t="s">
        <v>61</v>
      </c>
      <c r="AC1322" s="60">
        <v>45910</v>
      </c>
      <c r="AD1322" s="59">
        <v>23148</v>
      </c>
      <c r="AE1322" s="57" t="s">
        <v>5166</v>
      </c>
      <c r="AF1322" s="57" t="s">
        <v>5167</v>
      </c>
    </row>
    <row r="1323" spans="1:32">
      <c r="A1323" s="57">
        <v>1322</v>
      </c>
      <c r="B1323" s="58">
        <v>46043.412905092591</v>
      </c>
      <c r="C1323" s="58">
        <v>46043.432129629633</v>
      </c>
      <c r="D1323" s="57" t="s">
        <v>857</v>
      </c>
      <c r="E1323" s="57" t="s">
        <v>858</v>
      </c>
      <c r="F1323" s="58"/>
      <c r="G1323" s="57" t="s">
        <v>702</v>
      </c>
      <c r="H1323" s="59">
        <v>1</v>
      </c>
      <c r="I1323" s="57"/>
      <c r="J1323" s="57"/>
      <c r="K1323" s="59"/>
      <c r="L1323" s="57"/>
      <c r="M1323" s="60"/>
      <c r="N1323" s="59"/>
      <c r="O1323" s="57"/>
      <c r="P1323" s="57"/>
      <c r="Q1323" s="57"/>
      <c r="R1323" s="57"/>
      <c r="S1323" s="59"/>
      <c r="T1323" s="57"/>
      <c r="U1323" s="60"/>
      <c r="V1323" s="59"/>
      <c r="W1323" s="57"/>
      <c r="X1323" s="57"/>
      <c r="Y1323" s="57" t="s">
        <v>21</v>
      </c>
      <c r="Z1323" s="57" t="s">
        <v>431</v>
      </c>
      <c r="AA1323" s="59">
        <v>1466</v>
      </c>
      <c r="AB1323" s="57" t="s">
        <v>61</v>
      </c>
      <c r="AC1323" s="60">
        <v>45931</v>
      </c>
      <c r="AD1323" s="59">
        <v>1466</v>
      </c>
      <c r="AE1323" s="57" t="s">
        <v>5168</v>
      </c>
      <c r="AF1323" s="57" t="s">
        <v>5169</v>
      </c>
    </row>
    <row r="1324" spans="1:32">
      <c r="A1324" s="57">
        <v>1323</v>
      </c>
      <c r="B1324" s="58">
        <v>46043.427291666667</v>
      </c>
      <c r="C1324" s="58">
        <v>46043.442013888889</v>
      </c>
      <c r="D1324" s="57" t="s">
        <v>1603</v>
      </c>
      <c r="E1324" s="57" t="s">
        <v>1604</v>
      </c>
      <c r="F1324" s="58"/>
      <c r="G1324" s="57" t="s">
        <v>538</v>
      </c>
      <c r="H1324" s="59">
        <v>1</v>
      </c>
      <c r="I1324" s="57"/>
      <c r="J1324" s="57"/>
      <c r="K1324" s="59"/>
      <c r="L1324" s="57"/>
      <c r="M1324" s="60"/>
      <c r="N1324" s="59"/>
      <c r="O1324" s="57"/>
      <c r="P1324" s="57"/>
      <c r="Q1324" s="57"/>
      <c r="R1324" s="57"/>
      <c r="S1324" s="59"/>
      <c r="T1324" s="57"/>
      <c r="U1324" s="60"/>
      <c r="V1324" s="59"/>
      <c r="W1324" s="57"/>
      <c r="X1324" s="57"/>
      <c r="Y1324" s="57" t="s">
        <v>21</v>
      </c>
      <c r="Z1324" s="57" t="s">
        <v>206</v>
      </c>
      <c r="AA1324" s="59">
        <v>50002</v>
      </c>
      <c r="AB1324" s="57" t="s">
        <v>61</v>
      </c>
      <c r="AC1324" s="60">
        <v>46027</v>
      </c>
      <c r="AD1324" s="59">
        <v>50002</v>
      </c>
      <c r="AE1324" s="57" t="s">
        <v>5170</v>
      </c>
      <c r="AF1324" s="57" t="s">
        <v>5171</v>
      </c>
    </row>
    <row r="1325" spans="1:32">
      <c r="A1325" s="57">
        <v>1324</v>
      </c>
      <c r="B1325" s="58">
        <v>46043.429282407407</v>
      </c>
      <c r="C1325" s="58">
        <v>46043.460381944453</v>
      </c>
      <c r="D1325" s="57" t="s">
        <v>1493</v>
      </c>
      <c r="E1325" s="57" t="s">
        <v>1494</v>
      </c>
      <c r="F1325" s="58"/>
      <c r="G1325" s="57" t="s">
        <v>680</v>
      </c>
      <c r="H1325" s="59">
        <v>1</v>
      </c>
      <c r="I1325" s="57"/>
      <c r="J1325" s="57"/>
      <c r="K1325" s="59"/>
      <c r="L1325" s="57"/>
      <c r="M1325" s="60"/>
      <c r="N1325" s="59"/>
      <c r="O1325" s="57"/>
      <c r="P1325" s="57"/>
      <c r="Q1325" s="57"/>
      <c r="R1325" s="57"/>
      <c r="S1325" s="59"/>
      <c r="T1325" s="57"/>
      <c r="U1325" s="60"/>
      <c r="V1325" s="59"/>
      <c r="W1325" s="57"/>
      <c r="X1325" s="57"/>
      <c r="Y1325" s="57" t="s">
        <v>20</v>
      </c>
      <c r="Z1325" s="57" t="s">
        <v>395</v>
      </c>
      <c r="AA1325" s="59">
        <v>12615</v>
      </c>
      <c r="AB1325" s="57" t="s">
        <v>61</v>
      </c>
      <c r="AC1325" s="60">
        <v>46037</v>
      </c>
      <c r="AD1325" s="59">
        <v>12615</v>
      </c>
      <c r="AE1325" s="57" t="s">
        <v>5172</v>
      </c>
      <c r="AF1325" s="57" t="s">
        <v>5173</v>
      </c>
    </row>
    <row r="1326" spans="1:32">
      <c r="A1326" s="57">
        <v>1325</v>
      </c>
      <c r="B1326" s="58">
        <v>46043.463414351849</v>
      </c>
      <c r="C1326" s="58">
        <v>46043.46570601852</v>
      </c>
      <c r="D1326" s="57" t="s">
        <v>1456</v>
      </c>
      <c r="E1326" s="57" t="s">
        <v>1457</v>
      </c>
      <c r="F1326" s="58"/>
      <c r="G1326" s="57" t="s">
        <v>547</v>
      </c>
      <c r="H1326" s="59">
        <v>2</v>
      </c>
      <c r="I1326" s="57"/>
      <c r="J1326" s="57"/>
      <c r="K1326" s="59"/>
      <c r="L1326" s="57"/>
      <c r="M1326" s="60"/>
      <c r="N1326" s="59"/>
      <c r="O1326" s="57"/>
      <c r="P1326" s="57"/>
      <c r="Q1326" s="57" t="s">
        <v>22</v>
      </c>
      <c r="R1326" s="57" t="s">
        <v>225</v>
      </c>
      <c r="S1326" s="59">
        <v>101276</v>
      </c>
      <c r="T1326" s="57" t="s">
        <v>61</v>
      </c>
      <c r="U1326" s="60">
        <v>45955</v>
      </c>
      <c r="V1326" s="59">
        <v>101276</v>
      </c>
      <c r="W1326" s="57" t="s">
        <v>5174</v>
      </c>
      <c r="X1326" s="57" t="s">
        <v>5175</v>
      </c>
      <c r="Y1326" s="57" t="s">
        <v>20</v>
      </c>
      <c r="Z1326" s="57" t="s">
        <v>216</v>
      </c>
      <c r="AA1326" s="59">
        <v>4034</v>
      </c>
      <c r="AB1326" s="57" t="s">
        <v>61</v>
      </c>
      <c r="AC1326" s="60">
        <v>45952</v>
      </c>
      <c r="AD1326" s="59">
        <v>4034</v>
      </c>
      <c r="AE1326" s="57" t="s">
        <v>5176</v>
      </c>
      <c r="AF1326" s="57" t="s">
        <v>5177</v>
      </c>
    </row>
    <row r="1327" spans="1:32">
      <c r="A1327" s="57">
        <v>1326</v>
      </c>
      <c r="B1327" s="58">
        <v>46043.466168981482</v>
      </c>
      <c r="C1327" s="58">
        <v>46043.468530092592</v>
      </c>
      <c r="D1327" s="57" t="s">
        <v>1276</v>
      </c>
      <c r="E1327" s="57" t="s">
        <v>1277</v>
      </c>
      <c r="F1327" s="58"/>
      <c r="G1327" s="57" t="s">
        <v>668</v>
      </c>
      <c r="H1327" s="59">
        <v>1</v>
      </c>
      <c r="I1327" s="57"/>
      <c r="J1327" s="57"/>
      <c r="K1327" s="59"/>
      <c r="L1327" s="57"/>
      <c r="M1327" s="60"/>
      <c r="N1327" s="59"/>
      <c r="O1327" s="57"/>
      <c r="P1327" s="57"/>
      <c r="Q1327" s="57"/>
      <c r="R1327" s="57"/>
      <c r="S1327" s="59"/>
      <c r="T1327" s="57"/>
      <c r="U1327" s="60"/>
      <c r="V1327" s="59"/>
      <c r="W1327" s="57"/>
      <c r="X1327" s="57"/>
      <c r="Y1327" s="57" t="s">
        <v>20</v>
      </c>
      <c r="Z1327" s="57" t="s">
        <v>378</v>
      </c>
      <c r="AA1327" s="59">
        <v>12366</v>
      </c>
      <c r="AB1327" s="57" t="s">
        <v>61</v>
      </c>
      <c r="AC1327" s="60">
        <v>46013</v>
      </c>
      <c r="AD1327" s="59">
        <v>12366</v>
      </c>
      <c r="AE1327" s="57" t="s">
        <v>5178</v>
      </c>
      <c r="AF1327" s="57" t="s">
        <v>5179</v>
      </c>
    </row>
    <row r="1328" spans="1:32">
      <c r="A1328" s="57">
        <v>1327</v>
      </c>
      <c r="B1328" s="58">
        <v>46043.441446759258</v>
      </c>
      <c r="C1328" s="58">
        <v>46043.475115740737</v>
      </c>
      <c r="D1328" s="57" t="s">
        <v>985</v>
      </c>
      <c r="E1328" s="57" t="s">
        <v>986</v>
      </c>
      <c r="F1328" s="58"/>
      <c r="G1328" s="57" t="s">
        <v>715</v>
      </c>
      <c r="H1328" s="59">
        <v>1</v>
      </c>
      <c r="I1328" s="57"/>
      <c r="J1328" s="57"/>
      <c r="K1328" s="59"/>
      <c r="L1328" s="57"/>
      <c r="M1328" s="60"/>
      <c r="N1328" s="59"/>
      <c r="O1328" s="57"/>
      <c r="P1328" s="57"/>
      <c r="Q1328" s="57"/>
      <c r="R1328" s="57"/>
      <c r="S1328" s="59"/>
      <c r="T1328" s="57"/>
      <c r="U1328" s="60"/>
      <c r="V1328" s="59"/>
      <c r="W1328" s="57"/>
      <c r="X1328" s="57"/>
      <c r="Y1328" s="57" t="s">
        <v>21</v>
      </c>
      <c r="Z1328" s="57" t="s">
        <v>447</v>
      </c>
      <c r="AA1328" s="59">
        <v>252</v>
      </c>
      <c r="AB1328" s="57" t="s">
        <v>61</v>
      </c>
      <c r="AC1328" s="60">
        <v>46031</v>
      </c>
      <c r="AD1328" s="59">
        <v>252</v>
      </c>
      <c r="AE1328" s="57" t="s">
        <v>5180</v>
      </c>
      <c r="AF1328" s="57" t="s">
        <v>5181</v>
      </c>
    </row>
    <row r="1329" spans="1:32">
      <c r="A1329" s="57">
        <v>1328</v>
      </c>
      <c r="B1329" s="58">
        <v>46043.480173611111</v>
      </c>
      <c r="C1329" s="58">
        <v>46043.481817129628</v>
      </c>
      <c r="D1329" s="57" t="s">
        <v>1542</v>
      </c>
      <c r="E1329" s="57" t="s">
        <v>1543</v>
      </c>
      <c r="F1329" s="58"/>
      <c r="G1329" s="57" t="s">
        <v>678</v>
      </c>
      <c r="H1329" s="59">
        <v>1</v>
      </c>
      <c r="I1329" s="57"/>
      <c r="J1329" s="57"/>
      <c r="K1329" s="59"/>
      <c r="L1329" s="57"/>
      <c r="M1329" s="60"/>
      <c r="N1329" s="59"/>
      <c r="O1329" s="57"/>
      <c r="P1329" s="57"/>
      <c r="Q1329" s="57"/>
      <c r="R1329" s="57"/>
      <c r="S1329" s="59"/>
      <c r="T1329" s="57"/>
      <c r="U1329" s="60"/>
      <c r="V1329" s="59"/>
      <c r="W1329" s="57"/>
      <c r="X1329" s="57"/>
      <c r="Y1329" s="57" t="s">
        <v>20</v>
      </c>
      <c r="Z1329" s="57" t="s">
        <v>392</v>
      </c>
      <c r="AA1329" s="59">
        <v>7646</v>
      </c>
      <c r="AB1329" s="57" t="s">
        <v>61</v>
      </c>
      <c r="AC1329" s="60">
        <v>46002</v>
      </c>
      <c r="AD1329" s="59">
        <v>7646</v>
      </c>
      <c r="AE1329" s="57" t="s">
        <v>5182</v>
      </c>
      <c r="AF1329" s="57" t="s">
        <v>5183</v>
      </c>
    </row>
    <row r="1330" spans="1:32">
      <c r="A1330" s="57">
        <v>1329</v>
      </c>
      <c r="B1330" s="58">
        <v>46043.466400462959</v>
      </c>
      <c r="C1330" s="58">
        <v>46043.491331018522</v>
      </c>
      <c r="D1330" s="57" t="s">
        <v>1205</v>
      </c>
      <c r="E1330" s="57" t="s">
        <v>1206</v>
      </c>
      <c r="F1330" s="58"/>
      <c r="G1330" s="57" t="s">
        <v>474</v>
      </c>
      <c r="H1330" s="59">
        <v>1</v>
      </c>
      <c r="I1330" s="57"/>
      <c r="J1330" s="57"/>
      <c r="K1330" s="59"/>
      <c r="L1330" s="57"/>
      <c r="M1330" s="60"/>
      <c r="N1330" s="59"/>
      <c r="O1330" s="57"/>
      <c r="P1330" s="57"/>
      <c r="Q1330" s="57"/>
      <c r="R1330" s="57"/>
      <c r="S1330" s="59"/>
      <c r="T1330" s="57"/>
      <c r="U1330" s="60"/>
      <c r="V1330" s="59"/>
      <c r="W1330" s="57"/>
      <c r="X1330" s="57"/>
      <c r="Y1330" s="57" t="s">
        <v>21</v>
      </c>
      <c r="Z1330" s="57" t="s">
        <v>140</v>
      </c>
      <c r="AA1330" s="59">
        <v>21729</v>
      </c>
      <c r="AB1330" s="57" t="s">
        <v>61</v>
      </c>
      <c r="AC1330" s="60">
        <v>45903</v>
      </c>
      <c r="AD1330" s="59">
        <v>21729</v>
      </c>
      <c r="AE1330" s="57" t="s">
        <v>5184</v>
      </c>
      <c r="AF1330" s="57" t="s">
        <v>5185</v>
      </c>
    </row>
    <row r="1331" spans="1:32">
      <c r="A1331" s="57">
        <v>1330</v>
      </c>
      <c r="B1331" s="58">
        <v>46043.487210648149</v>
      </c>
      <c r="C1331" s="58">
        <v>46043.494606481479</v>
      </c>
      <c r="D1331" s="57" t="s">
        <v>1045</v>
      </c>
      <c r="E1331" s="57" t="s">
        <v>1046</v>
      </c>
      <c r="F1331" s="58"/>
      <c r="G1331" s="57" t="s">
        <v>610</v>
      </c>
      <c r="H1331" s="59">
        <v>1</v>
      </c>
      <c r="I1331" s="57"/>
      <c r="J1331" s="57"/>
      <c r="K1331" s="59"/>
      <c r="L1331" s="57"/>
      <c r="M1331" s="60"/>
      <c r="N1331" s="59"/>
      <c r="O1331" s="57"/>
      <c r="P1331" s="57"/>
      <c r="Q1331" s="57"/>
      <c r="R1331" s="57"/>
      <c r="S1331" s="59"/>
      <c r="T1331" s="57"/>
      <c r="U1331" s="60"/>
      <c r="V1331" s="59"/>
      <c r="W1331" s="57"/>
      <c r="X1331" s="57"/>
      <c r="Y1331" s="57" t="s">
        <v>21</v>
      </c>
      <c r="Z1331" s="57" t="s">
        <v>290</v>
      </c>
      <c r="AA1331" s="59">
        <v>22330</v>
      </c>
      <c r="AB1331" s="57" t="s">
        <v>61</v>
      </c>
      <c r="AC1331" s="60">
        <v>45988</v>
      </c>
      <c r="AD1331" s="59">
        <v>22330</v>
      </c>
      <c r="AE1331" s="57" t="s">
        <v>5186</v>
      </c>
      <c r="AF1331" s="57" t="s">
        <v>5187</v>
      </c>
    </row>
    <row r="1332" spans="1:32">
      <c r="A1332" s="57">
        <v>1331</v>
      </c>
      <c r="B1332" s="58">
        <v>46043.503622685188</v>
      </c>
      <c r="C1332" s="58">
        <v>46043.50980324074</v>
      </c>
      <c r="D1332" s="57" t="s">
        <v>940</v>
      </c>
      <c r="E1332" s="57" t="s">
        <v>941</v>
      </c>
      <c r="F1332" s="58"/>
      <c r="G1332" s="57" t="s">
        <v>688</v>
      </c>
      <c r="H1332" s="59">
        <v>1</v>
      </c>
      <c r="I1332" s="57"/>
      <c r="J1332" s="57"/>
      <c r="K1332" s="59"/>
      <c r="L1332" s="57"/>
      <c r="M1332" s="60"/>
      <c r="N1332" s="59"/>
      <c r="O1332" s="57"/>
      <c r="P1332" s="57"/>
      <c r="Q1332" s="57"/>
      <c r="R1332" s="57"/>
      <c r="S1332" s="59"/>
      <c r="T1332" s="57"/>
      <c r="U1332" s="60"/>
      <c r="V1332" s="59"/>
      <c r="W1332" s="57"/>
      <c r="X1332" s="57"/>
      <c r="Y1332" s="57" t="s">
        <v>20</v>
      </c>
      <c r="Z1332" s="57" t="s">
        <v>407</v>
      </c>
      <c r="AA1332" s="59">
        <v>8972</v>
      </c>
      <c r="AB1332" s="57" t="s">
        <v>61</v>
      </c>
      <c r="AC1332" s="60">
        <v>46034</v>
      </c>
      <c r="AD1332" s="59">
        <v>8972</v>
      </c>
      <c r="AE1332" s="57" t="s">
        <v>5188</v>
      </c>
      <c r="AF1332" s="57" t="s">
        <v>5189</v>
      </c>
    </row>
    <row r="1333" spans="1:32">
      <c r="A1333" s="57">
        <v>1332</v>
      </c>
      <c r="B1333" s="58">
        <v>46043.524745370371</v>
      </c>
      <c r="C1333" s="58">
        <v>46043.528541666667</v>
      </c>
      <c r="D1333" s="57" t="s">
        <v>2217</v>
      </c>
      <c r="E1333" s="57" t="s">
        <v>2218</v>
      </c>
      <c r="F1333" s="58"/>
      <c r="G1333" s="57" t="s">
        <v>546</v>
      </c>
      <c r="H1333" s="59">
        <v>1</v>
      </c>
      <c r="I1333" s="57"/>
      <c r="J1333" s="57"/>
      <c r="K1333" s="59"/>
      <c r="L1333" s="57"/>
      <c r="M1333" s="60"/>
      <c r="N1333" s="59"/>
      <c r="O1333" s="57"/>
      <c r="P1333" s="57"/>
      <c r="Q1333" s="57"/>
      <c r="R1333" s="57"/>
      <c r="S1333" s="59"/>
      <c r="T1333" s="57"/>
      <c r="U1333" s="60"/>
      <c r="V1333" s="59"/>
      <c r="W1333" s="57"/>
      <c r="X1333" s="57"/>
      <c r="Y1333" s="57" t="s">
        <v>21</v>
      </c>
      <c r="Z1333" s="57" t="s">
        <v>215</v>
      </c>
      <c r="AA1333" s="59">
        <v>59735</v>
      </c>
      <c r="AB1333" s="57" t="s">
        <v>61</v>
      </c>
      <c r="AC1333" s="60">
        <v>45969</v>
      </c>
      <c r="AD1333" s="59">
        <v>59735</v>
      </c>
      <c r="AE1333" s="57" t="s">
        <v>5190</v>
      </c>
      <c r="AF1333" s="57" t="s">
        <v>5191</v>
      </c>
    </row>
    <row r="1334" spans="1:32">
      <c r="A1334" s="57">
        <v>1333</v>
      </c>
      <c r="B1334" s="58">
        <v>46043.528854166667</v>
      </c>
      <c r="C1334" s="58">
        <v>46043.53324074074</v>
      </c>
      <c r="D1334" s="57" t="s">
        <v>1155</v>
      </c>
      <c r="E1334" s="57" t="s">
        <v>1156</v>
      </c>
      <c r="F1334" s="58"/>
      <c r="G1334" s="57" t="s">
        <v>521</v>
      </c>
      <c r="H1334" s="59">
        <v>1</v>
      </c>
      <c r="I1334" s="57"/>
      <c r="J1334" s="57"/>
      <c r="K1334" s="59"/>
      <c r="L1334" s="57"/>
      <c r="M1334" s="60"/>
      <c r="N1334" s="59"/>
      <c r="O1334" s="57"/>
      <c r="P1334" s="57"/>
      <c r="Q1334" s="57"/>
      <c r="R1334" s="57"/>
      <c r="S1334" s="59"/>
      <c r="T1334" s="57"/>
      <c r="U1334" s="60"/>
      <c r="V1334" s="59"/>
      <c r="W1334" s="57"/>
      <c r="X1334" s="57"/>
      <c r="Y1334" s="57" t="s">
        <v>21</v>
      </c>
      <c r="Z1334" s="57" t="s">
        <v>188</v>
      </c>
      <c r="AA1334" s="59">
        <v>60356</v>
      </c>
      <c r="AB1334" s="57" t="s">
        <v>61</v>
      </c>
      <c r="AC1334" s="60">
        <v>45934</v>
      </c>
      <c r="AD1334" s="59">
        <v>60356</v>
      </c>
      <c r="AE1334" s="57" t="s">
        <v>5192</v>
      </c>
      <c r="AF1334" s="57" t="s">
        <v>5193</v>
      </c>
    </row>
    <row r="1335" spans="1:32">
      <c r="A1335" s="57">
        <v>1334</v>
      </c>
      <c r="B1335" s="58">
        <v>46043.473530092589</v>
      </c>
      <c r="C1335" s="58">
        <v>46043.534618055557</v>
      </c>
      <c r="D1335" s="57" t="s">
        <v>4177</v>
      </c>
      <c r="E1335" s="57" t="s">
        <v>4178</v>
      </c>
      <c r="F1335" s="58"/>
      <c r="G1335" s="57" t="s">
        <v>499</v>
      </c>
      <c r="H1335" s="59">
        <v>2</v>
      </c>
      <c r="I1335" s="57"/>
      <c r="J1335" s="57"/>
      <c r="K1335" s="59"/>
      <c r="L1335" s="57"/>
      <c r="M1335" s="60"/>
      <c r="N1335" s="59"/>
      <c r="O1335" s="57"/>
      <c r="P1335" s="57"/>
      <c r="Q1335" s="57" t="s">
        <v>22</v>
      </c>
      <c r="R1335" s="57" t="s">
        <v>165</v>
      </c>
      <c r="S1335" s="59">
        <v>38664</v>
      </c>
      <c r="T1335" s="57" t="s">
        <v>61</v>
      </c>
      <c r="U1335" s="60">
        <v>45953</v>
      </c>
      <c r="V1335" s="59">
        <v>38664</v>
      </c>
      <c r="W1335" s="57" t="s">
        <v>5194</v>
      </c>
      <c r="X1335" s="57" t="s">
        <v>5195</v>
      </c>
      <c r="Y1335" s="57" t="s">
        <v>21</v>
      </c>
      <c r="Z1335" s="57" t="s">
        <v>428</v>
      </c>
      <c r="AA1335" s="59">
        <v>1428</v>
      </c>
      <c r="AB1335" s="57" t="s">
        <v>61</v>
      </c>
      <c r="AC1335" s="60">
        <v>45986</v>
      </c>
      <c r="AD1335" s="59">
        <v>1428</v>
      </c>
      <c r="AE1335" s="57" t="s">
        <v>5196</v>
      </c>
      <c r="AF1335" s="57" t="s">
        <v>5197</v>
      </c>
    </row>
    <row r="1336" spans="1:32">
      <c r="A1336" s="57">
        <v>1335</v>
      </c>
      <c r="B1336" s="58">
        <v>46043.55327546296</v>
      </c>
      <c r="C1336" s="58">
        <v>46043.554340277777</v>
      </c>
      <c r="D1336" s="57" t="s">
        <v>1101</v>
      </c>
      <c r="E1336" s="57" t="s">
        <v>1102</v>
      </c>
      <c r="F1336" s="58"/>
      <c r="G1336" s="57" t="s">
        <v>574</v>
      </c>
      <c r="H1336" s="59">
        <v>1</v>
      </c>
      <c r="I1336" s="57"/>
      <c r="J1336" s="57"/>
      <c r="K1336" s="59"/>
      <c r="L1336" s="57"/>
      <c r="M1336" s="60"/>
      <c r="N1336" s="59"/>
      <c r="O1336" s="57"/>
      <c r="P1336" s="57"/>
      <c r="Q1336" s="57"/>
      <c r="R1336" s="57"/>
      <c r="S1336" s="59"/>
      <c r="T1336" s="57"/>
      <c r="U1336" s="60"/>
      <c r="V1336" s="59"/>
      <c r="W1336" s="57"/>
      <c r="X1336" s="57"/>
      <c r="Y1336" s="57" t="s">
        <v>21</v>
      </c>
      <c r="Z1336" s="57" t="s">
        <v>246</v>
      </c>
      <c r="AA1336" s="59">
        <v>32568</v>
      </c>
      <c r="AB1336" s="57" t="s">
        <v>61</v>
      </c>
      <c r="AC1336" s="60">
        <v>45885</v>
      </c>
      <c r="AD1336" s="59">
        <v>32568</v>
      </c>
      <c r="AE1336" s="57" t="s">
        <v>5198</v>
      </c>
      <c r="AF1336" s="57" t="s">
        <v>5199</v>
      </c>
    </row>
    <row r="1337" spans="1:32">
      <c r="A1337" s="57">
        <v>1336</v>
      </c>
      <c r="B1337" s="58">
        <v>46043.555821759262</v>
      </c>
      <c r="C1337" s="58">
        <v>46043.563703703701</v>
      </c>
      <c r="D1337" s="57" t="s">
        <v>1361</v>
      </c>
      <c r="E1337" s="57" t="s">
        <v>1362</v>
      </c>
      <c r="F1337" s="58"/>
      <c r="G1337" s="57" t="s">
        <v>487</v>
      </c>
      <c r="H1337" s="59">
        <v>1</v>
      </c>
      <c r="I1337" s="57"/>
      <c r="J1337" s="57"/>
      <c r="K1337" s="59"/>
      <c r="L1337" s="57"/>
      <c r="M1337" s="60"/>
      <c r="N1337" s="59"/>
      <c r="O1337" s="57"/>
      <c r="P1337" s="57"/>
      <c r="Q1337" s="57"/>
      <c r="R1337" s="57"/>
      <c r="S1337" s="59"/>
      <c r="T1337" s="57"/>
      <c r="U1337" s="60"/>
      <c r="V1337" s="59"/>
      <c r="W1337" s="57"/>
      <c r="X1337" s="57"/>
      <c r="Y1337" s="57" t="s">
        <v>21</v>
      </c>
      <c r="Z1337" s="57" t="s">
        <v>153</v>
      </c>
      <c r="AA1337" s="59">
        <v>19951</v>
      </c>
      <c r="AB1337" s="57" t="s">
        <v>61</v>
      </c>
      <c r="AC1337" s="60">
        <v>45911</v>
      </c>
      <c r="AD1337" s="59">
        <v>19951</v>
      </c>
      <c r="AE1337" s="57" t="s">
        <v>5200</v>
      </c>
      <c r="AF1337" s="57" t="s">
        <v>5201</v>
      </c>
    </row>
    <row r="1338" spans="1:32">
      <c r="A1338" s="57">
        <v>1337</v>
      </c>
      <c r="B1338" s="58">
        <v>46043.573067129633</v>
      </c>
      <c r="C1338" s="58">
        <v>46043.577337962961</v>
      </c>
      <c r="D1338" s="57" t="s">
        <v>1713</v>
      </c>
      <c r="E1338" s="57" t="s">
        <v>1714</v>
      </c>
      <c r="F1338" s="58"/>
      <c r="G1338" s="57" t="s">
        <v>608</v>
      </c>
      <c r="H1338" s="59">
        <v>1</v>
      </c>
      <c r="I1338" s="57"/>
      <c r="J1338" s="57"/>
      <c r="K1338" s="59"/>
      <c r="L1338" s="57"/>
      <c r="M1338" s="60"/>
      <c r="N1338" s="59"/>
      <c r="O1338" s="57"/>
      <c r="P1338" s="57"/>
      <c r="Q1338" s="57"/>
      <c r="R1338" s="57"/>
      <c r="S1338" s="59"/>
      <c r="T1338" s="57"/>
      <c r="U1338" s="60"/>
      <c r="V1338" s="59"/>
      <c r="W1338" s="57"/>
      <c r="X1338" s="57"/>
      <c r="Y1338" s="57" t="s">
        <v>21</v>
      </c>
      <c r="Z1338" s="57" t="s">
        <v>286</v>
      </c>
      <c r="AA1338" s="59">
        <v>11900</v>
      </c>
      <c r="AB1338" s="57" t="s">
        <v>61</v>
      </c>
      <c r="AC1338" s="60">
        <v>46025</v>
      </c>
      <c r="AD1338" s="59">
        <v>11900</v>
      </c>
      <c r="AE1338" s="57" t="s">
        <v>5202</v>
      </c>
      <c r="AF1338" s="57" t="s">
        <v>5203</v>
      </c>
    </row>
    <row r="1339" spans="1:32">
      <c r="A1339" s="57">
        <v>1338</v>
      </c>
      <c r="B1339" s="58">
        <v>46043.584456018521</v>
      </c>
      <c r="C1339" s="58">
        <v>46043.590694444443</v>
      </c>
      <c r="D1339" s="57" t="s">
        <v>1452</v>
      </c>
      <c r="E1339" s="57" t="s">
        <v>1453</v>
      </c>
      <c r="F1339" s="58"/>
      <c r="G1339" s="57" t="s">
        <v>635</v>
      </c>
      <c r="H1339" s="59">
        <v>1</v>
      </c>
      <c r="I1339" s="57"/>
      <c r="J1339" s="57"/>
      <c r="K1339" s="59"/>
      <c r="L1339" s="57"/>
      <c r="M1339" s="60"/>
      <c r="N1339" s="59"/>
      <c r="O1339" s="57"/>
      <c r="P1339" s="57"/>
      <c r="Q1339" s="57"/>
      <c r="R1339" s="57"/>
      <c r="S1339" s="59"/>
      <c r="T1339" s="57"/>
      <c r="U1339" s="60"/>
      <c r="V1339" s="59"/>
      <c r="W1339" s="57"/>
      <c r="X1339" s="57"/>
      <c r="Y1339" s="57" t="s">
        <v>20</v>
      </c>
      <c r="Z1339" s="57" t="s">
        <v>326</v>
      </c>
      <c r="AA1339" s="59">
        <v>38184</v>
      </c>
      <c r="AB1339" s="57" t="s">
        <v>61</v>
      </c>
      <c r="AC1339" s="60">
        <v>45953</v>
      </c>
      <c r="AD1339" s="59">
        <v>38184</v>
      </c>
      <c r="AE1339" s="57" t="s">
        <v>5204</v>
      </c>
      <c r="AF1339" s="57" t="s">
        <v>5205</v>
      </c>
    </row>
    <row r="1340" spans="1:32">
      <c r="A1340" s="57">
        <v>1339</v>
      </c>
      <c r="B1340" s="58">
        <v>46043.606296296297</v>
      </c>
      <c r="C1340" s="58">
        <v>46043.608275462961</v>
      </c>
      <c r="D1340" s="57" t="s">
        <v>809</v>
      </c>
      <c r="E1340" s="57" t="s">
        <v>810</v>
      </c>
      <c r="F1340" s="58"/>
      <c r="G1340" s="57" t="s">
        <v>468</v>
      </c>
      <c r="H1340" s="59">
        <v>1</v>
      </c>
      <c r="I1340" s="57"/>
      <c r="J1340" s="57"/>
      <c r="K1340" s="59"/>
      <c r="L1340" s="57"/>
      <c r="M1340" s="60"/>
      <c r="N1340" s="59"/>
      <c r="O1340" s="57"/>
      <c r="P1340" s="57"/>
      <c r="Q1340" s="57"/>
      <c r="R1340" s="57"/>
      <c r="S1340" s="59"/>
      <c r="T1340" s="57"/>
      <c r="U1340" s="60"/>
      <c r="V1340" s="59"/>
      <c r="W1340" s="57"/>
      <c r="X1340" s="57"/>
      <c r="Y1340" s="57" t="s">
        <v>21</v>
      </c>
      <c r="Z1340" s="57" t="s">
        <v>134</v>
      </c>
      <c r="AA1340" s="59">
        <v>51528</v>
      </c>
      <c r="AB1340" s="57" t="s">
        <v>61</v>
      </c>
      <c r="AC1340" s="60">
        <v>45931</v>
      </c>
      <c r="AD1340" s="59">
        <v>51528</v>
      </c>
      <c r="AE1340" s="57" t="s">
        <v>5206</v>
      </c>
      <c r="AF1340" s="57" t="s">
        <v>5207</v>
      </c>
    </row>
    <row r="1341" spans="1:32">
      <c r="A1341" s="57">
        <v>1340</v>
      </c>
      <c r="B1341" s="58">
        <v>46043.466400462959</v>
      </c>
      <c r="C1341" s="58">
        <v>46043.61042824074</v>
      </c>
      <c r="D1341" s="57" t="s">
        <v>1205</v>
      </c>
      <c r="E1341" s="57" t="s">
        <v>1206</v>
      </c>
      <c r="F1341" s="58"/>
      <c r="G1341" s="57" t="s">
        <v>474</v>
      </c>
      <c r="H1341" s="59">
        <v>1</v>
      </c>
      <c r="I1341" s="57"/>
      <c r="J1341" s="57"/>
      <c r="K1341" s="59"/>
      <c r="L1341" s="57"/>
      <c r="M1341" s="60"/>
      <c r="N1341" s="59"/>
      <c r="O1341" s="57"/>
      <c r="P1341" s="57"/>
      <c r="Q1341" s="57"/>
      <c r="R1341" s="57"/>
      <c r="S1341" s="59"/>
      <c r="T1341" s="57"/>
      <c r="U1341" s="60"/>
      <c r="V1341" s="59"/>
      <c r="W1341" s="57"/>
      <c r="X1341" s="57"/>
      <c r="Y1341" s="57" t="s">
        <v>21</v>
      </c>
      <c r="Z1341" s="57" t="s">
        <v>140</v>
      </c>
      <c r="AA1341" s="59">
        <v>22151</v>
      </c>
      <c r="AB1341" s="57" t="s">
        <v>61</v>
      </c>
      <c r="AC1341" s="60">
        <v>45903</v>
      </c>
      <c r="AD1341" s="59">
        <v>22151</v>
      </c>
      <c r="AE1341" s="57" t="s">
        <v>5208</v>
      </c>
      <c r="AF1341" s="57" t="s">
        <v>5209</v>
      </c>
    </row>
    <row r="1342" spans="1:32">
      <c r="A1342" s="57">
        <v>1341</v>
      </c>
      <c r="B1342" s="58">
        <v>46043.61818287037</v>
      </c>
      <c r="C1342" s="58">
        <v>46043.622685185182</v>
      </c>
      <c r="D1342" s="57" t="s">
        <v>966</v>
      </c>
      <c r="E1342" s="57" t="s">
        <v>967</v>
      </c>
      <c r="F1342" s="58"/>
      <c r="G1342" s="57" t="s">
        <v>503</v>
      </c>
      <c r="H1342" s="59">
        <v>1</v>
      </c>
      <c r="I1342" s="57"/>
      <c r="J1342" s="57"/>
      <c r="K1342" s="59"/>
      <c r="L1342" s="57"/>
      <c r="M1342" s="60"/>
      <c r="N1342" s="59"/>
      <c r="O1342" s="57"/>
      <c r="P1342" s="57"/>
      <c r="Q1342" s="57"/>
      <c r="R1342" s="57"/>
      <c r="S1342" s="59"/>
      <c r="T1342" s="57"/>
      <c r="U1342" s="60"/>
      <c r="V1342" s="59"/>
      <c r="W1342" s="57"/>
      <c r="X1342" s="57"/>
      <c r="Y1342" s="57" t="s">
        <v>20</v>
      </c>
      <c r="Z1342" s="57" t="s">
        <v>169</v>
      </c>
      <c r="AA1342" s="59">
        <v>105745</v>
      </c>
      <c r="AB1342" s="57" t="s">
        <v>61</v>
      </c>
      <c r="AC1342" s="60">
        <v>46015</v>
      </c>
      <c r="AD1342" s="59">
        <v>105745</v>
      </c>
      <c r="AE1342" s="57" t="s">
        <v>5210</v>
      </c>
      <c r="AF1342" s="57" t="s">
        <v>5211</v>
      </c>
    </row>
    <row r="1343" spans="1:32">
      <c r="A1343" s="57">
        <v>1342</v>
      </c>
      <c r="B1343" s="58">
        <v>46043.620856481481</v>
      </c>
      <c r="C1343" s="58">
        <v>46043.623379629629</v>
      </c>
      <c r="D1343" s="57" t="s">
        <v>1139</v>
      </c>
      <c r="E1343" s="57" t="s">
        <v>1140</v>
      </c>
      <c r="F1343" s="58"/>
      <c r="G1343" s="57" t="s">
        <v>592</v>
      </c>
      <c r="H1343" s="59">
        <v>1</v>
      </c>
      <c r="I1343" s="57"/>
      <c r="J1343" s="57"/>
      <c r="K1343" s="59"/>
      <c r="L1343" s="57"/>
      <c r="M1343" s="60"/>
      <c r="N1343" s="59"/>
      <c r="O1343" s="57"/>
      <c r="P1343" s="57"/>
      <c r="Q1343" s="57"/>
      <c r="R1343" s="57"/>
      <c r="S1343" s="59"/>
      <c r="T1343" s="57"/>
      <c r="U1343" s="60"/>
      <c r="V1343" s="59"/>
      <c r="W1343" s="57"/>
      <c r="X1343" s="57"/>
      <c r="Y1343" s="57" t="s">
        <v>21</v>
      </c>
      <c r="Z1343" s="57" t="s">
        <v>268</v>
      </c>
      <c r="AA1343" s="59">
        <v>36968</v>
      </c>
      <c r="AB1343" s="57" t="s">
        <v>61</v>
      </c>
      <c r="AC1343" s="60">
        <v>46034</v>
      </c>
      <c r="AD1343" s="59">
        <v>36968</v>
      </c>
      <c r="AE1343" s="57" t="s">
        <v>5212</v>
      </c>
      <c r="AF1343" s="57" t="s">
        <v>5213</v>
      </c>
    </row>
    <row r="1344" spans="1:32">
      <c r="A1344" s="57">
        <v>1343</v>
      </c>
      <c r="B1344" s="58">
        <v>46043.620752314811</v>
      </c>
      <c r="C1344" s="58">
        <v>46043.623819444438</v>
      </c>
      <c r="D1344" s="57" t="s">
        <v>1105</v>
      </c>
      <c r="E1344" s="57" t="s">
        <v>1106</v>
      </c>
      <c r="F1344" s="58"/>
      <c r="G1344" s="57" t="s">
        <v>652</v>
      </c>
      <c r="H1344" s="59">
        <v>1</v>
      </c>
      <c r="I1344" s="57"/>
      <c r="J1344" s="57"/>
      <c r="K1344" s="59"/>
      <c r="L1344" s="57"/>
      <c r="M1344" s="60"/>
      <c r="N1344" s="59"/>
      <c r="O1344" s="57"/>
      <c r="P1344" s="57"/>
      <c r="Q1344" s="57"/>
      <c r="R1344" s="57"/>
      <c r="S1344" s="59"/>
      <c r="T1344" s="57"/>
      <c r="U1344" s="60"/>
      <c r="V1344" s="59"/>
      <c r="W1344" s="57"/>
      <c r="X1344" s="57"/>
      <c r="Y1344" s="57" t="s">
        <v>21</v>
      </c>
      <c r="Z1344" s="57" t="s">
        <v>350</v>
      </c>
      <c r="AA1344" s="59">
        <v>10907</v>
      </c>
      <c r="AB1344" s="57" t="s">
        <v>61</v>
      </c>
      <c r="AC1344" s="60">
        <v>45884</v>
      </c>
      <c r="AD1344" s="59">
        <v>10907</v>
      </c>
      <c r="AE1344" s="57" t="s">
        <v>5214</v>
      </c>
      <c r="AF1344" s="57" t="s">
        <v>5215</v>
      </c>
    </row>
    <row r="1345" spans="1:32">
      <c r="A1345" s="57">
        <v>1344</v>
      </c>
      <c r="B1345" s="58">
        <v>46043.62740740741</v>
      </c>
      <c r="C1345" s="58">
        <v>46043.630844907413</v>
      </c>
      <c r="D1345" s="57" t="s">
        <v>1419</v>
      </c>
      <c r="E1345" s="57" t="s">
        <v>1420</v>
      </c>
      <c r="F1345" s="58"/>
      <c r="G1345" s="57" t="s">
        <v>603</v>
      </c>
      <c r="H1345" s="59">
        <v>1</v>
      </c>
      <c r="I1345" s="57"/>
      <c r="J1345" s="57"/>
      <c r="K1345" s="59"/>
      <c r="L1345" s="57"/>
      <c r="M1345" s="60"/>
      <c r="N1345" s="59"/>
      <c r="O1345" s="57"/>
      <c r="P1345" s="57"/>
      <c r="Q1345" s="57"/>
      <c r="R1345" s="57"/>
      <c r="S1345" s="59"/>
      <c r="T1345" s="57"/>
      <c r="U1345" s="60"/>
      <c r="V1345" s="59"/>
      <c r="W1345" s="57"/>
      <c r="X1345" s="57"/>
      <c r="Y1345" s="57" t="s">
        <v>21</v>
      </c>
      <c r="Z1345" s="57" t="s">
        <v>280</v>
      </c>
      <c r="AA1345" s="59">
        <v>26597</v>
      </c>
      <c r="AB1345" s="57" t="s">
        <v>61</v>
      </c>
      <c r="AC1345" s="60">
        <v>45885</v>
      </c>
      <c r="AD1345" s="59">
        <v>26597</v>
      </c>
      <c r="AE1345" s="57" t="s">
        <v>5216</v>
      </c>
      <c r="AF1345" s="57" t="s">
        <v>5217</v>
      </c>
    </row>
    <row r="1346" spans="1:32">
      <c r="A1346" s="57">
        <v>1345</v>
      </c>
      <c r="B1346" s="58">
        <v>46043.648773148147</v>
      </c>
      <c r="C1346" s="58">
        <v>46043.650509259263</v>
      </c>
      <c r="D1346" s="57" t="s">
        <v>1007</v>
      </c>
      <c r="E1346" s="57" t="s">
        <v>1008</v>
      </c>
      <c r="F1346" s="58"/>
      <c r="G1346" s="57" t="s">
        <v>528</v>
      </c>
      <c r="H1346" s="59">
        <v>2</v>
      </c>
      <c r="I1346" s="57"/>
      <c r="J1346" s="57"/>
      <c r="K1346" s="59"/>
      <c r="L1346" s="57"/>
      <c r="M1346" s="60"/>
      <c r="N1346" s="59"/>
      <c r="O1346" s="57"/>
      <c r="P1346" s="57"/>
      <c r="Q1346" s="57" t="s">
        <v>22</v>
      </c>
      <c r="R1346" s="57" t="s">
        <v>195</v>
      </c>
      <c r="S1346" s="59">
        <v>51023</v>
      </c>
      <c r="T1346" s="57" t="s">
        <v>61</v>
      </c>
      <c r="U1346" s="60">
        <v>45973</v>
      </c>
      <c r="V1346" s="59">
        <v>51023</v>
      </c>
      <c r="W1346" s="57" t="s">
        <v>5218</v>
      </c>
      <c r="X1346" s="57" t="s">
        <v>5219</v>
      </c>
      <c r="Y1346" s="57" t="s">
        <v>20</v>
      </c>
      <c r="Z1346" s="57" t="s">
        <v>400</v>
      </c>
      <c r="AA1346" s="59">
        <v>5589</v>
      </c>
      <c r="AB1346" s="57" t="s">
        <v>61</v>
      </c>
      <c r="AC1346" s="60">
        <v>45973</v>
      </c>
      <c r="AD1346" s="59">
        <v>5589</v>
      </c>
      <c r="AE1346" s="57" t="s">
        <v>5220</v>
      </c>
      <c r="AF1346" s="57" t="s">
        <v>5221</v>
      </c>
    </row>
    <row r="1347" spans="1:32">
      <c r="A1347" s="57">
        <v>1346</v>
      </c>
      <c r="B1347" s="58">
        <v>46043.425034722219</v>
      </c>
      <c r="C1347" s="58">
        <v>46043.657129629632</v>
      </c>
      <c r="D1347" s="57" t="s">
        <v>1791</v>
      </c>
      <c r="E1347" s="57" t="s">
        <v>1792</v>
      </c>
      <c r="F1347" s="58"/>
      <c r="G1347" s="57" t="s">
        <v>621</v>
      </c>
      <c r="H1347" s="59">
        <v>1</v>
      </c>
      <c r="I1347" s="57"/>
      <c r="J1347" s="57"/>
      <c r="K1347" s="59"/>
      <c r="L1347" s="57"/>
      <c r="M1347" s="60"/>
      <c r="N1347" s="59"/>
      <c r="O1347" s="57"/>
      <c r="P1347" s="57"/>
      <c r="Q1347" s="57"/>
      <c r="R1347" s="57"/>
      <c r="S1347" s="59"/>
      <c r="T1347" s="57"/>
      <c r="U1347" s="60"/>
      <c r="V1347" s="59"/>
      <c r="W1347" s="57"/>
      <c r="X1347" s="57"/>
      <c r="Y1347" s="57" t="s">
        <v>21</v>
      </c>
      <c r="Z1347" s="57" t="s">
        <v>303</v>
      </c>
      <c r="AA1347" s="59">
        <v>11936</v>
      </c>
      <c r="AB1347" s="57" t="s">
        <v>61</v>
      </c>
      <c r="AC1347" s="60">
        <v>45995</v>
      </c>
      <c r="AD1347" s="59">
        <v>11936</v>
      </c>
      <c r="AE1347" s="57" t="s">
        <v>5222</v>
      </c>
      <c r="AF1347" s="57" t="s">
        <v>5223</v>
      </c>
    </row>
    <row r="1348" spans="1:32">
      <c r="A1348" s="57">
        <v>1347</v>
      </c>
      <c r="B1348" s="58">
        <v>46043.669131944444</v>
      </c>
      <c r="C1348" s="58">
        <v>46043.683587962973</v>
      </c>
      <c r="D1348" s="57" t="s">
        <v>5224</v>
      </c>
      <c r="E1348" s="57" t="s">
        <v>5225</v>
      </c>
      <c r="F1348" s="58"/>
      <c r="G1348" s="57" t="s">
        <v>497</v>
      </c>
      <c r="H1348" s="59">
        <v>1</v>
      </c>
      <c r="I1348" s="57"/>
      <c r="J1348" s="57"/>
      <c r="K1348" s="59"/>
      <c r="L1348" s="57"/>
      <c r="M1348" s="60"/>
      <c r="N1348" s="59"/>
      <c r="O1348" s="57"/>
      <c r="P1348" s="57"/>
      <c r="Q1348" s="57"/>
      <c r="R1348" s="57"/>
      <c r="S1348" s="59"/>
      <c r="T1348" s="57"/>
      <c r="U1348" s="60"/>
      <c r="V1348" s="59"/>
      <c r="W1348" s="57"/>
      <c r="X1348" s="57"/>
      <c r="Y1348" s="57" t="s">
        <v>21</v>
      </c>
      <c r="Z1348" s="57" t="s">
        <v>163</v>
      </c>
      <c r="AA1348" s="59">
        <v>15915</v>
      </c>
      <c r="AB1348" s="57" t="s">
        <v>61</v>
      </c>
      <c r="AC1348" s="60">
        <v>45861</v>
      </c>
      <c r="AD1348" s="59">
        <v>15915</v>
      </c>
      <c r="AE1348" s="57" t="s">
        <v>5226</v>
      </c>
      <c r="AF1348" s="57" t="s">
        <v>5227</v>
      </c>
    </row>
    <row r="1349" spans="1:32">
      <c r="A1349" s="57">
        <v>1348</v>
      </c>
      <c r="B1349" s="58">
        <v>46043.374363425923</v>
      </c>
      <c r="C1349" s="58">
        <v>46043.688969907409</v>
      </c>
      <c r="D1349" s="57" t="s">
        <v>2440</v>
      </c>
      <c r="E1349" s="57" t="s">
        <v>2441</v>
      </c>
      <c r="F1349" s="58"/>
      <c r="G1349" s="57" t="s">
        <v>588</v>
      </c>
      <c r="H1349" s="59">
        <v>1</v>
      </c>
      <c r="I1349" s="57"/>
      <c r="J1349" s="57"/>
      <c r="K1349" s="59"/>
      <c r="L1349" s="57"/>
      <c r="M1349" s="60"/>
      <c r="N1349" s="59"/>
      <c r="O1349" s="57"/>
      <c r="P1349" s="57"/>
      <c r="Q1349" s="57"/>
      <c r="R1349" s="57"/>
      <c r="S1349" s="59"/>
      <c r="T1349" s="57"/>
      <c r="U1349" s="60"/>
      <c r="V1349" s="59"/>
      <c r="W1349" s="57"/>
      <c r="X1349" s="57"/>
      <c r="Y1349" s="57" t="s">
        <v>21</v>
      </c>
      <c r="Z1349" s="57" t="s">
        <v>262</v>
      </c>
      <c r="AA1349" s="59">
        <v>54416</v>
      </c>
      <c r="AB1349" s="57" t="s">
        <v>61</v>
      </c>
      <c r="AC1349" s="60">
        <v>45825</v>
      </c>
      <c r="AD1349" s="59">
        <v>54416</v>
      </c>
      <c r="AE1349" s="57" t="s">
        <v>5228</v>
      </c>
      <c r="AF1349" s="57" t="s">
        <v>5229</v>
      </c>
    </row>
    <row r="1350" spans="1:32">
      <c r="A1350" s="57">
        <v>1349</v>
      </c>
      <c r="B1350" s="58">
        <v>46043.64266203704</v>
      </c>
      <c r="C1350" s="58">
        <v>46043.714097222219</v>
      </c>
      <c r="D1350" s="57" t="s">
        <v>2026</v>
      </c>
      <c r="E1350" s="57" t="s">
        <v>2027</v>
      </c>
      <c r="F1350" s="58"/>
      <c r="G1350" s="57" t="s">
        <v>579</v>
      </c>
      <c r="H1350" s="59">
        <v>2</v>
      </c>
      <c r="I1350" s="57"/>
      <c r="J1350" s="57"/>
      <c r="K1350" s="59"/>
      <c r="L1350" s="57"/>
      <c r="M1350" s="60"/>
      <c r="N1350" s="59"/>
      <c r="O1350" s="57"/>
      <c r="P1350" s="57"/>
      <c r="Q1350" s="57" t="s">
        <v>22</v>
      </c>
      <c r="R1350" s="57" t="s">
        <v>251</v>
      </c>
      <c r="S1350" s="59">
        <v>4883</v>
      </c>
      <c r="T1350" s="57" t="s">
        <v>61</v>
      </c>
      <c r="U1350" s="60">
        <v>45960</v>
      </c>
      <c r="V1350" s="59">
        <v>4883</v>
      </c>
      <c r="W1350" s="57" t="s">
        <v>5230</v>
      </c>
      <c r="X1350" s="57" t="s">
        <v>5231</v>
      </c>
      <c r="Y1350" s="57" t="s">
        <v>21</v>
      </c>
      <c r="Z1350" s="57" t="s">
        <v>438</v>
      </c>
      <c r="AA1350" s="59">
        <v>740</v>
      </c>
      <c r="AB1350" s="57" t="s">
        <v>61</v>
      </c>
      <c r="AC1350" s="60">
        <v>46008</v>
      </c>
      <c r="AD1350" s="59">
        <v>740</v>
      </c>
      <c r="AE1350" s="57" t="s">
        <v>5232</v>
      </c>
      <c r="AF1350" s="57" t="s">
        <v>5233</v>
      </c>
    </row>
    <row r="1351" spans="1:32">
      <c r="A1351" s="57">
        <v>1350</v>
      </c>
      <c r="B1351" s="58">
        <v>46043.712789351863</v>
      </c>
      <c r="C1351" s="58">
        <v>46043.720439814817</v>
      </c>
      <c r="D1351" s="57" t="s">
        <v>1445</v>
      </c>
      <c r="E1351" s="57" t="s">
        <v>1446</v>
      </c>
      <c r="F1351" s="58"/>
      <c r="G1351" s="57" t="s">
        <v>596</v>
      </c>
      <c r="H1351" s="59">
        <v>2</v>
      </c>
      <c r="I1351" s="57"/>
      <c r="J1351" s="57"/>
      <c r="K1351" s="59"/>
      <c r="L1351" s="57"/>
      <c r="M1351" s="60"/>
      <c r="N1351" s="59"/>
      <c r="O1351" s="57"/>
      <c r="P1351" s="57"/>
      <c r="Q1351" s="57" t="s">
        <v>22</v>
      </c>
      <c r="R1351" s="57" t="s">
        <v>401</v>
      </c>
      <c r="S1351" s="59">
        <v>12822</v>
      </c>
      <c r="T1351" s="57" t="s">
        <v>61</v>
      </c>
      <c r="U1351" s="60">
        <v>46028</v>
      </c>
      <c r="V1351" s="59">
        <v>12822</v>
      </c>
      <c r="W1351" s="57" t="s">
        <v>5234</v>
      </c>
      <c r="X1351" s="57" t="s">
        <v>5235</v>
      </c>
      <c r="Y1351" s="57" t="s">
        <v>21</v>
      </c>
      <c r="Z1351" s="57" t="s">
        <v>272</v>
      </c>
      <c r="AA1351" s="59">
        <v>21384</v>
      </c>
      <c r="AB1351" s="57" t="s">
        <v>61</v>
      </c>
      <c r="AC1351" s="60">
        <v>45943</v>
      </c>
      <c r="AD1351" s="59">
        <v>21384</v>
      </c>
      <c r="AE1351" s="57" t="s">
        <v>5236</v>
      </c>
      <c r="AF1351" s="57" t="s">
        <v>5237</v>
      </c>
    </row>
    <row r="1352" spans="1:32">
      <c r="A1352" s="57">
        <v>1351</v>
      </c>
      <c r="B1352" s="58">
        <v>46043.733541666668</v>
      </c>
      <c r="C1352" s="58">
        <v>46043.735555555562</v>
      </c>
      <c r="D1352" s="57" t="s">
        <v>5238</v>
      </c>
      <c r="E1352" s="57" t="s">
        <v>5239</v>
      </c>
      <c r="F1352" s="58"/>
      <c r="G1352" s="57" t="s">
        <v>685</v>
      </c>
      <c r="H1352" s="59">
        <v>1</v>
      </c>
      <c r="I1352" s="57"/>
      <c r="J1352" s="57"/>
      <c r="K1352" s="59"/>
      <c r="L1352" s="57"/>
      <c r="M1352" s="60"/>
      <c r="N1352" s="59"/>
      <c r="O1352" s="57"/>
      <c r="P1352" s="57"/>
      <c r="Q1352" s="57"/>
      <c r="R1352" s="57"/>
      <c r="S1352" s="59"/>
      <c r="T1352" s="57"/>
      <c r="U1352" s="60"/>
      <c r="V1352" s="59"/>
      <c r="W1352" s="57"/>
      <c r="X1352" s="57"/>
      <c r="Y1352" s="57" t="s">
        <v>20</v>
      </c>
      <c r="Z1352" s="57" t="s">
        <v>403</v>
      </c>
      <c r="AA1352" s="59">
        <v>3001</v>
      </c>
      <c r="AB1352" s="57" t="s">
        <v>61</v>
      </c>
      <c r="AC1352" s="60">
        <v>46001</v>
      </c>
      <c r="AD1352" s="59">
        <v>3001</v>
      </c>
      <c r="AE1352" s="57" t="s">
        <v>5240</v>
      </c>
      <c r="AF1352" s="57" t="s">
        <v>5241</v>
      </c>
    </row>
    <row r="1353" spans="1:32">
      <c r="A1353" s="57">
        <v>1352</v>
      </c>
      <c r="B1353" s="58">
        <v>46043.76121527778</v>
      </c>
      <c r="C1353" s="58">
        <v>46043.764560185176</v>
      </c>
      <c r="D1353" s="57" t="s">
        <v>1135</v>
      </c>
      <c r="E1353" s="57" t="s">
        <v>1136</v>
      </c>
      <c r="F1353" s="58"/>
      <c r="G1353" s="57" t="s">
        <v>453</v>
      </c>
      <c r="H1353" s="59">
        <v>1</v>
      </c>
      <c r="I1353" s="57"/>
      <c r="J1353" s="57"/>
      <c r="K1353" s="59"/>
      <c r="L1353" s="57"/>
      <c r="M1353" s="60"/>
      <c r="N1353" s="59"/>
      <c r="O1353" s="57"/>
      <c r="P1353" s="57"/>
      <c r="Q1353" s="57"/>
      <c r="R1353" s="57"/>
      <c r="S1353" s="59"/>
      <c r="T1353" s="57"/>
      <c r="U1353" s="60"/>
      <c r="V1353" s="59"/>
      <c r="W1353" s="57"/>
      <c r="X1353" s="57"/>
      <c r="Y1353" s="57" t="s">
        <v>21</v>
      </c>
      <c r="Z1353" s="57" t="s">
        <v>119</v>
      </c>
      <c r="AA1353" s="59">
        <v>31963</v>
      </c>
      <c r="AB1353" s="57" t="s">
        <v>61</v>
      </c>
      <c r="AC1353" s="60">
        <v>46036</v>
      </c>
      <c r="AD1353" s="59">
        <v>31963</v>
      </c>
      <c r="AE1353" s="57" t="s">
        <v>5242</v>
      </c>
      <c r="AF1353" s="57" t="s">
        <v>5243</v>
      </c>
    </row>
    <row r="1354" spans="1:32">
      <c r="A1354" s="57">
        <v>1353</v>
      </c>
      <c r="B1354" s="58">
        <v>46043.875150462962</v>
      </c>
      <c r="C1354" s="58">
        <v>46043.879537037043</v>
      </c>
      <c r="D1354" s="57" t="s">
        <v>1226</v>
      </c>
      <c r="E1354" s="57" t="s">
        <v>1227</v>
      </c>
      <c r="F1354" s="58"/>
      <c r="G1354" s="57" t="s">
        <v>526</v>
      </c>
      <c r="H1354" s="59">
        <v>2</v>
      </c>
      <c r="I1354" s="57"/>
      <c r="J1354" s="57"/>
      <c r="K1354" s="59"/>
      <c r="L1354" s="57"/>
      <c r="M1354" s="60"/>
      <c r="N1354" s="59"/>
      <c r="O1354" s="57"/>
      <c r="P1354" s="57"/>
      <c r="Q1354" s="57" t="s">
        <v>22</v>
      </c>
      <c r="R1354" s="57" t="s">
        <v>193</v>
      </c>
      <c r="S1354" s="59">
        <v>40830</v>
      </c>
      <c r="T1354" s="57" t="s">
        <v>61</v>
      </c>
      <c r="U1354" s="60">
        <v>45798</v>
      </c>
      <c r="V1354" s="59">
        <v>40830</v>
      </c>
      <c r="W1354" s="57" t="s">
        <v>5244</v>
      </c>
      <c r="X1354" s="57" t="s">
        <v>5245</v>
      </c>
      <c r="Y1354" s="57" t="s">
        <v>21</v>
      </c>
      <c r="Z1354" s="57" t="s">
        <v>372</v>
      </c>
      <c r="AA1354" s="59">
        <v>6363</v>
      </c>
      <c r="AB1354" s="57" t="s">
        <v>61</v>
      </c>
      <c r="AC1354" s="60">
        <v>45909</v>
      </c>
      <c r="AD1354" s="59">
        <v>6363</v>
      </c>
      <c r="AE1354" s="57" t="s">
        <v>5246</v>
      </c>
      <c r="AF1354" s="57" t="s">
        <v>5247</v>
      </c>
    </row>
    <row r="1355" spans="1:32">
      <c r="A1355" s="57">
        <v>1354</v>
      </c>
      <c r="B1355" s="58">
        <v>46043.882557870369</v>
      </c>
      <c r="C1355" s="58">
        <v>46043.883738425917</v>
      </c>
      <c r="D1355" s="57" t="s">
        <v>1226</v>
      </c>
      <c r="E1355" s="57" t="s">
        <v>1227</v>
      </c>
      <c r="F1355" s="58"/>
      <c r="G1355" s="57" t="s">
        <v>526</v>
      </c>
      <c r="H1355" s="59">
        <v>2</v>
      </c>
      <c r="I1355" s="57"/>
      <c r="J1355" s="57"/>
      <c r="K1355" s="59"/>
      <c r="L1355" s="57"/>
      <c r="M1355" s="60"/>
      <c r="N1355" s="59"/>
      <c r="O1355" s="57"/>
      <c r="P1355" s="57"/>
      <c r="Q1355" s="57" t="s">
        <v>22</v>
      </c>
      <c r="R1355" s="57" t="s">
        <v>193</v>
      </c>
      <c r="S1355" s="59">
        <v>37659</v>
      </c>
      <c r="T1355" s="57" t="s">
        <v>61</v>
      </c>
      <c r="U1355" s="60">
        <v>45979</v>
      </c>
      <c r="V1355" s="59">
        <v>37659</v>
      </c>
      <c r="W1355" s="57" t="s">
        <v>5248</v>
      </c>
      <c r="X1355" s="57" t="s">
        <v>5249</v>
      </c>
      <c r="Y1355" s="57" t="s">
        <v>21</v>
      </c>
      <c r="Z1355" s="57" t="s">
        <v>372</v>
      </c>
      <c r="AA1355" s="59">
        <v>5873</v>
      </c>
      <c r="AB1355" s="57" t="s">
        <v>61</v>
      </c>
      <c r="AC1355" s="60">
        <v>45909</v>
      </c>
      <c r="AD1355" s="59">
        <v>5873</v>
      </c>
      <c r="AE1355" s="57" t="s">
        <v>5250</v>
      </c>
      <c r="AF1355" s="57" t="s">
        <v>5251</v>
      </c>
    </row>
    <row r="1356" spans="1:32">
      <c r="A1356" s="57">
        <v>1355</v>
      </c>
      <c r="B1356" s="58">
        <v>46044.330300925933</v>
      </c>
      <c r="C1356" s="58">
        <v>46044.333055555559</v>
      </c>
      <c r="D1356" s="57" t="s">
        <v>862</v>
      </c>
      <c r="E1356" s="57" t="s">
        <v>863</v>
      </c>
      <c r="F1356" s="58"/>
      <c r="G1356" s="57" t="s">
        <v>568</v>
      </c>
      <c r="H1356" s="59">
        <v>1</v>
      </c>
      <c r="I1356" s="57"/>
      <c r="J1356" s="57"/>
      <c r="K1356" s="59"/>
      <c r="L1356" s="57"/>
      <c r="M1356" s="60"/>
      <c r="N1356" s="59"/>
      <c r="O1356" s="57"/>
      <c r="P1356" s="57"/>
      <c r="Q1356" s="57"/>
      <c r="R1356" s="57"/>
      <c r="S1356" s="59"/>
      <c r="T1356" s="57"/>
      <c r="U1356" s="60"/>
      <c r="V1356" s="59"/>
      <c r="W1356" s="57"/>
      <c r="X1356" s="57"/>
      <c r="Y1356" s="57" t="s">
        <v>20</v>
      </c>
      <c r="Z1356" s="57" t="s">
        <v>240</v>
      </c>
      <c r="AA1356" s="59">
        <v>41377</v>
      </c>
      <c r="AB1356" s="57" t="s">
        <v>61</v>
      </c>
      <c r="AC1356" s="60">
        <v>46068</v>
      </c>
      <c r="AD1356" s="59">
        <v>41377</v>
      </c>
      <c r="AE1356" s="57" t="s">
        <v>5252</v>
      </c>
      <c r="AF1356" s="57" t="s">
        <v>5253</v>
      </c>
    </row>
    <row r="1357" spans="1:32">
      <c r="A1357" s="57">
        <v>1356</v>
      </c>
      <c r="B1357" s="58">
        <v>46044.351493055547</v>
      </c>
      <c r="C1357" s="58">
        <v>46044.383032407408</v>
      </c>
      <c r="D1357" s="57" t="s">
        <v>4407</v>
      </c>
      <c r="E1357" s="57" t="s">
        <v>4408</v>
      </c>
      <c r="F1357" s="58"/>
      <c r="G1357" s="57" t="s">
        <v>650</v>
      </c>
      <c r="H1357" s="59">
        <v>1</v>
      </c>
      <c r="I1357" s="57"/>
      <c r="J1357" s="57"/>
      <c r="K1357" s="59"/>
      <c r="L1357" s="57"/>
      <c r="M1357" s="60"/>
      <c r="N1357" s="59"/>
      <c r="O1357" s="57"/>
      <c r="P1357" s="57"/>
      <c r="Q1357" s="57"/>
      <c r="R1357" s="57"/>
      <c r="S1357" s="59"/>
      <c r="T1357" s="57"/>
      <c r="U1357" s="60"/>
      <c r="V1357" s="59"/>
      <c r="W1357" s="57"/>
      <c r="X1357" s="57"/>
      <c r="Y1357" s="57" t="s">
        <v>21</v>
      </c>
      <c r="Z1357" s="57" t="s">
        <v>347</v>
      </c>
      <c r="AA1357" s="59">
        <v>1372</v>
      </c>
      <c r="AB1357" s="57" t="s">
        <v>61</v>
      </c>
      <c r="AC1357" s="60">
        <v>45916</v>
      </c>
      <c r="AD1357" s="59">
        <v>1372</v>
      </c>
      <c r="AE1357" s="57" t="s">
        <v>5254</v>
      </c>
      <c r="AF1357" s="57" t="s">
        <v>5255</v>
      </c>
    </row>
    <row r="1358" spans="1:32">
      <c r="A1358" s="57">
        <v>1357</v>
      </c>
      <c r="B1358" s="58">
        <v>46044.348530092589</v>
      </c>
      <c r="C1358" s="58">
        <v>46044.396365740737</v>
      </c>
      <c r="D1358" s="57" t="s">
        <v>1064</v>
      </c>
      <c r="E1358" s="57" t="s">
        <v>1065</v>
      </c>
      <c r="F1358" s="58"/>
      <c r="G1358" s="57" t="s">
        <v>544</v>
      </c>
      <c r="H1358" s="59">
        <v>1</v>
      </c>
      <c r="I1358" s="57"/>
      <c r="J1358" s="57"/>
      <c r="K1358" s="59"/>
      <c r="L1358" s="57"/>
      <c r="M1358" s="60"/>
      <c r="N1358" s="59"/>
      <c r="O1358" s="57"/>
      <c r="P1358" s="57"/>
      <c r="Q1358" s="57"/>
      <c r="R1358" s="57"/>
      <c r="S1358" s="59"/>
      <c r="T1358" s="57"/>
      <c r="U1358" s="60"/>
      <c r="V1358" s="59"/>
      <c r="W1358" s="57"/>
      <c r="X1358" s="57"/>
      <c r="Y1358" s="57" t="s">
        <v>21</v>
      </c>
      <c r="Z1358" s="57" t="s">
        <v>213</v>
      </c>
      <c r="AA1358" s="59">
        <v>47055</v>
      </c>
      <c r="AB1358" s="57" t="s">
        <v>61</v>
      </c>
      <c r="AC1358" s="60">
        <v>45903</v>
      </c>
      <c r="AD1358" s="59">
        <v>47055</v>
      </c>
      <c r="AE1358" s="57" t="s">
        <v>5256</v>
      </c>
      <c r="AF1358" s="57" t="s">
        <v>5257</v>
      </c>
    </row>
    <row r="1359" spans="1:32">
      <c r="A1359" s="57">
        <v>1358</v>
      </c>
      <c r="B1359" s="58">
        <v>46044.393182870372</v>
      </c>
      <c r="C1359" s="58">
        <v>46044.408622685187</v>
      </c>
      <c r="D1359" s="57" t="s">
        <v>1375</v>
      </c>
      <c r="E1359" s="57" t="s">
        <v>1376</v>
      </c>
      <c r="F1359" s="58"/>
      <c r="G1359" s="57" t="s">
        <v>681</v>
      </c>
      <c r="H1359" s="59">
        <v>1</v>
      </c>
      <c r="I1359" s="57"/>
      <c r="J1359" s="57"/>
      <c r="K1359" s="59"/>
      <c r="L1359" s="57"/>
      <c r="M1359" s="60"/>
      <c r="N1359" s="59"/>
      <c r="O1359" s="57"/>
      <c r="P1359" s="57"/>
      <c r="Q1359" s="57"/>
      <c r="R1359" s="57"/>
      <c r="S1359" s="59"/>
      <c r="T1359" s="57"/>
      <c r="U1359" s="60"/>
      <c r="V1359" s="59"/>
      <c r="W1359" s="57"/>
      <c r="X1359" s="57"/>
      <c r="Y1359" s="57" t="s">
        <v>22</v>
      </c>
      <c r="Z1359" s="57" t="s">
        <v>396</v>
      </c>
      <c r="AA1359" s="59">
        <v>15924</v>
      </c>
      <c r="AB1359" s="57" t="s">
        <v>61</v>
      </c>
      <c r="AC1359" s="60">
        <v>45998</v>
      </c>
      <c r="AD1359" s="59">
        <v>15924</v>
      </c>
      <c r="AE1359" s="57" t="s">
        <v>5258</v>
      </c>
      <c r="AF1359" s="57" t="s">
        <v>5259</v>
      </c>
    </row>
    <row r="1360" spans="1:32">
      <c r="A1360" s="57">
        <v>1359</v>
      </c>
      <c r="B1360" s="58">
        <v>46044.403113425928</v>
      </c>
      <c r="C1360" s="58">
        <v>46044.409074074072</v>
      </c>
      <c r="D1360" s="57" t="s">
        <v>4111</v>
      </c>
      <c r="E1360" s="57" t="s">
        <v>4112</v>
      </c>
      <c r="F1360" s="58"/>
      <c r="G1360" s="57" t="s">
        <v>460</v>
      </c>
      <c r="H1360" s="59">
        <v>1</v>
      </c>
      <c r="I1360" s="57"/>
      <c r="J1360" s="57"/>
      <c r="K1360" s="59"/>
      <c r="L1360" s="57"/>
      <c r="M1360" s="60"/>
      <c r="N1360" s="59"/>
      <c r="O1360" s="57"/>
      <c r="P1360" s="57"/>
      <c r="Q1360" s="57"/>
      <c r="R1360" s="57"/>
      <c r="S1360" s="59"/>
      <c r="T1360" s="57"/>
      <c r="U1360" s="60"/>
      <c r="V1360" s="59"/>
      <c r="W1360" s="57"/>
      <c r="X1360" s="57"/>
      <c r="Y1360" s="57" t="s">
        <v>21</v>
      </c>
      <c r="Z1360" s="57" t="s">
        <v>126</v>
      </c>
      <c r="AA1360" s="59">
        <v>27251</v>
      </c>
      <c r="AB1360" s="57" t="s">
        <v>61</v>
      </c>
      <c r="AC1360" s="60">
        <v>46041</v>
      </c>
      <c r="AD1360" s="59">
        <v>27251</v>
      </c>
      <c r="AE1360" s="57" t="s">
        <v>5260</v>
      </c>
      <c r="AF1360" s="57" t="s">
        <v>5261</v>
      </c>
    </row>
    <row r="1361" spans="1:32">
      <c r="A1361" s="57">
        <v>1360</v>
      </c>
      <c r="B1361" s="58">
        <v>46044.41269675926</v>
      </c>
      <c r="C1361" s="58">
        <v>46044.4143287037</v>
      </c>
      <c r="D1361" s="57" t="s">
        <v>1760</v>
      </c>
      <c r="E1361" s="57" t="s">
        <v>1761</v>
      </c>
      <c r="F1361" s="58"/>
      <c r="G1361" s="57" t="s">
        <v>488</v>
      </c>
      <c r="H1361" s="59">
        <v>1</v>
      </c>
      <c r="I1361" s="57"/>
      <c r="J1361" s="57"/>
      <c r="K1361" s="59"/>
      <c r="L1361" s="57"/>
      <c r="M1361" s="60"/>
      <c r="N1361" s="59"/>
      <c r="O1361" s="57"/>
      <c r="P1361" s="57"/>
      <c r="Q1361" s="57"/>
      <c r="R1361" s="57"/>
      <c r="S1361" s="59"/>
      <c r="T1361" s="57"/>
      <c r="U1361" s="60"/>
      <c r="V1361" s="59"/>
      <c r="W1361" s="57"/>
      <c r="X1361" s="57"/>
      <c r="Y1361" s="57" t="s">
        <v>21</v>
      </c>
      <c r="Z1361" s="57" t="s">
        <v>154</v>
      </c>
      <c r="AA1361" s="59">
        <v>42010</v>
      </c>
      <c r="AB1361" s="57" t="s">
        <v>61</v>
      </c>
      <c r="AC1361" s="60">
        <v>46031</v>
      </c>
      <c r="AD1361" s="59">
        <v>42010</v>
      </c>
      <c r="AE1361" s="57" t="s">
        <v>5262</v>
      </c>
      <c r="AF1361" s="57" t="s">
        <v>5263</v>
      </c>
    </row>
    <row r="1362" spans="1:32">
      <c r="A1362" s="57">
        <v>1361</v>
      </c>
      <c r="B1362" s="58">
        <v>46044.413923611108</v>
      </c>
      <c r="C1362" s="58">
        <v>46044.419768518521</v>
      </c>
      <c r="D1362" s="57" t="s">
        <v>1326</v>
      </c>
      <c r="E1362" s="57" t="s">
        <v>1327</v>
      </c>
      <c r="F1362" s="58"/>
      <c r="G1362" s="57" t="s">
        <v>565</v>
      </c>
      <c r="H1362" s="59">
        <v>1</v>
      </c>
      <c r="I1362" s="57"/>
      <c r="J1362" s="57"/>
      <c r="K1362" s="59"/>
      <c r="L1362" s="57"/>
      <c r="M1362" s="60"/>
      <c r="N1362" s="59"/>
      <c r="O1362" s="57"/>
      <c r="P1362" s="57"/>
      <c r="Q1362" s="57"/>
      <c r="R1362" s="57"/>
      <c r="S1362" s="59"/>
      <c r="T1362" s="57"/>
      <c r="U1362" s="60"/>
      <c r="V1362" s="59"/>
      <c r="W1362" s="57"/>
      <c r="X1362" s="57"/>
      <c r="Y1362" s="57" t="s">
        <v>21</v>
      </c>
      <c r="Z1362" s="57" t="s">
        <v>5264</v>
      </c>
      <c r="AA1362" s="59">
        <v>43539</v>
      </c>
      <c r="AB1362" s="57" t="s">
        <v>61</v>
      </c>
      <c r="AC1362" s="60">
        <v>45981</v>
      </c>
      <c r="AD1362" s="59">
        <v>43539</v>
      </c>
      <c r="AE1362" s="57" t="s">
        <v>5265</v>
      </c>
      <c r="AF1362" s="57" t="s">
        <v>5266</v>
      </c>
    </row>
    <row r="1363" spans="1:32">
      <c r="A1363" s="57">
        <v>1362</v>
      </c>
      <c r="B1363" s="58">
        <v>46044.417650462958</v>
      </c>
      <c r="C1363" s="58">
        <v>46044.421273148153</v>
      </c>
      <c r="D1363" s="57" t="s">
        <v>1120</v>
      </c>
      <c r="E1363" s="57" t="s">
        <v>1121</v>
      </c>
      <c r="F1363" s="58"/>
      <c r="G1363" s="57" t="s">
        <v>556</v>
      </c>
      <c r="H1363" s="59">
        <v>2</v>
      </c>
      <c r="I1363" s="57"/>
      <c r="J1363" s="57"/>
      <c r="K1363" s="59"/>
      <c r="L1363" s="57"/>
      <c r="M1363" s="60"/>
      <c r="N1363" s="59"/>
      <c r="O1363" s="57"/>
      <c r="P1363" s="57"/>
      <c r="Q1363" s="57" t="s">
        <v>22</v>
      </c>
      <c r="R1363" s="57" t="s">
        <v>226</v>
      </c>
      <c r="S1363" s="59">
        <v>55083</v>
      </c>
      <c r="T1363" s="57" t="s">
        <v>61</v>
      </c>
      <c r="U1363" s="60">
        <v>45876</v>
      </c>
      <c r="V1363" s="59">
        <v>55083</v>
      </c>
      <c r="W1363" s="57" t="s">
        <v>5267</v>
      </c>
      <c r="X1363" s="57" t="s">
        <v>5268</v>
      </c>
      <c r="Y1363" s="57" t="s">
        <v>21</v>
      </c>
      <c r="Z1363" s="57" t="s">
        <v>439</v>
      </c>
      <c r="AA1363" s="59">
        <v>888</v>
      </c>
      <c r="AB1363" s="57" t="s">
        <v>61</v>
      </c>
      <c r="AC1363" s="60">
        <v>45980</v>
      </c>
      <c r="AD1363" s="59">
        <v>888</v>
      </c>
      <c r="AE1363" s="57" t="s">
        <v>5269</v>
      </c>
      <c r="AF1363" s="57" t="s">
        <v>5270</v>
      </c>
    </row>
    <row r="1364" spans="1:32">
      <c r="A1364" s="57">
        <v>1363</v>
      </c>
      <c r="B1364" s="58">
        <v>46044.447291666656</v>
      </c>
      <c r="C1364" s="58">
        <v>46044.448657407411</v>
      </c>
      <c r="D1364" s="57" t="s">
        <v>765</v>
      </c>
      <c r="E1364" s="57" t="s">
        <v>766</v>
      </c>
      <c r="F1364" s="58"/>
      <c r="G1364" s="57" t="s">
        <v>458</v>
      </c>
      <c r="H1364" s="59">
        <v>1</v>
      </c>
      <c r="I1364" s="57"/>
      <c r="J1364" s="57"/>
      <c r="K1364" s="59"/>
      <c r="L1364" s="57"/>
      <c r="M1364" s="60"/>
      <c r="N1364" s="59"/>
      <c r="O1364" s="57"/>
      <c r="P1364" s="57"/>
      <c r="Q1364" s="57"/>
      <c r="R1364" s="57"/>
      <c r="S1364" s="59"/>
      <c r="T1364" s="57"/>
      <c r="U1364" s="60"/>
      <c r="V1364" s="59"/>
      <c r="W1364" s="57"/>
      <c r="X1364" s="57"/>
      <c r="Y1364" s="57" t="s">
        <v>21</v>
      </c>
      <c r="Z1364" s="57" t="s">
        <v>124</v>
      </c>
      <c r="AA1364" s="59">
        <v>39011</v>
      </c>
      <c r="AB1364" s="57" t="s">
        <v>61</v>
      </c>
      <c r="AC1364" s="60">
        <v>45927</v>
      </c>
      <c r="AD1364" s="59">
        <v>39011</v>
      </c>
      <c r="AE1364" s="57" t="s">
        <v>5271</v>
      </c>
      <c r="AF1364" s="57" t="s">
        <v>5272</v>
      </c>
    </row>
    <row r="1365" spans="1:32">
      <c r="A1365" s="57">
        <v>1364</v>
      </c>
      <c r="B1365" s="58">
        <v>46044.44734953704</v>
      </c>
      <c r="C1365" s="58">
        <v>46044.449953703697</v>
      </c>
      <c r="D1365" s="57" t="s">
        <v>1289</v>
      </c>
      <c r="E1365" s="57" t="s">
        <v>1290</v>
      </c>
      <c r="F1365" s="58"/>
      <c r="G1365" s="57" t="s">
        <v>641</v>
      </c>
      <c r="H1365" s="59">
        <v>1</v>
      </c>
      <c r="I1365" s="57"/>
      <c r="J1365" s="57"/>
      <c r="K1365" s="59"/>
      <c r="L1365" s="57"/>
      <c r="M1365" s="60"/>
      <c r="N1365" s="59"/>
      <c r="O1365" s="57"/>
      <c r="P1365" s="57"/>
      <c r="Q1365" s="57"/>
      <c r="R1365" s="57"/>
      <c r="S1365" s="59"/>
      <c r="T1365" s="57"/>
      <c r="U1365" s="60"/>
      <c r="V1365" s="59"/>
      <c r="W1365" s="57"/>
      <c r="X1365" s="57"/>
      <c r="Y1365" s="57" t="s">
        <v>21</v>
      </c>
      <c r="Z1365" s="57" t="s">
        <v>336</v>
      </c>
      <c r="AA1365" s="59">
        <v>18529</v>
      </c>
      <c r="AB1365" s="57" t="s">
        <v>61</v>
      </c>
      <c r="AC1365" s="60">
        <v>45923</v>
      </c>
      <c r="AD1365" s="59">
        <v>18529</v>
      </c>
      <c r="AE1365" s="57" t="s">
        <v>5273</v>
      </c>
      <c r="AF1365" s="57" t="s">
        <v>5274</v>
      </c>
    </row>
    <row r="1366" spans="1:32">
      <c r="A1366" s="57">
        <v>1365</v>
      </c>
      <c r="B1366" s="58">
        <v>46044.464756944442</v>
      </c>
      <c r="C1366" s="58">
        <v>46044.469155092593</v>
      </c>
      <c r="D1366" s="57" t="s">
        <v>1745</v>
      </c>
      <c r="E1366" s="57" t="s">
        <v>1746</v>
      </c>
      <c r="F1366" s="58"/>
      <c r="G1366" s="57" t="s">
        <v>557</v>
      </c>
      <c r="H1366" s="59">
        <v>2</v>
      </c>
      <c r="I1366" s="57"/>
      <c r="J1366" s="57"/>
      <c r="K1366" s="59"/>
      <c r="L1366" s="57"/>
      <c r="M1366" s="60"/>
      <c r="N1366" s="59"/>
      <c r="O1366" s="57"/>
      <c r="P1366" s="57"/>
      <c r="Q1366" s="57" t="s">
        <v>22</v>
      </c>
      <c r="R1366" s="57" t="s">
        <v>227</v>
      </c>
      <c r="S1366" s="59">
        <v>67643</v>
      </c>
      <c r="T1366" s="57" t="s">
        <v>61</v>
      </c>
      <c r="U1366" s="60">
        <v>46030</v>
      </c>
      <c r="V1366" s="59">
        <v>67643</v>
      </c>
      <c r="W1366" s="57" t="s">
        <v>5275</v>
      </c>
      <c r="X1366" s="57" t="s">
        <v>5276</v>
      </c>
      <c r="Y1366" s="57" t="s">
        <v>20</v>
      </c>
      <c r="Z1366" s="57" t="s">
        <v>405</v>
      </c>
      <c r="AA1366" s="59">
        <v>12010</v>
      </c>
      <c r="AB1366" s="57" t="s">
        <v>61</v>
      </c>
      <c r="AC1366" s="60">
        <v>46044</v>
      </c>
      <c r="AD1366" s="59">
        <v>12010</v>
      </c>
      <c r="AE1366" s="57" t="s">
        <v>5277</v>
      </c>
      <c r="AF1366" s="57" t="s">
        <v>5278</v>
      </c>
    </row>
    <row r="1367" spans="1:32">
      <c r="A1367" s="57">
        <v>1366</v>
      </c>
      <c r="B1367" s="58">
        <v>46044.554826388892</v>
      </c>
      <c r="C1367" s="58">
        <v>46044.557164351849</v>
      </c>
      <c r="D1367" s="57" t="s">
        <v>2613</v>
      </c>
      <c r="E1367" s="57" t="s">
        <v>2614</v>
      </c>
      <c r="F1367" s="58"/>
      <c r="G1367" s="57" t="s">
        <v>482</v>
      </c>
      <c r="H1367" s="59">
        <v>2</v>
      </c>
      <c r="I1367" s="57"/>
      <c r="J1367" s="57"/>
      <c r="K1367" s="59"/>
      <c r="L1367" s="57"/>
      <c r="M1367" s="60"/>
      <c r="N1367" s="59"/>
      <c r="O1367" s="57"/>
      <c r="P1367" s="57"/>
      <c r="Q1367" s="57" t="s">
        <v>22</v>
      </c>
      <c r="R1367" s="57" t="s">
        <v>148</v>
      </c>
      <c r="S1367" s="59">
        <v>51075</v>
      </c>
      <c r="T1367" s="57" t="s">
        <v>61</v>
      </c>
      <c r="U1367" s="60">
        <v>45847</v>
      </c>
      <c r="V1367" s="59">
        <v>51075</v>
      </c>
      <c r="W1367" s="57" t="s">
        <v>5279</v>
      </c>
      <c r="X1367" s="57" t="s">
        <v>5280</v>
      </c>
      <c r="Y1367" s="57" t="s">
        <v>21</v>
      </c>
      <c r="Z1367" s="57" t="s">
        <v>316</v>
      </c>
      <c r="AA1367" s="59">
        <v>10224</v>
      </c>
      <c r="AB1367" s="57" t="s">
        <v>61</v>
      </c>
      <c r="AC1367" s="60">
        <v>45936</v>
      </c>
      <c r="AD1367" s="59">
        <v>10224</v>
      </c>
      <c r="AE1367" s="57" t="s">
        <v>5281</v>
      </c>
      <c r="AF1367" s="57" t="s">
        <v>5282</v>
      </c>
    </row>
    <row r="1368" spans="1:32">
      <c r="A1368" s="57">
        <v>1367</v>
      </c>
      <c r="B1368" s="58">
        <v>46044.597581018519</v>
      </c>
      <c r="C1368" s="58">
        <v>46044.598124999997</v>
      </c>
      <c r="D1368" s="57" t="s">
        <v>914</v>
      </c>
      <c r="E1368" s="57" t="s">
        <v>915</v>
      </c>
      <c r="F1368" s="58"/>
      <c r="G1368" s="57" t="s">
        <v>480</v>
      </c>
      <c r="H1368" s="59">
        <v>1</v>
      </c>
      <c r="I1368" s="57"/>
      <c r="J1368" s="57"/>
      <c r="K1368" s="59"/>
      <c r="L1368" s="57"/>
      <c r="M1368" s="60"/>
      <c r="N1368" s="59"/>
      <c r="O1368" s="57"/>
      <c r="P1368" s="57"/>
      <c r="Q1368" s="57"/>
      <c r="R1368" s="57"/>
      <c r="S1368" s="59"/>
      <c r="T1368" s="57"/>
      <c r="U1368" s="60"/>
      <c r="V1368" s="59"/>
      <c r="W1368" s="57"/>
      <c r="X1368" s="57"/>
      <c r="Y1368" s="57" t="s">
        <v>20</v>
      </c>
      <c r="Z1368" s="57" t="s">
        <v>146</v>
      </c>
      <c r="AA1368" s="59">
        <v>70682</v>
      </c>
      <c r="AB1368" s="57" t="s">
        <v>61</v>
      </c>
      <c r="AC1368" s="60">
        <v>45965</v>
      </c>
      <c r="AD1368" s="59">
        <v>70682</v>
      </c>
      <c r="AE1368" s="57" t="s">
        <v>5283</v>
      </c>
      <c r="AF1368" s="57" t="s">
        <v>5284</v>
      </c>
    </row>
    <row r="1369" spans="1:32">
      <c r="A1369" s="57">
        <v>1368</v>
      </c>
      <c r="B1369" s="58">
        <v>46044.572071759263</v>
      </c>
      <c r="C1369" s="58">
        <v>46044.607268518521</v>
      </c>
      <c r="D1369" s="57" t="s">
        <v>1517</v>
      </c>
      <c r="E1369" s="57" t="s">
        <v>1518</v>
      </c>
      <c r="F1369" s="58"/>
      <c r="G1369" s="57" t="s">
        <v>585</v>
      </c>
      <c r="H1369" s="59">
        <v>1</v>
      </c>
      <c r="I1369" s="57"/>
      <c r="J1369" s="57"/>
      <c r="K1369" s="59"/>
      <c r="L1369" s="57"/>
      <c r="M1369" s="60"/>
      <c r="N1369" s="59"/>
      <c r="O1369" s="57"/>
      <c r="P1369" s="57"/>
      <c r="Q1369" s="57"/>
      <c r="R1369" s="57"/>
      <c r="S1369" s="59"/>
      <c r="T1369" s="57"/>
      <c r="U1369" s="60"/>
      <c r="V1369" s="59"/>
      <c r="W1369" s="57"/>
      <c r="X1369" s="57"/>
      <c r="Y1369" s="57" t="s">
        <v>21</v>
      </c>
      <c r="Z1369" s="57" t="s">
        <v>259</v>
      </c>
      <c r="AA1369" s="59">
        <v>37761</v>
      </c>
      <c r="AB1369" s="57" t="s">
        <v>61</v>
      </c>
      <c r="AC1369" s="60">
        <v>45849</v>
      </c>
      <c r="AD1369" s="59">
        <v>37761</v>
      </c>
      <c r="AE1369" s="57" t="s">
        <v>5285</v>
      </c>
      <c r="AF1369" s="57" t="s">
        <v>5286</v>
      </c>
    </row>
    <row r="1370" spans="1:32">
      <c r="A1370" s="57">
        <v>1369</v>
      </c>
      <c r="B1370" s="58">
        <v>46044.64471064815</v>
      </c>
      <c r="C1370" s="58">
        <v>46044.648240740738</v>
      </c>
      <c r="D1370" s="57" t="s">
        <v>1260</v>
      </c>
      <c r="E1370" s="57" t="s">
        <v>1261</v>
      </c>
      <c r="F1370" s="58"/>
      <c r="G1370" s="57" t="s">
        <v>637</v>
      </c>
      <c r="H1370" s="59">
        <v>1</v>
      </c>
      <c r="I1370" s="57"/>
      <c r="J1370" s="57"/>
      <c r="K1370" s="59"/>
      <c r="L1370" s="57"/>
      <c r="M1370" s="60"/>
      <c r="N1370" s="59"/>
      <c r="O1370" s="57"/>
      <c r="P1370" s="57"/>
      <c r="Q1370" s="57"/>
      <c r="R1370" s="57"/>
      <c r="S1370" s="59"/>
      <c r="T1370" s="57"/>
      <c r="U1370" s="60"/>
      <c r="V1370" s="59"/>
      <c r="W1370" s="57"/>
      <c r="X1370" s="57"/>
      <c r="Y1370" s="57" t="s">
        <v>20</v>
      </c>
      <c r="Z1370" s="57" t="s">
        <v>330</v>
      </c>
      <c r="AA1370" s="59">
        <v>28325</v>
      </c>
      <c r="AB1370" s="57" t="s">
        <v>61</v>
      </c>
      <c r="AC1370" s="60">
        <v>46037</v>
      </c>
      <c r="AD1370" s="59">
        <v>28325</v>
      </c>
      <c r="AE1370" s="57" t="s">
        <v>5287</v>
      </c>
      <c r="AF1370" s="57" t="s">
        <v>5288</v>
      </c>
    </row>
    <row r="1371" spans="1:32">
      <c r="A1371" s="57">
        <v>1370</v>
      </c>
      <c r="B1371" s="58">
        <v>46044.653622685182</v>
      </c>
      <c r="C1371" s="58">
        <v>46044.655138888891</v>
      </c>
      <c r="D1371" s="57" t="s">
        <v>1547</v>
      </c>
      <c r="E1371" s="57" t="s">
        <v>1548</v>
      </c>
      <c r="F1371" s="58"/>
      <c r="G1371" s="57" t="s">
        <v>664</v>
      </c>
      <c r="H1371" s="59">
        <v>1</v>
      </c>
      <c r="I1371" s="57"/>
      <c r="J1371" s="57"/>
      <c r="K1371" s="59"/>
      <c r="L1371" s="57"/>
      <c r="M1371" s="60"/>
      <c r="N1371" s="59"/>
      <c r="O1371" s="57"/>
      <c r="P1371" s="57"/>
      <c r="Q1371" s="57"/>
      <c r="R1371" s="57"/>
      <c r="S1371" s="59"/>
      <c r="T1371" s="57"/>
      <c r="U1371" s="60"/>
      <c r="V1371" s="59"/>
      <c r="W1371" s="57"/>
      <c r="X1371" s="57"/>
      <c r="Y1371" s="57" t="s">
        <v>21</v>
      </c>
      <c r="Z1371" s="57" t="s">
        <v>366</v>
      </c>
      <c r="AA1371" s="59">
        <v>9305</v>
      </c>
      <c r="AB1371" s="57" t="s">
        <v>61</v>
      </c>
      <c r="AC1371" s="60">
        <v>45915</v>
      </c>
      <c r="AD1371" s="59">
        <v>9305</v>
      </c>
      <c r="AE1371" s="57" t="s">
        <v>5289</v>
      </c>
      <c r="AF1371" s="57" t="s">
        <v>5290</v>
      </c>
    </row>
    <row r="1372" spans="1:32">
      <c r="A1372" s="57">
        <v>1371</v>
      </c>
      <c r="B1372" s="58">
        <v>46044.658900462957</v>
      </c>
      <c r="C1372" s="58">
        <v>46044.660208333327</v>
      </c>
      <c r="D1372" s="57" t="s">
        <v>744</v>
      </c>
      <c r="E1372" s="57" t="s">
        <v>745</v>
      </c>
      <c r="F1372" s="58"/>
      <c r="G1372" s="57" t="s">
        <v>572</v>
      </c>
      <c r="H1372" s="59">
        <v>1</v>
      </c>
      <c r="I1372" s="57"/>
      <c r="J1372" s="57"/>
      <c r="K1372" s="59"/>
      <c r="L1372" s="57"/>
      <c r="M1372" s="60"/>
      <c r="N1372" s="59"/>
      <c r="O1372" s="57"/>
      <c r="P1372" s="57"/>
      <c r="Q1372" s="57"/>
      <c r="R1372" s="57"/>
      <c r="S1372" s="59"/>
      <c r="T1372" s="57"/>
      <c r="U1372" s="60"/>
      <c r="V1372" s="59"/>
      <c r="W1372" s="57"/>
      <c r="X1372" s="57"/>
      <c r="Y1372" s="57" t="s">
        <v>21</v>
      </c>
      <c r="Z1372" s="57" t="s">
        <v>244</v>
      </c>
      <c r="AA1372" s="59">
        <v>22038</v>
      </c>
      <c r="AB1372" s="57" t="s">
        <v>61</v>
      </c>
      <c r="AC1372" s="60">
        <v>46029</v>
      </c>
      <c r="AD1372" s="59">
        <v>22038</v>
      </c>
      <c r="AE1372" s="57" t="s">
        <v>5291</v>
      </c>
      <c r="AF1372" s="57" t="s">
        <v>5292</v>
      </c>
    </row>
    <row r="1373" spans="1:32">
      <c r="A1373" s="57">
        <v>1372</v>
      </c>
      <c r="B1373" s="58">
        <v>46044.664212962962</v>
      </c>
      <c r="C1373" s="58">
        <v>46044.667175925933</v>
      </c>
      <c r="D1373" s="57" t="s">
        <v>1309</v>
      </c>
      <c r="E1373" s="57" t="s">
        <v>1310</v>
      </c>
      <c r="F1373" s="58"/>
      <c r="G1373" s="57" t="s">
        <v>613</v>
      </c>
      <c r="H1373" s="59">
        <v>2</v>
      </c>
      <c r="I1373" s="57"/>
      <c r="J1373" s="57"/>
      <c r="K1373" s="59"/>
      <c r="L1373" s="57"/>
      <c r="M1373" s="60"/>
      <c r="N1373" s="59"/>
      <c r="O1373" s="57"/>
      <c r="P1373" s="57"/>
      <c r="Q1373" s="57" t="s">
        <v>22</v>
      </c>
      <c r="R1373" s="57" t="s">
        <v>369</v>
      </c>
      <c r="S1373" s="59">
        <v>20028</v>
      </c>
      <c r="T1373" s="57" t="s">
        <v>61</v>
      </c>
      <c r="U1373" s="60">
        <v>45952</v>
      </c>
      <c r="V1373" s="59">
        <v>20028</v>
      </c>
      <c r="W1373" s="57" t="s">
        <v>5293</v>
      </c>
      <c r="X1373" s="57" t="s">
        <v>5294</v>
      </c>
      <c r="Y1373" s="57" t="s">
        <v>21</v>
      </c>
      <c r="Z1373" s="57" t="s">
        <v>293</v>
      </c>
      <c r="AA1373" s="59">
        <v>28304</v>
      </c>
      <c r="AB1373" s="57" t="s">
        <v>61</v>
      </c>
      <c r="AC1373" s="60">
        <v>45947</v>
      </c>
      <c r="AD1373" s="59">
        <v>28304</v>
      </c>
      <c r="AE1373" s="57" t="s">
        <v>5295</v>
      </c>
      <c r="AF1373" s="57" t="s">
        <v>5296</v>
      </c>
    </row>
    <row r="1374" spans="1:32">
      <c r="A1374" s="57">
        <v>1373</v>
      </c>
      <c r="B1374" s="58">
        <v>46045.460370370369</v>
      </c>
      <c r="C1374" s="58">
        <v>46045.463055555563</v>
      </c>
      <c r="D1374" s="57" t="s">
        <v>2040</v>
      </c>
      <c r="E1374" s="57" t="s">
        <v>2041</v>
      </c>
      <c r="F1374" s="58"/>
      <c r="G1374" s="57" t="s">
        <v>573</v>
      </c>
      <c r="H1374" s="59">
        <v>2</v>
      </c>
      <c r="I1374" s="57"/>
      <c r="J1374" s="57"/>
      <c r="K1374" s="59"/>
      <c r="L1374" s="57"/>
      <c r="M1374" s="60"/>
      <c r="N1374" s="59"/>
      <c r="O1374" s="57"/>
      <c r="P1374" s="57"/>
      <c r="Q1374" s="57" t="s">
        <v>22</v>
      </c>
      <c r="R1374" s="57" t="s">
        <v>245</v>
      </c>
      <c r="S1374" s="59">
        <v>33681</v>
      </c>
      <c r="T1374" s="57" t="s">
        <v>61</v>
      </c>
      <c r="U1374" s="60">
        <v>45943</v>
      </c>
      <c r="V1374" s="59">
        <v>33681</v>
      </c>
      <c r="W1374" s="57" t="s">
        <v>5297</v>
      </c>
      <c r="X1374" s="57" t="s">
        <v>5298</v>
      </c>
      <c r="Y1374" s="57" t="s">
        <v>21</v>
      </c>
      <c r="Z1374" s="57" t="s">
        <v>2044</v>
      </c>
      <c r="AA1374" s="59">
        <v>49083</v>
      </c>
      <c r="AB1374" s="57" t="s">
        <v>61</v>
      </c>
      <c r="AC1374" s="60">
        <v>45913</v>
      </c>
      <c r="AD1374" s="59">
        <v>49083</v>
      </c>
      <c r="AE1374" s="57" t="s">
        <v>5299</v>
      </c>
      <c r="AF1374" s="57" t="s">
        <v>5300</v>
      </c>
    </row>
    <row r="1375" spans="1:32">
      <c r="A1375" s="57">
        <v>1374</v>
      </c>
      <c r="B1375" s="58">
        <v>46045.479895833327</v>
      </c>
      <c r="C1375" s="58">
        <v>46045.482766203713</v>
      </c>
      <c r="D1375" s="57" t="s">
        <v>1283</v>
      </c>
      <c r="E1375" s="57" t="s">
        <v>1284</v>
      </c>
      <c r="F1375" s="58"/>
      <c r="G1375" s="57" t="s">
        <v>653</v>
      </c>
      <c r="H1375" s="59">
        <v>2</v>
      </c>
      <c r="I1375" s="57"/>
      <c r="J1375" s="57"/>
      <c r="K1375" s="59"/>
      <c r="L1375" s="57"/>
      <c r="M1375" s="60"/>
      <c r="N1375" s="59"/>
      <c r="O1375" s="57"/>
      <c r="P1375" s="57"/>
      <c r="Q1375" s="57" t="s">
        <v>22</v>
      </c>
      <c r="R1375" s="57" t="s">
        <v>351</v>
      </c>
      <c r="S1375" s="59">
        <v>21574</v>
      </c>
      <c r="T1375" s="57" t="s">
        <v>61</v>
      </c>
      <c r="U1375" s="60">
        <v>46374</v>
      </c>
      <c r="V1375" s="59">
        <v>21574</v>
      </c>
      <c r="W1375" s="57" t="s">
        <v>5301</v>
      </c>
      <c r="X1375" s="57" t="s">
        <v>5302</v>
      </c>
      <c r="Y1375" s="57" t="s">
        <v>21</v>
      </c>
      <c r="Z1375" s="57" t="s">
        <v>375</v>
      </c>
      <c r="AA1375" s="59">
        <v>12790</v>
      </c>
      <c r="AB1375" s="57" t="s">
        <v>61</v>
      </c>
      <c r="AC1375" s="60">
        <v>46031</v>
      </c>
      <c r="AD1375" s="59">
        <v>12790</v>
      </c>
      <c r="AE1375" s="57" t="s">
        <v>5303</v>
      </c>
      <c r="AF1375" s="57" t="s">
        <v>5304</v>
      </c>
    </row>
    <row r="1376" spans="1:32">
      <c r="A1376" s="57">
        <v>1375</v>
      </c>
      <c r="B1376" s="58">
        <v>46045.596666666657</v>
      </c>
      <c r="C1376" s="58">
        <v>46045.615787037037</v>
      </c>
      <c r="D1376" s="57" t="s">
        <v>2867</v>
      </c>
      <c r="E1376" s="57" t="s">
        <v>2868</v>
      </c>
      <c r="F1376" s="58"/>
      <c r="G1376" s="57" t="s">
        <v>676</v>
      </c>
      <c r="H1376" s="59">
        <v>1</v>
      </c>
      <c r="I1376" s="57"/>
      <c r="J1376" s="57"/>
      <c r="K1376" s="59"/>
      <c r="L1376" s="57"/>
      <c r="M1376" s="60"/>
      <c r="N1376" s="59"/>
      <c r="O1376" s="57"/>
      <c r="P1376" s="57"/>
      <c r="Q1376" s="57"/>
      <c r="R1376" s="57"/>
      <c r="S1376" s="59"/>
      <c r="T1376" s="57"/>
      <c r="U1376" s="60"/>
      <c r="V1376" s="59"/>
      <c r="W1376" s="57"/>
      <c r="X1376" s="57"/>
      <c r="Y1376" s="57" t="s">
        <v>20</v>
      </c>
      <c r="Z1376" s="57" t="s">
        <v>389</v>
      </c>
      <c r="AA1376" s="59">
        <v>11943</v>
      </c>
      <c r="AB1376" s="57" t="s">
        <v>61</v>
      </c>
      <c r="AC1376" s="60">
        <v>46010</v>
      </c>
      <c r="AD1376" s="59">
        <v>11943</v>
      </c>
      <c r="AE1376" s="57" t="s">
        <v>5305</v>
      </c>
      <c r="AF1376" s="57" t="s">
        <v>5306</v>
      </c>
    </row>
    <row r="1377" spans="1:32">
      <c r="A1377" s="57">
        <v>1376</v>
      </c>
      <c r="B1377" s="58">
        <v>46045.669247685182</v>
      </c>
      <c r="C1377" s="58">
        <v>46045.672326388893</v>
      </c>
      <c r="D1377" s="57" t="s">
        <v>1078</v>
      </c>
      <c r="E1377" s="57" t="s">
        <v>1079</v>
      </c>
      <c r="F1377" s="58"/>
      <c r="G1377" s="57" t="s">
        <v>456</v>
      </c>
      <c r="H1377" s="59">
        <v>2</v>
      </c>
      <c r="I1377" s="57"/>
      <c r="J1377" s="57"/>
      <c r="K1377" s="59"/>
      <c r="L1377" s="57"/>
      <c r="M1377" s="60"/>
      <c r="N1377" s="59"/>
      <c r="O1377" s="57"/>
      <c r="P1377" s="57"/>
      <c r="Q1377" s="57" t="s">
        <v>22</v>
      </c>
      <c r="R1377" s="57" t="s">
        <v>132</v>
      </c>
      <c r="S1377" s="59">
        <v>51663</v>
      </c>
      <c r="T1377" s="57" t="s">
        <v>61</v>
      </c>
      <c r="U1377" s="60">
        <v>46039</v>
      </c>
      <c r="V1377" s="59">
        <v>51663</v>
      </c>
      <c r="W1377" s="57" t="s">
        <v>5307</v>
      </c>
      <c r="X1377" s="57" t="s">
        <v>5308</v>
      </c>
      <c r="Y1377" s="57" t="s">
        <v>20</v>
      </c>
      <c r="Z1377" s="57" t="s">
        <v>122</v>
      </c>
      <c r="AA1377" s="59">
        <v>53824</v>
      </c>
      <c r="AB1377" s="57" t="s">
        <v>61</v>
      </c>
      <c r="AC1377" s="60">
        <v>46028</v>
      </c>
      <c r="AD1377" s="59">
        <v>53824</v>
      </c>
      <c r="AE1377" s="57" t="s">
        <v>5309</v>
      </c>
      <c r="AF1377" s="57" t="s">
        <v>5310</v>
      </c>
    </row>
    <row r="1378" spans="1:32">
      <c r="A1378" s="57">
        <v>1377</v>
      </c>
      <c r="B1378" s="58">
        <v>46046.506099537037</v>
      </c>
      <c r="C1378" s="58">
        <v>46046.511296296303</v>
      </c>
      <c r="D1378" s="57" t="s">
        <v>1802</v>
      </c>
      <c r="E1378" s="57" t="s">
        <v>1803</v>
      </c>
      <c r="F1378" s="58"/>
      <c r="G1378" s="57" t="s">
        <v>535</v>
      </c>
      <c r="H1378" s="59">
        <v>2</v>
      </c>
      <c r="I1378" s="57"/>
      <c r="J1378" s="57"/>
      <c r="K1378" s="59"/>
      <c r="L1378" s="57"/>
      <c r="M1378" s="60"/>
      <c r="N1378" s="59"/>
      <c r="O1378" s="57"/>
      <c r="P1378" s="57"/>
      <c r="Q1378" s="57" t="s">
        <v>22</v>
      </c>
      <c r="R1378" s="57" t="s">
        <v>209</v>
      </c>
      <c r="S1378" s="59">
        <v>86716</v>
      </c>
      <c r="T1378" s="57" t="s">
        <v>61</v>
      </c>
      <c r="U1378" s="60">
        <v>45943</v>
      </c>
      <c r="V1378" s="59">
        <v>86716</v>
      </c>
      <c r="W1378" s="57" t="s">
        <v>5311</v>
      </c>
      <c r="X1378" s="57" t="s">
        <v>5312</v>
      </c>
      <c r="Y1378" s="57" t="s">
        <v>20</v>
      </c>
      <c r="Z1378" s="57" t="s">
        <v>203</v>
      </c>
      <c r="AA1378" s="59">
        <v>22203</v>
      </c>
      <c r="AB1378" s="57" t="s">
        <v>61</v>
      </c>
      <c r="AC1378" s="60">
        <v>45980</v>
      </c>
      <c r="AD1378" s="59">
        <v>22203</v>
      </c>
      <c r="AE1378" s="57" t="s">
        <v>5313</v>
      </c>
      <c r="AF1378" s="57" t="s">
        <v>5314</v>
      </c>
    </row>
    <row r="1379" spans="1:32">
      <c r="A1379" s="57">
        <v>1378</v>
      </c>
      <c r="B1379" s="58">
        <v>46046.555358796293</v>
      </c>
      <c r="C1379" s="58">
        <v>46046.559675925928</v>
      </c>
      <c r="D1379" s="57" t="s">
        <v>1612</v>
      </c>
      <c r="E1379" s="57" t="s">
        <v>1613</v>
      </c>
      <c r="F1379" s="58"/>
      <c r="G1379" s="57" t="s">
        <v>711</v>
      </c>
      <c r="H1379" s="59">
        <v>1</v>
      </c>
      <c r="I1379" s="57"/>
      <c r="J1379" s="57"/>
      <c r="K1379" s="59"/>
      <c r="L1379" s="57"/>
      <c r="M1379" s="60"/>
      <c r="N1379" s="59"/>
      <c r="O1379" s="57"/>
      <c r="P1379" s="57"/>
      <c r="Q1379" s="57"/>
      <c r="R1379" s="57"/>
      <c r="S1379" s="59"/>
      <c r="T1379" s="57"/>
      <c r="U1379" s="60"/>
      <c r="V1379" s="59"/>
      <c r="W1379" s="57"/>
      <c r="X1379" s="57"/>
      <c r="Y1379" s="57" t="s">
        <v>21</v>
      </c>
      <c r="Z1379" s="57" t="s">
        <v>442</v>
      </c>
      <c r="AA1379" s="59">
        <v>2211</v>
      </c>
      <c r="AB1379" s="57" t="s">
        <v>61</v>
      </c>
      <c r="AC1379" s="60">
        <v>46010</v>
      </c>
      <c r="AD1379" s="59">
        <v>2211</v>
      </c>
      <c r="AE1379" s="57" t="s">
        <v>5315</v>
      </c>
      <c r="AF1379" s="57" t="s">
        <v>5316</v>
      </c>
    </row>
    <row r="1380" spans="1:32">
      <c r="A1380" s="57">
        <v>1379</v>
      </c>
      <c r="B1380" s="58">
        <v>46046.634074074071</v>
      </c>
      <c r="C1380" s="58">
        <v>46046.651504629634</v>
      </c>
      <c r="D1380" s="57" t="s">
        <v>5317</v>
      </c>
      <c r="E1380" s="57" t="s">
        <v>5318</v>
      </c>
      <c r="F1380" s="58"/>
      <c r="G1380" s="57" t="s">
        <v>555</v>
      </c>
      <c r="H1380" s="59">
        <v>2</v>
      </c>
      <c r="I1380" s="57"/>
      <c r="J1380" s="57"/>
      <c r="K1380" s="59"/>
      <c r="L1380" s="57"/>
      <c r="M1380" s="60"/>
      <c r="N1380" s="59"/>
      <c r="O1380" s="57"/>
      <c r="P1380" s="57"/>
      <c r="Q1380" s="57" t="s">
        <v>22</v>
      </c>
      <c r="R1380" s="57" t="s">
        <v>224</v>
      </c>
      <c r="S1380" s="59">
        <v>38665</v>
      </c>
      <c r="T1380" s="57" t="s">
        <v>61</v>
      </c>
      <c r="U1380" s="60">
        <v>46000</v>
      </c>
      <c r="V1380" s="59">
        <v>38665</v>
      </c>
      <c r="W1380" s="57" t="s">
        <v>5319</v>
      </c>
      <c r="X1380" s="57" t="s">
        <v>5320</v>
      </c>
      <c r="Y1380" s="57" t="s">
        <v>21</v>
      </c>
      <c r="Z1380" s="57" t="s">
        <v>429</v>
      </c>
      <c r="AA1380" s="59">
        <v>427</v>
      </c>
      <c r="AB1380" s="57" t="s">
        <v>61</v>
      </c>
      <c r="AC1380" s="60">
        <v>45986</v>
      </c>
      <c r="AD1380" s="59">
        <v>427</v>
      </c>
      <c r="AE1380" s="57" t="s">
        <v>5321</v>
      </c>
      <c r="AF1380" s="57" t="s">
        <v>5322</v>
      </c>
    </row>
    <row r="1381" spans="1:32">
      <c r="A1381" s="57">
        <v>1380</v>
      </c>
      <c r="B1381" s="58">
        <v>46047.407951388886</v>
      </c>
      <c r="C1381" s="58">
        <v>46047.429490740738</v>
      </c>
      <c r="D1381" s="57" t="s">
        <v>2180</v>
      </c>
      <c r="E1381" s="57" t="s">
        <v>2181</v>
      </c>
      <c r="F1381" s="58"/>
      <c r="G1381" s="57" t="s">
        <v>590</v>
      </c>
      <c r="H1381" s="59">
        <v>2</v>
      </c>
      <c r="I1381" s="57"/>
      <c r="J1381" s="57"/>
      <c r="K1381" s="59"/>
      <c r="L1381" s="57"/>
      <c r="M1381" s="60"/>
      <c r="N1381" s="59"/>
      <c r="O1381" s="57"/>
      <c r="P1381" s="57"/>
      <c r="Q1381" s="57" t="s">
        <v>22</v>
      </c>
      <c r="R1381" s="57" t="s">
        <v>264</v>
      </c>
      <c r="S1381" s="59">
        <v>32956</v>
      </c>
      <c r="T1381" s="57" t="s">
        <v>61</v>
      </c>
      <c r="U1381" s="60">
        <v>45985</v>
      </c>
      <c r="V1381" s="59">
        <v>32956</v>
      </c>
      <c r="W1381" s="57" t="s">
        <v>5323</v>
      </c>
      <c r="X1381" s="57" t="s">
        <v>5324</v>
      </c>
      <c r="Y1381" s="57" t="s">
        <v>20</v>
      </c>
      <c r="Z1381" s="57" t="s">
        <v>382</v>
      </c>
      <c r="AA1381" s="59">
        <v>7490</v>
      </c>
      <c r="AB1381" s="57" t="s">
        <v>61</v>
      </c>
      <c r="AC1381" s="60">
        <v>46046</v>
      </c>
      <c r="AD1381" s="59">
        <v>7490</v>
      </c>
      <c r="AE1381" s="57" t="s">
        <v>5325</v>
      </c>
      <c r="AF1381" s="57" t="s">
        <v>5326</v>
      </c>
    </row>
    <row r="1382" spans="1:32">
      <c r="A1382" s="57">
        <v>1381</v>
      </c>
      <c r="B1382" s="58">
        <v>46047.664699074077</v>
      </c>
      <c r="C1382" s="58">
        <v>46047.670115740737</v>
      </c>
      <c r="D1382" s="57" t="s">
        <v>1018</v>
      </c>
      <c r="E1382" s="57" t="s">
        <v>1019</v>
      </c>
      <c r="F1382" s="58"/>
      <c r="G1382" s="57" t="s">
        <v>472</v>
      </c>
      <c r="H1382" s="59">
        <v>1</v>
      </c>
      <c r="I1382" s="57"/>
      <c r="J1382" s="57"/>
      <c r="K1382" s="59"/>
      <c r="L1382" s="57"/>
      <c r="M1382" s="60"/>
      <c r="N1382" s="59"/>
      <c r="O1382" s="57"/>
      <c r="P1382" s="57"/>
      <c r="Q1382" s="57"/>
      <c r="R1382" s="57"/>
      <c r="S1382" s="59"/>
      <c r="T1382" s="57"/>
      <c r="U1382" s="60"/>
      <c r="V1382" s="59"/>
      <c r="W1382" s="57"/>
      <c r="X1382" s="57"/>
      <c r="Y1382" s="57" t="s">
        <v>20</v>
      </c>
      <c r="Z1382" s="57" t="s">
        <v>138</v>
      </c>
      <c r="AA1382" s="59">
        <v>52125</v>
      </c>
      <c r="AB1382" s="57" t="s">
        <v>61</v>
      </c>
      <c r="AC1382" s="60">
        <v>45931</v>
      </c>
      <c r="AD1382" s="59">
        <v>52125</v>
      </c>
      <c r="AE1382" s="57" t="s">
        <v>5327</v>
      </c>
      <c r="AF1382" s="57" t="s">
        <v>5328</v>
      </c>
    </row>
    <row r="1383" spans="1:32">
      <c r="A1383" s="57">
        <v>1382</v>
      </c>
      <c r="B1383" s="58">
        <v>46048.348182870373</v>
      </c>
      <c r="C1383" s="58">
        <v>46048.349965277783</v>
      </c>
      <c r="D1383" s="57" t="s">
        <v>930</v>
      </c>
      <c r="E1383" s="57" t="s">
        <v>931</v>
      </c>
      <c r="F1383" s="58"/>
      <c r="G1383" s="57" t="s">
        <v>562</v>
      </c>
      <c r="H1383" s="59">
        <v>2</v>
      </c>
      <c r="I1383" s="57"/>
      <c r="J1383" s="57"/>
      <c r="K1383" s="59"/>
      <c r="L1383" s="57"/>
      <c r="M1383" s="60"/>
      <c r="N1383" s="59"/>
      <c r="O1383" s="57"/>
      <c r="P1383" s="57"/>
      <c r="Q1383" s="57" t="s">
        <v>22</v>
      </c>
      <c r="R1383" s="57" t="s">
        <v>232</v>
      </c>
      <c r="S1383" s="59">
        <v>100597</v>
      </c>
      <c r="T1383" s="57" t="s">
        <v>61</v>
      </c>
      <c r="U1383" s="60">
        <v>46029</v>
      </c>
      <c r="V1383" s="59">
        <v>100597</v>
      </c>
      <c r="W1383" s="57" t="s">
        <v>5329</v>
      </c>
      <c r="X1383" s="57" t="s">
        <v>5330</v>
      </c>
      <c r="Y1383" s="57" t="s">
        <v>21</v>
      </c>
      <c r="Z1383" s="57" t="s">
        <v>320</v>
      </c>
      <c r="AA1383" s="59">
        <v>21830</v>
      </c>
      <c r="AB1383" s="57" t="s">
        <v>61</v>
      </c>
      <c r="AC1383" s="60">
        <v>45997</v>
      </c>
      <c r="AD1383" s="59">
        <v>21830</v>
      </c>
      <c r="AE1383" s="57" t="s">
        <v>5331</v>
      </c>
      <c r="AF1383" s="57" t="s">
        <v>5332</v>
      </c>
    </row>
    <row r="1384" spans="1:32">
      <c r="A1384" s="57">
        <v>1383</v>
      </c>
      <c r="B1384" s="58">
        <v>46048.365567129629</v>
      </c>
      <c r="C1384" s="58">
        <v>46048.368136574078</v>
      </c>
      <c r="D1384" s="57" t="s">
        <v>2002</v>
      </c>
      <c r="E1384" s="57" t="s">
        <v>2003</v>
      </c>
      <c r="F1384" s="58"/>
      <c r="G1384" s="57" t="s">
        <v>454</v>
      </c>
      <c r="H1384" s="59">
        <v>1</v>
      </c>
      <c r="I1384" s="57"/>
      <c r="J1384" s="57"/>
      <c r="K1384" s="59"/>
      <c r="L1384" s="57"/>
      <c r="M1384" s="60"/>
      <c r="N1384" s="59"/>
      <c r="O1384" s="57"/>
      <c r="P1384" s="57"/>
      <c r="Q1384" s="57"/>
      <c r="R1384" s="57"/>
      <c r="S1384" s="59"/>
      <c r="T1384" s="57"/>
      <c r="U1384" s="60"/>
      <c r="V1384" s="59"/>
      <c r="W1384" s="57"/>
      <c r="X1384" s="57"/>
      <c r="Y1384" s="57" t="s">
        <v>21</v>
      </c>
      <c r="Z1384" s="57" t="s">
        <v>120</v>
      </c>
      <c r="AA1384" s="59">
        <v>107336</v>
      </c>
      <c r="AB1384" s="57" t="s">
        <v>61</v>
      </c>
      <c r="AC1384" s="60">
        <v>46035</v>
      </c>
      <c r="AD1384" s="59">
        <v>107336</v>
      </c>
      <c r="AE1384" s="57" t="s">
        <v>5333</v>
      </c>
      <c r="AF1384" s="57" t="s">
        <v>5334</v>
      </c>
    </row>
    <row r="1385" spans="1:32">
      <c r="A1385" s="57">
        <v>1384</v>
      </c>
      <c r="B1385" s="58">
        <v>46048.377465277779</v>
      </c>
      <c r="C1385" s="58">
        <v>46048.378912037027</v>
      </c>
      <c r="D1385" s="57" t="s">
        <v>2530</v>
      </c>
      <c r="E1385" s="57" t="s">
        <v>2531</v>
      </c>
      <c r="F1385" s="58"/>
      <c r="G1385" s="57" t="s">
        <v>659</v>
      </c>
      <c r="H1385" s="59">
        <v>1</v>
      </c>
      <c r="I1385" s="57"/>
      <c r="J1385" s="57"/>
      <c r="K1385" s="59"/>
      <c r="L1385" s="57"/>
      <c r="M1385" s="60"/>
      <c r="N1385" s="59"/>
      <c r="O1385" s="57"/>
      <c r="P1385" s="57"/>
      <c r="Q1385" s="57"/>
      <c r="R1385" s="57"/>
      <c r="S1385" s="59"/>
      <c r="T1385" s="57"/>
      <c r="U1385" s="60"/>
      <c r="V1385" s="59"/>
      <c r="W1385" s="57"/>
      <c r="X1385" s="57"/>
      <c r="Y1385" s="57" t="s">
        <v>21</v>
      </c>
      <c r="Z1385" s="57" t="s">
        <v>360</v>
      </c>
      <c r="AA1385" s="59">
        <v>16135</v>
      </c>
      <c r="AB1385" s="57" t="s">
        <v>61</v>
      </c>
      <c r="AC1385" s="60">
        <v>45937</v>
      </c>
      <c r="AD1385" s="59">
        <v>16135</v>
      </c>
      <c r="AE1385" s="57" t="s">
        <v>5335</v>
      </c>
      <c r="AF1385" s="57" t="s">
        <v>5336</v>
      </c>
    </row>
    <row r="1386" spans="1:32">
      <c r="A1386" s="57">
        <v>1385</v>
      </c>
      <c r="B1386" s="58">
        <v>46048.412974537037</v>
      </c>
      <c r="C1386" s="58">
        <v>46048.416886574072</v>
      </c>
      <c r="D1386" s="57" t="s">
        <v>1498</v>
      </c>
      <c r="E1386" s="57" t="s">
        <v>1499</v>
      </c>
      <c r="F1386" s="58"/>
      <c r="G1386" s="57" t="s">
        <v>616</v>
      </c>
      <c r="H1386" s="59">
        <v>1</v>
      </c>
      <c r="I1386" s="57"/>
      <c r="J1386" s="57"/>
      <c r="K1386" s="59"/>
      <c r="L1386" s="57"/>
      <c r="M1386" s="60"/>
      <c r="N1386" s="59"/>
      <c r="O1386" s="57"/>
      <c r="P1386" s="57"/>
      <c r="Q1386" s="57"/>
      <c r="R1386" s="57"/>
      <c r="S1386" s="59"/>
      <c r="T1386" s="57"/>
      <c r="U1386" s="60"/>
      <c r="V1386" s="59"/>
      <c r="W1386" s="57"/>
      <c r="X1386" s="57"/>
      <c r="Y1386" s="57" t="s">
        <v>21</v>
      </c>
      <c r="Z1386" s="57" t="s">
        <v>296</v>
      </c>
      <c r="AA1386" s="59">
        <v>19836</v>
      </c>
      <c r="AB1386" s="57" t="s">
        <v>61</v>
      </c>
      <c r="AC1386" s="60">
        <v>46037</v>
      </c>
      <c r="AD1386" s="59">
        <v>19836</v>
      </c>
      <c r="AE1386" s="57" t="s">
        <v>5337</v>
      </c>
      <c r="AF1386" s="57" t="s">
        <v>5338</v>
      </c>
    </row>
    <row r="1387" spans="1:32">
      <c r="A1387" s="57">
        <v>1386</v>
      </c>
      <c r="B1387" s="58">
        <v>46048.470243055563</v>
      </c>
      <c r="C1387" s="58">
        <v>46048.473645833343</v>
      </c>
      <c r="D1387" s="57" t="s">
        <v>1638</v>
      </c>
      <c r="E1387" s="57" t="s">
        <v>1639</v>
      </c>
      <c r="F1387" s="58"/>
      <c r="G1387" s="57" t="s">
        <v>639</v>
      </c>
      <c r="H1387" s="59">
        <v>2</v>
      </c>
      <c r="I1387" s="57"/>
      <c r="J1387" s="57"/>
      <c r="K1387" s="59"/>
      <c r="L1387" s="57"/>
      <c r="M1387" s="60"/>
      <c r="N1387" s="59"/>
      <c r="O1387" s="57"/>
      <c r="P1387" s="57"/>
      <c r="Q1387" s="57" t="s">
        <v>22</v>
      </c>
      <c r="R1387" s="57" t="s">
        <v>243</v>
      </c>
      <c r="S1387" s="59">
        <v>52343</v>
      </c>
      <c r="T1387" s="57" t="s">
        <v>61</v>
      </c>
      <c r="U1387" s="60">
        <v>45974</v>
      </c>
      <c r="V1387" s="59">
        <v>52343</v>
      </c>
      <c r="W1387" s="57" t="s">
        <v>5339</v>
      </c>
      <c r="X1387" s="57" t="s">
        <v>5340</v>
      </c>
      <c r="Y1387" s="57" t="s">
        <v>20</v>
      </c>
      <c r="Z1387" s="57" t="s">
        <v>332</v>
      </c>
      <c r="AA1387" s="59">
        <v>15429</v>
      </c>
      <c r="AB1387" s="57" t="s">
        <v>61</v>
      </c>
      <c r="AC1387" s="60">
        <v>45917</v>
      </c>
      <c r="AD1387" s="59">
        <v>15429</v>
      </c>
      <c r="AE1387" s="57" t="s">
        <v>5341</v>
      </c>
      <c r="AF1387" s="57" t="s">
        <v>5342</v>
      </c>
    </row>
    <row r="1388" spans="1:32">
      <c r="A1388" s="57">
        <v>1387</v>
      </c>
      <c r="B1388" s="58">
        <v>46048.485868055563</v>
      </c>
      <c r="C1388" s="58">
        <v>46048.487511574072</v>
      </c>
      <c r="D1388" s="57" t="s">
        <v>5054</v>
      </c>
      <c r="E1388" s="57" t="s">
        <v>5055</v>
      </c>
      <c r="F1388" s="58"/>
      <c r="G1388" s="57" t="s">
        <v>651</v>
      </c>
      <c r="H1388" s="59">
        <v>1</v>
      </c>
      <c r="I1388" s="57"/>
      <c r="J1388" s="57"/>
      <c r="K1388" s="59"/>
      <c r="L1388" s="57"/>
      <c r="M1388" s="60"/>
      <c r="N1388" s="59"/>
      <c r="O1388" s="57"/>
      <c r="P1388" s="57"/>
      <c r="Q1388" s="57"/>
      <c r="R1388" s="57"/>
      <c r="S1388" s="59"/>
      <c r="T1388" s="57"/>
      <c r="U1388" s="60"/>
      <c r="V1388" s="59"/>
      <c r="W1388" s="57"/>
      <c r="X1388" s="57"/>
      <c r="Y1388" s="57" t="s">
        <v>21</v>
      </c>
      <c r="Z1388" s="57" t="s">
        <v>348</v>
      </c>
      <c r="AA1388" s="59">
        <v>22064</v>
      </c>
      <c r="AB1388" s="57" t="s">
        <v>61</v>
      </c>
      <c r="AC1388" s="60">
        <v>46008</v>
      </c>
      <c r="AD1388" s="59">
        <v>22064</v>
      </c>
      <c r="AE1388" s="57" t="s">
        <v>5343</v>
      </c>
      <c r="AF1388" s="57" t="s">
        <v>5344</v>
      </c>
    </row>
    <row r="1389" spans="1:32">
      <c r="A1389" s="57">
        <v>1388</v>
      </c>
      <c r="B1389" s="58">
        <v>46048.561655092592</v>
      </c>
      <c r="C1389" s="58">
        <v>46048.573263888888</v>
      </c>
      <c r="D1389" s="57" t="s">
        <v>5345</v>
      </c>
      <c r="E1389" s="57" t="s">
        <v>5346</v>
      </c>
      <c r="F1389" s="58"/>
      <c r="G1389" s="57" t="s">
        <v>646</v>
      </c>
      <c r="H1389" s="59">
        <v>1</v>
      </c>
      <c r="I1389" s="57"/>
      <c r="J1389" s="57"/>
      <c r="K1389" s="59"/>
      <c r="L1389" s="57"/>
      <c r="M1389" s="60"/>
      <c r="N1389" s="59"/>
      <c r="O1389" s="57"/>
      <c r="P1389" s="57"/>
      <c r="Q1389" s="57"/>
      <c r="R1389" s="57"/>
      <c r="S1389" s="59"/>
      <c r="T1389" s="57"/>
      <c r="U1389" s="60"/>
      <c r="V1389" s="59"/>
      <c r="W1389" s="57"/>
      <c r="X1389" s="57"/>
      <c r="Y1389" s="57" t="s">
        <v>21</v>
      </c>
      <c r="Z1389" s="57" t="s">
        <v>341</v>
      </c>
      <c r="AA1389" s="59">
        <v>6315</v>
      </c>
      <c r="AB1389" s="57" t="s">
        <v>61</v>
      </c>
      <c r="AC1389" s="60">
        <v>46044</v>
      </c>
      <c r="AD1389" s="59">
        <v>6315</v>
      </c>
      <c r="AE1389" s="57" t="s">
        <v>5347</v>
      </c>
      <c r="AF1389" s="57" t="s">
        <v>5348</v>
      </c>
    </row>
    <row r="1390" spans="1:32">
      <c r="A1390" s="57">
        <v>1389</v>
      </c>
      <c r="B1390" s="58">
        <v>46048.637592592589</v>
      </c>
      <c r="C1390" s="58">
        <v>46048.643865740742</v>
      </c>
      <c r="D1390" s="57" t="s">
        <v>730</v>
      </c>
      <c r="E1390" s="57" t="s">
        <v>731</v>
      </c>
      <c r="F1390" s="58"/>
      <c r="G1390" s="57" t="s">
        <v>604</v>
      </c>
      <c r="H1390" s="59">
        <v>1</v>
      </c>
      <c r="I1390" s="57"/>
      <c r="J1390" s="57"/>
      <c r="K1390" s="59"/>
      <c r="L1390" s="57"/>
      <c r="M1390" s="60"/>
      <c r="N1390" s="59"/>
      <c r="O1390" s="57"/>
      <c r="P1390" s="57"/>
      <c r="Q1390" s="57"/>
      <c r="R1390" s="57"/>
      <c r="S1390" s="59"/>
      <c r="T1390" s="57"/>
      <c r="U1390" s="60"/>
      <c r="V1390" s="59"/>
      <c r="W1390" s="57"/>
      <c r="X1390" s="57"/>
      <c r="Y1390" s="57" t="s">
        <v>20</v>
      </c>
      <c r="Z1390" s="57" t="s">
        <v>282</v>
      </c>
      <c r="AA1390" s="59">
        <v>43014</v>
      </c>
      <c r="AB1390" s="57" t="s">
        <v>61</v>
      </c>
      <c r="AC1390" s="60">
        <v>46001</v>
      </c>
      <c r="AD1390" s="59">
        <v>43014</v>
      </c>
      <c r="AE1390" s="57" t="s">
        <v>5349</v>
      </c>
      <c r="AF1390" s="57" t="s">
        <v>5350</v>
      </c>
    </row>
    <row r="1391" spans="1:32">
      <c r="A1391" s="57">
        <v>1390</v>
      </c>
      <c r="B1391" s="58">
        <v>46048.625474537039</v>
      </c>
      <c r="C1391" s="58">
        <v>46048.701319444437</v>
      </c>
      <c r="D1391" s="57" t="s">
        <v>1795</v>
      </c>
      <c r="E1391" s="57" t="s">
        <v>1796</v>
      </c>
      <c r="F1391" s="58"/>
      <c r="G1391" s="57" t="s">
        <v>632</v>
      </c>
      <c r="H1391" s="59">
        <v>2</v>
      </c>
      <c r="I1391" s="57"/>
      <c r="J1391" s="57"/>
      <c r="K1391" s="59"/>
      <c r="L1391" s="57"/>
      <c r="M1391" s="60"/>
      <c r="N1391" s="59"/>
      <c r="O1391" s="57"/>
      <c r="P1391" s="57"/>
      <c r="Q1391" s="57" t="s">
        <v>22</v>
      </c>
      <c r="R1391" s="57" t="s">
        <v>443</v>
      </c>
      <c r="S1391" s="59">
        <v>1313</v>
      </c>
      <c r="T1391" s="57" t="s">
        <v>61</v>
      </c>
      <c r="U1391" s="60">
        <v>46048</v>
      </c>
      <c r="V1391" s="59">
        <v>1313</v>
      </c>
      <c r="W1391" s="57" t="s">
        <v>5351</v>
      </c>
      <c r="X1391" s="57" t="s">
        <v>5352</v>
      </c>
      <c r="Y1391" s="57" t="s">
        <v>20</v>
      </c>
      <c r="Z1391" s="57" t="s">
        <v>321</v>
      </c>
      <c r="AA1391" s="59">
        <v>3947</v>
      </c>
      <c r="AB1391" s="57" t="s">
        <v>61</v>
      </c>
      <c r="AC1391" s="60">
        <v>45890</v>
      </c>
      <c r="AD1391" s="59">
        <v>3947</v>
      </c>
      <c r="AE1391" s="57" t="s">
        <v>5353</v>
      </c>
      <c r="AF1391" s="57" t="s">
        <v>5354</v>
      </c>
    </row>
    <row r="1392" spans="1:32">
      <c r="A1392" s="57">
        <v>1391</v>
      </c>
      <c r="B1392" s="58">
        <v>46049.37641203704</v>
      </c>
      <c r="C1392" s="58">
        <v>46049.391585648147</v>
      </c>
      <c r="D1392" s="57" t="s">
        <v>1617</v>
      </c>
      <c r="E1392" s="57" t="s">
        <v>1618</v>
      </c>
      <c r="F1392" s="58"/>
      <c r="G1392" s="57" t="s">
        <v>625</v>
      </c>
      <c r="H1392" s="59">
        <v>2</v>
      </c>
      <c r="I1392" s="57"/>
      <c r="J1392" s="57"/>
      <c r="K1392" s="59"/>
      <c r="L1392" s="57"/>
      <c r="M1392" s="60"/>
      <c r="N1392" s="59"/>
      <c r="O1392" s="57"/>
      <c r="P1392" s="57"/>
      <c r="Q1392" s="57" t="s">
        <v>22</v>
      </c>
      <c r="R1392" s="57" t="s">
        <v>349</v>
      </c>
      <c r="S1392" s="59">
        <v>20659</v>
      </c>
      <c r="T1392" s="57" t="s">
        <v>61</v>
      </c>
      <c r="U1392" s="60">
        <v>46035</v>
      </c>
      <c r="V1392" s="59">
        <v>20659</v>
      </c>
      <c r="W1392" s="57" t="s">
        <v>5355</v>
      </c>
      <c r="X1392" s="57" t="s">
        <v>5356</v>
      </c>
      <c r="Y1392" s="57" t="s">
        <v>21</v>
      </c>
      <c r="Z1392" s="57" t="s">
        <v>307</v>
      </c>
      <c r="AA1392" s="59">
        <v>26226</v>
      </c>
      <c r="AB1392" s="57" t="s">
        <v>61</v>
      </c>
      <c r="AC1392" s="60">
        <v>45920</v>
      </c>
      <c r="AD1392" s="59">
        <v>26226</v>
      </c>
      <c r="AE1392" s="57" t="s">
        <v>5357</v>
      </c>
      <c r="AF1392" s="57" t="s">
        <v>5358</v>
      </c>
    </row>
    <row r="1393" spans="1:32">
      <c r="A1393" s="57">
        <v>1392</v>
      </c>
      <c r="B1393" s="58">
        <v>46048.5627662037</v>
      </c>
      <c r="C1393" s="58">
        <v>46049.394814814812</v>
      </c>
      <c r="D1393" s="57" t="s">
        <v>799</v>
      </c>
      <c r="E1393" s="57" t="s">
        <v>800</v>
      </c>
      <c r="F1393" s="58"/>
      <c r="G1393" s="57" t="s">
        <v>618</v>
      </c>
      <c r="H1393" s="59">
        <v>2</v>
      </c>
      <c r="I1393" s="57"/>
      <c r="J1393" s="57"/>
      <c r="K1393" s="59"/>
      <c r="L1393" s="57"/>
      <c r="M1393" s="60"/>
      <c r="N1393" s="59"/>
      <c r="O1393" s="57"/>
      <c r="P1393" s="57"/>
      <c r="Q1393" s="57" t="s">
        <v>22</v>
      </c>
      <c r="R1393" s="57" t="s">
        <v>299</v>
      </c>
      <c r="S1393" s="59">
        <v>31259</v>
      </c>
      <c r="T1393" s="57" t="s">
        <v>61</v>
      </c>
      <c r="U1393" s="60">
        <v>45955</v>
      </c>
      <c r="V1393" s="59">
        <v>31259</v>
      </c>
      <c r="W1393" s="57" t="s">
        <v>5359</v>
      </c>
      <c r="X1393" s="57" t="s">
        <v>5360</v>
      </c>
      <c r="Y1393" s="57" t="s">
        <v>20</v>
      </c>
      <c r="Z1393" s="57" t="s">
        <v>370</v>
      </c>
      <c r="AA1393" s="59">
        <v>15710</v>
      </c>
      <c r="AB1393" s="57" t="s">
        <v>61</v>
      </c>
      <c r="AC1393" s="60">
        <v>45953</v>
      </c>
      <c r="AD1393" s="59">
        <v>15710</v>
      </c>
      <c r="AE1393" s="57" t="s">
        <v>5361</v>
      </c>
      <c r="AF1393" s="57" t="s">
        <v>5362</v>
      </c>
    </row>
    <row r="1394" spans="1:32">
      <c r="A1394" s="57">
        <v>1393</v>
      </c>
      <c r="B1394" s="58">
        <v>46049.467928240738</v>
      </c>
      <c r="C1394" s="58">
        <v>46049.471180555563</v>
      </c>
      <c r="D1394" s="57" t="s">
        <v>1576</v>
      </c>
      <c r="E1394" s="57" t="s">
        <v>1577</v>
      </c>
      <c r="F1394" s="58"/>
      <c r="G1394" s="57" t="s">
        <v>657</v>
      </c>
      <c r="H1394" s="59">
        <v>2</v>
      </c>
      <c r="I1394" s="57"/>
      <c r="J1394" s="57"/>
      <c r="K1394" s="59"/>
      <c r="L1394" s="57"/>
      <c r="M1394" s="60"/>
      <c r="N1394" s="59"/>
      <c r="O1394" s="57"/>
      <c r="P1394" s="57"/>
      <c r="Q1394" s="57" t="s">
        <v>22</v>
      </c>
      <c r="R1394" s="57" t="s">
        <v>402</v>
      </c>
      <c r="S1394" s="59">
        <v>11059</v>
      </c>
      <c r="T1394" s="57" t="s">
        <v>61</v>
      </c>
      <c r="U1394" s="60">
        <v>45920</v>
      </c>
      <c r="V1394" s="59">
        <v>11059</v>
      </c>
      <c r="W1394" s="57" t="s">
        <v>5363</v>
      </c>
      <c r="X1394" s="57" t="s">
        <v>5364</v>
      </c>
      <c r="Y1394" s="57" t="s">
        <v>21</v>
      </c>
      <c r="Z1394" s="57" t="s">
        <v>358</v>
      </c>
      <c r="AA1394" s="59">
        <v>6585</v>
      </c>
      <c r="AB1394" s="57" t="s">
        <v>61</v>
      </c>
      <c r="AC1394" s="60">
        <v>45930</v>
      </c>
      <c r="AD1394" s="59">
        <v>6585</v>
      </c>
      <c r="AE1394" s="57" t="s">
        <v>5365</v>
      </c>
      <c r="AF1394" s="57" t="s">
        <v>5366</v>
      </c>
    </row>
    <row r="1395" spans="1:32">
      <c r="A1395" s="57">
        <v>1394</v>
      </c>
      <c r="B1395" s="58">
        <v>46049.785196759258</v>
      </c>
      <c r="C1395" s="58">
        <v>46049.796770833331</v>
      </c>
      <c r="D1395" s="57" t="s">
        <v>1068</v>
      </c>
      <c r="E1395" s="57" t="s">
        <v>1069</v>
      </c>
      <c r="F1395" s="58"/>
      <c r="G1395" s="57" t="s">
        <v>485</v>
      </c>
      <c r="H1395" s="59">
        <v>2</v>
      </c>
      <c r="I1395" s="57"/>
      <c r="J1395" s="57"/>
      <c r="K1395" s="59"/>
      <c r="L1395" s="57"/>
      <c r="M1395" s="60"/>
      <c r="N1395" s="59"/>
      <c r="O1395" s="57"/>
      <c r="P1395" s="57"/>
      <c r="Q1395" s="57" t="s">
        <v>22</v>
      </c>
      <c r="R1395" s="57" t="s">
        <v>1072</v>
      </c>
      <c r="S1395" s="59">
        <v>106869</v>
      </c>
      <c r="T1395" s="57" t="s">
        <v>61</v>
      </c>
      <c r="U1395" s="60">
        <v>45953</v>
      </c>
      <c r="V1395" s="59">
        <v>106869</v>
      </c>
      <c r="W1395" s="57" t="s">
        <v>5367</v>
      </c>
      <c r="X1395" s="57" t="s">
        <v>5368</v>
      </c>
      <c r="Y1395" s="57" t="s">
        <v>20</v>
      </c>
      <c r="Z1395" s="57" t="s">
        <v>151</v>
      </c>
      <c r="AA1395" s="59">
        <v>37071</v>
      </c>
      <c r="AB1395" s="57" t="s">
        <v>61</v>
      </c>
      <c r="AC1395" s="60">
        <v>45936</v>
      </c>
      <c r="AD1395" s="59">
        <v>37071</v>
      </c>
      <c r="AE1395" s="57" t="s">
        <v>5369</v>
      </c>
      <c r="AF1395" s="57" t="s">
        <v>5370</v>
      </c>
    </row>
    <row r="1396" spans="1:32">
      <c r="A1396" s="57">
        <v>1395</v>
      </c>
      <c r="B1396" s="58">
        <v>46050.441793981481</v>
      </c>
      <c r="C1396" s="58">
        <v>46050.49560185185</v>
      </c>
      <c r="D1396" s="57" t="s">
        <v>1628</v>
      </c>
      <c r="E1396" s="57" t="s">
        <v>1629</v>
      </c>
      <c r="F1396" s="58"/>
      <c r="G1396" s="57" t="s">
        <v>705</v>
      </c>
      <c r="H1396" s="59">
        <v>1</v>
      </c>
      <c r="I1396" s="57"/>
      <c r="J1396" s="57"/>
      <c r="K1396" s="59"/>
      <c r="L1396" s="57"/>
      <c r="M1396" s="60"/>
      <c r="N1396" s="59"/>
      <c r="O1396" s="57"/>
      <c r="P1396" s="57"/>
      <c r="Q1396" s="57"/>
      <c r="R1396" s="57"/>
      <c r="S1396" s="59"/>
      <c r="T1396" s="57"/>
      <c r="U1396" s="60"/>
      <c r="V1396" s="59"/>
      <c r="W1396" s="57"/>
      <c r="X1396" s="57"/>
      <c r="Y1396" s="57" t="s">
        <v>21</v>
      </c>
      <c r="Z1396" s="57" t="s">
        <v>433</v>
      </c>
      <c r="AA1396" s="59">
        <v>2024</v>
      </c>
      <c r="AB1396" s="57" t="s">
        <v>61</v>
      </c>
      <c r="AC1396" s="60">
        <v>46050</v>
      </c>
      <c r="AD1396" s="59">
        <v>2024</v>
      </c>
      <c r="AE1396" s="57" t="s">
        <v>5371</v>
      </c>
      <c r="AF1396" s="57" t="s">
        <v>5372</v>
      </c>
    </row>
    <row r="1397" spans="1:32">
      <c r="A1397" s="57">
        <v>1396</v>
      </c>
      <c r="B1397" s="58">
        <v>46050.439664351848</v>
      </c>
      <c r="C1397" s="58">
        <v>46050.59175925926</v>
      </c>
      <c r="D1397" s="57" t="s">
        <v>1506</v>
      </c>
      <c r="E1397" s="57" t="s">
        <v>1507</v>
      </c>
      <c r="F1397" s="58"/>
      <c r="G1397" s="57" t="s">
        <v>477</v>
      </c>
      <c r="H1397" s="59">
        <v>1</v>
      </c>
      <c r="I1397" s="57"/>
      <c r="J1397" s="57"/>
      <c r="K1397" s="59"/>
      <c r="L1397" s="57"/>
      <c r="M1397" s="60"/>
      <c r="N1397" s="59"/>
      <c r="O1397" s="57"/>
      <c r="P1397" s="57"/>
      <c r="Q1397" s="57"/>
      <c r="R1397" s="57"/>
      <c r="S1397" s="59"/>
      <c r="T1397" s="57"/>
      <c r="U1397" s="60"/>
      <c r="V1397" s="59"/>
      <c r="W1397" s="57"/>
      <c r="X1397" s="57"/>
      <c r="Y1397" s="57" t="s">
        <v>20</v>
      </c>
      <c r="Z1397" s="57" t="s">
        <v>143</v>
      </c>
      <c r="AA1397" s="59">
        <v>89343</v>
      </c>
      <c r="AB1397" s="57" t="s">
        <v>61</v>
      </c>
      <c r="AC1397" s="60">
        <v>45952</v>
      </c>
      <c r="AD1397" s="59">
        <v>89343</v>
      </c>
      <c r="AE1397" s="57" t="s">
        <v>5373</v>
      </c>
      <c r="AF1397" s="57" t="s">
        <v>5374</v>
      </c>
    </row>
    <row r="1398" spans="1:32">
      <c r="A1398" s="57">
        <v>1397</v>
      </c>
      <c r="B1398" s="58">
        <v>46050.624050925922</v>
      </c>
      <c r="C1398" s="58">
        <v>46050.636377314811</v>
      </c>
      <c r="D1398" s="57" t="s">
        <v>3344</v>
      </c>
      <c r="E1398" s="57" t="s">
        <v>3345</v>
      </c>
      <c r="F1398" s="58"/>
      <c r="G1398" s="57" t="s">
        <v>687</v>
      </c>
      <c r="H1398" s="59">
        <v>1</v>
      </c>
      <c r="I1398" s="57"/>
      <c r="J1398" s="57"/>
      <c r="K1398" s="59"/>
      <c r="L1398" s="57"/>
      <c r="M1398" s="60"/>
      <c r="N1398" s="59"/>
      <c r="O1398" s="57"/>
      <c r="P1398" s="57"/>
      <c r="Q1398" s="57"/>
      <c r="R1398" s="57"/>
      <c r="S1398" s="59"/>
      <c r="T1398" s="57"/>
      <c r="U1398" s="60"/>
      <c r="V1398" s="59"/>
      <c r="W1398" s="57"/>
      <c r="X1398" s="57"/>
      <c r="Y1398" s="57" t="s">
        <v>21</v>
      </c>
      <c r="Z1398" s="57" t="s">
        <v>406</v>
      </c>
      <c r="AA1398" s="59">
        <v>1290</v>
      </c>
      <c r="AB1398" s="57" t="s">
        <v>61</v>
      </c>
      <c r="AC1398" s="60">
        <v>45974</v>
      </c>
      <c r="AD1398" s="59">
        <v>1290</v>
      </c>
      <c r="AE1398" s="57" t="s">
        <v>5375</v>
      </c>
      <c r="AF1398" s="57" t="s">
        <v>5376</v>
      </c>
    </row>
    <row r="1399" spans="1:32">
      <c r="A1399" s="57">
        <v>1398</v>
      </c>
      <c r="B1399" s="58">
        <v>46050.66673611111</v>
      </c>
      <c r="C1399" s="58">
        <v>46050.744340277779</v>
      </c>
      <c r="D1399" s="57" t="s">
        <v>1502</v>
      </c>
      <c r="E1399" s="57" t="s">
        <v>1503</v>
      </c>
      <c r="F1399" s="58"/>
      <c r="G1399" s="57" t="s">
        <v>491</v>
      </c>
      <c r="H1399" s="59">
        <v>2</v>
      </c>
      <c r="I1399" s="57"/>
      <c r="J1399" s="57"/>
      <c r="K1399" s="59"/>
      <c r="L1399" s="57"/>
      <c r="M1399" s="60"/>
      <c r="N1399" s="59"/>
      <c r="O1399" s="57"/>
      <c r="P1399" s="57"/>
      <c r="Q1399" s="57" t="s">
        <v>22</v>
      </c>
      <c r="R1399" s="57" t="s">
        <v>373</v>
      </c>
      <c r="S1399" s="59">
        <v>22971</v>
      </c>
      <c r="T1399" s="57" t="s">
        <v>61</v>
      </c>
      <c r="U1399" s="60">
        <v>46018</v>
      </c>
      <c r="V1399" s="59">
        <v>22971</v>
      </c>
      <c r="W1399" s="57" t="s">
        <v>5377</v>
      </c>
      <c r="X1399" s="57" t="s">
        <v>5378</v>
      </c>
      <c r="Y1399" s="57" t="s">
        <v>20</v>
      </c>
      <c r="Z1399" s="57" t="s">
        <v>157</v>
      </c>
      <c r="AA1399" s="59">
        <v>53954</v>
      </c>
      <c r="AB1399" s="57" t="s">
        <v>61</v>
      </c>
      <c r="AC1399" s="60">
        <v>46048</v>
      </c>
      <c r="AD1399" s="59">
        <v>53954</v>
      </c>
      <c r="AE1399" s="57" t="s">
        <v>5379</v>
      </c>
      <c r="AF1399" s="57" t="s">
        <v>5380</v>
      </c>
    </row>
    <row r="1400" spans="1:32">
      <c r="A1400" s="57">
        <v>1399</v>
      </c>
      <c r="B1400" s="58">
        <v>46050.508703703701</v>
      </c>
      <c r="C1400" s="58">
        <v>46050.845497685194</v>
      </c>
      <c r="D1400" s="57" t="s">
        <v>1607</v>
      </c>
      <c r="E1400" s="57" t="s">
        <v>1608</v>
      </c>
      <c r="F1400" s="58"/>
      <c r="G1400" s="57" t="s">
        <v>682</v>
      </c>
      <c r="H1400" s="59">
        <v>2</v>
      </c>
      <c r="I1400" s="57"/>
      <c r="J1400" s="57"/>
      <c r="K1400" s="59"/>
      <c r="L1400" s="57"/>
      <c r="M1400" s="60"/>
      <c r="N1400" s="59"/>
      <c r="O1400" s="57"/>
      <c r="P1400" s="57"/>
      <c r="Q1400" s="57" t="s">
        <v>22</v>
      </c>
      <c r="R1400" s="57" t="s">
        <v>420</v>
      </c>
      <c r="S1400" s="59">
        <v>4873</v>
      </c>
      <c r="T1400" s="57" t="s">
        <v>61</v>
      </c>
      <c r="U1400" s="60">
        <v>45966</v>
      </c>
      <c r="V1400" s="59">
        <v>4873</v>
      </c>
      <c r="W1400" s="57" t="s">
        <v>5381</v>
      </c>
      <c r="X1400" s="57" t="s">
        <v>5382</v>
      </c>
      <c r="Y1400" s="57" t="s">
        <v>21</v>
      </c>
      <c r="Z1400" s="57" t="s">
        <v>398</v>
      </c>
      <c r="AA1400" s="59">
        <v>3458</v>
      </c>
      <c r="AB1400" s="57" t="s">
        <v>61</v>
      </c>
      <c r="AC1400" s="60">
        <v>45911</v>
      </c>
      <c r="AD1400" s="59">
        <v>3458</v>
      </c>
      <c r="AE1400" s="57" t="s">
        <v>5383</v>
      </c>
      <c r="AF1400" s="57" t="s">
        <v>5384</v>
      </c>
    </row>
    <row r="1401" spans="1:32">
      <c r="A1401" s="57">
        <v>1400</v>
      </c>
      <c r="B1401" s="58">
        <v>46051.395520833343</v>
      </c>
      <c r="C1401" s="58">
        <v>46051.406759259262</v>
      </c>
      <c r="D1401" s="57" t="s">
        <v>981</v>
      </c>
      <c r="E1401" s="57" t="s">
        <v>982</v>
      </c>
      <c r="F1401" s="58"/>
      <c r="G1401" s="57" t="s">
        <v>628</v>
      </c>
      <c r="H1401" s="59">
        <v>2</v>
      </c>
      <c r="I1401" s="57"/>
      <c r="J1401" s="57"/>
      <c r="K1401" s="59"/>
      <c r="L1401" s="57"/>
      <c r="M1401" s="60"/>
      <c r="N1401" s="59"/>
      <c r="O1401" s="57"/>
      <c r="P1401" s="57"/>
      <c r="Q1401" s="57" t="s">
        <v>22</v>
      </c>
      <c r="R1401" s="57" t="s">
        <v>390</v>
      </c>
      <c r="S1401" s="59">
        <v>8020</v>
      </c>
      <c r="T1401" s="57" t="s">
        <v>61</v>
      </c>
      <c r="U1401" s="60">
        <v>46051</v>
      </c>
      <c r="V1401" s="59">
        <v>8020</v>
      </c>
      <c r="W1401" s="57" t="s">
        <v>5385</v>
      </c>
      <c r="X1401" s="57" t="s">
        <v>5386</v>
      </c>
      <c r="Y1401" s="57" t="s">
        <v>21</v>
      </c>
      <c r="Z1401" s="57" t="s">
        <v>314</v>
      </c>
      <c r="AA1401" s="59">
        <v>8587</v>
      </c>
      <c r="AB1401" s="57" t="s">
        <v>61</v>
      </c>
      <c r="AC1401" s="60">
        <v>45973</v>
      </c>
      <c r="AD1401" s="59">
        <v>8587</v>
      </c>
      <c r="AE1401" s="57" t="s">
        <v>5387</v>
      </c>
      <c r="AF1401" s="57" t="s">
        <v>5388</v>
      </c>
    </row>
    <row r="1402" spans="1:32">
      <c r="A1402" s="57">
        <v>1401</v>
      </c>
      <c r="B1402" s="58">
        <v>46051.570798611108</v>
      </c>
      <c r="C1402" s="58">
        <v>46051.583043981482</v>
      </c>
      <c r="D1402" s="57" t="s">
        <v>1342</v>
      </c>
      <c r="E1402" s="57" t="s">
        <v>1343</v>
      </c>
      <c r="F1402" s="58"/>
      <c r="G1402" s="57" t="s">
        <v>629</v>
      </c>
      <c r="H1402" s="59">
        <v>1</v>
      </c>
      <c r="I1402" s="57"/>
      <c r="J1402" s="57"/>
      <c r="K1402" s="59"/>
      <c r="L1402" s="57"/>
      <c r="M1402" s="60"/>
      <c r="N1402" s="59"/>
      <c r="O1402" s="57"/>
      <c r="P1402" s="57"/>
      <c r="Q1402" s="57"/>
      <c r="R1402" s="57"/>
      <c r="S1402" s="59"/>
      <c r="T1402" s="57"/>
      <c r="U1402" s="60"/>
      <c r="V1402" s="59"/>
      <c r="W1402" s="57"/>
      <c r="X1402" s="57"/>
      <c r="Y1402" s="57" t="s">
        <v>20</v>
      </c>
      <c r="Z1402" s="57" t="s">
        <v>315</v>
      </c>
      <c r="AA1402" s="59">
        <v>45464</v>
      </c>
      <c r="AB1402" s="57" t="s">
        <v>61</v>
      </c>
      <c r="AC1402" s="60">
        <v>45917</v>
      </c>
      <c r="AD1402" s="59">
        <v>45464</v>
      </c>
      <c r="AE1402" s="57" t="s">
        <v>5389</v>
      </c>
      <c r="AF1402" s="57" t="s">
        <v>5390</v>
      </c>
    </row>
    <row r="1403" spans="1:32">
      <c r="A1403" s="57">
        <v>1402</v>
      </c>
      <c r="B1403" s="58">
        <v>46052.613900462973</v>
      </c>
      <c r="C1403" s="58">
        <v>46052.646423611113</v>
      </c>
      <c r="D1403" s="57" t="s">
        <v>813</v>
      </c>
      <c r="E1403" s="57" t="s">
        <v>814</v>
      </c>
      <c r="F1403" s="58"/>
      <c r="G1403" s="57" t="s">
        <v>471</v>
      </c>
      <c r="H1403" s="59">
        <v>1</v>
      </c>
      <c r="I1403" s="57"/>
      <c r="J1403" s="57"/>
      <c r="K1403" s="59"/>
      <c r="L1403" s="57"/>
      <c r="M1403" s="60"/>
      <c r="N1403" s="59"/>
      <c r="O1403" s="57"/>
      <c r="P1403" s="57"/>
      <c r="Q1403" s="57"/>
      <c r="R1403" s="57"/>
      <c r="S1403" s="59"/>
      <c r="T1403" s="57"/>
      <c r="U1403" s="60"/>
      <c r="V1403" s="59"/>
      <c r="W1403" s="57"/>
      <c r="X1403" s="57"/>
      <c r="Y1403" s="57" t="s">
        <v>21</v>
      </c>
      <c r="Z1403" s="57" t="s">
        <v>137</v>
      </c>
      <c r="AA1403" s="59">
        <v>29782</v>
      </c>
      <c r="AB1403" s="57" t="s">
        <v>61</v>
      </c>
      <c r="AC1403" s="60">
        <v>45980</v>
      </c>
      <c r="AD1403" s="59">
        <v>29782</v>
      </c>
      <c r="AE1403" s="57" t="s">
        <v>5391</v>
      </c>
      <c r="AF1403" s="57" t="s">
        <v>5392</v>
      </c>
    </row>
    <row r="1404" spans="1:32">
      <c r="A1404" s="57">
        <v>1403</v>
      </c>
      <c r="B1404" s="58">
        <v>46052.692499999997</v>
      </c>
      <c r="C1404" s="58">
        <v>46052.70484953704</v>
      </c>
      <c r="D1404" s="57" t="s">
        <v>1303</v>
      </c>
      <c r="E1404" s="57" t="s">
        <v>1304</v>
      </c>
      <c r="F1404" s="58"/>
      <c r="G1404" s="57" t="s">
        <v>558</v>
      </c>
      <c r="H1404" s="59">
        <v>2</v>
      </c>
      <c r="I1404" s="57"/>
      <c r="J1404" s="57"/>
      <c r="K1404" s="59"/>
      <c r="L1404" s="57"/>
      <c r="M1404" s="60"/>
      <c r="N1404" s="59"/>
      <c r="O1404" s="57"/>
      <c r="P1404" s="57"/>
      <c r="Q1404" s="57" t="s">
        <v>22</v>
      </c>
      <c r="R1404" s="57" t="s">
        <v>228</v>
      </c>
      <c r="S1404" s="59">
        <v>60787</v>
      </c>
      <c r="T1404" s="57" t="s">
        <v>61</v>
      </c>
      <c r="U1404" s="60">
        <v>46052</v>
      </c>
      <c r="V1404" s="59">
        <v>60787</v>
      </c>
      <c r="W1404" s="57" t="s">
        <v>5393</v>
      </c>
      <c r="X1404" s="57" t="s">
        <v>5394</v>
      </c>
      <c r="Y1404" s="57" t="s">
        <v>20</v>
      </c>
      <c r="Z1404" s="57" t="s">
        <v>313</v>
      </c>
      <c r="AA1404" s="59">
        <v>12682</v>
      </c>
      <c r="AB1404" s="57" t="s">
        <v>61</v>
      </c>
      <c r="AC1404" s="60">
        <v>46051</v>
      </c>
      <c r="AD1404" s="59">
        <v>12682</v>
      </c>
      <c r="AE1404" s="57" t="s">
        <v>5395</v>
      </c>
      <c r="AF1404" s="57" t="s">
        <v>5396</v>
      </c>
    </row>
    <row r="1405" spans="1:32">
      <c r="A1405" s="57">
        <v>1404</v>
      </c>
      <c r="B1405" s="58">
        <v>46053.871388888889</v>
      </c>
      <c r="C1405" s="58">
        <v>46053.879479166673</v>
      </c>
      <c r="D1405" s="57" t="s">
        <v>1187</v>
      </c>
      <c r="E1405" s="57" t="s">
        <v>1188</v>
      </c>
      <c r="F1405" s="58"/>
      <c r="G1405" s="57" t="s">
        <v>490</v>
      </c>
      <c r="H1405" s="59">
        <v>2</v>
      </c>
      <c r="I1405" s="57"/>
      <c r="J1405" s="57"/>
      <c r="K1405" s="59"/>
      <c r="L1405" s="57"/>
      <c r="M1405" s="60"/>
      <c r="N1405" s="59"/>
      <c r="O1405" s="57"/>
      <c r="P1405" s="57"/>
      <c r="Q1405" s="57" t="s">
        <v>22</v>
      </c>
      <c r="R1405" s="57" t="s">
        <v>277</v>
      </c>
      <c r="S1405" s="59">
        <v>22783</v>
      </c>
      <c r="T1405" s="57" t="s">
        <v>61</v>
      </c>
      <c r="U1405" s="60">
        <v>45923</v>
      </c>
      <c r="V1405" s="59">
        <v>22783</v>
      </c>
      <c r="W1405" s="57" t="s">
        <v>5397</v>
      </c>
      <c r="X1405" s="57" t="s">
        <v>5398</v>
      </c>
      <c r="Y1405" s="57" t="s">
        <v>21</v>
      </c>
      <c r="Z1405" s="57" t="s">
        <v>156</v>
      </c>
      <c r="AA1405" s="59">
        <v>16924</v>
      </c>
      <c r="AB1405" s="57" t="s">
        <v>61</v>
      </c>
      <c r="AC1405" s="60">
        <v>45960</v>
      </c>
      <c r="AD1405" s="59">
        <v>16924</v>
      </c>
      <c r="AE1405" s="57" t="s">
        <v>5399</v>
      </c>
      <c r="AF1405" s="57" t="s">
        <v>5400</v>
      </c>
    </row>
    <row r="1406" spans="1:32">
      <c r="A1406" s="57">
        <v>1405</v>
      </c>
      <c r="B1406" s="58">
        <v>46059.558530092603</v>
      </c>
      <c r="C1406" s="58">
        <v>46059.56689814815</v>
      </c>
      <c r="D1406" s="57" t="s">
        <v>1655</v>
      </c>
      <c r="E1406" s="57" t="s">
        <v>1656</v>
      </c>
      <c r="F1406" s="58"/>
      <c r="G1406" s="57" t="s">
        <v>549</v>
      </c>
      <c r="H1406" s="59">
        <v>2</v>
      </c>
      <c r="I1406" s="57"/>
      <c r="J1406" s="57"/>
      <c r="K1406" s="59"/>
      <c r="L1406" s="57"/>
      <c r="M1406" s="60"/>
      <c r="N1406" s="59"/>
      <c r="O1406" s="57"/>
      <c r="P1406" s="57"/>
      <c r="Q1406" s="57" t="s">
        <v>22</v>
      </c>
      <c r="R1406" s="57" t="s">
        <v>218</v>
      </c>
      <c r="S1406" s="59">
        <v>74937</v>
      </c>
      <c r="T1406" s="57" t="s">
        <v>61</v>
      </c>
      <c r="U1406" s="60">
        <v>45944</v>
      </c>
      <c r="V1406" s="59">
        <v>74937</v>
      </c>
      <c r="W1406" s="57" t="s">
        <v>5401</v>
      </c>
      <c r="X1406" s="57" t="s">
        <v>5402</v>
      </c>
      <c r="Y1406" s="57" t="s">
        <v>21</v>
      </c>
      <c r="Z1406" s="57" t="s">
        <v>253</v>
      </c>
      <c r="AA1406" s="59">
        <v>0</v>
      </c>
      <c r="AB1406" s="57" t="s">
        <v>61</v>
      </c>
      <c r="AC1406" s="60">
        <v>45854</v>
      </c>
      <c r="AD1406" s="59">
        <v>0</v>
      </c>
      <c r="AE1406" s="57" t="s">
        <v>5403</v>
      </c>
      <c r="AF1406" s="57" t="s">
        <v>5404</v>
      </c>
    </row>
    <row r="1407" spans="1:32">
      <c r="A1407" s="57">
        <v>1406</v>
      </c>
      <c r="B1407" s="58">
        <v>46062.608148148152</v>
      </c>
      <c r="C1407" s="58">
        <v>46062.61377314815</v>
      </c>
      <c r="D1407" s="57" t="s">
        <v>2613</v>
      </c>
      <c r="E1407" s="57" t="s">
        <v>2614</v>
      </c>
      <c r="F1407" s="58"/>
      <c r="G1407" s="57" t="s">
        <v>482</v>
      </c>
      <c r="H1407" s="59">
        <v>2</v>
      </c>
      <c r="I1407" s="57"/>
      <c r="J1407" s="57"/>
      <c r="K1407" s="59"/>
      <c r="L1407" s="57"/>
      <c r="M1407" s="60"/>
      <c r="N1407" s="59"/>
      <c r="O1407" s="57"/>
      <c r="P1407" s="57"/>
      <c r="Q1407" s="57" t="s">
        <v>22</v>
      </c>
      <c r="R1407" s="57" t="s">
        <v>148</v>
      </c>
      <c r="S1407" s="59">
        <v>52155</v>
      </c>
      <c r="T1407" s="57" t="s">
        <v>61</v>
      </c>
      <c r="U1407" s="60">
        <v>46058</v>
      </c>
      <c r="V1407" s="59">
        <v>52155</v>
      </c>
      <c r="W1407" s="57" t="s">
        <v>5405</v>
      </c>
      <c r="X1407" s="57" t="s">
        <v>5406</v>
      </c>
      <c r="Y1407" s="57" t="s">
        <v>21</v>
      </c>
      <c r="Z1407" s="57" t="s">
        <v>316</v>
      </c>
      <c r="AA1407" s="59">
        <v>9778</v>
      </c>
      <c r="AB1407" s="57" t="s">
        <v>61</v>
      </c>
      <c r="AC1407" s="60">
        <v>45936</v>
      </c>
      <c r="AD1407" s="59">
        <v>9778</v>
      </c>
      <c r="AE1407" s="57" t="s">
        <v>5407</v>
      </c>
      <c r="AF1407" s="57" t="s">
        <v>5408</v>
      </c>
    </row>
    <row r="1408" spans="1:32">
      <c r="A1408" s="57">
        <v>1407</v>
      </c>
      <c r="B1408" s="58">
        <v>46063.365856481483</v>
      </c>
      <c r="C1408" s="58">
        <v>46063.367280092592</v>
      </c>
      <c r="D1408" s="57" t="s">
        <v>1414</v>
      </c>
      <c r="E1408" s="57" t="s">
        <v>1415</v>
      </c>
      <c r="F1408" s="58"/>
      <c r="G1408" s="57" t="s">
        <v>578</v>
      </c>
      <c r="H1408" s="59">
        <v>1</v>
      </c>
      <c r="I1408" s="57"/>
      <c r="J1408" s="57"/>
      <c r="K1408" s="59"/>
      <c r="L1408" s="57"/>
      <c r="M1408" s="60"/>
      <c r="N1408" s="59"/>
      <c r="O1408" s="57"/>
      <c r="P1408" s="57"/>
      <c r="Q1408" s="57"/>
      <c r="R1408" s="57"/>
      <c r="S1408" s="59"/>
      <c r="T1408" s="57"/>
      <c r="U1408" s="60"/>
      <c r="V1408" s="59"/>
      <c r="W1408" s="57"/>
      <c r="X1408" s="57"/>
      <c r="Y1408" s="57" t="s">
        <v>21</v>
      </c>
      <c r="Z1408" s="57" t="s">
        <v>250</v>
      </c>
      <c r="AA1408" s="59">
        <v>17089</v>
      </c>
      <c r="AB1408" s="57" t="s">
        <v>61</v>
      </c>
      <c r="AC1408" s="60">
        <v>46066</v>
      </c>
      <c r="AD1408" s="59">
        <v>17089</v>
      </c>
      <c r="AE1408" s="57" t="s">
        <v>5409</v>
      </c>
      <c r="AF1408" s="57" t="s">
        <v>5410</v>
      </c>
    </row>
    <row r="1409" spans="1:32">
      <c r="A1409" s="57">
        <v>1408</v>
      </c>
      <c r="B1409" s="58">
        <v>46063.358495370368</v>
      </c>
      <c r="C1409" s="58">
        <v>46063.368715277778</v>
      </c>
      <c r="D1409" s="57" t="s">
        <v>956</v>
      </c>
      <c r="E1409" s="57" t="s">
        <v>957</v>
      </c>
      <c r="F1409" s="58"/>
      <c r="G1409" s="57" t="s">
        <v>534</v>
      </c>
      <c r="H1409" s="59">
        <v>2</v>
      </c>
      <c r="I1409" s="57"/>
      <c r="J1409" s="57"/>
      <c r="K1409" s="59"/>
      <c r="L1409" s="57"/>
      <c r="M1409" s="60"/>
      <c r="N1409" s="59"/>
      <c r="O1409" s="57"/>
      <c r="P1409" s="57"/>
      <c r="Q1409" s="57" t="s">
        <v>20</v>
      </c>
      <c r="R1409" s="57" t="s">
        <v>202</v>
      </c>
      <c r="S1409" s="59">
        <v>37237</v>
      </c>
      <c r="T1409" s="57" t="s">
        <v>61</v>
      </c>
      <c r="U1409" s="60">
        <v>45974</v>
      </c>
      <c r="V1409" s="59">
        <v>37237</v>
      </c>
      <c r="W1409" s="57" t="s">
        <v>5411</v>
      </c>
      <c r="X1409" s="57" t="s">
        <v>5412</v>
      </c>
      <c r="Y1409" s="57" t="s">
        <v>22</v>
      </c>
      <c r="Z1409" s="57" t="s">
        <v>4003</v>
      </c>
      <c r="AA1409" s="59">
        <v>73424</v>
      </c>
      <c r="AB1409" s="57" t="s">
        <v>61</v>
      </c>
      <c r="AC1409" s="60">
        <v>45937</v>
      </c>
      <c r="AD1409" s="59">
        <v>73424</v>
      </c>
      <c r="AE1409" s="57" t="s">
        <v>5413</v>
      </c>
      <c r="AF1409" s="57" t="s">
        <v>5414</v>
      </c>
    </row>
    <row r="1410" spans="1:32">
      <c r="A1410" s="57">
        <v>1409</v>
      </c>
      <c r="B1410" s="58">
        <v>46063.668009259258</v>
      </c>
      <c r="C1410" s="58">
        <v>46063.66915509259</v>
      </c>
      <c r="D1410" s="57" t="s">
        <v>1181</v>
      </c>
      <c r="E1410" s="57" t="s">
        <v>1182</v>
      </c>
      <c r="F1410" s="58"/>
      <c r="G1410" s="57" t="s">
        <v>601</v>
      </c>
      <c r="H1410" s="59">
        <v>1</v>
      </c>
      <c r="I1410" s="57"/>
      <c r="J1410" s="57"/>
      <c r="K1410" s="59"/>
      <c r="L1410" s="57"/>
      <c r="M1410" s="60"/>
      <c r="N1410" s="59"/>
      <c r="O1410" s="57"/>
      <c r="P1410" s="57"/>
      <c r="Q1410" s="57"/>
      <c r="R1410" s="57"/>
      <c r="S1410" s="59"/>
      <c r="T1410" s="57"/>
      <c r="U1410" s="60"/>
      <c r="V1410" s="59"/>
      <c r="W1410" s="57"/>
      <c r="X1410" s="57"/>
      <c r="Y1410" s="57" t="s">
        <v>22</v>
      </c>
      <c r="Z1410" s="57" t="s">
        <v>278</v>
      </c>
      <c r="AA1410" s="59">
        <v>23264</v>
      </c>
      <c r="AB1410" s="57" t="s">
        <v>61</v>
      </c>
      <c r="AC1410" s="60">
        <v>46036</v>
      </c>
      <c r="AD1410" s="59">
        <v>23264</v>
      </c>
      <c r="AE1410" s="57" t="s">
        <v>5415</v>
      </c>
      <c r="AF1410" s="57" t="s">
        <v>5416</v>
      </c>
    </row>
    <row r="1411" spans="1:32">
      <c r="A1411" s="57">
        <v>1410</v>
      </c>
      <c r="B1411" s="58">
        <v>46084.471412037034</v>
      </c>
      <c r="C1411" s="58">
        <v>46084.474143518521</v>
      </c>
      <c r="D1411" s="57" t="s">
        <v>1337</v>
      </c>
      <c r="E1411" s="57" t="s">
        <v>1338</v>
      </c>
      <c r="F1411" s="58"/>
      <c r="G1411" s="57" t="s">
        <v>710</v>
      </c>
      <c r="H1411" s="59">
        <v>1</v>
      </c>
      <c r="I1411" s="57"/>
      <c r="J1411" s="57"/>
      <c r="K1411" s="59"/>
      <c r="L1411" s="57"/>
      <c r="M1411" s="60"/>
      <c r="N1411" s="59"/>
      <c r="O1411" s="57"/>
      <c r="P1411" s="57"/>
      <c r="Q1411" s="57"/>
      <c r="R1411" s="57"/>
      <c r="S1411" s="59"/>
      <c r="T1411" s="57"/>
      <c r="U1411" s="60"/>
      <c r="V1411" s="59"/>
      <c r="W1411" s="57"/>
      <c r="X1411" s="57"/>
      <c r="Y1411" s="57" t="s">
        <v>21</v>
      </c>
      <c r="Z1411" s="57" t="s">
        <v>440</v>
      </c>
      <c r="AA1411" s="59">
        <v>1499</v>
      </c>
      <c r="AB1411" s="57" t="s">
        <v>61</v>
      </c>
      <c r="AC1411" s="60">
        <v>46010</v>
      </c>
      <c r="AD1411" s="59">
        <v>1499</v>
      </c>
      <c r="AE1411" s="57" t="s">
        <v>5417</v>
      </c>
      <c r="AF1411" s="57" t="s">
        <v>5418</v>
      </c>
    </row>
    <row r="1412" spans="1:32">
      <c r="A1412" s="57">
        <v>1411</v>
      </c>
      <c r="B1412" s="58">
        <v>46084.471446759257</v>
      </c>
      <c r="C1412" s="58">
        <v>46084.476053240738</v>
      </c>
      <c r="D1412" s="57" t="s">
        <v>1375</v>
      </c>
      <c r="E1412" s="57" t="s">
        <v>1376</v>
      </c>
      <c r="F1412" s="58"/>
      <c r="G1412" s="57" t="s">
        <v>681</v>
      </c>
      <c r="H1412" s="59">
        <v>1</v>
      </c>
      <c r="I1412" s="57"/>
      <c r="J1412" s="57"/>
      <c r="K1412" s="59"/>
      <c r="L1412" s="57"/>
      <c r="M1412" s="60"/>
      <c r="N1412" s="59"/>
      <c r="O1412" s="57"/>
      <c r="P1412" s="57"/>
      <c r="Q1412" s="57"/>
      <c r="R1412" s="57"/>
      <c r="S1412" s="59"/>
      <c r="T1412" s="57"/>
      <c r="U1412" s="60"/>
      <c r="V1412" s="59"/>
      <c r="W1412" s="57"/>
      <c r="X1412" s="57"/>
      <c r="Y1412" s="57" t="s">
        <v>21</v>
      </c>
      <c r="Z1412" s="57" t="s">
        <v>396</v>
      </c>
      <c r="AA1412" s="59">
        <v>18553</v>
      </c>
      <c r="AB1412" s="57" t="s">
        <v>61</v>
      </c>
      <c r="AC1412" s="60">
        <v>45995</v>
      </c>
      <c r="AD1412" s="59">
        <v>18553</v>
      </c>
      <c r="AE1412" s="57" t="s">
        <v>5419</v>
      </c>
      <c r="AF1412" s="57" t="s">
        <v>5420</v>
      </c>
    </row>
    <row r="1413" spans="1:32">
      <c r="A1413" s="57">
        <v>1412</v>
      </c>
      <c r="B1413" s="58">
        <v>46084.470555555563</v>
      </c>
      <c r="C1413" s="58">
        <v>46084.478391203702</v>
      </c>
      <c r="D1413" s="57" t="s">
        <v>1097</v>
      </c>
      <c r="E1413" s="57" t="s">
        <v>1098</v>
      </c>
      <c r="F1413" s="58"/>
      <c r="G1413" s="57" t="s">
        <v>495</v>
      </c>
      <c r="H1413" s="59">
        <v>1</v>
      </c>
      <c r="I1413" s="57"/>
      <c r="J1413" s="57"/>
      <c r="K1413" s="59"/>
      <c r="L1413" s="57"/>
      <c r="M1413" s="60"/>
      <c r="N1413" s="59"/>
      <c r="O1413" s="57"/>
      <c r="P1413" s="57"/>
      <c r="Q1413" s="57"/>
      <c r="R1413" s="57"/>
      <c r="S1413" s="59"/>
      <c r="T1413" s="57"/>
      <c r="U1413" s="60"/>
      <c r="V1413" s="59"/>
      <c r="W1413" s="57"/>
      <c r="X1413" s="57"/>
      <c r="Y1413" s="57" t="s">
        <v>21</v>
      </c>
      <c r="Z1413" s="57" t="s">
        <v>161</v>
      </c>
      <c r="AA1413" s="59">
        <v>29882</v>
      </c>
      <c r="AB1413" s="57" t="s">
        <v>61</v>
      </c>
      <c r="AC1413" s="60">
        <v>45953</v>
      </c>
      <c r="AD1413" s="59">
        <v>29882</v>
      </c>
      <c r="AE1413" s="57" t="s">
        <v>5421</v>
      </c>
      <c r="AF1413" s="57" t="s">
        <v>5422</v>
      </c>
    </row>
    <row r="1414" spans="1:32">
      <c r="A1414" s="57">
        <v>1413</v>
      </c>
      <c r="B1414" s="58">
        <v>46084.481828703712</v>
      </c>
      <c r="C1414" s="58">
        <v>46084.48537037037</v>
      </c>
      <c r="D1414" s="57" t="s">
        <v>1414</v>
      </c>
      <c r="E1414" s="57" t="s">
        <v>1415</v>
      </c>
      <c r="F1414" s="58"/>
      <c r="G1414" s="57" t="s">
        <v>578</v>
      </c>
      <c r="H1414" s="59">
        <v>1</v>
      </c>
      <c r="I1414" s="57"/>
      <c r="J1414" s="57"/>
      <c r="K1414" s="59"/>
      <c r="L1414" s="57"/>
      <c r="M1414" s="60"/>
      <c r="N1414" s="59"/>
      <c r="O1414" s="57"/>
      <c r="P1414" s="57"/>
      <c r="Q1414" s="57"/>
      <c r="R1414" s="57"/>
      <c r="S1414" s="59"/>
      <c r="T1414" s="57"/>
      <c r="U1414" s="60"/>
      <c r="V1414" s="59"/>
      <c r="W1414" s="57"/>
      <c r="X1414" s="57"/>
      <c r="Y1414" s="57" t="s">
        <v>21</v>
      </c>
      <c r="Z1414" s="57" t="s">
        <v>250</v>
      </c>
      <c r="AA1414" s="59">
        <v>17282</v>
      </c>
      <c r="AB1414" s="57" t="s">
        <v>61</v>
      </c>
      <c r="AC1414" s="60">
        <v>46035</v>
      </c>
      <c r="AD1414" s="59">
        <v>17282</v>
      </c>
      <c r="AE1414" s="57" t="s">
        <v>5423</v>
      </c>
      <c r="AF1414" s="57" t="s">
        <v>5424</v>
      </c>
    </row>
    <row r="1415" spans="1:32">
      <c r="A1415" s="57">
        <v>1414</v>
      </c>
      <c r="B1415" s="58">
        <v>46084.488900462973</v>
      </c>
      <c r="C1415" s="58">
        <v>46084.49082175926</v>
      </c>
      <c r="D1415" s="57" t="s">
        <v>4413</v>
      </c>
      <c r="E1415" s="57" t="s">
        <v>4414</v>
      </c>
      <c r="F1415" s="58"/>
      <c r="G1415" s="57" t="s">
        <v>666</v>
      </c>
      <c r="H1415" s="59">
        <v>1</v>
      </c>
      <c r="I1415" s="57"/>
      <c r="J1415" s="57"/>
      <c r="K1415" s="59"/>
      <c r="L1415" s="57"/>
      <c r="M1415" s="60"/>
      <c r="N1415" s="59"/>
      <c r="O1415" s="57"/>
      <c r="P1415" s="57"/>
      <c r="Q1415" s="57"/>
      <c r="R1415" s="57"/>
      <c r="S1415" s="59"/>
      <c r="T1415" s="57"/>
      <c r="U1415" s="60"/>
      <c r="V1415" s="59"/>
      <c r="W1415" s="57"/>
      <c r="X1415" s="57"/>
      <c r="Y1415" s="57" t="s">
        <v>21</v>
      </c>
      <c r="Z1415" s="57" t="s">
        <v>376</v>
      </c>
      <c r="AA1415" s="59">
        <v>12072</v>
      </c>
      <c r="AB1415" s="57" t="s">
        <v>61</v>
      </c>
      <c r="AC1415" s="60">
        <v>45797</v>
      </c>
      <c r="AD1415" s="59">
        <v>12072</v>
      </c>
      <c r="AE1415" s="57" t="s">
        <v>5425</v>
      </c>
      <c r="AF1415" s="57" t="s">
        <v>5426</v>
      </c>
    </row>
    <row r="1416" spans="1:32">
      <c r="A1416" s="57">
        <v>1415</v>
      </c>
      <c r="B1416" s="58">
        <v>46084.49596064815</v>
      </c>
      <c r="C1416" s="58">
        <v>46084.509120370371</v>
      </c>
      <c r="D1416" s="57" t="s">
        <v>925</v>
      </c>
      <c r="E1416" s="57" t="s">
        <v>926</v>
      </c>
      <c r="F1416" s="58"/>
      <c r="G1416" s="57" t="s">
        <v>586</v>
      </c>
      <c r="H1416" s="59">
        <v>2</v>
      </c>
      <c r="I1416" s="57"/>
      <c r="J1416" s="57"/>
      <c r="K1416" s="59"/>
      <c r="L1416" s="57"/>
      <c r="M1416" s="60"/>
      <c r="N1416" s="59"/>
      <c r="O1416" s="57"/>
      <c r="P1416" s="57"/>
      <c r="Q1416" s="57" t="s">
        <v>22</v>
      </c>
      <c r="R1416" s="57" t="s">
        <v>368</v>
      </c>
      <c r="S1416" s="59">
        <v>16143</v>
      </c>
      <c r="T1416" s="57" t="s">
        <v>61</v>
      </c>
      <c r="U1416" s="60">
        <v>45972</v>
      </c>
      <c r="V1416" s="59">
        <v>16143</v>
      </c>
      <c r="W1416" s="57" t="s">
        <v>5427</v>
      </c>
      <c r="X1416" s="57" t="s">
        <v>5428</v>
      </c>
      <c r="Y1416" s="57" t="s">
        <v>21</v>
      </c>
      <c r="Z1416" s="57" t="s">
        <v>260</v>
      </c>
      <c r="AA1416" s="59">
        <v>324788</v>
      </c>
      <c r="AB1416" s="57" t="s">
        <v>61</v>
      </c>
      <c r="AC1416" s="60">
        <v>45909</v>
      </c>
      <c r="AD1416" s="59">
        <v>324788</v>
      </c>
      <c r="AE1416" s="57" t="s">
        <v>5429</v>
      </c>
      <c r="AF1416" s="57" t="s">
        <v>5430</v>
      </c>
    </row>
    <row r="1417" spans="1:32">
      <c r="A1417" s="57">
        <v>1416</v>
      </c>
      <c r="B1417" s="58">
        <v>46084.491041666668</v>
      </c>
      <c r="C1417" s="58">
        <v>46084.514062499999</v>
      </c>
      <c r="D1417" s="57" t="s">
        <v>734</v>
      </c>
      <c r="E1417" s="57" t="s">
        <v>735</v>
      </c>
      <c r="F1417" s="58"/>
      <c r="G1417" s="57" t="s">
        <v>514</v>
      </c>
      <c r="H1417" s="59">
        <v>1</v>
      </c>
      <c r="I1417" s="57"/>
      <c r="J1417" s="57"/>
      <c r="K1417" s="59"/>
      <c r="L1417" s="57"/>
      <c r="M1417" s="60"/>
      <c r="N1417" s="59"/>
      <c r="O1417" s="57"/>
      <c r="P1417" s="57"/>
      <c r="Q1417" s="57"/>
      <c r="R1417" s="57"/>
      <c r="S1417" s="59"/>
      <c r="T1417" s="57"/>
      <c r="U1417" s="60"/>
      <c r="V1417" s="59"/>
      <c r="W1417" s="57"/>
      <c r="X1417" s="57"/>
      <c r="Y1417" s="57" t="s">
        <v>20</v>
      </c>
      <c r="Z1417" s="57" t="s">
        <v>412</v>
      </c>
      <c r="AA1417" s="59">
        <v>10997</v>
      </c>
      <c r="AB1417" s="57" t="s">
        <v>61</v>
      </c>
      <c r="AC1417" s="60">
        <v>46074</v>
      </c>
      <c r="AD1417" s="59">
        <v>10997</v>
      </c>
      <c r="AE1417" s="57" t="s">
        <v>5431</v>
      </c>
      <c r="AF1417" s="57" t="s">
        <v>5432</v>
      </c>
    </row>
    <row r="1418" spans="1:32">
      <c r="A1418" s="57">
        <v>1417</v>
      </c>
      <c r="B1418" s="58">
        <v>46084.476365740738</v>
      </c>
      <c r="C1418" s="58">
        <v>46084.515775462962</v>
      </c>
      <c r="D1418" s="57" t="s">
        <v>1105</v>
      </c>
      <c r="E1418" s="57" t="s">
        <v>1106</v>
      </c>
      <c r="F1418" s="58"/>
      <c r="G1418" s="57" t="s">
        <v>652</v>
      </c>
      <c r="H1418" s="59">
        <v>1</v>
      </c>
      <c r="I1418" s="57"/>
      <c r="J1418" s="57"/>
      <c r="K1418" s="59"/>
      <c r="L1418" s="57"/>
      <c r="M1418" s="60"/>
      <c r="N1418" s="59"/>
      <c r="O1418" s="57"/>
      <c r="P1418" s="57"/>
      <c r="Q1418" s="57"/>
      <c r="R1418" s="57"/>
      <c r="S1418" s="59"/>
      <c r="T1418" s="57"/>
      <c r="U1418" s="60"/>
      <c r="V1418" s="59"/>
      <c r="W1418" s="57"/>
      <c r="X1418" s="57"/>
      <c r="Y1418" s="57" t="s">
        <v>21</v>
      </c>
      <c r="Z1418" s="57" t="s">
        <v>350</v>
      </c>
      <c r="AA1418" s="59">
        <v>12454</v>
      </c>
      <c r="AB1418" s="57" t="s">
        <v>61</v>
      </c>
      <c r="AC1418" s="60">
        <v>46056</v>
      </c>
      <c r="AD1418" s="59">
        <v>12454</v>
      </c>
      <c r="AE1418" s="57" t="s">
        <v>5433</v>
      </c>
      <c r="AF1418" s="57" t="s">
        <v>5434</v>
      </c>
    </row>
    <row r="1419" spans="1:32">
      <c r="A1419" s="57">
        <v>1418</v>
      </c>
      <c r="B1419" s="58">
        <v>46084.48878472222</v>
      </c>
      <c r="C1419" s="58">
        <v>46084.52375</v>
      </c>
      <c r="D1419" s="57" t="s">
        <v>940</v>
      </c>
      <c r="E1419" s="57" t="s">
        <v>941</v>
      </c>
      <c r="F1419" s="58"/>
      <c r="G1419" s="57" t="s">
        <v>688</v>
      </c>
      <c r="H1419" s="59">
        <v>1</v>
      </c>
      <c r="I1419" s="57"/>
      <c r="J1419" s="57"/>
      <c r="K1419" s="59"/>
      <c r="L1419" s="57"/>
      <c r="M1419" s="60"/>
      <c r="N1419" s="59"/>
      <c r="O1419" s="57"/>
      <c r="P1419" s="57"/>
      <c r="Q1419" s="57"/>
      <c r="R1419" s="57"/>
      <c r="S1419" s="59"/>
      <c r="T1419" s="57"/>
      <c r="U1419" s="60"/>
      <c r="V1419" s="59"/>
      <c r="W1419" s="57"/>
      <c r="X1419" s="57"/>
      <c r="Y1419" s="57" t="s">
        <v>20</v>
      </c>
      <c r="Z1419" s="57" t="s">
        <v>407</v>
      </c>
      <c r="AA1419" s="59">
        <v>12193</v>
      </c>
      <c r="AB1419" s="57" t="s">
        <v>61</v>
      </c>
      <c r="AC1419" s="60">
        <v>46034</v>
      </c>
      <c r="AD1419" s="59">
        <v>12193</v>
      </c>
      <c r="AE1419" s="57" t="s">
        <v>5435</v>
      </c>
      <c r="AF1419" s="57" t="s">
        <v>5436</v>
      </c>
    </row>
    <row r="1420" spans="1:32">
      <c r="A1420" s="57">
        <v>1419</v>
      </c>
      <c r="B1420" s="58">
        <v>46084.511516203696</v>
      </c>
      <c r="C1420" s="58">
        <v>46084.524895833332</v>
      </c>
      <c r="D1420" s="57" t="s">
        <v>849</v>
      </c>
      <c r="E1420" s="57" t="s">
        <v>850</v>
      </c>
      <c r="F1420" s="58"/>
      <c r="G1420" s="57" t="s">
        <v>627</v>
      </c>
      <c r="H1420" s="59">
        <v>1</v>
      </c>
      <c r="I1420" s="57"/>
      <c r="J1420" s="57"/>
      <c r="K1420" s="59"/>
      <c r="L1420" s="57"/>
      <c r="M1420" s="60"/>
      <c r="N1420" s="59"/>
      <c r="O1420" s="57"/>
      <c r="P1420" s="57"/>
      <c r="Q1420" s="57"/>
      <c r="R1420" s="57"/>
      <c r="S1420" s="59"/>
      <c r="T1420" s="57"/>
      <c r="U1420" s="60"/>
      <c r="V1420" s="59"/>
      <c r="W1420" s="57"/>
      <c r="X1420" s="57"/>
      <c r="Y1420" s="57" t="s">
        <v>21</v>
      </c>
      <c r="Z1420" s="57" t="s">
        <v>310</v>
      </c>
      <c r="AA1420" s="59">
        <v>11693</v>
      </c>
      <c r="AB1420" s="57" t="s">
        <v>61</v>
      </c>
      <c r="AC1420" s="60">
        <v>46022</v>
      </c>
      <c r="AD1420" s="59">
        <v>11693</v>
      </c>
      <c r="AE1420" s="57" t="s">
        <v>5437</v>
      </c>
      <c r="AF1420" s="57" t="s">
        <v>5438</v>
      </c>
    </row>
    <row r="1421" spans="1:32">
      <c r="A1421" s="57">
        <v>1420</v>
      </c>
      <c r="B1421" s="58">
        <v>46084.524155092593</v>
      </c>
      <c r="C1421" s="58">
        <v>46084.525590277779</v>
      </c>
      <c r="D1421" s="57" t="s">
        <v>1773</v>
      </c>
      <c r="E1421" s="57" t="s">
        <v>1774</v>
      </c>
      <c r="F1421" s="58"/>
      <c r="G1421" s="57" t="s">
        <v>539</v>
      </c>
      <c r="H1421" s="59">
        <v>1</v>
      </c>
      <c r="I1421" s="57"/>
      <c r="J1421" s="57"/>
      <c r="K1421" s="59"/>
      <c r="L1421" s="57"/>
      <c r="M1421" s="60"/>
      <c r="N1421" s="59"/>
      <c r="O1421" s="57"/>
      <c r="P1421" s="57"/>
      <c r="Q1421" s="57"/>
      <c r="R1421" s="57"/>
      <c r="S1421" s="59"/>
      <c r="T1421" s="57"/>
      <c r="U1421" s="60"/>
      <c r="V1421" s="59"/>
      <c r="W1421" s="57"/>
      <c r="X1421" s="57"/>
      <c r="Y1421" s="57" t="s">
        <v>20</v>
      </c>
      <c r="Z1421" s="57" t="s">
        <v>207</v>
      </c>
      <c r="AA1421" s="59">
        <v>47363</v>
      </c>
      <c r="AB1421" s="57" t="s">
        <v>61</v>
      </c>
      <c r="AC1421" s="60">
        <v>46003</v>
      </c>
      <c r="AD1421" s="59">
        <v>47363</v>
      </c>
      <c r="AE1421" s="57" t="s">
        <v>5439</v>
      </c>
      <c r="AF1421" s="57" t="s">
        <v>5440</v>
      </c>
    </row>
    <row r="1422" spans="1:32">
      <c r="A1422" s="57">
        <v>1421</v>
      </c>
      <c r="B1422" s="58">
        <v>46084.540243055562</v>
      </c>
      <c r="C1422" s="58">
        <v>46084.544722222221</v>
      </c>
      <c r="D1422" s="57" t="s">
        <v>809</v>
      </c>
      <c r="E1422" s="57" t="s">
        <v>810</v>
      </c>
      <c r="F1422" s="58"/>
      <c r="G1422" s="57" t="s">
        <v>468</v>
      </c>
      <c r="H1422" s="59">
        <v>1</v>
      </c>
      <c r="I1422" s="57"/>
      <c r="J1422" s="57"/>
      <c r="K1422" s="59"/>
      <c r="L1422" s="57"/>
      <c r="M1422" s="60"/>
      <c r="N1422" s="59"/>
      <c r="O1422" s="57"/>
      <c r="P1422" s="57"/>
      <c r="Q1422" s="57"/>
      <c r="R1422" s="57"/>
      <c r="S1422" s="59"/>
      <c r="T1422" s="57"/>
      <c r="U1422" s="60"/>
      <c r="V1422" s="59"/>
      <c r="W1422" s="57"/>
      <c r="X1422" s="57"/>
      <c r="Y1422" s="57" t="s">
        <v>21</v>
      </c>
      <c r="Z1422" s="57" t="s">
        <v>134</v>
      </c>
      <c r="AA1422" s="59">
        <v>49627</v>
      </c>
      <c r="AB1422" s="57" t="s">
        <v>61</v>
      </c>
      <c r="AC1422" s="60">
        <v>46296</v>
      </c>
      <c r="AD1422" s="59">
        <v>49627</v>
      </c>
      <c r="AE1422" s="57" t="s">
        <v>5441</v>
      </c>
      <c r="AF1422" s="57" t="s">
        <v>5442</v>
      </c>
    </row>
    <row r="1423" spans="1:32">
      <c r="A1423" s="57">
        <v>1422</v>
      </c>
      <c r="B1423" s="58">
        <v>46084.513993055552</v>
      </c>
      <c r="C1423" s="58">
        <v>46084.549409722233</v>
      </c>
      <c r="D1423" s="57" t="s">
        <v>5443</v>
      </c>
      <c r="E1423" s="57" t="s">
        <v>5444</v>
      </c>
      <c r="F1423" s="58"/>
      <c r="G1423" s="57" t="s">
        <v>716</v>
      </c>
      <c r="H1423" s="59">
        <v>1</v>
      </c>
      <c r="I1423" s="57"/>
      <c r="J1423" s="57"/>
      <c r="K1423" s="59"/>
      <c r="L1423" s="57"/>
      <c r="M1423" s="60"/>
      <c r="N1423" s="59"/>
      <c r="O1423" s="57"/>
      <c r="P1423" s="57"/>
      <c r="Q1423" s="57"/>
      <c r="R1423" s="57"/>
      <c r="S1423" s="59"/>
      <c r="T1423" s="57"/>
      <c r="U1423" s="60"/>
      <c r="V1423" s="59"/>
      <c r="W1423" s="57"/>
      <c r="X1423" s="57"/>
      <c r="Y1423" s="57" t="s">
        <v>21</v>
      </c>
      <c r="Z1423" s="57" t="s">
        <v>448</v>
      </c>
      <c r="AA1423" s="59">
        <v>1721</v>
      </c>
      <c r="AB1423" s="57" t="s">
        <v>61</v>
      </c>
      <c r="AC1423" s="60">
        <v>46029</v>
      </c>
      <c r="AD1423" s="59">
        <v>1721</v>
      </c>
      <c r="AE1423" s="57" t="s">
        <v>5445</v>
      </c>
      <c r="AF1423" s="57" t="s">
        <v>5446</v>
      </c>
    </row>
    <row r="1424" spans="1:32">
      <c r="A1424" s="57">
        <v>1423</v>
      </c>
      <c r="B1424" s="58">
        <v>46084.536180555559</v>
      </c>
      <c r="C1424" s="58">
        <v>46084.556076388893</v>
      </c>
      <c r="D1424" s="57" t="s">
        <v>1361</v>
      </c>
      <c r="E1424" s="57" t="s">
        <v>1362</v>
      </c>
      <c r="F1424" s="58"/>
      <c r="G1424" s="57" t="s">
        <v>487</v>
      </c>
      <c r="H1424" s="59">
        <v>1</v>
      </c>
      <c r="I1424" s="57"/>
      <c r="J1424" s="57"/>
      <c r="K1424" s="59"/>
      <c r="L1424" s="57"/>
      <c r="M1424" s="60"/>
      <c r="N1424" s="59"/>
      <c r="O1424" s="57"/>
      <c r="P1424" s="57"/>
      <c r="Q1424" s="57"/>
      <c r="R1424" s="57"/>
      <c r="S1424" s="59"/>
      <c r="T1424" s="57"/>
      <c r="U1424" s="60"/>
      <c r="V1424" s="59"/>
      <c r="W1424" s="57"/>
      <c r="X1424" s="57"/>
      <c r="Y1424" s="57" t="s">
        <v>21</v>
      </c>
      <c r="Z1424" s="57" t="s">
        <v>153</v>
      </c>
      <c r="AA1424" s="59">
        <v>20214</v>
      </c>
      <c r="AB1424" s="57" t="s">
        <v>61</v>
      </c>
      <c r="AC1424" s="60">
        <v>45911</v>
      </c>
      <c r="AD1424" s="59">
        <v>20214</v>
      </c>
      <c r="AE1424" s="57" t="s">
        <v>5447</v>
      </c>
      <c r="AF1424" s="57" t="s">
        <v>5448</v>
      </c>
    </row>
    <row r="1425" spans="1:32">
      <c r="A1425" s="57">
        <v>1424</v>
      </c>
      <c r="B1425" s="58">
        <v>46084.55259259259</v>
      </c>
      <c r="C1425" s="58">
        <v>46084.566018518519</v>
      </c>
      <c r="D1425" s="57" t="s">
        <v>897</v>
      </c>
      <c r="E1425" s="57" t="s">
        <v>898</v>
      </c>
      <c r="F1425" s="58"/>
      <c r="G1425" s="57" t="s">
        <v>697</v>
      </c>
      <c r="H1425" s="59">
        <v>1</v>
      </c>
      <c r="I1425" s="57"/>
      <c r="J1425" s="57"/>
      <c r="K1425" s="59"/>
      <c r="L1425" s="57"/>
      <c r="M1425" s="60"/>
      <c r="N1425" s="59"/>
      <c r="O1425" s="57"/>
      <c r="P1425" s="57"/>
      <c r="Q1425" s="57"/>
      <c r="R1425" s="57"/>
      <c r="S1425" s="59"/>
      <c r="T1425" s="57"/>
      <c r="U1425" s="60"/>
      <c r="V1425" s="59"/>
      <c r="W1425" s="57"/>
      <c r="X1425" s="57"/>
      <c r="Y1425" s="57" t="s">
        <v>21</v>
      </c>
      <c r="Z1425" s="57" t="s">
        <v>899</v>
      </c>
      <c r="AA1425" s="59">
        <v>60055</v>
      </c>
      <c r="AB1425" s="57" t="s">
        <v>61</v>
      </c>
      <c r="AC1425" s="60">
        <v>46064</v>
      </c>
      <c r="AD1425" s="59">
        <v>60055</v>
      </c>
      <c r="AE1425" s="57" t="s">
        <v>5449</v>
      </c>
      <c r="AF1425" s="57" t="s">
        <v>5450</v>
      </c>
    </row>
    <row r="1426" spans="1:32">
      <c r="A1426" s="57">
        <v>1425</v>
      </c>
      <c r="B1426" s="58">
        <v>46084.474247685182</v>
      </c>
      <c r="C1426" s="58">
        <v>46084.587106481478</v>
      </c>
      <c r="D1426" s="57" t="s">
        <v>5451</v>
      </c>
      <c r="E1426" s="57" t="s">
        <v>5452</v>
      </c>
      <c r="F1426" s="58"/>
      <c r="G1426" s="57" t="s">
        <v>512</v>
      </c>
      <c r="H1426" s="59">
        <v>1</v>
      </c>
      <c r="I1426" s="57"/>
      <c r="J1426" s="57"/>
      <c r="K1426" s="59"/>
      <c r="L1426" s="57"/>
      <c r="M1426" s="60"/>
      <c r="N1426" s="59"/>
      <c r="O1426" s="57"/>
      <c r="P1426" s="57"/>
      <c r="Q1426" s="57"/>
      <c r="R1426" s="57"/>
      <c r="S1426" s="59"/>
      <c r="T1426" s="57"/>
      <c r="U1426" s="60"/>
      <c r="V1426" s="59"/>
      <c r="W1426" s="57"/>
      <c r="X1426" s="57"/>
      <c r="Y1426" s="57" t="s">
        <v>20</v>
      </c>
      <c r="Z1426" s="57" t="s">
        <v>179</v>
      </c>
      <c r="AA1426" s="59">
        <v>72161</v>
      </c>
      <c r="AB1426" s="57" t="s">
        <v>61</v>
      </c>
      <c r="AC1426" s="60">
        <v>46064</v>
      </c>
      <c r="AD1426" s="59">
        <v>72161</v>
      </c>
      <c r="AE1426" s="57" t="s">
        <v>5453</v>
      </c>
      <c r="AF1426" s="57" t="s">
        <v>5454</v>
      </c>
    </row>
    <row r="1427" spans="1:32">
      <c r="A1427" s="57">
        <v>1426</v>
      </c>
      <c r="B1427" s="58">
        <v>46084.593495370369</v>
      </c>
      <c r="C1427" s="58">
        <v>46084.594849537039</v>
      </c>
      <c r="D1427" s="57" t="s">
        <v>1885</v>
      </c>
      <c r="E1427" s="57" t="s">
        <v>1886</v>
      </c>
      <c r="F1427" s="58"/>
      <c r="G1427" s="57" t="s">
        <v>486</v>
      </c>
      <c r="H1427" s="59">
        <v>1</v>
      </c>
      <c r="I1427" s="57"/>
      <c r="J1427" s="57"/>
      <c r="K1427" s="59"/>
      <c r="L1427" s="57"/>
      <c r="M1427" s="60"/>
      <c r="N1427" s="59"/>
      <c r="O1427" s="57"/>
      <c r="P1427" s="57"/>
      <c r="Q1427" s="57"/>
      <c r="R1427" s="57"/>
      <c r="S1427" s="59"/>
      <c r="T1427" s="57"/>
      <c r="U1427" s="60"/>
      <c r="V1427" s="59"/>
      <c r="W1427" s="57"/>
      <c r="X1427" s="57"/>
      <c r="Y1427" s="57" t="s">
        <v>20</v>
      </c>
      <c r="Z1427" s="57" t="s">
        <v>152</v>
      </c>
      <c r="AA1427" s="59">
        <v>50335</v>
      </c>
      <c r="AB1427" s="57" t="s">
        <v>61</v>
      </c>
      <c r="AC1427" s="60">
        <v>45956</v>
      </c>
      <c r="AD1427" s="59">
        <v>50335</v>
      </c>
      <c r="AE1427" s="57" t="s">
        <v>5455</v>
      </c>
      <c r="AF1427" s="57" t="s">
        <v>5456</v>
      </c>
    </row>
    <row r="1428" spans="1:32">
      <c r="A1428" s="57">
        <v>1427</v>
      </c>
      <c r="B1428" s="58">
        <v>46084.607129629629</v>
      </c>
      <c r="C1428" s="58">
        <v>46084.609918981478</v>
      </c>
      <c r="D1428" s="57" t="s">
        <v>1309</v>
      </c>
      <c r="E1428" s="57" t="s">
        <v>1310</v>
      </c>
      <c r="F1428" s="58"/>
      <c r="G1428" s="57" t="s">
        <v>613</v>
      </c>
      <c r="H1428" s="59">
        <v>2</v>
      </c>
      <c r="I1428" s="57"/>
      <c r="J1428" s="57"/>
      <c r="K1428" s="59"/>
      <c r="L1428" s="57"/>
      <c r="M1428" s="60"/>
      <c r="N1428" s="59"/>
      <c r="O1428" s="57"/>
      <c r="P1428" s="57"/>
      <c r="Q1428" s="57" t="s">
        <v>22</v>
      </c>
      <c r="R1428" s="57" t="s">
        <v>369</v>
      </c>
      <c r="S1428" s="59">
        <v>21361</v>
      </c>
      <c r="T1428" s="57" t="s">
        <v>61</v>
      </c>
      <c r="U1428" s="60">
        <v>46059</v>
      </c>
      <c r="V1428" s="59">
        <v>21361</v>
      </c>
      <c r="W1428" s="57" t="s">
        <v>5457</v>
      </c>
      <c r="X1428" s="57" t="s">
        <v>5458</v>
      </c>
      <c r="Y1428" s="57" t="s">
        <v>21</v>
      </c>
      <c r="Z1428" s="57" t="s">
        <v>293</v>
      </c>
      <c r="AA1428" s="59">
        <v>32198</v>
      </c>
      <c r="AB1428" s="57" t="s">
        <v>61</v>
      </c>
      <c r="AC1428" s="60">
        <v>45947</v>
      </c>
      <c r="AD1428" s="59">
        <v>32198</v>
      </c>
      <c r="AE1428" s="57" t="s">
        <v>5459</v>
      </c>
      <c r="AF1428" s="57" t="s">
        <v>5460</v>
      </c>
    </row>
    <row r="1429" spans="1:32">
      <c r="A1429" s="57">
        <v>1428</v>
      </c>
      <c r="B1429" s="58">
        <v>46084.620196759257</v>
      </c>
      <c r="C1429" s="58">
        <v>46084.623935185176</v>
      </c>
      <c r="D1429" s="57" t="s">
        <v>1452</v>
      </c>
      <c r="E1429" s="57" t="s">
        <v>1453</v>
      </c>
      <c r="F1429" s="58"/>
      <c r="G1429" s="57" t="s">
        <v>635</v>
      </c>
      <c r="H1429" s="59">
        <v>1</v>
      </c>
      <c r="I1429" s="57"/>
      <c r="J1429" s="57"/>
      <c r="K1429" s="59"/>
      <c r="L1429" s="57"/>
      <c r="M1429" s="60"/>
      <c r="N1429" s="59"/>
      <c r="O1429" s="57"/>
      <c r="P1429" s="57"/>
      <c r="Q1429" s="57"/>
      <c r="R1429" s="57"/>
      <c r="S1429" s="59"/>
      <c r="T1429" s="57"/>
      <c r="U1429" s="60"/>
      <c r="V1429" s="59"/>
      <c r="W1429" s="57"/>
      <c r="X1429" s="57"/>
      <c r="Y1429" s="57" t="s">
        <v>20</v>
      </c>
      <c r="Z1429" s="57" t="s">
        <v>326</v>
      </c>
      <c r="AA1429" s="59">
        <v>41775</v>
      </c>
      <c r="AB1429" s="57" t="s">
        <v>61</v>
      </c>
      <c r="AC1429" s="60">
        <v>46065</v>
      </c>
      <c r="AD1429" s="59">
        <v>41775</v>
      </c>
      <c r="AE1429" s="57" t="s">
        <v>5461</v>
      </c>
      <c r="AF1429" s="57" t="s">
        <v>5462</v>
      </c>
    </row>
    <row r="1430" spans="1:32">
      <c r="A1430" s="57">
        <v>1429</v>
      </c>
      <c r="B1430" s="58">
        <v>46084.620196759257</v>
      </c>
      <c r="C1430" s="58">
        <v>46084.626064814824</v>
      </c>
      <c r="D1430" s="57" t="s">
        <v>739</v>
      </c>
      <c r="E1430" s="57" t="s">
        <v>740</v>
      </c>
      <c r="F1430" s="58"/>
      <c r="G1430" s="57" t="s">
        <v>686</v>
      </c>
      <c r="H1430" s="59">
        <v>1</v>
      </c>
      <c r="I1430" s="57"/>
      <c r="J1430" s="57"/>
      <c r="K1430" s="59"/>
      <c r="L1430" s="57"/>
      <c r="M1430" s="60"/>
      <c r="N1430" s="59"/>
      <c r="O1430" s="57"/>
      <c r="P1430" s="57"/>
      <c r="Q1430" s="57"/>
      <c r="R1430" s="57"/>
      <c r="S1430" s="59"/>
      <c r="T1430" s="57"/>
      <c r="U1430" s="60"/>
      <c r="V1430" s="59"/>
      <c r="W1430" s="57"/>
      <c r="X1430" s="57"/>
      <c r="Y1430" s="57" t="s">
        <v>21</v>
      </c>
      <c r="Z1430" s="57" t="s">
        <v>404</v>
      </c>
      <c r="AA1430" s="59">
        <v>11984</v>
      </c>
      <c r="AB1430" s="57" t="s">
        <v>61</v>
      </c>
      <c r="AC1430" s="60">
        <v>46073</v>
      </c>
      <c r="AD1430" s="59">
        <v>11984</v>
      </c>
      <c r="AE1430" s="57" t="s">
        <v>5463</v>
      </c>
      <c r="AF1430" s="57" t="s">
        <v>5464</v>
      </c>
    </row>
    <row r="1431" spans="1:32">
      <c r="A1431" s="57">
        <v>1430</v>
      </c>
      <c r="B1431" s="58">
        <v>46084.473541666674</v>
      </c>
      <c r="C1431" s="58">
        <v>46084.631643518522</v>
      </c>
      <c r="D1431" s="57" t="s">
        <v>909</v>
      </c>
      <c r="E1431" s="57" t="s">
        <v>910</v>
      </c>
      <c r="F1431" s="58"/>
      <c r="G1431" s="57" t="s">
        <v>712</v>
      </c>
      <c r="H1431" s="59">
        <v>1</v>
      </c>
      <c r="I1431" s="57"/>
      <c r="J1431" s="57"/>
      <c r="K1431" s="59"/>
      <c r="L1431" s="57"/>
      <c r="M1431" s="60"/>
      <c r="N1431" s="59"/>
      <c r="O1431" s="57"/>
      <c r="P1431" s="57"/>
      <c r="Q1431" s="57"/>
      <c r="R1431" s="57"/>
      <c r="S1431" s="59"/>
      <c r="T1431" s="57"/>
      <c r="U1431" s="60"/>
      <c r="V1431" s="59"/>
      <c r="W1431" s="57"/>
      <c r="X1431" s="57"/>
      <c r="Y1431" s="57" t="s">
        <v>21</v>
      </c>
      <c r="Z1431" s="57" t="s">
        <v>444</v>
      </c>
      <c r="AA1431" s="59">
        <v>6409</v>
      </c>
      <c r="AB1431" s="57" t="s">
        <v>61</v>
      </c>
      <c r="AC1431" s="60">
        <v>46023</v>
      </c>
      <c r="AD1431" s="59">
        <v>6409</v>
      </c>
      <c r="AE1431" s="57" t="s">
        <v>5465</v>
      </c>
      <c r="AF1431" s="57" t="s">
        <v>5466</v>
      </c>
    </row>
    <row r="1432" spans="1:32">
      <c r="A1432" s="57">
        <v>1431</v>
      </c>
      <c r="B1432" s="58">
        <v>46084.641643518517</v>
      </c>
      <c r="C1432" s="58">
        <v>46084.650787037041</v>
      </c>
      <c r="D1432" s="57" t="s">
        <v>4744</v>
      </c>
      <c r="E1432" s="57" t="s">
        <v>4745</v>
      </c>
      <c r="F1432" s="58"/>
      <c r="G1432" s="57" t="s">
        <v>709</v>
      </c>
      <c r="H1432" s="59">
        <v>1</v>
      </c>
      <c r="I1432" s="57"/>
      <c r="J1432" s="57"/>
      <c r="K1432" s="59"/>
      <c r="L1432" s="57"/>
      <c r="M1432" s="60"/>
      <c r="N1432" s="59"/>
      <c r="O1432" s="57"/>
      <c r="P1432" s="57"/>
      <c r="Q1432" s="57"/>
      <c r="R1432" s="57"/>
      <c r="S1432" s="59"/>
      <c r="T1432" s="57"/>
      <c r="U1432" s="60"/>
      <c r="V1432" s="59"/>
      <c r="W1432" s="57"/>
      <c r="X1432" s="57"/>
      <c r="Y1432" s="57" t="s">
        <v>20</v>
      </c>
      <c r="Z1432" s="57" t="s">
        <v>437</v>
      </c>
      <c r="AA1432" s="59">
        <v>975</v>
      </c>
      <c r="AB1432" s="57" t="s">
        <v>61</v>
      </c>
      <c r="AC1432" s="60">
        <v>45992</v>
      </c>
      <c r="AD1432" s="59">
        <v>975</v>
      </c>
      <c r="AE1432" s="57" t="s">
        <v>5467</v>
      </c>
      <c r="AF1432" s="57" t="s">
        <v>5468</v>
      </c>
    </row>
    <row r="1433" spans="1:32">
      <c r="A1433" s="57">
        <v>1432</v>
      </c>
      <c r="B1433" s="58">
        <v>46084.644861111112</v>
      </c>
      <c r="C1433" s="58">
        <v>46084.653946759259</v>
      </c>
      <c r="D1433" s="57" t="s">
        <v>4111</v>
      </c>
      <c r="E1433" s="57" t="s">
        <v>4112</v>
      </c>
      <c r="F1433" s="58"/>
      <c r="G1433" s="57" t="s">
        <v>460</v>
      </c>
      <c r="H1433" s="59">
        <v>1</v>
      </c>
      <c r="I1433" s="57"/>
      <c r="J1433" s="57"/>
      <c r="K1433" s="59"/>
      <c r="L1433" s="57"/>
      <c r="M1433" s="60"/>
      <c r="N1433" s="59"/>
      <c r="O1433" s="57"/>
      <c r="P1433" s="57"/>
      <c r="Q1433" s="57"/>
      <c r="R1433" s="57"/>
      <c r="S1433" s="59"/>
      <c r="T1433" s="57"/>
      <c r="U1433" s="60"/>
      <c r="V1433" s="59"/>
      <c r="W1433" s="57"/>
      <c r="X1433" s="57"/>
      <c r="Y1433" s="57" t="s">
        <v>21</v>
      </c>
      <c r="Z1433" s="57" t="s">
        <v>126</v>
      </c>
      <c r="AA1433" s="59">
        <v>28881</v>
      </c>
      <c r="AB1433" s="57" t="s">
        <v>61</v>
      </c>
      <c r="AC1433" s="60">
        <v>46041</v>
      </c>
      <c r="AD1433" s="59">
        <v>28881</v>
      </c>
      <c r="AE1433" s="57" t="s">
        <v>5469</v>
      </c>
      <c r="AF1433" s="57" t="s">
        <v>5470</v>
      </c>
    </row>
    <row r="1434" spans="1:32">
      <c r="A1434" s="57">
        <v>1433</v>
      </c>
      <c r="B1434" s="58">
        <v>46084.658275462964</v>
      </c>
      <c r="C1434" s="58">
        <v>46084.661817129629</v>
      </c>
      <c r="D1434" s="57" t="s">
        <v>3344</v>
      </c>
      <c r="E1434" s="57" t="s">
        <v>3345</v>
      </c>
      <c r="F1434" s="58"/>
      <c r="G1434" s="57" t="s">
        <v>687</v>
      </c>
      <c r="H1434" s="59">
        <v>1</v>
      </c>
      <c r="I1434" s="57"/>
      <c r="J1434" s="57"/>
      <c r="K1434" s="59"/>
      <c r="L1434" s="57"/>
      <c r="M1434" s="60"/>
      <c r="N1434" s="59"/>
      <c r="O1434" s="57"/>
      <c r="P1434" s="57"/>
      <c r="Q1434" s="57"/>
      <c r="R1434" s="57"/>
      <c r="S1434" s="59"/>
      <c r="T1434" s="57"/>
      <c r="U1434" s="60"/>
      <c r="V1434" s="59"/>
      <c r="W1434" s="57"/>
      <c r="X1434" s="57"/>
      <c r="Y1434" s="57" t="s">
        <v>21</v>
      </c>
      <c r="Z1434" s="57" t="s">
        <v>406</v>
      </c>
      <c r="AA1434" s="59">
        <v>1802</v>
      </c>
      <c r="AB1434" s="57" t="s">
        <v>61</v>
      </c>
      <c r="AC1434" s="60">
        <v>45974</v>
      </c>
      <c r="AD1434" s="59">
        <v>1802</v>
      </c>
      <c r="AE1434" s="57" t="s">
        <v>5471</v>
      </c>
      <c r="AF1434" s="57" t="s">
        <v>5472</v>
      </c>
    </row>
    <row r="1435" spans="1:32">
      <c r="A1435" s="57">
        <v>1434</v>
      </c>
      <c r="B1435" s="58">
        <v>46084.661608796298</v>
      </c>
      <c r="C1435" s="58">
        <v>46084.662546296298</v>
      </c>
      <c r="D1435" s="57" t="s">
        <v>1014</v>
      </c>
      <c r="E1435" s="57" t="s">
        <v>1015</v>
      </c>
      <c r="F1435" s="58"/>
      <c r="G1435" s="57" t="s">
        <v>623</v>
      </c>
      <c r="H1435" s="59">
        <v>1</v>
      </c>
      <c r="I1435" s="57"/>
      <c r="J1435" s="57"/>
      <c r="K1435" s="59"/>
      <c r="L1435" s="57"/>
      <c r="M1435" s="60"/>
      <c r="N1435" s="59"/>
      <c r="O1435" s="57"/>
      <c r="P1435" s="57"/>
      <c r="Q1435" s="57"/>
      <c r="R1435" s="57"/>
      <c r="S1435" s="59"/>
      <c r="T1435" s="57"/>
      <c r="U1435" s="60"/>
      <c r="V1435" s="59"/>
      <c r="W1435" s="57"/>
      <c r="X1435" s="57"/>
      <c r="Y1435" s="57" t="s">
        <v>20</v>
      </c>
      <c r="Z1435" s="57" t="s">
        <v>305</v>
      </c>
      <c r="AA1435" s="59">
        <v>38390</v>
      </c>
      <c r="AB1435" s="57" t="s">
        <v>61</v>
      </c>
      <c r="AC1435" s="60">
        <v>46077</v>
      </c>
      <c r="AD1435" s="59">
        <v>38390</v>
      </c>
      <c r="AE1435" s="57" t="s">
        <v>5473</v>
      </c>
      <c r="AF1435" s="57" t="s">
        <v>5474</v>
      </c>
    </row>
    <row r="1436" spans="1:32">
      <c r="A1436" s="57">
        <v>1435</v>
      </c>
      <c r="B1436" s="58">
        <v>46084.664803240739</v>
      </c>
      <c r="C1436" s="58">
        <v>46084.66920138889</v>
      </c>
      <c r="D1436" s="57" t="s">
        <v>853</v>
      </c>
      <c r="E1436" s="57" t="s">
        <v>854</v>
      </c>
      <c r="F1436" s="58"/>
      <c r="G1436" s="57" t="s">
        <v>571</v>
      </c>
      <c r="H1436" s="59">
        <v>2</v>
      </c>
      <c r="I1436" s="57"/>
      <c r="J1436" s="57"/>
      <c r="K1436" s="59"/>
      <c r="L1436" s="57"/>
      <c r="M1436" s="60"/>
      <c r="N1436" s="59"/>
      <c r="O1436" s="57"/>
      <c r="P1436" s="57"/>
      <c r="Q1436" s="57" t="s">
        <v>21</v>
      </c>
      <c r="R1436" s="57" t="s">
        <v>346</v>
      </c>
      <c r="S1436" s="59">
        <v>18313</v>
      </c>
      <c r="T1436" s="57" t="s">
        <v>61</v>
      </c>
      <c r="U1436" s="60">
        <v>46056</v>
      </c>
      <c r="V1436" s="59">
        <v>18313</v>
      </c>
      <c r="W1436" s="57" t="s">
        <v>5475</v>
      </c>
      <c r="X1436" s="57" t="s">
        <v>5476</v>
      </c>
      <c r="Y1436" s="57" t="s">
        <v>22</v>
      </c>
      <c r="Z1436" s="57" t="s">
        <v>243</v>
      </c>
      <c r="AA1436" s="59">
        <v>48052</v>
      </c>
      <c r="AB1436" s="57" t="s">
        <v>61</v>
      </c>
      <c r="AC1436" s="60">
        <v>46080</v>
      </c>
      <c r="AD1436" s="59">
        <v>48052</v>
      </c>
      <c r="AE1436" s="57" t="s">
        <v>5477</v>
      </c>
      <c r="AF1436" s="57" t="s">
        <v>5478</v>
      </c>
    </row>
    <row r="1437" spans="1:32">
      <c r="A1437" s="57">
        <v>1436</v>
      </c>
      <c r="B1437" s="58">
        <v>46084.670601851853</v>
      </c>
      <c r="C1437" s="58">
        <v>46084.674108796287</v>
      </c>
      <c r="D1437" s="57" t="s">
        <v>2212</v>
      </c>
      <c r="E1437" s="57" t="s">
        <v>2213</v>
      </c>
      <c r="F1437" s="58"/>
      <c r="G1437" s="57" t="s">
        <v>707</v>
      </c>
      <c r="H1437" s="59">
        <v>2</v>
      </c>
      <c r="I1437" s="57"/>
      <c r="J1437" s="57"/>
      <c r="K1437" s="59"/>
      <c r="L1437" s="57"/>
      <c r="M1437" s="60"/>
      <c r="N1437" s="59"/>
      <c r="O1437" s="57"/>
      <c r="P1437" s="57"/>
      <c r="Q1437" s="57" t="s">
        <v>20</v>
      </c>
      <c r="R1437" s="57" t="s">
        <v>435</v>
      </c>
      <c r="S1437" s="59">
        <v>5257</v>
      </c>
      <c r="T1437" s="57" t="s">
        <v>61</v>
      </c>
      <c r="U1437" s="60">
        <v>45999</v>
      </c>
      <c r="V1437" s="59">
        <v>5257</v>
      </c>
      <c r="W1437" s="57" t="s">
        <v>5479</v>
      </c>
      <c r="X1437" s="57" t="s">
        <v>5480</v>
      </c>
      <c r="Y1437" s="57" t="s">
        <v>22</v>
      </c>
      <c r="Z1437" s="57" t="s">
        <v>436</v>
      </c>
      <c r="AA1437" s="59">
        <v>1632</v>
      </c>
      <c r="AB1437" s="57" t="s">
        <v>61</v>
      </c>
      <c r="AC1437" s="60">
        <v>45999</v>
      </c>
      <c r="AD1437" s="59">
        <v>1632</v>
      </c>
      <c r="AE1437" s="57" t="s">
        <v>5481</v>
      </c>
      <c r="AF1437" s="57" t="s">
        <v>5482</v>
      </c>
    </row>
    <row r="1438" spans="1:32">
      <c r="A1438" s="57">
        <v>1437</v>
      </c>
      <c r="B1438" s="58">
        <v>46084.674872685187</v>
      </c>
      <c r="C1438" s="58">
        <v>46084.676041666673</v>
      </c>
      <c r="D1438" s="57" t="s">
        <v>1603</v>
      </c>
      <c r="E1438" s="57" t="s">
        <v>1604</v>
      </c>
      <c r="F1438" s="58"/>
      <c r="G1438" s="57" t="s">
        <v>538</v>
      </c>
      <c r="H1438" s="59">
        <v>1</v>
      </c>
      <c r="I1438" s="57"/>
      <c r="J1438" s="57"/>
      <c r="K1438" s="59"/>
      <c r="L1438" s="57"/>
      <c r="M1438" s="60"/>
      <c r="N1438" s="59"/>
      <c r="O1438" s="57"/>
      <c r="P1438" s="57"/>
      <c r="Q1438" s="57"/>
      <c r="R1438" s="57"/>
      <c r="S1438" s="59"/>
      <c r="T1438" s="57"/>
      <c r="U1438" s="60"/>
      <c r="V1438" s="59"/>
      <c r="W1438" s="57"/>
      <c r="X1438" s="57"/>
      <c r="Y1438" s="57" t="s">
        <v>21</v>
      </c>
      <c r="Z1438" s="57" t="s">
        <v>206</v>
      </c>
      <c r="AA1438" s="59">
        <v>55973</v>
      </c>
      <c r="AB1438" s="57" t="s">
        <v>61</v>
      </c>
      <c r="AC1438" s="60">
        <v>46027</v>
      </c>
      <c r="AD1438" s="59">
        <v>55973</v>
      </c>
      <c r="AE1438" s="57" t="s">
        <v>5483</v>
      </c>
      <c r="AF1438" s="57" t="s">
        <v>5484</v>
      </c>
    </row>
    <row r="1439" spans="1:32">
      <c r="A1439" s="57">
        <v>1438</v>
      </c>
      <c r="B1439" s="58">
        <v>46084.673333333332</v>
      </c>
      <c r="C1439" s="58">
        <v>46084.677476851852</v>
      </c>
      <c r="D1439" s="57" t="s">
        <v>1787</v>
      </c>
      <c r="E1439" s="57" t="s">
        <v>1788</v>
      </c>
      <c r="F1439" s="58"/>
      <c r="G1439" s="57" t="s">
        <v>496</v>
      </c>
      <c r="H1439" s="59">
        <v>1</v>
      </c>
      <c r="I1439" s="57"/>
      <c r="J1439" s="57"/>
      <c r="K1439" s="59"/>
      <c r="L1439" s="57"/>
      <c r="M1439" s="60"/>
      <c r="N1439" s="59"/>
      <c r="O1439" s="57"/>
      <c r="P1439" s="57"/>
      <c r="Q1439" s="57"/>
      <c r="R1439" s="57"/>
      <c r="S1439" s="59"/>
      <c r="T1439" s="57"/>
      <c r="U1439" s="60"/>
      <c r="V1439" s="59"/>
      <c r="W1439" s="57"/>
      <c r="X1439" s="57"/>
      <c r="Y1439" s="57" t="s">
        <v>20</v>
      </c>
      <c r="Z1439" s="57" t="s">
        <v>162</v>
      </c>
      <c r="AA1439" s="59">
        <v>38590</v>
      </c>
      <c r="AB1439" s="57" t="s">
        <v>61</v>
      </c>
      <c r="AC1439" s="60">
        <v>46076</v>
      </c>
      <c r="AD1439" s="59">
        <v>38590</v>
      </c>
      <c r="AE1439" s="57" t="s">
        <v>5485</v>
      </c>
      <c r="AF1439" s="57" t="s">
        <v>5486</v>
      </c>
    </row>
    <row r="1440" spans="1:32">
      <c r="A1440" s="57">
        <v>1439</v>
      </c>
      <c r="B1440" s="58">
        <v>46084.675902777781</v>
      </c>
      <c r="C1440" s="58">
        <v>46084.679039351853</v>
      </c>
      <c r="D1440" s="57" t="s">
        <v>1289</v>
      </c>
      <c r="E1440" s="57" t="s">
        <v>1290</v>
      </c>
      <c r="F1440" s="58"/>
      <c r="G1440" s="57" t="s">
        <v>641</v>
      </c>
      <c r="H1440" s="59">
        <v>1</v>
      </c>
      <c r="I1440" s="57"/>
      <c r="J1440" s="57"/>
      <c r="K1440" s="59"/>
      <c r="L1440" s="57"/>
      <c r="M1440" s="60"/>
      <c r="N1440" s="59"/>
      <c r="O1440" s="57"/>
      <c r="P1440" s="57"/>
      <c r="Q1440" s="57"/>
      <c r="R1440" s="57"/>
      <c r="S1440" s="59"/>
      <c r="T1440" s="57"/>
      <c r="U1440" s="60"/>
      <c r="V1440" s="59"/>
      <c r="W1440" s="57"/>
      <c r="X1440" s="57"/>
      <c r="Y1440" s="57" t="s">
        <v>21</v>
      </c>
      <c r="Z1440" s="57" t="s">
        <v>336</v>
      </c>
      <c r="AA1440" s="59">
        <v>18624</v>
      </c>
      <c r="AB1440" s="57" t="s">
        <v>61</v>
      </c>
      <c r="AC1440" s="60">
        <v>45923</v>
      </c>
      <c r="AD1440" s="59">
        <v>18624</v>
      </c>
      <c r="AE1440" s="57" t="s">
        <v>5487</v>
      </c>
      <c r="AF1440" s="57" t="s">
        <v>5488</v>
      </c>
    </row>
    <row r="1441" spans="1:32">
      <c r="A1441" s="57">
        <v>1440</v>
      </c>
      <c r="B1441" s="58">
        <v>46084.67832175926</v>
      </c>
      <c r="C1441" s="58">
        <v>46084.679907407408</v>
      </c>
      <c r="D1441" s="57" t="s">
        <v>748</v>
      </c>
      <c r="E1441" s="57" t="s">
        <v>749</v>
      </c>
      <c r="F1441" s="58"/>
      <c r="G1441" s="57" t="s">
        <v>619</v>
      </c>
      <c r="H1441" s="59">
        <v>2</v>
      </c>
      <c r="I1441" s="57"/>
      <c r="J1441" s="57"/>
      <c r="K1441" s="59"/>
      <c r="L1441" s="57"/>
      <c r="M1441" s="60"/>
      <c r="N1441" s="59"/>
      <c r="O1441" s="57"/>
      <c r="P1441" s="57"/>
      <c r="Q1441" s="57" t="s">
        <v>20</v>
      </c>
      <c r="R1441" s="57" t="s">
        <v>752</v>
      </c>
      <c r="S1441" s="59">
        <v>79223</v>
      </c>
      <c r="T1441" s="57" t="s">
        <v>61</v>
      </c>
      <c r="U1441" s="60">
        <v>46063</v>
      </c>
      <c r="V1441" s="59">
        <v>79223</v>
      </c>
      <c r="W1441" s="57" t="s">
        <v>5489</v>
      </c>
      <c r="X1441" s="57" t="s">
        <v>5490</v>
      </c>
      <c r="Y1441" s="57" t="s">
        <v>22</v>
      </c>
      <c r="Z1441" s="57" t="s">
        <v>301</v>
      </c>
      <c r="AA1441" s="59">
        <v>23249</v>
      </c>
      <c r="AB1441" s="57" t="s">
        <v>61</v>
      </c>
      <c r="AC1441" s="60">
        <v>46063</v>
      </c>
      <c r="AD1441" s="59">
        <v>23249</v>
      </c>
      <c r="AE1441" s="57" t="s">
        <v>5491</v>
      </c>
      <c r="AF1441" s="57" t="s">
        <v>5492</v>
      </c>
    </row>
    <row r="1442" spans="1:32">
      <c r="A1442" s="57">
        <v>1441</v>
      </c>
      <c r="B1442" s="58">
        <v>46084.674733796302</v>
      </c>
      <c r="C1442" s="58">
        <v>46084.681122685193</v>
      </c>
      <c r="D1442" s="57" t="s">
        <v>769</v>
      </c>
      <c r="E1442" s="57" t="s">
        <v>770</v>
      </c>
      <c r="F1442" s="58"/>
      <c r="G1442" s="57" t="s">
        <v>582</v>
      </c>
      <c r="H1442" s="59">
        <v>2</v>
      </c>
      <c r="I1442" s="57"/>
      <c r="J1442" s="57"/>
      <c r="K1442" s="59"/>
      <c r="L1442" s="57"/>
      <c r="M1442" s="60"/>
      <c r="N1442" s="59"/>
      <c r="O1442" s="57"/>
      <c r="P1442" s="57"/>
      <c r="Q1442" s="57" t="s">
        <v>21</v>
      </c>
      <c r="R1442" s="57" t="s">
        <v>256</v>
      </c>
      <c r="S1442" s="59">
        <v>55976</v>
      </c>
      <c r="T1442" s="57" t="s">
        <v>61</v>
      </c>
      <c r="U1442" s="60">
        <v>45958</v>
      </c>
      <c r="V1442" s="59">
        <v>55976</v>
      </c>
      <c r="W1442" s="57" t="s">
        <v>5493</v>
      </c>
      <c r="X1442" s="57" t="s">
        <v>5494</v>
      </c>
      <c r="Y1442" s="57" t="s">
        <v>21</v>
      </c>
      <c r="Z1442" s="57" t="s">
        <v>257</v>
      </c>
      <c r="AA1442" s="59">
        <v>30158</v>
      </c>
      <c r="AB1442" s="57" t="s">
        <v>61</v>
      </c>
      <c r="AC1442" s="60">
        <v>46030</v>
      </c>
      <c r="AD1442" s="59">
        <v>30158</v>
      </c>
      <c r="AE1442" s="57" t="s">
        <v>5495</v>
      </c>
      <c r="AF1442" s="57" t="s">
        <v>5496</v>
      </c>
    </row>
    <row r="1443" spans="1:32">
      <c r="A1443" s="57">
        <v>1442</v>
      </c>
      <c r="B1443" s="58">
        <v>46084.670706018522</v>
      </c>
      <c r="C1443" s="58">
        <v>46084.686296296299</v>
      </c>
      <c r="D1443" s="57" t="s">
        <v>1205</v>
      </c>
      <c r="E1443" s="57" t="s">
        <v>1206</v>
      </c>
      <c r="F1443" s="58"/>
      <c r="G1443" s="57" t="s">
        <v>474</v>
      </c>
      <c r="H1443" s="59">
        <v>1</v>
      </c>
      <c r="I1443" s="57"/>
      <c r="J1443" s="57"/>
      <c r="K1443" s="59"/>
      <c r="L1443" s="57"/>
      <c r="M1443" s="60"/>
      <c r="N1443" s="59"/>
      <c r="O1443" s="57"/>
      <c r="P1443" s="57"/>
      <c r="Q1443" s="57"/>
      <c r="R1443" s="57"/>
      <c r="S1443" s="59"/>
      <c r="T1443" s="57"/>
      <c r="U1443" s="60"/>
      <c r="V1443" s="59"/>
      <c r="W1443" s="57"/>
      <c r="X1443" s="57"/>
      <c r="Y1443" s="57" t="s">
        <v>21</v>
      </c>
      <c r="Z1443" s="57" t="s">
        <v>140</v>
      </c>
      <c r="AA1443" s="59">
        <v>24606</v>
      </c>
      <c r="AB1443" s="57" t="s">
        <v>61</v>
      </c>
      <c r="AC1443" s="60">
        <v>45903</v>
      </c>
      <c r="AD1443" s="59">
        <v>24606</v>
      </c>
      <c r="AE1443" s="57" t="s">
        <v>5497</v>
      </c>
      <c r="AF1443" s="57" t="s">
        <v>5498</v>
      </c>
    </row>
    <row r="1444" spans="1:32">
      <c r="A1444" s="57">
        <v>1443</v>
      </c>
      <c r="B1444" s="58">
        <v>46084.687141203707</v>
      </c>
      <c r="C1444" s="58">
        <v>46084.693541666667</v>
      </c>
      <c r="D1444" s="57" t="s">
        <v>1173</v>
      </c>
      <c r="E1444" s="57" t="s">
        <v>1174</v>
      </c>
      <c r="F1444" s="58"/>
      <c r="G1444" s="57" t="s">
        <v>593</v>
      </c>
      <c r="H1444" s="59">
        <v>1</v>
      </c>
      <c r="I1444" s="57"/>
      <c r="J1444" s="57"/>
      <c r="K1444" s="59"/>
      <c r="L1444" s="57"/>
      <c r="M1444" s="60"/>
      <c r="N1444" s="59"/>
      <c r="O1444" s="57"/>
      <c r="P1444" s="57"/>
      <c r="Q1444" s="57"/>
      <c r="R1444" s="57"/>
      <c r="S1444" s="59"/>
      <c r="T1444" s="57"/>
      <c r="U1444" s="60"/>
      <c r="V1444" s="59"/>
      <c r="W1444" s="57"/>
      <c r="X1444" s="57"/>
      <c r="Y1444" s="57" t="s">
        <v>21</v>
      </c>
      <c r="Z1444" s="57" t="s">
        <v>269</v>
      </c>
      <c r="AA1444" s="59">
        <v>26004</v>
      </c>
      <c r="AB1444" s="57" t="s">
        <v>61</v>
      </c>
      <c r="AC1444" s="60">
        <v>46064</v>
      </c>
      <c r="AD1444" s="59">
        <v>26004</v>
      </c>
      <c r="AE1444" s="57" t="s">
        <v>5499</v>
      </c>
      <c r="AF1444" s="57" t="s">
        <v>5500</v>
      </c>
    </row>
    <row r="1445" spans="1:32">
      <c r="A1445" s="57">
        <v>1444</v>
      </c>
      <c r="B1445" s="58">
        <v>46084.692523148151</v>
      </c>
      <c r="C1445" s="58">
        <v>46084.698599537027</v>
      </c>
      <c r="D1445" s="57" t="s">
        <v>893</v>
      </c>
      <c r="E1445" s="57" t="s">
        <v>894</v>
      </c>
      <c r="F1445" s="58"/>
      <c r="G1445" s="57" t="s">
        <v>508</v>
      </c>
      <c r="H1445" s="59">
        <v>1</v>
      </c>
      <c r="I1445" s="57"/>
      <c r="J1445" s="57"/>
      <c r="K1445" s="59"/>
      <c r="L1445" s="57"/>
      <c r="M1445" s="60"/>
      <c r="N1445" s="59"/>
      <c r="O1445" s="57"/>
      <c r="P1445" s="57"/>
      <c r="Q1445" s="57"/>
      <c r="R1445" s="57"/>
      <c r="S1445" s="59"/>
      <c r="T1445" s="57"/>
      <c r="U1445" s="60"/>
      <c r="V1445" s="59"/>
      <c r="W1445" s="57"/>
      <c r="X1445" s="57"/>
      <c r="Y1445" s="57" t="s">
        <v>20</v>
      </c>
      <c r="Z1445" s="57" t="s">
        <v>174</v>
      </c>
      <c r="AA1445" s="59">
        <v>55176</v>
      </c>
      <c r="AB1445" s="57" t="s">
        <v>61</v>
      </c>
      <c r="AC1445" s="60">
        <v>46038</v>
      </c>
      <c r="AD1445" s="59">
        <v>55176</v>
      </c>
      <c r="AE1445" s="57" t="s">
        <v>5501</v>
      </c>
      <c r="AF1445" s="57" t="s">
        <v>5502</v>
      </c>
    </row>
    <row r="1446" spans="1:32">
      <c r="A1446" s="57">
        <v>1445</v>
      </c>
      <c r="B1446" s="58">
        <v>46084.713564814818</v>
      </c>
      <c r="C1446" s="58">
        <v>46084.716817129629</v>
      </c>
      <c r="D1446" s="57" t="s">
        <v>1064</v>
      </c>
      <c r="E1446" s="57" t="s">
        <v>1065</v>
      </c>
      <c r="F1446" s="58"/>
      <c r="G1446" s="57" t="s">
        <v>544</v>
      </c>
      <c r="H1446" s="59">
        <v>1</v>
      </c>
      <c r="I1446" s="57"/>
      <c r="J1446" s="57"/>
      <c r="K1446" s="59"/>
      <c r="L1446" s="57"/>
      <c r="M1446" s="60"/>
      <c r="N1446" s="59"/>
      <c r="O1446" s="57"/>
      <c r="P1446" s="57"/>
      <c r="Q1446" s="57"/>
      <c r="R1446" s="57"/>
      <c r="S1446" s="59"/>
      <c r="T1446" s="57"/>
      <c r="U1446" s="60"/>
      <c r="V1446" s="59"/>
      <c r="W1446" s="57"/>
      <c r="X1446" s="57"/>
      <c r="Y1446" s="57" t="s">
        <v>21</v>
      </c>
      <c r="Z1446" s="57" t="s">
        <v>213</v>
      </c>
      <c r="AA1446" s="59">
        <v>52066</v>
      </c>
      <c r="AB1446" s="57" t="s">
        <v>61</v>
      </c>
      <c r="AC1446" s="60">
        <v>45964</v>
      </c>
      <c r="AD1446" s="59">
        <v>52066</v>
      </c>
      <c r="AE1446" s="57" t="s">
        <v>5503</v>
      </c>
      <c r="AF1446" s="57" t="s">
        <v>5504</v>
      </c>
    </row>
    <row r="1447" spans="1:32">
      <c r="A1447" s="57">
        <v>1446</v>
      </c>
      <c r="B1447" s="58">
        <v>46084.739178240743</v>
      </c>
      <c r="C1447" s="58">
        <v>46084.741678240738</v>
      </c>
      <c r="D1447" s="57" t="s">
        <v>1276</v>
      </c>
      <c r="E1447" s="57" t="s">
        <v>1277</v>
      </c>
      <c r="F1447" s="58"/>
      <c r="G1447" s="57" t="s">
        <v>668</v>
      </c>
      <c r="H1447" s="59">
        <v>1</v>
      </c>
      <c r="I1447" s="57"/>
      <c r="J1447" s="57"/>
      <c r="K1447" s="59"/>
      <c r="L1447" s="57"/>
      <c r="M1447" s="60"/>
      <c r="N1447" s="59"/>
      <c r="O1447" s="57"/>
      <c r="P1447" s="57"/>
      <c r="Q1447" s="57"/>
      <c r="R1447" s="57"/>
      <c r="S1447" s="59"/>
      <c r="T1447" s="57"/>
      <c r="U1447" s="60"/>
      <c r="V1447" s="59"/>
      <c r="W1447" s="57"/>
      <c r="X1447" s="57"/>
      <c r="Y1447" s="57" t="s">
        <v>20</v>
      </c>
      <c r="Z1447" s="57" t="s">
        <v>378</v>
      </c>
      <c r="AA1447" s="59">
        <v>14461</v>
      </c>
      <c r="AB1447" s="57" t="s">
        <v>61</v>
      </c>
      <c r="AC1447" s="60">
        <v>46013</v>
      </c>
      <c r="AD1447" s="59">
        <v>14461</v>
      </c>
      <c r="AE1447" s="57" t="s">
        <v>5505</v>
      </c>
      <c r="AF1447" s="57" t="s">
        <v>5506</v>
      </c>
    </row>
    <row r="1448" spans="1:32">
      <c r="A1448" s="57">
        <v>1447</v>
      </c>
      <c r="B1448" s="58">
        <v>46085.324374999997</v>
      </c>
      <c r="C1448" s="58">
        <v>46085.327048611107</v>
      </c>
      <c r="D1448" s="57" t="s">
        <v>952</v>
      </c>
      <c r="E1448" s="57" t="s">
        <v>953</v>
      </c>
      <c r="F1448" s="58"/>
      <c r="G1448" s="57" t="s">
        <v>644</v>
      </c>
      <c r="H1448" s="59">
        <v>1</v>
      </c>
      <c r="I1448" s="57"/>
      <c r="J1448" s="57"/>
      <c r="K1448" s="59"/>
      <c r="L1448" s="57"/>
      <c r="M1448" s="60"/>
      <c r="N1448" s="59"/>
      <c r="O1448" s="57"/>
      <c r="P1448" s="57"/>
      <c r="Q1448" s="57"/>
      <c r="R1448" s="57"/>
      <c r="S1448" s="59"/>
      <c r="T1448" s="57"/>
      <c r="U1448" s="60"/>
      <c r="V1448" s="59"/>
      <c r="W1448" s="57"/>
      <c r="X1448" s="57"/>
      <c r="Y1448" s="57" t="s">
        <v>21</v>
      </c>
      <c r="Z1448" s="57" t="s">
        <v>339</v>
      </c>
      <c r="AA1448" s="59">
        <v>10649</v>
      </c>
      <c r="AB1448" s="57" t="s">
        <v>61</v>
      </c>
      <c r="AC1448" s="60">
        <v>45972</v>
      </c>
      <c r="AD1448" s="59">
        <v>10649</v>
      </c>
      <c r="AE1448" s="57" t="s">
        <v>5507</v>
      </c>
      <c r="AF1448" s="57" t="s">
        <v>5508</v>
      </c>
    </row>
    <row r="1449" spans="1:32">
      <c r="A1449" s="57">
        <v>1448</v>
      </c>
      <c r="B1449" s="58">
        <v>46085.330682870372</v>
      </c>
      <c r="C1449" s="58">
        <v>46085.333819444437</v>
      </c>
      <c r="D1449" s="57" t="s">
        <v>990</v>
      </c>
      <c r="E1449" s="57" t="s">
        <v>991</v>
      </c>
      <c r="F1449" s="58"/>
      <c r="G1449" s="57" t="s">
        <v>607</v>
      </c>
      <c r="H1449" s="59">
        <v>1</v>
      </c>
      <c r="I1449" s="57"/>
      <c r="J1449" s="57"/>
      <c r="K1449" s="59"/>
      <c r="L1449" s="57"/>
      <c r="M1449" s="60"/>
      <c r="N1449" s="59"/>
      <c r="O1449" s="57"/>
      <c r="P1449" s="57"/>
      <c r="Q1449" s="57"/>
      <c r="R1449" s="57"/>
      <c r="S1449" s="59"/>
      <c r="T1449" s="57"/>
      <c r="U1449" s="60"/>
      <c r="V1449" s="59"/>
      <c r="W1449" s="57"/>
      <c r="X1449" s="57"/>
      <c r="Y1449" s="57" t="s">
        <v>21</v>
      </c>
      <c r="Z1449" s="57" t="s">
        <v>285</v>
      </c>
      <c r="AA1449" s="59">
        <v>32123</v>
      </c>
      <c r="AB1449" s="57" t="s">
        <v>61</v>
      </c>
      <c r="AC1449" s="60">
        <v>46044</v>
      </c>
      <c r="AD1449" s="59">
        <v>32123</v>
      </c>
      <c r="AE1449" s="57" t="s">
        <v>5509</v>
      </c>
      <c r="AF1449" s="57" t="s">
        <v>5510</v>
      </c>
    </row>
    <row r="1450" spans="1:32">
      <c r="A1450" s="57">
        <v>1449</v>
      </c>
      <c r="B1450" s="58">
        <v>46084.678564814807</v>
      </c>
      <c r="C1450" s="58">
        <v>46085.336400462962</v>
      </c>
      <c r="D1450" s="57" t="s">
        <v>1256</v>
      </c>
      <c r="E1450" s="57" t="s">
        <v>1257</v>
      </c>
      <c r="F1450" s="58"/>
      <c r="G1450" s="57" t="s">
        <v>473</v>
      </c>
      <c r="H1450" s="59">
        <v>1</v>
      </c>
      <c r="I1450" s="57"/>
      <c r="J1450" s="57"/>
      <c r="K1450" s="59"/>
      <c r="L1450" s="57"/>
      <c r="M1450" s="60"/>
      <c r="N1450" s="59"/>
      <c r="O1450" s="57"/>
      <c r="P1450" s="57"/>
      <c r="Q1450" s="57"/>
      <c r="R1450" s="57"/>
      <c r="S1450" s="59"/>
      <c r="T1450" s="57"/>
      <c r="U1450" s="60"/>
      <c r="V1450" s="59"/>
      <c r="W1450" s="57"/>
      <c r="X1450" s="57"/>
      <c r="Y1450" s="57" t="s">
        <v>21</v>
      </c>
      <c r="Z1450" s="57" t="s">
        <v>139</v>
      </c>
      <c r="AA1450" s="59">
        <v>114331</v>
      </c>
      <c r="AB1450" s="57" t="s">
        <v>61</v>
      </c>
      <c r="AC1450" s="60">
        <v>45985</v>
      </c>
      <c r="AD1450" s="59">
        <v>114331</v>
      </c>
      <c r="AE1450" s="57" t="s">
        <v>5511</v>
      </c>
      <c r="AF1450" s="57" t="s">
        <v>5512</v>
      </c>
    </row>
    <row r="1451" spans="1:32">
      <c r="A1451" s="57">
        <v>1450</v>
      </c>
      <c r="B1451" s="58">
        <v>46085.33693287037</v>
      </c>
      <c r="C1451" s="58">
        <v>46085.340300925927</v>
      </c>
      <c r="D1451" s="57" t="s">
        <v>1187</v>
      </c>
      <c r="E1451" s="57" t="s">
        <v>1188</v>
      </c>
      <c r="F1451" s="58"/>
      <c r="G1451" s="57" t="s">
        <v>490</v>
      </c>
      <c r="H1451" s="59">
        <v>2</v>
      </c>
      <c r="I1451" s="57"/>
      <c r="J1451" s="57"/>
      <c r="K1451" s="59"/>
      <c r="L1451" s="57"/>
      <c r="M1451" s="60"/>
      <c r="N1451" s="59"/>
      <c r="O1451" s="57"/>
      <c r="P1451" s="57"/>
      <c r="Q1451" s="57" t="s">
        <v>22</v>
      </c>
      <c r="R1451" s="57" t="s">
        <v>277</v>
      </c>
      <c r="S1451" s="59">
        <v>22972</v>
      </c>
      <c r="T1451" s="57" t="s">
        <v>61</v>
      </c>
      <c r="U1451" s="60">
        <v>45923</v>
      </c>
      <c r="V1451" s="59">
        <v>22972</v>
      </c>
      <c r="W1451" s="57" t="s">
        <v>5513</v>
      </c>
      <c r="X1451" s="57" t="s">
        <v>5514</v>
      </c>
      <c r="Y1451" s="57" t="s">
        <v>21</v>
      </c>
      <c r="Z1451" s="57" t="s">
        <v>156</v>
      </c>
      <c r="AA1451" s="59">
        <v>17344</v>
      </c>
      <c r="AB1451" s="57" t="s">
        <v>61</v>
      </c>
      <c r="AC1451" s="60">
        <v>45960</v>
      </c>
      <c r="AD1451" s="59">
        <v>17344</v>
      </c>
      <c r="AE1451" s="57" t="s">
        <v>5515</v>
      </c>
      <c r="AF1451" s="57" t="s">
        <v>5516</v>
      </c>
    </row>
    <row r="1452" spans="1:32">
      <c r="A1452" s="57">
        <v>1451</v>
      </c>
      <c r="B1452" s="58">
        <v>46085.352187500001</v>
      </c>
      <c r="C1452" s="58">
        <v>46085.357835648138</v>
      </c>
      <c r="D1452" s="57" t="s">
        <v>1018</v>
      </c>
      <c r="E1452" s="57" t="s">
        <v>1019</v>
      </c>
      <c r="F1452" s="58"/>
      <c r="G1452" s="57" t="s">
        <v>472</v>
      </c>
      <c r="H1452" s="59">
        <v>1</v>
      </c>
      <c r="I1452" s="57"/>
      <c r="J1452" s="57"/>
      <c r="K1452" s="59"/>
      <c r="L1452" s="57"/>
      <c r="M1452" s="60"/>
      <c r="N1452" s="59"/>
      <c r="O1452" s="57"/>
      <c r="P1452" s="57"/>
      <c r="Q1452" s="57"/>
      <c r="R1452" s="57"/>
      <c r="S1452" s="59"/>
      <c r="T1452" s="57"/>
      <c r="U1452" s="60"/>
      <c r="V1452" s="59"/>
      <c r="W1452" s="57"/>
      <c r="X1452" s="57"/>
      <c r="Y1452" s="57" t="s">
        <v>20</v>
      </c>
      <c r="Z1452" s="57" t="s">
        <v>138</v>
      </c>
      <c r="AA1452" s="59">
        <v>53836</v>
      </c>
      <c r="AB1452" s="57" t="s">
        <v>61</v>
      </c>
      <c r="AC1452" s="60">
        <v>45931</v>
      </c>
      <c r="AD1452" s="59">
        <v>53836</v>
      </c>
      <c r="AE1452" s="57" t="s">
        <v>5517</v>
      </c>
      <c r="AF1452" s="57" t="s">
        <v>5518</v>
      </c>
    </row>
    <row r="1453" spans="1:32">
      <c r="A1453" s="57">
        <v>1452</v>
      </c>
      <c r="B1453" s="58">
        <v>46085.352627314824</v>
      </c>
      <c r="C1453" s="58">
        <v>46085.358344907407</v>
      </c>
      <c r="D1453" s="57" t="s">
        <v>1131</v>
      </c>
      <c r="E1453" s="57" t="s">
        <v>1132</v>
      </c>
      <c r="F1453" s="58"/>
      <c r="G1453" s="57" t="s">
        <v>615</v>
      </c>
      <c r="H1453" s="59">
        <v>1</v>
      </c>
      <c r="I1453" s="57"/>
      <c r="J1453" s="57"/>
      <c r="K1453" s="59"/>
      <c r="L1453" s="57"/>
      <c r="M1453" s="60"/>
      <c r="N1453" s="59"/>
      <c r="O1453" s="57"/>
      <c r="P1453" s="57"/>
      <c r="Q1453" s="57"/>
      <c r="R1453" s="57"/>
      <c r="S1453" s="59"/>
      <c r="T1453" s="57"/>
      <c r="U1453" s="60"/>
      <c r="V1453" s="59"/>
      <c r="W1453" s="57"/>
      <c r="X1453" s="57"/>
      <c r="Y1453" s="57" t="s">
        <v>21</v>
      </c>
      <c r="Z1453" s="57" t="s">
        <v>295</v>
      </c>
      <c r="AA1453" s="59">
        <v>20518</v>
      </c>
      <c r="AB1453" s="57" t="s">
        <v>61</v>
      </c>
      <c r="AC1453" s="60">
        <v>45962</v>
      </c>
      <c r="AD1453" s="59">
        <v>20518</v>
      </c>
      <c r="AE1453" s="57" t="s">
        <v>5519</v>
      </c>
      <c r="AF1453" s="57" t="s">
        <v>5520</v>
      </c>
    </row>
    <row r="1454" spans="1:32">
      <c r="A1454" s="57">
        <v>1453</v>
      </c>
      <c r="B1454" s="58">
        <v>46085.353819444441</v>
      </c>
      <c r="C1454" s="58">
        <v>46085.360231481478</v>
      </c>
      <c r="D1454" s="57" t="s">
        <v>1333</v>
      </c>
      <c r="E1454" s="57" t="s">
        <v>1334</v>
      </c>
      <c r="F1454" s="58"/>
      <c r="G1454" s="57" t="s">
        <v>516</v>
      </c>
      <c r="H1454" s="59">
        <v>1</v>
      </c>
      <c r="I1454" s="57"/>
      <c r="J1454" s="57"/>
      <c r="K1454" s="59"/>
      <c r="L1454" s="57"/>
      <c r="M1454" s="60"/>
      <c r="N1454" s="59"/>
      <c r="O1454" s="57"/>
      <c r="P1454" s="57"/>
      <c r="Q1454" s="57"/>
      <c r="R1454" s="57"/>
      <c r="S1454" s="59"/>
      <c r="T1454" s="57"/>
      <c r="U1454" s="60"/>
      <c r="V1454" s="59"/>
      <c r="W1454" s="57"/>
      <c r="X1454" s="57"/>
      <c r="Y1454" s="57" t="s">
        <v>20</v>
      </c>
      <c r="Z1454" s="57" t="s">
        <v>183</v>
      </c>
      <c r="AA1454" s="59">
        <v>58962</v>
      </c>
      <c r="AB1454" s="57" t="s">
        <v>61</v>
      </c>
      <c r="AC1454" s="60">
        <v>46044</v>
      </c>
      <c r="AD1454" s="59">
        <v>58962</v>
      </c>
      <c r="AE1454" s="57" t="s">
        <v>5521</v>
      </c>
      <c r="AF1454" s="57" t="s">
        <v>5522</v>
      </c>
    </row>
    <row r="1455" spans="1:32">
      <c r="A1455" s="57">
        <v>1454</v>
      </c>
      <c r="B1455" s="58">
        <v>46085.355624999997</v>
      </c>
      <c r="C1455" s="58">
        <v>46085.36515046296</v>
      </c>
      <c r="D1455" s="57" t="s">
        <v>2180</v>
      </c>
      <c r="E1455" s="57" t="s">
        <v>2181</v>
      </c>
      <c r="F1455" s="58"/>
      <c r="G1455" s="57" t="s">
        <v>590</v>
      </c>
      <c r="H1455" s="59">
        <v>2</v>
      </c>
      <c r="I1455" s="57"/>
      <c r="J1455" s="57"/>
      <c r="K1455" s="59"/>
      <c r="L1455" s="57"/>
      <c r="M1455" s="60"/>
      <c r="N1455" s="59"/>
      <c r="O1455" s="57"/>
      <c r="P1455" s="57"/>
      <c r="Q1455" s="57" t="s">
        <v>22</v>
      </c>
      <c r="R1455" s="57" t="s">
        <v>264</v>
      </c>
      <c r="S1455" s="59">
        <v>34381</v>
      </c>
      <c r="T1455" s="57" t="s">
        <v>61</v>
      </c>
      <c r="U1455" s="60">
        <v>45985</v>
      </c>
      <c r="V1455" s="59">
        <v>34381</v>
      </c>
      <c r="W1455" s="57" t="s">
        <v>5523</v>
      </c>
      <c r="X1455" s="57" t="s">
        <v>5524</v>
      </c>
      <c r="Y1455" s="57" t="s">
        <v>20</v>
      </c>
      <c r="Z1455" s="57" t="s">
        <v>382</v>
      </c>
      <c r="AA1455" s="59">
        <v>8658</v>
      </c>
      <c r="AB1455" s="57" t="s">
        <v>61</v>
      </c>
      <c r="AC1455" s="60">
        <v>46041</v>
      </c>
      <c r="AD1455" s="59">
        <v>8658</v>
      </c>
      <c r="AE1455" s="57" t="s">
        <v>5525</v>
      </c>
      <c r="AF1455" s="57" t="s">
        <v>5526</v>
      </c>
    </row>
    <row r="1456" spans="1:32">
      <c r="A1456" s="57">
        <v>1455</v>
      </c>
      <c r="B1456" s="58">
        <v>46085.342638888891</v>
      </c>
      <c r="C1456" s="58">
        <v>46085.366886574076</v>
      </c>
      <c r="D1456" s="57" t="s">
        <v>2420</v>
      </c>
      <c r="E1456" s="57" t="s">
        <v>2421</v>
      </c>
      <c r="F1456" s="58"/>
      <c r="G1456" s="57" t="s">
        <v>611</v>
      </c>
      <c r="H1456" s="59">
        <v>1</v>
      </c>
      <c r="I1456" s="57"/>
      <c r="J1456" s="57"/>
      <c r="K1456" s="59"/>
      <c r="L1456" s="57"/>
      <c r="M1456" s="60"/>
      <c r="N1456" s="59"/>
      <c r="O1456" s="57"/>
      <c r="P1456" s="57"/>
      <c r="Q1456" s="57"/>
      <c r="R1456" s="57"/>
      <c r="S1456" s="59"/>
      <c r="T1456" s="57"/>
      <c r="U1456" s="60"/>
      <c r="V1456" s="59"/>
      <c r="W1456" s="57"/>
      <c r="X1456" s="57"/>
      <c r="Y1456" s="57" t="s">
        <v>21</v>
      </c>
      <c r="Z1456" s="57" t="s">
        <v>291</v>
      </c>
      <c r="AA1456" s="59">
        <v>13104</v>
      </c>
      <c r="AB1456" s="57" t="s">
        <v>61</v>
      </c>
      <c r="AC1456" s="60">
        <v>46014</v>
      </c>
      <c r="AD1456" s="59">
        <v>13104</v>
      </c>
      <c r="AE1456" s="57" t="s">
        <v>5527</v>
      </c>
      <c r="AF1456" s="57" t="s">
        <v>5528</v>
      </c>
    </row>
    <row r="1457" spans="1:32">
      <c r="A1457" s="57">
        <v>1456</v>
      </c>
      <c r="B1457" s="58">
        <v>46085.351041666669</v>
      </c>
      <c r="C1457" s="58">
        <v>46085.367685185192</v>
      </c>
      <c r="D1457" s="57" t="s">
        <v>999</v>
      </c>
      <c r="E1457" s="57" t="s">
        <v>1000</v>
      </c>
      <c r="F1457" s="58"/>
      <c r="G1457" s="57" t="s">
        <v>577</v>
      </c>
      <c r="H1457" s="59">
        <v>1</v>
      </c>
      <c r="I1457" s="57"/>
      <c r="J1457" s="57"/>
      <c r="K1457" s="59"/>
      <c r="L1457" s="57"/>
      <c r="M1457" s="60"/>
      <c r="N1457" s="59"/>
      <c r="O1457" s="57"/>
      <c r="P1457" s="57"/>
      <c r="Q1457" s="57"/>
      <c r="R1457" s="57"/>
      <c r="S1457" s="59"/>
      <c r="T1457" s="57"/>
      <c r="U1457" s="60"/>
      <c r="V1457" s="59"/>
      <c r="W1457" s="57"/>
      <c r="X1457" s="57"/>
      <c r="Y1457" s="57" t="s">
        <v>21</v>
      </c>
      <c r="Z1457" s="57" t="s">
        <v>249</v>
      </c>
      <c r="AA1457" s="59">
        <v>25495</v>
      </c>
      <c r="AB1457" s="57" t="s">
        <v>61</v>
      </c>
      <c r="AC1457" s="60">
        <v>45911</v>
      </c>
      <c r="AD1457" s="59">
        <v>25495</v>
      </c>
      <c r="AE1457" s="57" t="s">
        <v>5529</v>
      </c>
      <c r="AF1457" s="57" t="s">
        <v>5530</v>
      </c>
    </row>
    <row r="1458" spans="1:32">
      <c r="A1458" s="57">
        <v>1457</v>
      </c>
      <c r="B1458" s="58">
        <v>46085.364560185182</v>
      </c>
      <c r="C1458" s="58">
        <v>46085.374351851853</v>
      </c>
      <c r="D1458" s="57" t="s">
        <v>1326</v>
      </c>
      <c r="E1458" s="57" t="s">
        <v>1327</v>
      </c>
      <c r="F1458" s="58"/>
      <c r="G1458" s="57" t="s">
        <v>565</v>
      </c>
      <c r="H1458" s="59">
        <v>1</v>
      </c>
      <c r="I1458" s="57"/>
      <c r="J1458" s="57"/>
      <c r="K1458" s="59"/>
      <c r="L1458" s="57"/>
      <c r="M1458" s="60"/>
      <c r="N1458" s="59"/>
      <c r="O1458" s="57"/>
      <c r="P1458" s="57"/>
      <c r="Q1458" s="57"/>
      <c r="R1458" s="57"/>
      <c r="S1458" s="59"/>
      <c r="T1458" s="57"/>
      <c r="U1458" s="60"/>
      <c r="V1458" s="59"/>
      <c r="W1458" s="57"/>
      <c r="X1458" s="57"/>
      <c r="Y1458" s="57" t="s">
        <v>21</v>
      </c>
      <c r="Z1458" s="57" t="s">
        <v>237</v>
      </c>
      <c r="AA1458" s="59">
        <v>50936</v>
      </c>
      <c r="AB1458" s="57" t="s">
        <v>61</v>
      </c>
      <c r="AC1458" s="60">
        <v>45981</v>
      </c>
      <c r="AD1458" s="59">
        <v>50936</v>
      </c>
      <c r="AE1458" s="57" t="s">
        <v>5531</v>
      </c>
      <c r="AF1458" s="57" t="s">
        <v>5532</v>
      </c>
    </row>
    <row r="1459" spans="1:32">
      <c r="A1459" s="57">
        <v>1458</v>
      </c>
      <c r="B1459" s="58">
        <v>46085.386701388888</v>
      </c>
      <c r="C1459" s="58">
        <v>46085.390787037039</v>
      </c>
      <c r="D1459" s="57" t="s">
        <v>1633</v>
      </c>
      <c r="E1459" s="57" t="s">
        <v>1634</v>
      </c>
      <c r="F1459" s="58"/>
      <c r="G1459" s="57" t="s">
        <v>679</v>
      </c>
      <c r="H1459" s="59">
        <v>1</v>
      </c>
      <c r="I1459" s="57"/>
      <c r="J1459" s="57"/>
      <c r="K1459" s="59"/>
      <c r="L1459" s="57"/>
      <c r="M1459" s="60"/>
      <c r="N1459" s="59"/>
      <c r="O1459" s="57"/>
      <c r="P1459" s="57"/>
      <c r="Q1459" s="57"/>
      <c r="R1459" s="57"/>
      <c r="S1459" s="59"/>
      <c r="T1459" s="57"/>
      <c r="U1459" s="60"/>
      <c r="V1459" s="59"/>
      <c r="W1459" s="57"/>
      <c r="X1459" s="57"/>
      <c r="Y1459" s="57" t="s">
        <v>21</v>
      </c>
      <c r="Z1459" s="57" t="s">
        <v>393</v>
      </c>
      <c r="AA1459" s="59">
        <v>11185</v>
      </c>
      <c r="AB1459" s="57" t="s">
        <v>61</v>
      </c>
      <c r="AC1459" s="60">
        <v>46062</v>
      </c>
      <c r="AD1459" s="59">
        <v>11185</v>
      </c>
      <c r="AE1459" s="57" t="s">
        <v>5533</v>
      </c>
      <c r="AF1459" s="57" t="s">
        <v>5534</v>
      </c>
    </row>
    <row r="1460" spans="1:32">
      <c r="A1460" s="57">
        <v>1459</v>
      </c>
      <c r="B1460" s="58">
        <v>46085.395613425928</v>
      </c>
      <c r="C1460" s="58">
        <v>46085.404664351852</v>
      </c>
      <c r="D1460" s="57" t="s">
        <v>1445</v>
      </c>
      <c r="E1460" s="57" t="s">
        <v>1446</v>
      </c>
      <c r="F1460" s="58"/>
      <c r="G1460" s="57" t="s">
        <v>596</v>
      </c>
      <c r="H1460" s="59">
        <v>2</v>
      </c>
      <c r="I1460" s="57"/>
      <c r="J1460" s="57"/>
      <c r="K1460" s="59"/>
      <c r="L1460" s="57"/>
      <c r="M1460" s="60"/>
      <c r="N1460" s="59"/>
      <c r="O1460" s="57"/>
      <c r="P1460" s="57"/>
      <c r="Q1460" s="57" t="s">
        <v>22</v>
      </c>
      <c r="R1460" s="57" t="s">
        <v>401</v>
      </c>
      <c r="S1460" s="59">
        <v>14457</v>
      </c>
      <c r="T1460" s="57" t="s">
        <v>61</v>
      </c>
      <c r="U1460" s="60">
        <v>46044</v>
      </c>
      <c r="V1460" s="59">
        <v>14457</v>
      </c>
      <c r="W1460" s="57" t="s">
        <v>5535</v>
      </c>
      <c r="X1460" s="57" t="s">
        <v>5536</v>
      </c>
      <c r="Y1460" s="57" t="s">
        <v>21</v>
      </c>
      <c r="Z1460" s="57" t="s">
        <v>272</v>
      </c>
      <c r="AA1460" s="59">
        <v>22746</v>
      </c>
      <c r="AB1460" s="57" t="s">
        <v>61</v>
      </c>
      <c r="AC1460" s="60">
        <v>45943</v>
      </c>
      <c r="AD1460" s="59">
        <v>22746</v>
      </c>
      <c r="AE1460" s="57" t="s">
        <v>5537</v>
      </c>
      <c r="AF1460" s="57" t="s">
        <v>5538</v>
      </c>
    </row>
    <row r="1461" spans="1:32">
      <c r="A1461" s="57">
        <v>1460</v>
      </c>
      <c r="B1461" s="58">
        <v>46085.405578703707</v>
      </c>
      <c r="C1461" s="58">
        <v>46085.408067129632</v>
      </c>
      <c r="D1461" s="57" t="s">
        <v>930</v>
      </c>
      <c r="E1461" s="57" t="s">
        <v>931</v>
      </c>
      <c r="F1461" s="58"/>
      <c r="G1461" s="57" t="s">
        <v>562</v>
      </c>
      <c r="H1461" s="59">
        <v>2</v>
      </c>
      <c r="I1461" s="57"/>
      <c r="J1461" s="57"/>
      <c r="K1461" s="59"/>
      <c r="L1461" s="57"/>
      <c r="M1461" s="60"/>
      <c r="N1461" s="59"/>
      <c r="O1461" s="57"/>
      <c r="P1461" s="57"/>
      <c r="Q1461" s="57" t="s">
        <v>22</v>
      </c>
      <c r="R1461" s="57" t="s">
        <v>232</v>
      </c>
      <c r="S1461" s="59">
        <v>97373</v>
      </c>
      <c r="T1461" s="57" t="s">
        <v>61</v>
      </c>
      <c r="U1461" s="60">
        <v>46029</v>
      </c>
      <c r="V1461" s="59">
        <v>97373</v>
      </c>
      <c r="W1461" s="57" t="s">
        <v>5539</v>
      </c>
      <c r="X1461" s="57" t="s">
        <v>5540</v>
      </c>
      <c r="Y1461" s="57" t="s">
        <v>21</v>
      </c>
      <c r="Z1461" s="57" t="s">
        <v>320</v>
      </c>
      <c r="AA1461" s="59">
        <v>26220</v>
      </c>
      <c r="AB1461" s="57" t="s">
        <v>61</v>
      </c>
      <c r="AC1461" s="60">
        <v>45997</v>
      </c>
      <c r="AD1461" s="59">
        <v>26220</v>
      </c>
      <c r="AE1461" s="57" t="s">
        <v>5541</v>
      </c>
      <c r="AF1461" s="57" t="s">
        <v>5542</v>
      </c>
    </row>
    <row r="1462" spans="1:32">
      <c r="A1462" s="57">
        <v>1461</v>
      </c>
      <c r="B1462" s="58">
        <v>46085.419178240743</v>
      </c>
      <c r="C1462" s="58">
        <v>46085.425243055557</v>
      </c>
      <c r="D1462" s="57" t="s">
        <v>2263</v>
      </c>
      <c r="E1462" s="57" t="s">
        <v>2264</v>
      </c>
      <c r="F1462" s="58"/>
      <c r="G1462" s="57" t="s">
        <v>694</v>
      </c>
      <c r="H1462" s="59">
        <v>1</v>
      </c>
      <c r="I1462" s="57"/>
      <c r="J1462" s="57"/>
      <c r="K1462" s="59"/>
      <c r="L1462" s="57"/>
      <c r="M1462" s="60"/>
      <c r="N1462" s="59"/>
      <c r="O1462" s="57"/>
      <c r="P1462" s="57"/>
      <c r="Q1462" s="57"/>
      <c r="R1462" s="57"/>
      <c r="S1462" s="59"/>
      <c r="T1462" s="57"/>
      <c r="U1462" s="60"/>
      <c r="V1462" s="59"/>
      <c r="W1462" s="57"/>
      <c r="X1462" s="57"/>
      <c r="Y1462" s="57" t="s">
        <v>21</v>
      </c>
      <c r="Z1462" s="57" t="s">
        <v>416</v>
      </c>
      <c r="AA1462" s="59">
        <v>5774</v>
      </c>
      <c r="AB1462" s="57" t="s">
        <v>61</v>
      </c>
      <c r="AC1462" s="60">
        <v>45953</v>
      </c>
      <c r="AD1462" s="59">
        <v>5774</v>
      </c>
      <c r="AE1462" s="57" t="s">
        <v>5543</v>
      </c>
      <c r="AF1462" s="57" t="s">
        <v>5544</v>
      </c>
    </row>
    <row r="1463" spans="1:32">
      <c r="A1463" s="57">
        <v>1462</v>
      </c>
      <c r="B1463" s="58">
        <v>46085.424317129633</v>
      </c>
      <c r="C1463" s="58">
        <v>46085.425312500003</v>
      </c>
      <c r="D1463" s="57" t="s">
        <v>5545</v>
      </c>
      <c r="E1463" s="57" t="s">
        <v>5546</v>
      </c>
      <c r="F1463" s="58"/>
      <c r="G1463" s="57" t="s">
        <v>678</v>
      </c>
      <c r="H1463" s="59">
        <v>1</v>
      </c>
      <c r="I1463" s="57"/>
      <c r="J1463" s="57"/>
      <c r="K1463" s="59"/>
      <c r="L1463" s="57"/>
      <c r="M1463" s="60"/>
      <c r="N1463" s="59"/>
      <c r="O1463" s="57"/>
      <c r="P1463" s="57"/>
      <c r="Q1463" s="57"/>
      <c r="R1463" s="57"/>
      <c r="S1463" s="59"/>
      <c r="T1463" s="57"/>
      <c r="U1463" s="60"/>
      <c r="V1463" s="59"/>
      <c r="W1463" s="57"/>
      <c r="X1463" s="57"/>
      <c r="Y1463" s="57" t="s">
        <v>20</v>
      </c>
      <c r="Z1463" s="57" t="s">
        <v>392</v>
      </c>
      <c r="AA1463" s="59">
        <v>8620</v>
      </c>
      <c r="AB1463" s="57" t="s">
        <v>61</v>
      </c>
      <c r="AC1463" s="60">
        <v>46002</v>
      </c>
      <c r="AD1463" s="59">
        <v>8620</v>
      </c>
      <c r="AE1463" s="57" t="s">
        <v>5547</v>
      </c>
      <c r="AF1463" s="57" t="s">
        <v>5548</v>
      </c>
    </row>
    <row r="1464" spans="1:32">
      <c r="A1464" s="57">
        <v>1463</v>
      </c>
      <c r="B1464" s="58">
        <v>46085.44804398148</v>
      </c>
      <c r="C1464" s="58">
        <v>46085.44971064815</v>
      </c>
      <c r="D1464" s="57" t="s">
        <v>966</v>
      </c>
      <c r="E1464" s="57" t="s">
        <v>967</v>
      </c>
      <c r="F1464" s="58"/>
      <c r="G1464" s="57" t="s">
        <v>503</v>
      </c>
      <c r="H1464" s="59">
        <v>1</v>
      </c>
      <c r="I1464" s="57"/>
      <c r="J1464" s="57"/>
      <c r="K1464" s="59"/>
      <c r="L1464" s="57"/>
      <c r="M1464" s="60"/>
      <c r="N1464" s="59"/>
      <c r="O1464" s="57"/>
      <c r="P1464" s="57"/>
      <c r="Q1464" s="57"/>
      <c r="R1464" s="57"/>
      <c r="S1464" s="59"/>
      <c r="T1464" s="57"/>
      <c r="U1464" s="60"/>
      <c r="V1464" s="59"/>
      <c r="W1464" s="57"/>
      <c r="X1464" s="57"/>
      <c r="Y1464" s="57" t="s">
        <v>20</v>
      </c>
      <c r="Z1464" s="57" t="s">
        <v>169</v>
      </c>
      <c r="AA1464" s="59">
        <v>112724</v>
      </c>
      <c r="AB1464" s="57" t="s">
        <v>61</v>
      </c>
      <c r="AC1464" s="60">
        <v>46015</v>
      </c>
      <c r="AD1464" s="59">
        <v>112724</v>
      </c>
      <c r="AE1464" s="57" t="s">
        <v>5549</v>
      </c>
      <c r="AF1464" s="57" t="s">
        <v>5550</v>
      </c>
    </row>
    <row r="1465" spans="1:32">
      <c r="A1465" s="57">
        <v>1464</v>
      </c>
      <c r="B1465" s="58">
        <v>46085.442488425928</v>
      </c>
      <c r="C1465" s="58">
        <v>46085.450949074067</v>
      </c>
      <c r="D1465" s="57" t="s">
        <v>1419</v>
      </c>
      <c r="E1465" s="57" t="s">
        <v>1420</v>
      </c>
      <c r="F1465" s="58"/>
      <c r="G1465" s="57" t="s">
        <v>603</v>
      </c>
      <c r="H1465" s="59">
        <v>1</v>
      </c>
      <c r="I1465" s="57"/>
      <c r="J1465" s="57"/>
      <c r="K1465" s="59"/>
      <c r="L1465" s="57"/>
      <c r="M1465" s="60"/>
      <c r="N1465" s="59"/>
      <c r="O1465" s="57"/>
      <c r="P1465" s="57"/>
      <c r="Q1465" s="57"/>
      <c r="R1465" s="57"/>
      <c r="S1465" s="59"/>
      <c r="T1465" s="57"/>
      <c r="U1465" s="60"/>
      <c r="V1465" s="59"/>
      <c r="W1465" s="57"/>
      <c r="X1465" s="57"/>
      <c r="Y1465" s="57" t="s">
        <v>21</v>
      </c>
      <c r="Z1465" s="57" t="s">
        <v>280</v>
      </c>
      <c r="AA1465" s="59">
        <v>27880</v>
      </c>
      <c r="AB1465" s="57" t="s">
        <v>61</v>
      </c>
      <c r="AC1465" s="60">
        <v>46058</v>
      </c>
      <c r="AD1465" s="59">
        <v>27880</v>
      </c>
      <c r="AE1465" s="57" t="s">
        <v>5551</v>
      </c>
      <c r="AF1465" s="57" t="s">
        <v>5552</v>
      </c>
    </row>
    <row r="1466" spans="1:32">
      <c r="A1466" s="57">
        <v>1465</v>
      </c>
      <c r="B1466" s="58">
        <v>46085.446620370371</v>
      </c>
      <c r="C1466" s="58">
        <v>46085.459930555553</v>
      </c>
      <c r="D1466" s="57" t="s">
        <v>1795</v>
      </c>
      <c r="E1466" s="57" t="s">
        <v>1796</v>
      </c>
      <c r="F1466" s="58"/>
      <c r="G1466" s="57" t="s">
        <v>632</v>
      </c>
      <c r="H1466" s="59">
        <v>2</v>
      </c>
      <c r="I1466" s="57"/>
      <c r="J1466" s="57"/>
      <c r="K1466" s="59"/>
      <c r="L1466" s="57"/>
      <c r="M1466" s="60"/>
      <c r="N1466" s="59"/>
      <c r="O1466" s="57"/>
      <c r="P1466" s="57"/>
      <c r="Q1466" s="57" t="s">
        <v>22</v>
      </c>
      <c r="R1466" s="57" t="s">
        <v>443</v>
      </c>
      <c r="S1466" s="59">
        <v>1894</v>
      </c>
      <c r="T1466" s="57" t="s">
        <v>61</v>
      </c>
      <c r="U1466" s="60">
        <v>46085</v>
      </c>
      <c r="V1466" s="59">
        <v>1894</v>
      </c>
      <c r="W1466" s="57" t="s">
        <v>5553</v>
      </c>
      <c r="X1466" s="57" t="s">
        <v>5554</v>
      </c>
      <c r="Y1466" s="57" t="s">
        <v>21</v>
      </c>
      <c r="Z1466" s="57" t="s">
        <v>321</v>
      </c>
      <c r="AA1466" s="59">
        <v>4113</v>
      </c>
      <c r="AB1466" s="57" t="s">
        <v>61</v>
      </c>
      <c r="AC1466" s="60">
        <v>45890</v>
      </c>
      <c r="AD1466" s="59">
        <v>4113</v>
      </c>
      <c r="AE1466" s="57" t="s">
        <v>5555</v>
      </c>
      <c r="AF1466" s="57" t="s">
        <v>5556</v>
      </c>
    </row>
    <row r="1467" spans="1:32">
      <c r="A1467" s="57">
        <v>1466</v>
      </c>
      <c r="B1467" s="58">
        <v>46085.460277777784</v>
      </c>
      <c r="C1467" s="58">
        <v>46085.47420138889</v>
      </c>
      <c r="D1467" s="57" t="s">
        <v>985</v>
      </c>
      <c r="E1467" s="57" t="s">
        <v>986</v>
      </c>
      <c r="F1467" s="58"/>
      <c r="G1467" s="57" t="s">
        <v>715</v>
      </c>
      <c r="H1467" s="59">
        <v>1</v>
      </c>
      <c r="I1467" s="57"/>
      <c r="J1467" s="57"/>
      <c r="K1467" s="59"/>
      <c r="L1467" s="57"/>
      <c r="M1467" s="60"/>
      <c r="N1467" s="59"/>
      <c r="O1467" s="57"/>
      <c r="P1467" s="57"/>
      <c r="Q1467" s="57"/>
      <c r="R1467" s="57"/>
      <c r="S1467" s="59"/>
      <c r="T1467" s="57"/>
      <c r="U1467" s="60"/>
      <c r="V1467" s="59"/>
      <c r="W1467" s="57"/>
      <c r="X1467" s="57"/>
      <c r="Y1467" s="57" t="s">
        <v>21</v>
      </c>
      <c r="Z1467" s="57" t="s">
        <v>447</v>
      </c>
      <c r="AA1467" s="59">
        <v>1165</v>
      </c>
      <c r="AB1467" s="57" t="s">
        <v>61</v>
      </c>
      <c r="AC1467" s="60">
        <v>46031</v>
      </c>
      <c r="AD1467" s="59">
        <v>1165</v>
      </c>
      <c r="AE1467" s="57" t="s">
        <v>5557</v>
      </c>
      <c r="AF1467" s="57" t="s">
        <v>5558</v>
      </c>
    </row>
    <row r="1468" spans="1:32">
      <c r="A1468" s="57">
        <v>1467</v>
      </c>
      <c r="B1468" s="58">
        <v>46085.460243055553</v>
      </c>
      <c r="C1468" s="58">
        <v>46085.475162037037</v>
      </c>
      <c r="D1468" s="57" t="s">
        <v>1709</v>
      </c>
      <c r="E1468" s="57" t="s">
        <v>1710</v>
      </c>
      <c r="F1468" s="58"/>
      <c r="G1468" s="57" t="s">
        <v>533</v>
      </c>
      <c r="H1468" s="59">
        <v>1</v>
      </c>
      <c r="I1468" s="57"/>
      <c r="J1468" s="57"/>
      <c r="K1468" s="59"/>
      <c r="L1468" s="57"/>
      <c r="M1468" s="60"/>
      <c r="N1468" s="59"/>
      <c r="O1468" s="57"/>
      <c r="P1468" s="57"/>
      <c r="Q1468" s="57"/>
      <c r="R1468" s="57"/>
      <c r="S1468" s="59"/>
      <c r="T1468" s="57"/>
      <c r="U1468" s="60"/>
      <c r="V1468" s="59"/>
      <c r="W1468" s="57"/>
      <c r="X1468" s="57"/>
      <c r="Y1468" s="57" t="s">
        <v>20</v>
      </c>
      <c r="Z1468" s="57" t="s">
        <v>201</v>
      </c>
      <c r="AA1468" s="59">
        <v>61600</v>
      </c>
      <c r="AB1468" s="57" t="s">
        <v>61</v>
      </c>
      <c r="AC1468" s="60">
        <v>46048</v>
      </c>
      <c r="AD1468" s="59">
        <v>61600</v>
      </c>
      <c r="AE1468" s="57" t="s">
        <v>5559</v>
      </c>
      <c r="AF1468" s="57" t="s">
        <v>5560</v>
      </c>
    </row>
    <row r="1469" spans="1:32">
      <c r="A1469" s="57">
        <v>1468</v>
      </c>
      <c r="B1469" s="58">
        <v>46085.466863425929</v>
      </c>
      <c r="C1469" s="58">
        <v>46085.475694444453</v>
      </c>
      <c r="D1469" s="57" t="s">
        <v>5317</v>
      </c>
      <c r="E1469" s="57" t="s">
        <v>5318</v>
      </c>
      <c r="F1469" s="58"/>
      <c r="G1469" s="57" t="s">
        <v>555</v>
      </c>
      <c r="H1469" s="59">
        <v>2</v>
      </c>
      <c r="I1469" s="57"/>
      <c r="J1469" s="57"/>
      <c r="K1469" s="59"/>
      <c r="L1469" s="57"/>
      <c r="M1469" s="60"/>
      <c r="N1469" s="59"/>
      <c r="O1469" s="57"/>
      <c r="P1469" s="57"/>
      <c r="Q1469" s="57" t="s">
        <v>22</v>
      </c>
      <c r="R1469" s="57" t="s">
        <v>224</v>
      </c>
      <c r="S1469" s="59">
        <v>40287</v>
      </c>
      <c r="T1469" s="57" t="s">
        <v>61</v>
      </c>
      <c r="U1469" s="60">
        <v>46000</v>
      </c>
      <c r="V1469" s="59">
        <v>40287</v>
      </c>
      <c r="W1469" s="57" t="s">
        <v>5561</v>
      </c>
      <c r="X1469" s="57" t="s">
        <v>5562</v>
      </c>
      <c r="Y1469" s="57" t="s">
        <v>21</v>
      </c>
      <c r="Z1469" s="57" t="s">
        <v>429</v>
      </c>
      <c r="AA1469" s="59">
        <v>1308</v>
      </c>
      <c r="AB1469" s="57" t="s">
        <v>61</v>
      </c>
      <c r="AC1469" s="60">
        <v>45986</v>
      </c>
      <c r="AD1469" s="59">
        <v>1308</v>
      </c>
      <c r="AE1469" s="57" t="s">
        <v>5563</v>
      </c>
      <c r="AF1469" s="57" t="s">
        <v>5564</v>
      </c>
    </row>
    <row r="1470" spans="1:32">
      <c r="A1470" s="57">
        <v>1469</v>
      </c>
      <c r="B1470" s="58">
        <v>46085.570462962962</v>
      </c>
      <c r="C1470" s="58">
        <v>46085.581157407411</v>
      </c>
      <c r="D1470" s="57" t="s">
        <v>822</v>
      </c>
      <c r="E1470" s="57" t="s">
        <v>823</v>
      </c>
      <c r="F1470" s="58"/>
      <c r="G1470" s="57" t="s">
        <v>721</v>
      </c>
      <c r="H1470" s="59">
        <v>1</v>
      </c>
      <c r="I1470" s="57"/>
      <c r="J1470" s="57"/>
      <c r="K1470" s="59"/>
      <c r="L1470" s="57"/>
      <c r="M1470" s="60"/>
      <c r="N1470" s="59"/>
      <c r="O1470" s="57"/>
      <c r="P1470" s="57"/>
      <c r="Q1470" s="57"/>
      <c r="R1470" s="57"/>
      <c r="S1470" s="59"/>
      <c r="T1470" s="57"/>
      <c r="U1470" s="60"/>
      <c r="V1470" s="59"/>
      <c r="W1470" s="57"/>
      <c r="X1470" s="57"/>
      <c r="Y1470" s="57" t="s">
        <v>21</v>
      </c>
      <c r="Z1470" s="57" t="s">
        <v>451</v>
      </c>
      <c r="AA1470" s="59">
        <v>8290</v>
      </c>
      <c r="AB1470" s="57" t="s">
        <v>61</v>
      </c>
      <c r="AC1470" s="60">
        <v>45994</v>
      </c>
      <c r="AD1470" s="59">
        <v>8290</v>
      </c>
      <c r="AE1470" s="57" t="s">
        <v>5565</v>
      </c>
      <c r="AF1470" s="57" t="s">
        <v>5566</v>
      </c>
    </row>
    <row r="1471" spans="1:32">
      <c r="A1471" s="57">
        <v>1470</v>
      </c>
      <c r="B1471" s="58">
        <v>46085.606030092589</v>
      </c>
      <c r="C1471" s="58">
        <v>46085.608969907407</v>
      </c>
      <c r="D1471" s="57" t="s">
        <v>840</v>
      </c>
      <c r="E1471" s="57" t="s">
        <v>841</v>
      </c>
      <c r="F1471" s="58"/>
      <c r="G1471" s="57" t="s">
        <v>564</v>
      </c>
      <c r="H1471" s="59">
        <v>1</v>
      </c>
      <c r="I1471" s="57"/>
      <c r="J1471" s="57"/>
      <c r="K1471" s="59"/>
      <c r="L1471" s="57"/>
      <c r="M1471" s="60"/>
      <c r="N1471" s="59"/>
      <c r="O1471" s="57"/>
      <c r="P1471" s="57"/>
      <c r="Q1471" s="57"/>
      <c r="R1471" s="57"/>
      <c r="S1471" s="59"/>
      <c r="T1471" s="57"/>
      <c r="U1471" s="60"/>
      <c r="V1471" s="59"/>
      <c r="W1471" s="57"/>
      <c r="X1471" s="57"/>
      <c r="Y1471" s="57" t="s">
        <v>20</v>
      </c>
      <c r="Z1471" s="57" t="s">
        <v>235</v>
      </c>
      <c r="AA1471" s="59">
        <v>15640</v>
      </c>
      <c r="AB1471" s="57" t="s">
        <v>61</v>
      </c>
      <c r="AC1471" s="60">
        <v>46027</v>
      </c>
      <c r="AD1471" s="59">
        <v>15640</v>
      </c>
      <c r="AE1471" s="57" t="s">
        <v>5567</v>
      </c>
      <c r="AF1471" s="57" t="s">
        <v>5568</v>
      </c>
    </row>
    <row r="1472" spans="1:32">
      <c r="A1472" s="57">
        <v>1471</v>
      </c>
      <c r="B1472" s="58">
        <v>46085.630937499998</v>
      </c>
      <c r="C1472" s="58">
        <v>46085.632025462961</v>
      </c>
      <c r="D1472" s="57" t="s">
        <v>961</v>
      </c>
      <c r="E1472" s="57" t="s">
        <v>962</v>
      </c>
      <c r="F1472" s="58"/>
      <c r="G1472" s="57" t="s">
        <v>655</v>
      </c>
      <c r="H1472" s="59">
        <v>1</v>
      </c>
      <c r="I1472" s="57"/>
      <c r="J1472" s="57"/>
      <c r="K1472" s="59"/>
      <c r="L1472" s="57"/>
      <c r="M1472" s="60"/>
      <c r="N1472" s="59"/>
      <c r="O1472" s="57"/>
      <c r="P1472" s="57"/>
      <c r="Q1472" s="57"/>
      <c r="R1472" s="57"/>
      <c r="S1472" s="59"/>
      <c r="T1472" s="57"/>
      <c r="U1472" s="60"/>
      <c r="V1472" s="59"/>
      <c r="W1472" s="57"/>
      <c r="X1472" s="57"/>
      <c r="Y1472" s="57" t="s">
        <v>21</v>
      </c>
      <c r="Z1472" s="57" t="s">
        <v>353</v>
      </c>
      <c r="AA1472" s="59">
        <v>11456</v>
      </c>
      <c r="AB1472" s="57" t="s">
        <v>61</v>
      </c>
      <c r="AC1472" s="60">
        <v>46034</v>
      </c>
      <c r="AD1472" s="59">
        <v>11456</v>
      </c>
      <c r="AE1472" s="57" t="s">
        <v>5569</v>
      </c>
      <c r="AF1472" s="57" t="s">
        <v>5570</v>
      </c>
    </row>
    <row r="1473" spans="1:32">
      <c r="A1473" s="57">
        <v>1472</v>
      </c>
      <c r="B1473" s="58">
        <v>46085.650173611109</v>
      </c>
      <c r="C1473" s="58">
        <v>46085.659849537027</v>
      </c>
      <c r="D1473" s="57" t="s">
        <v>956</v>
      </c>
      <c r="E1473" s="57" t="s">
        <v>957</v>
      </c>
      <c r="F1473" s="58"/>
      <c r="G1473" s="57" t="s">
        <v>534</v>
      </c>
      <c r="H1473" s="59">
        <v>2</v>
      </c>
      <c r="I1473" s="57"/>
      <c r="J1473" s="57"/>
      <c r="K1473" s="59"/>
      <c r="L1473" s="57"/>
      <c r="M1473" s="60"/>
      <c r="N1473" s="59"/>
      <c r="O1473" s="57"/>
      <c r="P1473" s="57"/>
      <c r="Q1473" s="57" t="s">
        <v>22</v>
      </c>
      <c r="R1473" s="57" t="s">
        <v>4003</v>
      </c>
      <c r="S1473" s="59">
        <v>76041</v>
      </c>
      <c r="T1473" s="57" t="s">
        <v>61</v>
      </c>
      <c r="U1473" s="60">
        <v>45937</v>
      </c>
      <c r="V1473" s="59">
        <v>76041</v>
      </c>
      <c r="W1473" s="57" t="s">
        <v>5571</v>
      </c>
      <c r="X1473" s="57" t="s">
        <v>5572</v>
      </c>
      <c r="Y1473" s="57" t="s">
        <v>20</v>
      </c>
      <c r="Z1473" s="57" t="s">
        <v>5573</v>
      </c>
      <c r="AA1473" s="59">
        <v>42351</v>
      </c>
      <c r="AB1473" s="57" t="s">
        <v>61</v>
      </c>
      <c r="AC1473" s="60">
        <v>45974</v>
      </c>
      <c r="AD1473" s="59">
        <v>42351</v>
      </c>
      <c r="AE1473" s="57" t="s">
        <v>5574</v>
      </c>
      <c r="AF1473" s="57" t="s">
        <v>5575</v>
      </c>
    </row>
    <row r="1474" spans="1:32">
      <c r="A1474" s="57">
        <v>1473</v>
      </c>
      <c r="B1474" s="58">
        <v>46085.66547453704</v>
      </c>
      <c r="C1474" s="58">
        <v>46085.668692129628</v>
      </c>
      <c r="D1474" s="57" t="s">
        <v>4566</v>
      </c>
      <c r="E1474" s="57" t="s">
        <v>4567</v>
      </c>
      <c r="F1474" s="58"/>
      <c r="G1474" s="57" t="s">
        <v>667</v>
      </c>
      <c r="H1474" s="59">
        <v>1</v>
      </c>
      <c r="I1474" s="57"/>
      <c r="J1474" s="57"/>
      <c r="K1474" s="59"/>
      <c r="L1474" s="57"/>
      <c r="M1474" s="60"/>
      <c r="N1474" s="59"/>
      <c r="O1474" s="57"/>
      <c r="P1474" s="57"/>
      <c r="Q1474" s="57"/>
      <c r="R1474" s="57"/>
      <c r="S1474" s="59"/>
      <c r="T1474" s="57"/>
      <c r="U1474" s="60"/>
      <c r="V1474" s="59"/>
      <c r="W1474" s="57"/>
      <c r="X1474" s="57"/>
      <c r="Y1474" s="57" t="s">
        <v>21</v>
      </c>
      <c r="Z1474" s="57" t="s">
        <v>377</v>
      </c>
      <c r="AA1474" s="59">
        <v>9994</v>
      </c>
      <c r="AB1474" s="57" t="s">
        <v>61</v>
      </c>
      <c r="AC1474" s="60">
        <v>46059</v>
      </c>
      <c r="AD1474" s="59">
        <v>9994</v>
      </c>
      <c r="AE1474" s="57" t="s">
        <v>5576</v>
      </c>
      <c r="AF1474" s="57" t="s">
        <v>5577</v>
      </c>
    </row>
    <row r="1475" spans="1:32">
      <c r="A1475" s="57">
        <v>1474</v>
      </c>
      <c r="B1475" s="58">
        <v>46085.667256944442</v>
      </c>
      <c r="C1475" s="58">
        <v>46085.672233796293</v>
      </c>
      <c r="D1475" s="57" t="s">
        <v>3573</v>
      </c>
      <c r="E1475" s="57" t="s">
        <v>3574</v>
      </c>
      <c r="F1475" s="58"/>
      <c r="G1475" s="57" t="s">
        <v>587</v>
      </c>
      <c r="H1475" s="59">
        <v>1</v>
      </c>
      <c r="I1475" s="57"/>
      <c r="J1475" s="57"/>
      <c r="K1475" s="59"/>
      <c r="L1475" s="57"/>
      <c r="M1475" s="60"/>
      <c r="N1475" s="59"/>
      <c r="O1475" s="57"/>
      <c r="P1475" s="57"/>
      <c r="Q1475" s="57"/>
      <c r="R1475" s="57"/>
      <c r="S1475" s="59"/>
      <c r="T1475" s="57"/>
      <c r="U1475" s="60"/>
      <c r="V1475" s="59"/>
      <c r="W1475" s="57"/>
      <c r="X1475" s="57"/>
      <c r="Y1475" s="57" t="s">
        <v>21</v>
      </c>
      <c r="Z1475" s="57" t="s">
        <v>261</v>
      </c>
      <c r="AA1475" s="59">
        <v>37891</v>
      </c>
      <c r="AB1475" s="57" t="s">
        <v>61</v>
      </c>
      <c r="AC1475" s="60">
        <v>46058</v>
      </c>
      <c r="AD1475" s="59">
        <v>37891</v>
      </c>
      <c r="AE1475" s="57" t="s">
        <v>5578</v>
      </c>
      <c r="AF1475" s="57" t="s">
        <v>5579</v>
      </c>
    </row>
    <row r="1476" spans="1:32">
      <c r="A1476" s="57">
        <v>1475</v>
      </c>
      <c r="B1476" s="58">
        <v>46085.657581018517</v>
      </c>
      <c r="C1476" s="58">
        <v>46085.67396990741</v>
      </c>
      <c r="D1476" s="57" t="s">
        <v>1045</v>
      </c>
      <c r="E1476" s="57" t="s">
        <v>1046</v>
      </c>
      <c r="F1476" s="58"/>
      <c r="G1476" s="57" t="s">
        <v>610</v>
      </c>
      <c r="H1476" s="59">
        <v>1</v>
      </c>
      <c r="I1476" s="57"/>
      <c r="J1476" s="57"/>
      <c r="K1476" s="59"/>
      <c r="L1476" s="57"/>
      <c r="M1476" s="60"/>
      <c r="N1476" s="59"/>
      <c r="O1476" s="57"/>
      <c r="P1476" s="57"/>
      <c r="Q1476" s="57"/>
      <c r="R1476" s="57"/>
      <c r="S1476" s="59"/>
      <c r="T1476" s="57"/>
      <c r="U1476" s="60"/>
      <c r="V1476" s="59"/>
      <c r="W1476" s="57"/>
      <c r="X1476" s="57"/>
      <c r="Y1476" s="57" t="s">
        <v>21</v>
      </c>
      <c r="Z1476" s="57" t="s">
        <v>290</v>
      </c>
      <c r="AA1476" s="59">
        <v>21109</v>
      </c>
      <c r="AB1476" s="57" t="s">
        <v>61</v>
      </c>
      <c r="AC1476" s="60">
        <v>45988</v>
      </c>
      <c r="AD1476" s="59">
        <v>21109</v>
      </c>
      <c r="AE1476" s="57" t="s">
        <v>5580</v>
      </c>
      <c r="AF1476" s="57" t="s">
        <v>5581</v>
      </c>
    </row>
    <row r="1477" spans="1:32">
      <c r="A1477" s="57">
        <v>1476</v>
      </c>
      <c r="B1477" s="58">
        <v>46085.648020833331</v>
      </c>
      <c r="C1477" s="58">
        <v>46085.677430555559</v>
      </c>
      <c r="D1477" s="57" t="s">
        <v>970</v>
      </c>
      <c r="E1477" s="57" t="s">
        <v>971</v>
      </c>
      <c r="F1477" s="58"/>
      <c r="G1477" s="57" t="s">
        <v>548</v>
      </c>
      <c r="H1477" s="59">
        <v>2</v>
      </c>
      <c r="I1477" s="57"/>
      <c r="J1477" s="57"/>
      <c r="K1477" s="59"/>
      <c r="L1477" s="57"/>
      <c r="M1477" s="60"/>
      <c r="N1477" s="59"/>
      <c r="O1477" s="57"/>
      <c r="P1477" s="57"/>
      <c r="Q1477" s="57" t="s">
        <v>22</v>
      </c>
      <c r="R1477" s="57" t="s">
        <v>217</v>
      </c>
      <c r="S1477" s="59">
        <v>28946</v>
      </c>
      <c r="T1477" s="57" t="s">
        <v>61</v>
      </c>
      <c r="U1477" s="60">
        <v>45978</v>
      </c>
      <c r="V1477" s="59">
        <v>28946</v>
      </c>
      <c r="W1477" s="57" t="s">
        <v>5582</v>
      </c>
      <c r="X1477" s="57" t="s">
        <v>5583</v>
      </c>
      <c r="Y1477" s="57" t="s">
        <v>20</v>
      </c>
      <c r="Z1477" s="57" t="s">
        <v>233</v>
      </c>
      <c r="AA1477" s="59">
        <v>8661</v>
      </c>
      <c r="AB1477" s="57" t="s">
        <v>61</v>
      </c>
      <c r="AC1477" s="60">
        <v>45993</v>
      </c>
      <c r="AD1477" s="59">
        <v>8661</v>
      </c>
      <c r="AE1477" s="57" t="s">
        <v>5584</v>
      </c>
      <c r="AF1477" s="57" t="s">
        <v>5585</v>
      </c>
    </row>
    <row r="1478" spans="1:32">
      <c r="A1478" s="57">
        <v>1477</v>
      </c>
      <c r="B1478" s="58">
        <v>46085.6796875</v>
      </c>
      <c r="C1478" s="58">
        <v>46085.682523148149</v>
      </c>
      <c r="D1478" s="57" t="s">
        <v>1498</v>
      </c>
      <c r="E1478" s="57" t="s">
        <v>1499</v>
      </c>
      <c r="F1478" s="58"/>
      <c r="G1478" s="57" t="s">
        <v>616</v>
      </c>
      <c r="H1478" s="59">
        <v>1</v>
      </c>
      <c r="I1478" s="57"/>
      <c r="J1478" s="57"/>
      <c r="K1478" s="59"/>
      <c r="L1478" s="57"/>
      <c r="M1478" s="60"/>
      <c r="N1478" s="59"/>
      <c r="O1478" s="57"/>
      <c r="P1478" s="57"/>
      <c r="Q1478" s="57"/>
      <c r="R1478" s="57"/>
      <c r="S1478" s="59"/>
      <c r="T1478" s="57"/>
      <c r="U1478" s="60"/>
      <c r="V1478" s="59"/>
      <c r="W1478" s="57"/>
      <c r="X1478" s="57"/>
      <c r="Y1478" s="57" t="s">
        <v>21</v>
      </c>
      <c r="Z1478" s="57" t="s">
        <v>5586</v>
      </c>
      <c r="AA1478" s="59">
        <v>20871</v>
      </c>
      <c r="AB1478" s="57" t="s">
        <v>61</v>
      </c>
      <c r="AC1478" s="60">
        <v>46037</v>
      </c>
      <c r="AD1478" s="59">
        <v>20871</v>
      </c>
      <c r="AE1478" s="57" t="s">
        <v>5587</v>
      </c>
      <c r="AF1478" s="57" t="s">
        <v>5588</v>
      </c>
    </row>
    <row r="1479" spans="1:32">
      <c r="A1479" s="57">
        <v>1478</v>
      </c>
      <c r="B1479" s="58">
        <v>46085.688425925917</v>
      </c>
      <c r="C1479" s="58">
        <v>46085.691400462973</v>
      </c>
      <c r="D1479" s="57" t="s">
        <v>1256</v>
      </c>
      <c r="E1479" s="57" t="s">
        <v>1257</v>
      </c>
      <c r="F1479" s="58"/>
      <c r="G1479" s="57" t="s">
        <v>473</v>
      </c>
      <c r="H1479" s="59">
        <v>1</v>
      </c>
      <c r="I1479" s="57"/>
      <c r="J1479" s="57"/>
      <c r="K1479" s="59"/>
      <c r="L1479" s="57"/>
      <c r="M1479" s="60"/>
      <c r="N1479" s="59"/>
      <c r="O1479" s="57"/>
      <c r="P1479" s="57"/>
      <c r="Q1479" s="57"/>
      <c r="R1479" s="57"/>
      <c r="S1479" s="59"/>
      <c r="T1479" s="57"/>
      <c r="U1479" s="60"/>
      <c r="V1479" s="59"/>
      <c r="W1479" s="57"/>
      <c r="X1479" s="57"/>
      <c r="Y1479" s="57" t="s">
        <v>21</v>
      </c>
      <c r="Z1479" s="57" t="s">
        <v>139</v>
      </c>
      <c r="AA1479" s="59">
        <v>113750</v>
      </c>
      <c r="AB1479" s="57" t="s">
        <v>61</v>
      </c>
      <c r="AC1479" s="60">
        <v>45985</v>
      </c>
      <c r="AD1479" s="59">
        <v>113750</v>
      </c>
      <c r="AE1479" s="57" t="s">
        <v>5589</v>
      </c>
      <c r="AF1479" s="57" t="s">
        <v>5590</v>
      </c>
    </row>
    <row r="1480" spans="1:32">
      <c r="A1480" s="57">
        <v>1479</v>
      </c>
      <c r="B1480" s="58">
        <v>46085.692569444444</v>
      </c>
      <c r="C1480" s="58">
        <v>46085.698009259257</v>
      </c>
      <c r="D1480" s="57" t="s">
        <v>1068</v>
      </c>
      <c r="E1480" s="57" t="s">
        <v>1069</v>
      </c>
      <c r="F1480" s="58"/>
      <c r="G1480" s="57" t="s">
        <v>485</v>
      </c>
      <c r="H1480" s="59">
        <v>2</v>
      </c>
      <c r="I1480" s="57"/>
      <c r="J1480" s="57"/>
      <c r="K1480" s="59"/>
      <c r="L1480" s="57"/>
      <c r="M1480" s="60"/>
      <c r="N1480" s="59"/>
      <c r="O1480" s="57"/>
      <c r="P1480" s="57"/>
      <c r="Q1480" s="57" t="s">
        <v>22</v>
      </c>
      <c r="R1480" s="57" t="s">
        <v>1072</v>
      </c>
      <c r="S1480" s="59">
        <v>114050</v>
      </c>
      <c r="T1480" s="57" t="s">
        <v>61</v>
      </c>
      <c r="U1480" s="60">
        <v>45953</v>
      </c>
      <c r="V1480" s="59">
        <v>114050</v>
      </c>
      <c r="W1480" s="57" t="s">
        <v>5591</v>
      </c>
      <c r="X1480" s="57" t="s">
        <v>5592</v>
      </c>
      <c r="Y1480" s="57" t="s">
        <v>21</v>
      </c>
      <c r="Z1480" s="57" t="s">
        <v>151</v>
      </c>
      <c r="AA1480" s="59">
        <v>36105</v>
      </c>
      <c r="AB1480" s="57" t="s">
        <v>61</v>
      </c>
      <c r="AC1480" s="60">
        <v>45936</v>
      </c>
      <c r="AD1480" s="59">
        <v>36105</v>
      </c>
      <c r="AE1480" s="57" t="s">
        <v>5593</v>
      </c>
      <c r="AF1480" s="57" t="s">
        <v>5594</v>
      </c>
    </row>
    <row r="1481" spans="1:32">
      <c r="A1481" s="57">
        <v>1480</v>
      </c>
      <c r="B1481" s="58">
        <v>46085.717106481483</v>
      </c>
      <c r="C1481" s="58">
        <v>46085.727662037039</v>
      </c>
      <c r="D1481" s="57" t="s">
        <v>3219</v>
      </c>
      <c r="E1481" s="57" t="s">
        <v>3220</v>
      </c>
      <c r="F1481" s="58"/>
      <c r="G1481" s="57" t="s">
        <v>717</v>
      </c>
      <c r="H1481" s="59">
        <v>1</v>
      </c>
      <c r="I1481" s="57"/>
      <c r="J1481" s="57"/>
      <c r="K1481" s="59"/>
      <c r="L1481" s="57"/>
      <c r="M1481" s="60"/>
      <c r="N1481" s="59"/>
      <c r="O1481" s="57"/>
      <c r="P1481" s="57"/>
      <c r="Q1481" s="57"/>
      <c r="R1481" s="57"/>
      <c r="S1481" s="59"/>
      <c r="T1481" s="57"/>
      <c r="U1481" s="60"/>
      <c r="V1481" s="59"/>
      <c r="W1481" s="57"/>
      <c r="X1481" s="57"/>
      <c r="Y1481" s="57" t="s">
        <v>20</v>
      </c>
      <c r="Z1481" s="57" t="s">
        <v>450</v>
      </c>
      <c r="AA1481" s="59">
        <v>1671</v>
      </c>
      <c r="AB1481" s="57" t="s">
        <v>61</v>
      </c>
      <c r="AC1481" s="60">
        <v>46037</v>
      </c>
      <c r="AD1481" s="59">
        <v>1671</v>
      </c>
      <c r="AE1481" s="57" t="s">
        <v>5595</v>
      </c>
      <c r="AF1481" s="57" t="s">
        <v>5596</v>
      </c>
    </row>
    <row r="1482" spans="1:32">
      <c r="A1482" s="57">
        <v>1481</v>
      </c>
      <c r="B1482" s="58">
        <v>46086.356238425928</v>
      </c>
      <c r="C1482" s="58">
        <v>46086.360752314817</v>
      </c>
      <c r="D1482" s="57" t="s">
        <v>2494</v>
      </c>
      <c r="E1482" s="57" t="s">
        <v>2495</v>
      </c>
      <c r="F1482" s="58"/>
      <c r="G1482" s="57" t="s">
        <v>670</v>
      </c>
      <c r="H1482" s="59">
        <v>2</v>
      </c>
      <c r="I1482" s="57"/>
      <c r="J1482" s="57"/>
      <c r="K1482" s="59"/>
      <c r="L1482" s="57"/>
      <c r="M1482" s="60"/>
      <c r="N1482" s="59"/>
      <c r="O1482" s="57"/>
      <c r="P1482" s="57"/>
      <c r="Q1482" s="57" t="s">
        <v>21</v>
      </c>
      <c r="R1482" s="57" t="s">
        <v>424</v>
      </c>
      <c r="S1482" s="59">
        <v>2765</v>
      </c>
      <c r="T1482" s="57" t="s">
        <v>61</v>
      </c>
      <c r="U1482" s="60">
        <v>45967</v>
      </c>
      <c r="V1482" s="59">
        <v>2765</v>
      </c>
      <c r="W1482" s="57" t="s">
        <v>5597</v>
      </c>
      <c r="X1482" s="57" t="s">
        <v>5598</v>
      </c>
      <c r="Y1482" s="57" t="s">
        <v>21</v>
      </c>
      <c r="Z1482" s="57" t="s">
        <v>381</v>
      </c>
      <c r="AA1482" s="59">
        <v>8907</v>
      </c>
      <c r="AB1482" s="57" t="s">
        <v>61</v>
      </c>
      <c r="AC1482" s="60">
        <v>45832</v>
      </c>
      <c r="AD1482" s="59">
        <v>8907</v>
      </c>
      <c r="AE1482" s="57" t="s">
        <v>5599</v>
      </c>
      <c r="AF1482" s="57" t="s">
        <v>5600</v>
      </c>
    </row>
    <row r="1483" spans="1:32">
      <c r="A1483" s="57">
        <v>1482</v>
      </c>
      <c r="B1483" s="58">
        <v>46086.365613425929</v>
      </c>
      <c r="C1483" s="58">
        <v>46086.370092592602</v>
      </c>
      <c r="D1483" s="57" t="s">
        <v>4054</v>
      </c>
      <c r="E1483" s="57" t="s">
        <v>4055</v>
      </c>
      <c r="F1483" s="58"/>
      <c r="G1483" s="57" t="s">
        <v>517</v>
      </c>
      <c r="H1483" s="59">
        <v>1</v>
      </c>
      <c r="I1483" s="57"/>
      <c r="J1483" s="57"/>
      <c r="K1483" s="59"/>
      <c r="L1483" s="57"/>
      <c r="M1483" s="60"/>
      <c r="N1483" s="59"/>
      <c r="O1483" s="57"/>
      <c r="P1483" s="57"/>
      <c r="Q1483" s="57"/>
      <c r="R1483" s="57"/>
      <c r="S1483" s="59"/>
      <c r="T1483" s="57"/>
      <c r="U1483" s="60"/>
      <c r="V1483" s="59"/>
      <c r="W1483" s="57"/>
      <c r="X1483" s="57"/>
      <c r="Y1483" s="57" t="s">
        <v>21</v>
      </c>
      <c r="Z1483" s="57" t="s">
        <v>184</v>
      </c>
      <c r="AA1483" s="59">
        <v>61978</v>
      </c>
      <c r="AB1483" s="57" t="s">
        <v>61</v>
      </c>
      <c r="AC1483" s="60">
        <v>45944</v>
      </c>
      <c r="AD1483" s="59">
        <v>61978</v>
      </c>
      <c r="AE1483" s="57" t="s">
        <v>5601</v>
      </c>
      <c r="AF1483" s="57" t="s">
        <v>5602</v>
      </c>
    </row>
    <row r="1484" spans="1:32">
      <c r="A1484" s="57">
        <v>1483</v>
      </c>
      <c r="B1484" s="58">
        <v>46086.375671296293</v>
      </c>
      <c r="C1484" s="58">
        <v>46086.376967592587</v>
      </c>
      <c r="D1484" s="57" t="s">
        <v>1598</v>
      </c>
      <c r="E1484" s="57" t="s">
        <v>1599</v>
      </c>
      <c r="F1484" s="58"/>
      <c r="G1484" s="57" t="s">
        <v>671</v>
      </c>
      <c r="H1484" s="59">
        <v>2</v>
      </c>
      <c r="I1484" s="57"/>
      <c r="J1484" s="57"/>
      <c r="K1484" s="59"/>
      <c r="L1484" s="57"/>
      <c r="M1484" s="60"/>
      <c r="N1484" s="59"/>
      <c r="O1484" s="57"/>
      <c r="P1484" s="57"/>
      <c r="Q1484" s="57" t="s">
        <v>22</v>
      </c>
      <c r="R1484" s="57" t="s">
        <v>383</v>
      </c>
      <c r="S1484" s="59">
        <v>20057</v>
      </c>
      <c r="T1484" s="57" t="s">
        <v>61</v>
      </c>
      <c r="U1484" s="60">
        <v>46063</v>
      </c>
      <c r="V1484" s="59">
        <v>20057</v>
      </c>
      <c r="W1484" s="57" t="s">
        <v>5603</v>
      </c>
      <c r="X1484" s="57" t="s">
        <v>5604</v>
      </c>
      <c r="Y1484" s="57" t="s">
        <v>21</v>
      </c>
      <c r="Z1484" s="57" t="s">
        <v>441</v>
      </c>
      <c r="AA1484" s="59">
        <v>3553</v>
      </c>
      <c r="AB1484" s="57" t="s">
        <v>61</v>
      </c>
      <c r="AC1484" s="60">
        <v>45980</v>
      </c>
      <c r="AD1484" s="59">
        <v>3553</v>
      </c>
      <c r="AE1484" s="57" t="s">
        <v>5605</v>
      </c>
      <c r="AF1484" s="57" t="s">
        <v>5606</v>
      </c>
    </row>
    <row r="1485" spans="1:32">
      <c r="A1485" s="57">
        <v>1484</v>
      </c>
      <c r="B1485" s="58">
        <v>46085.355300925927</v>
      </c>
      <c r="C1485" s="58">
        <v>46086.409212962957</v>
      </c>
      <c r="D1485" s="57" t="s">
        <v>2068</v>
      </c>
      <c r="E1485" s="57" t="s">
        <v>2069</v>
      </c>
      <c r="F1485" s="58"/>
      <c r="G1485" s="57" t="s">
        <v>643</v>
      </c>
      <c r="H1485" s="59">
        <v>1</v>
      </c>
      <c r="I1485" s="57"/>
      <c r="J1485" s="57"/>
      <c r="K1485" s="59"/>
      <c r="L1485" s="57"/>
      <c r="M1485" s="60"/>
      <c r="N1485" s="59"/>
      <c r="O1485" s="57"/>
      <c r="P1485" s="57"/>
      <c r="Q1485" s="57"/>
      <c r="R1485" s="57"/>
      <c r="S1485" s="59"/>
      <c r="T1485" s="57"/>
      <c r="U1485" s="60"/>
      <c r="V1485" s="59"/>
      <c r="W1485" s="57"/>
      <c r="X1485" s="57"/>
      <c r="Y1485" s="57" t="s">
        <v>21</v>
      </c>
      <c r="Z1485" s="57" t="s">
        <v>338</v>
      </c>
      <c r="AA1485" s="59">
        <v>17534</v>
      </c>
      <c r="AB1485" s="57" t="s">
        <v>61</v>
      </c>
      <c r="AC1485" s="60">
        <v>46064</v>
      </c>
      <c r="AD1485" s="59">
        <v>17534</v>
      </c>
      <c r="AE1485" s="57" t="s">
        <v>5607</v>
      </c>
      <c r="AF1485" s="57" t="s">
        <v>5608</v>
      </c>
    </row>
    <row r="1486" spans="1:32">
      <c r="A1486" s="57">
        <v>1485</v>
      </c>
      <c r="B1486" s="58">
        <v>46086.348252314812</v>
      </c>
      <c r="C1486" s="58">
        <v>46086.409953703696</v>
      </c>
      <c r="D1486" s="57" t="s">
        <v>1022</v>
      </c>
      <c r="E1486" s="57" t="s">
        <v>1023</v>
      </c>
      <c r="F1486" s="58"/>
      <c r="G1486" s="57" t="s">
        <v>589</v>
      </c>
      <c r="H1486" s="59">
        <v>1</v>
      </c>
      <c r="I1486" s="57"/>
      <c r="J1486" s="57"/>
      <c r="K1486" s="59"/>
      <c r="L1486" s="57"/>
      <c r="M1486" s="60"/>
      <c r="N1486" s="59"/>
      <c r="O1486" s="57"/>
      <c r="P1486" s="57"/>
      <c r="Q1486" s="57"/>
      <c r="R1486" s="57"/>
      <c r="S1486" s="59"/>
      <c r="T1486" s="57"/>
      <c r="U1486" s="60"/>
      <c r="V1486" s="59"/>
      <c r="W1486" s="57"/>
      <c r="X1486" s="57"/>
      <c r="Y1486" s="57" t="s">
        <v>20</v>
      </c>
      <c r="Z1486" s="57" t="s">
        <v>263</v>
      </c>
      <c r="AA1486" s="59">
        <v>18893</v>
      </c>
      <c r="AB1486" s="57" t="s">
        <v>61</v>
      </c>
      <c r="AC1486" s="60">
        <v>46055</v>
      </c>
      <c r="AD1486" s="59">
        <v>18893</v>
      </c>
      <c r="AE1486" s="57" t="s">
        <v>5609</v>
      </c>
      <c r="AF1486" s="57" t="s">
        <v>5610</v>
      </c>
    </row>
    <row r="1487" spans="1:32">
      <c r="A1487" s="57">
        <v>1486</v>
      </c>
      <c r="B1487" s="58">
        <v>46086.412083333344</v>
      </c>
      <c r="C1487" s="58">
        <v>46086.413530092592</v>
      </c>
      <c r="D1487" s="57" t="s">
        <v>1289</v>
      </c>
      <c r="E1487" s="57" t="s">
        <v>1290</v>
      </c>
      <c r="F1487" s="58"/>
      <c r="G1487" s="57" t="s">
        <v>641</v>
      </c>
      <c r="H1487" s="59">
        <v>1</v>
      </c>
      <c r="I1487" s="57"/>
      <c r="J1487" s="57"/>
      <c r="K1487" s="59"/>
      <c r="L1487" s="57"/>
      <c r="M1487" s="60"/>
      <c r="N1487" s="59"/>
      <c r="O1487" s="57"/>
      <c r="P1487" s="57"/>
      <c r="Q1487" s="57"/>
      <c r="R1487" s="57"/>
      <c r="S1487" s="59"/>
      <c r="T1487" s="57"/>
      <c r="U1487" s="60"/>
      <c r="V1487" s="59"/>
      <c r="W1487" s="57"/>
      <c r="X1487" s="57"/>
      <c r="Y1487" s="57" t="s">
        <v>21</v>
      </c>
      <c r="Z1487" s="57" t="s">
        <v>336</v>
      </c>
      <c r="AA1487" s="59">
        <v>21785</v>
      </c>
      <c r="AB1487" s="57" t="s">
        <v>61</v>
      </c>
      <c r="AC1487" s="60">
        <v>46085</v>
      </c>
      <c r="AD1487" s="59">
        <v>21785</v>
      </c>
      <c r="AE1487" s="57" t="s">
        <v>5611</v>
      </c>
      <c r="AF1487" s="57" t="s">
        <v>5612</v>
      </c>
    </row>
    <row r="1488" spans="1:32">
      <c r="A1488" s="57">
        <v>1487</v>
      </c>
      <c r="B1488" s="58">
        <v>46086.407395833332</v>
      </c>
      <c r="C1488" s="58">
        <v>46086.414155092592</v>
      </c>
      <c r="D1488" s="57" t="s">
        <v>3624</v>
      </c>
      <c r="E1488" s="57" t="s">
        <v>3625</v>
      </c>
      <c r="F1488" s="58"/>
      <c r="G1488" s="57" t="s">
        <v>542</v>
      </c>
      <c r="H1488" s="59">
        <v>1</v>
      </c>
      <c r="I1488" s="57"/>
      <c r="J1488" s="57"/>
      <c r="K1488" s="59"/>
      <c r="L1488" s="57"/>
      <c r="M1488" s="60"/>
      <c r="N1488" s="59"/>
      <c r="O1488" s="57"/>
      <c r="P1488" s="57"/>
      <c r="Q1488" s="57"/>
      <c r="R1488" s="57"/>
      <c r="S1488" s="59"/>
      <c r="T1488" s="57"/>
      <c r="U1488" s="60"/>
      <c r="V1488" s="59"/>
      <c r="W1488" s="57"/>
      <c r="X1488" s="57"/>
      <c r="Y1488" s="57" t="s">
        <v>20</v>
      </c>
      <c r="Z1488" s="57" t="s">
        <v>211</v>
      </c>
      <c r="AA1488" s="59">
        <v>31478</v>
      </c>
      <c r="AB1488" s="57" t="s">
        <v>61</v>
      </c>
      <c r="AC1488" s="60">
        <v>46066</v>
      </c>
      <c r="AD1488" s="59">
        <v>31478</v>
      </c>
      <c r="AE1488" s="57" t="s">
        <v>5613</v>
      </c>
      <c r="AF1488" s="57" t="s">
        <v>5614</v>
      </c>
    </row>
    <row r="1489" spans="1:32">
      <c r="A1489" s="57">
        <v>1488</v>
      </c>
      <c r="B1489" s="58">
        <v>46086.435972222222</v>
      </c>
      <c r="C1489" s="58">
        <v>46086.441712962973</v>
      </c>
      <c r="D1489" s="57" t="s">
        <v>836</v>
      </c>
      <c r="E1489" s="57" t="s">
        <v>837</v>
      </c>
      <c r="F1489" s="58"/>
      <c r="G1489" s="57" t="s">
        <v>614</v>
      </c>
      <c r="H1489" s="59">
        <v>1</v>
      </c>
      <c r="I1489" s="57"/>
      <c r="J1489" s="57"/>
      <c r="K1489" s="59"/>
      <c r="L1489" s="57"/>
      <c r="M1489" s="60"/>
      <c r="N1489" s="59"/>
      <c r="O1489" s="57"/>
      <c r="P1489" s="57"/>
      <c r="Q1489" s="57"/>
      <c r="R1489" s="57"/>
      <c r="S1489" s="59"/>
      <c r="T1489" s="57"/>
      <c r="U1489" s="60"/>
      <c r="V1489" s="59"/>
      <c r="W1489" s="57"/>
      <c r="X1489" s="57"/>
      <c r="Y1489" s="57" t="s">
        <v>21</v>
      </c>
      <c r="Z1489" s="57" t="s">
        <v>294</v>
      </c>
      <c r="AA1489" s="59">
        <v>24065</v>
      </c>
      <c r="AB1489" s="57" t="s">
        <v>61</v>
      </c>
      <c r="AC1489" s="60">
        <v>45992</v>
      </c>
      <c r="AD1489" s="59">
        <v>24065</v>
      </c>
      <c r="AE1489" s="57" t="s">
        <v>5615</v>
      </c>
      <c r="AF1489" s="57" t="s">
        <v>5616</v>
      </c>
    </row>
    <row r="1490" spans="1:32">
      <c r="A1490" s="57">
        <v>1489</v>
      </c>
      <c r="B1490" s="58">
        <v>46086.454305555562</v>
      </c>
      <c r="C1490" s="58">
        <v>46086.459351851852</v>
      </c>
      <c r="D1490" s="57" t="s">
        <v>1232</v>
      </c>
      <c r="E1490" s="57" t="s">
        <v>1233</v>
      </c>
      <c r="F1490" s="58"/>
      <c r="G1490" s="57" t="s">
        <v>706</v>
      </c>
      <c r="H1490" s="59">
        <v>1</v>
      </c>
      <c r="I1490" s="57"/>
      <c r="J1490" s="57"/>
      <c r="K1490" s="59"/>
      <c r="L1490" s="57"/>
      <c r="M1490" s="60"/>
      <c r="N1490" s="59"/>
      <c r="O1490" s="57"/>
      <c r="P1490" s="57"/>
      <c r="Q1490" s="57"/>
      <c r="R1490" s="57"/>
      <c r="S1490" s="59"/>
      <c r="T1490" s="57"/>
      <c r="U1490" s="60"/>
      <c r="V1490" s="59"/>
      <c r="W1490" s="57"/>
      <c r="X1490" s="57"/>
      <c r="Y1490" s="57" t="s">
        <v>21</v>
      </c>
      <c r="Z1490" s="57" t="s">
        <v>434</v>
      </c>
      <c r="AA1490" s="59">
        <v>5186</v>
      </c>
      <c r="AB1490" s="57" t="s">
        <v>61</v>
      </c>
      <c r="AC1490" s="60">
        <v>45967</v>
      </c>
      <c r="AD1490" s="59">
        <v>5186</v>
      </c>
      <c r="AE1490" s="57" t="s">
        <v>5617</v>
      </c>
      <c r="AF1490" s="57" t="s">
        <v>5618</v>
      </c>
    </row>
    <row r="1491" spans="1:32">
      <c r="A1491" s="57">
        <v>1490</v>
      </c>
      <c r="B1491" s="58">
        <v>46086.471307870372</v>
      </c>
      <c r="C1491" s="58">
        <v>46086.477824074071</v>
      </c>
      <c r="D1491" s="57" t="s">
        <v>744</v>
      </c>
      <c r="E1491" s="57" t="s">
        <v>745</v>
      </c>
      <c r="F1491" s="58"/>
      <c r="G1491" s="57" t="s">
        <v>572</v>
      </c>
      <c r="H1491" s="59">
        <v>1</v>
      </c>
      <c r="I1491" s="57"/>
      <c r="J1491" s="57"/>
      <c r="K1491" s="59"/>
      <c r="L1491" s="57"/>
      <c r="M1491" s="60"/>
      <c r="N1491" s="59"/>
      <c r="O1491" s="57"/>
      <c r="P1491" s="57"/>
      <c r="Q1491" s="57"/>
      <c r="R1491" s="57"/>
      <c r="S1491" s="59"/>
      <c r="T1491" s="57"/>
      <c r="U1491" s="60"/>
      <c r="V1491" s="59"/>
      <c r="W1491" s="57"/>
      <c r="X1491" s="57"/>
      <c r="Y1491" s="57" t="s">
        <v>21</v>
      </c>
      <c r="Z1491" s="57" t="s">
        <v>244</v>
      </c>
      <c r="AA1491" s="59">
        <v>25476</v>
      </c>
      <c r="AB1491" s="57" t="s">
        <v>61</v>
      </c>
      <c r="AC1491" s="60">
        <v>46029</v>
      </c>
      <c r="AD1491" s="59">
        <v>25476</v>
      </c>
      <c r="AE1491" s="57" t="s">
        <v>5619</v>
      </c>
      <c r="AF1491" s="57" t="s">
        <v>5620</v>
      </c>
    </row>
    <row r="1492" spans="1:32">
      <c r="A1492" s="57">
        <v>1491</v>
      </c>
      <c r="B1492" s="58">
        <v>46086.455185185187</v>
      </c>
      <c r="C1492" s="58">
        <v>46086.50341435185</v>
      </c>
      <c r="D1492" s="57" t="s">
        <v>1617</v>
      </c>
      <c r="E1492" s="57" t="s">
        <v>1618</v>
      </c>
      <c r="F1492" s="58"/>
      <c r="G1492" s="57" t="s">
        <v>625</v>
      </c>
      <c r="H1492" s="59">
        <v>2</v>
      </c>
      <c r="I1492" s="57"/>
      <c r="J1492" s="57"/>
      <c r="K1492" s="59"/>
      <c r="L1492" s="57"/>
      <c r="M1492" s="60"/>
      <c r="N1492" s="59"/>
      <c r="O1492" s="57"/>
      <c r="P1492" s="57"/>
      <c r="Q1492" s="57" t="s">
        <v>21</v>
      </c>
      <c r="R1492" s="57" t="s">
        <v>307</v>
      </c>
      <c r="S1492" s="59">
        <v>31724</v>
      </c>
      <c r="T1492" s="57" t="s">
        <v>61</v>
      </c>
      <c r="U1492" s="60">
        <v>46079</v>
      </c>
      <c r="V1492" s="59">
        <v>31724</v>
      </c>
      <c r="W1492" s="57" t="s">
        <v>5621</v>
      </c>
      <c r="X1492" s="57" t="s">
        <v>5622</v>
      </c>
      <c r="Y1492" s="57" t="s">
        <v>22</v>
      </c>
      <c r="Z1492" s="57" t="s">
        <v>349</v>
      </c>
      <c r="AA1492" s="59">
        <v>21210</v>
      </c>
      <c r="AB1492" s="57" t="s">
        <v>61</v>
      </c>
      <c r="AC1492" s="60">
        <v>46035</v>
      </c>
      <c r="AD1492" s="59">
        <v>21210</v>
      </c>
      <c r="AE1492" s="57" t="s">
        <v>5623</v>
      </c>
      <c r="AF1492" s="57" t="s">
        <v>5624</v>
      </c>
    </row>
    <row r="1493" spans="1:32">
      <c r="A1493" s="57">
        <v>1492</v>
      </c>
      <c r="B1493" s="58">
        <v>46086.567303240743</v>
      </c>
      <c r="C1493" s="58">
        <v>46086.577696759261</v>
      </c>
      <c r="D1493" s="57" t="s">
        <v>1365</v>
      </c>
      <c r="E1493" s="57" t="s">
        <v>1366</v>
      </c>
      <c r="F1493" s="58"/>
      <c r="G1493" s="57" t="s">
        <v>638</v>
      </c>
      <c r="H1493" s="59">
        <v>1</v>
      </c>
      <c r="I1493" s="57"/>
      <c r="J1493" s="57"/>
      <c r="K1493" s="59"/>
      <c r="L1493" s="57"/>
      <c r="M1493" s="60"/>
      <c r="N1493" s="59"/>
      <c r="O1493" s="57"/>
      <c r="P1493" s="57"/>
      <c r="Q1493" s="57"/>
      <c r="R1493" s="57"/>
      <c r="S1493" s="59"/>
      <c r="T1493" s="57"/>
      <c r="U1493" s="60"/>
      <c r="V1493" s="59"/>
      <c r="W1493" s="57"/>
      <c r="X1493" s="57"/>
      <c r="Y1493" s="57" t="s">
        <v>21</v>
      </c>
      <c r="Z1493" s="57" t="s">
        <v>331</v>
      </c>
      <c r="AA1493" s="59">
        <v>10832</v>
      </c>
      <c r="AB1493" s="57" t="s">
        <v>61</v>
      </c>
      <c r="AC1493" s="60">
        <v>46053</v>
      </c>
      <c r="AD1493" s="59">
        <v>10832</v>
      </c>
      <c r="AE1493" s="57" t="s">
        <v>5625</v>
      </c>
      <c r="AF1493" s="57" t="s">
        <v>5626</v>
      </c>
    </row>
    <row r="1494" spans="1:32">
      <c r="A1494" s="57">
        <v>1493</v>
      </c>
      <c r="B1494" s="58">
        <v>46086.414467592593</v>
      </c>
      <c r="C1494" s="58">
        <v>46086.588634259257</v>
      </c>
      <c r="D1494" s="57" t="s">
        <v>5627</v>
      </c>
      <c r="E1494" s="57" t="s">
        <v>5628</v>
      </c>
      <c r="F1494" s="58"/>
      <c r="G1494" s="57" t="s">
        <v>642</v>
      </c>
      <c r="H1494" s="59">
        <v>1</v>
      </c>
      <c r="I1494" s="57"/>
      <c r="J1494" s="57"/>
      <c r="K1494" s="59"/>
      <c r="L1494" s="57"/>
      <c r="M1494" s="60"/>
      <c r="N1494" s="59"/>
      <c r="O1494" s="57"/>
      <c r="P1494" s="57"/>
      <c r="Q1494" s="57"/>
      <c r="R1494" s="57"/>
      <c r="S1494" s="59"/>
      <c r="T1494" s="57"/>
      <c r="U1494" s="60"/>
      <c r="V1494" s="59"/>
      <c r="W1494" s="57"/>
      <c r="X1494" s="57"/>
      <c r="Y1494" s="57" t="s">
        <v>21</v>
      </c>
      <c r="Z1494" s="57" t="s">
        <v>337</v>
      </c>
      <c r="AA1494" s="59">
        <v>20743</v>
      </c>
      <c r="AB1494" s="57" t="s">
        <v>61</v>
      </c>
      <c r="AC1494" s="60">
        <v>45923</v>
      </c>
      <c r="AD1494" s="59">
        <v>20743</v>
      </c>
      <c r="AE1494" s="57" t="s">
        <v>5629</v>
      </c>
      <c r="AF1494" s="57" t="s">
        <v>5630</v>
      </c>
    </row>
    <row r="1495" spans="1:32">
      <c r="A1495" s="57">
        <v>1494</v>
      </c>
      <c r="B1495" s="58">
        <v>46086.639224537037</v>
      </c>
      <c r="C1495" s="58">
        <v>46086.647337962961</v>
      </c>
      <c r="D1495" s="57" t="s">
        <v>1260</v>
      </c>
      <c r="E1495" s="57" t="s">
        <v>1261</v>
      </c>
      <c r="F1495" s="58"/>
      <c r="G1495" s="57" t="s">
        <v>637</v>
      </c>
      <c r="H1495" s="59">
        <v>1</v>
      </c>
      <c r="I1495" s="57"/>
      <c r="J1495" s="57"/>
      <c r="K1495" s="59"/>
      <c r="L1495" s="57"/>
      <c r="M1495" s="60"/>
      <c r="N1495" s="59"/>
      <c r="O1495" s="57"/>
      <c r="P1495" s="57"/>
      <c r="Q1495" s="57"/>
      <c r="R1495" s="57"/>
      <c r="S1495" s="59"/>
      <c r="T1495" s="57"/>
      <c r="U1495" s="60"/>
      <c r="V1495" s="59"/>
      <c r="W1495" s="57"/>
      <c r="X1495" s="57"/>
      <c r="Y1495" s="57" t="s">
        <v>20</v>
      </c>
      <c r="Z1495" s="57" t="s">
        <v>330</v>
      </c>
      <c r="AA1495" s="59">
        <v>30289</v>
      </c>
      <c r="AB1495" s="57" t="s">
        <v>61</v>
      </c>
      <c r="AC1495" s="60">
        <v>46037</v>
      </c>
      <c r="AD1495" s="59">
        <v>30289</v>
      </c>
      <c r="AE1495" s="57" t="s">
        <v>5631</v>
      </c>
      <c r="AF1495" s="57" t="s">
        <v>5632</v>
      </c>
    </row>
    <row r="1496" spans="1:32">
      <c r="A1496" s="57">
        <v>1495</v>
      </c>
      <c r="B1496" s="58">
        <v>46086.660821759258</v>
      </c>
      <c r="C1496" s="58">
        <v>46086.664618055547</v>
      </c>
      <c r="D1496" s="57" t="s">
        <v>1456</v>
      </c>
      <c r="E1496" s="57" t="s">
        <v>1457</v>
      </c>
      <c r="F1496" s="58"/>
      <c r="G1496" s="57" t="s">
        <v>547</v>
      </c>
      <c r="H1496" s="59">
        <v>2</v>
      </c>
      <c r="I1496" s="57"/>
      <c r="J1496" s="57"/>
      <c r="K1496" s="59"/>
      <c r="L1496" s="57"/>
      <c r="M1496" s="60"/>
      <c r="N1496" s="59"/>
      <c r="O1496" s="57"/>
      <c r="P1496" s="57"/>
      <c r="Q1496" s="57" t="s">
        <v>21</v>
      </c>
      <c r="R1496" s="57" t="s">
        <v>216</v>
      </c>
      <c r="S1496" s="59">
        <v>4954</v>
      </c>
      <c r="T1496" s="57" t="s">
        <v>61</v>
      </c>
      <c r="U1496" s="60">
        <v>45952</v>
      </c>
      <c r="V1496" s="59">
        <v>4954</v>
      </c>
      <c r="W1496" s="57" t="s">
        <v>5633</v>
      </c>
      <c r="X1496" s="57" t="s">
        <v>5634</v>
      </c>
      <c r="Y1496" s="57" t="s">
        <v>22</v>
      </c>
      <c r="Z1496" s="57" t="s">
        <v>225</v>
      </c>
      <c r="AA1496" s="59">
        <v>97556</v>
      </c>
      <c r="AB1496" s="57" t="s">
        <v>61</v>
      </c>
      <c r="AC1496" s="60">
        <v>46057</v>
      </c>
      <c r="AD1496" s="59">
        <v>97556</v>
      </c>
      <c r="AE1496" s="57" t="s">
        <v>5635</v>
      </c>
      <c r="AF1496" s="57" t="s">
        <v>5636</v>
      </c>
    </row>
    <row r="1497" spans="1:32">
      <c r="A1497" s="57">
        <v>1496</v>
      </c>
      <c r="B1497" s="58">
        <v>46087.334953703707</v>
      </c>
      <c r="C1497" s="58">
        <v>46087.339363425926</v>
      </c>
      <c r="D1497" s="57" t="s">
        <v>1655</v>
      </c>
      <c r="E1497" s="57" t="s">
        <v>1656</v>
      </c>
      <c r="F1497" s="58"/>
      <c r="G1497" s="57" t="s">
        <v>549</v>
      </c>
      <c r="H1497" s="59">
        <v>2</v>
      </c>
      <c r="I1497" s="57"/>
      <c r="J1497" s="57"/>
      <c r="K1497" s="59"/>
      <c r="L1497" s="57"/>
      <c r="M1497" s="60"/>
      <c r="N1497" s="59"/>
      <c r="O1497" s="57"/>
      <c r="P1497" s="57"/>
      <c r="Q1497" s="57" t="s">
        <v>22</v>
      </c>
      <c r="R1497" s="57" t="s">
        <v>218</v>
      </c>
      <c r="S1497" s="59">
        <v>73575</v>
      </c>
      <c r="T1497" s="57" t="s">
        <v>61</v>
      </c>
      <c r="U1497" s="60">
        <v>46064</v>
      </c>
      <c r="V1497" s="59">
        <v>73575</v>
      </c>
      <c r="W1497" s="57" t="s">
        <v>5637</v>
      </c>
      <c r="X1497" s="57" t="s">
        <v>5638</v>
      </c>
      <c r="Y1497" s="57" t="s">
        <v>21</v>
      </c>
      <c r="Z1497" s="57" t="s">
        <v>253</v>
      </c>
      <c r="AA1497" s="59">
        <v>26375</v>
      </c>
      <c r="AB1497" s="57" t="s">
        <v>61</v>
      </c>
      <c r="AC1497" s="60">
        <v>45854</v>
      </c>
      <c r="AD1497" s="59">
        <v>26375</v>
      </c>
      <c r="AE1497" s="57" t="s">
        <v>5639</v>
      </c>
      <c r="AF1497" s="57" t="s">
        <v>5640</v>
      </c>
    </row>
    <row r="1498" spans="1:32">
      <c r="A1498" s="57">
        <v>1497</v>
      </c>
      <c r="B1498" s="58">
        <v>46087.374548611107</v>
      </c>
      <c r="C1498" s="58">
        <v>46087.376076388893</v>
      </c>
      <c r="D1498" s="57" t="s">
        <v>761</v>
      </c>
      <c r="E1498" s="57" t="s">
        <v>762</v>
      </c>
      <c r="F1498" s="58"/>
      <c r="G1498" s="57" t="s">
        <v>693</v>
      </c>
      <c r="H1498" s="59">
        <v>1</v>
      </c>
      <c r="I1498" s="57"/>
      <c r="J1498" s="57"/>
      <c r="K1498" s="59"/>
      <c r="L1498" s="57"/>
      <c r="M1498" s="60"/>
      <c r="N1498" s="59"/>
      <c r="O1498" s="57"/>
      <c r="P1498" s="57"/>
      <c r="Q1498" s="57"/>
      <c r="R1498" s="57"/>
      <c r="S1498" s="59"/>
      <c r="T1498" s="57"/>
      <c r="U1498" s="60"/>
      <c r="V1498" s="59"/>
      <c r="W1498" s="57"/>
      <c r="X1498" s="57"/>
      <c r="Y1498" s="57" t="s">
        <v>21</v>
      </c>
      <c r="Z1498" s="57" t="s">
        <v>415</v>
      </c>
      <c r="AA1498" s="59">
        <v>8444</v>
      </c>
      <c r="AB1498" s="57" t="s">
        <v>61</v>
      </c>
      <c r="AC1498" s="60">
        <v>45952</v>
      </c>
      <c r="AD1498" s="59">
        <v>8444</v>
      </c>
      <c r="AE1498" s="57" t="s">
        <v>5641</v>
      </c>
      <c r="AF1498" s="57" t="s">
        <v>5642</v>
      </c>
    </row>
    <row r="1499" spans="1:32">
      <c r="A1499" s="57">
        <v>1498</v>
      </c>
      <c r="B1499" s="58">
        <v>46087.396319444437</v>
      </c>
      <c r="C1499" s="58">
        <v>46087.401967592603</v>
      </c>
      <c r="D1499" s="57" t="s">
        <v>1078</v>
      </c>
      <c r="E1499" s="57" t="s">
        <v>1079</v>
      </c>
      <c r="F1499" s="58"/>
      <c r="G1499" s="57" t="s">
        <v>456</v>
      </c>
      <c r="H1499" s="59">
        <v>2</v>
      </c>
      <c r="I1499" s="57"/>
      <c r="J1499" s="57"/>
      <c r="K1499" s="59"/>
      <c r="L1499" s="57"/>
      <c r="M1499" s="60"/>
      <c r="N1499" s="59"/>
      <c r="O1499" s="57"/>
      <c r="P1499" s="57"/>
      <c r="Q1499" s="57" t="s">
        <v>22</v>
      </c>
      <c r="R1499" s="57" t="s">
        <v>132</v>
      </c>
      <c r="S1499" s="59">
        <v>50084</v>
      </c>
      <c r="T1499" s="57" t="s">
        <v>61</v>
      </c>
      <c r="U1499" s="60">
        <v>46039</v>
      </c>
      <c r="V1499" s="59">
        <v>50084</v>
      </c>
      <c r="W1499" s="57" t="s">
        <v>5643</v>
      </c>
      <c r="X1499" s="57" t="s">
        <v>5644</v>
      </c>
      <c r="Y1499" s="57" t="s">
        <v>20</v>
      </c>
      <c r="Z1499" s="57" t="s">
        <v>122</v>
      </c>
      <c r="AA1499" s="59">
        <v>55586</v>
      </c>
      <c r="AB1499" s="57" t="s">
        <v>61</v>
      </c>
      <c r="AC1499" s="60">
        <v>46028</v>
      </c>
      <c r="AD1499" s="59">
        <v>55586</v>
      </c>
      <c r="AE1499" s="57" t="s">
        <v>5645</v>
      </c>
      <c r="AF1499" s="57" t="s">
        <v>5646</v>
      </c>
    </row>
    <row r="1500" spans="1:32">
      <c r="A1500" s="57">
        <v>1499</v>
      </c>
      <c r="B1500" s="58">
        <v>46087.442118055558</v>
      </c>
      <c r="C1500" s="58">
        <v>46087.442361111112</v>
      </c>
      <c r="D1500" s="57" t="s">
        <v>3164</v>
      </c>
      <c r="E1500" s="57" t="s">
        <v>3165</v>
      </c>
      <c r="F1500" s="58"/>
      <c r="G1500" s="57" t="s">
        <v>602</v>
      </c>
      <c r="H1500" s="59">
        <v>1</v>
      </c>
      <c r="I1500" s="57"/>
      <c r="J1500" s="57"/>
      <c r="K1500" s="59"/>
      <c r="L1500" s="57"/>
      <c r="M1500" s="60"/>
      <c r="N1500" s="59"/>
      <c r="O1500" s="57"/>
      <c r="P1500" s="57"/>
      <c r="Q1500" s="57"/>
      <c r="R1500" s="57"/>
      <c r="S1500" s="59"/>
      <c r="T1500" s="57"/>
      <c r="U1500" s="60"/>
      <c r="V1500" s="59"/>
      <c r="W1500" s="57"/>
      <c r="X1500" s="57"/>
      <c r="Y1500" s="57" t="s">
        <v>20</v>
      </c>
      <c r="Z1500" s="57" t="s">
        <v>279</v>
      </c>
      <c r="AA1500" s="59">
        <v>22149</v>
      </c>
      <c r="AB1500" s="57" t="s">
        <v>61</v>
      </c>
      <c r="AC1500" s="60">
        <v>45932</v>
      </c>
      <c r="AD1500" s="59">
        <v>22149</v>
      </c>
      <c r="AE1500" s="57" t="s">
        <v>5647</v>
      </c>
      <c r="AF1500" s="57" t="s">
        <v>5648</v>
      </c>
    </row>
    <row r="1501" spans="1:32">
      <c r="A1501" s="57">
        <v>1500</v>
      </c>
      <c r="B1501" s="58">
        <v>46087.468078703707</v>
      </c>
      <c r="C1501" s="58">
        <v>46087.478784722232</v>
      </c>
      <c r="D1501" s="57" t="s">
        <v>2440</v>
      </c>
      <c r="E1501" s="57" t="s">
        <v>2441</v>
      </c>
      <c r="F1501" s="58"/>
      <c r="G1501" s="57" t="s">
        <v>588</v>
      </c>
      <c r="H1501" s="59">
        <v>1</v>
      </c>
      <c r="I1501" s="57"/>
      <c r="J1501" s="57"/>
      <c r="K1501" s="59"/>
      <c r="L1501" s="57"/>
      <c r="M1501" s="60"/>
      <c r="N1501" s="59"/>
      <c r="O1501" s="57"/>
      <c r="P1501" s="57"/>
      <c r="Q1501" s="57"/>
      <c r="R1501" s="57"/>
      <c r="S1501" s="59"/>
      <c r="T1501" s="57"/>
      <c r="U1501" s="60"/>
      <c r="V1501" s="59"/>
      <c r="W1501" s="57"/>
      <c r="X1501" s="57"/>
      <c r="Y1501" s="57" t="s">
        <v>21</v>
      </c>
      <c r="Z1501" s="57" t="s">
        <v>262</v>
      </c>
      <c r="AA1501" s="59">
        <v>61302</v>
      </c>
      <c r="AB1501" s="57" t="s">
        <v>61</v>
      </c>
      <c r="AC1501" s="60">
        <v>46056</v>
      </c>
      <c r="AD1501" s="59">
        <v>61302</v>
      </c>
      <c r="AE1501" s="57" t="s">
        <v>5649</v>
      </c>
      <c r="AF1501" s="57" t="s">
        <v>5650</v>
      </c>
    </row>
    <row r="1502" spans="1:32">
      <c r="A1502" s="57">
        <v>1501</v>
      </c>
      <c r="B1502" s="58">
        <v>46087.628171296303</v>
      </c>
      <c r="C1502" s="58">
        <v>46087.632071759261</v>
      </c>
      <c r="D1502" s="57" t="s">
        <v>1536</v>
      </c>
      <c r="E1502" s="57" t="s">
        <v>1537</v>
      </c>
      <c r="F1502" s="58"/>
      <c r="G1502" s="57" t="s">
        <v>605</v>
      </c>
      <c r="H1502" s="59">
        <v>2</v>
      </c>
      <c r="I1502" s="57"/>
      <c r="J1502" s="57"/>
      <c r="K1502" s="59"/>
      <c r="L1502" s="57"/>
      <c r="M1502" s="60"/>
      <c r="N1502" s="59"/>
      <c r="O1502" s="57"/>
      <c r="P1502" s="57"/>
      <c r="Q1502" s="57" t="s">
        <v>22</v>
      </c>
      <c r="R1502" s="57" t="s">
        <v>297</v>
      </c>
      <c r="S1502" s="59">
        <v>18046</v>
      </c>
      <c r="T1502" s="57" t="s">
        <v>61</v>
      </c>
      <c r="U1502" s="60">
        <v>45974</v>
      </c>
      <c r="V1502" s="59">
        <v>18046</v>
      </c>
      <c r="W1502" s="57" t="s">
        <v>5651</v>
      </c>
      <c r="X1502" s="57" t="s">
        <v>5652</v>
      </c>
      <c r="Y1502" s="57" t="s">
        <v>21</v>
      </c>
      <c r="Z1502" s="57" t="s">
        <v>283</v>
      </c>
      <c r="AA1502" s="59">
        <v>22460</v>
      </c>
      <c r="AB1502" s="57" t="s">
        <v>61</v>
      </c>
      <c r="AC1502" s="60">
        <v>45878</v>
      </c>
      <c r="AD1502" s="59">
        <v>22460</v>
      </c>
      <c r="AE1502" s="57" t="s">
        <v>5653</v>
      </c>
      <c r="AF1502" s="57" t="s">
        <v>5654</v>
      </c>
    </row>
    <row r="1503" spans="1:32">
      <c r="A1503" s="57">
        <v>1502</v>
      </c>
      <c r="B1503" s="58">
        <v>46087.664097222223</v>
      </c>
      <c r="C1503" s="58">
        <v>46087.66642361111</v>
      </c>
      <c r="D1503" s="57" t="s">
        <v>1572</v>
      </c>
      <c r="E1503" s="57" t="s">
        <v>1573</v>
      </c>
      <c r="F1503" s="58"/>
      <c r="G1503" s="57" t="s">
        <v>640</v>
      </c>
      <c r="H1503" s="59">
        <v>1</v>
      </c>
      <c r="I1503" s="57"/>
      <c r="J1503" s="57"/>
      <c r="K1503" s="59"/>
      <c r="L1503" s="57"/>
      <c r="M1503" s="60"/>
      <c r="N1503" s="59"/>
      <c r="O1503" s="57"/>
      <c r="P1503" s="57"/>
      <c r="Q1503" s="57"/>
      <c r="R1503" s="57"/>
      <c r="S1503" s="59"/>
      <c r="T1503" s="57"/>
      <c r="U1503" s="60"/>
      <c r="V1503" s="59"/>
      <c r="W1503" s="57"/>
      <c r="X1503" s="57"/>
      <c r="Y1503" s="57" t="s">
        <v>21</v>
      </c>
      <c r="Z1503" s="57" t="s">
        <v>333</v>
      </c>
      <c r="AA1503" s="59">
        <v>17232</v>
      </c>
      <c r="AB1503" s="57" t="s">
        <v>61</v>
      </c>
      <c r="AC1503" s="60">
        <v>46074</v>
      </c>
      <c r="AD1503" s="59">
        <v>17232</v>
      </c>
      <c r="AE1503" s="57" t="s">
        <v>5655</v>
      </c>
      <c r="AF1503" s="57" t="s">
        <v>5656</v>
      </c>
    </row>
    <row r="1504" spans="1:32">
      <c r="A1504" s="57">
        <v>1503</v>
      </c>
      <c r="B1504" s="58">
        <v>46087.654039351852</v>
      </c>
      <c r="C1504" s="58">
        <v>46088.293726851851</v>
      </c>
      <c r="D1504" s="57" t="s">
        <v>2619</v>
      </c>
      <c r="E1504" s="57" t="s">
        <v>2620</v>
      </c>
      <c r="F1504" s="58"/>
      <c r="G1504" s="57" t="s">
        <v>550</v>
      </c>
      <c r="H1504" s="59">
        <v>2</v>
      </c>
      <c r="I1504" s="57"/>
      <c r="J1504" s="57"/>
      <c r="K1504" s="59"/>
      <c r="L1504" s="57"/>
      <c r="M1504" s="60"/>
      <c r="N1504" s="59"/>
      <c r="O1504" s="57"/>
      <c r="P1504" s="57"/>
      <c r="Q1504" s="57" t="s">
        <v>21</v>
      </c>
      <c r="R1504" s="57" t="s">
        <v>335</v>
      </c>
      <c r="S1504" s="59">
        <v>15848</v>
      </c>
      <c r="T1504" s="57" t="s">
        <v>61</v>
      </c>
      <c r="U1504" s="60">
        <v>45987</v>
      </c>
      <c r="V1504" s="59">
        <v>15848</v>
      </c>
      <c r="W1504" s="57" t="s">
        <v>5657</v>
      </c>
      <c r="X1504" s="57" t="s">
        <v>5658</v>
      </c>
      <c r="Y1504" s="57" t="s">
        <v>22</v>
      </c>
      <c r="Z1504" s="57" t="s">
        <v>219</v>
      </c>
      <c r="AA1504" s="59">
        <v>68695</v>
      </c>
      <c r="AB1504" s="57" t="s">
        <v>61</v>
      </c>
      <c r="AC1504" s="60">
        <v>46053</v>
      </c>
      <c r="AD1504" s="59">
        <v>68695</v>
      </c>
      <c r="AE1504" s="57" t="s">
        <v>5659</v>
      </c>
      <c r="AF1504" s="57" t="s">
        <v>5660</v>
      </c>
    </row>
    <row r="1505" spans="1:32">
      <c r="A1505" s="57">
        <v>1504</v>
      </c>
      <c r="B1505" s="58">
        <v>46088.461192129631</v>
      </c>
      <c r="C1505" s="58">
        <v>46088.475173611107</v>
      </c>
      <c r="D1505" s="57" t="s">
        <v>1607</v>
      </c>
      <c r="E1505" s="57" t="s">
        <v>1608</v>
      </c>
      <c r="F1505" s="58"/>
      <c r="G1505" s="57" t="s">
        <v>682</v>
      </c>
      <c r="H1505" s="59">
        <v>2</v>
      </c>
      <c r="I1505" s="57"/>
      <c r="J1505" s="57"/>
      <c r="K1505" s="59"/>
      <c r="L1505" s="57"/>
      <c r="M1505" s="60"/>
      <c r="N1505" s="59"/>
      <c r="O1505" s="57"/>
      <c r="P1505" s="57"/>
      <c r="Q1505" s="57" t="s">
        <v>21</v>
      </c>
      <c r="R1505" s="57" t="s">
        <v>398</v>
      </c>
      <c r="S1505" s="59">
        <v>4294</v>
      </c>
      <c r="T1505" s="57" t="s">
        <v>61</v>
      </c>
      <c r="U1505" s="60">
        <v>45911</v>
      </c>
      <c r="V1505" s="59">
        <v>4294</v>
      </c>
      <c r="W1505" s="57" t="s">
        <v>5661</v>
      </c>
      <c r="X1505" s="57" t="s">
        <v>5662</v>
      </c>
      <c r="Y1505" s="57" t="s">
        <v>22</v>
      </c>
      <c r="Z1505" s="57" t="s">
        <v>420</v>
      </c>
      <c r="AA1505" s="59">
        <v>6033</v>
      </c>
      <c r="AB1505" s="57" t="s">
        <v>61</v>
      </c>
      <c r="AC1505" s="60">
        <v>45966</v>
      </c>
      <c r="AD1505" s="59">
        <v>6033</v>
      </c>
      <c r="AE1505" s="57" t="s">
        <v>5663</v>
      </c>
      <c r="AF1505" s="57" t="s">
        <v>5664</v>
      </c>
    </row>
    <row r="1506" spans="1:32">
      <c r="A1506" s="57">
        <v>1505</v>
      </c>
      <c r="B1506" s="58">
        <v>46088.53125</v>
      </c>
      <c r="C1506" s="58">
        <v>46088.53628472222</v>
      </c>
      <c r="D1506" s="57" t="s">
        <v>5665</v>
      </c>
      <c r="E1506" s="57" t="s">
        <v>5666</v>
      </c>
      <c r="F1506" s="58"/>
      <c r="G1506" s="57" t="s">
        <v>461</v>
      </c>
      <c r="H1506" s="59">
        <v>1</v>
      </c>
      <c r="I1506" s="57"/>
      <c r="J1506" s="57"/>
      <c r="K1506" s="59"/>
      <c r="L1506" s="57"/>
      <c r="M1506" s="60"/>
      <c r="N1506" s="59"/>
      <c r="O1506" s="57"/>
      <c r="P1506" s="57"/>
      <c r="Q1506" s="57"/>
      <c r="R1506" s="57"/>
      <c r="S1506" s="59"/>
      <c r="T1506" s="57"/>
      <c r="U1506" s="60"/>
      <c r="V1506" s="59"/>
      <c r="W1506" s="57"/>
      <c r="X1506" s="57"/>
      <c r="Y1506" s="57" t="s">
        <v>21</v>
      </c>
      <c r="Z1506" s="57" t="s">
        <v>5667</v>
      </c>
      <c r="AA1506" s="59">
        <v>108595</v>
      </c>
      <c r="AB1506" s="57" t="s">
        <v>61</v>
      </c>
      <c r="AC1506" s="60">
        <v>46045</v>
      </c>
      <c r="AD1506" s="59">
        <v>108595</v>
      </c>
      <c r="AE1506" s="57" t="s">
        <v>5668</v>
      </c>
      <c r="AF1506" s="57" t="s">
        <v>5669</v>
      </c>
    </row>
    <row r="1507" spans="1:32">
      <c r="A1507" s="57">
        <v>1506</v>
      </c>
      <c r="B1507" s="58">
        <v>46090.385914351849</v>
      </c>
      <c r="C1507" s="58">
        <v>46090.39130787037</v>
      </c>
      <c r="D1507" s="57" t="s">
        <v>730</v>
      </c>
      <c r="E1507" s="57" t="s">
        <v>731</v>
      </c>
      <c r="F1507" s="58"/>
      <c r="G1507" s="57" t="s">
        <v>604</v>
      </c>
      <c r="H1507" s="59">
        <v>1</v>
      </c>
      <c r="I1507" s="57"/>
      <c r="J1507" s="57"/>
      <c r="K1507" s="59"/>
      <c r="L1507" s="57"/>
      <c r="M1507" s="60"/>
      <c r="N1507" s="59"/>
      <c r="O1507" s="57"/>
      <c r="P1507" s="57"/>
      <c r="Q1507" s="57"/>
      <c r="R1507" s="57"/>
      <c r="S1507" s="59"/>
      <c r="T1507" s="57"/>
      <c r="U1507" s="60"/>
      <c r="V1507" s="59"/>
      <c r="W1507" s="57"/>
      <c r="X1507" s="57"/>
      <c r="Y1507" s="57" t="s">
        <v>20</v>
      </c>
      <c r="Z1507" s="57" t="s">
        <v>282</v>
      </c>
      <c r="AA1507" s="59">
        <v>49802</v>
      </c>
      <c r="AB1507" s="57" t="s">
        <v>61</v>
      </c>
      <c r="AC1507" s="60">
        <v>46001</v>
      </c>
      <c r="AD1507" s="59">
        <v>49802</v>
      </c>
      <c r="AE1507" s="57" t="s">
        <v>5670</v>
      </c>
      <c r="AF1507" s="57" t="s">
        <v>5671</v>
      </c>
    </row>
    <row r="1508" spans="1:32">
      <c r="A1508" s="57">
        <v>1507</v>
      </c>
      <c r="B1508" s="58">
        <v>46090.419849537036</v>
      </c>
      <c r="C1508" s="58">
        <v>46090.422974537039</v>
      </c>
      <c r="D1508" s="57" t="s">
        <v>1760</v>
      </c>
      <c r="E1508" s="57" t="s">
        <v>1761</v>
      </c>
      <c r="F1508" s="58"/>
      <c r="G1508" s="57" t="s">
        <v>488</v>
      </c>
      <c r="H1508" s="59">
        <v>1</v>
      </c>
      <c r="I1508" s="57"/>
      <c r="J1508" s="57"/>
      <c r="K1508" s="59"/>
      <c r="L1508" s="57"/>
      <c r="M1508" s="60"/>
      <c r="N1508" s="59"/>
      <c r="O1508" s="57"/>
      <c r="P1508" s="57"/>
      <c r="Q1508" s="57"/>
      <c r="R1508" s="57"/>
      <c r="S1508" s="59"/>
      <c r="T1508" s="57"/>
      <c r="U1508" s="60"/>
      <c r="V1508" s="59"/>
      <c r="W1508" s="57"/>
      <c r="X1508" s="57"/>
      <c r="Y1508" s="57" t="s">
        <v>21</v>
      </c>
      <c r="Z1508" s="57" t="s">
        <v>154</v>
      </c>
      <c r="AA1508" s="59">
        <v>47776</v>
      </c>
      <c r="AB1508" s="57" t="s">
        <v>61</v>
      </c>
      <c r="AC1508" s="60">
        <v>46031</v>
      </c>
      <c r="AD1508" s="59">
        <v>47776</v>
      </c>
      <c r="AE1508" s="57" t="s">
        <v>5672</v>
      </c>
      <c r="AF1508" s="57" t="s">
        <v>5673</v>
      </c>
    </row>
    <row r="1509" spans="1:32">
      <c r="A1509" s="57">
        <v>1508</v>
      </c>
      <c r="B1509" s="58">
        <v>46090.459722222222</v>
      </c>
      <c r="C1509" s="58">
        <v>46090.464456018519</v>
      </c>
      <c r="D1509" s="57" t="s">
        <v>1750</v>
      </c>
      <c r="E1509" s="57" t="s">
        <v>1751</v>
      </c>
      <c r="F1509" s="58"/>
      <c r="G1509" s="57" t="s">
        <v>530</v>
      </c>
      <c r="H1509" s="59">
        <v>1</v>
      </c>
      <c r="I1509" s="57"/>
      <c r="J1509" s="57"/>
      <c r="K1509" s="59"/>
      <c r="L1509" s="57"/>
      <c r="M1509" s="60"/>
      <c r="N1509" s="59"/>
      <c r="O1509" s="57"/>
      <c r="P1509" s="57"/>
      <c r="Q1509" s="57"/>
      <c r="R1509" s="57"/>
      <c r="S1509" s="59"/>
      <c r="T1509" s="57"/>
      <c r="U1509" s="60"/>
      <c r="V1509" s="59"/>
      <c r="W1509" s="57"/>
      <c r="X1509" s="57"/>
      <c r="Y1509" s="57" t="s">
        <v>21</v>
      </c>
      <c r="Z1509" s="57" t="s">
        <v>197</v>
      </c>
      <c r="AA1509" s="59">
        <v>33220</v>
      </c>
      <c r="AB1509" s="57" t="s">
        <v>61</v>
      </c>
      <c r="AC1509" s="60">
        <v>46087</v>
      </c>
      <c r="AD1509" s="59">
        <v>33220</v>
      </c>
      <c r="AE1509" s="57" t="s">
        <v>5674</v>
      </c>
      <c r="AF1509" s="57" t="s">
        <v>5675</v>
      </c>
    </row>
    <row r="1510" spans="1:32">
      <c r="A1510" s="57">
        <v>1509</v>
      </c>
      <c r="B1510" s="58">
        <v>46090.516168981478</v>
      </c>
      <c r="C1510" s="58">
        <v>46090.519166666672</v>
      </c>
      <c r="D1510" s="57" t="s">
        <v>1084</v>
      </c>
      <c r="E1510" s="57" t="s">
        <v>1085</v>
      </c>
      <c r="F1510" s="58"/>
      <c r="G1510" s="57" t="s">
        <v>532</v>
      </c>
      <c r="H1510" s="59">
        <v>2</v>
      </c>
      <c r="I1510" s="57"/>
      <c r="J1510" s="57"/>
      <c r="K1510" s="59"/>
      <c r="L1510" s="57"/>
      <c r="M1510" s="60"/>
      <c r="N1510" s="59"/>
      <c r="O1510" s="57"/>
      <c r="P1510" s="57"/>
      <c r="Q1510" s="57" t="s">
        <v>21</v>
      </c>
      <c r="R1510" s="57" t="s">
        <v>379</v>
      </c>
      <c r="S1510" s="59">
        <v>13461</v>
      </c>
      <c r="T1510" s="57" t="s">
        <v>61</v>
      </c>
      <c r="U1510" s="60">
        <v>45994</v>
      </c>
      <c r="V1510" s="59">
        <v>13461</v>
      </c>
      <c r="W1510" s="57" t="s">
        <v>5676</v>
      </c>
      <c r="X1510" s="57" t="s">
        <v>5677</v>
      </c>
      <c r="Y1510" s="57" t="s">
        <v>22</v>
      </c>
      <c r="Z1510" s="57" t="s">
        <v>200</v>
      </c>
      <c r="AA1510" s="59">
        <v>113898</v>
      </c>
      <c r="AB1510" s="57" t="s">
        <v>61</v>
      </c>
      <c r="AC1510" s="60">
        <v>46088</v>
      </c>
      <c r="AD1510" s="59">
        <v>113898</v>
      </c>
      <c r="AE1510" s="57" t="s">
        <v>5678</v>
      </c>
      <c r="AF1510" s="57" t="s">
        <v>5679</v>
      </c>
    </row>
    <row r="1511" spans="1:32">
      <c r="A1511" s="57">
        <v>1510</v>
      </c>
      <c r="B1511" s="58">
        <v>46090.540717592587</v>
      </c>
      <c r="C1511" s="58">
        <v>46090.543402777781</v>
      </c>
      <c r="D1511" s="57" t="s">
        <v>1434</v>
      </c>
      <c r="E1511" s="57" t="s">
        <v>1435</v>
      </c>
      <c r="F1511" s="58"/>
      <c r="G1511" s="57" t="s">
        <v>634</v>
      </c>
      <c r="H1511" s="59">
        <v>1</v>
      </c>
      <c r="I1511" s="57"/>
      <c r="J1511" s="57"/>
      <c r="K1511" s="59"/>
      <c r="L1511" s="57"/>
      <c r="M1511" s="60"/>
      <c r="N1511" s="59"/>
      <c r="O1511" s="57"/>
      <c r="P1511" s="57"/>
      <c r="Q1511" s="57"/>
      <c r="R1511" s="57"/>
      <c r="S1511" s="59"/>
      <c r="T1511" s="57"/>
      <c r="U1511" s="60"/>
      <c r="V1511" s="59"/>
      <c r="W1511" s="57"/>
      <c r="X1511" s="57"/>
      <c r="Y1511" s="57" t="s">
        <v>20</v>
      </c>
      <c r="Z1511" s="57" t="s">
        <v>325</v>
      </c>
      <c r="AA1511" s="59">
        <v>21609</v>
      </c>
      <c r="AB1511" s="57" t="s">
        <v>61</v>
      </c>
      <c r="AC1511" s="60">
        <v>46087</v>
      </c>
      <c r="AD1511" s="59">
        <v>21609</v>
      </c>
      <c r="AE1511" s="57" t="s">
        <v>5680</v>
      </c>
      <c r="AF1511" s="57" t="s">
        <v>5681</v>
      </c>
    </row>
    <row r="1512" spans="1:32">
      <c r="A1512" s="57">
        <v>1511</v>
      </c>
      <c r="B1512" s="58">
        <v>46091.372557870367</v>
      </c>
      <c r="C1512" s="58">
        <v>46091.38071759259</v>
      </c>
      <c r="D1512" s="57" t="s">
        <v>4407</v>
      </c>
      <c r="E1512" s="57" t="s">
        <v>4408</v>
      </c>
      <c r="F1512" s="58"/>
      <c r="G1512" s="57" t="s">
        <v>650</v>
      </c>
      <c r="H1512" s="59">
        <v>1</v>
      </c>
      <c r="I1512" s="57"/>
      <c r="J1512" s="57"/>
      <c r="K1512" s="59"/>
      <c r="L1512" s="57"/>
      <c r="M1512" s="60"/>
      <c r="N1512" s="59"/>
      <c r="O1512" s="57"/>
      <c r="P1512" s="57"/>
      <c r="Q1512" s="57"/>
      <c r="R1512" s="57"/>
      <c r="S1512" s="59"/>
      <c r="T1512" s="57"/>
      <c r="U1512" s="60"/>
      <c r="V1512" s="59"/>
      <c r="W1512" s="57"/>
      <c r="X1512" s="57"/>
      <c r="Y1512" s="57" t="s">
        <v>21</v>
      </c>
      <c r="Z1512" s="57" t="s">
        <v>347</v>
      </c>
      <c r="AA1512" s="59">
        <v>16282</v>
      </c>
      <c r="AB1512" s="57" t="s">
        <v>61</v>
      </c>
      <c r="AC1512" s="60">
        <v>46090</v>
      </c>
      <c r="AD1512" s="59">
        <v>16282</v>
      </c>
      <c r="AE1512" s="57" t="s">
        <v>5682</v>
      </c>
      <c r="AF1512" s="57" t="s">
        <v>5683</v>
      </c>
    </row>
    <row r="1513" spans="1:32">
      <c r="A1513" s="57">
        <v>1512</v>
      </c>
      <c r="B1513" s="58">
        <v>46091.656319444453</v>
      </c>
      <c r="C1513" s="58">
        <v>46091.660208333327</v>
      </c>
      <c r="D1513" s="57" t="s">
        <v>5684</v>
      </c>
      <c r="E1513" s="57" t="s">
        <v>5685</v>
      </c>
      <c r="F1513" s="58"/>
      <c r="G1513" s="57" t="s">
        <v>677</v>
      </c>
      <c r="H1513" s="59">
        <v>1</v>
      </c>
      <c r="I1513" s="57"/>
      <c r="J1513" s="57"/>
      <c r="K1513" s="59"/>
      <c r="L1513" s="57"/>
      <c r="M1513" s="60"/>
      <c r="N1513" s="59"/>
      <c r="O1513" s="57"/>
      <c r="P1513" s="57"/>
      <c r="Q1513" s="57"/>
      <c r="R1513" s="57"/>
      <c r="S1513" s="59"/>
      <c r="T1513" s="57"/>
      <c r="U1513" s="60"/>
      <c r="V1513" s="59"/>
      <c r="W1513" s="57"/>
      <c r="X1513" s="57"/>
      <c r="Y1513" s="57" t="s">
        <v>21</v>
      </c>
      <c r="Z1513" s="57" t="s">
        <v>391</v>
      </c>
      <c r="AA1513" s="59">
        <v>3041</v>
      </c>
      <c r="AB1513" s="57" t="s">
        <v>61</v>
      </c>
      <c r="AC1513" s="60">
        <v>46067</v>
      </c>
      <c r="AD1513" s="59">
        <v>3041</v>
      </c>
      <c r="AE1513" s="57" t="s">
        <v>5686</v>
      </c>
      <c r="AF1513" s="57" t="s">
        <v>5687</v>
      </c>
    </row>
    <row r="1514" spans="1:32">
      <c r="A1514" s="57">
        <v>1513</v>
      </c>
      <c r="B1514" s="58">
        <v>46091.688518518517</v>
      </c>
      <c r="C1514" s="58">
        <v>46091.693530092591</v>
      </c>
      <c r="D1514" s="57" t="s">
        <v>1209</v>
      </c>
      <c r="E1514" s="57" t="s">
        <v>1210</v>
      </c>
      <c r="F1514" s="58"/>
      <c r="G1514" s="57" t="s">
        <v>581</v>
      </c>
      <c r="H1514" s="59">
        <v>2</v>
      </c>
      <c r="I1514" s="57"/>
      <c r="J1514" s="57"/>
      <c r="K1514" s="59"/>
      <c r="L1514" s="57"/>
      <c r="M1514" s="60"/>
      <c r="N1514" s="59"/>
      <c r="O1514" s="57"/>
      <c r="P1514" s="57"/>
      <c r="Q1514" s="57" t="s">
        <v>22</v>
      </c>
      <c r="R1514" s="57" t="s">
        <v>255</v>
      </c>
      <c r="S1514" s="59">
        <v>33340</v>
      </c>
      <c r="T1514" s="57" t="s">
        <v>61</v>
      </c>
      <c r="U1514" s="60">
        <v>46036</v>
      </c>
      <c r="V1514" s="59">
        <v>33340</v>
      </c>
      <c r="W1514" s="57" t="s">
        <v>5688</v>
      </c>
      <c r="X1514" s="57" t="s">
        <v>5689</v>
      </c>
      <c r="Y1514" s="57" t="s">
        <v>21</v>
      </c>
      <c r="Z1514" s="57" t="s">
        <v>417</v>
      </c>
      <c r="AA1514" s="59">
        <v>5071</v>
      </c>
      <c r="AB1514" s="57" t="s">
        <v>61</v>
      </c>
      <c r="AC1514" s="60">
        <v>46091</v>
      </c>
      <c r="AD1514" s="59">
        <v>5071</v>
      </c>
      <c r="AE1514" s="57" t="s">
        <v>5690</v>
      </c>
      <c r="AF1514" s="57" t="s">
        <v>5691</v>
      </c>
    </row>
    <row r="1515" spans="1:32">
      <c r="A1515" s="57">
        <v>1514</v>
      </c>
      <c r="B1515" s="58">
        <v>46091.625763888893</v>
      </c>
      <c r="C1515" s="58">
        <v>46091.711701388893</v>
      </c>
      <c r="D1515" s="57" t="s">
        <v>4177</v>
      </c>
      <c r="E1515" s="57" t="s">
        <v>4178</v>
      </c>
      <c r="F1515" s="58"/>
      <c r="G1515" s="57" t="s">
        <v>499</v>
      </c>
      <c r="H1515" s="59">
        <v>2</v>
      </c>
      <c r="I1515" s="57"/>
      <c r="J1515" s="57"/>
      <c r="K1515" s="59"/>
      <c r="L1515" s="57"/>
      <c r="M1515" s="60"/>
      <c r="N1515" s="59"/>
      <c r="O1515" s="57"/>
      <c r="P1515" s="57"/>
      <c r="Q1515" s="57" t="s">
        <v>22</v>
      </c>
      <c r="R1515" s="57" t="s">
        <v>165</v>
      </c>
      <c r="S1515" s="59">
        <v>41876</v>
      </c>
      <c r="T1515" s="57" t="s">
        <v>61</v>
      </c>
      <c r="U1515" s="60">
        <v>45953</v>
      </c>
      <c r="V1515" s="59">
        <v>41876</v>
      </c>
      <c r="W1515" s="57" t="s">
        <v>5692</v>
      </c>
      <c r="X1515" s="57" t="s">
        <v>5693</v>
      </c>
      <c r="Y1515" s="57" t="s">
        <v>21</v>
      </c>
      <c r="Z1515" s="57" t="s">
        <v>428</v>
      </c>
      <c r="AA1515" s="59">
        <v>2108</v>
      </c>
      <c r="AB1515" s="57" t="s">
        <v>61</v>
      </c>
      <c r="AC1515" s="60">
        <v>46351</v>
      </c>
      <c r="AD1515" s="59">
        <v>2108</v>
      </c>
      <c r="AE1515" s="57" t="s">
        <v>5694</v>
      </c>
      <c r="AF1515" s="57" t="s">
        <v>5695</v>
      </c>
    </row>
    <row r="1516" spans="1:32">
      <c r="A1516" s="57">
        <v>1515</v>
      </c>
      <c r="B1516" s="58">
        <v>46092.560196759259</v>
      </c>
      <c r="C1516" s="58">
        <v>46092.591087962966</v>
      </c>
      <c r="D1516" s="57" t="s">
        <v>1410</v>
      </c>
      <c r="E1516" s="57" t="s">
        <v>1411</v>
      </c>
      <c r="F1516" s="58"/>
      <c r="G1516" s="57" t="s">
        <v>493</v>
      </c>
      <c r="H1516" s="59">
        <v>2</v>
      </c>
      <c r="I1516" s="57"/>
      <c r="J1516" s="57"/>
      <c r="K1516" s="59"/>
      <c r="L1516" s="57"/>
      <c r="M1516" s="60"/>
      <c r="N1516" s="59"/>
      <c r="O1516" s="57"/>
      <c r="P1516" s="57"/>
      <c r="Q1516" s="57" t="s">
        <v>22</v>
      </c>
      <c r="R1516" s="57" t="s">
        <v>397</v>
      </c>
      <c r="S1516" s="59">
        <v>10126</v>
      </c>
      <c r="T1516" s="57" t="s">
        <v>61</v>
      </c>
      <c r="U1516" s="60">
        <v>46090</v>
      </c>
      <c r="V1516" s="59">
        <v>10126</v>
      </c>
      <c r="W1516" s="57" t="s">
        <v>5696</v>
      </c>
      <c r="X1516" s="57" t="s">
        <v>5697</v>
      </c>
      <c r="Y1516" s="57" t="s">
        <v>21</v>
      </c>
      <c r="Z1516" s="57" t="s">
        <v>159</v>
      </c>
      <c r="AA1516" s="59">
        <v>43635</v>
      </c>
      <c r="AB1516" s="57" t="s">
        <v>61</v>
      </c>
      <c r="AC1516" s="60">
        <v>46042</v>
      </c>
      <c r="AD1516" s="59">
        <v>43635</v>
      </c>
      <c r="AE1516" s="57" t="s">
        <v>5698</v>
      </c>
      <c r="AF1516" s="57" t="s">
        <v>5699</v>
      </c>
    </row>
    <row r="1517" spans="1:32">
      <c r="A1517" s="57">
        <v>1516</v>
      </c>
      <c r="B1517" s="58">
        <v>46092.664687500001</v>
      </c>
      <c r="C1517" s="58">
        <v>46092.673356481479</v>
      </c>
      <c r="D1517" s="57" t="s">
        <v>999</v>
      </c>
      <c r="E1517" s="57" t="s">
        <v>1000</v>
      </c>
      <c r="F1517" s="58"/>
      <c r="G1517" s="57" t="s">
        <v>577</v>
      </c>
      <c r="H1517" s="59">
        <v>1</v>
      </c>
      <c r="I1517" s="57"/>
      <c r="J1517" s="57"/>
      <c r="K1517" s="59"/>
      <c r="L1517" s="57"/>
      <c r="M1517" s="60"/>
      <c r="N1517" s="59"/>
      <c r="O1517" s="57"/>
      <c r="P1517" s="57"/>
      <c r="Q1517" s="57"/>
      <c r="R1517" s="57"/>
      <c r="S1517" s="59"/>
      <c r="T1517" s="57"/>
      <c r="U1517" s="60"/>
      <c r="V1517" s="59"/>
      <c r="W1517" s="57"/>
      <c r="X1517" s="57"/>
      <c r="Y1517" s="57" t="s">
        <v>21</v>
      </c>
      <c r="Z1517" s="57" t="s">
        <v>249</v>
      </c>
      <c r="AA1517" s="59">
        <v>24621</v>
      </c>
      <c r="AB1517" s="57" t="s">
        <v>61</v>
      </c>
      <c r="AC1517" s="60">
        <v>46092</v>
      </c>
      <c r="AD1517" s="59">
        <v>24621</v>
      </c>
      <c r="AE1517" s="57" t="s">
        <v>5700</v>
      </c>
      <c r="AF1517" s="57" t="s">
        <v>5701</v>
      </c>
    </row>
    <row r="1518" spans="1:32">
      <c r="A1518" s="57">
        <v>1517</v>
      </c>
      <c r="B1518" s="58">
        <v>46092.700173611112</v>
      </c>
      <c r="C1518" s="58">
        <v>46092.703645833331</v>
      </c>
      <c r="D1518" s="57" t="s">
        <v>1007</v>
      </c>
      <c r="E1518" s="57" t="s">
        <v>1008</v>
      </c>
      <c r="F1518" s="58"/>
      <c r="G1518" s="57" t="s">
        <v>528</v>
      </c>
      <c r="H1518" s="59">
        <v>2</v>
      </c>
      <c r="I1518" s="57"/>
      <c r="J1518" s="57"/>
      <c r="K1518" s="59"/>
      <c r="L1518" s="57"/>
      <c r="M1518" s="60"/>
      <c r="N1518" s="59"/>
      <c r="O1518" s="57"/>
      <c r="P1518" s="57"/>
      <c r="Q1518" s="57" t="s">
        <v>20</v>
      </c>
      <c r="R1518" s="57" t="s">
        <v>400</v>
      </c>
      <c r="S1518" s="59">
        <v>5678</v>
      </c>
      <c r="T1518" s="57" t="s">
        <v>61</v>
      </c>
      <c r="U1518" s="60">
        <v>46091</v>
      </c>
      <c r="V1518" s="59">
        <v>5678</v>
      </c>
      <c r="W1518" s="57" t="s">
        <v>5702</v>
      </c>
      <c r="X1518" s="57" t="s">
        <v>5703</v>
      </c>
      <c r="Y1518" s="57" t="s">
        <v>22</v>
      </c>
      <c r="Z1518" s="57" t="s">
        <v>195</v>
      </c>
      <c r="AA1518" s="59">
        <v>50071</v>
      </c>
      <c r="AB1518" s="57" t="s">
        <v>61</v>
      </c>
      <c r="AC1518" s="60">
        <v>46092</v>
      </c>
      <c r="AD1518" s="59">
        <v>50071</v>
      </c>
      <c r="AE1518" s="57" t="s">
        <v>5704</v>
      </c>
      <c r="AF1518" s="57" t="s">
        <v>5705</v>
      </c>
    </row>
    <row r="1519" spans="1:32">
      <c r="A1519" s="57">
        <v>1518</v>
      </c>
      <c r="B1519" s="58">
        <v>46092.718657407408</v>
      </c>
      <c r="C1519" s="58">
        <v>46092.719918981478</v>
      </c>
      <c r="D1519" s="57" t="s">
        <v>2598</v>
      </c>
      <c r="E1519" s="57" t="s">
        <v>2599</v>
      </c>
      <c r="F1519" s="58"/>
      <c r="G1519" s="57" t="s">
        <v>584</v>
      </c>
      <c r="H1519" s="59">
        <v>1</v>
      </c>
      <c r="I1519" s="57"/>
      <c r="J1519" s="57"/>
      <c r="K1519" s="59"/>
      <c r="L1519" s="57"/>
      <c r="M1519" s="60"/>
      <c r="N1519" s="59"/>
      <c r="O1519" s="57"/>
      <c r="P1519" s="57"/>
      <c r="Q1519" s="57"/>
      <c r="R1519" s="57"/>
      <c r="S1519" s="59"/>
      <c r="T1519" s="57"/>
      <c r="U1519" s="60"/>
      <c r="V1519" s="59"/>
      <c r="W1519" s="57"/>
      <c r="X1519" s="57"/>
      <c r="Y1519" s="57" t="s">
        <v>21</v>
      </c>
      <c r="Z1519" s="57" t="s">
        <v>2600</v>
      </c>
      <c r="AA1519" s="59">
        <v>17656</v>
      </c>
      <c r="AB1519" s="57" t="s">
        <v>61</v>
      </c>
      <c r="AC1519" s="60">
        <v>46092</v>
      </c>
      <c r="AD1519" s="59">
        <v>17656</v>
      </c>
      <c r="AE1519" s="57" t="s">
        <v>5706</v>
      </c>
      <c r="AF1519" s="57" t="s">
        <v>5707</v>
      </c>
    </row>
    <row r="1520" spans="1:32">
      <c r="A1520" s="57">
        <v>1519</v>
      </c>
      <c r="B1520" s="58">
        <v>46092.718229166669</v>
      </c>
      <c r="C1520" s="58">
        <v>46092.722094907411</v>
      </c>
      <c r="D1520" s="57" t="s">
        <v>2613</v>
      </c>
      <c r="E1520" s="57" t="s">
        <v>2614</v>
      </c>
      <c r="F1520" s="58"/>
      <c r="G1520" s="57" t="s">
        <v>482</v>
      </c>
      <c r="H1520" s="59">
        <v>2</v>
      </c>
      <c r="I1520" s="57"/>
      <c r="J1520" s="57"/>
      <c r="K1520" s="59"/>
      <c r="L1520" s="57"/>
      <c r="M1520" s="60"/>
      <c r="N1520" s="59"/>
      <c r="O1520" s="57"/>
      <c r="P1520" s="57"/>
      <c r="Q1520" s="57" t="s">
        <v>22</v>
      </c>
      <c r="R1520" s="57" t="s">
        <v>5708</v>
      </c>
      <c r="S1520" s="59">
        <v>598</v>
      </c>
      <c r="T1520" s="57" t="s">
        <v>61</v>
      </c>
      <c r="U1520" s="60">
        <v>46085</v>
      </c>
      <c r="V1520" s="59">
        <v>598</v>
      </c>
      <c r="W1520" s="57" t="s">
        <v>5709</v>
      </c>
      <c r="X1520" s="57" t="s">
        <v>5710</v>
      </c>
      <c r="Y1520" s="57" t="s">
        <v>21</v>
      </c>
      <c r="Z1520" s="57" t="s">
        <v>316</v>
      </c>
      <c r="AA1520" s="59">
        <v>10479</v>
      </c>
      <c r="AB1520" s="57" t="s">
        <v>61</v>
      </c>
      <c r="AC1520" s="60">
        <v>45936</v>
      </c>
      <c r="AD1520" s="59">
        <v>10479</v>
      </c>
      <c r="AE1520" s="57" t="s">
        <v>5711</v>
      </c>
      <c r="AF1520" s="57" t="s">
        <v>5712</v>
      </c>
    </row>
    <row r="1521" spans="1:32">
      <c r="A1521" s="57">
        <v>1520</v>
      </c>
      <c r="B1521" s="58">
        <v>46093.373078703713</v>
      </c>
      <c r="C1521" s="58">
        <v>46093.374675925923</v>
      </c>
      <c r="D1521" s="57" t="s">
        <v>1767</v>
      </c>
      <c r="E1521" s="57" t="s">
        <v>1768</v>
      </c>
      <c r="F1521" s="58"/>
      <c r="G1521" s="57" t="s">
        <v>541</v>
      </c>
      <c r="H1521" s="59">
        <v>1</v>
      </c>
      <c r="I1521" s="57"/>
      <c r="J1521" s="57"/>
      <c r="K1521" s="59"/>
      <c r="L1521" s="57"/>
      <c r="M1521" s="60"/>
      <c r="N1521" s="59"/>
      <c r="O1521" s="57"/>
      <c r="P1521" s="57"/>
      <c r="Q1521" s="57"/>
      <c r="R1521" s="57"/>
      <c r="S1521" s="59"/>
      <c r="T1521" s="57"/>
      <c r="U1521" s="60"/>
      <c r="V1521" s="59"/>
      <c r="W1521" s="57"/>
      <c r="X1521" s="57"/>
      <c r="Y1521" s="57" t="s">
        <v>21</v>
      </c>
      <c r="Z1521" s="57" t="s">
        <v>210</v>
      </c>
      <c r="AA1521" s="59">
        <v>55044</v>
      </c>
      <c r="AB1521" s="57" t="s">
        <v>61</v>
      </c>
      <c r="AC1521" s="60">
        <v>46051</v>
      </c>
      <c r="AD1521" s="59">
        <v>55044</v>
      </c>
      <c r="AE1521" s="57" t="s">
        <v>5713</v>
      </c>
      <c r="AF1521" s="57" t="s">
        <v>5714</v>
      </c>
    </row>
    <row r="1522" spans="1:32">
      <c r="A1522" s="57">
        <v>1521</v>
      </c>
      <c r="B1522" s="58">
        <v>46093.486793981479</v>
      </c>
      <c r="C1522" s="58">
        <v>46093.492592592593</v>
      </c>
      <c r="D1522" s="57" t="s">
        <v>2267</v>
      </c>
      <c r="E1522" s="57" t="s">
        <v>2268</v>
      </c>
      <c r="F1522" s="58"/>
      <c r="G1522" s="57" t="s">
        <v>518</v>
      </c>
      <c r="H1522" s="59">
        <v>1</v>
      </c>
      <c r="I1522" s="57"/>
      <c r="J1522" s="57"/>
      <c r="K1522" s="59"/>
      <c r="L1522" s="57"/>
      <c r="M1522" s="60"/>
      <c r="N1522" s="59"/>
      <c r="O1522" s="57"/>
      <c r="P1522" s="57"/>
      <c r="Q1522" s="57"/>
      <c r="R1522" s="57"/>
      <c r="S1522" s="59"/>
      <c r="T1522" s="57"/>
      <c r="U1522" s="60"/>
      <c r="V1522" s="59"/>
      <c r="W1522" s="57"/>
      <c r="X1522" s="57"/>
      <c r="Y1522" s="57" t="s">
        <v>22</v>
      </c>
      <c r="Z1522" s="57" t="s">
        <v>265</v>
      </c>
      <c r="AA1522" s="59">
        <v>54275</v>
      </c>
      <c r="AB1522" s="57" t="s">
        <v>61</v>
      </c>
      <c r="AC1522" s="60">
        <v>46093</v>
      </c>
      <c r="AD1522" s="59">
        <v>54275</v>
      </c>
      <c r="AE1522" s="57" t="s">
        <v>5715</v>
      </c>
      <c r="AF1522" s="57" t="s">
        <v>5716</v>
      </c>
    </row>
    <row r="1523" spans="1:32">
      <c r="A1523" s="57">
        <v>1522</v>
      </c>
      <c r="B1523" s="58">
        <v>46093.61959490741</v>
      </c>
      <c r="C1523" s="58">
        <v>46093.622430555559</v>
      </c>
      <c r="D1523" s="57" t="s">
        <v>3749</v>
      </c>
      <c r="E1523" s="57" t="s">
        <v>3750</v>
      </c>
      <c r="F1523" s="58"/>
      <c r="G1523" s="57" t="s">
        <v>505</v>
      </c>
      <c r="H1523" s="59">
        <v>1</v>
      </c>
      <c r="I1523" s="57"/>
      <c r="J1523" s="57"/>
      <c r="K1523" s="59"/>
      <c r="L1523" s="57"/>
      <c r="M1523" s="60"/>
      <c r="N1523" s="59"/>
      <c r="O1523" s="57"/>
      <c r="P1523" s="57"/>
      <c r="Q1523" s="57"/>
      <c r="R1523" s="57"/>
      <c r="S1523" s="59"/>
      <c r="T1523" s="57"/>
      <c r="U1523" s="60"/>
      <c r="V1523" s="59"/>
      <c r="W1523" s="57"/>
      <c r="X1523" s="57"/>
      <c r="Y1523" s="57" t="s">
        <v>20</v>
      </c>
      <c r="Z1523" s="57" t="s">
        <v>171</v>
      </c>
      <c r="AA1523" s="59">
        <v>90157</v>
      </c>
      <c r="AB1523" s="57" t="s">
        <v>61</v>
      </c>
      <c r="AC1523" s="60">
        <v>46093</v>
      </c>
      <c r="AD1523" s="59">
        <v>90157</v>
      </c>
      <c r="AE1523" s="57" t="s">
        <v>5717</v>
      </c>
      <c r="AF1523" s="57" t="s">
        <v>5718</v>
      </c>
    </row>
    <row r="1524" spans="1:32">
      <c r="A1524" s="57">
        <v>1523</v>
      </c>
      <c r="B1524" s="58">
        <v>46093.628009259257</v>
      </c>
      <c r="C1524" s="58">
        <v>46093.630335648151</v>
      </c>
      <c r="D1524" s="57" t="s">
        <v>813</v>
      </c>
      <c r="E1524" s="57" t="s">
        <v>814</v>
      </c>
      <c r="F1524" s="58"/>
      <c r="G1524" s="57" t="s">
        <v>471</v>
      </c>
      <c r="H1524" s="59">
        <v>1</v>
      </c>
      <c r="I1524" s="57"/>
      <c r="J1524" s="57"/>
      <c r="K1524" s="59"/>
      <c r="L1524" s="57"/>
      <c r="M1524" s="60"/>
      <c r="N1524" s="59"/>
      <c r="O1524" s="57"/>
      <c r="P1524" s="57"/>
      <c r="Q1524" s="57"/>
      <c r="R1524" s="57"/>
      <c r="S1524" s="59"/>
      <c r="T1524" s="57"/>
      <c r="U1524" s="60"/>
      <c r="V1524" s="59"/>
      <c r="W1524" s="57"/>
      <c r="X1524" s="57"/>
      <c r="Y1524" s="57" t="s">
        <v>21</v>
      </c>
      <c r="Z1524" s="57" t="s">
        <v>137</v>
      </c>
      <c r="AA1524" s="59">
        <v>30678</v>
      </c>
      <c r="AB1524" s="57" t="s">
        <v>61</v>
      </c>
      <c r="AC1524" s="60">
        <v>45980</v>
      </c>
      <c r="AD1524" s="59">
        <v>30678</v>
      </c>
      <c r="AE1524" s="57" t="s">
        <v>5719</v>
      </c>
      <c r="AF1524" s="57" t="s">
        <v>5720</v>
      </c>
    </row>
    <row r="1525" spans="1:32">
      <c r="A1525" s="57">
        <v>1524</v>
      </c>
      <c r="B1525" s="58">
        <v>46093.633090277777</v>
      </c>
      <c r="C1525" s="58">
        <v>46093.638726851852</v>
      </c>
      <c r="D1525" s="57" t="s">
        <v>2549</v>
      </c>
      <c r="E1525" s="57" t="s">
        <v>2550</v>
      </c>
      <c r="F1525" s="58"/>
      <c r="G1525" s="57" t="s">
        <v>654</v>
      </c>
      <c r="H1525" s="59">
        <v>2</v>
      </c>
      <c r="I1525" s="57"/>
      <c r="J1525" s="57"/>
      <c r="K1525" s="59"/>
      <c r="L1525" s="57"/>
      <c r="M1525" s="60"/>
      <c r="N1525" s="59"/>
      <c r="O1525" s="57"/>
      <c r="P1525" s="57"/>
      <c r="Q1525" s="57" t="s">
        <v>21</v>
      </c>
      <c r="R1525" s="57" t="s">
        <v>394</v>
      </c>
      <c r="S1525" s="59">
        <v>87002</v>
      </c>
      <c r="T1525" s="57" t="s">
        <v>61</v>
      </c>
      <c r="U1525" s="60">
        <v>46031</v>
      </c>
      <c r="V1525" s="59">
        <v>87002</v>
      </c>
      <c r="W1525" s="57" t="s">
        <v>5721</v>
      </c>
      <c r="X1525" s="57" t="s">
        <v>5722</v>
      </c>
      <c r="Y1525" s="57" t="s">
        <v>22</v>
      </c>
      <c r="Z1525" s="57" t="s">
        <v>352</v>
      </c>
      <c r="AA1525" s="59">
        <v>21020</v>
      </c>
      <c r="AB1525" s="57" t="s">
        <v>61</v>
      </c>
      <c r="AC1525" s="60">
        <v>46090</v>
      </c>
      <c r="AD1525" s="59">
        <v>21020</v>
      </c>
      <c r="AE1525" s="57" t="s">
        <v>5723</v>
      </c>
      <c r="AF1525" s="57" t="s">
        <v>5724</v>
      </c>
    </row>
    <row r="1526" spans="1:32">
      <c r="A1526" s="57">
        <v>1525</v>
      </c>
      <c r="B1526" s="58">
        <v>46093.649502314824</v>
      </c>
      <c r="C1526" s="58">
        <v>46093.654062499998</v>
      </c>
      <c r="D1526" s="57" t="s">
        <v>1745</v>
      </c>
      <c r="E1526" s="57" t="s">
        <v>1746</v>
      </c>
      <c r="F1526" s="58"/>
      <c r="G1526" s="57" t="s">
        <v>557</v>
      </c>
      <c r="H1526" s="59">
        <v>2</v>
      </c>
      <c r="I1526" s="57"/>
      <c r="J1526" s="57"/>
      <c r="K1526" s="59"/>
      <c r="L1526" s="57"/>
      <c r="M1526" s="60"/>
      <c r="N1526" s="59"/>
      <c r="O1526" s="57"/>
      <c r="P1526" s="57"/>
      <c r="Q1526" s="57" t="s">
        <v>22</v>
      </c>
      <c r="R1526" s="57" t="s">
        <v>227</v>
      </c>
      <c r="S1526" s="59">
        <v>74409</v>
      </c>
      <c r="T1526" s="57" t="s">
        <v>61</v>
      </c>
      <c r="U1526" s="60">
        <v>46030</v>
      </c>
      <c r="V1526" s="59">
        <v>74409</v>
      </c>
      <c r="W1526" s="57" t="s">
        <v>5725</v>
      </c>
      <c r="X1526" s="57" t="s">
        <v>5726</v>
      </c>
      <c r="Y1526" s="57" t="s">
        <v>20</v>
      </c>
      <c r="Z1526" s="57" t="s">
        <v>405</v>
      </c>
      <c r="AA1526" s="59">
        <v>14389</v>
      </c>
      <c r="AB1526" s="57" t="s">
        <v>61</v>
      </c>
      <c r="AC1526" s="60">
        <v>46044</v>
      </c>
      <c r="AD1526" s="59">
        <v>14389</v>
      </c>
      <c r="AE1526" s="57" t="s">
        <v>5727</v>
      </c>
      <c r="AF1526" s="57" t="s">
        <v>5728</v>
      </c>
    </row>
    <row r="1527" spans="1:32">
      <c r="A1527" s="57">
        <v>1526</v>
      </c>
      <c r="B1527" s="58">
        <v>46093.80190972222</v>
      </c>
      <c r="C1527" s="58">
        <v>46093.806250000001</v>
      </c>
      <c r="D1527" s="57" t="s">
        <v>5729</v>
      </c>
      <c r="E1527" s="57" t="s">
        <v>5730</v>
      </c>
      <c r="F1527" s="58"/>
      <c r="G1527" s="57" t="s">
        <v>476</v>
      </c>
      <c r="H1527" s="59">
        <v>1</v>
      </c>
      <c r="I1527" s="57"/>
      <c r="J1527" s="57"/>
      <c r="K1527" s="59"/>
      <c r="L1527" s="57"/>
      <c r="M1527" s="60"/>
      <c r="N1527" s="59"/>
      <c r="O1527" s="57"/>
      <c r="P1527" s="57"/>
      <c r="Q1527" s="57"/>
      <c r="R1527" s="57"/>
      <c r="S1527" s="59"/>
      <c r="T1527" s="57"/>
      <c r="U1527" s="60"/>
      <c r="V1527" s="59"/>
      <c r="W1527" s="57"/>
      <c r="X1527" s="57"/>
      <c r="Y1527" s="57" t="s">
        <v>21</v>
      </c>
      <c r="Z1527" s="57" t="s">
        <v>142</v>
      </c>
      <c r="AA1527" s="59">
        <v>53253</v>
      </c>
      <c r="AB1527" s="57" t="s">
        <v>61</v>
      </c>
      <c r="AC1527" s="60">
        <v>45992</v>
      </c>
      <c r="AD1527" s="59">
        <v>53253</v>
      </c>
      <c r="AE1527" s="57" t="s">
        <v>5731</v>
      </c>
      <c r="AF1527" s="57" t="s">
        <v>5732</v>
      </c>
    </row>
    <row r="1528" spans="1:32">
      <c r="A1528" s="57">
        <v>1527</v>
      </c>
      <c r="B1528" s="58">
        <v>46094.457546296297</v>
      </c>
      <c r="C1528" s="58">
        <v>46094.46193287037</v>
      </c>
      <c r="D1528" s="57" t="s">
        <v>1485</v>
      </c>
      <c r="E1528" s="57" t="s">
        <v>1486</v>
      </c>
      <c r="F1528" s="58"/>
      <c r="G1528" s="57" t="s">
        <v>479</v>
      </c>
      <c r="H1528" s="59">
        <v>1</v>
      </c>
      <c r="I1528" s="57"/>
      <c r="J1528" s="57"/>
      <c r="K1528" s="59"/>
      <c r="L1528" s="57"/>
      <c r="M1528" s="60"/>
      <c r="N1528" s="59"/>
      <c r="O1528" s="57"/>
      <c r="P1528" s="57"/>
      <c r="Q1528" s="57"/>
      <c r="R1528" s="57"/>
      <c r="S1528" s="59"/>
      <c r="T1528" s="57"/>
      <c r="U1528" s="60"/>
      <c r="V1528" s="59"/>
      <c r="W1528" s="57"/>
      <c r="X1528" s="57"/>
      <c r="Y1528" s="57" t="s">
        <v>21</v>
      </c>
      <c r="Z1528" s="57" t="s">
        <v>145</v>
      </c>
      <c r="AA1528" s="59">
        <v>61375</v>
      </c>
      <c r="AB1528" s="57" t="s">
        <v>61</v>
      </c>
      <c r="AC1528" s="60">
        <v>46094</v>
      </c>
      <c r="AD1528" s="59">
        <v>61375</v>
      </c>
      <c r="AE1528" s="57" t="s">
        <v>5733</v>
      </c>
      <c r="AF1528" s="57" t="s">
        <v>5734</v>
      </c>
    </row>
    <row r="1529" spans="1:32">
      <c r="A1529" s="57">
        <v>1528</v>
      </c>
      <c r="B1529" s="58">
        <v>46095.365335648137</v>
      </c>
      <c r="C1529" s="58">
        <v>46095.370995370373</v>
      </c>
      <c r="D1529" s="57" t="s">
        <v>1723</v>
      </c>
      <c r="E1529" s="57" t="s">
        <v>1724</v>
      </c>
      <c r="F1529" s="58"/>
      <c r="G1529" s="57" t="s">
        <v>700</v>
      </c>
      <c r="H1529" s="59">
        <v>1</v>
      </c>
      <c r="I1529" s="57"/>
      <c r="J1529" s="57"/>
      <c r="K1529" s="59"/>
      <c r="L1529" s="57"/>
      <c r="M1529" s="60"/>
      <c r="N1529" s="59"/>
      <c r="O1529" s="57"/>
      <c r="P1529" s="57"/>
      <c r="Q1529" s="57"/>
      <c r="R1529" s="57"/>
      <c r="S1529" s="59"/>
      <c r="T1529" s="57"/>
      <c r="U1529" s="60"/>
      <c r="V1529" s="59"/>
      <c r="W1529" s="57"/>
      <c r="X1529" s="57"/>
      <c r="Y1529" s="57" t="s">
        <v>21</v>
      </c>
      <c r="Z1529" s="57" t="s">
        <v>426</v>
      </c>
      <c r="AA1529" s="59">
        <v>2839</v>
      </c>
      <c r="AB1529" s="57" t="s">
        <v>61</v>
      </c>
      <c r="AC1529" s="60">
        <v>45967</v>
      </c>
      <c r="AD1529" s="59">
        <v>2839</v>
      </c>
      <c r="AE1529" s="57" t="s">
        <v>5735</v>
      </c>
      <c r="AF1529" s="57" t="s">
        <v>5736</v>
      </c>
    </row>
    <row r="1530" spans="1:32">
      <c r="A1530" s="57">
        <v>1529</v>
      </c>
      <c r="B1530" s="58">
        <v>46095.468287037038</v>
      </c>
      <c r="C1530" s="58">
        <v>46095.484131944453</v>
      </c>
      <c r="D1530" s="57" t="s">
        <v>2040</v>
      </c>
      <c r="E1530" s="57" t="s">
        <v>2041</v>
      </c>
      <c r="F1530" s="58"/>
      <c r="G1530" s="57" t="s">
        <v>573</v>
      </c>
      <c r="H1530" s="59">
        <v>2</v>
      </c>
      <c r="I1530" s="57"/>
      <c r="J1530" s="57"/>
      <c r="K1530" s="59"/>
      <c r="L1530" s="57"/>
      <c r="M1530" s="60"/>
      <c r="N1530" s="59"/>
      <c r="O1530" s="57"/>
      <c r="P1530" s="57"/>
      <c r="Q1530" s="57" t="s">
        <v>22</v>
      </c>
      <c r="R1530" s="57" t="s">
        <v>245</v>
      </c>
      <c r="S1530" s="59">
        <v>34725</v>
      </c>
      <c r="T1530" s="57" t="s">
        <v>61</v>
      </c>
      <c r="U1530" s="60">
        <v>46080</v>
      </c>
      <c r="V1530" s="59">
        <v>34725</v>
      </c>
      <c r="W1530" s="57" t="s">
        <v>5737</v>
      </c>
      <c r="X1530" s="57" t="s">
        <v>5738</v>
      </c>
      <c r="Y1530" s="57" t="s">
        <v>21</v>
      </c>
      <c r="Z1530" s="57" t="s">
        <v>2044</v>
      </c>
      <c r="AA1530" s="59">
        <v>55866</v>
      </c>
      <c r="AB1530" s="57" t="s">
        <v>61</v>
      </c>
      <c r="AC1530" s="60">
        <v>45913</v>
      </c>
      <c r="AD1530" s="59">
        <v>55866</v>
      </c>
      <c r="AE1530" s="57" t="s">
        <v>5739</v>
      </c>
      <c r="AF1530" s="57" t="s">
        <v>5740</v>
      </c>
    </row>
    <row r="1531" spans="1:32">
      <c r="A1531" s="57">
        <v>1530</v>
      </c>
      <c r="B1531" s="58">
        <v>46095.517581018517</v>
      </c>
      <c r="C1531" s="58">
        <v>46095.518946759257</v>
      </c>
      <c r="D1531" s="57" t="s">
        <v>5054</v>
      </c>
      <c r="E1531" s="57" t="s">
        <v>5055</v>
      </c>
      <c r="F1531" s="58"/>
      <c r="G1531" s="57" t="s">
        <v>651</v>
      </c>
      <c r="H1531" s="59">
        <v>1</v>
      </c>
      <c r="I1531" s="57"/>
      <c r="J1531" s="57"/>
      <c r="K1531" s="59"/>
      <c r="L1531" s="57"/>
      <c r="M1531" s="60"/>
      <c r="N1531" s="59"/>
      <c r="O1531" s="57"/>
      <c r="P1531" s="57"/>
      <c r="Q1531" s="57"/>
      <c r="R1531" s="57"/>
      <c r="S1531" s="59"/>
      <c r="T1531" s="57"/>
      <c r="U1531" s="60"/>
      <c r="V1531" s="59"/>
      <c r="W1531" s="57"/>
      <c r="X1531" s="57"/>
      <c r="Y1531" s="57" t="s">
        <v>21</v>
      </c>
      <c r="Z1531" s="57" t="s">
        <v>348</v>
      </c>
      <c r="AA1531" s="59">
        <v>24109</v>
      </c>
      <c r="AB1531" s="57" t="s">
        <v>61</v>
      </c>
      <c r="AC1531" s="60">
        <v>46008</v>
      </c>
      <c r="AD1531" s="59">
        <v>24109</v>
      </c>
      <c r="AE1531" s="57" t="s">
        <v>5741</v>
      </c>
      <c r="AF1531" s="57" t="s">
        <v>5742</v>
      </c>
    </row>
    <row r="1532" spans="1:32">
      <c r="A1532" s="57">
        <v>1531</v>
      </c>
      <c r="B1532" s="58">
        <v>46097.332280092603</v>
      </c>
      <c r="C1532" s="58">
        <v>46097.341909722221</v>
      </c>
      <c r="D1532" s="57" t="s">
        <v>1674</v>
      </c>
      <c r="E1532" s="57" t="s">
        <v>1675</v>
      </c>
      <c r="F1532" s="58"/>
      <c r="G1532" s="57" t="s">
        <v>515</v>
      </c>
      <c r="H1532" s="59">
        <v>1</v>
      </c>
      <c r="I1532" s="57"/>
      <c r="J1532" s="57"/>
      <c r="K1532" s="59"/>
      <c r="L1532" s="57"/>
      <c r="M1532" s="60"/>
      <c r="N1532" s="59"/>
      <c r="O1532" s="57"/>
      <c r="P1532" s="57"/>
      <c r="Q1532" s="57"/>
      <c r="R1532" s="57"/>
      <c r="S1532" s="59"/>
      <c r="T1532" s="57"/>
      <c r="U1532" s="60"/>
      <c r="V1532" s="59"/>
      <c r="W1532" s="57"/>
      <c r="X1532" s="57"/>
      <c r="Y1532" s="57" t="s">
        <v>20</v>
      </c>
      <c r="Z1532" s="57" t="s">
        <v>182</v>
      </c>
      <c r="AA1532" s="59">
        <v>48511</v>
      </c>
      <c r="AB1532" s="57" t="s">
        <v>61</v>
      </c>
      <c r="AC1532" s="60">
        <v>45895</v>
      </c>
      <c r="AD1532" s="59">
        <v>48511</v>
      </c>
      <c r="AE1532" s="57" t="s">
        <v>5743</v>
      </c>
      <c r="AF1532" s="57" t="s">
        <v>5744</v>
      </c>
    </row>
    <row r="1533" spans="1:32">
      <c r="A1533" s="57">
        <v>1532</v>
      </c>
      <c r="B1533" s="58">
        <v>46097.339837962973</v>
      </c>
      <c r="C1533" s="58">
        <v>46097.344050925924</v>
      </c>
      <c r="D1533" s="57" t="s">
        <v>1148</v>
      </c>
      <c r="E1533" s="57" t="s">
        <v>1149</v>
      </c>
      <c r="F1533" s="58"/>
      <c r="G1533" s="57" t="s">
        <v>609</v>
      </c>
      <c r="H1533" s="59">
        <v>1</v>
      </c>
      <c r="I1533" s="57"/>
      <c r="J1533" s="57"/>
      <c r="K1533" s="59"/>
      <c r="L1533" s="57"/>
      <c r="M1533" s="60"/>
      <c r="N1533" s="59"/>
      <c r="O1533" s="57"/>
      <c r="P1533" s="57"/>
      <c r="Q1533" s="57"/>
      <c r="R1533" s="57"/>
      <c r="S1533" s="59"/>
      <c r="T1533" s="57"/>
      <c r="U1533" s="60"/>
      <c r="V1533" s="59"/>
      <c r="W1533" s="57"/>
      <c r="X1533" s="57"/>
      <c r="Y1533" s="57" t="s">
        <v>21</v>
      </c>
      <c r="Z1533" s="57" t="s">
        <v>287</v>
      </c>
      <c r="AA1533" s="59">
        <v>27819</v>
      </c>
      <c r="AB1533" s="57" t="s">
        <v>61</v>
      </c>
      <c r="AC1533" s="60">
        <v>45982</v>
      </c>
      <c r="AD1533" s="59">
        <v>27819</v>
      </c>
      <c r="AE1533" s="57" t="s">
        <v>5745</v>
      </c>
      <c r="AF1533" s="57" t="s">
        <v>5746</v>
      </c>
    </row>
    <row r="1534" spans="1:32">
      <c r="A1534" s="57">
        <v>1533</v>
      </c>
      <c r="B1534" s="58">
        <v>46097.352905092594</v>
      </c>
      <c r="C1534" s="58">
        <v>46097.358506944453</v>
      </c>
      <c r="D1534" s="57" t="s">
        <v>5747</v>
      </c>
      <c r="E1534" s="57" t="s">
        <v>5748</v>
      </c>
      <c r="F1534" s="58"/>
      <c r="G1534" s="57" t="s">
        <v>575</v>
      </c>
      <c r="H1534" s="59">
        <v>1</v>
      </c>
      <c r="I1534" s="57"/>
      <c r="J1534" s="57"/>
      <c r="K1534" s="59"/>
      <c r="L1534" s="57"/>
      <c r="M1534" s="60"/>
      <c r="N1534" s="59"/>
      <c r="O1534" s="57"/>
      <c r="P1534" s="57"/>
      <c r="Q1534" s="57"/>
      <c r="R1534" s="57"/>
      <c r="S1534" s="59"/>
      <c r="T1534" s="57"/>
      <c r="U1534" s="60"/>
      <c r="V1534" s="59"/>
      <c r="W1534" s="57"/>
      <c r="X1534" s="57"/>
      <c r="Y1534" s="57" t="s">
        <v>21</v>
      </c>
      <c r="Z1534" s="57" t="s">
        <v>247</v>
      </c>
      <c r="AA1534" s="59">
        <v>30</v>
      </c>
      <c r="AB1534" s="57" t="s">
        <v>61</v>
      </c>
      <c r="AC1534" s="60">
        <v>46088</v>
      </c>
      <c r="AD1534" s="59">
        <v>30</v>
      </c>
      <c r="AE1534" s="57" t="s">
        <v>5749</v>
      </c>
      <c r="AF1534" s="57" t="s">
        <v>5750</v>
      </c>
    </row>
    <row r="1535" spans="1:32">
      <c r="A1535" s="57">
        <v>1534</v>
      </c>
      <c r="B1535" s="58">
        <v>46097.370069444441</v>
      </c>
      <c r="C1535" s="58">
        <v>46097.371504629627</v>
      </c>
      <c r="D1535" s="57" t="s">
        <v>1101</v>
      </c>
      <c r="E1535" s="57" t="s">
        <v>1102</v>
      </c>
      <c r="F1535" s="58"/>
      <c r="G1535" s="57" t="s">
        <v>574</v>
      </c>
      <c r="H1535" s="59">
        <v>1</v>
      </c>
      <c r="I1535" s="57"/>
      <c r="J1535" s="57"/>
      <c r="K1535" s="59"/>
      <c r="L1535" s="57"/>
      <c r="M1535" s="60"/>
      <c r="N1535" s="59"/>
      <c r="O1535" s="57"/>
      <c r="P1535" s="57"/>
      <c r="Q1535" s="57"/>
      <c r="R1535" s="57"/>
      <c r="S1535" s="59"/>
      <c r="T1535" s="57"/>
      <c r="U1535" s="60"/>
      <c r="V1535" s="59"/>
      <c r="W1535" s="57"/>
      <c r="X1535" s="57"/>
      <c r="Y1535" s="57" t="s">
        <v>21</v>
      </c>
      <c r="Z1535" s="57" t="s">
        <v>246</v>
      </c>
      <c r="AA1535" s="59">
        <v>36393</v>
      </c>
      <c r="AB1535" s="57" t="s">
        <v>61</v>
      </c>
      <c r="AC1535" s="60">
        <v>46094</v>
      </c>
      <c r="AD1535" s="59">
        <v>36393</v>
      </c>
      <c r="AE1535" s="57" t="s">
        <v>5751</v>
      </c>
      <c r="AF1535" s="57" t="s">
        <v>5752</v>
      </c>
    </row>
    <row r="1536" spans="1:32">
      <c r="A1536" s="57">
        <v>1535</v>
      </c>
      <c r="B1536" s="58">
        <v>46097.383287037039</v>
      </c>
      <c r="C1536" s="58">
        <v>46097.383680555547</v>
      </c>
      <c r="D1536" s="57" t="s">
        <v>4325</v>
      </c>
      <c r="E1536" s="57" t="s">
        <v>4326</v>
      </c>
      <c r="F1536" s="58"/>
      <c r="G1536" s="57" t="s">
        <v>506</v>
      </c>
      <c r="H1536" s="59">
        <v>2</v>
      </c>
      <c r="I1536" s="57"/>
      <c r="J1536" s="57"/>
      <c r="K1536" s="59"/>
      <c r="L1536" s="57"/>
      <c r="M1536" s="60"/>
      <c r="N1536" s="59"/>
      <c r="O1536" s="57"/>
      <c r="P1536" s="57"/>
      <c r="Q1536" s="57" t="s">
        <v>22</v>
      </c>
      <c r="R1536" s="57" t="s">
        <v>198</v>
      </c>
      <c r="S1536" s="59">
        <v>48435</v>
      </c>
      <c r="T1536" s="57" t="s">
        <v>61</v>
      </c>
      <c r="U1536" s="60">
        <v>46088</v>
      </c>
      <c r="V1536" s="59">
        <v>48435</v>
      </c>
      <c r="W1536" s="57" t="s">
        <v>5753</v>
      </c>
      <c r="X1536" s="57" t="s">
        <v>5754</v>
      </c>
      <c r="Y1536" s="57" t="s">
        <v>20</v>
      </c>
      <c r="Z1536" s="57" t="s">
        <v>172</v>
      </c>
      <c r="AA1536" s="59">
        <v>23084</v>
      </c>
      <c r="AB1536" s="57" t="s">
        <v>61</v>
      </c>
      <c r="AC1536" s="60">
        <v>45912</v>
      </c>
      <c r="AD1536" s="59">
        <v>23084</v>
      </c>
      <c r="AE1536" s="57" t="s">
        <v>5755</v>
      </c>
      <c r="AF1536" s="57" t="s">
        <v>5756</v>
      </c>
    </row>
    <row r="1537" spans="1:32">
      <c r="A1537" s="57">
        <v>1536</v>
      </c>
      <c r="B1537" s="58">
        <v>46097.38</v>
      </c>
      <c r="C1537" s="58">
        <v>46097.38380787037</v>
      </c>
      <c r="D1537" s="57" t="s">
        <v>1473</v>
      </c>
      <c r="E1537" s="57" t="s">
        <v>1474</v>
      </c>
      <c r="F1537" s="58"/>
      <c r="G1537" s="57" t="s">
        <v>3896</v>
      </c>
      <c r="H1537" s="59">
        <v>1</v>
      </c>
      <c r="I1537" s="57"/>
      <c r="J1537" s="57"/>
      <c r="K1537" s="59"/>
      <c r="L1537" s="57"/>
      <c r="M1537" s="60"/>
      <c r="N1537" s="59"/>
      <c r="O1537" s="57"/>
      <c r="P1537" s="57"/>
      <c r="Q1537" s="57"/>
      <c r="R1537" s="57"/>
      <c r="S1537" s="59"/>
      <c r="T1537" s="57"/>
      <c r="U1537" s="60"/>
      <c r="V1537" s="59"/>
      <c r="W1537" s="57"/>
      <c r="X1537" s="57"/>
      <c r="Y1537" s="57" t="s">
        <v>20</v>
      </c>
      <c r="Z1537" s="57" t="s">
        <v>160</v>
      </c>
      <c r="AA1537" s="59">
        <v>36935</v>
      </c>
      <c r="AB1537" s="57" t="s">
        <v>61</v>
      </c>
      <c r="AC1537" s="60">
        <v>45848</v>
      </c>
      <c r="AD1537" s="59">
        <v>36935</v>
      </c>
      <c r="AE1537" s="57" t="s">
        <v>5757</v>
      </c>
      <c r="AF1537" s="57" t="s">
        <v>5758</v>
      </c>
    </row>
    <row r="1538" spans="1:32">
      <c r="A1538" s="57">
        <v>1537</v>
      </c>
      <c r="B1538" s="58">
        <v>46097.410243055558</v>
      </c>
      <c r="C1538" s="58">
        <v>46097.428101851852</v>
      </c>
      <c r="D1538" s="57" t="s">
        <v>1163</v>
      </c>
      <c r="E1538" s="57" t="s">
        <v>1164</v>
      </c>
      <c r="F1538" s="58"/>
      <c r="G1538" s="57" t="s">
        <v>536</v>
      </c>
      <c r="H1538" s="59">
        <v>2</v>
      </c>
      <c r="I1538" s="57"/>
      <c r="J1538" s="57"/>
      <c r="K1538" s="59"/>
      <c r="L1538" s="57"/>
      <c r="M1538" s="60"/>
      <c r="N1538" s="59"/>
      <c r="O1538" s="57"/>
      <c r="P1538" s="57"/>
      <c r="Q1538" s="57" t="s">
        <v>21</v>
      </c>
      <c r="R1538" s="57" t="s">
        <v>327</v>
      </c>
      <c r="S1538" s="59">
        <v>24312</v>
      </c>
      <c r="T1538" s="57" t="s">
        <v>61</v>
      </c>
      <c r="U1538" s="60">
        <v>46048</v>
      </c>
      <c r="V1538" s="59">
        <v>24312</v>
      </c>
      <c r="W1538" s="57" t="s">
        <v>5759</v>
      </c>
      <c r="X1538" s="57" t="s">
        <v>5760</v>
      </c>
      <c r="Y1538" s="57" t="s">
        <v>22</v>
      </c>
      <c r="Z1538" s="57" t="s">
        <v>204</v>
      </c>
      <c r="AA1538" s="59">
        <v>87347</v>
      </c>
      <c r="AB1538" s="57" t="s">
        <v>61</v>
      </c>
      <c r="AC1538" s="60">
        <v>46062</v>
      </c>
      <c r="AD1538" s="59">
        <v>87347</v>
      </c>
      <c r="AE1538" s="57" t="s">
        <v>5761</v>
      </c>
      <c r="AF1538" s="57" t="s">
        <v>5762</v>
      </c>
    </row>
    <row r="1539" spans="1:32">
      <c r="A1539" s="57">
        <v>1538</v>
      </c>
      <c r="B1539" s="58">
        <v>46097.481481481482</v>
      </c>
      <c r="C1539" s="58">
        <v>46097.482511574082</v>
      </c>
      <c r="D1539" s="57" t="s">
        <v>765</v>
      </c>
      <c r="E1539" s="57" t="s">
        <v>766</v>
      </c>
      <c r="F1539" s="58"/>
      <c r="G1539" s="57" t="s">
        <v>458</v>
      </c>
      <c r="H1539" s="59">
        <v>1</v>
      </c>
      <c r="I1539" s="57"/>
      <c r="J1539" s="57"/>
      <c r="K1539" s="59"/>
      <c r="L1539" s="57"/>
      <c r="M1539" s="60"/>
      <c r="N1539" s="59"/>
      <c r="O1539" s="57"/>
      <c r="P1539" s="57"/>
      <c r="Q1539" s="57"/>
      <c r="R1539" s="57"/>
      <c r="S1539" s="59"/>
      <c r="T1539" s="57"/>
      <c r="U1539" s="60"/>
      <c r="V1539" s="59"/>
      <c r="W1539" s="57"/>
      <c r="X1539" s="57"/>
      <c r="Y1539" s="57" t="s">
        <v>21</v>
      </c>
      <c r="Z1539" s="57" t="s">
        <v>124</v>
      </c>
      <c r="AA1539" s="59">
        <v>41041</v>
      </c>
      <c r="AB1539" s="57" t="s">
        <v>61</v>
      </c>
      <c r="AC1539" s="60">
        <v>45927</v>
      </c>
      <c r="AD1539" s="59">
        <v>41041</v>
      </c>
      <c r="AE1539" s="57" t="s">
        <v>5763</v>
      </c>
      <c r="AF1539" s="57" t="s">
        <v>5764</v>
      </c>
    </row>
    <row r="1540" spans="1:32">
      <c r="A1540" s="57">
        <v>1539</v>
      </c>
      <c r="B1540" s="58">
        <v>46106.668819444443</v>
      </c>
      <c r="C1540" s="58">
        <v>46106.673680555563</v>
      </c>
      <c r="D1540" s="57" t="s">
        <v>1351</v>
      </c>
      <c r="E1540" s="57" t="s">
        <v>1352</v>
      </c>
      <c r="F1540" s="58"/>
      <c r="G1540" s="57" t="s">
        <v>673</v>
      </c>
      <c r="H1540" s="59">
        <v>1</v>
      </c>
      <c r="I1540" s="57"/>
      <c r="J1540" s="57"/>
      <c r="K1540" s="59"/>
      <c r="L1540" s="57"/>
      <c r="M1540" s="60"/>
      <c r="N1540" s="59"/>
      <c r="O1540" s="57"/>
      <c r="P1540" s="57"/>
      <c r="Q1540" s="57"/>
      <c r="R1540" s="57"/>
      <c r="S1540" s="59"/>
      <c r="T1540" s="57"/>
      <c r="U1540" s="60"/>
      <c r="V1540" s="59"/>
      <c r="W1540" s="57"/>
      <c r="X1540" s="57"/>
      <c r="Y1540" s="57" t="s">
        <v>21</v>
      </c>
      <c r="Z1540" s="57" t="s">
        <v>385</v>
      </c>
      <c r="AA1540" s="59">
        <v>20867</v>
      </c>
      <c r="AB1540" s="57" t="s">
        <v>61</v>
      </c>
      <c r="AC1540" s="60">
        <v>46106</v>
      </c>
      <c r="AD1540" s="59">
        <v>20867</v>
      </c>
      <c r="AE1540" s="57" t="s">
        <v>5765</v>
      </c>
      <c r="AF1540" s="57" t="s">
        <v>5766</v>
      </c>
    </row>
    <row r="1541" spans="1:32">
      <c r="A1541" s="57">
        <v>1540</v>
      </c>
      <c r="B1541" s="58">
        <v>46106.668599537043</v>
      </c>
      <c r="C1541" s="58">
        <v>46106.67391203704</v>
      </c>
      <c r="D1541" s="57" t="s">
        <v>809</v>
      </c>
      <c r="E1541" s="57" t="s">
        <v>810</v>
      </c>
      <c r="F1541" s="58"/>
      <c r="G1541" s="57" t="s">
        <v>468</v>
      </c>
      <c r="H1541" s="59">
        <v>1</v>
      </c>
      <c r="I1541" s="57"/>
      <c r="J1541" s="57"/>
      <c r="K1541" s="59"/>
      <c r="L1541" s="57"/>
      <c r="M1541" s="60"/>
      <c r="N1541" s="59"/>
      <c r="O1541" s="57"/>
      <c r="P1541" s="57"/>
      <c r="Q1541" s="57"/>
      <c r="R1541" s="57"/>
      <c r="S1541" s="59"/>
      <c r="T1541" s="57"/>
      <c r="U1541" s="60"/>
      <c r="V1541" s="59"/>
      <c r="W1541" s="57"/>
      <c r="X1541" s="57"/>
      <c r="Y1541" s="57" t="s">
        <v>21</v>
      </c>
      <c r="Z1541" s="57" t="s">
        <v>134</v>
      </c>
      <c r="AA1541" s="59">
        <v>57045</v>
      </c>
      <c r="AB1541" s="57" t="s">
        <v>61</v>
      </c>
      <c r="AC1541" s="60">
        <v>46093</v>
      </c>
      <c r="AD1541" s="59">
        <v>57045</v>
      </c>
      <c r="AE1541" s="57" t="s">
        <v>5767</v>
      </c>
      <c r="AF1541" s="57" t="s">
        <v>5768</v>
      </c>
    </row>
    <row r="1542" spans="1:32">
      <c r="A1542" s="57">
        <v>1541</v>
      </c>
      <c r="B1542" s="58">
        <v>46106.673530092587</v>
      </c>
      <c r="C1542" s="58">
        <v>46106.675787037027</v>
      </c>
      <c r="D1542" s="57" t="s">
        <v>817</v>
      </c>
      <c r="E1542" s="57" t="s">
        <v>818</v>
      </c>
      <c r="F1542" s="58"/>
      <c r="G1542" s="57" t="s">
        <v>713</v>
      </c>
      <c r="H1542" s="59">
        <v>1</v>
      </c>
      <c r="I1542" s="57"/>
      <c r="J1542" s="57"/>
      <c r="K1542" s="59"/>
      <c r="L1542" s="57"/>
      <c r="M1542" s="60"/>
      <c r="N1542" s="59"/>
      <c r="O1542" s="57"/>
      <c r="P1542" s="57"/>
      <c r="Q1542" s="57"/>
      <c r="R1542" s="57"/>
      <c r="S1542" s="59"/>
      <c r="T1542" s="57"/>
      <c r="U1542" s="60"/>
      <c r="V1542" s="59"/>
      <c r="W1542" s="57"/>
      <c r="X1542" s="57"/>
      <c r="Y1542" s="57" t="s">
        <v>21</v>
      </c>
      <c r="Z1542" s="57" t="s">
        <v>445</v>
      </c>
      <c r="AA1542" s="59">
        <v>4401</v>
      </c>
      <c r="AB1542" s="57" t="s">
        <v>61</v>
      </c>
      <c r="AC1542" s="60">
        <v>46053</v>
      </c>
      <c r="AD1542" s="59">
        <v>4401</v>
      </c>
      <c r="AE1542" s="57" t="s">
        <v>5769</v>
      </c>
      <c r="AF1542" s="57" t="s">
        <v>5770</v>
      </c>
    </row>
    <row r="1543" spans="1:32">
      <c r="A1543" s="57">
        <v>1542</v>
      </c>
      <c r="B1543" s="58">
        <v>46106.671805555547</v>
      </c>
      <c r="C1543" s="58">
        <v>46106.678240740737</v>
      </c>
      <c r="D1543" s="57" t="s">
        <v>990</v>
      </c>
      <c r="E1543" s="57" t="s">
        <v>991</v>
      </c>
      <c r="F1543" s="58"/>
      <c r="G1543" s="57" t="s">
        <v>607</v>
      </c>
      <c r="H1543" s="59">
        <v>1</v>
      </c>
      <c r="I1543" s="57"/>
      <c r="J1543" s="57"/>
      <c r="K1543" s="59"/>
      <c r="L1543" s="57"/>
      <c r="M1543" s="60"/>
      <c r="N1543" s="59"/>
      <c r="O1543" s="57"/>
      <c r="P1543" s="57"/>
      <c r="Q1543" s="57"/>
      <c r="R1543" s="57"/>
      <c r="S1543" s="59"/>
      <c r="T1543" s="57"/>
      <c r="U1543" s="60"/>
      <c r="V1543" s="59"/>
      <c r="W1543" s="57"/>
      <c r="X1543" s="57"/>
      <c r="Y1543" s="57" t="s">
        <v>21</v>
      </c>
      <c r="Z1543" s="57" t="s">
        <v>285</v>
      </c>
      <c r="AA1543" s="59">
        <v>33768</v>
      </c>
      <c r="AB1543" s="57" t="s">
        <v>61</v>
      </c>
      <c r="AC1543" s="60">
        <v>46044</v>
      </c>
      <c r="AD1543" s="59">
        <v>33768</v>
      </c>
      <c r="AE1543" s="57" t="s">
        <v>5771</v>
      </c>
      <c r="AF1543" s="57" t="s">
        <v>5772</v>
      </c>
    </row>
    <row r="1544" spans="1:32">
      <c r="A1544" s="57">
        <v>1543</v>
      </c>
      <c r="B1544" s="58">
        <v>46106.675451388888</v>
      </c>
      <c r="C1544" s="58">
        <v>46106.684988425928</v>
      </c>
      <c r="D1544" s="57" t="s">
        <v>5773</v>
      </c>
      <c r="E1544" s="57" t="s">
        <v>5774</v>
      </c>
      <c r="F1544" s="58"/>
      <c r="G1544" s="57" t="s">
        <v>567</v>
      </c>
      <c r="H1544" s="59">
        <v>1</v>
      </c>
      <c r="I1544" s="57"/>
      <c r="J1544" s="57"/>
      <c r="K1544" s="59"/>
      <c r="L1544" s="57"/>
      <c r="M1544" s="60"/>
      <c r="N1544" s="59"/>
      <c r="O1544" s="57"/>
      <c r="P1544" s="57"/>
      <c r="Q1544" s="57"/>
      <c r="R1544" s="57"/>
      <c r="S1544" s="59"/>
      <c r="T1544" s="57"/>
      <c r="U1544" s="60"/>
      <c r="V1544" s="59"/>
      <c r="W1544" s="57"/>
      <c r="X1544" s="57"/>
      <c r="Y1544" s="57" t="s">
        <v>20</v>
      </c>
      <c r="Z1544" s="57" t="s">
        <v>239</v>
      </c>
      <c r="AA1544" s="59">
        <v>15097</v>
      </c>
      <c r="AB1544" s="57" t="s">
        <v>61</v>
      </c>
      <c r="AC1544" s="60">
        <v>46001</v>
      </c>
      <c r="AD1544" s="59">
        <v>15097</v>
      </c>
      <c r="AE1544" s="57" t="s">
        <v>5775</v>
      </c>
      <c r="AF1544" s="57" t="s">
        <v>5776</v>
      </c>
    </row>
    <row r="1545" spans="1:32">
      <c r="A1545" s="57">
        <v>1544</v>
      </c>
      <c r="B1545" s="58">
        <v>46106.678993055553</v>
      </c>
      <c r="C1545" s="58">
        <v>46106.692685185182</v>
      </c>
      <c r="D1545" s="57" t="s">
        <v>1709</v>
      </c>
      <c r="E1545" s="57" t="s">
        <v>1710</v>
      </c>
      <c r="F1545" s="58"/>
      <c r="G1545" s="57" t="s">
        <v>533</v>
      </c>
      <c r="H1545" s="59">
        <v>1</v>
      </c>
      <c r="I1545" s="57"/>
      <c r="J1545" s="57"/>
      <c r="K1545" s="59"/>
      <c r="L1545" s="57"/>
      <c r="M1545" s="60"/>
      <c r="N1545" s="59"/>
      <c r="O1545" s="57"/>
      <c r="P1545" s="57"/>
      <c r="Q1545" s="57"/>
      <c r="R1545" s="57"/>
      <c r="S1545" s="59"/>
      <c r="T1545" s="57"/>
      <c r="U1545" s="60"/>
      <c r="V1545" s="59"/>
      <c r="W1545" s="57"/>
      <c r="X1545" s="57"/>
      <c r="Y1545" s="57" t="s">
        <v>20</v>
      </c>
      <c r="Z1545" s="57" t="s">
        <v>201</v>
      </c>
      <c r="AA1545" s="59">
        <v>59352</v>
      </c>
      <c r="AB1545" s="57" t="s">
        <v>61</v>
      </c>
      <c r="AC1545" s="60">
        <v>46048</v>
      </c>
      <c r="AD1545" s="59">
        <v>59352</v>
      </c>
      <c r="AE1545" s="57" t="s">
        <v>5777</v>
      </c>
      <c r="AF1545" s="57" t="s">
        <v>5778</v>
      </c>
    </row>
    <row r="1546" spans="1:32">
      <c r="A1546" s="57">
        <v>1545</v>
      </c>
      <c r="B1546" s="58">
        <v>46106.688622685193</v>
      </c>
      <c r="C1546" s="58">
        <v>46106.694085648152</v>
      </c>
      <c r="D1546" s="57" t="s">
        <v>1814</v>
      </c>
      <c r="E1546" s="57" t="s">
        <v>1815</v>
      </c>
      <c r="F1546" s="58"/>
      <c r="G1546" s="57" t="s">
        <v>459</v>
      </c>
      <c r="H1546" s="59">
        <v>2</v>
      </c>
      <c r="I1546" s="57"/>
      <c r="J1546" s="57"/>
      <c r="K1546" s="59"/>
      <c r="L1546" s="57"/>
      <c r="M1546" s="60"/>
      <c r="N1546" s="59"/>
      <c r="O1546" s="57"/>
      <c r="P1546" s="57"/>
      <c r="Q1546" s="57" t="s">
        <v>22</v>
      </c>
      <c r="R1546" s="57" t="s">
        <v>267</v>
      </c>
      <c r="S1546" s="59">
        <v>35464</v>
      </c>
      <c r="T1546" s="57" t="s">
        <v>61</v>
      </c>
      <c r="U1546" s="60">
        <v>45982</v>
      </c>
      <c r="V1546" s="59">
        <v>35464</v>
      </c>
      <c r="W1546" s="57" t="s">
        <v>5779</v>
      </c>
      <c r="X1546" s="57" t="s">
        <v>5780</v>
      </c>
      <c r="Y1546" s="57" t="s">
        <v>21</v>
      </c>
      <c r="Z1546" s="57" t="s">
        <v>125</v>
      </c>
      <c r="AA1546" s="59">
        <v>22555</v>
      </c>
      <c r="AB1546" s="57" t="s">
        <v>61</v>
      </c>
      <c r="AC1546" s="60">
        <v>45941</v>
      </c>
      <c r="AD1546" s="59">
        <v>22555</v>
      </c>
      <c r="AE1546" s="57" t="s">
        <v>5781</v>
      </c>
      <c r="AF1546" s="57" t="s">
        <v>5782</v>
      </c>
    </row>
    <row r="1547" spans="1:32">
      <c r="A1547" s="57">
        <v>1546</v>
      </c>
      <c r="B1547" s="58">
        <v>46106.695960648147</v>
      </c>
      <c r="C1547" s="58">
        <v>46106.702280092592</v>
      </c>
      <c r="D1547" s="57" t="s">
        <v>1644</v>
      </c>
      <c r="E1547" s="57" t="s">
        <v>1645</v>
      </c>
      <c r="F1547" s="58"/>
      <c r="G1547" s="57" t="s">
        <v>649</v>
      </c>
      <c r="H1547" s="59">
        <v>1</v>
      </c>
      <c r="I1547" s="57"/>
      <c r="J1547" s="57"/>
      <c r="K1547" s="59"/>
      <c r="L1547" s="57"/>
      <c r="M1547" s="60"/>
      <c r="N1547" s="59"/>
      <c r="O1547" s="57"/>
      <c r="P1547" s="57"/>
      <c r="Q1547" s="57"/>
      <c r="R1547" s="57"/>
      <c r="S1547" s="59"/>
      <c r="T1547" s="57"/>
      <c r="U1547" s="60"/>
      <c r="V1547" s="59"/>
      <c r="W1547" s="57"/>
      <c r="X1547" s="57"/>
      <c r="Y1547" s="57" t="s">
        <v>21</v>
      </c>
      <c r="Z1547" s="57" t="s">
        <v>345</v>
      </c>
      <c r="AA1547" s="59">
        <v>1238</v>
      </c>
      <c r="AB1547" s="57" t="s">
        <v>61</v>
      </c>
      <c r="AC1547" s="60">
        <v>45996</v>
      </c>
      <c r="AD1547" s="59">
        <v>1238</v>
      </c>
      <c r="AE1547" s="57" t="s">
        <v>5783</v>
      </c>
      <c r="AF1547" s="57" t="s">
        <v>5784</v>
      </c>
    </row>
    <row r="1548" spans="1:32">
      <c r="A1548" s="57">
        <v>1547</v>
      </c>
      <c r="B1548" s="58">
        <v>46106.705763888887</v>
      </c>
      <c r="C1548" s="58">
        <v>46106.715590277781</v>
      </c>
      <c r="D1548" s="57" t="s">
        <v>1480</v>
      </c>
      <c r="E1548" s="57" t="s">
        <v>1481</v>
      </c>
      <c r="F1548" s="58"/>
      <c r="G1548" s="57" t="s">
        <v>504</v>
      </c>
      <c r="H1548" s="59">
        <v>1</v>
      </c>
      <c r="I1548" s="57"/>
      <c r="J1548" s="57"/>
      <c r="K1548" s="59"/>
      <c r="L1548" s="57"/>
      <c r="M1548" s="60"/>
      <c r="N1548" s="59"/>
      <c r="O1548" s="57"/>
      <c r="P1548" s="57"/>
      <c r="Q1548" s="57"/>
      <c r="R1548" s="57"/>
      <c r="S1548" s="59"/>
      <c r="T1548" s="57"/>
      <c r="U1548" s="60"/>
      <c r="V1548" s="59"/>
      <c r="W1548" s="57"/>
      <c r="X1548" s="57"/>
      <c r="Y1548" s="57" t="s">
        <v>21</v>
      </c>
      <c r="Z1548" s="57" t="s">
        <v>170</v>
      </c>
      <c r="AA1548" s="59">
        <v>63907</v>
      </c>
      <c r="AB1548" s="57" t="s">
        <v>61</v>
      </c>
      <c r="AC1548" s="60">
        <v>45960</v>
      </c>
      <c r="AD1548" s="59">
        <v>63907</v>
      </c>
      <c r="AE1548" s="57" t="s">
        <v>5785</v>
      </c>
      <c r="AF1548" s="57" t="s">
        <v>5786</v>
      </c>
    </row>
    <row r="1549" spans="1:32">
      <c r="A1549" s="57">
        <v>1548</v>
      </c>
      <c r="B1549" s="58">
        <v>46106.714189814818</v>
      </c>
      <c r="C1549" s="58">
        <v>46106.717476851853</v>
      </c>
      <c r="D1549" s="57" t="s">
        <v>1633</v>
      </c>
      <c r="E1549" s="57" t="s">
        <v>1634</v>
      </c>
      <c r="F1549" s="58"/>
      <c r="G1549" s="57" t="s">
        <v>679</v>
      </c>
      <c r="H1549" s="59">
        <v>1</v>
      </c>
      <c r="I1549" s="57"/>
      <c r="J1549" s="57"/>
      <c r="K1549" s="59"/>
      <c r="L1549" s="57"/>
      <c r="M1549" s="60"/>
      <c r="N1549" s="59"/>
      <c r="O1549" s="57"/>
      <c r="P1549" s="57"/>
      <c r="Q1549" s="57"/>
      <c r="R1549" s="57"/>
      <c r="S1549" s="59"/>
      <c r="T1549" s="57"/>
      <c r="U1549" s="60"/>
      <c r="V1549" s="59"/>
      <c r="W1549" s="57"/>
      <c r="X1549" s="57"/>
      <c r="Y1549" s="57" t="s">
        <v>21</v>
      </c>
      <c r="Z1549" s="57" t="s">
        <v>393</v>
      </c>
      <c r="AA1549" s="59">
        <v>13137</v>
      </c>
      <c r="AB1549" s="57" t="s">
        <v>61</v>
      </c>
      <c r="AC1549" s="60">
        <v>46062</v>
      </c>
      <c r="AD1549" s="59">
        <v>13137</v>
      </c>
      <c r="AE1549" s="57" t="s">
        <v>5787</v>
      </c>
      <c r="AF1549" s="57" t="s">
        <v>5788</v>
      </c>
    </row>
    <row r="1550" spans="1:32">
      <c r="A1550" s="57">
        <v>1549</v>
      </c>
      <c r="B1550" s="58">
        <v>46106.716550925928</v>
      </c>
      <c r="C1550" s="58">
        <v>46106.718101851853</v>
      </c>
      <c r="D1550" s="57" t="s">
        <v>1173</v>
      </c>
      <c r="E1550" s="57" t="s">
        <v>1174</v>
      </c>
      <c r="F1550" s="58"/>
      <c r="G1550" s="57" t="s">
        <v>593</v>
      </c>
      <c r="H1550" s="59">
        <v>1</v>
      </c>
      <c r="I1550" s="57"/>
      <c r="J1550" s="57"/>
      <c r="K1550" s="59"/>
      <c r="L1550" s="57"/>
      <c r="M1550" s="60"/>
      <c r="N1550" s="59"/>
      <c r="O1550" s="57"/>
      <c r="P1550" s="57"/>
      <c r="Q1550" s="57"/>
      <c r="R1550" s="57"/>
      <c r="S1550" s="59"/>
      <c r="T1550" s="57"/>
      <c r="U1550" s="60"/>
      <c r="V1550" s="59"/>
      <c r="W1550" s="57"/>
      <c r="X1550" s="57"/>
      <c r="Y1550" s="57" t="s">
        <v>21</v>
      </c>
      <c r="Z1550" s="57" t="s">
        <v>269</v>
      </c>
      <c r="AA1550" s="59">
        <v>27042</v>
      </c>
      <c r="AB1550" s="57" t="s">
        <v>61</v>
      </c>
      <c r="AC1550" s="60">
        <v>46064</v>
      </c>
      <c r="AD1550" s="59">
        <v>27042</v>
      </c>
      <c r="AE1550" s="57" t="s">
        <v>5789</v>
      </c>
      <c r="AF1550" s="57" t="s">
        <v>5790</v>
      </c>
    </row>
    <row r="1551" spans="1:32">
      <c r="A1551" s="57">
        <v>1550</v>
      </c>
      <c r="B1551" s="58">
        <v>46106.668877314813</v>
      </c>
      <c r="C1551" s="58">
        <v>46106.730057870373</v>
      </c>
      <c r="D1551" s="57" t="s">
        <v>5791</v>
      </c>
      <c r="E1551" s="57" t="s">
        <v>5792</v>
      </c>
      <c r="F1551" s="58"/>
      <c r="G1551" s="57" t="s">
        <v>644</v>
      </c>
      <c r="H1551" s="59">
        <v>1</v>
      </c>
      <c r="I1551" s="57"/>
      <c r="J1551" s="57"/>
      <c r="K1551" s="59"/>
      <c r="L1551" s="57"/>
      <c r="M1551" s="60"/>
      <c r="N1551" s="59"/>
      <c r="O1551" s="57"/>
      <c r="P1551" s="57"/>
      <c r="Q1551" s="57"/>
      <c r="R1551" s="57"/>
      <c r="S1551" s="59"/>
      <c r="T1551" s="57"/>
      <c r="U1551" s="60"/>
      <c r="V1551" s="59"/>
      <c r="W1551" s="57"/>
      <c r="X1551" s="57"/>
      <c r="Y1551" s="57" t="s">
        <v>21</v>
      </c>
      <c r="Z1551" s="57" t="s">
        <v>339</v>
      </c>
      <c r="AA1551" s="59">
        <v>12646</v>
      </c>
      <c r="AB1551" s="57" t="s">
        <v>61</v>
      </c>
      <c r="AC1551" s="60">
        <v>45972</v>
      </c>
      <c r="AD1551" s="59">
        <v>12646</v>
      </c>
      <c r="AE1551" s="57" t="s">
        <v>5793</v>
      </c>
      <c r="AF1551" s="57" t="s">
        <v>5794</v>
      </c>
    </row>
    <row r="1552" spans="1:32">
      <c r="A1552" s="57">
        <v>1551</v>
      </c>
      <c r="B1552" s="58">
        <v>46106.793437499997</v>
      </c>
      <c r="C1552" s="58">
        <v>46106.809212962973</v>
      </c>
      <c r="D1552" s="57" t="s">
        <v>3430</v>
      </c>
      <c r="E1552" s="57" t="s">
        <v>3431</v>
      </c>
      <c r="F1552" s="58"/>
      <c r="G1552" s="57" t="s">
        <v>563</v>
      </c>
      <c r="H1552" s="59">
        <v>2</v>
      </c>
      <c r="I1552" s="57"/>
      <c r="J1552" s="57"/>
      <c r="K1552" s="59"/>
      <c r="L1552" s="57"/>
      <c r="M1552" s="60"/>
      <c r="N1552" s="59"/>
      <c r="O1552" s="57"/>
      <c r="P1552" s="57"/>
      <c r="Q1552" s="57" t="s">
        <v>22</v>
      </c>
      <c r="R1552" s="57" t="s">
        <v>234</v>
      </c>
      <c r="S1552" s="59">
        <v>67810</v>
      </c>
      <c r="T1552" s="57" t="s">
        <v>61</v>
      </c>
      <c r="U1552" s="60">
        <v>46001</v>
      </c>
      <c r="V1552" s="59">
        <v>67810</v>
      </c>
      <c r="W1552" s="57" t="s">
        <v>5795</v>
      </c>
      <c r="X1552" s="57" t="s">
        <v>5796</v>
      </c>
      <c r="Y1552" s="57" t="s">
        <v>21</v>
      </c>
      <c r="Z1552" s="57" t="s">
        <v>409</v>
      </c>
      <c r="AA1552" s="59">
        <v>2840</v>
      </c>
      <c r="AB1552" s="57" t="s">
        <v>61</v>
      </c>
      <c r="AC1552" s="60">
        <v>45947</v>
      </c>
      <c r="AD1552" s="59">
        <v>2840</v>
      </c>
      <c r="AE1552" s="57" t="s">
        <v>5797</v>
      </c>
      <c r="AF1552" s="57" t="s">
        <v>5798</v>
      </c>
    </row>
    <row r="1553" spans="1:32">
      <c r="A1553" s="57">
        <v>1552</v>
      </c>
      <c r="B1553" s="58">
        <v>46107.334849537037</v>
      </c>
      <c r="C1553" s="58">
        <v>46107.338368055563</v>
      </c>
      <c r="D1553" s="57" t="s">
        <v>1337</v>
      </c>
      <c r="E1553" s="57" t="s">
        <v>1338</v>
      </c>
      <c r="F1553" s="58"/>
      <c r="G1553" s="57" t="s">
        <v>710</v>
      </c>
      <c r="H1553" s="59">
        <v>1</v>
      </c>
      <c r="I1553" s="57"/>
      <c r="J1553" s="57"/>
      <c r="K1553" s="59"/>
      <c r="L1553" s="57"/>
      <c r="M1553" s="60"/>
      <c r="N1553" s="59"/>
      <c r="O1553" s="57"/>
      <c r="P1553" s="57"/>
      <c r="Q1553" s="57"/>
      <c r="R1553" s="57"/>
      <c r="S1553" s="59"/>
      <c r="T1553" s="57"/>
      <c r="U1553" s="60"/>
      <c r="V1553" s="59"/>
      <c r="W1553" s="57"/>
      <c r="X1553" s="57"/>
      <c r="Y1553" s="57" t="s">
        <v>21</v>
      </c>
      <c r="Z1553" s="57" t="s">
        <v>440</v>
      </c>
      <c r="AA1553" s="59">
        <v>1753</v>
      </c>
      <c r="AB1553" s="57" t="s">
        <v>61</v>
      </c>
      <c r="AC1553" s="60">
        <v>46010</v>
      </c>
      <c r="AD1553" s="59">
        <v>1753</v>
      </c>
      <c r="AE1553" s="57" t="s">
        <v>5799</v>
      </c>
      <c r="AF1553" s="57" t="s">
        <v>5800</v>
      </c>
    </row>
    <row r="1554" spans="1:32">
      <c r="A1554" s="57">
        <v>1553</v>
      </c>
      <c r="B1554" s="58">
        <v>46107.34715277778</v>
      </c>
      <c r="C1554" s="58">
        <v>46107.349652777782</v>
      </c>
      <c r="D1554" s="57" t="s">
        <v>2212</v>
      </c>
      <c r="E1554" s="57" t="s">
        <v>2213</v>
      </c>
      <c r="F1554" s="58"/>
      <c r="G1554" s="57" t="s">
        <v>707</v>
      </c>
      <c r="H1554" s="59">
        <v>2</v>
      </c>
      <c r="I1554" s="57"/>
      <c r="J1554" s="57"/>
      <c r="K1554" s="59"/>
      <c r="L1554" s="57"/>
      <c r="M1554" s="60"/>
      <c r="N1554" s="59"/>
      <c r="O1554" s="57"/>
      <c r="P1554" s="57"/>
      <c r="Q1554" s="57" t="s">
        <v>22</v>
      </c>
      <c r="R1554" s="57" t="s">
        <v>435</v>
      </c>
      <c r="S1554" s="59">
        <v>6524</v>
      </c>
      <c r="T1554" s="57" t="s">
        <v>61</v>
      </c>
      <c r="U1554" s="60">
        <v>45999</v>
      </c>
      <c r="V1554" s="59">
        <v>6524</v>
      </c>
      <c r="W1554" s="57" t="s">
        <v>5801</v>
      </c>
      <c r="X1554" s="57" t="s">
        <v>5802</v>
      </c>
      <c r="Y1554" s="57" t="s">
        <v>20</v>
      </c>
      <c r="Z1554" s="57" t="s">
        <v>436</v>
      </c>
      <c r="AA1554" s="59">
        <v>2015</v>
      </c>
      <c r="AB1554" s="57" t="s">
        <v>61</v>
      </c>
      <c r="AC1554" s="60">
        <v>45999</v>
      </c>
      <c r="AD1554" s="59">
        <v>2015</v>
      </c>
      <c r="AE1554" s="57" t="s">
        <v>5803</v>
      </c>
      <c r="AF1554" s="57" t="s">
        <v>5804</v>
      </c>
    </row>
    <row r="1555" spans="1:32">
      <c r="A1555" s="57">
        <v>1554</v>
      </c>
      <c r="B1555" s="58">
        <v>46107.32707175926</v>
      </c>
      <c r="C1555" s="58">
        <v>46107.352395833332</v>
      </c>
      <c r="D1555" s="57" t="s">
        <v>5805</v>
      </c>
      <c r="E1555" s="57" t="s">
        <v>5806</v>
      </c>
      <c r="F1555" s="58"/>
      <c r="G1555" s="57" t="s">
        <v>714</v>
      </c>
      <c r="H1555" s="59">
        <v>1</v>
      </c>
      <c r="I1555" s="57"/>
      <c r="J1555" s="57"/>
      <c r="K1555" s="59"/>
      <c r="L1555" s="57"/>
      <c r="M1555" s="60"/>
      <c r="N1555" s="59"/>
      <c r="O1555" s="57"/>
      <c r="P1555" s="57"/>
      <c r="Q1555" s="57"/>
      <c r="R1555" s="57"/>
      <c r="S1555" s="59"/>
      <c r="T1555" s="57"/>
      <c r="U1555" s="60"/>
      <c r="V1555" s="59"/>
      <c r="W1555" s="57"/>
      <c r="X1555" s="57"/>
      <c r="Y1555" s="57" t="s">
        <v>21</v>
      </c>
      <c r="Z1555" s="57" t="s">
        <v>446</v>
      </c>
      <c r="AA1555" s="59">
        <v>3817</v>
      </c>
      <c r="AB1555" s="57" t="s">
        <v>61</v>
      </c>
      <c r="AC1555" s="60">
        <v>46029</v>
      </c>
      <c r="AD1555" s="59">
        <v>3817</v>
      </c>
      <c r="AE1555" s="57" t="s">
        <v>5807</v>
      </c>
      <c r="AF1555" s="57" t="s">
        <v>5808</v>
      </c>
    </row>
    <row r="1556" spans="1:32">
      <c r="A1556" s="57">
        <v>1555</v>
      </c>
      <c r="B1556" s="58">
        <v>46107.353530092587</v>
      </c>
      <c r="C1556" s="58">
        <v>46107.363495370373</v>
      </c>
      <c r="D1556" s="57" t="s">
        <v>2867</v>
      </c>
      <c r="E1556" s="57" t="s">
        <v>2868</v>
      </c>
      <c r="F1556" s="58"/>
      <c r="G1556" s="57" t="s">
        <v>676</v>
      </c>
      <c r="H1556" s="59">
        <v>1</v>
      </c>
      <c r="I1556" s="57"/>
      <c r="J1556" s="57"/>
      <c r="K1556" s="59"/>
      <c r="L1556" s="57"/>
      <c r="M1556" s="60"/>
      <c r="N1556" s="59"/>
      <c r="O1556" s="57"/>
      <c r="P1556" s="57"/>
      <c r="Q1556" s="57"/>
      <c r="R1556" s="57"/>
      <c r="S1556" s="59"/>
      <c r="T1556" s="57"/>
      <c r="U1556" s="60"/>
      <c r="V1556" s="59"/>
      <c r="W1556" s="57"/>
      <c r="X1556" s="57"/>
      <c r="Y1556" s="57" t="s">
        <v>20</v>
      </c>
      <c r="Z1556" s="57" t="s">
        <v>389</v>
      </c>
      <c r="AA1556" s="59">
        <v>16807</v>
      </c>
      <c r="AB1556" s="57" t="s">
        <v>61</v>
      </c>
      <c r="AC1556" s="60">
        <v>46010</v>
      </c>
      <c r="AD1556" s="59">
        <v>16807</v>
      </c>
      <c r="AE1556" s="57" t="s">
        <v>5809</v>
      </c>
      <c r="AF1556" s="57" t="s">
        <v>5810</v>
      </c>
    </row>
    <row r="1557" spans="1:32">
      <c r="A1557" s="57">
        <v>1556</v>
      </c>
      <c r="B1557" s="58">
        <v>46107.385810185187</v>
      </c>
      <c r="C1557" s="58">
        <v>46107.390011574083</v>
      </c>
      <c r="D1557" s="57" t="s">
        <v>3344</v>
      </c>
      <c r="E1557" s="57" t="s">
        <v>3345</v>
      </c>
      <c r="F1557" s="58"/>
      <c r="G1557" s="57" t="s">
        <v>687</v>
      </c>
      <c r="H1557" s="59">
        <v>1</v>
      </c>
      <c r="I1557" s="57"/>
      <c r="J1557" s="57"/>
      <c r="K1557" s="59"/>
      <c r="L1557" s="57"/>
      <c r="M1557" s="60"/>
      <c r="N1557" s="59"/>
      <c r="O1557" s="57"/>
      <c r="P1557" s="57"/>
      <c r="Q1557" s="57"/>
      <c r="R1557" s="57"/>
      <c r="S1557" s="59"/>
      <c r="T1557" s="57"/>
      <c r="U1557" s="60"/>
      <c r="V1557" s="59"/>
      <c r="W1557" s="57"/>
      <c r="X1557" s="57"/>
      <c r="Y1557" s="57" t="s">
        <v>21</v>
      </c>
      <c r="Z1557" s="57" t="s">
        <v>406</v>
      </c>
      <c r="AA1557" s="59">
        <v>2142</v>
      </c>
      <c r="AB1557" s="57" t="s">
        <v>61</v>
      </c>
      <c r="AC1557" s="60">
        <v>45974</v>
      </c>
      <c r="AD1557" s="59">
        <v>2142</v>
      </c>
      <c r="AE1557" s="57" t="s">
        <v>5811</v>
      </c>
      <c r="AF1557" s="57" t="s">
        <v>5812</v>
      </c>
    </row>
    <row r="1558" spans="1:32">
      <c r="A1558" s="57">
        <v>1557</v>
      </c>
      <c r="B1558" s="58">
        <v>46107.389282407406</v>
      </c>
      <c r="C1558" s="58">
        <v>46107.394166666672</v>
      </c>
      <c r="D1558" s="57" t="s">
        <v>1084</v>
      </c>
      <c r="E1558" s="57" t="s">
        <v>1085</v>
      </c>
      <c r="F1558" s="58"/>
      <c r="G1558" s="57" t="s">
        <v>532</v>
      </c>
      <c r="H1558" s="59">
        <v>2</v>
      </c>
      <c r="I1558" s="57"/>
      <c r="J1558" s="57"/>
      <c r="K1558" s="59"/>
      <c r="L1558" s="57"/>
      <c r="M1558" s="60"/>
      <c r="N1558" s="59"/>
      <c r="O1558" s="57"/>
      <c r="P1558" s="57"/>
      <c r="Q1558" s="57" t="s">
        <v>22</v>
      </c>
      <c r="R1558" s="57" t="s">
        <v>200</v>
      </c>
      <c r="S1558" s="59">
        <v>117613</v>
      </c>
      <c r="T1558" s="57" t="s">
        <v>61</v>
      </c>
      <c r="U1558" s="60">
        <v>46088</v>
      </c>
      <c r="V1558" s="59">
        <v>117613</v>
      </c>
      <c r="W1558" s="57" t="s">
        <v>5813</v>
      </c>
      <c r="X1558" s="57" t="s">
        <v>5814</v>
      </c>
      <c r="Y1558" s="57" t="s">
        <v>21</v>
      </c>
      <c r="Z1558" s="57" t="s">
        <v>379</v>
      </c>
      <c r="AA1558" s="59">
        <v>15332</v>
      </c>
      <c r="AB1558" s="57" t="s">
        <v>61</v>
      </c>
      <c r="AC1558" s="60">
        <v>45994</v>
      </c>
      <c r="AD1558" s="59">
        <v>15332</v>
      </c>
      <c r="AE1558" s="57" t="s">
        <v>5815</v>
      </c>
      <c r="AF1558" s="57" t="s">
        <v>5816</v>
      </c>
    </row>
    <row r="1559" spans="1:32">
      <c r="A1559" s="57">
        <v>1558</v>
      </c>
      <c r="B1559" s="58">
        <v>46107.399687500001</v>
      </c>
      <c r="C1559" s="58">
        <v>46107.408912037034</v>
      </c>
      <c r="D1559" s="57" t="s">
        <v>5817</v>
      </c>
      <c r="E1559" s="57" t="s">
        <v>5818</v>
      </c>
      <c r="F1559" s="58"/>
      <c r="G1559" s="57" t="s">
        <v>639</v>
      </c>
      <c r="H1559" s="59">
        <v>1</v>
      </c>
      <c r="I1559" s="57"/>
      <c r="J1559" s="57"/>
      <c r="K1559" s="59"/>
      <c r="L1559" s="57"/>
      <c r="M1559" s="60"/>
      <c r="N1559" s="59"/>
      <c r="O1559" s="57"/>
      <c r="P1559" s="57"/>
      <c r="Q1559" s="57"/>
      <c r="R1559" s="57"/>
      <c r="S1559" s="59"/>
      <c r="T1559" s="57"/>
      <c r="U1559" s="60"/>
      <c r="V1559" s="59"/>
      <c r="W1559" s="57"/>
      <c r="X1559" s="57"/>
      <c r="Y1559" s="57" t="s">
        <v>21</v>
      </c>
      <c r="Z1559" s="57" t="s">
        <v>332</v>
      </c>
      <c r="AA1559" s="59">
        <v>19731</v>
      </c>
      <c r="AB1559" s="57" t="s">
        <v>61</v>
      </c>
      <c r="AC1559" s="60">
        <v>46097</v>
      </c>
      <c r="AD1559" s="59">
        <v>19731</v>
      </c>
      <c r="AE1559" s="57" t="s">
        <v>5819</v>
      </c>
      <c r="AF1559" s="57" t="s">
        <v>5820</v>
      </c>
    </row>
    <row r="1560" spans="1:32">
      <c r="A1560" s="57">
        <v>1559</v>
      </c>
      <c r="B1560" s="58">
        <v>46107.409560185188</v>
      </c>
      <c r="C1560" s="58">
        <v>46107.412175925929</v>
      </c>
      <c r="D1560" s="57" t="s">
        <v>2761</v>
      </c>
      <c r="E1560" s="57" t="s">
        <v>2762</v>
      </c>
      <c r="F1560" s="58"/>
      <c r="G1560" s="57" t="s">
        <v>624</v>
      </c>
      <c r="H1560" s="59">
        <v>1</v>
      </c>
      <c r="I1560" s="57"/>
      <c r="J1560" s="57"/>
      <c r="K1560" s="59"/>
      <c r="L1560" s="57"/>
      <c r="M1560" s="60"/>
      <c r="N1560" s="59"/>
      <c r="O1560" s="57"/>
      <c r="P1560" s="57"/>
      <c r="Q1560" s="57"/>
      <c r="R1560" s="57"/>
      <c r="S1560" s="59"/>
      <c r="T1560" s="57"/>
      <c r="U1560" s="60"/>
      <c r="V1560" s="59"/>
      <c r="W1560" s="57"/>
      <c r="X1560" s="57"/>
      <c r="Y1560" s="57" t="s">
        <v>21</v>
      </c>
      <c r="Z1560" s="57" t="s">
        <v>306</v>
      </c>
      <c r="AA1560" s="59">
        <v>30144</v>
      </c>
      <c r="AB1560" s="57" t="s">
        <v>61</v>
      </c>
      <c r="AC1560" s="60">
        <v>46106</v>
      </c>
      <c r="AD1560" s="59">
        <v>30144</v>
      </c>
      <c r="AE1560" s="57" t="s">
        <v>5821</v>
      </c>
      <c r="AF1560" s="57" t="s">
        <v>5822</v>
      </c>
    </row>
    <row r="1561" spans="1:32">
      <c r="A1561" s="57">
        <v>1560</v>
      </c>
      <c r="B1561" s="58">
        <v>46107.411122685182</v>
      </c>
      <c r="C1561" s="58">
        <v>46107.413761574076</v>
      </c>
      <c r="D1561" s="57" t="s">
        <v>1391</v>
      </c>
      <c r="E1561" s="57" t="s">
        <v>1392</v>
      </c>
      <c r="F1561" s="58"/>
      <c r="G1561" s="57" t="s">
        <v>483</v>
      </c>
      <c r="H1561" s="59">
        <v>2</v>
      </c>
      <c r="I1561" s="57"/>
      <c r="J1561" s="57"/>
      <c r="K1561" s="59"/>
      <c r="L1561" s="57"/>
      <c r="M1561" s="60"/>
      <c r="N1561" s="59"/>
      <c r="O1561" s="57"/>
      <c r="P1561" s="57"/>
      <c r="Q1561" s="57" t="s">
        <v>22</v>
      </c>
      <c r="R1561" s="57" t="s">
        <v>5823</v>
      </c>
      <c r="S1561" s="59">
        <v>1552</v>
      </c>
      <c r="T1561" s="57" t="s">
        <v>61</v>
      </c>
      <c r="U1561" s="60">
        <v>46087</v>
      </c>
      <c r="V1561" s="59">
        <v>1552</v>
      </c>
      <c r="W1561" s="57" t="s">
        <v>5824</v>
      </c>
      <c r="X1561" s="57" t="s">
        <v>5825</v>
      </c>
      <c r="Y1561" s="57" t="s">
        <v>21</v>
      </c>
      <c r="Z1561" s="57" t="s">
        <v>355</v>
      </c>
      <c r="AA1561" s="59">
        <v>11603</v>
      </c>
      <c r="AB1561" s="57" t="s">
        <v>61</v>
      </c>
      <c r="AC1561" s="60">
        <v>45999</v>
      </c>
      <c r="AD1561" s="59">
        <v>11603</v>
      </c>
      <c r="AE1561" s="57" t="s">
        <v>5826</v>
      </c>
      <c r="AF1561" s="57" t="s">
        <v>5827</v>
      </c>
    </row>
    <row r="1562" spans="1:32">
      <c r="A1562" s="57">
        <v>1561</v>
      </c>
      <c r="B1562" s="58">
        <v>46107.45449074074</v>
      </c>
      <c r="C1562" s="58">
        <v>46107.457141203697</v>
      </c>
      <c r="D1562" s="57" t="s">
        <v>1414</v>
      </c>
      <c r="E1562" s="57" t="s">
        <v>1415</v>
      </c>
      <c r="F1562" s="58"/>
      <c r="G1562" s="57" t="s">
        <v>578</v>
      </c>
      <c r="H1562" s="59">
        <v>1</v>
      </c>
      <c r="I1562" s="57"/>
      <c r="J1562" s="57"/>
      <c r="K1562" s="59"/>
      <c r="L1562" s="57"/>
      <c r="M1562" s="60"/>
      <c r="N1562" s="59"/>
      <c r="O1562" s="57"/>
      <c r="P1562" s="57"/>
      <c r="Q1562" s="57"/>
      <c r="R1562" s="57"/>
      <c r="S1562" s="59"/>
      <c r="T1562" s="57"/>
      <c r="U1562" s="60"/>
      <c r="V1562" s="59"/>
      <c r="W1562" s="57"/>
      <c r="X1562" s="57"/>
      <c r="Y1562" s="57" t="s">
        <v>21</v>
      </c>
      <c r="Z1562" s="57" t="s">
        <v>250</v>
      </c>
      <c r="AA1562" s="59">
        <v>17371</v>
      </c>
      <c r="AB1562" s="57" t="s">
        <v>61</v>
      </c>
      <c r="AC1562" s="60">
        <v>46035</v>
      </c>
      <c r="AD1562" s="59">
        <v>17371</v>
      </c>
      <c r="AE1562" s="57" t="s">
        <v>5828</v>
      </c>
      <c r="AF1562" s="57" t="s">
        <v>5829</v>
      </c>
    </row>
    <row r="1563" spans="1:32">
      <c r="A1563" s="57">
        <v>1562</v>
      </c>
      <c r="B1563" s="58">
        <v>46107.455717592587</v>
      </c>
      <c r="C1563" s="58">
        <v>46107.458634259259</v>
      </c>
      <c r="D1563" s="57" t="s">
        <v>1590</v>
      </c>
      <c r="E1563" s="57" t="s">
        <v>1591</v>
      </c>
      <c r="F1563" s="58"/>
      <c r="G1563" s="57" t="s">
        <v>465</v>
      </c>
      <c r="H1563" s="59">
        <v>1</v>
      </c>
      <c r="I1563" s="57"/>
      <c r="J1563" s="57"/>
      <c r="K1563" s="59"/>
      <c r="L1563" s="57"/>
      <c r="M1563" s="60"/>
      <c r="N1563" s="59"/>
      <c r="O1563" s="57"/>
      <c r="P1563" s="57"/>
      <c r="Q1563" s="57"/>
      <c r="R1563" s="57"/>
      <c r="S1563" s="59"/>
      <c r="T1563" s="57"/>
      <c r="U1563" s="60"/>
      <c r="V1563" s="59"/>
      <c r="W1563" s="57"/>
      <c r="X1563" s="57"/>
      <c r="Y1563" s="57" t="s">
        <v>20</v>
      </c>
      <c r="Z1563" s="57" t="s">
        <v>130</v>
      </c>
      <c r="AA1563" s="59">
        <v>92501</v>
      </c>
      <c r="AB1563" s="57" t="s">
        <v>61</v>
      </c>
      <c r="AC1563" s="60">
        <v>46059</v>
      </c>
      <c r="AD1563" s="59">
        <v>92501</v>
      </c>
      <c r="AE1563" s="57" t="s">
        <v>5830</v>
      </c>
      <c r="AF1563" s="57" t="s">
        <v>5831</v>
      </c>
    </row>
    <row r="1564" spans="1:32">
      <c r="A1564" s="57">
        <v>1563</v>
      </c>
      <c r="B1564" s="58">
        <v>46107.457442129627</v>
      </c>
      <c r="C1564" s="58">
        <v>46107.462523148148</v>
      </c>
      <c r="D1564" s="57" t="s">
        <v>1414</v>
      </c>
      <c r="E1564" s="57" t="s">
        <v>1415</v>
      </c>
      <c r="F1564" s="58"/>
      <c r="G1564" s="57" t="s">
        <v>578</v>
      </c>
      <c r="H1564" s="59">
        <v>1</v>
      </c>
      <c r="I1564" s="57"/>
      <c r="J1564" s="57"/>
      <c r="K1564" s="59"/>
      <c r="L1564" s="57"/>
      <c r="M1564" s="60"/>
      <c r="N1564" s="59"/>
      <c r="O1564" s="57"/>
      <c r="P1564" s="57"/>
      <c r="Q1564" s="57"/>
      <c r="R1564" s="57"/>
      <c r="S1564" s="59"/>
      <c r="T1564" s="57"/>
      <c r="U1564" s="60"/>
      <c r="V1564" s="59"/>
      <c r="W1564" s="57"/>
      <c r="X1564" s="57"/>
      <c r="Y1564" s="57" t="s">
        <v>21</v>
      </c>
      <c r="Z1564" s="57" t="s">
        <v>250</v>
      </c>
      <c r="AA1564" s="59">
        <v>17771</v>
      </c>
      <c r="AB1564" s="57" t="s">
        <v>61</v>
      </c>
      <c r="AC1564" s="60">
        <v>46035</v>
      </c>
      <c r="AD1564" s="59">
        <v>17771</v>
      </c>
      <c r="AE1564" s="57" t="s">
        <v>5832</v>
      </c>
      <c r="AF1564" s="57" t="s">
        <v>5833</v>
      </c>
    </row>
    <row r="1565" spans="1:32">
      <c r="A1565" s="57">
        <v>1564</v>
      </c>
      <c r="B1565" s="58">
        <v>46106.674108796287</v>
      </c>
      <c r="C1565" s="58">
        <v>46107.474027777767</v>
      </c>
      <c r="D1565" s="57" t="s">
        <v>2420</v>
      </c>
      <c r="E1565" s="57" t="s">
        <v>2421</v>
      </c>
      <c r="F1565" s="58"/>
      <c r="G1565" s="57" t="s">
        <v>611</v>
      </c>
      <c r="H1565" s="59">
        <v>1</v>
      </c>
      <c r="I1565" s="57"/>
      <c r="J1565" s="57"/>
      <c r="K1565" s="59"/>
      <c r="L1565" s="57"/>
      <c r="M1565" s="60"/>
      <c r="N1565" s="59"/>
      <c r="O1565" s="57"/>
      <c r="P1565" s="57"/>
      <c r="Q1565" s="57"/>
      <c r="R1565" s="57"/>
      <c r="S1565" s="59"/>
      <c r="T1565" s="57"/>
      <c r="U1565" s="60"/>
      <c r="V1565" s="59"/>
      <c r="W1565" s="57"/>
      <c r="X1565" s="57"/>
      <c r="Y1565" s="57" t="s">
        <v>21</v>
      </c>
      <c r="Z1565" s="57" t="s">
        <v>291</v>
      </c>
      <c r="AA1565" s="59">
        <v>13613</v>
      </c>
      <c r="AB1565" s="57" t="s">
        <v>61</v>
      </c>
      <c r="AC1565" s="60">
        <v>46014</v>
      </c>
      <c r="AD1565" s="59">
        <v>13613</v>
      </c>
      <c r="AE1565" s="57" t="s">
        <v>5834</v>
      </c>
      <c r="AF1565" s="57" t="s">
        <v>5835</v>
      </c>
    </row>
    <row r="1566" spans="1:32">
      <c r="A1566" s="57">
        <v>1565</v>
      </c>
      <c r="B1566" s="58">
        <v>46107.483842592592</v>
      </c>
      <c r="C1566" s="58">
        <v>46107.486041666663</v>
      </c>
      <c r="D1566" s="57" t="s">
        <v>1289</v>
      </c>
      <c r="E1566" s="57" t="s">
        <v>1290</v>
      </c>
      <c r="F1566" s="58"/>
      <c r="G1566" s="57" t="s">
        <v>641</v>
      </c>
      <c r="H1566" s="59">
        <v>1</v>
      </c>
      <c r="I1566" s="57"/>
      <c r="J1566" s="57"/>
      <c r="K1566" s="59"/>
      <c r="L1566" s="57"/>
      <c r="M1566" s="60"/>
      <c r="N1566" s="59"/>
      <c r="O1566" s="57"/>
      <c r="P1566" s="57"/>
      <c r="Q1566" s="57"/>
      <c r="R1566" s="57"/>
      <c r="S1566" s="59"/>
      <c r="T1566" s="57"/>
      <c r="U1566" s="60"/>
      <c r="V1566" s="59"/>
      <c r="W1566" s="57"/>
      <c r="X1566" s="57"/>
      <c r="Y1566" s="57" t="s">
        <v>21</v>
      </c>
      <c r="Z1566" s="57" t="s">
        <v>336</v>
      </c>
      <c r="AA1566" s="59">
        <v>22293</v>
      </c>
      <c r="AB1566" s="57" t="s">
        <v>61</v>
      </c>
      <c r="AC1566" s="60">
        <v>46085</v>
      </c>
      <c r="AD1566" s="59">
        <v>22293</v>
      </c>
      <c r="AE1566" s="57" t="s">
        <v>5836</v>
      </c>
      <c r="AF1566" s="57" t="s">
        <v>5837</v>
      </c>
    </row>
    <row r="1567" spans="1:32">
      <c r="A1567" s="57">
        <v>1566</v>
      </c>
      <c r="B1567" s="58">
        <v>46107.488043981481</v>
      </c>
      <c r="C1567" s="58">
        <v>46107.491365740738</v>
      </c>
      <c r="D1567" s="57" t="s">
        <v>2180</v>
      </c>
      <c r="E1567" s="57" t="s">
        <v>2181</v>
      </c>
      <c r="F1567" s="58"/>
      <c r="G1567" s="57" t="s">
        <v>590</v>
      </c>
      <c r="H1567" s="59">
        <v>2</v>
      </c>
      <c r="I1567" s="57"/>
      <c r="J1567" s="57"/>
      <c r="K1567" s="59"/>
      <c r="L1567" s="57"/>
      <c r="M1567" s="60"/>
      <c r="N1567" s="59"/>
      <c r="O1567" s="57"/>
      <c r="P1567" s="57"/>
      <c r="Q1567" s="57" t="s">
        <v>22</v>
      </c>
      <c r="R1567" s="57" t="s">
        <v>264</v>
      </c>
      <c r="S1567" s="59">
        <v>38870</v>
      </c>
      <c r="T1567" s="57" t="s">
        <v>61</v>
      </c>
      <c r="U1567" s="60">
        <v>45985</v>
      </c>
      <c r="V1567" s="59">
        <v>38870</v>
      </c>
      <c r="W1567" s="57" t="s">
        <v>5838</v>
      </c>
      <c r="X1567" s="57" t="s">
        <v>5839</v>
      </c>
      <c r="Y1567" s="57" t="s">
        <v>20</v>
      </c>
      <c r="Z1567" s="57" t="s">
        <v>382</v>
      </c>
      <c r="AA1567" s="59">
        <v>9536</v>
      </c>
      <c r="AB1567" s="57" t="s">
        <v>61</v>
      </c>
      <c r="AC1567" s="60">
        <v>46041</v>
      </c>
      <c r="AD1567" s="59">
        <v>9536</v>
      </c>
      <c r="AE1567" s="57" t="s">
        <v>5840</v>
      </c>
      <c r="AF1567" s="57" t="s">
        <v>5841</v>
      </c>
    </row>
    <row r="1568" spans="1:32">
      <c r="A1568" s="57">
        <v>1567</v>
      </c>
      <c r="B1568" s="58">
        <v>46107.509652777779</v>
      </c>
      <c r="C1568" s="58">
        <v>46107.522719907407</v>
      </c>
      <c r="D1568" s="57" t="s">
        <v>2232</v>
      </c>
      <c r="E1568" s="57" t="s">
        <v>2233</v>
      </c>
      <c r="F1568" s="58"/>
      <c r="G1568" s="57" t="s">
        <v>600</v>
      </c>
      <c r="H1568" s="59">
        <v>1</v>
      </c>
      <c r="I1568" s="57"/>
      <c r="J1568" s="57"/>
      <c r="K1568" s="59"/>
      <c r="L1568" s="57"/>
      <c r="M1568" s="60"/>
      <c r="N1568" s="59"/>
      <c r="O1568" s="57"/>
      <c r="P1568" s="57"/>
      <c r="Q1568" s="57"/>
      <c r="R1568" s="57"/>
      <c r="S1568" s="59"/>
      <c r="T1568" s="57"/>
      <c r="U1568" s="60"/>
      <c r="V1568" s="59"/>
      <c r="W1568" s="57"/>
      <c r="X1568" s="57"/>
      <c r="Y1568" s="57" t="s">
        <v>20</v>
      </c>
      <c r="Z1568" s="57" t="s">
        <v>276</v>
      </c>
      <c r="AA1568" s="59">
        <v>30923</v>
      </c>
      <c r="AB1568" s="57" t="s">
        <v>61</v>
      </c>
      <c r="AC1568" s="60">
        <v>46060</v>
      </c>
      <c r="AD1568" s="59">
        <v>30923</v>
      </c>
      <c r="AE1568" s="57" t="s">
        <v>5842</v>
      </c>
      <c r="AF1568" s="57" t="s">
        <v>5843</v>
      </c>
    </row>
    <row r="1569" spans="1:32">
      <c r="A1569" s="57">
        <v>1568</v>
      </c>
      <c r="B1569" s="58">
        <v>46107.539537037039</v>
      </c>
      <c r="C1569" s="58">
        <v>46107.577499999999</v>
      </c>
      <c r="D1569" s="57" t="s">
        <v>893</v>
      </c>
      <c r="E1569" s="57" t="s">
        <v>894</v>
      </c>
      <c r="F1569" s="58"/>
      <c r="G1569" s="57" t="s">
        <v>508</v>
      </c>
      <c r="H1569" s="59">
        <v>1</v>
      </c>
      <c r="I1569" s="57"/>
      <c r="J1569" s="57"/>
      <c r="K1569" s="59"/>
      <c r="L1569" s="57"/>
      <c r="M1569" s="60"/>
      <c r="N1569" s="59"/>
      <c r="O1569" s="57"/>
      <c r="P1569" s="57"/>
      <c r="Q1569" s="57"/>
      <c r="R1569" s="57"/>
      <c r="S1569" s="59"/>
      <c r="T1569" s="57"/>
      <c r="U1569" s="60"/>
      <c r="V1569" s="59"/>
      <c r="W1569" s="57"/>
      <c r="X1569" s="57"/>
      <c r="Y1569" s="57" t="s">
        <v>20</v>
      </c>
      <c r="Z1569" s="57" t="s">
        <v>174</v>
      </c>
      <c r="AA1569" s="59">
        <v>55694</v>
      </c>
      <c r="AB1569" s="57" t="s">
        <v>61</v>
      </c>
      <c r="AC1569" s="60">
        <v>45910</v>
      </c>
      <c r="AD1569" s="59">
        <v>55694</v>
      </c>
      <c r="AE1569" s="57" t="s">
        <v>5844</v>
      </c>
      <c r="AF1569" s="57" t="s">
        <v>5845</v>
      </c>
    </row>
    <row r="1570" spans="1:32">
      <c r="A1570" s="57">
        <v>1569</v>
      </c>
      <c r="B1570" s="58">
        <v>46107.780416666668</v>
      </c>
      <c r="C1570" s="58">
        <v>46107.78402777778</v>
      </c>
      <c r="D1570" s="57" t="s">
        <v>1064</v>
      </c>
      <c r="E1570" s="57" t="s">
        <v>1065</v>
      </c>
      <c r="F1570" s="58"/>
      <c r="G1570" s="57" t="s">
        <v>544</v>
      </c>
      <c r="H1570" s="59">
        <v>1</v>
      </c>
      <c r="I1570" s="57"/>
      <c r="J1570" s="57"/>
      <c r="K1570" s="59"/>
      <c r="L1570" s="57"/>
      <c r="M1570" s="60"/>
      <c r="N1570" s="59"/>
      <c r="O1570" s="57"/>
      <c r="P1570" s="57"/>
      <c r="Q1570" s="57"/>
      <c r="R1570" s="57"/>
      <c r="S1570" s="59"/>
      <c r="T1570" s="57"/>
      <c r="U1570" s="60"/>
      <c r="V1570" s="59"/>
      <c r="W1570" s="57"/>
      <c r="X1570" s="57"/>
      <c r="Y1570" s="57" t="s">
        <v>21</v>
      </c>
      <c r="Z1570" s="57" t="s">
        <v>213</v>
      </c>
      <c r="AA1570" s="59">
        <v>45840</v>
      </c>
      <c r="AB1570" s="57" t="s">
        <v>61</v>
      </c>
      <c r="AC1570" s="60">
        <v>45964</v>
      </c>
      <c r="AD1570" s="59">
        <v>45840</v>
      </c>
      <c r="AE1570" s="57" t="s">
        <v>5846</v>
      </c>
      <c r="AF1570" s="57" t="s">
        <v>5847</v>
      </c>
    </row>
    <row r="1571" spans="1:32">
      <c r="A1571" s="57">
        <v>1570</v>
      </c>
      <c r="B1571" s="58">
        <v>46108.362233796302</v>
      </c>
      <c r="C1571" s="58">
        <v>46108.36959490741</v>
      </c>
      <c r="D1571" s="57" t="s">
        <v>1628</v>
      </c>
      <c r="E1571" s="57" t="s">
        <v>1629</v>
      </c>
      <c r="F1571" s="58"/>
      <c r="G1571" s="57" t="s">
        <v>705</v>
      </c>
      <c r="H1571" s="59">
        <v>1</v>
      </c>
      <c r="I1571" s="57"/>
      <c r="J1571" s="57"/>
      <c r="K1571" s="59"/>
      <c r="L1571" s="57"/>
      <c r="M1571" s="60"/>
      <c r="N1571" s="59"/>
      <c r="O1571" s="57"/>
      <c r="P1571" s="57"/>
      <c r="Q1571" s="57"/>
      <c r="R1571" s="57"/>
      <c r="S1571" s="59"/>
      <c r="T1571" s="57"/>
      <c r="U1571" s="60"/>
      <c r="V1571" s="59"/>
      <c r="W1571" s="57"/>
      <c r="X1571" s="57"/>
      <c r="Y1571" s="57" t="s">
        <v>21</v>
      </c>
      <c r="Z1571" s="57" t="s">
        <v>433</v>
      </c>
      <c r="AA1571" s="59">
        <v>2864</v>
      </c>
      <c r="AB1571" s="57" t="s">
        <v>61</v>
      </c>
      <c r="AC1571" s="60">
        <v>46107</v>
      </c>
      <c r="AD1571" s="59">
        <v>2864</v>
      </c>
      <c r="AE1571" s="57" t="s">
        <v>5848</v>
      </c>
      <c r="AF1571" s="57" t="s">
        <v>5849</v>
      </c>
    </row>
    <row r="1572" spans="1:32">
      <c r="A1572" s="57">
        <v>1571</v>
      </c>
      <c r="B1572" s="58">
        <v>46108.443668981483</v>
      </c>
      <c r="C1572" s="58">
        <v>46108.453368055547</v>
      </c>
      <c r="D1572" s="57" t="s">
        <v>827</v>
      </c>
      <c r="E1572" s="57" t="s">
        <v>828</v>
      </c>
      <c r="F1572" s="58"/>
      <c r="G1572" s="57" t="s">
        <v>566</v>
      </c>
      <c r="H1572" s="59">
        <v>2</v>
      </c>
      <c r="I1572" s="57"/>
      <c r="J1572" s="57"/>
      <c r="K1572" s="59"/>
      <c r="L1572" s="57"/>
      <c r="M1572" s="60"/>
      <c r="N1572" s="59"/>
      <c r="O1572" s="57"/>
      <c r="P1572" s="57"/>
      <c r="Q1572" s="57" t="s">
        <v>22</v>
      </c>
      <c r="R1572" s="57" t="s">
        <v>238</v>
      </c>
      <c r="S1572" s="59">
        <v>67869</v>
      </c>
      <c r="T1572" s="57" t="s">
        <v>61</v>
      </c>
      <c r="U1572" s="60">
        <v>46066</v>
      </c>
      <c r="V1572" s="59">
        <v>67869</v>
      </c>
      <c r="W1572" s="57" t="s">
        <v>5850</v>
      </c>
      <c r="X1572" s="57" t="s">
        <v>5851</v>
      </c>
      <c r="Y1572" s="57" t="s">
        <v>21</v>
      </c>
      <c r="Z1572" s="57" t="s">
        <v>413</v>
      </c>
      <c r="AA1572" s="59">
        <v>5078</v>
      </c>
      <c r="AB1572" s="57" t="s">
        <v>61</v>
      </c>
      <c r="AC1572" s="60">
        <v>45948</v>
      </c>
      <c r="AD1572" s="59">
        <v>5078</v>
      </c>
      <c r="AE1572" s="57" t="s">
        <v>5852</v>
      </c>
      <c r="AF1572" s="57" t="s">
        <v>5853</v>
      </c>
    </row>
    <row r="1573" spans="1:32">
      <c r="A1573" s="57">
        <v>1572</v>
      </c>
      <c r="B1573" s="58">
        <v>46108.570069444453</v>
      </c>
      <c r="C1573" s="58">
        <v>46108.574849537043</v>
      </c>
      <c r="D1573" s="57" t="s">
        <v>1232</v>
      </c>
      <c r="E1573" s="57" t="s">
        <v>1233</v>
      </c>
      <c r="F1573" s="58"/>
      <c r="G1573" s="57" t="s">
        <v>706</v>
      </c>
      <c r="H1573" s="59">
        <v>1</v>
      </c>
      <c r="I1573" s="57"/>
      <c r="J1573" s="57"/>
      <c r="K1573" s="59"/>
      <c r="L1573" s="57"/>
      <c r="M1573" s="60"/>
      <c r="N1573" s="59"/>
      <c r="O1573" s="57"/>
      <c r="P1573" s="57"/>
      <c r="Q1573" s="57"/>
      <c r="R1573" s="57"/>
      <c r="S1573" s="59"/>
      <c r="T1573" s="57"/>
      <c r="U1573" s="60"/>
      <c r="V1573" s="59"/>
      <c r="W1573" s="57"/>
      <c r="X1573" s="57"/>
      <c r="Y1573" s="57" t="s">
        <v>21</v>
      </c>
      <c r="Z1573" s="57" t="s">
        <v>434</v>
      </c>
      <c r="AA1573" s="59">
        <v>5806</v>
      </c>
      <c r="AB1573" s="57" t="s">
        <v>61</v>
      </c>
      <c r="AC1573" s="60">
        <v>45967</v>
      </c>
      <c r="AD1573" s="59">
        <v>5806</v>
      </c>
      <c r="AE1573" s="57" t="s">
        <v>5854</v>
      </c>
      <c r="AF1573" s="57" t="s">
        <v>5855</v>
      </c>
    </row>
    <row r="1574" spans="1:32">
      <c r="A1574" s="57">
        <v>1573</v>
      </c>
      <c r="B1574" s="58">
        <v>46108.603182870371</v>
      </c>
      <c r="C1574" s="58">
        <v>46108.612534722219</v>
      </c>
      <c r="D1574" s="57" t="s">
        <v>1068</v>
      </c>
      <c r="E1574" s="57" t="s">
        <v>1069</v>
      </c>
      <c r="F1574" s="58"/>
      <c r="G1574" s="57" t="s">
        <v>485</v>
      </c>
      <c r="H1574" s="59">
        <v>2</v>
      </c>
      <c r="I1574" s="57"/>
      <c r="J1574" s="57"/>
      <c r="K1574" s="59"/>
      <c r="L1574" s="57"/>
      <c r="M1574" s="60"/>
      <c r="N1574" s="59"/>
      <c r="O1574" s="57"/>
      <c r="P1574" s="57"/>
      <c r="Q1574" s="57" t="s">
        <v>22</v>
      </c>
      <c r="R1574" s="57" t="s">
        <v>1072</v>
      </c>
      <c r="S1574" s="59">
        <v>115278</v>
      </c>
      <c r="T1574" s="57" t="s">
        <v>61</v>
      </c>
      <c r="U1574" s="60">
        <v>46091</v>
      </c>
      <c r="V1574" s="59">
        <v>115278</v>
      </c>
      <c r="W1574" s="57" t="s">
        <v>5856</v>
      </c>
      <c r="X1574" s="57" t="s">
        <v>5857</v>
      </c>
      <c r="Y1574" s="57" t="s">
        <v>20</v>
      </c>
      <c r="Z1574" s="57" t="s">
        <v>151</v>
      </c>
      <c r="AA1574" s="59">
        <v>36595</v>
      </c>
      <c r="AB1574" s="57" t="s">
        <v>61</v>
      </c>
      <c r="AC1574" s="60">
        <v>45936</v>
      </c>
      <c r="AD1574" s="59">
        <v>36595</v>
      </c>
      <c r="AE1574" s="57" t="s">
        <v>5858</v>
      </c>
      <c r="AF1574" s="57" t="s">
        <v>5859</v>
      </c>
    </row>
    <row r="1575" spans="1:32">
      <c r="A1575" s="57">
        <v>1574</v>
      </c>
      <c r="B1575" s="58">
        <v>46107.437303240738</v>
      </c>
      <c r="C1575" s="58">
        <v>46108.801759259259</v>
      </c>
      <c r="D1575" s="57" t="s">
        <v>1489</v>
      </c>
      <c r="E1575" s="57" t="s">
        <v>1490</v>
      </c>
      <c r="F1575" s="58"/>
      <c r="G1575" s="57" t="s">
        <v>648</v>
      </c>
      <c r="H1575" s="59">
        <v>1</v>
      </c>
      <c r="I1575" s="57"/>
      <c r="J1575" s="57"/>
      <c r="K1575" s="59"/>
      <c r="L1575" s="57"/>
      <c r="M1575" s="60"/>
      <c r="N1575" s="59"/>
      <c r="O1575" s="57"/>
      <c r="P1575" s="57"/>
      <c r="Q1575" s="57"/>
      <c r="R1575" s="57"/>
      <c r="S1575" s="59"/>
      <c r="T1575" s="57"/>
      <c r="U1575" s="60"/>
      <c r="V1575" s="59"/>
      <c r="W1575" s="57"/>
      <c r="X1575" s="57"/>
      <c r="Y1575" s="57" t="s">
        <v>21</v>
      </c>
      <c r="Z1575" s="57" t="s">
        <v>344</v>
      </c>
      <c r="AA1575" s="59">
        <v>17427</v>
      </c>
      <c r="AB1575" s="57" t="s">
        <v>61</v>
      </c>
      <c r="AC1575" s="60">
        <v>45916</v>
      </c>
      <c r="AD1575" s="59">
        <v>17427</v>
      </c>
      <c r="AE1575" s="57" t="s">
        <v>5860</v>
      </c>
      <c r="AF1575" s="57" t="s">
        <v>5861</v>
      </c>
    </row>
    <row r="1576" spans="1:32">
      <c r="A1576" s="57">
        <v>1575</v>
      </c>
      <c r="B1576" s="58">
        <v>46109.29074074074</v>
      </c>
      <c r="C1576" s="58">
        <v>46109.294629629629</v>
      </c>
      <c r="D1576" s="57" t="s">
        <v>1802</v>
      </c>
      <c r="E1576" s="57" t="s">
        <v>1803</v>
      </c>
      <c r="F1576" s="58"/>
      <c r="G1576" s="57" t="s">
        <v>535</v>
      </c>
      <c r="H1576" s="59">
        <v>2</v>
      </c>
      <c r="I1576" s="57"/>
      <c r="J1576" s="57"/>
      <c r="K1576" s="59"/>
      <c r="L1576" s="57"/>
      <c r="M1576" s="60"/>
      <c r="N1576" s="59"/>
      <c r="O1576" s="57"/>
      <c r="P1576" s="57"/>
      <c r="Q1576" s="57" t="s">
        <v>22</v>
      </c>
      <c r="R1576" s="57" t="s">
        <v>209</v>
      </c>
      <c r="S1576" s="59">
        <v>93039</v>
      </c>
      <c r="T1576" s="57" t="s">
        <v>61</v>
      </c>
      <c r="U1576" s="60">
        <v>45943</v>
      </c>
      <c r="V1576" s="59">
        <v>93039</v>
      </c>
      <c r="W1576" s="57" t="s">
        <v>5862</v>
      </c>
      <c r="X1576" s="57" t="s">
        <v>5863</v>
      </c>
      <c r="Y1576" s="57" t="s">
        <v>20</v>
      </c>
      <c r="Z1576" s="57" t="s">
        <v>203</v>
      </c>
      <c r="AA1576" s="59">
        <v>24269</v>
      </c>
      <c r="AB1576" s="57" t="s">
        <v>61</v>
      </c>
      <c r="AC1576" s="60">
        <v>46109</v>
      </c>
      <c r="AD1576" s="59">
        <v>24269</v>
      </c>
      <c r="AE1576" s="57" t="s">
        <v>5864</v>
      </c>
      <c r="AF1576" s="57" t="s">
        <v>5865</v>
      </c>
    </row>
    <row r="1577" spans="1:32">
      <c r="A1577" s="57">
        <v>1576</v>
      </c>
      <c r="B1577" s="58">
        <v>46109.372025462973</v>
      </c>
      <c r="C1577" s="58">
        <v>46109.376793981479</v>
      </c>
      <c r="D1577" s="57" t="s">
        <v>1131</v>
      </c>
      <c r="E1577" s="57" t="s">
        <v>1132</v>
      </c>
      <c r="F1577" s="58"/>
      <c r="G1577" s="57" t="s">
        <v>615</v>
      </c>
      <c r="H1577" s="59">
        <v>1</v>
      </c>
      <c r="I1577" s="57"/>
      <c r="J1577" s="57"/>
      <c r="K1577" s="59"/>
      <c r="L1577" s="57"/>
      <c r="M1577" s="60"/>
      <c r="N1577" s="59"/>
      <c r="O1577" s="57"/>
      <c r="P1577" s="57"/>
      <c r="Q1577" s="57"/>
      <c r="R1577" s="57"/>
      <c r="S1577" s="59"/>
      <c r="T1577" s="57"/>
      <c r="U1577" s="60"/>
      <c r="V1577" s="59"/>
      <c r="W1577" s="57"/>
      <c r="X1577" s="57"/>
      <c r="Y1577" s="57" t="s">
        <v>21</v>
      </c>
      <c r="Z1577" s="57" t="s">
        <v>295</v>
      </c>
      <c r="AA1577" s="59">
        <v>20898</v>
      </c>
      <c r="AB1577" s="57" t="s">
        <v>61</v>
      </c>
      <c r="AC1577" s="60">
        <v>45962</v>
      </c>
      <c r="AD1577" s="59">
        <v>20898</v>
      </c>
      <c r="AE1577" s="57" t="s">
        <v>5866</v>
      </c>
      <c r="AF1577" s="57" t="s">
        <v>5867</v>
      </c>
    </row>
    <row r="1578" spans="1:32">
      <c r="A1578" s="57">
        <v>1577</v>
      </c>
      <c r="B1578" s="58">
        <v>46109.771180555559</v>
      </c>
      <c r="C1578" s="58">
        <v>46109.776643518519</v>
      </c>
      <c r="D1578" s="57" t="s">
        <v>5443</v>
      </c>
      <c r="E1578" s="57" t="s">
        <v>5444</v>
      </c>
      <c r="F1578" s="58"/>
      <c r="G1578" s="57" t="s">
        <v>716</v>
      </c>
      <c r="H1578" s="59">
        <v>1</v>
      </c>
      <c r="I1578" s="57"/>
      <c r="J1578" s="57"/>
      <c r="K1578" s="59"/>
      <c r="L1578" s="57"/>
      <c r="M1578" s="60"/>
      <c r="N1578" s="59"/>
      <c r="O1578" s="57"/>
      <c r="P1578" s="57"/>
      <c r="Q1578" s="57"/>
      <c r="R1578" s="57"/>
      <c r="S1578" s="59"/>
      <c r="T1578" s="57"/>
      <c r="U1578" s="60"/>
      <c r="V1578" s="59"/>
      <c r="W1578" s="57"/>
      <c r="X1578" s="57"/>
      <c r="Y1578" s="57" t="s">
        <v>21</v>
      </c>
      <c r="Z1578" s="57" t="s">
        <v>448</v>
      </c>
      <c r="AA1578" s="59">
        <v>2573</v>
      </c>
      <c r="AB1578" s="57" t="s">
        <v>61</v>
      </c>
      <c r="AC1578" s="60">
        <v>46029</v>
      </c>
      <c r="AD1578" s="59">
        <v>2573</v>
      </c>
      <c r="AE1578" s="57" t="s">
        <v>5868</v>
      </c>
      <c r="AF1578" s="57" t="s">
        <v>5869</v>
      </c>
    </row>
    <row r="1579" spans="1:32">
      <c r="A1579" s="57">
        <v>1578</v>
      </c>
      <c r="B1579" s="58">
        <v>46109.814270833333</v>
      </c>
      <c r="C1579" s="58">
        <v>46109.854027777779</v>
      </c>
      <c r="D1579" s="57" t="s">
        <v>1159</v>
      </c>
      <c r="E1579" s="57" t="s">
        <v>1160</v>
      </c>
      <c r="F1579" s="58"/>
      <c r="G1579" s="57" t="s">
        <v>551</v>
      </c>
      <c r="H1579" s="59">
        <v>1</v>
      </c>
      <c r="I1579" s="57"/>
      <c r="J1579" s="57"/>
      <c r="K1579" s="59"/>
      <c r="L1579" s="57"/>
      <c r="M1579" s="60"/>
      <c r="N1579" s="59"/>
      <c r="O1579" s="57"/>
      <c r="P1579" s="57"/>
      <c r="Q1579" s="57"/>
      <c r="R1579" s="57"/>
      <c r="S1579" s="59"/>
      <c r="T1579" s="57"/>
      <c r="U1579" s="60"/>
      <c r="V1579" s="59"/>
      <c r="W1579" s="57"/>
      <c r="X1579" s="57"/>
      <c r="Y1579" s="57" t="s">
        <v>20</v>
      </c>
      <c r="Z1579" s="57" t="s">
        <v>220</v>
      </c>
      <c r="AA1579" s="59">
        <v>45382</v>
      </c>
      <c r="AB1579" s="57" t="s">
        <v>61</v>
      </c>
      <c r="AC1579" s="60">
        <v>46008</v>
      </c>
      <c r="AD1579" s="59">
        <v>45382</v>
      </c>
      <c r="AE1579" s="57" t="s">
        <v>5870</v>
      </c>
      <c r="AF1579" s="57" t="s">
        <v>5871</v>
      </c>
    </row>
    <row r="1580" spans="1:32">
      <c r="A1580" s="57">
        <v>1579</v>
      </c>
      <c r="B1580" s="58">
        <v>46111.441770833328</v>
      </c>
      <c r="C1580" s="58">
        <v>46111.4453125</v>
      </c>
      <c r="D1580" s="57" t="s">
        <v>1018</v>
      </c>
      <c r="E1580" s="57" t="s">
        <v>1019</v>
      </c>
      <c r="F1580" s="58"/>
      <c r="G1580" s="57" t="s">
        <v>472</v>
      </c>
      <c r="H1580" s="59">
        <v>1</v>
      </c>
      <c r="I1580" s="57"/>
      <c r="J1580" s="57"/>
      <c r="K1580" s="59"/>
      <c r="L1580" s="57"/>
      <c r="M1580" s="60"/>
      <c r="N1580" s="59"/>
      <c r="O1580" s="57"/>
      <c r="P1580" s="57"/>
      <c r="Q1580" s="57"/>
      <c r="R1580" s="57"/>
      <c r="S1580" s="59"/>
      <c r="T1580" s="57"/>
      <c r="U1580" s="60"/>
      <c r="V1580" s="59"/>
      <c r="W1580" s="57"/>
      <c r="X1580" s="57"/>
      <c r="Y1580" s="57" t="s">
        <v>20</v>
      </c>
      <c r="Z1580" s="57" t="s">
        <v>138</v>
      </c>
      <c r="AA1580" s="59">
        <v>54324</v>
      </c>
      <c r="AB1580" s="57" t="s">
        <v>61</v>
      </c>
      <c r="AC1580" s="60">
        <v>46032</v>
      </c>
      <c r="AD1580" s="59">
        <v>54324</v>
      </c>
      <c r="AE1580" s="57" t="s">
        <v>5872</v>
      </c>
      <c r="AF1580" s="57" t="s">
        <v>5873</v>
      </c>
    </row>
    <row r="1581" spans="1:32">
      <c r="A1581" s="57">
        <v>1580</v>
      </c>
      <c r="B1581" s="58">
        <v>46111.445011574076</v>
      </c>
      <c r="C1581" s="58">
        <v>46111.456956018519</v>
      </c>
      <c r="D1581" s="57" t="s">
        <v>1576</v>
      </c>
      <c r="E1581" s="57" t="s">
        <v>1577</v>
      </c>
      <c r="F1581" s="58"/>
      <c r="G1581" s="57" t="s">
        <v>657</v>
      </c>
      <c r="H1581" s="59">
        <v>2</v>
      </c>
      <c r="I1581" s="57"/>
      <c r="J1581" s="57"/>
      <c r="K1581" s="59"/>
      <c r="L1581" s="57"/>
      <c r="M1581" s="60"/>
      <c r="N1581" s="59"/>
      <c r="O1581" s="57"/>
      <c r="P1581" s="57"/>
      <c r="Q1581" s="57" t="s">
        <v>22</v>
      </c>
      <c r="R1581" s="57" t="s">
        <v>402</v>
      </c>
      <c r="S1581" s="59">
        <v>16474</v>
      </c>
      <c r="T1581" s="57" t="s">
        <v>61</v>
      </c>
      <c r="U1581" s="60">
        <v>45920</v>
      </c>
      <c r="V1581" s="59">
        <v>16474</v>
      </c>
      <c r="W1581" s="57" t="s">
        <v>5874</v>
      </c>
      <c r="X1581" s="57" t="s">
        <v>5875</v>
      </c>
      <c r="Y1581" s="57" t="s">
        <v>21</v>
      </c>
      <c r="Z1581" s="57" t="s">
        <v>358</v>
      </c>
      <c r="AA1581" s="59">
        <v>6527</v>
      </c>
      <c r="AB1581" s="57" t="s">
        <v>61</v>
      </c>
      <c r="AC1581" s="60">
        <v>45930</v>
      </c>
      <c r="AD1581" s="59">
        <v>6527</v>
      </c>
      <c r="AE1581" s="57" t="s">
        <v>5876</v>
      </c>
      <c r="AF1581" s="57" t="s">
        <v>5877</v>
      </c>
    </row>
    <row r="1582" spans="1:32">
      <c r="A1582" s="57">
        <v>1581</v>
      </c>
      <c r="B1582" s="58">
        <v>46111.453645833331</v>
      </c>
      <c r="C1582" s="58">
        <v>46111.463240740741</v>
      </c>
      <c r="D1582" s="57" t="s">
        <v>2163</v>
      </c>
      <c r="E1582" s="57" t="s">
        <v>2164</v>
      </c>
      <c r="F1582" s="58"/>
      <c r="G1582" s="57" t="s">
        <v>484</v>
      </c>
      <c r="H1582" s="59">
        <v>2</v>
      </c>
      <c r="I1582" s="57"/>
      <c r="J1582" s="57"/>
      <c r="K1582" s="59"/>
      <c r="L1582" s="57"/>
      <c r="M1582" s="60"/>
      <c r="N1582" s="59"/>
      <c r="O1582" s="57"/>
      <c r="P1582" s="57"/>
      <c r="Q1582" s="57" t="s">
        <v>21</v>
      </c>
      <c r="R1582" s="57" t="s">
        <v>150</v>
      </c>
      <c r="S1582" s="59">
        <v>44394</v>
      </c>
      <c r="T1582" s="57" t="s">
        <v>61</v>
      </c>
      <c r="U1582" s="60">
        <v>45811</v>
      </c>
      <c r="V1582" s="59">
        <v>44394</v>
      </c>
      <c r="W1582" s="57" t="s">
        <v>5878</v>
      </c>
      <c r="X1582" s="57" t="s">
        <v>5879</v>
      </c>
      <c r="Y1582" s="57" t="s">
        <v>22</v>
      </c>
      <c r="Z1582" s="57" t="s">
        <v>254</v>
      </c>
      <c r="AA1582" s="59">
        <v>31917</v>
      </c>
      <c r="AB1582" s="57" t="s">
        <v>61</v>
      </c>
      <c r="AC1582" s="60">
        <v>45986</v>
      </c>
      <c r="AD1582" s="59">
        <v>31917</v>
      </c>
      <c r="AE1582" s="57" t="s">
        <v>5880</v>
      </c>
      <c r="AF1582" s="57" t="s">
        <v>5881</v>
      </c>
    </row>
    <row r="1583" spans="1:32">
      <c r="A1583" s="57">
        <v>1582</v>
      </c>
      <c r="B1583" s="58">
        <v>46111.471493055556</v>
      </c>
      <c r="C1583" s="58">
        <v>46111.479039351849</v>
      </c>
      <c r="D1583" s="57" t="s">
        <v>1014</v>
      </c>
      <c r="E1583" s="57" t="s">
        <v>1015</v>
      </c>
      <c r="F1583" s="58"/>
      <c r="G1583" s="57" t="s">
        <v>623</v>
      </c>
      <c r="H1583" s="59">
        <v>1</v>
      </c>
      <c r="I1583" s="57"/>
      <c r="J1583" s="57"/>
      <c r="K1583" s="59"/>
      <c r="L1583" s="57"/>
      <c r="M1583" s="60"/>
      <c r="N1583" s="59"/>
      <c r="O1583" s="57"/>
      <c r="P1583" s="57"/>
      <c r="Q1583" s="57"/>
      <c r="R1583" s="57"/>
      <c r="S1583" s="59"/>
      <c r="T1583" s="57"/>
      <c r="U1583" s="60"/>
      <c r="V1583" s="59"/>
      <c r="W1583" s="57"/>
      <c r="X1583" s="57"/>
      <c r="Y1583" s="57" t="s">
        <v>20</v>
      </c>
      <c r="Z1583" s="57" t="s">
        <v>305</v>
      </c>
      <c r="AA1583" s="59">
        <v>40167</v>
      </c>
      <c r="AB1583" s="57" t="s">
        <v>61</v>
      </c>
      <c r="AC1583" s="60">
        <v>46077</v>
      </c>
      <c r="AD1583" s="59">
        <v>40167</v>
      </c>
      <c r="AE1583" s="57" t="s">
        <v>5882</v>
      </c>
      <c r="AF1583" s="57" t="s">
        <v>5883</v>
      </c>
    </row>
    <row r="1584" spans="1:32">
      <c r="A1584" s="57">
        <v>1583</v>
      </c>
      <c r="B1584" s="58">
        <v>46111.549687500003</v>
      </c>
      <c r="C1584" s="58">
        <v>46111.551736111112</v>
      </c>
      <c r="D1584" s="57" t="s">
        <v>1576</v>
      </c>
      <c r="E1584" s="57" t="s">
        <v>1577</v>
      </c>
      <c r="F1584" s="58"/>
      <c r="G1584" s="57" t="s">
        <v>657</v>
      </c>
      <c r="H1584" s="59">
        <v>2</v>
      </c>
      <c r="I1584" s="57"/>
      <c r="J1584" s="57"/>
      <c r="K1584" s="59"/>
      <c r="L1584" s="57"/>
      <c r="M1584" s="60"/>
      <c r="N1584" s="59"/>
      <c r="O1584" s="57"/>
      <c r="P1584" s="57"/>
      <c r="Q1584" s="57" t="s">
        <v>22</v>
      </c>
      <c r="R1584" s="57" t="s">
        <v>402</v>
      </c>
      <c r="S1584" s="59">
        <v>16399</v>
      </c>
      <c r="T1584" s="57" t="s">
        <v>61</v>
      </c>
      <c r="U1584" s="60">
        <v>46056</v>
      </c>
      <c r="V1584" s="59">
        <v>16399</v>
      </c>
      <c r="W1584" s="57" t="s">
        <v>5884</v>
      </c>
      <c r="X1584" s="57" t="s">
        <v>5885</v>
      </c>
      <c r="Y1584" s="57" t="s">
        <v>21</v>
      </c>
      <c r="Z1584" s="57" t="s">
        <v>358</v>
      </c>
      <c r="AA1584" s="59">
        <v>7096</v>
      </c>
      <c r="AB1584" s="57" t="s">
        <v>61</v>
      </c>
      <c r="AC1584" s="60">
        <v>45930</v>
      </c>
      <c r="AD1584" s="59">
        <v>7096</v>
      </c>
      <c r="AE1584" s="57" t="s">
        <v>5886</v>
      </c>
      <c r="AF1584" s="57" t="s">
        <v>5887</v>
      </c>
    </row>
    <row r="1585" spans="1:32">
      <c r="A1585" s="57">
        <v>1584</v>
      </c>
      <c r="B1585" s="58">
        <v>46111.956689814811</v>
      </c>
      <c r="C1585" s="58">
        <v>46111.963125000002</v>
      </c>
      <c r="D1585" s="57" t="s">
        <v>5888</v>
      </c>
      <c r="E1585" s="57" t="s">
        <v>5889</v>
      </c>
      <c r="F1585" s="58"/>
      <c r="G1585" s="57" t="s">
        <v>606</v>
      </c>
      <c r="H1585" s="59">
        <v>2</v>
      </c>
      <c r="I1585" s="57"/>
      <c r="J1585" s="57"/>
      <c r="K1585" s="59"/>
      <c r="L1585" s="57"/>
      <c r="M1585" s="60"/>
      <c r="N1585" s="59"/>
      <c r="O1585" s="57"/>
      <c r="P1585" s="57"/>
      <c r="Q1585" s="57" t="s">
        <v>21</v>
      </c>
      <c r="R1585" s="57" t="s">
        <v>364</v>
      </c>
      <c r="S1585" s="59">
        <v>28095</v>
      </c>
      <c r="T1585" s="57" t="s">
        <v>61</v>
      </c>
      <c r="U1585" s="60">
        <v>45916</v>
      </c>
      <c r="V1585" s="59">
        <v>28095</v>
      </c>
      <c r="W1585" s="57" t="s">
        <v>5890</v>
      </c>
      <c r="X1585" s="57" t="s">
        <v>5891</v>
      </c>
      <c r="Y1585" s="57" t="s">
        <v>22</v>
      </c>
      <c r="Z1585" s="57" t="s">
        <v>284</v>
      </c>
      <c r="AA1585" s="59">
        <v>20022</v>
      </c>
      <c r="AB1585" s="57" t="s">
        <v>61</v>
      </c>
      <c r="AC1585" s="60">
        <v>46081</v>
      </c>
      <c r="AD1585" s="59">
        <v>20022</v>
      </c>
      <c r="AE1585" s="57" t="s">
        <v>5892</v>
      </c>
      <c r="AF1585" s="57" t="s">
        <v>5893</v>
      </c>
    </row>
    <row r="1586" spans="1:32">
      <c r="A1586" s="57">
        <v>1585</v>
      </c>
      <c r="B1586" s="58">
        <v>46112.728368055563</v>
      </c>
      <c r="C1586" s="58">
        <v>46112.730821759258</v>
      </c>
      <c r="D1586" s="57" t="s">
        <v>2530</v>
      </c>
      <c r="E1586" s="57" t="s">
        <v>2531</v>
      </c>
      <c r="F1586" s="58"/>
      <c r="G1586" s="57" t="s">
        <v>659</v>
      </c>
      <c r="H1586" s="59">
        <v>1</v>
      </c>
      <c r="I1586" s="57"/>
      <c r="J1586" s="57"/>
      <c r="K1586" s="59"/>
      <c r="L1586" s="57"/>
      <c r="M1586" s="60"/>
      <c r="N1586" s="59"/>
      <c r="O1586" s="57"/>
      <c r="P1586" s="57"/>
      <c r="Q1586" s="57"/>
      <c r="R1586" s="57"/>
      <c r="S1586" s="59"/>
      <c r="T1586" s="57"/>
      <c r="U1586" s="60"/>
      <c r="V1586" s="59"/>
      <c r="W1586" s="57"/>
      <c r="X1586" s="57"/>
      <c r="Y1586" s="57" t="s">
        <v>21</v>
      </c>
      <c r="Z1586" s="57" t="s">
        <v>360</v>
      </c>
      <c r="AA1586" s="59">
        <v>17887</v>
      </c>
      <c r="AB1586" s="57" t="s">
        <v>61</v>
      </c>
      <c r="AC1586" s="60">
        <v>45937</v>
      </c>
      <c r="AD1586" s="59">
        <v>17887</v>
      </c>
      <c r="AE1586" s="57" t="s">
        <v>5894</v>
      </c>
      <c r="AF1586" s="57" t="s">
        <v>5895</v>
      </c>
    </row>
    <row r="1587" spans="1:32">
      <c r="A1587" s="57">
        <v>1586</v>
      </c>
      <c r="B1587" s="58">
        <v>46113.420277777783</v>
      </c>
      <c r="C1587" s="58">
        <v>46113.424699074072</v>
      </c>
      <c r="D1587" s="57" t="s">
        <v>930</v>
      </c>
      <c r="E1587" s="57" t="s">
        <v>931</v>
      </c>
      <c r="F1587" s="58"/>
      <c r="G1587" s="57" t="s">
        <v>562</v>
      </c>
      <c r="H1587" s="59">
        <v>2</v>
      </c>
      <c r="I1587" s="57"/>
      <c r="J1587" s="57"/>
      <c r="K1587" s="59"/>
      <c r="L1587" s="57"/>
      <c r="M1587" s="60"/>
      <c r="N1587" s="59"/>
      <c r="O1587" s="57"/>
      <c r="P1587" s="57"/>
      <c r="Q1587" s="57" t="s">
        <v>22</v>
      </c>
      <c r="R1587" s="57" t="s">
        <v>232</v>
      </c>
      <c r="S1587" s="59">
        <v>112547</v>
      </c>
      <c r="T1587" s="57" t="s">
        <v>61</v>
      </c>
      <c r="U1587" s="60">
        <v>46029</v>
      </c>
      <c r="V1587" s="59">
        <v>112547</v>
      </c>
      <c r="W1587" s="57" t="s">
        <v>5896</v>
      </c>
      <c r="X1587" s="57" t="s">
        <v>5897</v>
      </c>
      <c r="Y1587" s="57" t="s">
        <v>21</v>
      </c>
      <c r="Z1587" s="57" t="s">
        <v>320</v>
      </c>
      <c r="AA1587" s="59">
        <v>28710</v>
      </c>
      <c r="AB1587" s="57" t="s">
        <v>61</v>
      </c>
      <c r="AC1587" s="60">
        <v>45997</v>
      </c>
      <c r="AD1587" s="59">
        <v>28710</v>
      </c>
      <c r="AE1587" s="57" t="s">
        <v>5898</v>
      </c>
      <c r="AF1587" s="57" t="s">
        <v>5899</v>
      </c>
    </row>
    <row r="1588" spans="1:32">
      <c r="A1588" s="57">
        <v>1587</v>
      </c>
      <c r="B1588" s="58">
        <v>46122.461458333331</v>
      </c>
      <c r="C1588" s="58">
        <v>46122.465243055558</v>
      </c>
      <c r="D1588" s="57" t="s">
        <v>1795</v>
      </c>
      <c r="E1588" s="57" t="s">
        <v>1796</v>
      </c>
      <c r="F1588" s="58"/>
      <c r="G1588" s="57" t="s">
        <v>632</v>
      </c>
      <c r="H1588" s="59">
        <v>2</v>
      </c>
      <c r="I1588" s="57"/>
      <c r="J1588" s="57"/>
      <c r="K1588" s="59"/>
      <c r="L1588" s="57"/>
      <c r="M1588" s="60"/>
      <c r="N1588" s="59"/>
      <c r="O1588" s="57"/>
      <c r="P1588" s="57"/>
      <c r="Q1588" s="57" t="s">
        <v>22</v>
      </c>
      <c r="R1588" s="57" t="s">
        <v>443</v>
      </c>
      <c r="S1588" s="59">
        <v>2487</v>
      </c>
      <c r="T1588" s="57" t="s">
        <v>61</v>
      </c>
      <c r="U1588" s="60">
        <v>46122</v>
      </c>
      <c r="V1588" s="59">
        <v>2487</v>
      </c>
      <c r="W1588" s="57" t="s">
        <v>5900</v>
      </c>
      <c r="X1588" s="57" t="s">
        <v>5901</v>
      </c>
      <c r="Y1588" s="57" t="s">
        <v>21</v>
      </c>
      <c r="Z1588" s="57" t="s">
        <v>321</v>
      </c>
      <c r="AA1588" s="59">
        <v>4819</v>
      </c>
      <c r="AB1588" s="57" t="s">
        <v>61</v>
      </c>
      <c r="AC1588" s="60">
        <v>46086</v>
      </c>
      <c r="AD1588" s="59">
        <v>4819</v>
      </c>
      <c r="AE1588" s="57" t="s">
        <v>5902</v>
      </c>
      <c r="AF1588" s="57" t="s">
        <v>5903</v>
      </c>
    </row>
    <row r="1589" spans="1:32">
      <c r="A1589" s="57">
        <v>1588</v>
      </c>
      <c r="B1589" s="58">
        <v>46125.441863425927</v>
      </c>
      <c r="C1589" s="58">
        <v>46125.444374999999</v>
      </c>
      <c r="D1589" s="57" t="s">
        <v>2188</v>
      </c>
      <c r="E1589" s="57" t="s">
        <v>2189</v>
      </c>
      <c r="F1589" s="58"/>
      <c r="G1589" s="57" t="s">
        <v>683</v>
      </c>
      <c r="H1589" s="59">
        <v>1</v>
      </c>
      <c r="I1589" s="57"/>
      <c r="J1589" s="57"/>
      <c r="K1589" s="59"/>
      <c r="L1589" s="57"/>
      <c r="M1589" s="60"/>
      <c r="N1589" s="59"/>
      <c r="O1589" s="57"/>
      <c r="P1589" s="57"/>
      <c r="Q1589" s="57"/>
      <c r="R1589" s="57"/>
      <c r="S1589" s="59"/>
      <c r="T1589" s="57"/>
      <c r="U1589" s="60"/>
      <c r="V1589" s="59"/>
      <c r="W1589" s="57"/>
      <c r="X1589" s="57"/>
      <c r="Y1589" s="57" t="s">
        <v>21</v>
      </c>
      <c r="Z1589" s="57" t="s">
        <v>399</v>
      </c>
      <c r="AA1589" s="59">
        <v>18603</v>
      </c>
      <c r="AB1589" s="57" t="s">
        <v>61</v>
      </c>
      <c r="AC1589" s="60">
        <v>46093</v>
      </c>
      <c r="AD1589" s="59">
        <v>27680</v>
      </c>
      <c r="AE1589" s="57" t="s">
        <v>5904</v>
      </c>
      <c r="AF1589" s="57" t="s">
        <v>5905</v>
      </c>
    </row>
    <row r="1590" spans="1:32">
      <c r="A1590" s="57">
        <v>1589</v>
      </c>
      <c r="B1590" s="58">
        <v>46125.45175925926</v>
      </c>
      <c r="C1590" s="58">
        <v>46125.453541666669</v>
      </c>
      <c r="D1590" s="57" t="s">
        <v>1289</v>
      </c>
      <c r="E1590" s="57" t="s">
        <v>1290</v>
      </c>
      <c r="F1590" s="58"/>
      <c r="G1590" s="57" t="s">
        <v>641</v>
      </c>
      <c r="H1590" s="59">
        <v>1</v>
      </c>
      <c r="I1590" s="57"/>
      <c r="J1590" s="57"/>
      <c r="K1590" s="59"/>
      <c r="L1590" s="57"/>
      <c r="M1590" s="60"/>
      <c r="N1590" s="59"/>
      <c r="O1590" s="57"/>
      <c r="P1590" s="57"/>
      <c r="Q1590" s="57"/>
      <c r="R1590" s="57"/>
      <c r="S1590" s="59"/>
      <c r="T1590" s="57"/>
      <c r="U1590" s="60"/>
      <c r="V1590" s="59"/>
      <c r="W1590" s="57"/>
      <c r="X1590" s="57"/>
      <c r="Y1590" s="57" t="s">
        <v>21</v>
      </c>
      <c r="Z1590" s="57" t="s">
        <v>336</v>
      </c>
      <c r="AA1590" s="59">
        <v>23154</v>
      </c>
      <c r="AB1590" s="57" t="s">
        <v>61</v>
      </c>
      <c r="AC1590" s="60">
        <v>46085</v>
      </c>
      <c r="AD1590" s="59">
        <v>20384</v>
      </c>
      <c r="AE1590" s="57" t="s">
        <v>5906</v>
      </c>
      <c r="AF1590" s="57" t="s">
        <v>5907</v>
      </c>
    </row>
    <row r="1591" spans="1:32">
      <c r="A1591" s="57">
        <v>1590</v>
      </c>
      <c r="B1591" s="58">
        <v>46125.47420138889</v>
      </c>
      <c r="C1591" s="58">
        <v>46125.485439814824</v>
      </c>
      <c r="D1591" s="57" t="s">
        <v>5817</v>
      </c>
      <c r="E1591" s="57" t="s">
        <v>5818</v>
      </c>
      <c r="F1591" s="58"/>
      <c r="G1591" s="57" t="s">
        <v>639</v>
      </c>
      <c r="H1591" s="59">
        <v>1</v>
      </c>
      <c r="I1591" s="57"/>
      <c r="J1591" s="57"/>
      <c r="K1591" s="59"/>
      <c r="L1591" s="57"/>
      <c r="M1591" s="60"/>
      <c r="N1591" s="59"/>
      <c r="O1591" s="57"/>
      <c r="P1591" s="57"/>
      <c r="Q1591" s="57"/>
      <c r="R1591" s="57"/>
      <c r="S1591" s="59"/>
      <c r="T1591" s="57"/>
      <c r="U1591" s="60"/>
      <c r="V1591" s="59"/>
      <c r="W1591" s="57"/>
      <c r="X1591" s="57"/>
      <c r="Y1591" s="57" t="s">
        <v>21</v>
      </c>
      <c r="Z1591" s="57" t="s">
        <v>5908</v>
      </c>
      <c r="AA1591" s="59">
        <v>18727</v>
      </c>
      <c r="AB1591" s="57" t="s">
        <v>61</v>
      </c>
      <c r="AC1591" s="60">
        <v>46097</v>
      </c>
      <c r="AD1591" s="59">
        <v>17215</v>
      </c>
      <c r="AE1591" s="57" t="s">
        <v>5909</v>
      </c>
      <c r="AF1591" s="57" t="s">
        <v>5910</v>
      </c>
    </row>
    <row r="1592" spans="1:32">
      <c r="A1592" s="57">
        <v>1591</v>
      </c>
      <c r="B1592" s="58">
        <v>46125.646840277783</v>
      </c>
      <c r="C1592" s="58">
        <v>46125.667037037027</v>
      </c>
      <c r="D1592" s="57" t="s">
        <v>1226</v>
      </c>
      <c r="E1592" s="57" t="s">
        <v>1227</v>
      </c>
      <c r="F1592" s="58"/>
      <c r="G1592" s="57" t="s">
        <v>526</v>
      </c>
      <c r="H1592" s="59">
        <v>2</v>
      </c>
      <c r="I1592" s="57"/>
      <c r="J1592" s="57"/>
      <c r="K1592" s="59"/>
      <c r="L1592" s="57"/>
      <c r="M1592" s="60"/>
      <c r="N1592" s="59"/>
      <c r="O1592" s="57"/>
      <c r="P1592" s="57"/>
      <c r="Q1592" s="57" t="s">
        <v>22</v>
      </c>
      <c r="R1592" s="57" t="s">
        <v>193</v>
      </c>
      <c r="S1592" s="59">
        <v>41058</v>
      </c>
      <c r="T1592" s="57" t="s">
        <v>62</v>
      </c>
      <c r="U1592" s="60"/>
      <c r="V1592" s="59"/>
      <c r="W1592" s="57"/>
      <c r="X1592" s="57" t="s">
        <v>5911</v>
      </c>
      <c r="Y1592" s="57" t="s">
        <v>21</v>
      </c>
      <c r="Z1592" s="57" t="s">
        <v>372</v>
      </c>
      <c r="AA1592" s="59">
        <v>6920</v>
      </c>
      <c r="AB1592" s="57" t="s">
        <v>61</v>
      </c>
      <c r="AC1592" s="60">
        <v>46110</v>
      </c>
      <c r="AD1592" s="59">
        <v>6751</v>
      </c>
      <c r="AE1592" s="57" t="s">
        <v>5912</v>
      </c>
      <c r="AF1592" s="57" t="s">
        <v>5913</v>
      </c>
    </row>
    <row r="1593" spans="1:32">
      <c r="A1593" s="57">
        <v>1592</v>
      </c>
      <c r="B1593" s="58">
        <v>46129.427870370368</v>
      </c>
      <c r="C1593" s="58">
        <v>46129.430671296293</v>
      </c>
      <c r="D1593" s="57" t="s">
        <v>817</v>
      </c>
      <c r="E1593" s="57" t="s">
        <v>818</v>
      </c>
      <c r="F1593" s="58"/>
      <c r="G1593" s="57" t="s">
        <v>713</v>
      </c>
      <c r="H1593" s="59">
        <v>1</v>
      </c>
      <c r="I1593" s="57"/>
      <c r="J1593" s="57"/>
      <c r="K1593" s="59"/>
      <c r="L1593" s="57"/>
      <c r="M1593" s="60"/>
      <c r="N1593" s="59"/>
      <c r="O1593" s="57"/>
      <c r="P1593" s="57"/>
      <c r="Q1593" s="57"/>
      <c r="R1593" s="57"/>
      <c r="S1593" s="59"/>
      <c r="T1593" s="57"/>
      <c r="U1593" s="60"/>
      <c r="V1593" s="59"/>
      <c r="W1593" s="57"/>
      <c r="X1593" s="57"/>
      <c r="Y1593" s="57" t="s">
        <v>21</v>
      </c>
      <c r="Z1593" s="57" t="s">
        <v>445</v>
      </c>
      <c r="AA1593" s="59">
        <v>5636</v>
      </c>
      <c r="AB1593" s="57" t="s">
        <v>62</v>
      </c>
      <c r="AC1593" s="60"/>
      <c r="AD1593" s="59"/>
      <c r="AE1593" s="57"/>
      <c r="AF1593" s="57" t="s">
        <v>5914</v>
      </c>
    </row>
    <row r="1594" spans="1:32">
      <c r="A1594" s="57">
        <v>1593</v>
      </c>
      <c r="B1594" s="58">
        <v>46129.426817129628</v>
      </c>
      <c r="C1594" s="58">
        <v>46129.43172453704</v>
      </c>
      <c r="D1594" s="57" t="s">
        <v>822</v>
      </c>
      <c r="E1594" s="57" t="s">
        <v>823</v>
      </c>
      <c r="F1594" s="58"/>
      <c r="G1594" s="57" t="s">
        <v>721</v>
      </c>
      <c r="H1594" s="59">
        <v>1</v>
      </c>
      <c r="I1594" s="57"/>
      <c r="J1594" s="57"/>
      <c r="K1594" s="59"/>
      <c r="L1594" s="57"/>
      <c r="M1594" s="60"/>
      <c r="N1594" s="59"/>
      <c r="O1594" s="57"/>
      <c r="P1594" s="57"/>
      <c r="Q1594" s="57"/>
      <c r="R1594" s="57"/>
      <c r="S1594" s="59"/>
      <c r="T1594" s="57"/>
      <c r="U1594" s="60"/>
      <c r="V1594" s="59"/>
      <c r="W1594" s="57"/>
      <c r="X1594" s="57"/>
      <c r="Y1594" s="57" t="s">
        <v>21</v>
      </c>
      <c r="Z1594" s="57" t="s">
        <v>451</v>
      </c>
      <c r="AA1594" s="59">
        <v>10836</v>
      </c>
      <c r="AB1594" s="57" t="s">
        <v>61</v>
      </c>
      <c r="AC1594" s="60">
        <v>46093</v>
      </c>
      <c r="AD1594" s="59">
        <v>8688</v>
      </c>
      <c r="AE1594" s="57" t="s">
        <v>5915</v>
      </c>
      <c r="AF1594" s="57" t="s">
        <v>5916</v>
      </c>
    </row>
    <row r="1595" spans="1:32">
      <c r="A1595" s="57">
        <v>1594</v>
      </c>
      <c r="B1595" s="58">
        <v>46129.43236111111</v>
      </c>
      <c r="C1595" s="58">
        <v>46129.434120370373</v>
      </c>
      <c r="D1595" s="57" t="s">
        <v>2002</v>
      </c>
      <c r="E1595" s="57" t="s">
        <v>2003</v>
      </c>
      <c r="F1595" s="58"/>
      <c r="G1595" s="57" t="s">
        <v>454</v>
      </c>
      <c r="H1595" s="59">
        <v>1</v>
      </c>
      <c r="I1595" s="57"/>
      <c r="J1595" s="57"/>
      <c r="K1595" s="59"/>
      <c r="L1595" s="57"/>
      <c r="M1595" s="60"/>
      <c r="N1595" s="59"/>
      <c r="O1595" s="57"/>
      <c r="P1595" s="57"/>
      <c r="Q1595" s="57"/>
      <c r="R1595" s="57"/>
      <c r="S1595" s="59"/>
      <c r="T1595" s="57"/>
      <c r="U1595" s="60"/>
      <c r="V1595" s="59"/>
      <c r="W1595" s="57"/>
      <c r="X1595" s="57"/>
      <c r="Y1595" s="57" t="s">
        <v>21</v>
      </c>
      <c r="Z1595" s="57" t="s">
        <v>120</v>
      </c>
      <c r="AA1595" s="59">
        <v>112857</v>
      </c>
      <c r="AB1595" s="57" t="s">
        <v>62</v>
      </c>
      <c r="AC1595" s="60"/>
      <c r="AD1595" s="59"/>
      <c r="AE1595" s="57"/>
      <c r="AF1595" s="57" t="s">
        <v>5917</v>
      </c>
    </row>
    <row r="1596" spans="1:32">
      <c r="A1596" s="57">
        <v>1595</v>
      </c>
      <c r="B1596" s="58">
        <v>46129.431342592587</v>
      </c>
      <c r="C1596" s="58">
        <v>46129.438136574077</v>
      </c>
      <c r="D1596" s="57" t="s">
        <v>974</v>
      </c>
      <c r="E1596" s="57" t="s">
        <v>975</v>
      </c>
      <c r="F1596" s="58"/>
      <c r="G1596" s="57" t="s">
        <v>481</v>
      </c>
      <c r="H1596" s="59">
        <v>1</v>
      </c>
      <c r="I1596" s="57"/>
      <c r="J1596" s="57"/>
      <c r="K1596" s="59"/>
      <c r="L1596" s="57"/>
      <c r="M1596" s="60"/>
      <c r="N1596" s="59"/>
      <c r="O1596" s="57"/>
      <c r="P1596" s="57"/>
      <c r="Q1596" s="57"/>
      <c r="R1596" s="57"/>
      <c r="S1596" s="59"/>
      <c r="T1596" s="57"/>
      <c r="U1596" s="60"/>
      <c r="V1596" s="59"/>
      <c r="W1596" s="57"/>
      <c r="X1596" s="57"/>
      <c r="Y1596" s="57" t="s">
        <v>21</v>
      </c>
      <c r="Z1596" s="57" t="s">
        <v>5918</v>
      </c>
      <c r="AA1596" s="59">
        <v>305</v>
      </c>
      <c r="AB1596" s="57" t="s">
        <v>62</v>
      </c>
      <c r="AC1596" s="60"/>
      <c r="AD1596" s="59"/>
      <c r="AE1596" s="57"/>
      <c r="AF1596" s="57" t="s">
        <v>5919</v>
      </c>
    </row>
    <row r="1597" spans="1:32">
      <c r="A1597" s="57">
        <v>1596</v>
      </c>
      <c r="B1597" s="58">
        <v>46129.431643518517</v>
      </c>
      <c r="C1597" s="58">
        <v>46129.439502314817</v>
      </c>
      <c r="D1597" s="57" t="s">
        <v>4325</v>
      </c>
      <c r="E1597" s="57" t="s">
        <v>4326</v>
      </c>
      <c r="F1597" s="58"/>
      <c r="G1597" s="57" t="s">
        <v>506</v>
      </c>
      <c r="H1597" s="59">
        <v>2</v>
      </c>
      <c r="I1597" s="57"/>
      <c r="J1597" s="57"/>
      <c r="K1597" s="59"/>
      <c r="L1597" s="57"/>
      <c r="M1597" s="60"/>
      <c r="N1597" s="59"/>
      <c r="O1597" s="57"/>
      <c r="P1597" s="57"/>
      <c r="Q1597" s="57" t="s">
        <v>22</v>
      </c>
      <c r="R1597" s="57" t="s">
        <v>198</v>
      </c>
      <c r="S1597" s="59">
        <v>53863</v>
      </c>
      <c r="T1597" s="57" t="s">
        <v>61</v>
      </c>
      <c r="U1597" s="60">
        <v>46087</v>
      </c>
      <c r="V1597" s="59">
        <v>52947</v>
      </c>
      <c r="W1597" s="57" t="s">
        <v>5920</v>
      </c>
      <c r="X1597" s="57" t="s">
        <v>5921</v>
      </c>
      <c r="Y1597" s="57" t="s">
        <v>20</v>
      </c>
      <c r="Z1597" s="57" t="s">
        <v>172</v>
      </c>
      <c r="AA1597" s="59">
        <v>25121</v>
      </c>
      <c r="AB1597" s="57" t="s">
        <v>62</v>
      </c>
      <c r="AC1597" s="60"/>
      <c r="AD1597" s="59"/>
      <c r="AE1597" s="57"/>
      <c r="AF1597" s="57" t="s">
        <v>5922</v>
      </c>
    </row>
    <row r="1598" spans="1:32">
      <c r="A1598" s="57">
        <v>1597</v>
      </c>
      <c r="B1598" s="58">
        <v>46129.43953703704</v>
      </c>
      <c r="C1598" s="58">
        <v>46129.441307870373</v>
      </c>
      <c r="D1598" s="57" t="s">
        <v>722</v>
      </c>
      <c r="E1598" s="57" t="s">
        <v>723</v>
      </c>
      <c r="F1598" s="58"/>
      <c r="G1598" s="57" t="s">
        <v>525</v>
      </c>
      <c r="H1598" s="59">
        <v>1</v>
      </c>
      <c r="I1598" s="57"/>
      <c r="J1598" s="57"/>
      <c r="K1598" s="59"/>
      <c r="L1598" s="57"/>
      <c r="M1598" s="60"/>
      <c r="N1598" s="59"/>
      <c r="O1598" s="57"/>
      <c r="P1598" s="57"/>
      <c r="Q1598" s="57"/>
      <c r="R1598" s="57"/>
      <c r="S1598" s="59"/>
      <c r="T1598" s="57"/>
      <c r="U1598" s="60"/>
      <c r="V1598" s="59"/>
      <c r="W1598" s="57"/>
      <c r="X1598" s="57"/>
      <c r="Y1598" s="57" t="s">
        <v>21</v>
      </c>
      <c r="Z1598" s="57" t="s">
        <v>192</v>
      </c>
      <c r="AA1598" s="59">
        <v>120429</v>
      </c>
      <c r="AB1598" s="57" t="s">
        <v>61</v>
      </c>
      <c r="AC1598" s="60">
        <v>46118</v>
      </c>
      <c r="AD1598" s="59">
        <v>119398</v>
      </c>
      <c r="AE1598" s="57" t="s">
        <v>5923</v>
      </c>
      <c r="AF1598" s="57" t="s">
        <v>5924</v>
      </c>
    </row>
    <row r="1599" spans="1:32">
      <c r="A1599" s="57">
        <v>1598</v>
      </c>
      <c r="B1599" s="58">
        <v>46129.442245370366</v>
      </c>
      <c r="C1599" s="58">
        <v>46129.44363425926</v>
      </c>
      <c r="D1599" s="57" t="s">
        <v>5925</v>
      </c>
      <c r="E1599" s="57" t="s">
        <v>5926</v>
      </c>
      <c r="F1599" s="58"/>
      <c r="G1599" s="57" t="s">
        <v>634</v>
      </c>
      <c r="H1599" s="59">
        <v>1</v>
      </c>
      <c r="I1599" s="57"/>
      <c r="J1599" s="57"/>
      <c r="K1599" s="59"/>
      <c r="L1599" s="57"/>
      <c r="M1599" s="60"/>
      <c r="N1599" s="59"/>
      <c r="O1599" s="57"/>
      <c r="P1599" s="57"/>
      <c r="Q1599" s="57"/>
      <c r="R1599" s="57"/>
      <c r="S1599" s="59"/>
      <c r="T1599" s="57"/>
      <c r="U1599" s="60"/>
      <c r="V1599" s="59"/>
      <c r="W1599" s="57"/>
      <c r="X1599" s="57"/>
      <c r="Y1599" s="57" t="s">
        <v>20</v>
      </c>
      <c r="Z1599" s="57" t="s">
        <v>325</v>
      </c>
      <c r="AA1599" s="59">
        <v>20499</v>
      </c>
      <c r="AB1599" s="57" t="s">
        <v>61</v>
      </c>
      <c r="AC1599" s="60">
        <v>46087</v>
      </c>
      <c r="AD1599" s="59">
        <v>19081</v>
      </c>
      <c r="AE1599" s="57" t="s">
        <v>5927</v>
      </c>
      <c r="AF1599" s="57" t="s">
        <v>5928</v>
      </c>
    </row>
    <row r="1600" spans="1:32">
      <c r="A1600" s="57">
        <v>1599</v>
      </c>
      <c r="B1600" s="58">
        <v>46129.438981481479</v>
      </c>
      <c r="C1600" s="58">
        <v>46129.443969907406</v>
      </c>
      <c r="D1600" s="57" t="s">
        <v>2232</v>
      </c>
      <c r="E1600" s="57" t="s">
        <v>2233</v>
      </c>
      <c r="F1600" s="58"/>
      <c r="G1600" s="57" t="s">
        <v>600</v>
      </c>
      <c r="H1600" s="59">
        <v>1</v>
      </c>
      <c r="I1600" s="57"/>
      <c r="J1600" s="57"/>
      <c r="K1600" s="59"/>
      <c r="L1600" s="57"/>
      <c r="M1600" s="60"/>
      <c r="N1600" s="59"/>
      <c r="O1600" s="57"/>
      <c r="P1600" s="57"/>
      <c r="Q1600" s="57"/>
      <c r="R1600" s="57"/>
      <c r="S1600" s="59"/>
      <c r="T1600" s="57"/>
      <c r="U1600" s="60"/>
      <c r="V1600" s="59"/>
      <c r="W1600" s="57"/>
      <c r="X1600" s="57"/>
      <c r="Y1600" s="57" t="s">
        <v>20</v>
      </c>
      <c r="Z1600" s="57" t="s">
        <v>276</v>
      </c>
      <c r="AA1600" s="59">
        <v>30972</v>
      </c>
      <c r="AB1600" s="57" t="s">
        <v>62</v>
      </c>
      <c r="AC1600" s="60"/>
      <c r="AD1600" s="59"/>
      <c r="AE1600" s="57"/>
      <c r="AF1600" s="57" t="s">
        <v>5929</v>
      </c>
    </row>
    <row r="1601" spans="1:32">
      <c r="A1601" s="57">
        <v>1600</v>
      </c>
      <c r="B1601" s="58">
        <v>46129.437152777777</v>
      </c>
      <c r="C1601" s="58">
        <v>46129.444849537038</v>
      </c>
      <c r="D1601" s="57" t="s">
        <v>940</v>
      </c>
      <c r="E1601" s="57" t="s">
        <v>941</v>
      </c>
      <c r="F1601" s="58"/>
      <c r="G1601" s="57" t="s">
        <v>688</v>
      </c>
      <c r="H1601" s="59">
        <v>1</v>
      </c>
      <c r="I1601" s="57"/>
      <c r="J1601" s="57"/>
      <c r="K1601" s="59"/>
      <c r="L1601" s="57"/>
      <c r="M1601" s="60"/>
      <c r="N1601" s="59"/>
      <c r="O1601" s="57"/>
      <c r="P1601" s="57"/>
      <c r="Q1601" s="57"/>
      <c r="R1601" s="57"/>
      <c r="S1601" s="59"/>
      <c r="T1601" s="57"/>
      <c r="U1601" s="60"/>
      <c r="V1601" s="59"/>
      <c r="W1601" s="57"/>
      <c r="X1601" s="57"/>
      <c r="Y1601" s="57" t="s">
        <v>20</v>
      </c>
      <c r="Z1601" s="57" t="s">
        <v>407</v>
      </c>
      <c r="AA1601" s="59">
        <v>15976</v>
      </c>
      <c r="AB1601" s="57" t="s">
        <v>61</v>
      </c>
      <c r="AC1601" s="60">
        <v>46126</v>
      </c>
      <c r="AD1601" s="59">
        <v>15643</v>
      </c>
      <c r="AE1601" s="57" t="s">
        <v>5930</v>
      </c>
      <c r="AF1601" s="57" t="s">
        <v>5931</v>
      </c>
    </row>
    <row r="1602" spans="1:32">
      <c r="A1602" s="57">
        <v>1601</v>
      </c>
      <c r="B1602" s="58">
        <v>46129.443229166667</v>
      </c>
      <c r="C1602" s="58">
        <v>46129.445879629631</v>
      </c>
      <c r="D1602" s="57" t="s">
        <v>1143</v>
      </c>
      <c r="E1602" s="57" t="s">
        <v>1144</v>
      </c>
      <c r="F1602" s="58"/>
      <c r="G1602" s="57" t="s">
        <v>630</v>
      </c>
      <c r="H1602" s="59">
        <v>1</v>
      </c>
      <c r="I1602" s="57"/>
      <c r="J1602" s="57"/>
      <c r="K1602" s="59"/>
      <c r="L1602" s="57"/>
      <c r="M1602" s="60"/>
      <c r="N1602" s="59"/>
      <c r="O1602" s="57"/>
      <c r="P1602" s="57"/>
      <c r="Q1602" s="57"/>
      <c r="R1602" s="57"/>
      <c r="S1602" s="59"/>
      <c r="T1602" s="57"/>
      <c r="U1602" s="60"/>
      <c r="V1602" s="59"/>
      <c r="W1602" s="57"/>
      <c r="X1602" s="57"/>
      <c r="Y1602" s="57" t="s">
        <v>21</v>
      </c>
      <c r="Z1602" s="57" t="s">
        <v>318</v>
      </c>
      <c r="AA1602" s="59">
        <v>9349</v>
      </c>
      <c r="AB1602" s="57" t="s">
        <v>61</v>
      </c>
      <c r="AC1602" s="60">
        <v>46125</v>
      </c>
      <c r="AD1602" s="59">
        <v>9054</v>
      </c>
      <c r="AE1602" s="57" t="s">
        <v>5932</v>
      </c>
      <c r="AF1602" s="57" t="s">
        <v>5933</v>
      </c>
    </row>
    <row r="1603" spans="1:32">
      <c r="A1603" s="57">
        <v>1602</v>
      </c>
      <c r="B1603" s="58">
        <v>46129.432210648149</v>
      </c>
      <c r="C1603" s="58">
        <v>46129.446562500001</v>
      </c>
      <c r="D1603" s="57" t="s">
        <v>849</v>
      </c>
      <c r="E1603" s="57" t="s">
        <v>850</v>
      </c>
      <c r="F1603" s="58"/>
      <c r="G1603" s="57" t="s">
        <v>627</v>
      </c>
      <c r="H1603" s="59">
        <v>1</v>
      </c>
      <c r="I1603" s="57"/>
      <c r="J1603" s="57"/>
      <c r="K1603" s="59"/>
      <c r="L1603" s="57"/>
      <c r="M1603" s="60"/>
      <c r="N1603" s="59"/>
      <c r="O1603" s="57"/>
      <c r="P1603" s="57"/>
      <c r="Q1603" s="57"/>
      <c r="R1603" s="57"/>
      <c r="S1603" s="59"/>
      <c r="T1603" s="57"/>
      <c r="U1603" s="60"/>
      <c r="V1603" s="59"/>
      <c r="W1603" s="57"/>
      <c r="X1603" s="57"/>
      <c r="Y1603" s="57" t="s">
        <v>21</v>
      </c>
      <c r="Z1603" s="57" t="s">
        <v>310</v>
      </c>
      <c r="AA1603" s="59">
        <v>12992</v>
      </c>
      <c r="AB1603" s="57" t="s">
        <v>62</v>
      </c>
      <c r="AC1603" s="60"/>
      <c r="AD1603" s="59"/>
      <c r="AE1603" s="57"/>
      <c r="AF1603" s="57" t="s">
        <v>5934</v>
      </c>
    </row>
    <row r="1604" spans="1:32">
      <c r="A1604" s="57">
        <v>1603</v>
      </c>
      <c r="B1604" s="58">
        <v>46129.444398148153</v>
      </c>
      <c r="C1604" s="58">
        <v>46129.446608796286</v>
      </c>
      <c r="D1604" s="57" t="s">
        <v>2212</v>
      </c>
      <c r="E1604" s="57" t="s">
        <v>2213</v>
      </c>
      <c r="F1604" s="58"/>
      <c r="G1604" s="57" t="s">
        <v>707</v>
      </c>
      <c r="H1604" s="59">
        <v>2</v>
      </c>
      <c r="I1604" s="57"/>
      <c r="J1604" s="57"/>
      <c r="K1604" s="59"/>
      <c r="L1604" s="57"/>
      <c r="M1604" s="60"/>
      <c r="N1604" s="59"/>
      <c r="O1604" s="57"/>
      <c r="P1604" s="57"/>
      <c r="Q1604" s="57" t="s">
        <v>22</v>
      </c>
      <c r="R1604" s="57" t="s">
        <v>435</v>
      </c>
      <c r="S1604" s="59">
        <v>7275</v>
      </c>
      <c r="T1604" s="57" t="s">
        <v>62</v>
      </c>
      <c r="U1604" s="60"/>
      <c r="V1604" s="59"/>
      <c r="W1604" s="57"/>
      <c r="X1604" s="57" t="s">
        <v>5935</v>
      </c>
      <c r="Y1604" s="57" t="s">
        <v>20</v>
      </c>
      <c r="Z1604" s="57" t="s">
        <v>436</v>
      </c>
      <c r="AA1604" s="59">
        <v>2117</v>
      </c>
      <c r="AB1604" s="57" t="s">
        <v>62</v>
      </c>
      <c r="AC1604" s="60"/>
      <c r="AD1604" s="59"/>
      <c r="AE1604" s="57"/>
      <c r="AF1604" s="57" t="s">
        <v>5936</v>
      </c>
    </row>
    <row r="1605" spans="1:32">
      <c r="A1605" s="57">
        <v>1604</v>
      </c>
      <c r="B1605" s="58">
        <v>46129.438958333332</v>
      </c>
      <c r="C1605" s="58">
        <v>46129.447500000002</v>
      </c>
      <c r="D1605" s="57" t="s">
        <v>990</v>
      </c>
      <c r="E1605" s="57" t="s">
        <v>991</v>
      </c>
      <c r="F1605" s="58"/>
      <c r="G1605" s="57" t="s">
        <v>607</v>
      </c>
      <c r="H1605" s="59">
        <v>1</v>
      </c>
      <c r="I1605" s="57"/>
      <c r="J1605" s="57"/>
      <c r="K1605" s="59"/>
      <c r="L1605" s="57"/>
      <c r="M1605" s="60"/>
      <c r="N1605" s="59"/>
      <c r="O1605" s="57"/>
      <c r="P1605" s="57"/>
      <c r="Q1605" s="57"/>
      <c r="R1605" s="57"/>
      <c r="S1605" s="59"/>
      <c r="T1605" s="57"/>
      <c r="U1605" s="60"/>
      <c r="V1605" s="59"/>
      <c r="W1605" s="57"/>
      <c r="X1605" s="57"/>
      <c r="Y1605" s="57" t="s">
        <v>21</v>
      </c>
      <c r="Z1605" s="57" t="s">
        <v>5937</v>
      </c>
      <c r="AA1605" s="59">
        <v>32427</v>
      </c>
      <c r="AB1605" s="57" t="s">
        <v>62</v>
      </c>
      <c r="AC1605" s="60"/>
      <c r="AD1605" s="59"/>
      <c r="AE1605" s="57"/>
      <c r="AF1605" s="57" t="s">
        <v>5938</v>
      </c>
    </row>
    <row r="1606" spans="1:32">
      <c r="A1606" s="57">
        <v>1605</v>
      </c>
      <c r="B1606" s="58">
        <v>46129.441134259258</v>
      </c>
      <c r="C1606" s="58">
        <v>46129.448854166672</v>
      </c>
      <c r="D1606" s="57" t="s">
        <v>4413</v>
      </c>
      <c r="E1606" s="57" t="s">
        <v>4414</v>
      </c>
      <c r="F1606" s="58"/>
      <c r="G1606" s="57" t="s">
        <v>666</v>
      </c>
      <c r="H1606" s="59">
        <v>1</v>
      </c>
      <c r="I1606" s="57"/>
      <c r="J1606" s="57"/>
      <c r="K1606" s="59"/>
      <c r="L1606" s="57"/>
      <c r="M1606" s="60"/>
      <c r="N1606" s="59"/>
      <c r="O1606" s="57"/>
      <c r="P1606" s="57"/>
      <c r="Q1606" s="57"/>
      <c r="R1606" s="57"/>
      <c r="S1606" s="59"/>
      <c r="T1606" s="57"/>
      <c r="U1606" s="60"/>
      <c r="V1606" s="59"/>
      <c r="W1606" s="57"/>
      <c r="X1606" s="57"/>
      <c r="Y1606" s="57" t="s">
        <v>21</v>
      </c>
      <c r="Z1606" s="57" t="s">
        <v>376</v>
      </c>
      <c r="AA1606" s="59">
        <v>13106</v>
      </c>
      <c r="AB1606" s="57" t="s">
        <v>62</v>
      </c>
      <c r="AC1606" s="60"/>
      <c r="AD1606" s="59"/>
      <c r="AE1606" s="57"/>
      <c r="AF1606" s="57" t="s">
        <v>5939</v>
      </c>
    </row>
    <row r="1607" spans="1:32">
      <c r="A1607" s="57">
        <v>1606</v>
      </c>
      <c r="B1607" s="58">
        <v>46129.447696759264</v>
      </c>
      <c r="C1607" s="58">
        <v>46129.450949074067</v>
      </c>
      <c r="D1607" s="57" t="s">
        <v>4407</v>
      </c>
      <c r="E1607" s="57" t="s">
        <v>4408</v>
      </c>
      <c r="F1607" s="58"/>
      <c r="G1607" s="57" t="s">
        <v>650</v>
      </c>
      <c r="H1607" s="59">
        <v>1</v>
      </c>
      <c r="I1607" s="57"/>
      <c r="J1607" s="57"/>
      <c r="K1607" s="59"/>
      <c r="L1607" s="57"/>
      <c r="M1607" s="60"/>
      <c r="N1607" s="59"/>
      <c r="O1607" s="57"/>
      <c r="P1607" s="57"/>
      <c r="Q1607" s="57"/>
      <c r="R1607" s="57"/>
      <c r="S1607" s="59"/>
      <c r="T1607" s="57"/>
      <c r="U1607" s="60"/>
      <c r="V1607" s="59"/>
      <c r="W1607" s="57"/>
      <c r="X1607" s="57"/>
      <c r="Y1607" s="57" t="s">
        <v>21</v>
      </c>
      <c r="Z1607" s="57" t="s">
        <v>347</v>
      </c>
      <c r="AA1607" s="59">
        <v>2458</v>
      </c>
      <c r="AB1607" s="57" t="s">
        <v>61</v>
      </c>
      <c r="AC1607" s="60">
        <v>46090</v>
      </c>
      <c r="AD1607" s="59">
        <v>16109</v>
      </c>
      <c r="AE1607" s="57" t="s">
        <v>5940</v>
      </c>
      <c r="AF1607" s="57" t="s">
        <v>5941</v>
      </c>
    </row>
    <row r="1608" spans="1:32">
      <c r="A1608" s="57">
        <v>1607</v>
      </c>
      <c r="B1608" s="58">
        <v>46129.426747685182</v>
      </c>
      <c r="C1608" s="58">
        <v>46129.457013888888</v>
      </c>
      <c r="D1608" s="57" t="s">
        <v>853</v>
      </c>
      <c r="E1608" s="57" t="s">
        <v>854</v>
      </c>
      <c r="F1608" s="58"/>
      <c r="G1608" s="57" t="s">
        <v>571</v>
      </c>
      <c r="H1608" s="59">
        <v>2</v>
      </c>
      <c r="I1608" s="57"/>
      <c r="J1608" s="57"/>
      <c r="K1608" s="59"/>
      <c r="L1608" s="57"/>
      <c r="M1608" s="60"/>
      <c r="N1608" s="59"/>
      <c r="O1608" s="57"/>
      <c r="P1608" s="57"/>
      <c r="Q1608" s="57" t="s">
        <v>22</v>
      </c>
      <c r="R1608" s="57" t="s">
        <v>243</v>
      </c>
      <c r="S1608" s="59">
        <v>51353</v>
      </c>
      <c r="T1608" s="57" t="s">
        <v>62</v>
      </c>
      <c r="U1608" s="60"/>
      <c r="V1608" s="59"/>
      <c r="W1608" s="57"/>
      <c r="X1608" s="57" t="s">
        <v>5942</v>
      </c>
      <c r="Y1608" s="57" t="s">
        <v>21</v>
      </c>
      <c r="Z1608" s="57" t="s">
        <v>346</v>
      </c>
      <c r="AA1608" s="59">
        <v>20846</v>
      </c>
      <c r="AB1608" s="57" t="s">
        <v>62</v>
      </c>
      <c r="AC1608" s="60"/>
      <c r="AD1608" s="59"/>
      <c r="AE1608" s="57"/>
      <c r="AF1608" s="57" t="s">
        <v>5943</v>
      </c>
    </row>
    <row r="1609" spans="1:32">
      <c r="A1609" s="57">
        <v>1608</v>
      </c>
      <c r="B1609" s="58">
        <v>46129.453425925924</v>
      </c>
      <c r="C1609" s="58">
        <v>46129.458506944437</v>
      </c>
      <c r="D1609" s="57" t="s">
        <v>1498</v>
      </c>
      <c r="E1609" s="57" t="s">
        <v>1499</v>
      </c>
      <c r="F1609" s="58"/>
      <c r="G1609" s="57" t="s">
        <v>616</v>
      </c>
      <c r="H1609" s="59">
        <v>1</v>
      </c>
      <c r="I1609" s="57"/>
      <c r="J1609" s="57"/>
      <c r="K1609" s="59"/>
      <c r="L1609" s="57"/>
      <c r="M1609" s="60"/>
      <c r="N1609" s="59"/>
      <c r="O1609" s="57"/>
      <c r="P1609" s="57"/>
      <c r="Q1609" s="57"/>
      <c r="R1609" s="57"/>
      <c r="S1609" s="59"/>
      <c r="T1609" s="57"/>
      <c r="U1609" s="60"/>
      <c r="V1609" s="59"/>
      <c r="W1609" s="57"/>
      <c r="X1609" s="57"/>
      <c r="Y1609" s="57" t="s">
        <v>21</v>
      </c>
      <c r="Z1609" s="57" t="s">
        <v>296</v>
      </c>
      <c r="AA1609" s="59">
        <v>23940</v>
      </c>
      <c r="AB1609" s="57" t="s">
        <v>62</v>
      </c>
      <c r="AC1609" s="60"/>
      <c r="AD1609" s="59"/>
      <c r="AE1609" s="57"/>
      <c r="AF1609" s="57" t="s">
        <v>5944</v>
      </c>
    </row>
    <row r="1610" spans="1:32">
      <c r="A1610" s="57">
        <v>1609</v>
      </c>
      <c r="B1610" s="58">
        <v>46129.439409722218</v>
      </c>
      <c r="C1610" s="58">
        <v>46129.459513888891</v>
      </c>
      <c r="D1610" s="57" t="s">
        <v>4054</v>
      </c>
      <c r="E1610" s="57" t="s">
        <v>4055</v>
      </c>
      <c r="F1610" s="58"/>
      <c r="G1610" s="57" t="s">
        <v>517</v>
      </c>
      <c r="H1610" s="59">
        <v>1</v>
      </c>
      <c r="I1610" s="57"/>
      <c r="J1610" s="57"/>
      <c r="K1610" s="59"/>
      <c r="L1610" s="57"/>
      <c r="M1610" s="60"/>
      <c r="N1610" s="59"/>
      <c r="O1610" s="57"/>
      <c r="P1610" s="57"/>
      <c r="Q1610" s="57"/>
      <c r="R1610" s="57"/>
      <c r="S1610" s="59"/>
      <c r="T1610" s="57"/>
      <c r="U1610" s="60"/>
      <c r="V1610" s="59"/>
      <c r="W1610" s="57"/>
      <c r="X1610" s="57"/>
      <c r="Y1610" s="57" t="s">
        <v>21</v>
      </c>
      <c r="Z1610" s="57" t="s">
        <v>184</v>
      </c>
      <c r="AA1610" s="59">
        <v>64698</v>
      </c>
      <c r="AB1610" s="57" t="s">
        <v>61</v>
      </c>
      <c r="AC1610" s="60">
        <v>46116</v>
      </c>
      <c r="AD1610" s="59">
        <v>65160</v>
      </c>
      <c r="AE1610" s="57" t="s">
        <v>5945</v>
      </c>
      <c r="AF1610" s="57" t="s">
        <v>5946</v>
      </c>
    </row>
    <row r="1611" spans="1:32">
      <c r="A1611" s="57">
        <v>1610</v>
      </c>
      <c r="B1611" s="58">
        <v>46129.436655092592</v>
      </c>
      <c r="C1611" s="58">
        <v>46129.460393518522</v>
      </c>
      <c r="D1611" s="57" t="s">
        <v>1617</v>
      </c>
      <c r="E1611" s="57" t="s">
        <v>1618</v>
      </c>
      <c r="F1611" s="58"/>
      <c r="G1611" s="57" t="s">
        <v>625</v>
      </c>
      <c r="H1611" s="59">
        <v>2</v>
      </c>
      <c r="I1611" s="57"/>
      <c r="J1611" s="57"/>
      <c r="K1611" s="59"/>
      <c r="L1611" s="57"/>
      <c r="M1611" s="60"/>
      <c r="N1611" s="59"/>
      <c r="O1611" s="57"/>
      <c r="P1611" s="57"/>
      <c r="Q1611" s="57" t="s">
        <v>22</v>
      </c>
      <c r="R1611" s="57" t="s">
        <v>349</v>
      </c>
      <c r="S1611" s="59">
        <v>21465</v>
      </c>
      <c r="T1611" s="57" t="s">
        <v>62</v>
      </c>
      <c r="U1611" s="60"/>
      <c r="V1611" s="59"/>
      <c r="W1611" s="57"/>
      <c r="X1611" s="57" t="s">
        <v>5947</v>
      </c>
      <c r="Y1611" s="57" t="s">
        <v>21</v>
      </c>
      <c r="Z1611" s="57" t="s">
        <v>307</v>
      </c>
      <c r="AA1611" s="59">
        <v>33514</v>
      </c>
      <c r="AB1611" s="57" t="s">
        <v>62</v>
      </c>
      <c r="AC1611" s="60"/>
      <c r="AD1611" s="59"/>
      <c r="AE1611" s="57"/>
      <c r="AF1611" s="57" t="s">
        <v>5948</v>
      </c>
    </row>
    <row r="1612" spans="1:32">
      <c r="A1612" s="57">
        <v>1611</v>
      </c>
      <c r="B1612" s="58">
        <v>46129.475810185177</v>
      </c>
      <c r="C1612" s="58">
        <v>46129.48064814815</v>
      </c>
      <c r="D1612" s="57" t="s">
        <v>862</v>
      </c>
      <c r="E1612" s="57" t="s">
        <v>863</v>
      </c>
      <c r="F1612" s="58"/>
      <c r="G1612" s="57" t="s">
        <v>568</v>
      </c>
      <c r="H1612" s="59">
        <v>1</v>
      </c>
      <c r="I1612" s="57"/>
      <c r="J1612" s="57"/>
      <c r="K1612" s="59"/>
      <c r="L1612" s="57"/>
      <c r="M1612" s="60"/>
      <c r="N1612" s="59"/>
      <c r="O1612" s="57"/>
      <c r="P1612" s="57"/>
      <c r="Q1612" s="57"/>
      <c r="R1612" s="57"/>
      <c r="S1612" s="59"/>
      <c r="T1612" s="57"/>
      <c r="U1612" s="60"/>
      <c r="V1612" s="59"/>
      <c r="W1612" s="57"/>
      <c r="X1612" s="57"/>
      <c r="Y1612" s="57" t="s">
        <v>20</v>
      </c>
      <c r="Z1612" s="57" t="s">
        <v>240</v>
      </c>
      <c r="AA1612" s="59">
        <v>42431</v>
      </c>
      <c r="AB1612" s="57" t="s">
        <v>62</v>
      </c>
      <c r="AC1612" s="60"/>
      <c r="AD1612" s="59"/>
      <c r="AE1612" s="57"/>
      <c r="AF1612" s="57" t="s">
        <v>5949</v>
      </c>
    </row>
    <row r="1613" spans="1:32">
      <c r="A1613" s="57">
        <v>1612</v>
      </c>
      <c r="B1613" s="58">
        <v>46129.472928240742</v>
      </c>
      <c r="C1613" s="58">
        <v>46129.481423611112</v>
      </c>
      <c r="D1613" s="57" t="s">
        <v>1155</v>
      </c>
      <c r="E1613" s="57" t="s">
        <v>1156</v>
      </c>
      <c r="F1613" s="58"/>
      <c r="G1613" s="57" t="s">
        <v>521</v>
      </c>
      <c r="H1613" s="59">
        <v>1</v>
      </c>
      <c r="I1613" s="57"/>
      <c r="J1613" s="57"/>
      <c r="K1613" s="59"/>
      <c r="L1613" s="57"/>
      <c r="M1613" s="60"/>
      <c r="N1613" s="59"/>
      <c r="O1613" s="57"/>
      <c r="P1613" s="57"/>
      <c r="Q1613" s="57"/>
      <c r="R1613" s="57"/>
      <c r="S1613" s="59"/>
      <c r="T1613" s="57"/>
      <c r="U1613" s="60"/>
      <c r="V1613" s="59"/>
      <c r="W1613" s="57"/>
      <c r="X1613" s="57"/>
      <c r="Y1613" s="57" t="s">
        <v>21</v>
      </c>
      <c r="Z1613" s="57" t="s">
        <v>188</v>
      </c>
      <c r="AA1613" s="59">
        <v>59077</v>
      </c>
      <c r="AB1613" s="57" t="s">
        <v>62</v>
      </c>
      <c r="AC1613" s="60"/>
      <c r="AD1613" s="59"/>
      <c r="AE1613" s="57"/>
      <c r="AF1613" s="57" t="s">
        <v>5950</v>
      </c>
    </row>
    <row r="1614" spans="1:32">
      <c r="A1614" s="57">
        <v>1613</v>
      </c>
      <c r="B1614" s="58">
        <v>46129.439421296287</v>
      </c>
      <c r="C1614" s="58">
        <v>46129.48537037037</v>
      </c>
      <c r="D1614" s="57" t="s">
        <v>1101</v>
      </c>
      <c r="E1614" s="57" t="s">
        <v>1102</v>
      </c>
      <c r="F1614" s="58"/>
      <c r="G1614" s="57" t="s">
        <v>574</v>
      </c>
      <c r="H1614" s="59">
        <v>1</v>
      </c>
      <c r="I1614" s="57"/>
      <c r="J1614" s="57"/>
      <c r="K1614" s="59"/>
      <c r="L1614" s="57"/>
      <c r="M1614" s="60"/>
      <c r="N1614" s="59"/>
      <c r="O1614" s="57"/>
      <c r="P1614" s="57"/>
      <c r="Q1614" s="57"/>
      <c r="R1614" s="57"/>
      <c r="S1614" s="59"/>
      <c r="T1614" s="57"/>
      <c r="U1614" s="60"/>
      <c r="V1614" s="59"/>
      <c r="W1614" s="57"/>
      <c r="X1614" s="57"/>
      <c r="Y1614" s="57" t="s">
        <v>21</v>
      </c>
      <c r="Z1614" s="57" t="s">
        <v>246</v>
      </c>
      <c r="AA1614" s="59">
        <v>37637</v>
      </c>
      <c r="AB1614" s="57" t="s">
        <v>61</v>
      </c>
      <c r="AC1614" s="60">
        <v>46094</v>
      </c>
      <c r="AD1614" s="59">
        <v>37637</v>
      </c>
      <c r="AE1614" s="57" t="s">
        <v>5951</v>
      </c>
      <c r="AF1614" s="57" t="s">
        <v>5952</v>
      </c>
    </row>
    <row r="1615" spans="1:32">
      <c r="A1615" s="57">
        <v>1614</v>
      </c>
      <c r="B1615" s="58">
        <v>46129.485879629632</v>
      </c>
      <c r="C1615" s="58">
        <v>46129.488425925927</v>
      </c>
      <c r="D1615" s="57" t="s">
        <v>1414</v>
      </c>
      <c r="E1615" s="57" t="s">
        <v>1415</v>
      </c>
      <c r="F1615" s="58"/>
      <c r="G1615" s="57" t="s">
        <v>578</v>
      </c>
      <c r="H1615" s="59">
        <v>1</v>
      </c>
      <c r="I1615" s="57"/>
      <c r="J1615" s="57"/>
      <c r="K1615" s="59"/>
      <c r="L1615" s="57"/>
      <c r="M1615" s="60"/>
      <c r="N1615" s="59"/>
      <c r="O1615" s="57"/>
      <c r="P1615" s="57"/>
      <c r="Q1615" s="57"/>
      <c r="R1615" s="57"/>
      <c r="S1615" s="59"/>
      <c r="T1615" s="57"/>
      <c r="U1615" s="60"/>
      <c r="V1615" s="59"/>
      <c r="W1615" s="57"/>
      <c r="X1615" s="57"/>
      <c r="Y1615" s="57" t="s">
        <v>21</v>
      </c>
      <c r="Z1615" s="57" t="s">
        <v>250</v>
      </c>
      <c r="AA1615" s="59">
        <v>19330</v>
      </c>
      <c r="AB1615" s="57" t="s">
        <v>62</v>
      </c>
      <c r="AC1615" s="60"/>
      <c r="AD1615" s="59"/>
      <c r="AE1615" s="57"/>
      <c r="AF1615" s="57" t="s">
        <v>5953</v>
      </c>
    </row>
    <row r="1616" spans="1:32">
      <c r="A1616" s="57">
        <v>1615</v>
      </c>
      <c r="B1616" s="58">
        <v>46129.425127314818</v>
      </c>
      <c r="C1616" s="58">
        <v>46129.489722222221</v>
      </c>
      <c r="D1616" s="57" t="s">
        <v>1603</v>
      </c>
      <c r="E1616" s="57" t="s">
        <v>1604</v>
      </c>
      <c r="F1616" s="58"/>
      <c r="G1616" s="57" t="s">
        <v>538</v>
      </c>
      <c r="H1616" s="59">
        <v>1</v>
      </c>
      <c r="I1616" s="57"/>
      <c r="J1616" s="57"/>
      <c r="K1616" s="59"/>
      <c r="L1616" s="57"/>
      <c r="M1616" s="60"/>
      <c r="N1616" s="59"/>
      <c r="O1616" s="57"/>
      <c r="P1616" s="57"/>
      <c r="Q1616" s="57"/>
      <c r="R1616" s="57"/>
      <c r="S1616" s="59"/>
      <c r="T1616" s="57"/>
      <c r="U1616" s="60"/>
      <c r="V1616" s="59"/>
      <c r="W1616" s="57"/>
      <c r="X1616" s="57"/>
      <c r="Y1616" s="57" t="s">
        <v>21</v>
      </c>
      <c r="Z1616" s="57" t="s">
        <v>206</v>
      </c>
      <c r="AA1616" s="59">
        <v>55250</v>
      </c>
      <c r="AB1616" s="57" t="s">
        <v>61</v>
      </c>
      <c r="AC1616" s="60">
        <v>46095</v>
      </c>
      <c r="AD1616" s="59">
        <v>53309</v>
      </c>
      <c r="AE1616" s="57" t="s">
        <v>5954</v>
      </c>
      <c r="AF1616" s="57" t="s">
        <v>5955</v>
      </c>
    </row>
    <row r="1617" spans="1:32">
      <c r="A1617" s="57">
        <v>1616</v>
      </c>
      <c r="B1617" s="58">
        <v>46129.490023148152</v>
      </c>
      <c r="C1617" s="58">
        <v>46129.490844907406</v>
      </c>
      <c r="D1617" s="57" t="s">
        <v>1603</v>
      </c>
      <c r="E1617" s="57" t="s">
        <v>1604</v>
      </c>
      <c r="F1617" s="58"/>
      <c r="G1617" s="57" t="s">
        <v>538</v>
      </c>
      <c r="H1617" s="59">
        <v>1</v>
      </c>
      <c r="I1617" s="57"/>
      <c r="J1617" s="57"/>
      <c r="K1617" s="59"/>
      <c r="L1617" s="57"/>
      <c r="M1617" s="60"/>
      <c r="N1617" s="59"/>
      <c r="O1617" s="57"/>
      <c r="P1617" s="57"/>
      <c r="Q1617" s="57"/>
      <c r="R1617" s="57"/>
      <c r="S1617" s="59"/>
      <c r="T1617" s="57"/>
      <c r="U1617" s="60"/>
      <c r="V1617" s="59"/>
      <c r="W1617" s="57"/>
      <c r="X1617" s="57"/>
      <c r="Y1617" s="57" t="s">
        <v>21</v>
      </c>
      <c r="Z1617" s="57" t="s">
        <v>206</v>
      </c>
      <c r="AA1617" s="59">
        <v>60920</v>
      </c>
      <c r="AB1617" s="57" t="s">
        <v>61</v>
      </c>
      <c r="AC1617" s="60">
        <v>46095</v>
      </c>
      <c r="AD1617" s="59">
        <v>58780</v>
      </c>
      <c r="AE1617" s="57" t="s">
        <v>5956</v>
      </c>
      <c r="AF1617" s="57" t="s">
        <v>5957</v>
      </c>
    </row>
    <row r="1618" spans="1:32">
      <c r="A1618" s="57">
        <v>1617</v>
      </c>
      <c r="B1618" s="58">
        <v>46129.489861111113</v>
      </c>
      <c r="C1618" s="58">
        <v>46129.491168981483</v>
      </c>
      <c r="D1618" s="57" t="s">
        <v>1773</v>
      </c>
      <c r="E1618" s="57" t="s">
        <v>1774</v>
      </c>
      <c r="F1618" s="58"/>
      <c r="G1618" s="57" t="s">
        <v>539</v>
      </c>
      <c r="H1618" s="59">
        <v>1</v>
      </c>
      <c r="I1618" s="57"/>
      <c r="J1618" s="57"/>
      <c r="K1618" s="59"/>
      <c r="L1618" s="57"/>
      <c r="M1618" s="60"/>
      <c r="N1618" s="59"/>
      <c r="O1618" s="57"/>
      <c r="P1618" s="57"/>
      <c r="Q1618" s="57"/>
      <c r="R1618" s="57"/>
      <c r="S1618" s="59"/>
      <c r="T1618" s="57"/>
      <c r="U1618" s="60"/>
      <c r="V1618" s="59"/>
      <c r="W1618" s="57"/>
      <c r="X1618" s="57"/>
      <c r="Y1618" s="57" t="s">
        <v>20</v>
      </c>
      <c r="Z1618" s="57" t="s">
        <v>207</v>
      </c>
      <c r="AA1618" s="59">
        <v>50811</v>
      </c>
      <c r="AB1618" s="57" t="s">
        <v>61</v>
      </c>
      <c r="AC1618" s="60">
        <v>46091</v>
      </c>
      <c r="AD1618" s="59">
        <v>50811</v>
      </c>
      <c r="AE1618" s="57" t="s">
        <v>5958</v>
      </c>
      <c r="AF1618" s="57" t="s">
        <v>5959</v>
      </c>
    </row>
    <row r="1619" spans="1:32">
      <c r="A1619" s="57">
        <v>1618</v>
      </c>
      <c r="B1619" s="58">
        <v>46129.492673611108</v>
      </c>
      <c r="C1619" s="58">
        <v>46129.494351851848</v>
      </c>
      <c r="D1619" s="57" t="s">
        <v>1773</v>
      </c>
      <c r="E1619" s="57" t="s">
        <v>1774</v>
      </c>
      <c r="F1619" s="58"/>
      <c r="G1619" s="57" t="s">
        <v>539</v>
      </c>
      <c r="H1619" s="59">
        <v>1</v>
      </c>
      <c r="I1619" s="57"/>
      <c r="J1619" s="57"/>
      <c r="K1619" s="59"/>
      <c r="L1619" s="57"/>
      <c r="M1619" s="60"/>
      <c r="N1619" s="59"/>
      <c r="O1619" s="57"/>
      <c r="P1619" s="57"/>
      <c r="Q1619" s="57"/>
      <c r="R1619" s="57"/>
      <c r="S1619" s="59"/>
      <c r="T1619" s="57"/>
      <c r="U1619" s="60"/>
      <c r="V1619" s="59"/>
      <c r="W1619" s="57"/>
      <c r="X1619" s="57"/>
      <c r="Y1619" s="57" t="s">
        <v>20</v>
      </c>
      <c r="Z1619" s="57" t="s">
        <v>207</v>
      </c>
      <c r="AA1619" s="59">
        <v>55379</v>
      </c>
      <c r="AB1619" s="57" t="s">
        <v>61</v>
      </c>
      <c r="AC1619" s="60">
        <v>46091</v>
      </c>
      <c r="AD1619" s="59">
        <v>52630</v>
      </c>
      <c r="AE1619" s="57" t="s">
        <v>5960</v>
      </c>
      <c r="AF1619" s="57" t="s">
        <v>5961</v>
      </c>
    </row>
    <row r="1620" spans="1:32">
      <c r="A1620" s="57">
        <v>1619</v>
      </c>
      <c r="B1620" s="58">
        <v>46129.490856481483</v>
      </c>
      <c r="C1620" s="58">
        <v>46129.494814814818</v>
      </c>
      <c r="D1620" s="57" t="s">
        <v>966</v>
      </c>
      <c r="E1620" s="57" t="s">
        <v>967</v>
      </c>
      <c r="F1620" s="58"/>
      <c r="G1620" s="57" t="s">
        <v>503</v>
      </c>
      <c r="H1620" s="59">
        <v>1</v>
      </c>
      <c r="I1620" s="57"/>
      <c r="J1620" s="57"/>
      <c r="K1620" s="59"/>
      <c r="L1620" s="57"/>
      <c r="M1620" s="60"/>
      <c r="N1620" s="59"/>
      <c r="O1620" s="57"/>
      <c r="P1620" s="57"/>
      <c r="Q1620" s="57"/>
      <c r="R1620" s="57"/>
      <c r="S1620" s="59"/>
      <c r="T1620" s="57"/>
      <c r="U1620" s="60"/>
      <c r="V1620" s="59"/>
      <c r="W1620" s="57"/>
      <c r="X1620" s="57"/>
      <c r="Y1620" s="57" t="s">
        <v>20</v>
      </c>
      <c r="Z1620" s="57" t="s">
        <v>169</v>
      </c>
      <c r="AA1620" s="59">
        <v>102995</v>
      </c>
      <c r="AB1620" s="57" t="s">
        <v>61</v>
      </c>
      <c r="AC1620" s="60">
        <v>46097</v>
      </c>
      <c r="AD1620" s="59">
        <v>101040</v>
      </c>
      <c r="AE1620" s="57" t="s">
        <v>5962</v>
      </c>
      <c r="AF1620" s="57" t="s">
        <v>5963</v>
      </c>
    </row>
    <row r="1621" spans="1:32">
      <c r="A1621" s="57">
        <v>1620</v>
      </c>
      <c r="B1621" s="58">
        <v>46129.531666666669</v>
      </c>
      <c r="C1621" s="58">
        <v>46129.533738425933</v>
      </c>
      <c r="D1621" s="57" t="s">
        <v>726</v>
      </c>
      <c r="E1621" s="57" t="s">
        <v>727</v>
      </c>
      <c r="F1621" s="58"/>
      <c r="G1621" s="57" t="s">
        <v>540</v>
      </c>
      <c r="H1621" s="59">
        <v>1</v>
      </c>
      <c r="I1621" s="57"/>
      <c r="J1621" s="57"/>
      <c r="K1621" s="59"/>
      <c r="L1621" s="57"/>
      <c r="M1621" s="60"/>
      <c r="N1621" s="59"/>
      <c r="O1621" s="57"/>
      <c r="P1621" s="57"/>
      <c r="Q1621" s="57"/>
      <c r="R1621" s="57"/>
      <c r="S1621" s="59"/>
      <c r="T1621" s="57"/>
      <c r="U1621" s="60"/>
      <c r="V1621" s="59"/>
      <c r="W1621" s="57"/>
      <c r="X1621" s="57"/>
      <c r="Y1621" s="57" t="s">
        <v>20</v>
      </c>
      <c r="Z1621" s="57" t="s">
        <v>208</v>
      </c>
      <c r="AA1621" s="59">
        <v>72375</v>
      </c>
      <c r="AB1621" s="57" t="s">
        <v>61</v>
      </c>
      <c r="AC1621" s="60">
        <v>46097</v>
      </c>
      <c r="AD1621" s="59">
        <v>69785</v>
      </c>
      <c r="AE1621" s="57" t="s">
        <v>5964</v>
      </c>
      <c r="AF1621" s="57" t="s">
        <v>5965</v>
      </c>
    </row>
    <row r="1622" spans="1:32">
      <c r="A1622" s="57">
        <v>1621</v>
      </c>
      <c r="B1622" s="58">
        <v>46129.551111111112</v>
      </c>
      <c r="C1622" s="58">
        <v>46129.554409722223</v>
      </c>
      <c r="D1622" s="57" t="s">
        <v>1452</v>
      </c>
      <c r="E1622" s="57" t="s">
        <v>1453</v>
      </c>
      <c r="F1622" s="58"/>
      <c r="G1622" s="57" t="s">
        <v>635</v>
      </c>
      <c r="H1622" s="59">
        <v>1</v>
      </c>
      <c r="I1622" s="57"/>
      <c r="J1622" s="57"/>
      <c r="K1622" s="59"/>
      <c r="L1622" s="57"/>
      <c r="M1622" s="60"/>
      <c r="N1622" s="59"/>
      <c r="O1622" s="57"/>
      <c r="P1622" s="57"/>
      <c r="Q1622" s="57"/>
      <c r="R1622" s="57"/>
      <c r="S1622" s="59"/>
      <c r="T1622" s="57"/>
      <c r="U1622" s="60"/>
      <c r="V1622" s="59"/>
      <c r="W1622" s="57"/>
      <c r="X1622" s="57"/>
      <c r="Y1622" s="57" t="s">
        <v>20</v>
      </c>
      <c r="Z1622" s="57" t="s">
        <v>326</v>
      </c>
      <c r="AA1622" s="59">
        <v>43442</v>
      </c>
      <c r="AB1622" s="57" t="s">
        <v>61</v>
      </c>
      <c r="AC1622" s="60">
        <v>46065</v>
      </c>
      <c r="AD1622" s="59">
        <v>37396</v>
      </c>
      <c r="AE1622" s="57" t="s">
        <v>5966</v>
      </c>
      <c r="AF1622" s="57" t="s">
        <v>5967</v>
      </c>
    </row>
    <row r="1623" spans="1:32">
      <c r="A1623" s="57">
        <v>1622</v>
      </c>
      <c r="B1623" s="58">
        <v>46129.553657407407</v>
      </c>
      <c r="C1623" s="58">
        <v>46129.556180555563</v>
      </c>
      <c r="D1623" s="57" t="s">
        <v>1337</v>
      </c>
      <c r="E1623" s="57" t="s">
        <v>1338</v>
      </c>
      <c r="F1623" s="58"/>
      <c r="G1623" s="57" t="s">
        <v>710</v>
      </c>
      <c r="H1623" s="59">
        <v>1</v>
      </c>
      <c r="I1623" s="57"/>
      <c r="J1623" s="57"/>
      <c r="K1623" s="59"/>
      <c r="L1623" s="57"/>
      <c r="M1623" s="60"/>
      <c r="N1623" s="59"/>
      <c r="O1623" s="57"/>
      <c r="P1623" s="57"/>
      <c r="Q1623" s="57"/>
      <c r="R1623" s="57"/>
      <c r="S1623" s="59"/>
      <c r="T1623" s="57"/>
      <c r="U1623" s="60"/>
      <c r="V1623" s="59"/>
      <c r="W1623" s="57"/>
      <c r="X1623" s="57"/>
      <c r="Y1623" s="57" t="s">
        <v>21</v>
      </c>
      <c r="Z1623" s="57" t="s">
        <v>440</v>
      </c>
      <c r="AA1623" s="59">
        <v>2281</v>
      </c>
      <c r="AB1623" s="57" t="s">
        <v>62</v>
      </c>
      <c r="AC1623" s="60"/>
      <c r="AD1623" s="59"/>
      <c r="AE1623" s="57"/>
      <c r="AF1623" s="57" t="s">
        <v>5968</v>
      </c>
    </row>
    <row r="1624" spans="1:32">
      <c r="A1624" s="57">
        <v>1623</v>
      </c>
      <c r="B1624" s="58">
        <v>46129.54960648148</v>
      </c>
      <c r="C1624" s="58">
        <v>46129.556284722217</v>
      </c>
      <c r="D1624" s="57" t="s">
        <v>4111</v>
      </c>
      <c r="E1624" s="57" t="s">
        <v>4112</v>
      </c>
      <c r="F1624" s="58"/>
      <c r="G1624" s="57" t="s">
        <v>460</v>
      </c>
      <c r="H1624" s="59">
        <v>1</v>
      </c>
      <c r="I1624" s="57"/>
      <c r="J1624" s="57"/>
      <c r="K1624" s="59"/>
      <c r="L1624" s="57"/>
      <c r="M1624" s="60"/>
      <c r="N1624" s="59"/>
      <c r="O1624" s="57"/>
      <c r="P1624" s="57"/>
      <c r="Q1624" s="57"/>
      <c r="R1624" s="57"/>
      <c r="S1624" s="59"/>
      <c r="T1624" s="57"/>
      <c r="U1624" s="60"/>
      <c r="V1624" s="59"/>
      <c r="W1624" s="57"/>
      <c r="X1624" s="57"/>
      <c r="Y1624" s="57" t="s">
        <v>21</v>
      </c>
      <c r="Z1624" s="57" t="s">
        <v>126</v>
      </c>
      <c r="AA1624" s="59">
        <v>30162</v>
      </c>
      <c r="AB1624" s="57" t="s">
        <v>62</v>
      </c>
      <c r="AC1624" s="60"/>
      <c r="AD1624" s="59"/>
      <c r="AE1624" s="57"/>
      <c r="AF1624" s="57" t="s">
        <v>5969</v>
      </c>
    </row>
    <row r="1625" spans="1:32">
      <c r="A1625" s="57">
        <v>1624</v>
      </c>
      <c r="B1625" s="58">
        <v>46129.556122685193</v>
      </c>
      <c r="C1625" s="58">
        <v>46129.556990740741</v>
      </c>
      <c r="D1625" s="57" t="s">
        <v>1173</v>
      </c>
      <c r="E1625" s="57" t="s">
        <v>1174</v>
      </c>
      <c r="F1625" s="58"/>
      <c r="G1625" s="57" t="s">
        <v>593</v>
      </c>
      <c r="H1625" s="59">
        <v>1</v>
      </c>
      <c r="I1625" s="57"/>
      <c r="J1625" s="57"/>
      <c r="K1625" s="59"/>
      <c r="L1625" s="57"/>
      <c r="M1625" s="60"/>
      <c r="N1625" s="59"/>
      <c r="O1625" s="57"/>
      <c r="P1625" s="57"/>
      <c r="Q1625" s="57"/>
      <c r="R1625" s="57"/>
      <c r="S1625" s="59"/>
      <c r="T1625" s="57"/>
      <c r="U1625" s="60"/>
      <c r="V1625" s="59"/>
      <c r="W1625" s="57"/>
      <c r="X1625" s="57"/>
      <c r="Y1625" s="57" t="s">
        <v>21</v>
      </c>
      <c r="Z1625" s="57" t="s">
        <v>269</v>
      </c>
      <c r="AA1625" s="59">
        <v>30426</v>
      </c>
      <c r="AB1625" s="57" t="s">
        <v>62</v>
      </c>
      <c r="AC1625" s="60"/>
      <c r="AD1625" s="59"/>
      <c r="AE1625" s="57"/>
      <c r="AF1625" s="57" t="s">
        <v>5970</v>
      </c>
    </row>
    <row r="1626" spans="1:32">
      <c r="A1626" s="57">
        <v>1625</v>
      </c>
      <c r="B1626" s="58">
        <v>46129.42664351852</v>
      </c>
      <c r="C1626" s="58">
        <v>46129.561180555553</v>
      </c>
      <c r="D1626" s="57" t="s">
        <v>1181</v>
      </c>
      <c r="E1626" s="57" t="s">
        <v>1182</v>
      </c>
      <c r="F1626" s="58"/>
      <c r="G1626" s="57" t="s">
        <v>601</v>
      </c>
      <c r="H1626" s="59">
        <v>2</v>
      </c>
      <c r="I1626" s="57"/>
      <c r="J1626" s="57"/>
      <c r="K1626" s="59"/>
      <c r="L1626" s="57"/>
      <c r="M1626" s="60"/>
      <c r="N1626" s="59"/>
      <c r="O1626" s="57"/>
      <c r="P1626" s="57"/>
      <c r="Q1626" s="57" t="s">
        <v>21</v>
      </c>
      <c r="R1626" s="57" t="s">
        <v>5971</v>
      </c>
      <c r="S1626" s="59">
        <v>3965</v>
      </c>
      <c r="T1626" s="57" t="s">
        <v>61</v>
      </c>
      <c r="U1626" s="60">
        <v>46099</v>
      </c>
      <c r="V1626" s="59">
        <v>14407</v>
      </c>
      <c r="W1626" s="57" t="s">
        <v>5972</v>
      </c>
      <c r="X1626" s="57" t="s">
        <v>5973</v>
      </c>
      <c r="Y1626" s="57" t="s">
        <v>22</v>
      </c>
      <c r="Z1626" s="57" t="s">
        <v>278</v>
      </c>
      <c r="AA1626" s="59">
        <v>27654</v>
      </c>
      <c r="AB1626" s="57" t="s">
        <v>62</v>
      </c>
      <c r="AC1626" s="60"/>
      <c r="AD1626" s="59"/>
      <c r="AE1626" s="57"/>
      <c r="AF1626" s="57" t="s">
        <v>5974</v>
      </c>
    </row>
    <row r="1627" spans="1:32">
      <c r="A1627" s="57">
        <v>1626</v>
      </c>
      <c r="B1627" s="58">
        <v>46129.56690972222</v>
      </c>
      <c r="C1627" s="58">
        <v>46129.567777777767</v>
      </c>
      <c r="D1627" s="57" t="s">
        <v>1452</v>
      </c>
      <c r="E1627" s="57" t="s">
        <v>1453</v>
      </c>
      <c r="F1627" s="58"/>
      <c r="G1627" s="57" t="s">
        <v>635</v>
      </c>
      <c r="H1627" s="59">
        <v>1</v>
      </c>
      <c r="I1627" s="57"/>
      <c r="J1627" s="57"/>
      <c r="K1627" s="59"/>
      <c r="L1627" s="57"/>
      <c r="M1627" s="60"/>
      <c r="N1627" s="59"/>
      <c r="O1627" s="57"/>
      <c r="P1627" s="57"/>
      <c r="Q1627" s="57"/>
      <c r="R1627" s="57"/>
      <c r="S1627" s="59"/>
      <c r="T1627" s="57"/>
      <c r="U1627" s="60"/>
      <c r="V1627" s="59"/>
      <c r="W1627" s="57"/>
      <c r="X1627" s="57"/>
      <c r="Y1627" s="57" t="s">
        <v>20</v>
      </c>
      <c r="Z1627" s="57" t="s">
        <v>326</v>
      </c>
      <c r="AA1627" s="59">
        <v>45913</v>
      </c>
      <c r="AB1627" s="57" t="s">
        <v>62</v>
      </c>
      <c r="AC1627" s="60"/>
      <c r="AD1627" s="59"/>
      <c r="AE1627" s="57"/>
      <c r="AF1627" s="57" t="s">
        <v>5975</v>
      </c>
    </row>
    <row r="1628" spans="1:32">
      <c r="A1628" s="57">
        <v>1627</v>
      </c>
      <c r="B1628" s="58">
        <v>46129.568738425929</v>
      </c>
      <c r="C1628" s="58">
        <v>46129.57172453704</v>
      </c>
      <c r="D1628" s="57" t="s">
        <v>5729</v>
      </c>
      <c r="E1628" s="57" t="s">
        <v>5730</v>
      </c>
      <c r="F1628" s="58"/>
      <c r="G1628" s="57" t="s">
        <v>476</v>
      </c>
      <c r="H1628" s="59">
        <v>1</v>
      </c>
      <c r="I1628" s="57"/>
      <c r="J1628" s="57"/>
      <c r="K1628" s="59"/>
      <c r="L1628" s="57"/>
      <c r="M1628" s="60"/>
      <c r="N1628" s="59"/>
      <c r="O1628" s="57"/>
      <c r="P1628" s="57"/>
      <c r="Q1628" s="57"/>
      <c r="R1628" s="57"/>
      <c r="S1628" s="59"/>
      <c r="T1628" s="57"/>
      <c r="U1628" s="60"/>
      <c r="V1628" s="59"/>
      <c r="W1628" s="57"/>
      <c r="X1628" s="57"/>
      <c r="Y1628" s="57" t="s">
        <v>21</v>
      </c>
      <c r="Z1628" s="57" t="s">
        <v>142</v>
      </c>
      <c r="AA1628" s="59">
        <v>1501</v>
      </c>
      <c r="AB1628" s="57" t="s">
        <v>62</v>
      </c>
      <c r="AC1628" s="60"/>
      <c r="AD1628" s="59"/>
      <c r="AE1628" s="57"/>
      <c r="AF1628" s="57" t="s">
        <v>5976</v>
      </c>
    </row>
    <row r="1629" spans="1:32">
      <c r="A1629" s="57">
        <v>1628</v>
      </c>
      <c r="B1629" s="58">
        <v>46129.579328703701</v>
      </c>
      <c r="C1629" s="58">
        <v>46129.583252314813</v>
      </c>
      <c r="D1629" s="57" t="s">
        <v>3344</v>
      </c>
      <c r="E1629" s="57" t="s">
        <v>3345</v>
      </c>
      <c r="F1629" s="58"/>
      <c r="G1629" s="57" t="s">
        <v>687</v>
      </c>
      <c r="H1629" s="59">
        <v>1</v>
      </c>
      <c r="I1629" s="57"/>
      <c r="J1629" s="57"/>
      <c r="K1629" s="59"/>
      <c r="L1629" s="57"/>
      <c r="M1629" s="60"/>
      <c r="N1629" s="59"/>
      <c r="O1629" s="57"/>
      <c r="P1629" s="57"/>
      <c r="Q1629" s="57"/>
      <c r="R1629" s="57"/>
      <c r="S1629" s="59"/>
      <c r="T1629" s="57"/>
      <c r="U1629" s="60"/>
      <c r="V1629" s="59"/>
      <c r="W1629" s="57"/>
      <c r="X1629" s="57"/>
      <c r="Y1629" s="57" t="s">
        <v>21</v>
      </c>
      <c r="Z1629" s="57" t="s">
        <v>406</v>
      </c>
      <c r="AA1629" s="59">
        <v>2366</v>
      </c>
      <c r="AB1629" s="57" t="s">
        <v>62</v>
      </c>
      <c r="AC1629" s="60"/>
      <c r="AD1629" s="59"/>
      <c r="AE1629" s="57"/>
      <c r="AF1629" s="57" t="s">
        <v>5977</v>
      </c>
    </row>
    <row r="1630" spans="1:32">
      <c r="A1630" s="57">
        <v>1629</v>
      </c>
      <c r="B1630" s="58">
        <v>46129.586145833331</v>
      </c>
      <c r="C1630" s="58">
        <v>46129.589097222219</v>
      </c>
      <c r="D1630" s="57" t="s">
        <v>857</v>
      </c>
      <c r="E1630" s="57" t="s">
        <v>858</v>
      </c>
      <c r="F1630" s="58"/>
      <c r="G1630" s="57" t="s">
        <v>702</v>
      </c>
      <c r="H1630" s="59">
        <v>1</v>
      </c>
      <c r="I1630" s="57"/>
      <c r="J1630" s="57"/>
      <c r="K1630" s="59"/>
      <c r="L1630" s="57"/>
      <c r="M1630" s="60"/>
      <c r="N1630" s="59"/>
      <c r="O1630" s="57"/>
      <c r="P1630" s="57"/>
      <c r="Q1630" s="57"/>
      <c r="R1630" s="57"/>
      <c r="S1630" s="59"/>
      <c r="T1630" s="57"/>
      <c r="U1630" s="60"/>
      <c r="V1630" s="59"/>
      <c r="W1630" s="57"/>
      <c r="X1630" s="57"/>
      <c r="Y1630" s="57" t="s">
        <v>21</v>
      </c>
      <c r="Z1630" s="57" t="s">
        <v>431</v>
      </c>
      <c r="AA1630" s="59">
        <v>3802</v>
      </c>
      <c r="AB1630" s="57" t="s">
        <v>62</v>
      </c>
      <c r="AC1630" s="60"/>
      <c r="AD1630" s="59"/>
      <c r="AE1630" s="57"/>
      <c r="AF1630" s="57" t="s">
        <v>5978</v>
      </c>
    </row>
    <row r="1631" spans="1:32">
      <c r="A1631" s="57">
        <v>1630</v>
      </c>
      <c r="B1631" s="58">
        <v>46129.443333333344</v>
      </c>
      <c r="C1631" s="58">
        <v>46129.593530092592</v>
      </c>
      <c r="D1631" s="57" t="s">
        <v>5627</v>
      </c>
      <c r="E1631" s="57" t="s">
        <v>5628</v>
      </c>
      <c r="F1631" s="58"/>
      <c r="G1631" s="57" t="s">
        <v>642</v>
      </c>
      <c r="H1631" s="59">
        <v>1</v>
      </c>
      <c r="I1631" s="57"/>
      <c r="J1631" s="57"/>
      <c r="K1631" s="59"/>
      <c r="L1631" s="57"/>
      <c r="M1631" s="60"/>
      <c r="N1631" s="59"/>
      <c r="O1631" s="57"/>
      <c r="P1631" s="57"/>
      <c r="Q1631" s="57"/>
      <c r="R1631" s="57"/>
      <c r="S1631" s="59"/>
      <c r="T1631" s="57"/>
      <c r="U1631" s="60"/>
      <c r="V1631" s="59"/>
      <c r="W1631" s="57"/>
      <c r="X1631" s="57"/>
      <c r="Y1631" s="57" t="s">
        <v>21</v>
      </c>
      <c r="Z1631" s="57" t="s">
        <v>337</v>
      </c>
      <c r="AA1631" s="59">
        <v>21120</v>
      </c>
      <c r="AB1631" s="57" t="s">
        <v>62</v>
      </c>
      <c r="AC1631" s="60"/>
      <c r="AD1631" s="59"/>
      <c r="AE1631" s="57"/>
      <c r="AF1631" s="57" t="s">
        <v>5979</v>
      </c>
    </row>
    <row r="1632" spans="1:32">
      <c r="A1632" s="57">
        <v>1631</v>
      </c>
      <c r="B1632" s="58">
        <v>46129.594097222223</v>
      </c>
      <c r="C1632" s="58">
        <v>46129.596412037034</v>
      </c>
      <c r="D1632" s="57" t="s">
        <v>961</v>
      </c>
      <c r="E1632" s="57" t="s">
        <v>962</v>
      </c>
      <c r="F1632" s="58"/>
      <c r="G1632" s="57" t="s">
        <v>655</v>
      </c>
      <c r="H1632" s="59">
        <v>1</v>
      </c>
      <c r="I1632" s="57"/>
      <c r="J1632" s="57"/>
      <c r="K1632" s="59"/>
      <c r="L1632" s="57"/>
      <c r="M1632" s="60"/>
      <c r="N1632" s="59"/>
      <c r="O1632" s="57"/>
      <c r="P1632" s="57"/>
      <c r="Q1632" s="57"/>
      <c r="R1632" s="57"/>
      <c r="S1632" s="59"/>
      <c r="T1632" s="57"/>
      <c r="U1632" s="60"/>
      <c r="V1632" s="59"/>
      <c r="W1632" s="57"/>
      <c r="X1632" s="57"/>
      <c r="Y1632" s="57" t="s">
        <v>21</v>
      </c>
      <c r="Z1632" s="57" t="s">
        <v>353</v>
      </c>
      <c r="AA1632" s="59">
        <v>13009</v>
      </c>
      <c r="AB1632" s="57" t="s">
        <v>62</v>
      </c>
      <c r="AC1632" s="60"/>
      <c r="AD1632" s="59"/>
      <c r="AE1632" s="57"/>
      <c r="AF1632" s="57" t="s">
        <v>5980</v>
      </c>
    </row>
    <row r="1633" spans="1:32">
      <c r="A1633" s="57">
        <v>1632</v>
      </c>
      <c r="B1633" s="58">
        <v>46129.62059027778</v>
      </c>
      <c r="C1633" s="58">
        <v>46129.626388888893</v>
      </c>
      <c r="D1633" s="57" t="s">
        <v>5981</v>
      </c>
      <c r="E1633" s="57" t="s">
        <v>5982</v>
      </c>
      <c r="F1633" s="58"/>
      <c r="G1633" s="57" t="s">
        <v>594</v>
      </c>
      <c r="H1633" s="59">
        <v>1</v>
      </c>
      <c r="I1633" s="57"/>
      <c r="J1633" s="57"/>
      <c r="K1633" s="59"/>
      <c r="L1633" s="57"/>
      <c r="M1633" s="60"/>
      <c r="N1633" s="59"/>
      <c r="O1633" s="57"/>
      <c r="P1633" s="57"/>
      <c r="Q1633" s="57"/>
      <c r="R1633" s="57"/>
      <c r="S1633" s="59"/>
      <c r="T1633" s="57"/>
      <c r="U1633" s="60"/>
      <c r="V1633" s="59"/>
      <c r="W1633" s="57"/>
      <c r="X1633" s="57"/>
      <c r="Y1633" s="57" t="s">
        <v>20</v>
      </c>
      <c r="Z1633" s="57" t="s">
        <v>270</v>
      </c>
      <c r="AA1633" s="59">
        <v>29868</v>
      </c>
      <c r="AB1633" s="57" t="s">
        <v>61</v>
      </c>
      <c r="AC1633" s="60">
        <v>46097</v>
      </c>
      <c r="AD1633" s="59">
        <v>28623</v>
      </c>
      <c r="AE1633" s="57" t="s">
        <v>5983</v>
      </c>
      <c r="AF1633" s="57" t="s">
        <v>5984</v>
      </c>
    </row>
    <row r="1634" spans="1:32">
      <c r="A1634" s="57">
        <v>1633</v>
      </c>
      <c r="B1634" s="58">
        <v>46129.595682870371</v>
      </c>
      <c r="C1634" s="58">
        <v>46129.62699074074</v>
      </c>
      <c r="D1634" s="57" t="s">
        <v>970</v>
      </c>
      <c r="E1634" s="57" t="s">
        <v>971</v>
      </c>
      <c r="F1634" s="58"/>
      <c r="G1634" s="57" t="s">
        <v>548</v>
      </c>
      <c r="H1634" s="59">
        <v>2</v>
      </c>
      <c r="I1634" s="57"/>
      <c r="J1634" s="57"/>
      <c r="K1634" s="59"/>
      <c r="L1634" s="57"/>
      <c r="M1634" s="60"/>
      <c r="N1634" s="59"/>
      <c r="O1634" s="57"/>
      <c r="P1634" s="57"/>
      <c r="Q1634" s="57" t="s">
        <v>22</v>
      </c>
      <c r="R1634" s="57" t="s">
        <v>217</v>
      </c>
      <c r="S1634" s="59">
        <v>30781</v>
      </c>
      <c r="T1634" s="57" t="s">
        <v>62</v>
      </c>
      <c r="U1634" s="60"/>
      <c r="V1634" s="59"/>
      <c r="W1634" s="57"/>
      <c r="X1634" s="57" t="s">
        <v>5985</v>
      </c>
      <c r="Y1634" s="57" t="s">
        <v>20</v>
      </c>
      <c r="Z1634" s="57" t="s">
        <v>233</v>
      </c>
      <c r="AA1634" s="59">
        <v>7850</v>
      </c>
      <c r="AB1634" s="57" t="s">
        <v>62</v>
      </c>
      <c r="AC1634" s="60"/>
      <c r="AD1634" s="59"/>
      <c r="AE1634" s="57"/>
      <c r="AF1634" s="57" t="s">
        <v>5986</v>
      </c>
    </row>
    <row r="1635" spans="1:32">
      <c r="A1635" s="57">
        <v>1634</v>
      </c>
      <c r="B1635" s="58">
        <v>46129.576180555552</v>
      </c>
      <c r="C1635" s="58">
        <v>46129.637141203697</v>
      </c>
      <c r="D1635" s="57" t="s">
        <v>5791</v>
      </c>
      <c r="E1635" s="57" t="s">
        <v>5792</v>
      </c>
      <c r="F1635" s="58"/>
      <c r="G1635" s="57" t="s">
        <v>644</v>
      </c>
      <c r="H1635" s="59">
        <v>1</v>
      </c>
      <c r="I1635" s="57"/>
      <c r="J1635" s="57"/>
      <c r="K1635" s="59"/>
      <c r="L1635" s="57"/>
      <c r="M1635" s="60"/>
      <c r="N1635" s="59"/>
      <c r="O1635" s="57"/>
      <c r="P1635" s="57"/>
      <c r="Q1635" s="57"/>
      <c r="R1635" s="57"/>
      <c r="S1635" s="59"/>
      <c r="T1635" s="57"/>
      <c r="U1635" s="60"/>
      <c r="V1635" s="59"/>
      <c r="W1635" s="57"/>
      <c r="X1635" s="57"/>
      <c r="Y1635" s="57" t="s">
        <v>21</v>
      </c>
      <c r="Z1635" s="57" t="s">
        <v>339</v>
      </c>
      <c r="AA1635" s="59">
        <v>11773</v>
      </c>
      <c r="AB1635" s="57" t="s">
        <v>62</v>
      </c>
      <c r="AC1635" s="60"/>
      <c r="AD1635" s="59"/>
      <c r="AE1635" s="57"/>
      <c r="AF1635" s="57" t="s">
        <v>5987</v>
      </c>
    </row>
    <row r="1636" spans="1:32">
      <c r="A1636" s="57">
        <v>1635</v>
      </c>
      <c r="B1636" s="58">
        <v>46129.595023148147</v>
      </c>
      <c r="C1636" s="58">
        <v>46129.637395833342</v>
      </c>
      <c r="D1636" s="57" t="s">
        <v>777</v>
      </c>
      <c r="E1636" s="57" t="s">
        <v>778</v>
      </c>
      <c r="F1636" s="58"/>
      <c r="G1636" s="57" t="s">
        <v>701</v>
      </c>
      <c r="H1636" s="59">
        <v>1</v>
      </c>
      <c r="I1636" s="57"/>
      <c r="J1636" s="57"/>
      <c r="K1636" s="59"/>
      <c r="L1636" s="57"/>
      <c r="M1636" s="60"/>
      <c r="N1636" s="59"/>
      <c r="O1636" s="57"/>
      <c r="P1636" s="57"/>
      <c r="Q1636" s="57"/>
      <c r="R1636" s="57"/>
      <c r="S1636" s="59"/>
      <c r="T1636" s="57"/>
      <c r="U1636" s="60"/>
      <c r="V1636" s="59"/>
      <c r="W1636" s="57"/>
      <c r="X1636" s="57"/>
      <c r="Y1636" s="57" t="s">
        <v>21</v>
      </c>
      <c r="Z1636" s="57" t="s">
        <v>430</v>
      </c>
      <c r="AA1636" s="59">
        <v>4858</v>
      </c>
      <c r="AB1636" s="57" t="s">
        <v>62</v>
      </c>
      <c r="AC1636" s="60"/>
      <c r="AD1636" s="59"/>
      <c r="AE1636" s="57"/>
      <c r="AF1636" s="57" t="s">
        <v>5988</v>
      </c>
    </row>
    <row r="1637" spans="1:32">
      <c r="A1637" s="57">
        <v>1636</v>
      </c>
      <c r="B1637" s="58">
        <v>46129.425740740742</v>
      </c>
      <c r="C1637" s="58">
        <v>46129.644074074073</v>
      </c>
      <c r="D1637" s="57" t="s">
        <v>1058</v>
      </c>
      <c r="E1637" s="57" t="s">
        <v>1059</v>
      </c>
      <c r="F1637" s="58"/>
      <c r="G1637" s="57" t="s">
        <v>467</v>
      </c>
      <c r="H1637" s="59">
        <v>2</v>
      </c>
      <c r="I1637" s="57"/>
      <c r="J1637" s="57"/>
      <c r="K1637" s="59"/>
      <c r="L1637" s="57"/>
      <c r="M1637" s="60"/>
      <c r="N1637" s="59"/>
      <c r="O1637" s="57"/>
      <c r="P1637" s="57"/>
      <c r="Q1637" s="57" t="s">
        <v>22</v>
      </c>
      <c r="R1637" s="57" t="s">
        <v>133</v>
      </c>
      <c r="S1637" s="59">
        <v>65235</v>
      </c>
      <c r="T1637" s="57" t="s">
        <v>62</v>
      </c>
      <c r="U1637" s="60"/>
      <c r="V1637" s="59"/>
      <c r="W1637" s="57"/>
      <c r="X1637" s="57" t="s">
        <v>5989</v>
      </c>
      <c r="Y1637" s="57" t="s">
        <v>21</v>
      </c>
      <c r="Z1637" s="57" t="s">
        <v>176</v>
      </c>
      <c r="AA1637" s="59">
        <v>39518</v>
      </c>
      <c r="AB1637" s="57" t="s">
        <v>62</v>
      </c>
      <c r="AC1637" s="60"/>
      <c r="AD1637" s="59"/>
      <c r="AE1637" s="57"/>
      <c r="AF1637" s="57" t="s">
        <v>5990</v>
      </c>
    </row>
    <row r="1638" spans="1:32">
      <c r="A1638" s="57">
        <v>1637</v>
      </c>
      <c r="B1638" s="58">
        <v>46129.586238425924</v>
      </c>
      <c r="C1638" s="58">
        <v>46129.645486111112</v>
      </c>
      <c r="D1638" s="57" t="s">
        <v>1568</v>
      </c>
      <c r="E1638" s="57" t="s">
        <v>1569</v>
      </c>
      <c r="F1638" s="58"/>
      <c r="G1638" s="57" t="s">
        <v>505</v>
      </c>
      <c r="H1638" s="59">
        <v>1</v>
      </c>
      <c r="I1638" s="57"/>
      <c r="J1638" s="57"/>
      <c r="K1638" s="59"/>
      <c r="L1638" s="57"/>
      <c r="M1638" s="60"/>
      <c r="N1638" s="59"/>
      <c r="O1638" s="57"/>
      <c r="P1638" s="57"/>
      <c r="Q1638" s="57"/>
      <c r="R1638" s="57"/>
      <c r="S1638" s="59"/>
      <c r="T1638" s="57"/>
      <c r="U1638" s="60"/>
      <c r="V1638" s="59"/>
      <c r="W1638" s="57"/>
      <c r="X1638" s="57"/>
      <c r="Y1638" s="57" t="s">
        <v>20</v>
      </c>
      <c r="Z1638" s="57" t="s">
        <v>171</v>
      </c>
      <c r="AA1638" s="59">
        <v>88339</v>
      </c>
      <c r="AB1638" s="57" t="s">
        <v>61</v>
      </c>
      <c r="AC1638" s="60">
        <v>46093</v>
      </c>
      <c r="AD1638" s="59">
        <v>88339</v>
      </c>
      <c r="AE1638" s="57" t="s">
        <v>5991</v>
      </c>
      <c r="AF1638" s="57" t="s">
        <v>5992</v>
      </c>
    </row>
    <row r="1639" spans="1:32">
      <c r="A1639" s="57">
        <v>1638</v>
      </c>
      <c r="B1639" s="58">
        <v>46129.60601851852</v>
      </c>
      <c r="C1639" s="58">
        <v>46129.665312500001</v>
      </c>
      <c r="D1639" s="57" t="s">
        <v>2440</v>
      </c>
      <c r="E1639" s="57" t="s">
        <v>2441</v>
      </c>
      <c r="F1639" s="58"/>
      <c r="G1639" s="57" t="s">
        <v>588</v>
      </c>
      <c r="H1639" s="59">
        <v>1</v>
      </c>
      <c r="I1639" s="57"/>
      <c r="J1639" s="57"/>
      <c r="K1639" s="59"/>
      <c r="L1639" s="57"/>
      <c r="M1639" s="60"/>
      <c r="N1639" s="59"/>
      <c r="O1639" s="57"/>
      <c r="P1639" s="57"/>
      <c r="Q1639" s="57"/>
      <c r="R1639" s="57"/>
      <c r="S1639" s="59"/>
      <c r="T1639" s="57"/>
      <c r="U1639" s="60"/>
      <c r="V1639" s="59"/>
      <c r="W1639" s="57"/>
      <c r="X1639" s="57"/>
      <c r="Y1639" s="57" t="s">
        <v>21</v>
      </c>
      <c r="Z1639" s="57" t="s">
        <v>5993</v>
      </c>
      <c r="AA1639" s="59">
        <v>59264</v>
      </c>
      <c r="AB1639" s="57" t="s">
        <v>62</v>
      </c>
      <c r="AC1639" s="60"/>
      <c r="AD1639" s="59"/>
      <c r="AE1639" s="57"/>
      <c r="AF1639" s="57" t="s">
        <v>5994</v>
      </c>
    </row>
    <row r="1640" spans="1:32">
      <c r="A1640" s="57">
        <v>1639</v>
      </c>
      <c r="B1640" s="58">
        <v>46129.666145833333</v>
      </c>
      <c r="C1640" s="58">
        <v>46129.668263888889</v>
      </c>
      <c r="D1640" s="57" t="s">
        <v>897</v>
      </c>
      <c r="E1640" s="57" t="s">
        <v>898</v>
      </c>
      <c r="F1640" s="58"/>
      <c r="G1640" s="57" t="s">
        <v>697</v>
      </c>
      <c r="H1640" s="59">
        <v>1</v>
      </c>
      <c r="I1640" s="57"/>
      <c r="J1640" s="57"/>
      <c r="K1640" s="59"/>
      <c r="L1640" s="57"/>
      <c r="M1640" s="60"/>
      <c r="N1640" s="59"/>
      <c r="O1640" s="57"/>
      <c r="P1640" s="57"/>
      <c r="Q1640" s="57"/>
      <c r="R1640" s="57"/>
      <c r="S1640" s="59"/>
      <c r="T1640" s="57"/>
      <c r="U1640" s="60"/>
      <c r="V1640" s="59"/>
      <c r="W1640" s="57"/>
      <c r="X1640" s="57"/>
      <c r="Y1640" s="57" t="s">
        <v>21</v>
      </c>
      <c r="Z1640" s="57" t="s">
        <v>421</v>
      </c>
      <c r="AA1640" s="59">
        <v>4433</v>
      </c>
      <c r="AB1640" s="57" t="s">
        <v>62</v>
      </c>
      <c r="AC1640" s="60"/>
      <c r="AD1640" s="59"/>
      <c r="AE1640" s="57"/>
      <c r="AF1640" s="57" t="s">
        <v>5995</v>
      </c>
    </row>
    <row r="1641" spans="1:32">
      <c r="A1641" s="57">
        <v>1640</v>
      </c>
      <c r="B1641" s="58">
        <v>46129.608101851853</v>
      </c>
      <c r="C1641" s="58">
        <v>46129.669768518521</v>
      </c>
      <c r="D1641" s="57" t="s">
        <v>1256</v>
      </c>
      <c r="E1641" s="57" t="s">
        <v>1257</v>
      </c>
      <c r="F1641" s="58"/>
      <c r="G1641" s="57" t="s">
        <v>473</v>
      </c>
      <c r="H1641" s="59">
        <v>1</v>
      </c>
      <c r="I1641" s="57"/>
      <c r="J1641" s="57"/>
      <c r="K1641" s="59"/>
      <c r="L1641" s="57"/>
      <c r="M1641" s="60"/>
      <c r="N1641" s="59"/>
      <c r="O1641" s="57"/>
      <c r="P1641" s="57"/>
      <c r="Q1641" s="57"/>
      <c r="R1641" s="57"/>
      <c r="S1641" s="59"/>
      <c r="T1641" s="57"/>
      <c r="U1641" s="60"/>
      <c r="V1641" s="59"/>
      <c r="W1641" s="57"/>
      <c r="X1641" s="57"/>
      <c r="Y1641" s="57" t="s">
        <v>21</v>
      </c>
      <c r="Z1641" s="57" t="s">
        <v>139</v>
      </c>
      <c r="AA1641" s="59">
        <v>105566</v>
      </c>
      <c r="AB1641" s="57" t="s">
        <v>61</v>
      </c>
      <c r="AC1641" s="60">
        <v>46120</v>
      </c>
      <c r="AD1641" s="59">
        <v>104998</v>
      </c>
      <c r="AE1641" s="57" t="s">
        <v>5996</v>
      </c>
      <c r="AF1641" s="57" t="s">
        <v>5997</v>
      </c>
    </row>
    <row r="1642" spans="1:32">
      <c r="A1642" s="57">
        <v>1641</v>
      </c>
      <c r="B1642" s="58">
        <v>46129.658171296287</v>
      </c>
      <c r="C1642" s="58">
        <v>46129.671134259261</v>
      </c>
      <c r="D1642" s="57" t="s">
        <v>4701</v>
      </c>
      <c r="E1642" s="57" t="s">
        <v>4702</v>
      </c>
      <c r="F1642" s="58"/>
      <c r="G1642" s="57" t="s">
        <v>510</v>
      </c>
      <c r="H1642" s="59">
        <v>1</v>
      </c>
      <c r="I1642" s="57"/>
      <c r="J1642" s="57"/>
      <c r="K1642" s="59"/>
      <c r="L1642" s="57"/>
      <c r="M1642" s="60"/>
      <c r="N1642" s="59"/>
      <c r="O1642" s="57"/>
      <c r="P1642" s="57"/>
      <c r="Q1642" s="57"/>
      <c r="R1642" s="57"/>
      <c r="S1642" s="59"/>
      <c r="T1642" s="57"/>
      <c r="U1642" s="60"/>
      <c r="V1642" s="59"/>
      <c r="W1642" s="57"/>
      <c r="X1642" s="57"/>
      <c r="Y1642" s="57" t="s">
        <v>20</v>
      </c>
      <c r="Z1642" s="57" t="s">
        <v>177</v>
      </c>
      <c r="AA1642" s="59">
        <v>61366</v>
      </c>
      <c r="AB1642" s="57" t="s">
        <v>62</v>
      </c>
      <c r="AC1642" s="60"/>
      <c r="AD1642" s="59"/>
      <c r="AE1642" s="57"/>
      <c r="AF1642" s="57" t="s">
        <v>5998</v>
      </c>
    </row>
    <row r="1643" spans="1:32">
      <c r="A1643" s="57">
        <v>1642</v>
      </c>
      <c r="B1643" s="58">
        <v>46129.636157407411</v>
      </c>
      <c r="C1643" s="58">
        <v>46129.673020833332</v>
      </c>
      <c r="D1643" s="57" t="s">
        <v>956</v>
      </c>
      <c r="E1643" s="57" t="s">
        <v>957</v>
      </c>
      <c r="F1643" s="58"/>
      <c r="G1643" s="57" t="s">
        <v>534</v>
      </c>
      <c r="H1643" s="59">
        <v>2</v>
      </c>
      <c r="I1643" s="57"/>
      <c r="J1643" s="57"/>
      <c r="K1643" s="59"/>
      <c r="L1643" s="57"/>
      <c r="M1643" s="60"/>
      <c r="N1643" s="59"/>
      <c r="O1643" s="57"/>
      <c r="P1643" s="57"/>
      <c r="Q1643" s="57" t="s">
        <v>20</v>
      </c>
      <c r="R1643" s="57" t="s">
        <v>202</v>
      </c>
      <c r="S1643" s="59">
        <v>44266</v>
      </c>
      <c r="T1643" s="57" t="s">
        <v>61</v>
      </c>
      <c r="U1643" s="60">
        <v>46123</v>
      </c>
      <c r="V1643" s="59">
        <v>44266</v>
      </c>
      <c r="W1643" s="57" t="s">
        <v>5999</v>
      </c>
      <c r="X1643" s="57" t="s">
        <v>6000</v>
      </c>
      <c r="Y1643" s="57" t="s">
        <v>22</v>
      </c>
      <c r="Z1643" s="57" t="s">
        <v>4003</v>
      </c>
      <c r="AA1643" s="59">
        <v>73195</v>
      </c>
      <c r="AB1643" s="57" t="s">
        <v>61</v>
      </c>
      <c r="AC1643" s="60">
        <v>46119</v>
      </c>
      <c r="AD1643" s="59">
        <v>73195</v>
      </c>
      <c r="AE1643" s="57" t="s">
        <v>6001</v>
      </c>
      <c r="AF1643" s="57" t="s">
        <v>6002</v>
      </c>
    </row>
    <row r="1644" spans="1:32">
      <c r="A1644" s="57">
        <v>1643</v>
      </c>
      <c r="B1644" s="58">
        <v>46129.682696759257</v>
      </c>
      <c r="C1644" s="58">
        <v>46129.684328703697</v>
      </c>
      <c r="D1644" s="57" t="s">
        <v>809</v>
      </c>
      <c r="E1644" s="57" t="s">
        <v>810</v>
      </c>
      <c r="F1644" s="58"/>
      <c r="G1644" s="57" t="s">
        <v>468</v>
      </c>
      <c r="H1644" s="59">
        <v>1</v>
      </c>
      <c r="I1644" s="57"/>
      <c r="J1644" s="57"/>
      <c r="K1644" s="59"/>
      <c r="L1644" s="57"/>
      <c r="M1644" s="60"/>
      <c r="N1644" s="59"/>
      <c r="O1644" s="57"/>
      <c r="P1644" s="57"/>
      <c r="Q1644" s="57"/>
      <c r="R1644" s="57"/>
      <c r="S1644" s="59"/>
      <c r="T1644" s="57"/>
      <c r="U1644" s="60"/>
      <c r="V1644" s="59"/>
      <c r="W1644" s="57"/>
      <c r="X1644" s="57"/>
      <c r="Y1644" s="57" t="s">
        <v>21</v>
      </c>
      <c r="Z1644" s="57" t="s">
        <v>134</v>
      </c>
      <c r="AA1644" s="59">
        <v>57163</v>
      </c>
      <c r="AB1644" s="57" t="s">
        <v>61</v>
      </c>
      <c r="AC1644" s="60">
        <v>46093</v>
      </c>
      <c r="AD1644" s="59">
        <v>55010</v>
      </c>
      <c r="AE1644" s="57" t="s">
        <v>6003</v>
      </c>
      <c r="AF1644" s="57" t="s">
        <v>6004</v>
      </c>
    </row>
    <row r="1645" spans="1:32">
      <c r="A1645" s="57">
        <v>1644</v>
      </c>
      <c r="B1645" s="58">
        <v>46129.642476851863</v>
      </c>
      <c r="C1645" s="58">
        <v>46129.687685185178</v>
      </c>
      <c r="D1645" s="57" t="s">
        <v>1628</v>
      </c>
      <c r="E1645" s="57" t="s">
        <v>1629</v>
      </c>
      <c r="F1645" s="58"/>
      <c r="G1645" s="57" t="s">
        <v>705</v>
      </c>
      <c r="H1645" s="59">
        <v>1</v>
      </c>
      <c r="I1645" s="57"/>
      <c r="J1645" s="57"/>
      <c r="K1645" s="59"/>
      <c r="L1645" s="57"/>
      <c r="M1645" s="60"/>
      <c r="N1645" s="59"/>
      <c r="O1645" s="57"/>
      <c r="P1645" s="57"/>
      <c r="Q1645" s="57"/>
      <c r="R1645" s="57"/>
      <c r="S1645" s="59"/>
      <c r="T1645" s="57"/>
      <c r="U1645" s="60"/>
      <c r="V1645" s="59"/>
      <c r="W1645" s="57"/>
      <c r="X1645" s="57"/>
      <c r="Y1645" s="57" t="s">
        <v>21</v>
      </c>
      <c r="Z1645" s="57" t="s">
        <v>433</v>
      </c>
      <c r="AA1645" s="59">
        <v>3288</v>
      </c>
      <c r="AB1645" s="57" t="s">
        <v>62</v>
      </c>
      <c r="AC1645" s="60"/>
      <c r="AD1645" s="59"/>
      <c r="AE1645" s="57"/>
      <c r="AF1645" s="57" t="s">
        <v>6005</v>
      </c>
    </row>
    <row r="1646" spans="1:32">
      <c r="A1646" s="57">
        <v>1645</v>
      </c>
      <c r="B1646" s="58">
        <v>46129.689733796287</v>
      </c>
      <c r="C1646" s="58">
        <v>46129.695925925917</v>
      </c>
      <c r="D1646" s="57" t="s">
        <v>3219</v>
      </c>
      <c r="E1646" s="57" t="s">
        <v>3220</v>
      </c>
      <c r="F1646" s="58"/>
      <c r="G1646" s="57" t="s">
        <v>717</v>
      </c>
      <c r="H1646" s="59">
        <v>1</v>
      </c>
      <c r="I1646" s="57"/>
      <c r="J1646" s="57"/>
      <c r="K1646" s="59"/>
      <c r="L1646" s="57"/>
      <c r="M1646" s="60"/>
      <c r="N1646" s="59"/>
      <c r="O1646" s="57"/>
      <c r="P1646" s="57"/>
      <c r="Q1646" s="57"/>
      <c r="R1646" s="57"/>
      <c r="S1646" s="59"/>
      <c r="T1646" s="57"/>
      <c r="U1646" s="60"/>
      <c r="V1646" s="59"/>
      <c r="W1646" s="57"/>
      <c r="X1646" s="57"/>
      <c r="Y1646" s="57" t="s">
        <v>20</v>
      </c>
      <c r="Z1646" s="57" t="s">
        <v>450</v>
      </c>
      <c r="AA1646" s="59">
        <v>2462</v>
      </c>
      <c r="AB1646" s="57" t="s">
        <v>62</v>
      </c>
      <c r="AC1646" s="60"/>
      <c r="AD1646" s="59"/>
      <c r="AE1646" s="57"/>
      <c r="AF1646" s="57" t="s">
        <v>6006</v>
      </c>
    </row>
    <row r="1647" spans="1:32">
      <c r="A1647" s="57">
        <v>1646</v>
      </c>
      <c r="B1647" s="58">
        <v>46129.698773148149</v>
      </c>
      <c r="C1647" s="58">
        <v>46129.705682870372</v>
      </c>
      <c r="D1647" s="57" t="s">
        <v>999</v>
      </c>
      <c r="E1647" s="57" t="s">
        <v>1000</v>
      </c>
      <c r="F1647" s="58"/>
      <c r="G1647" s="57" t="s">
        <v>577</v>
      </c>
      <c r="H1647" s="59">
        <v>1</v>
      </c>
      <c r="I1647" s="57"/>
      <c r="J1647" s="57"/>
      <c r="K1647" s="59"/>
      <c r="L1647" s="57"/>
      <c r="M1647" s="60"/>
      <c r="N1647" s="59"/>
      <c r="O1647" s="57"/>
      <c r="P1647" s="57"/>
      <c r="Q1647" s="57"/>
      <c r="R1647" s="57"/>
      <c r="S1647" s="59"/>
      <c r="T1647" s="57"/>
      <c r="U1647" s="60"/>
      <c r="V1647" s="59"/>
      <c r="W1647" s="57"/>
      <c r="X1647" s="57"/>
      <c r="Y1647" s="57" t="s">
        <v>21</v>
      </c>
      <c r="Z1647" s="57" t="s">
        <v>249</v>
      </c>
      <c r="AA1647" s="59">
        <v>22859</v>
      </c>
      <c r="AB1647" s="57" t="s">
        <v>61</v>
      </c>
      <c r="AC1647" s="60">
        <v>46092</v>
      </c>
      <c r="AD1647" s="59">
        <v>22063</v>
      </c>
      <c r="AE1647" s="57" t="s">
        <v>6007</v>
      </c>
      <c r="AF1647" s="57" t="s">
        <v>6008</v>
      </c>
    </row>
    <row r="1648" spans="1:32">
      <c r="A1648" s="57">
        <v>1647</v>
      </c>
      <c r="B1648" s="58">
        <v>46129.723460648151</v>
      </c>
      <c r="C1648" s="58">
        <v>46129.725648148153</v>
      </c>
      <c r="D1648" s="57" t="s">
        <v>1260</v>
      </c>
      <c r="E1648" s="57" t="s">
        <v>1261</v>
      </c>
      <c r="F1648" s="58"/>
      <c r="G1648" s="57" t="s">
        <v>637</v>
      </c>
      <c r="H1648" s="59">
        <v>1</v>
      </c>
      <c r="I1648" s="57"/>
      <c r="J1648" s="57"/>
      <c r="K1648" s="59"/>
      <c r="L1648" s="57"/>
      <c r="M1648" s="60"/>
      <c r="N1648" s="59"/>
      <c r="O1648" s="57"/>
      <c r="P1648" s="57"/>
      <c r="Q1648" s="57"/>
      <c r="R1648" s="57"/>
      <c r="S1648" s="59"/>
      <c r="T1648" s="57"/>
      <c r="U1648" s="60"/>
      <c r="V1648" s="59"/>
      <c r="W1648" s="57"/>
      <c r="X1648" s="57"/>
      <c r="Y1648" s="57" t="s">
        <v>20</v>
      </c>
      <c r="Z1648" s="57" t="s">
        <v>330</v>
      </c>
      <c r="AA1648" s="59">
        <v>35090</v>
      </c>
      <c r="AB1648" s="57" t="s">
        <v>61</v>
      </c>
      <c r="AC1648" s="60">
        <v>46129</v>
      </c>
      <c r="AD1648" s="59">
        <v>35090</v>
      </c>
      <c r="AE1648" s="57" t="s">
        <v>6009</v>
      </c>
      <c r="AF1648" s="57" t="s">
        <v>6010</v>
      </c>
    </row>
    <row r="1649" spans="1:32">
      <c r="A1649" s="57">
        <v>1648</v>
      </c>
      <c r="B1649" s="58">
        <v>46129.749143518522</v>
      </c>
      <c r="C1649" s="58">
        <v>46129.750902777778</v>
      </c>
      <c r="D1649" s="57" t="s">
        <v>1456</v>
      </c>
      <c r="E1649" s="57" t="s">
        <v>1457</v>
      </c>
      <c r="F1649" s="58"/>
      <c r="G1649" s="57" t="s">
        <v>547</v>
      </c>
      <c r="H1649" s="59">
        <v>2</v>
      </c>
      <c r="I1649" s="57"/>
      <c r="J1649" s="57"/>
      <c r="K1649" s="59"/>
      <c r="L1649" s="57"/>
      <c r="M1649" s="60"/>
      <c r="N1649" s="59"/>
      <c r="O1649" s="57"/>
      <c r="P1649" s="57"/>
      <c r="Q1649" s="57" t="s">
        <v>22</v>
      </c>
      <c r="R1649" s="57" t="s">
        <v>225</v>
      </c>
      <c r="S1649" s="59">
        <v>99698</v>
      </c>
      <c r="T1649" s="57" t="s">
        <v>62</v>
      </c>
      <c r="U1649" s="60"/>
      <c r="V1649" s="59"/>
      <c r="W1649" s="57"/>
      <c r="X1649" s="57" t="s">
        <v>6011</v>
      </c>
      <c r="Y1649" s="57" t="s">
        <v>21</v>
      </c>
      <c r="Z1649" s="57" t="s">
        <v>216</v>
      </c>
      <c r="AA1649" s="59">
        <v>6742</v>
      </c>
      <c r="AB1649" s="57" t="s">
        <v>62</v>
      </c>
      <c r="AC1649" s="60"/>
      <c r="AD1649" s="59"/>
      <c r="AE1649" s="57"/>
      <c r="AF1649" s="57" t="s">
        <v>6012</v>
      </c>
    </row>
    <row r="1650" spans="1:32">
      <c r="A1650" s="57">
        <v>1649</v>
      </c>
      <c r="B1650" s="58">
        <v>46129.785138888888</v>
      </c>
      <c r="C1650" s="58">
        <v>46129.844675925917</v>
      </c>
      <c r="D1650" s="57" t="s">
        <v>1135</v>
      </c>
      <c r="E1650" s="57" t="s">
        <v>1136</v>
      </c>
      <c r="F1650" s="58"/>
      <c r="G1650" s="57" t="s">
        <v>453</v>
      </c>
      <c r="H1650" s="59">
        <v>1</v>
      </c>
      <c r="I1650" s="57"/>
      <c r="J1650" s="57"/>
      <c r="K1650" s="59"/>
      <c r="L1650" s="57"/>
      <c r="M1650" s="60"/>
      <c r="N1650" s="59"/>
      <c r="O1650" s="57"/>
      <c r="P1650" s="57"/>
      <c r="Q1650" s="57"/>
      <c r="R1650" s="57"/>
      <c r="S1650" s="59"/>
      <c r="T1650" s="57"/>
      <c r="U1650" s="60"/>
      <c r="V1650" s="59"/>
      <c r="W1650" s="57"/>
      <c r="X1650" s="57"/>
      <c r="Y1650" s="57" t="s">
        <v>21</v>
      </c>
      <c r="Z1650" s="57" t="s">
        <v>119</v>
      </c>
      <c r="AA1650" s="59">
        <v>33011</v>
      </c>
      <c r="AB1650" s="57" t="s">
        <v>62</v>
      </c>
      <c r="AC1650" s="60"/>
      <c r="AD1650" s="59"/>
      <c r="AE1650" s="57"/>
      <c r="AF1650" s="57" t="s">
        <v>6013</v>
      </c>
    </row>
    <row r="1651" spans="1:32">
      <c r="A1651" s="57">
        <v>1650</v>
      </c>
      <c r="B1651" s="58">
        <v>46130.33388888889</v>
      </c>
      <c r="C1651" s="58">
        <v>46130.337337962963</v>
      </c>
      <c r="D1651" s="57" t="s">
        <v>1097</v>
      </c>
      <c r="E1651" s="57" t="s">
        <v>1098</v>
      </c>
      <c r="F1651" s="58"/>
      <c r="G1651" s="57" t="s">
        <v>495</v>
      </c>
      <c r="H1651" s="59">
        <v>1</v>
      </c>
      <c r="I1651" s="57"/>
      <c r="J1651" s="57"/>
      <c r="K1651" s="59"/>
      <c r="L1651" s="57"/>
      <c r="M1651" s="60"/>
      <c r="N1651" s="59"/>
      <c r="O1651" s="57"/>
      <c r="P1651" s="57"/>
      <c r="Q1651" s="57"/>
      <c r="R1651" s="57"/>
      <c r="S1651" s="59"/>
      <c r="T1651" s="57"/>
      <c r="U1651" s="60"/>
      <c r="V1651" s="59"/>
      <c r="W1651" s="57"/>
      <c r="X1651" s="57"/>
      <c r="Y1651" s="57" t="s">
        <v>21</v>
      </c>
      <c r="Z1651" s="57" t="s">
        <v>161</v>
      </c>
      <c r="AA1651" s="59">
        <v>30994</v>
      </c>
      <c r="AB1651" s="57" t="s">
        <v>62</v>
      </c>
      <c r="AC1651" s="60"/>
      <c r="AD1651" s="59"/>
      <c r="AE1651" s="57"/>
      <c r="AF1651" s="57" t="s">
        <v>6014</v>
      </c>
    </row>
    <row r="1652" spans="1:32">
      <c r="A1652" s="57">
        <v>1651</v>
      </c>
      <c r="B1652" s="58">
        <v>46130.325740740736</v>
      </c>
      <c r="C1652" s="58">
        <v>46130.338356481479</v>
      </c>
      <c r="D1652" s="57" t="s">
        <v>1333</v>
      </c>
      <c r="E1652" s="57" t="s">
        <v>1334</v>
      </c>
      <c r="F1652" s="58"/>
      <c r="G1652" s="57" t="s">
        <v>516</v>
      </c>
      <c r="H1652" s="59">
        <v>1</v>
      </c>
      <c r="I1652" s="57"/>
      <c r="J1652" s="57"/>
      <c r="K1652" s="59"/>
      <c r="L1652" s="57"/>
      <c r="M1652" s="60"/>
      <c r="N1652" s="59"/>
      <c r="O1652" s="57"/>
      <c r="P1652" s="57"/>
      <c r="Q1652" s="57"/>
      <c r="R1652" s="57"/>
      <c r="S1652" s="59"/>
      <c r="T1652" s="57"/>
      <c r="U1652" s="60"/>
      <c r="V1652" s="59"/>
      <c r="W1652" s="57"/>
      <c r="X1652" s="57"/>
      <c r="Y1652" s="57" t="s">
        <v>20</v>
      </c>
      <c r="Z1652" s="57" t="s">
        <v>183</v>
      </c>
      <c r="AA1652" s="59">
        <v>57090</v>
      </c>
      <c r="AB1652" s="57" t="s">
        <v>61</v>
      </c>
      <c r="AC1652" s="60">
        <v>46121</v>
      </c>
      <c r="AD1652" s="59">
        <v>56854</v>
      </c>
      <c r="AE1652" s="57" t="s">
        <v>6015</v>
      </c>
      <c r="AF1652" s="57" t="s">
        <v>6016</v>
      </c>
    </row>
    <row r="1653" spans="1:32">
      <c r="A1653" s="57">
        <v>1652</v>
      </c>
      <c r="B1653" s="58">
        <v>46129.440833333327</v>
      </c>
      <c r="C1653" s="58">
        <v>46130.349791666667</v>
      </c>
      <c r="D1653" s="57" t="s">
        <v>1644</v>
      </c>
      <c r="E1653" s="57" t="s">
        <v>1645</v>
      </c>
      <c r="F1653" s="58"/>
      <c r="G1653" s="57" t="s">
        <v>649</v>
      </c>
      <c r="H1653" s="59">
        <v>1</v>
      </c>
      <c r="I1653" s="57"/>
      <c r="J1653" s="57"/>
      <c r="K1653" s="59"/>
      <c r="L1653" s="57"/>
      <c r="M1653" s="60"/>
      <c r="N1653" s="59"/>
      <c r="O1653" s="57"/>
      <c r="P1653" s="57"/>
      <c r="Q1653" s="57"/>
      <c r="R1653" s="57"/>
      <c r="S1653" s="59"/>
      <c r="T1653" s="57"/>
      <c r="U1653" s="60"/>
      <c r="V1653" s="59"/>
      <c r="W1653" s="57"/>
      <c r="X1653" s="57"/>
      <c r="Y1653" s="57" t="s">
        <v>21</v>
      </c>
      <c r="Z1653" s="57" t="s">
        <v>345</v>
      </c>
      <c r="AA1653" s="59">
        <v>12781</v>
      </c>
      <c r="AB1653" s="57" t="s">
        <v>61</v>
      </c>
      <c r="AC1653" s="60">
        <v>45996</v>
      </c>
      <c r="AD1653" s="59">
        <v>9735</v>
      </c>
      <c r="AE1653" s="57" t="s">
        <v>6017</v>
      </c>
      <c r="AF1653" s="57" t="s">
        <v>6018</v>
      </c>
    </row>
    <row r="1654" spans="1:32">
      <c r="A1654" s="57">
        <v>1653</v>
      </c>
      <c r="B1654" s="58">
        <v>46130.353576388887</v>
      </c>
      <c r="C1654" s="58">
        <v>46130.357372685183</v>
      </c>
      <c r="D1654" s="57" t="s">
        <v>3164</v>
      </c>
      <c r="E1654" s="57" t="s">
        <v>3165</v>
      </c>
      <c r="F1654" s="58"/>
      <c r="G1654" s="57" t="s">
        <v>602</v>
      </c>
      <c r="H1654" s="59">
        <v>1</v>
      </c>
      <c r="I1654" s="57"/>
      <c r="J1654" s="57"/>
      <c r="K1654" s="59"/>
      <c r="L1654" s="57"/>
      <c r="M1654" s="60"/>
      <c r="N1654" s="59"/>
      <c r="O1654" s="57"/>
      <c r="P1654" s="57"/>
      <c r="Q1654" s="57"/>
      <c r="R1654" s="57"/>
      <c r="S1654" s="59"/>
      <c r="T1654" s="57"/>
      <c r="U1654" s="60"/>
      <c r="V1654" s="59"/>
      <c r="W1654" s="57"/>
      <c r="X1654" s="57"/>
      <c r="Y1654" s="57" t="s">
        <v>20</v>
      </c>
      <c r="Z1654" s="57" t="s">
        <v>279</v>
      </c>
      <c r="AA1654" s="59">
        <v>23686</v>
      </c>
      <c r="AB1654" s="57" t="s">
        <v>61</v>
      </c>
      <c r="AC1654" s="60">
        <v>45937</v>
      </c>
      <c r="AD1654" s="59">
        <v>31167</v>
      </c>
      <c r="AE1654" s="57" t="s">
        <v>6019</v>
      </c>
      <c r="AF1654" s="57" t="s">
        <v>6020</v>
      </c>
    </row>
    <row r="1655" spans="1:32">
      <c r="A1655" s="57">
        <v>1654</v>
      </c>
      <c r="B1655" s="58">
        <v>46130.343356481477</v>
      </c>
      <c r="C1655" s="58">
        <v>46130.358414351853</v>
      </c>
      <c r="D1655" s="57" t="s">
        <v>5224</v>
      </c>
      <c r="E1655" s="57" t="s">
        <v>5225</v>
      </c>
      <c r="F1655" s="58"/>
      <c r="G1655" s="57" t="s">
        <v>497</v>
      </c>
      <c r="H1655" s="59">
        <v>1</v>
      </c>
      <c r="I1655" s="57"/>
      <c r="J1655" s="57"/>
      <c r="K1655" s="59"/>
      <c r="L1655" s="57"/>
      <c r="M1655" s="60"/>
      <c r="N1655" s="59"/>
      <c r="O1655" s="57"/>
      <c r="P1655" s="57"/>
      <c r="Q1655" s="57"/>
      <c r="R1655" s="57"/>
      <c r="S1655" s="59"/>
      <c r="T1655" s="57"/>
      <c r="U1655" s="60"/>
      <c r="V1655" s="59"/>
      <c r="W1655" s="57"/>
      <c r="X1655" s="57"/>
      <c r="Y1655" s="57" t="s">
        <v>21</v>
      </c>
      <c r="Z1655" s="57" t="s">
        <v>6021</v>
      </c>
      <c r="AA1655" s="59">
        <v>16539</v>
      </c>
      <c r="AB1655" s="57" t="s">
        <v>62</v>
      </c>
      <c r="AC1655" s="60"/>
      <c r="AD1655" s="59"/>
      <c r="AE1655" s="57"/>
      <c r="AF1655" s="57" t="s">
        <v>6022</v>
      </c>
    </row>
    <row r="1656" spans="1:32">
      <c r="A1656" s="57">
        <v>1655</v>
      </c>
      <c r="B1656" s="58">
        <v>46130.3590625</v>
      </c>
      <c r="C1656" s="58">
        <v>46130.366666666669</v>
      </c>
      <c r="D1656" s="57" t="s">
        <v>1309</v>
      </c>
      <c r="E1656" s="57" t="s">
        <v>1310</v>
      </c>
      <c r="F1656" s="58"/>
      <c r="G1656" s="57" t="s">
        <v>613</v>
      </c>
      <c r="H1656" s="59">
        <v>2</v>
      </c>
      <c r="I1656" s="57"/>
      <c r="J1656" s="57"/>
      <c r="K1656" s="59"/>
      <c r="L1656" s="57"/>
      <c r="M1656" s="60"/>
      <c r="N1656" s="59"/>
      <c r="O1656" s="57"/>
      <c r="P1656" s="57"/>
      <c r="Q1656" s="57" t="s">
        <v>22</v>
      </c>
      <c r="R1656" s="57" t="s">
        <v>369</v>
      </c>
      <c r="S1656" s="59">
        <v>26276</v>
      </c>
      <c r="T1656" s="57" t="s">
        <v>62</v>
      </c>
      <c r="U1656" s="60"/>
      <c r="V1656" s="59"/>
      <c r="W1656" s="57"/>
      <c r="X1656" s="57" t="s">
        <v>6023</v>
      </c>
      <c r="Y1656" s="57" t="s">
        <v>21</v>
      </c>
      <c r="Z1656" s="57" t="s">
        <v>293</v>
      </c>
      <c r="AA1656" s="59">
        <v>34546</v>
      </c>
      <c r="AB1656" s="57" t="s">
        <v>61</v>
      </c>
      <c r="AC1656" s="60">
        <v>46122</v>
      </c>
      <c r="AD1656" s="59">
        <v>33839</v>
      </c>
      <c r="AE1656" s="57" t="s">
        <v>6024</v>
      </c>
      <c r="AF1656" s="57" t="s">
        <v>6025</v>
      </c>
    </row>
    <row r="1657" spans="1:32">
      <c r="A1657" s="57">
        <v>1656</v>
      </c>
      <c r="B1657" s="58">
        <v>46130.41547453704</v>
      </c>
      <c r="C1657" s="58">
        <v>46130.423310185193</v>
      </c>
      <c r="D1657" s="57" t="s">
        <v>730</v>
      </c>
      <c r="E1657" s="57" t="s">
        <v>731</v>
      </c>
      <c r="F1657" s="58"/>
      <c r="G1657" s="57" t="s">
        <v>604</v>
      </c>
      <c r="H1657" s="59">
        <v>1</v>
      </c>
      <c r="I1657" s="57"/>
      <c r="J1657" s="57"/>
      <c r="K1657" s="59"/>
      <c r="L1657" s="57"/>
      <c r="M1657" s="60"/>
      <c r="N1657" s="59"/>
      <c r="O1657" s="57"/>
      <c r="P1657" s="57"/>
      <c r="Q1657" s="57"/>
      <c r="R1657" s="57"/>
      <c r="S1657" s="59"/>
      <c r="T1657" s="57"/>
      <c r="U1657" s="60"/>
      <c r="V1657" s="59"/>
      <c r="W1657" s="57"/>
      <c r="X1657" s="57"/>
      <c r="Y1657" s="57" t="s">
        <v>20</v>
      </c>
      <c r="Z1657" s="57" t="s">
        <v>282</v>
      </c>
      <c r="AA1657" s="59">
        <v>47909</v>
      </c>
      <c r="AB1657" s="57" t="s">
        <v>61</v>
      </c>
      <c r="AC1657" s="60">
        <v>46092</v>
      </c>
      <c r="AD1657" s="59">
        <v>45251</v>
      </c>
      <c r="AE1657" s="57" t="s">
        <v>6026</v>
      </c>
      <c r="AF1657" s="57" t="s">
        <v>6027</v>
      </c>
    </row>
    <row r="1658" spans="1:32">
      <c r="A1658" s="57">
        <v>1657</v>
      </c>
      <c r="B1658" s="58">
        <v>46130.427222222221</v>
      </c>
      <c r="C1658" s="58">
        <v>46130.429236111107</v>
      </c>
      <c r="D1658" s="57" t="s">
        <v>1084</v>
      </c>
      <c r="E1658" s="57" t="s">
        <v>1085</v>
      </c>
      <c r="F1658" s="58"/>
      <c r="G1658" s="57" t="s">
        <v>532</v>
      </c>
      <c r="H1658" s="59">
        <v>2</v>
      </c>
      <c r="I1658" s="57"/>
      <c r="J1658" s="57"/>
      <c r="K1658" s="59"/>
      <c r="L1658" s="57"/>
      <c r="M1658" s="60"/>
      <c r="N1658" s="59"/>
      <c r="O1658" s="57"/>
      <c r="P1658" s="57"/>
      <c r="Q1658" s="57" t="s">
        <v>22</v>
      </c>
      <c r="R1658" s="57" t="s">
        <v>200</v>
      </c>
      <c r="S1658" s="59">
        <v>113745</v>
      </c>
      <c r="T1658" s="57" t="s">
        <v>62</v>
      </c>
      <c r="U1658" s="60"/>
      <c r="V1658" s="59"/>
      <c r="W1658" s="57"/>
      <c r="X1658" s="57" t="s">
        <v>6028</v>
      </c>
      <c r="Y1658" s="57" t="s">
        <v>21</v>
      </c>
      <c r="Z1658" s="57" t="s">
        <v>379</v>
      </c>
      <c r="AA1658" s="59">
        <v>16146</v>
      </c>
      <c r="AB1658" s="57" t="s">
        <v>62</v>
      </c>
      <c r="AC1658" s="60"/>
      <c r="AD1658" s="59"/>
      <c r="AE1658" s="57"/>
      <c r="AF1658" s="57" t="s">
        <v>6029</v>
      </c>
    </row>
    <row r="1659" spans="1:32">
      <c r="A1659" s="57">
        <v>1658</v>
      </c>
      <c r="B1659" s="58">
        <v>46130.387881944444</v>
      </c>
      <c r="C1659" s="58">
        <v>46130.435300925928</v>
      </c>
      <c r="D1659" s="57" t="s">
        <v>2180</v>
      </c>
      <c r="E1659" s="57" t="s">
        <v>2181</v>
      </c>
      <c r="F1659" s="58"/>
      <c r="G1659" s="57" t="s">
        <v>590</v>
      </c>
      <c r="H1659" s="59">
        <v>2</v>
      </c>
      <c r="I1659" s="57"/>
      <c r="J1659" s="57"/>
      <c r="K1659" s="59"/>
      <c r="L1659" s="57"/>
      <c r="M1659" s="60"/>
      <c r="N1659" s="59"/>
      <c r="O1659" s="57"/>
      <c r="P1659" s="57"/>
      <c r="Q1659" s="57" t="s">
        <v>22</v>
      </c>
      <c r="R1659" s="57" t="s">
        <v>264</v>
      </c>
      <c r="S1659" s="59">
        <v>36309</v>
      </c>
      <c r="T1659" s="57" t="s">
        <v>62</v>
      </c>
      <c r="U1659" s="60"/>
      <c r="V1659" s="59"/>
      <c r="W1659" s="57"/>
      <c r="X1659" s="57" t="s">
        <v>6030</v>
      </c>
      <c r="Y1659" s="57" t="s">
        <v>20</v>
      </c>
      <c r="Z1659" s="57" t="s">
        <v>382</v>
      </c>
      <c r="AA1659" s="59">
        <v>9490</v>
      </c>
      <c r="AB1659" s="57" t="s">
        <v>62</v>
      </c>
      <c r="AC1659" s="60"/>
      <c r="AD1659" s="59"/>
      <c r="AE1659" s="57"/>
      <c r="AF1659" s="57" t="s">
        <v>6031</v>
      </c>
    </row>
    <row r="1660" spans="1:32">
      <c r="A1660" s="57">
        <v>1659</v>
      </c>
      <c r="B1660" s="58">
        <v>46129.627187500002</v>
      </c>
      <c r="C1660" s="58">
        <v>46130.463043981479</v>
      </c>
      <c r="D1660" s="57" t="s">
        <v>2267</v>
      </c>
      <c r="E1660" s="57" t="s">
        <v>2268</v>
      </c>
      <c r="F1660" s="58"/>
      <c r="G1660" s="57" t="s">
        <v>518</v>
      </c>
      <c r="H1660" s="59">
        <v>2</v>
      </c>
      <c r="I1660" s="57"/>
      <c r="J1660" s="57"/>
      <c r="K1660" s="59"/>
      <c r="L1660" s="57"/>
      <c r="M1660" s="60"/>
      <c r="N1660" s="59"/>
      <c r="O1660" s="57"/>
      <c r="P1660" s="57"/>
      <c r="Q1660" s="57" t="s">
        <v>22</v>
      </c>
      <c r="R1660" s="57" t="s">
        <v>265</v>
      </c>
      <c r="S1660" s="59">
        <v>56985</v>
      </c>
      <c r="T1660" s="57" t="s">
        <v>61</v>
      </c>
      <c r="U1660" s="60">
        <v>46093</v>
      </c>
      <c r="V1660" s="59">
        <v>55</v>
      </c>
      <c r="W1660" s="57" t="s">
        <v>6032</v>
      </c>
      <c r="X1660" s="57" t="s">
        <v>6033</v>
      </c>
      <c r="Y1660" s="57" t="s">
        <v>20</v>
      </c>
      <c r="Z1660" s="57" t="s">
        <v>185</v>
      </c>
      <c r="AA1660" s="59">
        <v>75304</v>
      </c>
      <c r="AB1660" s="57" t="s">
        <v>62</v>
      </c>
      <c r="AC1660" s="60"/>
      <c r="AD1660" s="59"/>
      <c r="AE1660" s="57"/>
      <c r="AF1660" s="57" t="s">
        <v>6034</v>
      </c>
    </row>
    <row r="1661" spans="1:32">
      <c r="A1661" s="57">
        <v>1660</v>
      </c>
      <c r="B1661" s="58">
        <v>46130.771597222221</v>
      </c>
      <c r="C1661" s="58">
        <v>46130.784097222233</v>
      </c>
      <c r="D1661" s="57" t="s">
        <v>1445</v>
      </c>
      <c r="E1661" s="57" t="s">
        <v>1446</v>
      </c>
      <c r="F1661" s="58"/>
      <c r="G1661" s="57" t="s">
        <v>596</v>
      </c>
      <c r="H1661" s="59">
        <v>2</v>
      </c>
      <c r="I1661" s="57"/>
      <c r="J1661" s="57"/>
      <c r="K1661" s="59"/>
      <c r="L1661" s="57"/>
      <c r="M1661" s="60"/>
      <c r="N1661" s="59"/>
      <c r="O1661" s="57"/>
      <c r="P1661" s="57"/>
      <c r="Q1661" s="57" t="s">
        <v>22</v>
      </c>
      <c r="R1661" s="57" t="s">
        <v>401</v>
      </c>
      <c r="S1661" s="59">
        <v>19146</v>
      </c>
      <c r="T1661" s="57" t="s">
        <v>62</v>
      </c>
      <c r="U1661" s="60"/>
      <c r="V1661" s="59"/>
      <c r="W1661" s="57"/>
      <c r="X1661" s="57" t="s">
        <v>6035</v>
      </c>
      <c r="Y1661" s="57" t="s">
        <v>21</v>
      </c>
      <c r="Z1661" s="57" t="s">
        <v>272</v>
      </c>
      <c r="AA1661" s="59">
        <v>22322</v>
      </c>
      <c r="AB1661" s="57" t="s">
        <v>61</v>
      </c>
      <c r="AC1661" s="60">
        <v>46123</v>
      </c>
      <c r="AD1661" s="59">
        <v>31121</v>
      </c>
      <c r="AE1661" s="57" t="s">
        <v>6036</v>
      </c>
      <c r="AF1661" s="57" t="s">
        <v>6037</v>
      </c>
    </row>
    <row r="1662" spans="1:32">
      <c r="A1662" s="57">
        <v>1661</v>
      </c>
      <c r="B1662" s="58">
        <v>46132.308425925927</v>
      </c>
      <c r="C1662" s="58">
        <v>46132.312442129631</v>
      </c>
      <c r="D1662" s="57" t="s">
        <v>1802</v>
      </c>
      <c r="E1662" s="57" t="s">
        <v>1803</v>
      </c>
      <c r="F1662" s="58"/>
      <c r="G1662" s="57" t="s">
        <v>535</v>
      </c>
      <c r="H1662" s="59">
        <v>2</v>
      </c>
      <c r="I1662" s="57"/>
      <c r="J1662" s="57"/>
      <c r="K1662" s="59"/>
      <c r="L1662" s="57"/>
      <c r="M1662" s="60"/>
      <c r="N1662" s="59"/>
      <c r="O1662" s="57"/>
      <c r="P1662" s="57"/>
      <c r="Q1662" s="57" t="s">
        <v>22</v>
      </c>
      <c r="R1662" s="57" t="s">
        <v>209</v>
      </c>
      <c r="S1662" s="59">
        <v>94270</v>
      </c>
      <c r="T1662" s="57" t="s">
        <v>61</v>
      </c>
      <c r="U1662" s="60">
        <v>46118</v>
      </c>
      <c r="V1662" s="59">
        <v>93018</v>
      </c>
      <c r="W1662" s="57" t="s">
        <v>6038</v>
      </c>
      <c r="X1662" s="57" t="s">
        <v>6039</v>
      </c>
      <c r="Y1662" s="57" t="s">
        <v>20</v>
      </c>
      <c r="Z1662" s="57" t="s">
        <v>203</v>
      </c>
      <c r="AA1662" s="59">
        <v>24114</v>
      </c>
      <c r="AB1662" s="57" t="s">
        <v>61</v>
      </c>
      <c r="AC1662" s="60">
        <v>46129</v>
      </c>
      <c r="AD1662" s="59">
        <v>24114</v>
      </c>
      <c r="AE1662" s="57" t="s">
        <v>6040</v>
      </c>
      <c r="AF1662" s="57" t="s">
        <v>6041</v>
      </c>
    </row>
    <row r="1663" spans="1:32">
      <c r="A1663" s="57">
        <v>1662</v>
      </c>
      <c r="B1663" s="58">
        <v>46132.32304398148</v>
      </c>
      <c r="C1663" s="58">
        <v>46132.323912037027</v>
      </c>
      <c r="D1663" s="57" t="s">
        <v>3573</v>
      </c>
      <c r="E1663" s="57" t="s">
        <v>3574</v>
      </c>
      <c r="F1663" s="58"/>
      <c r="G1663" s="57" t="s">
        <v>587</v>
      </c>
      <c r="H1663" s="59">
        <v>1</v>
      </c>
      <c r="I1663" s="57"/>
      <c r="J1663" s="57"/>
      <c r="K1663" s="59"/>
      <c r="L1663" s="57"/>
      <c r="M1663" s="60"/>
      <c r="N1663" s="59"/>
      <c r="O1663" s="57"/>
      <c r="P1663" s="57"/>
      <c r="Q1663" s="57"/>
      <c r="R1663" s="57"/>
      <c r="S1663" s="59"/>
      <c r="T1663" s="57"/>
      <c r="U1663" s="60"/>
      <c r="V1663" s="59"/>
      <c r="W1663" s="57"/>
      <c r="X1663" s="57"/>
      <c r="Y1663" s="57" t="s">
        <v>21</v>
      </c>
      <c r="Z1663" s="57" t="s">
        <v>261</v>
      </c>
      <c r="AA1663" s="59">
        <v>38747</v>
      </c>
      <c r="AB1663" s="57" t="s">
        <v>62</v>
      </c>
      <c r="AC1663" s="60"/>
      <c r="AD1663" s="59"/>
      <c r="AE1663" s="57"/>
      <c r="AF1663" s="57" t="s">
        <v>6042</v>
      </c>
    </row>
    <row r="1664" spans="1:32">
      <c r="A1664" s="57">
        <v>1663</v>
      </c>
      <c r="B1664" s="58">
        <v>46132.365729166668</v>
      </c>
      <c r="C1664" s="58">
        <v>46132.370312500003</v>
      </c>
      <c r="D1664" s="57" t="s">
        <v>2040</v>
      </c>
      <c r="E1664" s="57" t="s">
        <v>2041</v>
      </c>
      <c r="F1664" s="58"/>
      <c r="G1664" s="57" t="s">
        <v>573</v>
      </c>
      <c r="H1664" s="59">
        <v>2</v>
      </c>
      <c r="I1664" s="57"/>
      <c r="J1664" s="57"/>
      <c r="K1664" s="59"/>
      <c r="L1664" s="57"/>
      <c r="M1664" s="60"/>
      <c r="N1664" s="59"/>
      <c r="O1664" s="57"/>
      <c r="P1664" s="57"/>
      <c r="Q1664" s="57" t="s">
        <v>22</v>
      </c>
      <c r="R1664" s="57" t="s">
        <v>245</v>
      </c>
      <c r="S1664" s="59">
        <v>37567</v>
      </c>
      <c r="T1664" s="57" t="s">
        <v>62</v>
      </c>
      <c r="U1664" s="60"/>
      <c r="V1664" s="59"/>
      <c r="W1664" s="57"/>
      <c r="X1664" s="57" t="s">
        <v>6043</v>
      </c>
      <c r="Y1664" s="57" t="s">
        <v>21</v>
      </c>
      <c r="Z1664" s="57" t="s">
        <v>449</v>
      </c>
      <c r="AA1664" s="59">
        <v>2783</v>
      </c>
      <c r="AB1664" s="57" t="s">
        <v>62</v>
      </c>
      <c r="AC1664" s="60"/>
      <c r="AD1664" s="59"/>
      <c r="AE1664" s="57"/>
      <c r="AF1664" s="57" t="s">
        <v>6044</v>
      </c>
    </row>
    <row r="1665" spans="1:32">
      <c r="A1665" s="57">
        <v>1664</v>
      </c>
      <c r="B1665" s="58">
        <v>46132.402407407397</v>
      </c>
      <c r="C1665" s="58">
        <v>46132.404467592591</v>
      </c>
      <c r="D1665" s="57" t="s">
        <v>1014</v>
      </c>
      <c r="E1665" s="57" t="s">
        <v>1015</v>
      </c>
      <c r="F1665" s="58"/>
      <c r="G1665" s="57" t="s">
        <v>623</v>
      </c>
      <c r="H1665" s="59">
        <v>1</v>
      </c>
      <c r="I1665" s="57"/>
      <c r="J1665" s="57"/>
      <c r="K1665" s="59"/>
      <c r="L1665" s="57"/>
      <c r="M1665" s="60"/>
      <c r="N1665" s="59"/>
      <c r="O1665" s="57"/>
      <c r="P1665" s="57"/>
      <c r="Q1665" s="57"/>
      <c r="R1665" s="57"/>
      <c r="S1665" s="59"/>
      <c r="T1665" s="57"/>
      <c r="U1665" s="60"/>
      <c r="V1665" s="59"/>
      <c r="W1665" s="57"/>
      <c r="X1665" s="57"/>
      <c r="Y1665" s="57" t="s">
        <v>20</v>
      </c>
      <c r="Z1665" s="57" t="s">
        <v>305</v>
      </c>
      <c r="AA1665" s="59">
        <v>42417</v>
      </c>
      <c r="AB1665" s="57" t="s">
        <v>61</v>
      </c>
      <c r="AC1665" s="60">
        <v>46127</v>
      </c>
      <c r="AD1665" s="59">
        <v>42366</v>
      </c>
      <c r="AE1665" s="57" t="s">
        <v>6045</v>
      </c>
      <c r="AF1665" s="57" t="s">
        <v>6046</v>
      </c>
    </row>
    <row r="1666" spans="1:32">
      <c r="A1666" s="57">
        <v>1665</v>
      </c>
      <c r="B1666" s="58">
        <v>46132.429293981477</v>
      </c>
      <c r="C1666" s="58">
        <v>46132.43440972222</v>
      </c>
      <c r="D1666" s="57" t="s">
        <v>6047</v>
      </c>
      <c r="E1666" s="57" t="s">
        <v>6048</v>
      </c>
      <c r="F1666" s="58"/>
      <c r="G1666" s="57" t="s">
        <v>698</v>
      </c>
      <c r="H1666" s="59">
        <v>2</v>
      </c>
      <c r="I1666" s="57"/>
      <c r="J1666" s="57"/>
      <c r="K1666" s="59"/>
      <c r="L1666" s="57"/>
      <c r="M1666" s="60"/>
      <c r="N1666" s="59"/>
      <c r="O1666" s="57"/>
      <c r="P1666" s="57"/>
      <c r="Q1666" s="57" t="s">
        <v>20</v>
      </c>
      <c r="R1666" s="57" t="s">
        <v>427</v>
      </c>
      <c r="S1666" s="59">
        <v>4938</v>
      </c>
      <c r="T1666" s="57" t="s">
        <v>62</v>
      </c>
      <c r="U1666" s="60"/>
      <c r="V1666" s="59"/>
      <c r="W1666" s="57"/>
      <c r="X1666" s="57" t="s">
        <v>6049</v>
      </c>
      <c r="Y1666" s="57" t="s">
        <v>22</v>
      </c>
      <c r="Z1666" s="57" t="s">
        <v>422</v>
      </c>
      <c r="AA1666" s="59">
        <v>7</v>
      </c>
      <c r="AB1666" s="57" t="s">
        <v>62</v>
      </c>
      <c r="AC1666" s="60"/>
      <c r="AD1666" s="59"/>
      <c r="AE1666" s="57"/>
      <c r="AF1666" s="57" t="s">
        <v>6050</v>
      </c>
    </row>
    <row r="1667" spans="1:32">
      <c r="A1667" s="57">
        <v>1666</v>
      </c>
      <c r="B1667" s="58">
        <v>46132.404224537036</v>
      </c>
      <c r="C1667" s="58">
        <v>46132.450856481482</v>
      </c>
      <c r="D1667" s="57" t="s">
        <v>1114</v>
      </c>
      <c r="E1667" s="57" t="s">
        <v>1115</v>
      </c>
      <c r="F1667" s="58"/>
      <c r="G1667" s="57" t="s">
        <v>597</v>
      </c>
      <c r="H1667" s="59">
        <v>2</v>
      </c>
      <c r="I1667" s="57"/>
      <c r="J1667" s="57"/>
      <c r="K1667" s="59"/>
      <c r="L1667" s="57"/>
      <c r="M1667" s="60"/>
      <c r="N1667" s="59"/>
      <c r="O1667" s="57"/>
      <c r="P1667" s="57"/>
      <c r="Q1667" s="57" t="s">
        <v>22</v>
      </c>
      <c r="R1667" s="57" t="s">
        <v>273</v>
      </c>
      <c r="S1667" s="59">
        <v>59286</v>
      </c>
      <c r="T1667" s="57" t="s">
        <v>62</v>
      </c>
      <c r="U1667" s="60"/>
      <c r="V1667" s="59"/>
      <c r="W1667" s="57"/>
      <c r="X1667" s="57" t="s">
        <v>6051</v>
      </c>
      <c r="Y1667" s="57" t="s">
        <v>21</v>
      </c>
      <c r="Z1667" s="57" t="s">
        <v>324</v>
      </c>
      <c r="AA1667" s="59">
        <v>18440</v>
      </c>
      <c r="AB1667" s="57" t="s">
        <v>61</v>
      </c>
      <c r="AC1667" s="60">
        <v>46129</v>
      </c>
      <c r="AD1667" s="59">
        <v>18385</v>
      </c>
      <c r="AE1667" s="57" t="s">
        <v>6052</v>
      </c>
      <c r="AF1667" s="57" t="s">
        <v>6053</v>
      </c>
    </row>
    <row r="1668" spans="1:32">
      <c r="A1668" s="57">
        <v>1667</v>
      </c>
      <c r="B1668" s="58">
        <v>46132.487685185188</v>
      </c>
      <c r="C1668" s="58">
        <v>46132.489699074067</v>
      </c>
      <c r="D1668" s="57" t="s">
        <v>1276</v>
      </c>
      <c r="E1668" s="57" t="s">
        <v>1277</v>
      </c>
      <c r="F1668" s="58"/>
      <c r="G1668" s="57" t="s">
        <v>668</v>
      </c>
      <c r="H1668" s="59">
        <v>1</v>
      </c>
      <c r="I1668" s="57"/>
      <c r="J1668" s="57"/>
      <c r="K1668" s="59"/>
      <c r="L1668" s="57"/>
      <c r="M1668" s="60"/>
      <c r="N1668" s="59"/>
      <c r="O1668" s="57"/>
      <c r="P1668" s="57"/>
      <c r="Q1668" s="57"/>
      <c r="R1668" s="57"/>
      <c r="S1668" s="59"/>
      <c r="T1668" s="57"/>
      <c r="U1668" s="60"/>
      <c r="V1668" s="59"/>
      <c r="W1668" s="57"/>
      <c r="X1668" s="57"/>
      <c r="Y1668" s="57" t="s">
        <v>20</v>
      </c>
      <c r="Z1668" s="57" t="s">
        <v>378</v>
      </c>
      <c r="AA1668" s="59">
        <v>17624</v>
      </c>
      <c r="AB1668" s="57" t="s">
        <v>61</v>
      </c>
      <c r="AC1668" s="60">
        <v>46090</v>
      </c>
      <c r="AD1668" s="59">
        <v>15598</v>
      </c>
      <c r="AE1668" s="57" t="s">
        <v>6054</v>
      </c>
      <c r="AF1668" s="57" t="s">
        <v>6055</v>
      </c>
    </row>
    <row r="1669" spans="1:32">
      <c r="A1669" s="57">
        <v>1668</v>
      </c>
      <c r="B1669" s="58">
        <v>46132.596909722219</v>
      </c>
      <c r="C1669" s="58">
        <v>46132.602708333332</v>
      </c>
      <c r="D1669" s="57" t="s">
        <v>1760</v>
      </c>
      <c r="E1669" s="57" t="s">
        <v>1761</v>
      </c>
      <c r="F1669" s="58"/>
      <c r="G1669" s="57" t="s">
        <v>488</v>
      </c>
      <c r="H1669" s="59">
        <v>1</v>
      </c>
      <c r="I1669" s="57"/>
      <c r="J1669" s="57"/>
      <c r="K1669" s="59"/>
      <c r="L1669" s="57"/>
      <c r="M1669" s="60"/>
      <c r="N1669" s="59"/>
      <c r="O1669" s="57"/>
      <c r="P1669" s="57"/>
      <c r="Q1669" s="57"/>
      <c r="R1669" s="57"/>
      <c r="S1669" s="59"/>
      <c r="T1669" s="57"/>
      <c r="U1669" s="60"/>
      <c r="V1669" s="59"/>
      <c r="W1669" s="57"/>
      <c r="X1669" s="57"/>
      <c r="Y1669" s="57" t="s">
        <v>21</v>
      </c>
      <c r="Z1669" s="57" t="s">
        <v>154</v>
      </c>
      <c r="AA1669" s="59">
        <v>45827</v>
      </c>
      <c r="AB1669" s="57" t="s">
        <v>62</v>
      </c>
      <c r="AC1669" s="60"/>
      <c r="AD1669" s="59"/>
      <c r="AE1669" s="57"/>
      <c r="AF1669" s="57" t="s">
        <v>6056</v>
      </c>
    </row>
    <row r="1670" spans="1:32">
      <c r="A1670" s="57">
        <v>1669</v>
      </c>
      <c r="B1670" s="58">
        <v>46132.601990740739</v>
      </c>
      <c r="C1670" s="58">
        <v>46132.604120370372</v>
      </c>
      <c r="D1670" s="57" t="s">
        <v>5238</v>
      </c>
      <c r="E1670" s="57" t="s">
        <v>5239</v>
      </c>
      <c r="F1670" s="58"/>
      <c r="G1670" s="57" t="s">
        <v>685</v>
      </c>
      <c r="H1670" s="59">
        <v>1</v>
      </c>
      <c r="I1670" s="57"/>
      <c r="J1670" s="57"/>
      <c r="K1670" s="59"/>
      <c r="L1670" s="57"/>
      <c r="M1670" s="60"/>
      <c r="N1670" s="59"/>
      <c r="O1670" s="57"/>
      <c r="P1670" s="57"/>
      <c r="Q1670" s="57"/>
      <c r="R1670" s="57"/>
      <c r="S1670" s="59"/>
      <c r="T1670" s="57"/>
      <c r="U1670" s="60"/>
      <c r="V1670" s="59"/>
      <c r="W1670" s="57"/>
      <c r="X1670" s="57"/>
      <c r="Y1670" s="57" t="s">
        <v>20</v>
      </c>
      <c r="Z1670" s="57" t="s">
        <v>403</v>
      </c>
      <c r="AA1670" s="59">
        <v>4667</v>
      </c>
      <c r="AB1670" s="57" t="s">
        <v>61</v>
      </c>
      <c r="AC1670" s="60">
        <v>46092</v>
      </c>
      <c r="AD1670" s="59">
        <v>4194</v>
      </c>
      <c r="AE1670" s="57" t="s">
        <v>6057</v>
      </c>
      <c r="AF1670" s="57" t="s">
        <v>6058</v>
      </c>
    </row>
    <row r="1671" spans="1:32">
      <c r="A1671" s="57">
        <v>1670</v>
      </c>
      <c r="B1671" s="58">
        <v>46132.598506944443</v>
      </c>
      <c r="C1671" s="58">
        <v>46132.60733796296</v>
      </c>
      <c r="D1671" s="57" t="s">
        <v>2867</v>
      </c>
      <c r="E1671" s="57" t="s">
        <v>2868</v>
      </c>
      <c r="F1671" s="58"/>
      <c r="G1671" s="57" t="s">
        <v>676</v>
      </c>
      <c r="H1671" s="59">
        <v>1</v>
      </c>
      <c r="I1671" s="57"/>
      <c r="J1671" s="57"/>
      <c r="K1671" s="59"/>
      <c r="L1671" s="57"/>
      <c r="M1671" s="60"/>
      <c r="N1671" s="59"/>
      <c r="O1671" s="57"/>
      <c r="P1671" s="57"/>
      <c r="Q1671" s="57"/>
      <c r="R1671" s="57"/>
      <c r="S1671" s="59"/>
      <c r="T1671" s="57"/>
      <c r="U1671" s="60"/>
      <c r="V1671" s="59"/>
      <c r="W1671" s="57"/>
      <c r="X1671" s="57"/>
      <c r="Y1671" s="57" t="s">
        <v>20</v>
      </c>
      <c r="Z1671" s="57" t="s">
        <v>389</v>
      </c>
      <c r="AA1671" s="59">
        <v>18408</v>
      </c>
      <c r="AB1671" s="57" t="s">
        <v>61</v>
      </c>
      <c r="AC1671" s="60">
        <v>46125</v>
      </c>
      <c r="AD1671" s="59">
        <v>17632</v>
      </c>
      <c r="AE1671" s="57" t="s">
        <v>6059</v>
      </c>
      <c r="AF1671" s="57" t="s">
        <v>6060</v>
      </c>
    </row>
    <row r="1672" spans="1:32">
      <c r="A1672" s="57">
        <v>1671</v>
      </c>
      <c r="B1672" s="58">
        <v>46132.603761574072</v>
      </c>
      <c r="C1672" s="58">
        <v>46132.608032407406</v>
      </c>
      <c r="D1672" s="57" t="s">
        <v>4177</v>
      </c>
      <c r="E1672" s="57" t="s">
        <v>4178</v>
      </c>
      <c r="F1672" s="58"/>
      <c r="G1672" s="57" t="s">
        <v>499</v>
      </c>
      <c r="H1672" s="59">
        <v>2</v>
      </c>
      <c r="I1672" s="57"/>
      <c r="J1672" s="57"/>
      <c r="K1672" s="59"/>
      <c r="L1672" s="57"/>
      <c r="M1672" s="60"/>
      <c r="N1672" s="59"/>
      <c r="O1672" s="57"/>
      <c r="P1672" s="57"/>
      <c r="Q1672" s="57" t="s">
        <v>21</v>
      </c>
      <c r="R1672" s="57" t="s">
        <v>428</v>
      </c>
      <c r="S1672" s="59">
        <v>3070</v>
      </c>
      <c r="T1672" s="57" t="s">
        <v>62</v>
      </c>
      <c r="U1672" s="60"/>
      <c r="V1672" s="59"/>
      <c r="W1672" s="57"/>
      <c r="X1672" s="57" t="s">
        <v>6061</v>
      </c>
      <c r="Y1672" s="57" t="s">
        <v>22</v>
      </c>
      <c r="Z1672" s="57" t="s">
        <v>165</v>
      </c>
      <c r="AA1672" s="59">
        <v>38989</v>
      </c>
      <c r="AB1672" s="57" t="s">
        <v>61</v>
      </c>
      <c r="AC1672" s="60">
        <v>46126</v>
      </c>
      <c r="AD1672" s="59">
        <v>38797</v>
      </c>
      <c r="AE1672" s="57" t="s">
        <v>6062</v>
      </c>
      <c r="AF1672" s="57" t="s">
        <v>6063</v>
      </c>
    </row>
    <row r="1673" spans="1:32">
      <c r="A1673" s="57">
        <v>1672</v>
      </c>
      <c r="B1673" s="58">
        <v>46132.623136574082</v>
      </c>
      <c r="C1673" s="58">
        <v>46132.623703703714</v>
      </c>
      <c r="D1673" s="57" t="s">
        <v>2613</v>
      </c>
      <c r="E1673" s="57" t="s">
        <v>2614</v>
      </c>
      <c r="F1673" s="58"/>
      <c r="G1673" s="57" t="s">
        <v>482</v>
      </c>
      <c r="H1673" s="59">
        <v>2</v>
      </c>
      <c r="I1673" s="57"/>
      <c r="J1673" s="57"/>
      <c r="K1673" s="59"/>
      <c r="L1673" s="57"/>
      <c r="M1673" s="60"/>
      <c r="N1673" s="59"/>
      <c r="O1673" s="57"/>
      <c r="P1673" s="57"/>
      <c r="Q1673" s="57" t="s">
        <v>22</v>
      </c>
      <c r="R1673" s="57" t="s">
        <v>5708</v>
      </c>
      <c r="S1673" s="59">
        <v>2139</v>
      </c>
      <c r="T1673" s="57" t="s">
        <v>62</v>
      </c>
      <c r="U1673" s="60"/>
      <c r="V1673" s="59"/>
      <c r="W1673" s="57"/>
      <c r="X1673" s="57" t="s">
        <v>6064</v>
      </c>
      <c r="Y1673" s="57" t="s">
        <v>21</v>
      </c>
      <c r="Z1673" s="57" t="s">
        <v>316</v>
      </c>
      <c r="AA1673" s="59">
        <v>11786</v>
      </c>
      <c r="AB1673" s="57" t="s">
        <v>62</v>
      </c>
      <c r="AC1673" s="60"/>
      <c r="AD1673" s="59"/>
      <c r="AE1673" s="57"/>
      <c r="AF1673" s="57" t="s">
        <v>6065</v>
      </c>
    </row>
    <row r="1674" spans="1:32">
      <c r="A1674" s="57">
        <v>1673</v>
      </c>
      <c r="B1674" s="58">
        <v>46132.665648148148</v>
      </c>
      <c r="C1674" s="58">
        <v>46132.668726851851</v>
      </c>
      <c r="D1674" s="57" t="s">
        <v>765</v>
      </c>
      <c r="E1674" s="57" t="s">
        <v>766</v>
      </c>
      <c r="F1674" s="58"/>
      <c r="G1674" s="57" t="s">
        <v>458</v>
      </c>
      <c r="H1674" s="59">
        <v>1</v>
      </c>
      <c r="I1674" s="57"/>
      <c r="J1674" s="57"/>
      <c r="K1674" s="59"/>
      <c r="L1674" s="57"/>
      <c r="M1674" s="60"/>
      <c r="N1674" s="59"/>
      <c r="O1674" s="57"/>
      <c r="P1674" s="57"/>
      <c r="Q1674" s="57"/>
      <c r="R1674" s="57"/>
      <c r="S1674" s="59"/>
      <c r="T1674" s="57"/>
      <c r="U1674" s="60"/>
      <c r="V1674" s="59"/>
      <c r="W1674" s="57"/>
      <c r="X1674" s="57"/>
      <c r="Y1674" s="57" t="s">
        <v>21</v>
      </c>
      <c r="Z1674" s="57" t="s">
        <v>124</v>
      </c>
      <c r="AA1674" s="59">
        <v>36641</v>
      </c>
      <c r="AB1674" s="57" t="s">
        <v>61</v>
      </c>
      <c r="AC1674" s="60">
        <v>46132</v>
      </c>
      <c r="AD1674" s="59">
        <v>36641</v>
      </c>
      <c r="AE1674" s="57" t="s">
        <v>6066</v>
      </c>
      <c r="AF1674" s="57" t="s">
        <v>6067</v>
      </c>
    </row>
    <row r="1675" spans="1:32">
      <c r="A1675" s="57">
        <v>1674</v>
      </c>
      <c r="B1675" s="58">
        <v>46132.681608796287</v>
      </c>
      <c r="C1675" s="58">
        <v>46132.684120370373</v>
      </c>
      <c r="D1675" s="57" t="s">
        <v>1105</v>
      </c>
      <c r="E1675" s="57" t="s">
        <v>1106</v>
      </c>
      <c r="F1675" s="58"/>
      <c r="G1675" s="57" t="s">
        <v>652</v>
      </c>
      <c r="H1675" s="59">
        <v>1</v>
      </c>
      <c r="I1675" s="57"/>
      <c r="J1675" s="57"/>
      <c r="K1675" s="59"/>
      <c r="L1675" s="57"/>
      <c r="M1675" s="60"/>
      <c r="N1675" s="59"/>
      <c r="O1675" s="57"/>
      <c r="P1675" s="57"/>
      <c r="Q1675" s="57"/>
      <c r="R1675" s="57"/>
      <c r="S1675" s="59"/>
      <c r="T1675" s="57"/>
      <c r="U1675" s="60"/>
      <c r="V1675" s="59"/>
      <c r="W1675" s="57"/>
      <c r="X1675" s="57"/>
      <c r="Y1675" s="57" t="s">
        <v>21</v>
      </c>
      <c r="Z1675" s="57" t="s">
        <v>350</v>
      </c>
      <c r="AA1675" s="59">
        <v>14161</v>
      </c>
      <c r="AB1675" s="57" t="s">
        <v>62</v>
      </c>
      <c r="AC1675" s="60"/>
      <c r="AD1675" s="59"/>
      <c r="AE1675" s="57"/>
      <c r="AF1675" s="57" t="s">
        <v>6068</v>
      </c>
    </row>
    <row r="1676" spans="1:32">
      <c r="A1676" s="57">
        <v>1675</v>
      </c>
      <c r="B1676" s="58">
        <v>46132.725798611107</v>
      </c>
      <c r="C1676" s="58">
        <v>46132.730451388888</v>
      </c>
      <c r="D1676" s="57" t="s">
        <v>1542</v>
      </c>
      <c r="E1676" s="57" t="s">
        <v>1543</v>
      </c>
      <c r="F1676" s="58"/>
      <c r="G1676" s="57" t="s">
        <v>606</v>
      </c>
      <c r="H1676" s="59">
        <v>2</v>
      </c>
      <c r="I1676" s="57"/>
      <c r="J1676" s="57"/>
      <c r="K1676" s="59"/>
      <c r="L1676" s="57"/>
      <c r="M1676" s="60"/>
      <c r="N1676" s="59"/>
      <c r="O1676" s="57"/>
      <c r="P1676" s="57"/>
      <c r="Q1676" s="57" t="s">
        <v>21</v>
      </c>
      <c r="R1676" s="57" t="s">
        <v>364</v>
      </c>
      <c r="S1676" s="59">
        <v>27505</v>
      </c>
      <c r="T1676" s="57" t="s">
        <v>61</v>
      </c>
      <c r="U1676" s="60">
        <v>46127</v>
      </c>
      <c r="V1676" s="59">
        <v>27505</v>
      </c>
      <c r="W1676" s="57" t="s">
        <v>6069</v>
      </c>
      <c r="X1676" s="57" t="s">
        <v>6070</v>
      </c>
      <c r="Y1676" s="57" t="s">
        <v>22</v>
      </c>
      <c r="Z1676" s="57" t="s">
        <v>284</v>
      </c>
      <c r="AA1676" s="59">
        <v>21089</v>
      </c>
      <c r="AB1676" s="57" t="s">
        <v>62</v>
      </c>
      <c r="AC1676" s="60"/>
      <c r="AD1676" s="59"/>
      <c r="AE1676" s="57"/>
      <c r="AF1676" s="57" t="s">
        <v>6071</v>
      </c>
    </row>
    <row r="1677" spans="1:32">
      <c r="A1677" s="57">
        <v>1676</v>
      </c>
      <c r="B1677" s="58">
        <v>46132.373680555553</v>
      </c>
      <c r="C1677" s="58">
        <v>46132.795520833337</v>
      </c>
      <c r="D1677" s="57" t="s">
        <v>1787</v>
      </c>
      <c r="E1677" s="57" t="s">
        <v>1788</v>
      </c>
      <c r="F1677" s="58"/>
      <c r="G1677" s="57" t="s">
        <v>496</v>
      </c>
      <c r="H1677" s="59">
        <v>2</v>
      </c>
      <c r="I1677" s="57"/>
      <c r="J1677" s="57"/>
      <c r="K1677" s="59"/>
      <c r="L1677" s="57"/>
      <c r="M1677" s="60"/>
      <c r="N1677" s="59"/>
      <c r="O1677" s="57"/>
      <c r="P1677" s="57"/>
      <c r="Q1677" s="57" t="s">
        <v>20</v>
      </c>
      <c r="R1677" s="57" t="s">
        <v>162</v>
      </c>
      <c r="S1677" s="59">
        <v>39274</v>
      </c>
      <c r="T1677" s="57" t="s">
        <v>62</v>
      </c>
      <c r="U1677" s="60"/>
      <c r="V1677" s="59"/>
      <c r="W1677" s="57"/>
      <c r="X1677" s="57" t="s">
        <v>6072</v>
      </c>
      <c r="Y1677" s="57" t="s">
        <v>22</v>
      </c>
      <c r="Z1677" s="57" t="s">
        <v>6073</v>
      </c>
      <c r="AA1677" s="59">
        <v>3669</v>
      </c>
      <c r="AB1677" s="57" t="s">
        <v>62</v>
      </c>
      <c r="AC1677" s="60"/>
      <c r="AD1677" s="59"/>
      <c r="AE1677" s="57"/>
      <c r="AF1677" s="57" t="s">
        <v>6074</v>
      </c>
    </row>
    <row r="1678" spans="1:32">
      <c r="A1678" s="57">
        <v>1677</v>
      </c>
      <c r="B1678" s="58">
        <v>46132.850034722222</v>
      </c>
      <c r="C1678" s="58">
        <v>46132.875810185193</v>
      </c>
      <c r="D1678" s="57" t="s">
        <v>1159</v>
      </c>
      <c r="E1678" s="57" t="s">
        <v>1160</v>
      </c>
      <c r="F1678" s="58"/>
      <c r="G1678" s="57" t="s">
        <v>551</v>
      </c>
      <c r="H1678" s="59">
        <v>1</v>
      </c>
      <c r="I1678" s="57"/>
      <c r="J1678" s="57"/>
      <c r="K1678" s="59"/>
      <c r="L1678" s="57"/>
      <c r="M1678" s="60"/>
      <c r="N1678" s="59"/>
      <c r="O1678" s="57"/>
      <c r="P1678" s="57"/>
      <c r="Q1678" s="57"/>
      <c r="R1678" s="57"/>
      <c r="S1678" s="59"/>
      <c r="T1678" s="57"/>
      <c r="U1678" s="60"/>
      <c r="V1678" s="59"/>
      <c r="W1678" s="57"/>
      <c r="X1678" s="57"/>
      <c r="Y1678" s="57" t="s">
        <v>20</v>
      </c>
      <c r="Z1678" s="57" t="s">
        <v>220</v>
      </c>
      <c r="AA1678" s="59">
        <v>46508</v>
      </c>
      <c r="AB1678" s="57" t="s">
        <v>61</v>
      </c>
      <c r="AC1678" s="60">
        <v>46132</v>
      </c>
      <c r="AD1678" s="59">
        <v>46488</v>
      </c>
      <c r="AE1678" s="57" t="s">
        <v>6075</v>
      </c>
      <c r="AF1678" s="57" t="s">
        <v>6076</v>
      </c>
    </row>
    <row r="1679" spans="1:32">
      <c r="A1679" s="57">
        <v>1678</v>
      </c>
      <c r="B1679" s="58">
        <v>46133.440208333333</v>
      </c>
      <c r="C1679" s="58">
        <v>46133.444490740738</v>
      </c>
      <c r="D1679" s="57" t="s">
        <v>1127</v>
      </c>
      <c r="E1679" s="57" t="s">
        <v>1128</v>
      </c>
      <c r="F1679" s="58"/>
      <c r="G1679" s="57" t="s">
        <v>455</v>
      </c>
      <c r="H1679" s="59">
        <v>1</v>
      </c>
      <c r="I1679" s="57"/>
      <c r="J1679" s="57"/>
      <c r="K1679" s="59"/>
      <c r="L1679" s="57"/>
      <c r="M1679" s="60"/>
      <c r="N1679" s="59"/>
      <c r="O1679" s="57"/>
      <c r="P1679" s="57"/>
      <c r="Q1679" s="57"/>
      <c r="R1679" s="57"/>
      <c r="S1679" s="59"/>
      <c r="T1679" s="57"/>
      <c r="U1679" s="60"/>
      <c r="V1679" s="59"/>
      <c r="W1679" s="57"/>
      <c r="X1679" s="57"/>
      <c r="Y1679" s="57" t="s">
        <v>21</v>
      </c>
      <c r="Z1679" s="57" t="s">
        <v>121</v>
      </c>
      <c r="AA1679" s="59">
        <v>39248</v>
      </c>
      <c r="AB1679" s="57" t="s">
        <v>62</v>
      </c>
      <c r="AC1679" s="60"/>
      <c r="AD1679" s="59"/>
      <c r="AE1679" s="57"/>
      <c r="AF1679" s="57" t="s">
        <v>6077</v>
      </c>
    </row>
    <row r="1680" spans="1:32">
      <c r="A1680" s="57">
        <v>1679</v>
      </c>
      <c r="B1680" s="58">
        <v>46133.638877314806</v>
      </c>
      <c r="C1680" s="58">
        <v>46134.396122685182</v>
      </c>
      <c r="D1680" s="57" t="s">
        <v>1365</v>
      </c>
      <c r="E1680" s="57" t="s">
        <v>1366</v>
      </c>
      <c r="F1680" s="58"/>
      <c r="G1680" s="57" t="s">
        <v>638</v>
      </c>
      <c r="H1680" s="59">
        <v>1</v>
      </c>
      <c r="I1680" s="57"/>
      <c r="J1680" s="57"/>
      <c r="K1680" s="59"/>
      <c r="L1680" s="57"/>
      <c r="M1680" s="60"/>
      <c r="N1680" s="59"/>
      <c r="O1680" s="57"/>
      <c r="P1680" s="57"/>
      <c r="Q1680" s="57"/>
      <c r="R1680" s="57"/>
      <c r="S1680" s="59"/>
      <c r="T1680" s="57"/>
      <c r="U1680" s="60"/>
      <c r="V1680" s="59"/>
      <c r="W1680" s="57"/>
      <c r="X1680" s="57"/>
      <c r="Y1680" s="57" t="s">
        <v>21</v>
      </c>
      <c r="Z1680" s="57" t="s">
        <v>331</v>
      </c>
      <c r="AA1680" s="59">
        <v>10204</v>
      </c>
      <c r="AB1680" s="57" t="s">
        <v>62</v>
      </c>
      <c r="AC1680" s="60"/>
      <c r="AD1680" s="59"/>
      <c r="AE1680" s="57"/>
      <c r="AF1680" s="57" t="s">
        <v>6078</v>
      </c>
    </row>
    <row r="1681" spans="1:32">
      <c r="A1681" s="57">
        <v>1680</v>
      </c>
      <c r="B1681" s="58">
        <v>46134.477696759262</v>
      </c>
      <c r="C1681" s="58">
        <v>46134.480474537027</v>
      </c>
      <c r="D1681" s="57" t="s">
        <v>1035</v>
      </c>
      <c r="E1681" s="57" t="s">
        <v>1036</v>
      </c>
      <c r="F1681" s="58"/>
      <c r="G1681" s="57" t="s">
        <v>695</v>
      </c>
      <c r="H1681" s="59">
        <v>1</v>
      </c>
      <c r="I1681" s="57"/>
      <c r="J1681" s="57"/>
      <c r="K1681" s="59"/>
      <c r="L1681" s="57"/>
      <c r="M1681" s="60"/>
      <c r="N1681" s="59"/>
      <c r="O1681" s="57"/>
      <c r="P1681" s="57"/>
      <c r="Q1681" s="57"/>
      <c r="R1681" s="57"/>
      <c r="S1681" s="59"/>
      <c r="T1681" s="57"/>
      <c r="U1681" s="60"/>
      <c r="V1681" s="59"/>
      <c r="W1681" s="57"/>
      <c r="X1681" s="57"/>
      <c r="Y1681" s="57" t="s">
        <v>21</v>
      </c>
      <c r="Z1681" s="57" t="s">
        <v>418</v>
      </c>
      <c r="AA1681" s="59">
        <v>7007</v>
      </c>
      <c r="AB1681" s="57" t="s">
        <v>62</v>
      </c>
      <c r="AC1681" s="60"/>
      <c r="AD1681" s="59"/>
      <c r="AE1681" s="57"/>
      <c r="AF1681" s="57" t="s">
        <v>6079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EBE2-32AE-7245-AABE-DC9CEB797E0C}">
  <sheetPr>
    <tabColor theme="2" tint="-9.9978637043366805E-2"/>
  </sheetPr>
  <dimension ref="A1:H2292"/>
  <sheetViews>
    <sheetView topLeftCell="A2286" workbookViewId="0">
      <selection activeCell="G3" sqref="G3"/>
    </sheetView>
  </sheetViews>
  <sheetFormatPr baseColWidth="10" defaultRowHeight="16"/>
  <cols>
    <col min="1" max="1" width="5.1640625" style="3" bestFit="1" customWidth="1"/>
    <col min="2" max="2" width="12" style="4" bestFit="1" customWidth="1"/>
    <col min="3" max="3" width="32.33203125" style="5" bestFit="1" customWidth="1"/>
    <col min="4" max="4" width="15.1640625" style="5" bestFit="1" customWidth="1"/>
    <col min="5" max="5" width="11" style="10" bestFit="1" customWidth="1"/>
    <col min="6" max="6" width="13.6640625" style="3" bestFit="1" customWidth="1"/>
    <col min="7" max="7" width="12.83203125" style="4" bestFit="1" customWidth="1"/>
    <col min="8" max="8" width="9.1640625" style="10" bestFit="1" customWidth="1"/>
  </cols>
  <sheetData>
    <row r="1" spans="1:8">
      <c r="A1" s="17" t="s">
        <v>5</v>
      </c>
      <c r="B1" s="17" t="s">
        <v>6</v>
      </c>
      <c r="C1" s="18" t="s">
        <v>76</v>
      </c>
      <c r="D1" s="18" t="s">
        <v>0</v>
      </c>
      <c r="E1" s="19" t="s">
        <v>34</v>
      </c>
      <c r="F1" s="17" t="s">
        <v>63</v>
      </c>
      <c r="G1" s="17" t="s">
        <v>3</v>
      </c>
      <c r="H1" s="19" t="s">
        <v>4</v>
      </c>
    </row>
    <row r="2" spans="1:8">
      <c r="A2" s="3" cm="1">
        <f t="array" ref="A2:A2292">_xlfn.SEQUENCE(COUNTA(B2:B99411))</f>
        <v>1</v>
      </c>
      <c r="B2" s="4" cm="1">
        <f t="array" ref="B2:H2292">_xlfn.VSTACK(
 _xlfn.HSTACK(
  _xlfn._xlws.FILTER(RAW[Completion time], RAW[Nopol1]&lt;&gt;""),
  _xlfn._xlws.FILTER(RAW[Tipe Kendaraan1], RAW[Nopol1]&lt;&gt;""),
  _xlfn._xlws.FILTER(RAW[Nopol1], RAW[Nopol1]&lt;&gt;""),
  VALUE(_xlfn._xlws.FILTER(RAW[KM Berjalan1], RAW[Nopol1]&lt;&gt;"")),
  _xlfn._xlws.FILTER(RAW[Apakah Servis?1], RAW[Nopol1]&lt;&gt;""),
  _xlfn._xlws.FILTER(RAW[Tanggal Service1], RAW[Nopol1]&lt;&gt;""),
  VALUE(_xlfn._xlws.FILTER(RAW[KM Servis1], RAW[Nopol1]&lt;&gt;""))
 ),
 _xlfn.HSTACK(
  _xlfn._xlws.FILTER(RAW[Completion time], RAW[Nopol2]&lt;&gt;""),
  _xlfn._xlws.FILTER(RAW[Tipe Kendaraan2], RAW[Nopol2]&lt;&gt;""),
  _xlfn._xlws.FILTER(RAW[Nopol2], RAW[Nopol2]&lt;&gt;""),
  VALUE(_xlfn._xlws.FILTER(RAW[KM Berjalan2], RAW[Nopol2]&lt;&gt;"")),
  _xlfn._xlws.FILTER(RAW[Apakah Servis?2], RAW[Nopol2]&lt;&gt;""),
  _xlfn._xlws.FILTER(RAW[Tanggal Service2], RAW[Nopol2]&lt;&gt;""),
  VALUE(_xlfn._xlws.FILTER(RAW[KM Servis2], RAW[Nopol2]&lt;&gt;""))
 ),
 _xlfn.HSTACK(
  _xlfn._xlws.FILTER(RAW[Completion time], RAW[Nopol3]&lt;&gt;""),
  _xlfn._xlws.FILTER(RAW[Tipe Kendaraan3], RAW[Nopol3]&lt;&gt;""),
  _xlfn._xlws.FILTER(RAW[Nopol3], RAW[Nopol3]&lt;&gt;""),
  VALUE(_xlfn._xlws.FILTER(RAW[KM Berjalan3], RAW[Nopol3]&lt;&gt;"")),
  _xlfn._xlws.FILTER(RAW[Apakah Servis?3], RAW[Nopol3]&lt;&gt;""),
  _xlfn._xlws.FILTER(RAW[Tanggal Service3], RAW[Nopol3]&lt;&gt;""),
  VALUE(_xlfn._xlws.FILTER(RAW[KM Servis3], RAW[Nopol3]&lt;&gt;""))
 )
)</f>
        <v>45859.747534722221</v>
      </c>
      <c r="C2" s="5" t="str">
        <v>Daihatsu Xenia (Badan)</v>
      </c>
      <c r="D2" s="5" t="str">
        <v>D9393MC</v>
      </c>
      <c r="E2" s="10">
        <v>53303</v>
      </c>
      <c r="F2" s="3" t="str">
        <v>Iya</v>
      </c>
      <c r="G2" s="4">
        <v>45821</v>
      </c>
      <c r="H2" s="10">
        <v>53303</v>
      </c>
    </row>
    <row r="3" spans="1:8">
      <c r="A3" s="3">
        <v>2</v>
      </c>
      <c r="B3" s="4">
        <v>45860.562106481477</v>
      </c>
      <c r="C3" s="5" t="str">
        <v>DAIHATSU GRANMAX PU AC PS 1.5 M/T</v>
      </c>
      <c r="D3" s="5" t="str">
        <v>B3271BYK</v>
      </c>
      <c r="E3" s="10">
        <v>28976</v>
      </c>
      <c r="F3" s="3" t="str">
        <v>Iya</v>
      </c>
      <c r="G3" s="4">
        <v>45764</v>
      </c>
      <c r="H3" s="10">
        <v>28976</v>
      </c>
    </row>
    <row r="4" spans="1:8">
      <c r="A4" s="3">
        <v>3</v>
      </c>
      <c r="B4" s="4">
        <v>45860.574178240742</v>
      </c>
      <c r="C4" s="5" t="str">
        <v>Daihatsu Xenia (Badan)</v>
      </c>
      <c r="D4" s="5" t="str">
        <v>B2034KCH</v>
      </c>
      <c r="E4" s="10">
        <v>99715</v>
      </c>
      <c r="F4" s="3" t="str">
        <v>Iya</v>
      </c>
      <c r="G4" s="4">
        <v>45808</v>
      </c>
      <c r="H4" s="10">
        <v>99715</v>
      </c>
    </row>
    <row r="5" spans="1:8">
      <c r="A5" s="3">
        <v>4</v>
      </c>
      <c r="B5" s="4">
        <v>45861.695902777778</v>
      </c>
      <c r="C5" s="5" t="str">
        <v>PICK UP TRAGA 2.5 4X2 MT D M/T</v>
      </c>
      <c r="D5" s="5" t="str">
        <v>B5783FB</v>
      </c>
      <c r="E5" s="10">
        <v>14369</v>
      </c>
      <c r="F5" s="3" t="str">
        <v>Iya</v>
      </c>
      <c r="G5" s="4">
        <v>45804</v>
      </c>
      <c r="H5" s="10">
        <v>14369</v>
      </c>
    </row>
    <row r="6" spans="1:8">
      <c r="A6" s="3">
        <v>5</v>
      </c>
      <c r="B6" s="4">
        <v>45865.592650462961</v>
      </c>
      <c r="C6" s="5" t="str">
        <v>PICK UP TRAGA 2.5 4X2 MT D M/T</v>
      </c>
      <c r="D6" s="5" t="str">
        <v>L6517DP</v>
      </c>
      <c r="E6" s="10">
        <v>20785</v>
      </c>
      <c r="F6" s="3" t="str">
        <v>Iya</v>
      </c>
      <c r="G6" s="4">
        <v>45779</v>
      </c>
      <c r="H6" s="10">
        <v>20785</v>
      </c>
    </row>
    <row r="7" spans="1:8">
      <c r="A7" s="3">
        <v>6</v>
      </c>
      <c r="B7" s="4">
        <v>45867.605034722219</v>
      </c>
      <c r="C7" s="5" t="str">
        <v>Daihatsu Xenia (Badan)</v>
      </c>
      <c r="D7" s="5" t="str">
        <v>B6680XJ</v>
      </c>
      <c r="E7" s="10">
        <v>23257</v>
      </c>
      <c r="F7" s="3" t="str">
        <v>Iya</v>
      </c>
      <c r="G7" s="4">
        <v>45822</v>
      </c>
      <c r="H7" s="10">
        <v>23257</v>
      </c>
    </row>
    <row r="8" spans="1:8">
      <c r="A8" s="3">
        <v>7</v>
      </c>
      <c r="B8" s="4">
        <v>45869.827974537038</v>
      </c>
      <c r="C8" s="5" t="str">
        <v>PICK UP TRAGA 2.5 4X2 MT D M/T</v>
      </c>
      <c r="D8" s="5" t="str">
        <v>B8699GN</v>
      </c>
      <c r="E8" s="10">
        <v>61543</v>
      </c>
      <c r="F8" s="3" t="str">
        <v>Iya</v>
      </c>
      <c r="G8" s="4">
        <v>45726</v>
      </c>
      <c r="H8" s="10">
        <v>61543</v>
      </c>
    </row>
    <row r="9" spans="1:8">
      <c r="A9" s="3">
        <v>8</v>
      </c>
      <c r="B9" s="4">
        <v>45890.665254629632</v>
      </c>
      <c r="C9" s="5" t="str">
        <v>PICK UP TRAGA 2.5 4X2 MT D M/T</v>
      </c>
      <c r="D9" s="5" t="str">
        <v>B4985JZY</v>
      </c>
      <c r="E9" s="10">
        <v>31499</v>
      </c>
      <c r="F9" s="3" t="str">
        <v>Iya</v>
      </c>
      <c r="G9" s="4">
        <v>45881</v>
      </c>
      <c r="H9" s="10">
        <v>31499</v>
      </c>
    </row>
    <row r="10" spans="1:8">
      <c r="A10" s="3">
        <v>9</v>
      </c>
      <c r="B10" s="4">
        <v>45891.373194444437</v>
      </c>
      <c r="C10" s="5" t="str">
        <v>Daihatsu Xenia (Badan)</v>
      </c>
      <c r="D10" s="5" t="str">
        <v>B2034KCH</v>
      </c>
      <c r="E10" s="10">
        <v>99985</v>
      </c>
      <c r="F10" s="3" t="str">
        <v>Iya</v>
      </c>
      <c r="G10" s="4">
        <v>45808</v>
      </c>
      <c r="H10" s="10">
        <v>99985</v>
      </c>
    </row>
    <row r="11" spans="1:8">
      <c r="A11" s="3">
        <v>10</v>
      </c>
      <c r="B11" s="4">
        <v>45891.689884259264</v>
      </c>
      <c r="C11" s="5" t="str">
        <v>Daihatsu Xenia (Badan)</v>
      </c>
      <c r="D11" s="5" t="str">
        <v>D9393MC</v>
      </c>
      <c r="E11" s="10">
        <v>56705</v>
      </c>
      <c r="F11" s="3" t="str">
        <v>Iya</v>
      </c>
      <c r="G11" s="4">
        <v>45792</v>
      </c>
      <c r="H11" s="10">
        <v>56705</v>
      </c>
    </row>
    <row r="12" spans="1:8">
      <c r="A12" s="3">
        <v>11</v>
      </c>
      <c r="B12" s="4">
        <v>45891.787222222221</v>
      </c>
      <c r="C12" s="5" t="str">
        <v>Daihatsu Xenia (Badan)</v>
      </c>
      <c r="D12" s="5" t="str">
        <v>B2888ALH</v>
      </c>
      <c r="E12" s="10">
        <v>102761</v>
      </c>
      <c r="F12" s="3" t="str">
        <v>Iya</v>
      </c>
      <c r="G12" s="4">
        <v>45761</v>
      </c>
      <c r="H12" s="10">
        <v>102761</v>
      </c>
    </row>
    <row r="13" spans="1:8">
      <c r="A13" s="3">
        <v>12</v>
      </c>
      <c r="B13" s="4">
        <v>45892.511111111111</v>
      </c>
      <c r="C13" s="5" t="str">
        <v>DAIHATSU GRANMAX PU AC PS 1.5 M/T</v>
      </c>
      <c r="D13" s="5" t="str">
        <v>AB8086XV</v>
      </c>
      <c r="E13" s="10">
        <v>3219</v>
      </c>
      <c r="F13" s="3" t="str">
        <v>Iya</v>
      </c>
      <c r="G13" s="4">
        <v>45783</v>
      </c>
      <c r="H13" s="10">
        <v>3219</v>
      </c>
    </row>
    <row r="14" spans="1:8">
      <c r="A14" s="3">
        <v>13</v>
      </c>
      <c r="B14" s="4">
        <v>45894.720011574071</v>
      </c>
      <c r="C14" s="5" t="str">
        <v>Daihatsu Xenia (Badan)</v>
      </c>
      <c r="D14" s="5" t="str">
        <v>H8376YB</v>
      </c>
      <c r="E14" s="10">
        <v>43361</v>
      </c>
      <c r="F14" s="3" t="str">
        <v>Iya</v>
      </c>
      <c r="G14" s="4">
        <v>45829</v>
      </c>
      <c r="H14" s="10">
        <v>43361</v>
      </c>
    </row>
    <row r="15" spans="1:8">
      <c r="A15" s="3">
        <v>14</v>
      </c>
      <c r="B15" s="4">
        <v>45894.759340277778</v>
      </c>
      <c r="C15" s="5" t="str">
        <v>Daihatsu Xenia (Badan)</v>
      </c>
      <c r="D15" s="5" t="str">
        <v>H9434HIK</v>
      </c>
      <c r="E15" s="10">
        <v>10343</v>
      </c>
      <c r="F15" s="3" t="str">
        <v>Iya</v>
      </c>
      <c r="G15" s="4">
        <v>45915</v>
      </c>
      <c r="H15" s="10">
        <v>10343</v>
      </c>
    </row>
    <row r="16" spans="1:8">
      <c r="A16" s="3">
        <v>15</v>
      </c>
      <c r="B16" s="4">
        <v>45896.443993055553</v>
      </c>
      <c r="C16" s="5" t="str">
        <v>PICK UP TRAGA 2.5 4X2 MT D M/T</v>
      </c>
      <c r="D16" s="5" t="str">
        <v>B6592JN</v>
      </c>
      <c r="E16" s="10">
        <v>12080</v>
      </c>
      <c r="F16" s="3" t="str">
        <v>Iya</v>
      </c>
      <c r="G16" s="4">
        <v>45825</v>
      </c>
      <c r="H16" s="10">
        <v>12080</v>
      </c>
    </row>
    <row r="17" spans="1:8">
      <c r="A17" s="3">
        <v>16</v>
      </c>
      <c r="B17" s="4">
        <v>45896.750439814823</v>
      </c>
      <c r="C17" s="5" t="str">
        <v>Daihatsu Xenia (Badan)</v>
      </c>
      <c r="D17" s="5" t="str">
        <v>B6257GSZ</v>
      </c>
      <c r="E17" s="10">
        <v>920</v>
      </c>
      <c r="F17" s="3" t="str">
        <v>Iya</v>
      </c>
      <c r="G17" s="4">
        <v>45772</v>
      </c>
      <c r="H17" s="10">
        <v>920</v>
      </c>
    </row>
    <row r="18" spans="1:8">
      <c r="A18" s="3">
        <v>17</v>
      </c>
      <c r="B18" s="4">
        <v>45897.744085648148</v>
      </c>
      <c r="C18" s="5" t="str">
        <v>PICK UP TRAGA 2.5 4X2 MT D M/T</v>
      </c>
      <c r="D18" s="5" t="str">
        <v>L6517DP</v>
      </c>
      <c r="E18" s="10">
        <v>25384</v>
      </c>
      <c r="F18" s="3" t="str">
        <v>Iya</v>
      </c>
      <c r="G18" s="4">
        <v>45779</v>
      </c>
      <c r="H18" s="10">
        <v>25384</v>
      </c>
    </row>
    <row r="19" spans="1:8">
      <c r="A19" s="3">
        <v>18</v>
      </c>
      <c r="B19" s="4">
        <v>45899.455405092587</v>
      </c>
      <c r="C19" s="5" t="str">
        <v>PICK UP TRAGA 2.5 4X2 MT D M/T</v>
      </c>
      <c r="D19" s="5" t="str">
        <v>H6476BKH</v>
      </c>
      <c r="E19" s="10">
        <v>14547</v>
      </c>
      <c r="F19" s="3" t="str">
        <v>Iya</v>
      </c>
      <c r="G19" s="4">
        <v>45808</v>
      </c>
      <c r="H19" s="10">
        <v>14547</v>
      </c>
    </row>
    <row r="20" spans="1:8">
      <c r="A20" s="3">
        <v>19</v>
      </c>
      <c r="B20" s="4">
        <v>45900.713530092587</v>
      </c>
      <c r="C20" s="5" t="str">
        <v>PICK UP TRAGA 2.5 4X2 MT D M/T</v>
      </c>
      <c r="D20" s="5" t="str">
        <v>B5783FB</v>
      </c>
      <c r="E20" s="10">
        <v>16137</v>
      </c>
      <c r="F20" s="3" t="str">
        <v>Iya</v>
      </c>
      <c r="G20" s="4">
        <v>45804</v>
      </c>
      <c r="H20" s="10">
        <v>16137</v>
      </c>
    </row>
    <row r="21" spans="1:8">
      <c r="A21" s="3">
        <v>20</v>
      </c>
      <c r="B21" s="4">
        <v>45923.401932870373</v>
      </c>
      <c r="C21" s="5" t="str">
        <v>PICK UP TRAGA 2.5 4X2 MT D M/T</v>
      </c>
      <c r="D21" s="5" t="str">
        <v>B2840UE</v>
      </c>
      <c r="E21" s="10">
        <v>80993</v>
      </c>
      <c r="F21" s="3" t="str">
        <v>Iya</v>
      </c>
      <c r="G21" s="4">
        <v>45846</v>
      </c>
      <c r="H21" s="10">
        <v>80993</v>
      </c>
    </row>
    <row r="22" spans="1:8">
      <c r="A22" s="3">
        <v>21</v>
      </c>
      <c r="B22" s="4">
        <v>45923.708368055559</v>
      </c>
      <c r="C22" s="5" t="str">
        <v>PICK UP TRAGA 2.5 4X2 MT D M/T</v>
      </c>
      <c r="D22" s="5" t="str">
        <v>B5818SHZ</v>
      </c>
      <c r="E22" s="10">
        <v>89720</v>
      </c>
      <c r="F22" s="3" t="str">
        <v>Iya</v>
      </c>
      <c r="G22" s="4">
        <v>45909</v>
      </c>
      <c r="H22" s="10">
        <v>89720</v>
      </c>
    </row>
    <row r="23" spans="1:8">
      <c r="A23" s="3">
        <v>22</v>
      </c>
      <c r="B23" s="4">
        <v>45924.42659722222</v>
      </c>
      <c r="C23" s="5" t="str">
        <v>PICK UP TRAGA 2.5 4X2 MT D M/T</v>
      </c>
      <c r="D23" s="5" t="str">
        <v>B9442AC</v>
      </c>
      <c r="E23" s="10">
        <v>19439</v>
      </c>
      <c r="F23" s="3" t="str">
        <v>Iya</v>
      </c>
      <c r="G23" s="4">
        <v>45848</v>
      </c>
      <c r="H23" s="10">
        <v>19439</v>
      </c>
    </row>
    <row r="24" spans="1:8">
      <c r="A24" s="3">
        <v>23</v>
      </c>
      <c r="B24" s="4">
        <v>45925.429340277777</v>
      </c>
      <c r="C24" s="5" t="str">
        <v>Daihatsu Xenia (Badan)</v>
      </c>
      <c r="D24" s="5" t="str">
        <v>H9434HIK</v>
      </c>
      <c r="E24" s="10">
        <v>12278</v>
      </c>
      <c r="F24" s="3" t="str">
        <v>Iya</v>
      </c>
      <c r="G24" s="4">
        <v>45928</v>
      </c>
      <c r="H24" s="10">
        <v>12278</v>
      </c>
    </row>
    <row r="25" spans="1:8">
      <c r="A25" s="3">
        <v>24</v>
      </c>
      <c r="B25" s="4">
        <v>45926.368125000001</v>
      </c>
      <c r="C25" s="5" t="str">
        <v>Daihatsu Xenia (Badan)</v>
      </c>
      <c r="D25" s="5" t="str">
        <v>D2758PP</v>
      </c>
      <c r="E25" s="10">
        <v>58630</v>
      </c>
      <c r="F25" s="3" t="str">
        <v>Iya</v>
      </c>
      <c r="G25" s="4">
        <v>45881</v>
      </c>
      <c r="H25" s="10">
        <v>58630</v>
      </c>
    </row>
    <row r="26" spans="1:8">
      <c r="A26" s="3">
        <v>25</v>
      </c>
      <c r="B26" s="4">
        <v>45927.648136574076</v>
      </c>
      <c r="C26" s="5" t="str">
        <v>PICK UP TRAGA 2.5 4X2 MT D M/T</v>
      </c>
      <c r="D26" s="5" t="str">
        <v>KB3547AT</v>
      </c>
      <c r="E26" s="10">
        <v>38812</v>
      </c>
      <c r="F26" s="3" t="str">
        <v>Iya</v>
      </c>
      <c r="G26" s="4">
        <v>45825</v>
      </c>
      <c r="H26" s="10">
        <v>38812</v>
      </c>
    </row>
    <row r="27" spans="1:8">
      <c r="A27" s="3">
        <v>26</v>
      </c>
      <c r="B27" s="4">
        <v>45932.362199074072</v>
      </c>
      <c r="C27" s="5" t="str">
        <v>Daihatsu Xenia (Badan)</v>
      </c>
      <c r="D27" s="5" t="str">
        <v>B6680XJ</v>
      </c>
      <c r="E27" s="10">
        <v>24025</v>
      </c>
      <c r="F27" s="3" t="str">
        <v>Iya</v>
      </c>
      <c r="G27" s="4">
        <v>45822</v>
      </c>
      <c r="H27" s="10">
        <v>24025</v>
      </c>
    </row>
    <row r="28" spans="1:8">
      <c r="A28" s="3">
        <v>27</v>
      </c>
      <c r="B28" s="4">
        <v>45932.708449074067</v>
      </c>
      <c r="C28" s="5" t="str">
        <v>PICK UP TRAGA 2.5 4X2 MT D M/T</v>
      </c>
      <c r="D28" s="5" t="str">
        <v>D8314WE</v>
      </c>
      <c r="E28" s="10">
        <v>40911</v>
      </c>
      <c r="F28" s="3" t="str">
        <v>Iya</v>
      </c>
      <c r="G28" s="4">
        <v>45887</v>
      </c>
      <c r="H28" s="10">
        <v>40911</v>
      </c>
    </row>
    <row r="29" spans="1:8">
      <c r="A29" s="3">
        <v>28</v>
      </c>
      <c r="B29" s="4">
        <v>45936.818252314813</v>
      </c>
      <c r="C29" s="5" t="str">
        <v>PICK UP TRAGA 2.5 4X2 MT D M/T</v>
      </c>
      <c r="D29" s="5" t="str">
        <v>L6517DP</v>
      </c>
      <c r="E29" s="10">
        <v>30809</v>
      </c>
      <c r="F29" s="3" t="str">
        <v>Iya</v>
      </c>
      <c r="G29" s="4">
        <v>45917</v>
      </c>
      <c r="H29" s="10">
        <v>30809</v>
      </c>
    </row>
    <row r="30" spans="1:8">
      <c r="A30" s="3">
        <v>29</v>
      </c>
      <c r="B30" s="4">
        <v>45957.571805555563</v>
      </c>
      <c r="C30" s="5" t="str">
        <v>PICK UP TRAGA 2.5 4X2 MT D M/T</v>
      </c>
      <c r="D30" s="5" t="str">
        <v>KB3547AT</v>
      </c>
      <c r="E30" s="10">
        <v>40351</v>
      </c>
      <c r="F30" s="3" t="str">
        <v>Iya</v>
      </c>
      <c r="G30" s="4">
        <v>45828</v>
      </c>
      <c r="H30" s="10">
        <v>40351</v>
      </c>
    </row>
    <row r="31" spans="1:8">
      <c r="A31" s="3">
        <v>30</v>
      </c>
      <c r="B31" s="4">
        <v>45958.575787037043</v>
      </c>
      <c r="C31" s="5" t="str">
        <v>PICK UP TRAGA 2.5 4X2 MT D M/T</v>
      </c>
      <c r="D31" s="5" t="str">
        <v>B9442AC</v>
      </c>
      <c r="E31" s="10">
        <v>22471</v>
      </c>
      <c r="F31" s="3" t="str">
        <v>Iya</v>
      </c>
      <c r="G31" s="4">
        <v>45941</v>
      </c>
      <c r="H31" s="10">
        <v>22471</v>
      </c>
    </row>
    <row r="32" spans="1:8">
      <c r="A32" s="3">
        <v>31</v>
      </c>
      <c r="B32" s="4">
        <v>45959.645949074067</v>
      </c>
      <c r="C32" s="5" t="str">
        <v>Daihatsu Xenia (Badan)</v>
      </c>
      <c r="D32" s="5" t="str">
        <v>B6257GSZ</v>
      </c>
      <c r="E32" s="10">
        <v>12795</v>
      </c>
      <c r="F32" s="3" t="str">
        <v>Iya</v>
      </c>
      <c r="G32" s="4">
        <v>45944</v>
      </c>
      <c r="H32" s="10">
        <v>12795</v>
      </c>
    </row>
    <row r="33" spans="1:8">
      <c r="A33" s="3">
        <v>32</v>
      </c>
      <c r="B33" s="4">
        <v>45959.755104166667</v>
      </c>
      <c r="C33" s="5" t="str">
        <v>Daihatsu Xenia (Badan)</v>
      </c>
      <c r="D33" s="5" t="str">
        <v>H9434HIK</v>
      </c>
      <c r="E33" s="10">
        <v>12607</v>
      </c>
      <c r="F33" s="3" t="str">
        <v>Iya</v>
      </c>
      <c r="G33" s="4">
        <v>45925</v>
      </c>
      <c r="H33" s="10">
        <v>12607</v>
      </c>
    </row>
    <row r="34" spans="1:8">
      <c r="A34" s="3">
        <v>33</v>
      </c>
      <c r="B34" s="4">
        <v>45964.401886574073</v>
      </c>
      <c r="C34" s="5" t="str">
        <v>DAIHATSU GRANMAX PU AC PS 1.5 M/T</v>
      </c>
      <c r="D34" s="5" t="str">
        <v>AB8086XV</v>
      </c>
      <c r="E34" s="10">
        <v>5521</v>
      </c>
      <c r="F34" s="3" t="str">
        <v>Iya</v>
      </c>
      <c r="G34" s="4">
        <v>45783</v>
      </c>
      <c r="H34" s="10">
        <v>5521</v>
      </c>
    </row>
    <row r="35" spans="1:8">
      <c r="A35" s="3">
        <v>34</v>
      </c>
      <c r="B35" s="4">
        <v>45964.678564814807</v>
      </c>
      <c r="C35" s="5" t="str">
        <v>Daihatsu Xenia (Badan)</v>
      </c>
      <c r="D35" s="5" t="str">
        <v>H8376YB</v>
      </c>
      <c r="E35" s="10">
        <v>47146</v>
      </c>
      <c r="F35" s="3" t="str">
        <v>Iya</v>
      </c>
      <c r="G35" s="4">
        <v>45923</v>
      </c>
      <c r="H35" s="10">
        <v>47146</v>
      </c>
    </row>
    <row r="36" spans="1:8">
      <c r="A36" s="3">
        <v>35</v>
      </c>
      <c r="B36" s="4">
        <v>45985.611481481479</v>
      </c>
      <c r="C36" s="5" t="str">
        <v>Daihatsu Xenia (Badan)</v>
      </c>
      <c r="D36" s="5" t="str">
        <v>D9393MC</v>
      </c>
      <c r="E36" s="10">
        <v>60750</v>
      </c>
      <c r="F36" s="3" t="str">
        <v>Iya</v>
      </c>
      <c r="G36" s="4">
        <v>45924</v>
      </c>
      <c r="H36" s="10">
        <v>60750</v>
      </c>
    </row>
    <row r="37" spans="1:8">
      <c r="A37" s="3">
        <v>36</v>
      </c>
      <c r="B37" s="4">
        <v>45991.397997685177</v>
      </c>
      <c r="C37" s="5" t="str">
        <v>DAIHATSU GRANMAX PU AC PS 1.5 M/T</v>
      </c>
      <c r="D37" s="5" t="str">
        <v>B6642GE</v>
      </c>
      <c r="E37" s="10">
        <v>17421</v>
      </c>
      <c r="F37" s="3" t="str">
        <v>Iya</v>
      </c>
      <c r="G37" s="4">
        <v>45916</v>
      </c>
      <c r="H37" s="10">
        <v>17421</v>
      </c>
    </row>
    <row r="38" spans="1:8">
      <c r="A38" s="3">
        <v>37</v>
      </c>
      <c r="B38" s="4">
        <v>45991.482094907413</v>
      </c>
      <c r="C38" s="5" t="str">
        <v>Daihatsu Xenia (Badan)</v>
      </c>
      <c r="D38" s="5" t="str">
        <v>B1923MMD</v>
      </c>
      <c r="E38" s="10">
        <v>27213</v>
      </c>
      <c r="F38" s="3" t="str">
        <v>Iya</v>
      </c>
      <c r="G38" s="4">
        <v>45763</v>
      </c>
      <c r="H38" s="10">
        <v>27213</v>
      </c>
    </row>
    <row r="39" spans="1:8">
      <c r="A39" s="3">
        <v>38</v>
      </c>
      <c r="B39" s="4">
        <v>45994.509884259263</v>
      </c>
      <c r="C39" s="5" t="str">
        <v>Daihatsu Xenia (Badan)</v>
      </c>
      <c r="D39" s="5" t="str">
        <v>B6680XJ</v>
      </c>
      <c r="E39" s="10">
        <v>27668</v>
      </c>
      <c r="F39" s="3" t="str">
        <v>Iya</v>
      </c>
      <c r="G39" s="4">
        <v>45986</v>
      </c>
      <c r="H39" s="10">
        <v>27668</v>
      </c>
    </row>
    <row r="40" spans="1:8">
      <c r="A40" s="3">
        <v>39</v>
      </c>
      <c r="B40" s="4">
        <v>45999.457268518519</v>
      </c>
      <c r="C40" s="5" t="str">
        <v>Daihatsu Xenia (Badan)</v>
      </c>
      <c r="D40" s="5" t="str">
        <v>B6049PM</v>
      </c>
      <c r="E40" s="10">
        <v>11389</v>
      </c>
      <c r="F40" s="3" t="str">
        <v>Iya</v>
      </c>
      <c r="G40" s="4">
        <v>45968</v>
      </c>
      <c r="H40" s="10">
        <v>11389</v>
      </c>
    </row>
    <row r="41" spans="1:8">
      <c r="A41" s="3">
        <v>40</v>
      </c>
      <c r="B41" s="4">
        <v>46001.501643518517</v>
      </c>
      <c r="C41" s="5" t="str">
        <v>PICK UP TRAGA 2.5 4X2 MT D M/T</v>
      </c>
      <c r="D41" s="5" t="str">
        <v>L6517DP</v>
      </c>
      <c r="E41" s="10">
        <v>36204</v>
      </c>
      <c r="F41" s="3" t="str">
        <v>Iya</v>
      </c>
      <c r="G41" s="4">
        <v>45917</v>
      </c>
      <c r="H41" s="10">
        <v>36204</v>
      </c>
    </row>
    <row r="42" spans="1:8">
      <c r="A42" s="3">
        <v>41</v>
      </c>
      <c r="B42" s="4">
        <v>46013.420300925929</v>
      </c>
      <c r="C42" s="5" t="str">
        <v>Daihatsu Xenia (Badan)</v>
      </c>
      <c r="D42" s="5" t="str">
        <v>DA3899XS</v>
      </c>
      <c r="E42" s="10">
        <v>18613</v>
      </c>
      <c r="F42" s="3" t="str">
        <v>Iya</v>
      </c>
      <c r="G42" s="4">
        <v>45972</v>
      </c>
      <c r="H42" s="10">
        <v>18613</v>
      </c>
    </row>
    <row r="43" spans="1:8">
      <c r="A43" s="3">
        <v>42</v>
      </c>
      <c r="B43" s="4">
        <v>46025.781712962962</v>
      </c>
      <c r="C43" s="5" t="str">
        <v>Daihatsu Xenia (Badan)</v>
      </c>
      <c r="D43" s="5" t="str">
        <v>H9434HIK</v>
      </c>
      <c r="E43" s="10">
        <v>16271</v>
      </c>
      <c r="F43" s="3" t="str">
        <v>Iya</v>
      </c>
      <c r="G43" s="4">
        <v>45925</v>
      </c>
      <c r="H43" s="10">
        <v>16271</v>
      </c>
    </row>
    <row r="44" spans="1:8">
      <c r="A44" s="3">
        <v>43</v>
      </c>
      <c r="B44" s="4">
        <v>45859.698738425926</v>
      </c>
      <c r="C44" s="5" t="str">
        <v>Daihatsu Xenia (Badan)</v>
      </c>
      <c r="D44" s="5" t="str">
        <v>DA3899XS</v>
      </c>
      <c r="E44" s="10">
        <v>12506</v>
      </c>
      <c r="F44" s="3" t="str">
        <v>Iya</v>
      </c>
      <c r="G44" s="4">
        <v>45782</v>
      </c>
      <c r="H44" s="10">
        <v>12506</v>
      </c>
    </row>
    <row r="45" spans="1:8">
      <c r="A45" s="3">
        <v>44</v>
      </c>
      <c r="B45" s="4">
        <v>45859.698784722219</v>
      </c>
      <c r="C45" s="5" t="str">
        <v>Daihatsu Xenia (Badan)</v>
      </c>
      <c r="D45" s="5" t="str">
        <v>B9347LJ</v>
      </c>
      <c r="E45" s="10">
        <v>46253</v>
      </c>
      <c r="F45" s="3" t="str">
        <v>Iya</v>
      </c>
      <c r="G45" s="4">
        <v>45685</v>
      </c>
      <c r="H45" s="10">
        <v>46253</v>
      </c>
    </row>
    <row r="46" spans="1:8">
      <c r="A46" s="3">
        <v>45</v>
      </c>
      <c r="B46" s="4">
        <v>45859.717986111107</v>
      </c>
      <c r="C46" s="5" t="str">
        <v>Daihatsu Xenia (Badan)</v>
      </c>
      <c r="D46" s="5" t="str">
        <v>B8137WEW</v>
      </c>
      <c r="E46" s="10">
        <v>32255</v>
      </c>
      <c r="F46" s="3" t="str">
        <v>Iya</v>
      </c>
      <c r="G46" s="4">
        <v>45825</v>
      </c>
      <c r="H46" s="10">
        <v>32255</v>
      </c>
    </row>
    <row r="47" spans="1:8">
      <c r="A47" s="3">
        <v>46</v>
      </c>
      <c r="B47" s="4">
        <v>45859.726689814823</v>
      </c>
      <c r="C47" s="5" t="str">
        <v>Daihatsu Xenia (Badan)</v>
      </c>
      <c r="D47" s="5" t="str">
        <v>B3590QLB</v>
      </c>
      <c r="E47" s="10">
        <v>15305</v>
      </c>
      <c r="F47" s="3" t="str">
        <v>Iya</v>
      </c>
      <c r="G47" s="4">
        <v>45771</v>
      </c>
      <c r="H47" s="10">
        <v>15305</v>
      </c>
    </row>
    <row r="48" spans="1:8">
      <c r="A48" s="3">
        <v>47</v>
      </c>
      <c r="B48" s="4">
        <v>45859.747534722221</v>
      </c>
      <c r="C48" s="5" t="str">
        <v>DAIHATSU GRANMAX PU AC PS 1.5 M/T</v>
      </c>
      <c r="D48" s="5" t="str">
        <v>B8895WT</v>
      </c>
      <c r="E48" s="10">
        <v>1176</v>
      </c>
      <c r="F48" s="3" t="str">
        <v>Iya</v>
      </c>
      <c r="G48" s="4">
        <v>45792</v>
      </c>
      <c r="H48" s="10">
        <v>1176</v>
      </c>
    </row>
    <row r="49" spans="1:8">
      <c r="A49" s="3">
        <v>48</v>
      </c>
      <c r="B49" s="4">
        <v>45859.834803240738</v>
      </c>
      <c r="C49" s="5" t="str">
        <v>DAIHATSU GRANMAX PU AC PS 1.5 M/T</v>
      </c>
      <c r="D49" s="5" t="str">
        <v>B9529CGF</v>
      </c>
      <c r="E49" s="10">
        <v>16620</v>
      </c>
      <c r="F49" s="3" t="str">
        <v>Iya</v>
      </c>
      <c r="G49" s="4">
        <v>45736</v>
      </c>
      <c r="H49" s="10">
        <v>16620</v>
      </c>
    </row>
    <row r="50" spans="1:8">
      <c r="A50" s="3">
        <v>49</v>
      </c>
      <c r="B50" s="4">
        <v>45860.317615740743</v>
      </c>
      <c r="C50" s="5" t="str">
        <v>PICK UP TRAGA 2.5 4X2 MT D M/T</v>
      </c>
      <c r="D50" s="5" t="str">
        <v>B9897TAZ</v>
      </c>
      <c r="E50" s="10">
        <v>26950</v>
      </c>
      <c r="F50" s="3" t="str">
        <v>Iya</v>
      </c>
      <c r="G50" s="4">
        <v>45845</v>
      </c>
      <c r="H50" s="10">
        <v>26950</v>
      </c>
    </row>
    <row r="51" spans="1:8">
      <c r="A51" s="3">
        <v>50</v>
      </c>
      <c r="B51" s="4">
        <v>45860.322939814818</v>
      </c>
      <c r="C51" s="5" t="str">
        <v>DAIHATSU GRANMAX PU AC PS 1.5 M/T</v>
      </c>
      <c r="D51" s="5" t="str">
        <v>B7154RP</v>
      </c>
      <c r="E51" s="10">
        <v>47281</v>
      </c>
      <c r="F51" s="3" t="str">
        <v>Iya</v>
      </c>
      <c r="G51" s="4">
        <v>45752</v>
      </c>
      <c r="H51" s="10">
        <v>47281</v>
      </c>
    </row>
    <row r="52" spans="1:8">
      <c r="A52" s="3">
        <v>51</v>
      </c>
      <c r="B52" s="4">
        <v>45860.350659722222</v>
      </c>
      <c r="C52" s="5" t="str">
        <v>PICK UP TRAGA 2.5 4X2 MT D M/T</v>
      </c>
      <c r="D52" s="5" t="str">
        <v>KT1884DR</v>
      </c>
      <c r="E52" s="10">
        <v>54221</v>
      </c>
      <c r="F52" s="3" t="str">
        <v>Iya</v>
      </c>
      <c r="G52" s="4">
        <v>45819</v>
      </c>
      <c r="H52" s="10">
        <v>54221</v>
      </c>
    </row>
    <row r="53" spans="1:8">
      <c r="A53" s="3">
        <v>52</v>
      </c>
      <c r="B53" s="4">
        <v>45860.361863425933</v>
      </c>
      <c r="C53" s="5" t="str">
        <v>Daihatsu Xenia (Badan)</v>
      </c>
      <c r="D53" s="5" t="str">
        <v>B8763MP</v>
      </c>
      <c r="E53" s="10">
        <v>88607</v>
      </c>
      <c r="F53" s="3" t="str">
        <v>Iya</v>
      </c>
      <c r="G53" s="4">
        <v>45810</v>
      </c>
      <c r="H53" s="10">
        <v>88607</v>
      </c>
    </row>
    <row r="54" spans="1:8">
      <c r="A54" s="3">
        <v>53</v>
      </c>
      <c r="B54" s="4">
        <v>45860.363483796304</v>
      </c>
      <c r="C54" s="5" t="str">
        <v>PICK UP TRAGA 2.5 4X2 MT D M/T</v>
      </c>
      <c r="D54" s="5" t="str">
        <v>B3705JT</v>
      </c>
      <c r="E54" s="10">
        <v>73151</v>
      </c>
      <c r="F54" s="3" t="str">
        <v>Iya</v>
      </c>
      <c r="G54" s="4">
        <v>45846</v>
      </c>
      <c r="H54" s="10">
        <v>73151</v>
      </c>
    </row>
    <row r="55" spans="1:8">
      <c r="A55" s="3">
        <v>54</v>
      </c>
      <c r="B55" s="4">
        <v>45860.379942129628</v>
      </c>
      <c r="C55" s="5" t="str">
        <v>Daihatsu Xenia (Badan)</v>
      </c>
      <c r="D55" s="5" t="str">
        <v>B9091PM</v>
      </c>
      <c r="E55" s="10">
        <v>32103</v>
      </c>
      <c r="F55" s="3" t="str">
        <v>Iya</v>
      </c>
      <c r="G55" s="4">
        <v>45785</v>
      </c>
      <c r="H55" s="10">
        <v>32103</v>
      </c>
    </row>
    <row r="56" spans="1:8">
      <c r="A56" s="3">
        <v>55</v>
      </c>
      <c r="B56" s="4">
        <v>45860.419212962966</v>
      </c>
      <c r="C56" s="5" t="str">
        <v>Daihatsu Xenia (Badan)</v>
      </c>
      <c r="D56" s="5" t="str">
        <v>B2652NS</v>
      </c>
      <c r="E56" s="10">
        <v>40912</v>
      </c>
      <c r="F56" s="3" t="str">
        <v>Iya</v>
      </c>
      <c r="G56" s="4">
        <v>45820</v>
      </c>
      <c r="H56" s="10">
        <v>40912</v>
      </c>
    </row>
    <row r="57" spans="1:8">
      <c r="A57" s="3">
        <v>56</v>
      </c>
      <c r="B57" s="4">
        <v>45860.524884259263</v>
      </c>
      <c r="C57" s="5" t="str">
        <v>Daihatsu Xenia (Badan)</v>
      </c>
      <c r="D57" s="5" t="str">
        <v>B2820TR</v>
      </c>
      <c r="E57" s="10">
        <v>25498</v>
      </c>
      <c r="F57" s="3" t="str">
        <v>Iya</v>
      </c>
      <c r="G57" s="4">
        <v>45780</v>
      </c>
      <c r="H57" s="10">
        <v>25498</v>
      </c>
    </row>
    <row r="58" spans="1:8">
      <c r="A58" s="3">
        <v>57</v>
      </c>
      <c r="B58" s="4">
        <v>45860.530555555553</v>
      </c>
      <c r="C58" s="5" t="str">
        <v>Daihatsu Xenia (Badan)</v>
      </c>
      <c r="D58" s="5" t="str">
        <v>B2743VJK</v>
      </c>
      <c r="E58" s="10">
        <v>49867</v>
      </c>
      <c r="F58" s="3" t="str">
        <v>Iya</v>
      </c>
      <c r="G58" s="4">
        <v>45850</v>
      </c>
      <c r="H58" s="10">
        <v>49867</v>
      </c>
    </row>
    <row r="59" spans="1:8">
      <c r="A59" s="3">
        <v>58</v>
      </c>
      <c r="B59" s="4">
        <v>45860.562106481477</v>
      </c>
      <c r="C59" s="5" t="str">
        <v>Daihatsu Xenia (Badan)</v>
      </c>
      <c r="D59" s="5" t="str">
        <v>B2888ALH</v>
      </c>
      <c r="E59" s="10">
        <v>100155</v>
      </c>
      <c r="F59" s="3" t="str">
        <v>Iya</v>
      </c>
      <c r="G59" s="4">
        <v>45761</v>
      </c>
      <c r="H59" s="10">
        <v>100155</v>
      </c>
    </row>
    <row r="60" spans="1:8">
      <c r="A60" s="3">
        <v>59</v>
      </c>
      <c r="B60" s="4">
        <v>45860.569282407407</v>
      </c>
      <c r="C60" s="5" t="str">
        <v>Daihatsu Xenia (Badan)</v>
      </c>
      <c r="D60" s="5" t="str">
        <v>B9653KV</v>
      </c>
      <c r="E60" s="10">
        <v>38560</v>
      </c>
      <c r="F60" s="3" t="str">
        <v>Iya</v>
      </c>
      <c r="G60" s="4">
        <v>45722</v>
      </c>
      <c r="H60" s="10">
        <v>38560</v>
      </c>
    </row>
    <row r="61" spans="1:8">
      <c r="A61" s="3">
        <v>60</v>
      </c>
      <c r="B61" s="4">
        <v>45860.574178240742</v>
      </c>
      <c r="C61" s="5" t="str">
        <v>DAIHATSU GRANMAX PU AC PS 1.5 M/T</v>
      </c>
      <c r="D61" s="5" t="str">
        <v>B6989QE</v>
      </c>
      <c r="E61" s="10">
        <v>81851</v>
      </c>
      <c r="F61" s="3" t="str">
        <v>Iya</v>
      </c>
      <c r="G61" s="4">
        <v>45812</v>
      </c>
      <c r="H61" s="10">
        <v>81851</v>
      </c>
    </row>
    <row r="62" spans="1:8">
      <c r="A62" s="3">
        <v>61</v>
      </c>
      <c r="B62" s="4">
        <v>45860.611550925933</v>
      </c>
      <c r="C62" s="5" t="str">
        <v>Daihatsu Xenia (Badan)</v>
      </c>
      <c r="D62" s="5" t="str">
        <v>B3367HD</v>
      </c>
      <c r="E62" s="10">
        <v>31171</v>
      </c>
      <c r="F62" s="3" t="str">
        <v>Iya</v>
      </c>
      <c r="G62" s="4">
        <v>45818</v>
      </c>
      <c r="H62" s="10">
        <v>31171</v>
      </c>
    </row>
    <row r="63" spans="1:8">
      <c r="A63" s="3">
        <v>62</v>
      </c>
      <c r="B63" s="4">
        <v>45860.62672453704</v>
      </c>
      <c r="C63" s="5" t="str">
        <v>DAIHATSU GRANMAX PU AC PS 1.5 M/T</v>
      </c>
      <c r="D63" s="5" t="str">
        <v>B1654RAU</v>
      </c>
      <c r="E63" s="10">
        <v>21862</v>
      </c>
      <c r="F63" s="3" t="str">
        <v>Iya</v>
      </c>
      <c r="G63" s="4">
        <v>45770</v>
      </c>
      <c r="H63" s="10">
        <v>21862</v>
      </c>
    </row>
    <row r="64" spans="1:8">
      <c r="A64" s="3">
        <v>63</v>
      </c>
      <c r="B64" s="4">
        <v>45861.385613425933</v>
      </c>
      <c r="C64" s="5" t="str">
        <v>DAIHATSU GRANMAX PU AC PS 1.5 M/T</v>
      </c>
      <c r="D64" s="5" t="str">
        <v>B9303TI</v>
      </c>
      <c r="E64" s="10">
        <v>75576</v>
      </c>
      <c r="F64" s="3" t="str">
        <v>Iya</v>
      </c>
      <c r="G64" s="4">
        <v>45849</v>
      </c>
      <c r="H64" s="10">
        <v>75576</v>
      </c>
    </row>
    <row r="65" spans="1:8">
      <c r="A65" s="3">
        <v>64</v>
      </c>
      <c r="B65" s="4">
        <v>45861.500636574077</v>
      </c>
      <c r="C65" s="5" t="str">
        <v>Daihatsu Xenia (Badan)</v>
      </c>
      <c r="D65" s="5" t="str">
        <v>B3472IIU</v>
      </c>
      <c r="E65" s="10">
        <v>73213</v>
      </c>
      <c r="F65" s="3" t="str">
        <v>Iya</v>
      </c>
      <c r="G65" s="4">
        <v>45758</v>
      </c>
      <c r="H65" s="10">
        <v>73213</v>
      </c>
    </row>
    <row r="66" spans="1:8">
      <c r="A66" s="3">
        <v>65</v>
      </c>
      <c r="B66" s="4">
        <v>45861.58421296296</v>
      </c>
      <c r="C66" s="5" t="str">
        <v>Daihatsu Xenia (Badan)</v>
      </c>
      <c r="D66" s="5" t="str">
        <v>B2758UU</v>
      </c>
      <c r="E66" s="10">
        <v>14540</v>
      </c>
      <c r="F66" s="3" t="str">
        <v>Iya</v>
      </c>
      <c r="G66" s="4">
        <v>45677</v>
      </c>
      <c r="H66" s="10">
        <v>14540</v>
      </c>
    </row>
    <row r="67" spans="1:8">
      <c r="A67" s="3">
        <v>66</v>
      </c>
      <c r="B67" s="4">
        <v>45861.592650462961</v>
      </c>
      <c r="C67" s="5" t="str">
        <v>Daihatsu Xenia (Badan)</v>
      </c>
      <c r="D67" s="5" t="str">
        <v>B8054VY</v>
      </c>
      <c r="E67" s="10">
        <v>13568</v>
      </c>
      <c r="F67" s="3" t="str">
        <v>Iya</v>
      </c>
      <c r="G67" s="4">
        <v>45722</v>
      </c>
      <c r="H67" s="10">
        <v>13568</v>
      </c>
    </row>
    <row r="68" spans="1:8">
      <c r="A68" s="3">
        <v>67</v>
      </c>
      <c r="B68" s="4">
        <v>45861.630219907413</v>
      </c>
      <c r="C68" s="5" t="str">
        <v>DAIHATSU GRANMAX PU AC PS 1.5 M/T</v>
      </c>
      <c r="D68" s="5" t="str">
        <v>B4516ER</v>
      </c>
      <c r="E68" s="10">
        <v>72763</v>
      </c>
      <c r="F68" s="3" t="str">
        <v>Iya</v>
      </c>
      <c r="G68" s="4">
        <v>45642</v>
      </c>
      <c r="H68" s="10">
        <v>72763</v>
      </c>
    </row>
    <row r="69" spans="1:8">
      <c r="A69" s="3">
        <v>68</v>
      </c>
      <c r="B69" s="4">
        <v>45861.689282407409</v>
      </c>
      <c r="C69" s="5" t="str">
        <v>PICK UP TRAGA 2.5 4X2 MT D M/T</v>
      </c>
      <c r="D69" s="5" t="str">
        <v>AB4770WL</v>
      </c>
      <c r="E69" s="10">
        <v>38131</v>
      </c>
      <c r="F69" s="3" t="str">
        <v>Iya</v>
      </c>
      <c r="G69" s="4">
        <v>45713</v>
      </c>
      <c r="H69" s="10">
        <v>38131</v>
      </c>
    </row>
    <row r="70" spans="1:8">
      <c r="A70" s="3">
        <v>69</v>
      </c>
      <c r="B70" s="4">
        <v>45861.695902777778</v>
      </c>
      <c r="C70" s="5" t="str">
        <v>PICK UP TRAGA 2.5 4X2 MT D M/T</v>
      </c>
      <c r="D70" s="5" t="str">
        <v>B4899EX</v>
      </c>
      <c r="E70" s="10">
        <v>62014</v>
      </c>
      <c r="F70" s="3" t="str">
        <v>Iya</v>
      </c>
      <c r="G70" s="4">
        <v>45839</v>
      </c>
      <c r="H70" s="10">
        <v>62014</v>
      </c>
    </row>
    <row r="71" spans="1:8">
      <c r="A71" s="3">
        <v>70</v>
      </c>
      <c r="B71" s="4">
        <v>45861.719884259262</v>
      </c>
      <c r="C71" s="5" t="str">
        <v>Daihatsu Xenia (Badan)</v>
      </c>
      <c r="D71" s="5" t="str">
        <v>B7986SF</v>
      </c>
      <c r="E71" s="10">
        <v>30764</v>
      </c>
      <c r="F71" s="3" t="str">
        <v>Iya</v>
      </c>
      <c r="G71" s="4">
        <v>45798</v>
      </c>
      <c r="H71" s="10">
        <v>30764</v>
      </c>
    </row>
    <row r="72" spans="1:8">
      <c r="A72" s="3">
        <v>71</v>
      </c>
      <c r="B72" s="4">
        <v>45861.752708333333</v>
      </c>
      <c r="C72" s="5" t="str">
        <v>DAIHATSU GRANMAX PU AC PS 1.5 M/T</v>
      </c>
      <c r="D72" s="5" t="str">
        <v>B5472JN</v>
      </c>
      <c r="E72" s="10">
        <v>51255</v>
      </c>
      <c r="F72" s="3" t="str">
        <v>Iya</v>
      </c>
      <c r="G72" s="4">
        <v>45794</v>
      </c>
      <c r="H72" s="10">
        <v>51255</v>
      </c>
    </row>
    <row r="73" spans="1:8">
      <c r="A73" s="3">
        <v>72</v>
      </c>
      <c r="B73" s="4">
        <v>45862.332986111112</v>
      </c>
      <c r="C73" s="5" t="str">
        <v>PICK UP TRAGA 2.5 4X2 MT D M/T</v>
      </c>
      <c r="D73" s="5" t="str">
        <v>B2293BCX</v>
      </c>
      <c r="E73" s="10">
        <v>1544</v>
      </c>
      <c r="F73" s="3" t="str">
        <v>Iya</v>
      </c>
      <c r="G73" s="4">
        <v>45833</v>
      </c>
      <c r="H73" s="10">
        <v>1544</v>
      </c>
    </row>
    <row r="74" spans="1:8">
      <c r="A74" s="3">
        <v>73</v>
      </c>
      <c r="B74" s="4">
        <v>45862.427106481482</v>
      </c>
      <c r="C74" s="5" t="str">
        <v>Daihatsu Xenia (Badan)</v>
      </c>
      <c r="D74" s="5" t="str">
        <v>B9558JSZ</v>
      </c>
      <c r="E74" s="10">
        <v>8823</v>
      </c>
      <c r="F74" s="3" t="str">
        <v>Iya</v>
      </c>
      <c r="G74" s="4">
        <v>45834</v>
      </c>
      <c r="H74" s="10">
        <v>8823</v>
      </c>
    </row>
    <row r="75" spans="1:8">
      <c r="A75" s="3">
        <v>74</v>
      </c>
      <c r="B75" s="4">
        <v>45862.45103009259</v>
      </c>
      <c r="C75" s="5" t="str">
        <v>DAIHATSU GRANMAX PU AC PS 1.5 M/T</v>
      </c>
      <c r="D75" s="5" t="str">
        <v>B2344IM</v>
      </c>
      <c r="E75" s="10">
        <v>42348</v>
      </c>
      <c r="F75" s="3" t="str">
        <v>Iya</v>
      </c>
      <c r="G75" s="4">
        <v>45836</v>
      </c>
      <c r="H75" s="10">
        <v>42348</v>
      </c>
    </row>
    <row r="76" spans="1:8">
      <c r="A76" s="3">
        <v>75</v>
      </c>
      <c r="B76" s="4">
        <v>45862.455416666657</v>
      </c>
      <c r="C76" s="5" t="str">
        <v>Daihatsu Xenia (Badan)</v>
      </c>
      <c r="D76" s="5" t="str">
        <v>B2146GK</v>
      </c>
      <c r="E76" s="10">
        <v>40955</v>
      </c>
      <c r="F76" s="3" t="str">
        <v>Iya</v>
      </c>
      <c r="G76" s="4">
        <v>45815</v>
      </c>
      <c r="H76" s="10">
        <v>40955</v>
      </c>
    </row>
    <row r="77" spans="1:8">
      <c r="A77" s="3">
        <v>76</v>
      </c>
      <c r="B77" s="4">
        <v>45862.459467592591</v>
      </c>
      <c r="C77" s="5" t="str">
        <v>Daihatsu Xenia (Badan)</v>
      </c>
      <c r="D77" s="5" t="str">
        <v>B2924KX</v>
      </c>
      <c r="E77" s="10">
        <v>50870</v>
      </c>
      <c r="F77" s="3" t="str">
        <v>Iya</v>
      </c>
      <c r="G77" s="4">
        <v>45681</v>
      </c>
      <c r="H77" s="10">
        <v>50870</v>
      </c>
    </row>
    <row r="78" spans="1:8">
      <c r="A78" s="3">
        <v>77</v>
      </c>
      <c r="B78" s="4">
        <v>45862.492800925917</v>
      </c>
      <c r="C78" s="5" t="str">
        <v>Daihatsu Xenia (Badan)</v>
      </c>
      <c r="D78" s="5" t="str">
        <v>B3797RA</v>
      </c>
      <c r="E78" s="10">
        <v>4796</v>
      </c>
      <c r="F78" s="3" t="str">
        <v>Iya</v>
      </c>
      <c r="G78" s="4">
        <v>45797</v>
      </c>
      <c r="H78" s="10">
        <v>4796</v>
      </c>
    </row>
    <row r="79" spans="1:8">
      <c r="A79" s="3">
        <v>78</v>
      </c>
      <c r="B79" s="4">
        <v>45863.353703703702</v>
      </c>
      <c r="C79" s="5" t="str">
        <v>PICK UP TRAGA 2.5 4X2 MT D M/T</v>
      </c>
      <c r="D79" s="5" t="str">
        <v>B3111BU</v>
      </c>
      <c r="E79" s="10">
        <v>56142</v>
      </c>
      <c r="F79" s="3" t="str">
        <v>Iya</v>
      </c>
      <c r="G79" s="4">
        <v>45799</v>
      </c>
      <c r="H79" s="10">
        <v>56142</v>
      </c>
    </row>
    <row r="80" spans="1:8">
      <c r="A80" s="3">
        <v>79</v>
      </c>
      <c r="B80" s="4">
        <v>45865.592650462961</v>
      </c>
      <c r="C80" s="5" t="str">
        <v>PICK UP TRAGA 2.5 4X2 MT D M/T</v>
      </c>
      <c r="D80" s="5" t="str">
        <v>B2357HT</v>
      </c>
      <c r="E80" s="10">
        <v>61783</v>
      </c>
      <c r="F80" s="3" t="str">
        <v>Iya</v>
      </c>
      <c r="G80" s="4">
        <v>45811</v>
      </c>
      <c r="H80" s="10">
        <v>61783</v>
      </c>
    </row>
    <row r="81" spans="1:8">
      <c r="A81" s="3">
        <v>80</v>
      </c>
      <c r="B81" s="4">
        <v>45867.349062499998</v>
      </c>
      <c r="C81" s="5" t="str">
        <v>Daihatsu Xenia (Badan)</v>
      </c>
      <c r="D81" s="5" t="str">
        <v>B7247BU</v>
      </c>
      <c r="E81" s="10">
        <v>98400</v>
      </c>
      <c r="F81" s="3" t="str">
        <v>Iya</v>
      </c>
      <c r="G81" s="4">
        <v>45762</v>
      </c>
      <c r="H81" s="10">
        <v>98400</v>
      </c>
    </row>
    <row r="82" spans="1:8">
      <c r="A82" s="3">
        <v>81</v>
      </c>
      <c r="B82" s="4">
        <v>45867.389155092591</v>
      </c>
      <c r="C82" s="5" t="str">
        <v>Daihatsu Xenia (Badan)</v>
      </c>
      <c r="D82" s="5" t="str">
        <v>B9091PM</v>
      </c>
      <c r="E82" s="10">
        <v>32536</v>
      </c>
      <c r="F82" s="3" t="str">
        <v>Iya</v>
      </c>
      <c r="G82" s="4">
        <v>45785</v>
      </c>
      <c r="H82" s="10">
        <v>32536</v>
      </c>
    </row>
    <row r="83" spans="1:8">
      <c r="A83" s="3">
        <v>82</v>
      </c>
      <c r="B83" s="4">
        <v>45867.454988425918</v>
      </c>
      <c r="C83" s="5" t="str">
        <v>PICK UP TRAGA 2.5 4X2 MT D M/T</v>
      </c>
      <c r="D83" s="5" t="str">
        <v>B7495IAS</v>
      </c>
      <c r="E83" s="10">
        <v>55276</v>
      </c>
      <c r="F83" s="3" t="str">
        <v>Iya</v>
      </c>
      <c r="G83" s="4">
        <v>45826</v>
      </c>
      <c r="H83" s="10">
        <v>55276</v>
      </c>
    </row>
    <row r="84" spans="1:8">
      <c r="A84" s="3">
        <v>83</v>
      </c>
      <c r="B84" s="4">
        <v>45867.457662037043</v>
      </c>
      <c r="C84" s="5" t="str">
        <v>DAIHATSU GRANMAX PU AC PS 1.5 M/T</v>
      </c>
      <c r="D84" s="5" t="str">
        <v>AB8251AD</v>
      </c>
      <c r="E84" s="10">
        <v>29701</v>
      </c>
      <c r="F84" s="3" t="str">
        <v>Iya</v>
      </c>
      <c r="G84" s="4">
        <v>45839</v>
      </c>
      <c r="H84" s="10">
        <v>29701</v>
      </c>
    </row>
    <row r="85" spans="1:8">
      <c r="A85" s="3">
        <v>84</v>
      </c>
      <c r="B85" s="4">
        <v>45867.459108796298</v>
      </c>
      <c r="C85" s="5" t="str">
        <v>Daihatsu Xenia (Badan)</v>
      </c>
      <c r="D85" s="5" t="str">
        <v>B8191BIM</v>
      </c>
      <c r="E85" s="10">
        <v>85912</v>
      </c>
      <c r="F85" s="3" t="str">
        <v>Iya</v>
      </c>
      <c r="G85" s="4">
        <v>45665</v>
      </c>
      <c r="H85" s="10">
        <v>85912</v>
      </c>
    </row>
    <row r="86" spans="1:8">
      <c r="A86" s="3">
        <v>85</v>
      </c>
      <c r="B86" s="4">
        <v>45867.468101851853</v>
      </c>
      <c r="C86" s="5" t="str">
        <v>Daihatsu Xenia (Badan)</v>
      </c>
      <c r="D86" s="5" t="str">
        <v>B5062PCK</v>
      </c>
      <c r="E86" s="10">
        <v>86220</v>
      </c>
      <c r="F86" s="3" t="str">
        <v>Iya</v>
      </c>
      <c r="G86" s="4">
        <v>45841</v>
      </c>
      <c r="H86" s="10">
        <v>86220</v>
      </c>
    </row>
    <row r="87" spans="1:8">
      <c r="A87" s="3">
        <v>86</v>
      </c>
      <c r="B87" s="4">
        <v>45867.475138888891</v>
      </c>
      <c r="C87" s="5" t="str">
        <v>Daihatsu Xenia (Badan)</v>
      </c>
      <c r="D87" s="5" t="str">
        <v>B9679AL</v>
      </c>
      <c r="E87" s="10">
        <v>5198</v>
      </c>
      <c r="F87" s="3" t="str">
        <v>Iya</v>
      </c>
      <c r="G87" s="4">
        <v>45845</v>
      </c>
      <c r="H87" s="10">
        <v>5198</v>
      </c>
    </row>
    <row r="88" spans="1:8">
      <c r="A88" s="3">
        <v>87</v>
      </c>
      <c r="B88" s="4">
        <v>45867.484849537039</v>
      </c>
      <c r="C88" s="5" t="str">
        <v>PICK UP TRAGA 2.5 4X2 MT D M/T</v>
      </c>
      <c r="D88" s="5" t="str">
        <v>B2404HI</v>
      </c>
      <c r="E88" s="10">
        <v>32310</v>
      </c>
      <c r="F88" s="3" t="str">
        <v>Iya</v>
      </c>
      <c r="G88" s="4">
        <v>45866</v>
      </c>
      <c r="H88" s="10">
        <v>32310</v>
      </c>
    </row>
    <row r="89" spans="1:8">
      <c r="A89" s="3">
        <v>88</v>
      </c>
      <c r="B89" s="4">
        <v>45867.598194444443</v>
      </c>
      <c r="C89" s="5" t="str">
        <v>Daihatsu Xenia (Badan)</v>
      </c>
      <c r="D89" s="5" t="str">
        <v>B3412LI</v>
      </c>
      <c r="E89" s="10">
        <v>58039</v>
      </c>
      <c r="F89" s="3" t="str">
        <v>Iya</v>
      </c>
      <c r="G89" s="4">
        <v>45800</v>
      </c>
      <c r="H89" s="10">
        <v>58039</v>
      </c>
    </row>
    <row r="90" spans="1:8">
      <c r="A90" s="3">
        <v>89</v>
      </c>
      <c r="B90" s="4">
        <v>45867.605034722219</v>
      </c>
      <c r="C90" s="5" t="str">
        <v>DAIHATSU GRANMAX PU AC PS 1.5 M/T</v>
      </c>
      <c r="D90" s="5" t="str">
        <v>B9269SB</v>
      </c>
      <c r="E90" s="10">
        <v>1951</v>
      </c>
      <c r="F90" s="3" t="str">
        <v>Iya</v>
      </c>
      <c r="G90" s="4">
        <v>45783</v>
      </c>
      <c r="H90" s="10">
        <v>1951</v>
      </c>
    </row>
    <row r="91" spans="1:8">
      <c r="A91" s="3">
        <v>90</v>
      </c>
      <c r="B91" s="4">
        <v>45867.606851851851</v>
      </c>
      <c r="C91" s="5" t="str">
        <v>Daihatsu Xenia (Badan)</v>
      </c>
      <c r="D91" s="5" t="str">
        <v>B4121AL</v>
      </c>
      <c r="E91" s="10">
        <v>10923</v>
      </c>
      <c r="F91" s="3" t="str">
        <v>Iya</v>
      </c>
      <c r="G91" s="4">
        <v>45813</v>
      </c>
      <c r="H91" s="10">
        <v>10923</v>
      </c>
    </row>
    <row r="92" spans="1:8">
      <c r="A92" s="3">
        <v>91</v>
      </c>
      <c r="B92" s="4">
        <v>45867.662442129629</v>
      </c>
      <c r="C92" s="5" t="str">
        <v>Daihatsu Xenia (Badan)</v>
      </c>
      <c r="D92" s="5" t="str">
        <v>L1356IF</v>
      </c>
      <c r="E92" s="10">
        <v>13882</v>
      </c>
      <c r="F92" s="3" t="str">
        <v>Iya</v>
      </c>
      <c r="G92" s="4">
        <v>45763</v>
      </c>
      <c r="H92" s="10">
        <v>13882</v>
      </c>
    </row>
    <row r="93" spans="1:8">
      <c r="A93" s="3">
        <v>92</v>
      </c>
      <c r="B93" s="4">
        <v>45867.673807870371</v>
      </c>
      <c r="C93" s="5" t="str">
        <v>PICK UP TRAGA 2.5 4X2 MT D M/T</v>
      </c>
      <c r="D93" s="5" t="str">
        <v>B1901ZW</v>
      </c>
      <c r="E93" s="10">
        <v>7603</v>
      </c>
      <c r="F93" s="3" t="str">
        <v>Iya</v>
      </c>
      <c r="G93" s="4">
        <v>45850</v>
      </c>
      <c r="H93" s="10">
        <v>7603</v>
      </c>
    </row>
    <row r="94" spans="1:8">
      <c r="A94" s="3">
        <v>93</v>
      </c>
      <c r="B94" s="4">
        <v>45867.697152777779</v>
      </c>
      <c r="C94" s="5" t="str">
        <v>Daihatsu Xenia (Badan)</v>
      </c>
      <c r="D94" s="5" t="str">
        <v>B3279EV</v>
      </c>
      <c r="E94" s="10">
        <v>90683</v>
      </c>
      <c r="F94" s="3" t="str">
        <v>Iya</v>
      </c>
      <c r="G94" s="4">
        <v>45841</v>
      </c>
      <c r="H94" s="10">
        <v>90683</v>
      </c>
    </row>
    <row r="95" spans="1:8">
      <c r="A95" s="3">
        <v>94</v>
      </c>
      <c r="B95" s="4">
        <v>45867.747361111113</v>
      </c>
      <c r="C95" s="5" t="str">
        <v>Daihatsu Xenia (Badan)</v>
      </c>
      <c r="D95" s="5" t="str">
        <v>DD1053PKN</v>
      </c>
      <c r="E95" s="10">
        <v>32575</v>
      </c>
      <c r="F95" s="3" t="str">
        <v>Iya</v>
      </c>
      <c r="G95" s="4">
        <v>45850</v>
      </c>
      <c r="H95" s="10">
        <v>32575</v>
      </c>
    </row>
    <row r="96" spans="1:8">
      <c r="A96" s="3">
        <v>95</v>
      </c>
      <c r="B96" s="4">
        <v>45868.378969907397</v>
      </c>
      <c r="C96" s="5" t="str">
        <v>Daihatsu Xenia (Badan)</v>
      </c>
      <c r="D96" s="5" t="str">
        <v>H6631HJ</v>
      </c>
      <c r="E96" s="10">
        <v>10037</v>
      </c>
      <c r="F96" s="3" t="str">
        <v>Iya</v>
      </c>
      <c r="G96" s="4">
        <v>45866</v>
      </c>
      <c r="H96" s="10">
        <v>10037</v>
      </c>
    </row>
    <row r="97" spans="1:8">
      <c r="A97" s="3">
        <v>96</v>
      </c>
      <c r="B97" s="4">
        <v>45868.467210648138</v>
      </c>
      <c r="C97" s="5" t="str">
        <v>Daihatsu Xenia (Badan)</v>
      </c>
      <c r="D97" s="5" t="str">
        <v>KB4153HK</v>
      </c>
      <c r="E97" s="10">
        <v>41099</v>
      </c>
      <c r="F97" s="3" t="str">
        <v>Iya</v>
      </c>
      <c r="G97" s="4">
        <v>45799</v>
      </c>
      <c r="H97" s="10">
        <v>41099</v>
      </c>
    </row>
    <row r="98" spans="1:8">
      <c r="A98" s="3">
        <v>97</v>
      </c>
      <c r="B98" s="4">
        <v>45868.576435185183</v>
      </c>
      <c r="C98" s="5" t="str">
        <v>DAIHATSU GRANMAX PU AC PS 1.5 M/T</v>
      </c>
      <c r="D98" s="5" t="str">
        <v>B1416VGW</v>
      </c>
      <c r="E98" s="10">
        <v>44122</v>
      </c>
      <c r="F98" s="3" t="str">
        <v>Iya</v>
      </c>
      <c r="G98" s="4">
        <v>45757</v>
      </c>
      <c r="H98" s="10">
        <v>44122</v>
      </c>
    </row>
    <row r="99" spans="1:8">
      <c r="A99" s="3">
        <v>98</v>
      </c>
      <c r="B99" s="4">
        <v>45868.590173611112</v>
      </c>
      <c r="C99" s="5" t="str">
        <v>Daihatsu Xenia (Badan)</v>
      </c>
      <c r="D99" s="5" t="str">
        <v>B8704TJL</v>
      </c>
      <c r="E99" s="10">
        <v>65695</v>
      </c>
      <c r="F99" s="3" t="str">
        <v>Iya</v>
      </c>
      <c r="G99" s="4">
        <v>45762</v>
      </c>
      <c r="H99" s="10">
        <v>65695</v>
      </c>
    </row>
    <row r="100" spans="1:8">
      <c r="A100" s="3">
        <v>99</v>
      </c>
      <c r="B100" s="4">
        <v>45868.640451388892</v>
      </c>
      <c r="C100" s="5" t="str">
        <v>PICK UP TRAGA 2.5 4X2 MT D M/T</v>
      </c>
      <c r="D100" s="5" t="str">
        <v>B4900WYS</v>
      </c>
      <c r="E100" s="10">
        <v>29549</v>
      </c>
      <c r="F100" s="3" t="str">
        <v>Iya</v>
      </c>
      <c r="G100" s="4">
        <v>45799</v>
      </c>
      <c r="H100" s="10">
        <v>29549</v>
      </c>
    </row>
    <row r="101" spans="1:8">
      <c r="A101" s="3">
        <v>100</v>
      </c>
      <c r="B101" s="4">
        <v>45868.656111111108</v>
      </c>
      <c r="C101" s="5" t="str">
        <v>Daihatsu Xenia (Badan)</v>
      </c>
      <c r="D101" s="5" t="str">
        <v>AB6497MM</v>
      </c>
      <c r="E101" s="10">
        <v>15123</v>
      </c>
      <c r="F101" s="3" t="str">
        <v>Iya</v>
      </c>
      <c r="G101" s="4">
        <v>45785</v>
      </c>
      <c r="H101" s="10">
        <v>15123</v>
      </c>
    </row>
    <row r="102" spans="1:8">
      <c r="A102" s="3">
        <v>101</v>
      </c>
      <c r="B102" s="4">
        <v>45869.827974537038</v>
      </c>
      <c r="C102" s="5" t="str">
        <v>DAIHATSU GRANMAX PU AC PS 1.5 M/T</v>
      </c>
      <c r="D102" s="5" t="str">
        <v>B6642GE</v>
      </c>
      <c r="E102" s="10">
        <v>7374</v>
      </c>
      <c r="F102" s="3" t="str">
        <v>Iya</v>
      </c>
      <c r="G102" s="4">
        <v>45900</v>
      </c>
      <c r="H102" s="10">
        <v>7374</v>
      </c>
    </row>
    <row r="103" spans="1:8">
      <c r="A103" s="3">
        <v>102</v>
      </c>
      <c r="B103" s="4">
        <v>45870.459675925929</v>
      </c>
      <c r="C103" s="5" t="str">
        <v>PICK UP TRAGA 2.5 4X2 MT D M/T</v>
      </c>
      <c r="D103" s="5" t="str">
        <v>L4298GD</v>
      </c>
      <c r="E103" s="10">
        <v>93138</v>
      </c>
      <c r="F103" s="3" t="str">
        <v>Iya</v>
      </c>
      <c r="G103" s="4">
        <v>45784</v>
      </c>
      <c r="H103" s="10">
        <v>93138</v>
      </c>
    </row>
    <row r="104" spans="1:8">
      <c r="A104" s="3">
        <v>103</v>
      </c>
      <c r="B104" s="4">
        <v>45870.464016203703</v>
      </c>
      <c r="C104" s="5" t="str">
        <v>Daihatsu Xenia (Badan)</v>
      </c>
      <c r="D104" s="5" t="str">
        <v>B1377ZP</v>
      </c>
      <c r="E104" s="10">
        <v>48797</v>
      </c>
      <c r="F104" s="3" t="str">
        <v>Iya</v>
      </c>
      <c r="G104" s="4">
        <v>45768</v>
      </c>
      <c r="H104" s="10">
        <v>48797</v>
      </c>
    </row>
    <row r="105" spans="1:8">
      <c r="A105" s="3">
        <v>104</v>
      </c>
      <c r="B105" s="4">
        <v>45870.571516203701</v>
      </c>
      <c r="C105" s="5" t="str">
        <v>Daihatsu Xenia (Badan)</v>
      </c>
      <c r="D105" s="5" t="str">
        <v>B1711ZJR</v>
      </c>
      <c r="E105" s="10">
        <v>8674</v>
      </c>
      <c r="F105" s="3" t="str">
        <v>Iya</v>
      </c>
      <c r="G105" s="4">
        <v>45848</v>
      </c>
      <c r="H105" s="10">
        <v>8674</v>
      </c>
    </row>
    <row r="106" spans="1:8">
      <c r="A106" s="3">
        <v>105</v>
      </c>
      <c r="B106" s="4">
        <v>45870.604259259257</v>
      </c>
      <c r="C106" s="5" t="str">
        <v>Daihatsu Xenia (Badan)</v>
      </c>
      <c r="D106" s="5" t="str">
        <v>B4767TPQ</v>
      </c>
      <c r="E106" s="10">
        <v>58198</v>
      </c>
      <c r="F106" s="3" t="str">
        <v>Iya</v>
      </c>
      <c r="G106" s="4">
        <v>45819</v>
      </c>
      <c r="H106" s="10">
        <v>58198</v>
      </c>
    </row>
    <row r="107" spans="1:8">
      <c r="A107" s="3">
        <v>106</v>
      </c>
      <c r="B107" s="4">
        <v>45870.63559027778</v>
      </c>
      <c r="C107" s="5" t="str">
        <v>Daihatsu Xenia (Badan)</v>
      </c>
      <c r="D107" s="5" t="str">
        <v>B1995JFG</v>
      </c>
      <c r="E107" s="10">
        <v>30534</v>
      </c>
      <c r="F107" s="3" t="str">
        <v>Iya</v>
      </c>
      <c r="G107" s="4">
        <v>45689</v>
      </c>
      <c r="H107" s="10">
        <v>30534</v>
      </c>
    </row>
    <row r="108" spans="1:8">
      <c r="A108" s="3">
        <v>107</v>
      </c>
      <c r="B108" s="4">
        <v>45873.434201388889</v>
      </c>
      <c r="C108" s="5" t="str">
        <v>Daihatsu Xenia (Badan)</v>
      </c>
      <c r="D108" s="5" t="str">
        <v>B2637VB</v>
      </c>
      <c r="E108" s="10">
        <v>12955</v>
      </c>
      <c r="F108" s="3" t="str">
        <v>Iya</v>
      </c>
      <c r="G108" s="4">
        <v>45809</v>
      </c>
      <c r="H108" s="10">
        <v>12955</v>
      </c>
    </row>
    <row r="109" spans="1:8">
      <c r="A109" s="3">
        <v>108</v>
      </c>
      <c r="B109" s="4">
        <v>45876.465567129628</v>
      </c>
      <c r="C109" s="5" t="str">
        <v>PICK UP TRAGA 2.5 4X2 MT D M/T</v>
      </c>
      <c r="D109" s="5" t="str">
        <v>DD5533EI</v>
      </c>
      <c r="E109" s="10">
        <v>89320</v>
      </c>
      <c r="F109" s="3" t="str">
        <v>Iya</v>
      </c>
      <c r="G109" s="4">
        <v>45821</v>
      </c>
      <c r="H109" s="10">
        <v>89320</v>
      </c>
    </row>
    <row r="110" spans="1:8">
      <c r="A110" s="3">
        <v>109</v>
      </c>
      <c r="B110" s="4">
        <v>45876.652395833327</v>
      </c>
      <c r="C110" s="5" t="str">
        <v>PICK UP TRAGA 2.5 4X2 MT D M/T</v>
      </c>
      <c r="D110" s="5" t="str">
        <v>B5280HWW</v>
      </c>
      <c r="E110" s="10">
        <v>54122</v>
      </c>
      <c r="F110" s="3" t="str">
        <v>Iya</v>
      </c>
      <c r="G110" s="4">
        <v>45728</v>
      </c>
      <c r="H110" s="10">
        <v>54122</v>
      </c>
    </row>
    <row r="111" spans="1:8">
      <c r="A111" s="3">
        <v>110</v>
      </c>
      <c r="B111" s="4">
        <v>45878.596585648149</v>
      </c>
      <c r="C111" s="5" t="str">
        <v>Daihatsu Xenia (Badan)</v>
      </c>
      <c r="D111" s="5" t="str">
        <v>DB3636AJ</v>
      </c>
      <c r="E111" s="10">
        <v>32372</v>
      </c>
      <c r="F111" s="3" t="str">
        <v>Iya</v>
      </c>
      <c r="G111" s="4">
        <v>45723</v>
      </c>
      <c r="H111" s="10">
        <v>32372</v>
      </c>
    </row>
    <row r="112" spans="1:8">
      <c r="A112" s="3">
        <v>111</v>
      </c>
      <c r="B112" s="4">
        <v>45880.579652777778</v>
      </c>
      <c r="C112" s="5" t="str">
        <v>PICK UP TRAGA 2.5 4X2 MT D M/T</v>
      </c>
      <c r="D112" s="5" t="str">
        <v>BE6556LIU</v>
      </c>
      <c r="E112" s="10">
        <v>19067</v>
      </c>
      <c r="F112" s="3" t="str">
        <v>Iya</v>
      </c>
      <c r="G112" s="4">
        <v>45854</v>
      </c>
      <c r="H112" s="10">
        <v>19067</v>
      </c>
    </row>
    <row r="113" spans="1:8">
      <c r="A113" s="3">
        <v>112</v>
      </c>
      <c r="B113" s="4">
        <v>45882.595381944448</v>
      </c>
      <c r="C113" s="5" t="str">
        <v>Daihatsu Xenia (Badan)</v>
      </c>
      <c r="D113" s="5" t="str">
        <v>B4121AL</v>
      </c>
      <c r="E113" s="10">
        <v>236</v>
      </c>
      <c r="F113" s="3" t="str">
        <v>Iya</v>
      </c>
      <c r="G113" s="4">
        <v>45813</v>
      </c>
      <c r="H113" s="10">
        <v>236</v>
      </c>
    </row>
    <row r="114" spans="1:8">
      <c r="A114" s="3">
        <v>113</v>
      </c>
      <c r="B114" s="4">
        <v>45944.640185185177</v>
      </c>
      <c r="C114" s="5" t="str">
        <v>Daihatsu Xenia (Badan)</v>
      </c>
      <c r="D114" s="5" t="str">
        <v>B7949TY</v>
      </c>
      <c r="E114" s="10">
        <v>23777</v>
      </c>
      <c r="F114" s="3" t="str">
        <v>Iya</v>
      </c>
      <c r="G114" s="4">
        <v>45895</v>
      </c>
      <c r="H114" s="10">
        <v>23777</v>
      </c>
    </row>
    <row r="115" spans="1:8">
      <c r="A115" s="3">
        <v>114</v>
      </c>
      <c r="B115" s="4">
        <v>45890.665254629632</v>
      </c>
      <c r="C115" s="5" t="str">
        <v>DAIHATSU GRANMAX PU AC PS 1.5 M/T</v>
      </c>
      <c r="D115" s="5" t="str">
        <v>B9244CQQ</v>
      </c>
      <c r="E115" s="10">
        <v>4161</v>
      </c>
      <c r="F115" s="3" t="str">
        <v>Iya</v>
      </c>
      <c r="G115" s="4">
        <v>45881</v>
      </c>
      <c r="H115" s="10">
        <v>4161</v>
      </c>
    </row>
    <row r="116" spans="1:8">
      <c r="A116" s="3">
        <v>115</v>
      </c>
      <c r="B116" s="4">
        <v>45890.682916666658</v>
      </c>
      <c r="C116" s="5" t="str">
        <v>Daihatsu Xenia (Badan)</v>
      </c>
      <c r="D116" s="5" t="str">
        <v>B2834CX</v>
      </c>
      <c r="E116" s="10">
        <v>21933</v>
      </c>
      <c r="F116" s="3" t="str">
        <v>Iya</v>
      </c>
      <c r="G116" s="4">
        <v>45876</v>
      </c>
      <c r="H116" s="10">
        <v>21933</v>
      </c>
    </row>
    <row r="117" spans="1:8">
      <c r="A117" s="3">
        <v>116</v>
      </c>
      <c r="B117" s="4">
        <v>45890.696018518523</v>
      </c>
      <c r="C117" s="5" t="str">
        <v>PICK UP TRAGA 2.5 4X2 MT D M/T</v>
      </c>
      <c r="D117" s="5" t="str">
        <v>B8342NSJ</v>
      </c>
      <c r="E117" s="10">
        <v>41660</v>
      </c>
      <c r="F117" s="3" t="str">
        <v>Iya</v>
      </c>
      <c r="G117" s="4">
        <v>45770</v>
      </c>
      <c r="H117" s="10">
        <v>41660</v>
      </c>
    </row>
    <row r="118" spans="1:8">
      <c r="A118" s="3">
        <v>117</v>
      </c>
      <c r="B118" s="4">
        <v>45890.73364583333</v>
      </c>
      <c r="C118" s="5" t="str">
        <v>Daihatsu Xenia (Badan)</v>
      </c>
      <c r="D118" s="5" t="str">
        <v>B3367HD</v>
      </c>
      <c r="E118" s="10">
        <v>37616</v>
      </c>
      <c r="F118" s="3" t="str">
        <v>Iya</v>
      </c>
      <c r="G118" s="4">
        <v>45818</v>
      </c>
      <c r="H118" s="10">
        <v>37616</v>
      </c>
    </row>
    <row r="119" spans="1:8">
      <c r="A119" s="3">
        <v>118</v>
      </c>
      <c r="B119" s="4">
        <v>45890.741990740738</v>
      </c>
      <c r="C119" s="5" t="str">
        <v>PICK UP TRAGA 2.5 4X2 MT D M/T</v>
      </c>
      <c r="D119" s="5" t="str">
        <v>B9897TAZ</v>
      </c>
      <c r="E119" s="10">
        <v>28019</v>
      </c>
      <c r="F119" s="3" t="str">
        <v>Iya</v>
      </c>
      <c r="G119" s="4">
        <v>45845</v>
      </c>
      <c r="H119" s="10">
        <v>28019</v>
      </c>
    </row>
    <row r="120" spans="1:8">
      <c r="A120" s="3">
        <v>119</v>
      </c>
      <c r="B120" s="4">
        <v>45890.800381944442</v>
      </c>
      <c r="C120" s="5" t="str">
        <v>DAIHATSU GRANMAX PU AC PS 1.5 M/T</v>
      </c>
      <c r="D120" s="5" t="str">
        <v>B9529CGF</v>
      </c>
      <c r="E120" s="10">
        <v>16814</v>
      </c>
      <c r="F120" s="3" t="str">
        <v>Iya</v>
      </c>
      <c r="G120" s="4">
        <v>45736</v>
      </c>
      <c r="H120" s="10">
        <v>16814</v>
      </c>
    </row>
    <row r="121" spans="1:8">
      <c r="A121" s="3">
        <v>120</v>
      </c>
      <c r="B121" s="4">
        <v>45891.306643518517</v>
      </c>
      <c r="C121" s="5" t="str">
        <v>DAIHATSU GRANMAX PU AC PS 1.5 M/T</v>
      </c>
      <c r="D121" s="5" t="str">
        <v>B4952MY</v>
      </c>
      <c r="E121" s="10">
        <v>23018</v>
      </c>
      <c r="F121" s="3" t="str">
        <v>Iya</v>
      </c>
      <c r="G121" s="4">
        <v>45861</v>
      </c>
      <c r="H121" s="10">
        <v>23018</v>
      </c>
    </row>
    <row r="122" spans="1:8">
      <c r="A122" s="3">
        <v>121</v>
      </c>
      <c r="B122" s="4">
        <v>45891.322870370372</v>
      </c>
      <c r="C122" s="5" t="str">
        <v>PICK UP TRAGA 2.5 4X2 MT D M/T</v>
      </c>
      <c r="D122" s="5" t="str">
        <v>B5280HWW</v>
      </c>
      <c r="E122" s="10">
        <v>58114</v>
      </c>
      <c r="F122" s="3" t="str">
        <v>Iya</v>
      </c>
      <c r="G122" s="4">
        <v>45737</v>
      </c>
      <c r="H122" s="10">
        <v>58114</v>
      </c>
    </row>
    <row r="123" spans="1:8">
      <c r="A123" s="3">
        <v>122</v>
      </c>
      <c r="B123" s="4">
        <v>45891.35355324074</v>
      </c>
      <c r="C123" s="5" t="str">
        <v>DAIHATSU GRANMAX PU AC PS 1.5 M/T</v>
      </c>
      <c r="D123" s="5" t="str">
        <v>AB8251AD</v>
      </c>
      <c r="E123" s="10">
        <v>30012</v>
      </c>
      <c r="F123" s="3" t="str">
        <v>Iya</v>
      </c>
      <c r="G123" s="4">
        <v>45839</v>
      </c>
      <c r="H123" s="10">
        <v>30012</v>
      </c>
    </row>
    <row r="124" spans="1:8">
      <c r="A124" s="3">
        <v>123</v>
      </c>
      <c r="B124" s="4">
        <v>45891.362708333327</v>
      </c>
      <c r="C124" s="5" t="str">
        <v>Daihatsu Xenia (Badan)</v>
      </c>
      <c r="D124" s="5" t="str">
        <v>B8191BIM</v>
      </c>
      <c r="E124" s="10">
        <v>91486</v>
      </c>
      <c r="F124" s="3" t="str">
        <v>Iya</v>
      </c>
      <c r="G124" s="4">
        <v>45876</v>
      </c>
      <c r="H124" s="10">
        <v>91486</v>
      </c>
    </row>
    <row r="125" spans="1:8">
      <c r="A125" s="3">
        <v>124</v>
      </c>
      <c r="B125" s="4">
        <v>45891.373194444437</v>
      </c>
      <c r="C125" s="5" t="str">
        <v>DAIHATSU GRANMAX PU AC PS 1.5 M/T</v>
      </c>
      <c r="D125" s="5" t="str">
        <v>B8857PYD</v>
      </c>
      <c r="E125" s="10">
        <v>2464</v>
      </c>
      <c r="F125" s="3" t="str">
        <v>Iya</v>
      </c>
      <c r="G125" s="4">
        <v>45838</v>
      </c>
      <c r="H125" s="10">
        <v>2464</v>
      </c>
    </row>
    <row r="126" spans="1:8">
      <c r="A126" s="3">
        <v>125</v>
      </c>
      <c r="B126" s="4">
        <v>45891.375821759262</v>
      </c>
      <c r="C126" s="5" t="str">
        <v>PICK UP TRAGA 2.5 4X2 MT D M/T</v>
      </c>
      <c r="D126" s="5" t="str">
        <v>B4900WYS</v>
      </c>
      <c r="E126" s="10">
        <v>33443</v>
      </c>
      <c r="F126" s="3" t="str">
        <v>Iya</v>
      </c>
      <c r="G126" s="4">
        <v>45793</v>
      </c>
      <c r="H126" s="10">
        <v>33443</v>
      </c>
    </row>
    <row r="127" spans="1:8">
      <c r="A127" s="3">
        <v>126</v>
      </c>
      <c r="B127" s="4">
        <v>45891.384131944447</v>
      </c>
      <c r="C127" s="5" t="str">
        <v>Daihatsu Xenia (Badan)</v>
      </c>
      <c r="D127" s="5" t="str">
        <v>B7986SF</v>
      </c>
      <c r="E127" s="10">
        <v>32083</v>
      </c>
      <c r="F127" s="3" t="str">
        <v>Iya</v>
      </c>
      <c r="G127" s="4">
        <v>45798</v>
      </c>
      <c r="H127" s="10">
        <v>32083</v>
      </c>
    </row>
    <row r="128" spans="1:8">
      <c r="A128" s="3">
        <v>127</v>
      </c>
      <c r="B128" s="4">
        <v>45891.402071759258</v>
      </c>
      <c r="C128" s="5" t="str">
        <v>Daihatsu Xenia (Badan)</v>
      </c>
      <c r="D128" s="5" t="str">
        <v>B2758UU</v>
      </c>
      <c r="E128" s="10">
        <v>14603</v>
      </c>
      <c r="F128" s="3" t="str">
        <v>Iya</v>
      </c>
      <c r="G128" s="4">
        <v>45862</v>
      </c>
      <c r="H128" s="10">
        <v>14603</v>
      </c>
    </row>
    <row r="129" spans="1:8">
      <c r="A129" s="3">
        <v>128</v>
      </c>
      <c r="B129" s="4">
        <v>45891.428425925929</v>
      </c>
      <c r="C129" s="5" t="str">
        <v>Daihatsu Xenia (Badan)</v>
      </c>
      <c r="D129" s="5" t="str">
        <v>B9653KV</v>
      </c>
      <c r="E129" s="10">
        <v>42914</v>
      </c>
      <c r="F129" s="3" t="str">
        <v>Iya</v>
      </c>
      <c r="G129" s="4">
        <v>45889</v>
      </c>
      <c r="H129" s="10">
        <v>42914</v>
      </c>
    </row>
    <row r="130" spans="1:8">
      <c r="A130" s="3">
        <v>129</v>
      </c>
      <c r="B130" s="4">
        <v>45891.442685185182</v>
      </c>
      <c r="C130" s="5" t="str">
        <v>PICK UP TRAGA 2.5 4X2 MT D M/T</v>
      </c>
      <c r="D130" s="5" t="str">
        <v>AB2665QJP</v>
      </c>
      <c r="E130" s="10">
        <v>39192</v>
      </c>
      <c r="F130" s="3" t="str">
        <v>Iya</v>
      </c>
      <c r="G130" s="4">
        <v>45891</v>
      </c>
      <c r="H130" s="10">
        <v>39192</v>
      </c>
    </row>
    <row r="131" spans="1:8">
      <c r="A131" s="3">
        <v>130</v>
      </c>
      <c r="B131" s="4">
        <v>45891.505729166667</v>
      </c>
      <c r="C131" s="5" t="str">
        <v>Daihatsu Xenia (Badan)</v>
      </c>
      <c r="D131" s="5" t="str">
        <v>B3590QLB</v>
      </c>
      <c r="E131" s="10">
        <v>18360</v>
      </c>
      <c r="F131" s="3" t="str">
        <v>Iya</v>
      </c>
      <c r="G131" s="4">
        <v>45852</v>
      </c>
      <c r="H131" s="10">
        <v>18360</v>
      </c>
    </row>
    <row r="132" spans="1:8">
      <c r="A132" s="3">
        <v>131</v>
      </c>
      <c r="B132" s="4">
        <v>45891.574884259258</v>
      </c>
      <c r="C132" s="5" t="str">
        <v>Daihatsu Xenia (Badan)</v>
      </c>
      <c r="D132" s="5" t="str">
        <v>KT6033ET</v>
      </c>
      <c r="E132" s="10">
        <v>41363</v>
      </c>
      <c r="F132" s="3" t="str">
        <v>Iya</v>
      </c>
      <c r="G132" s="4">
        <v>45790</v>
      </c>
      <c r="H132" s="10">
        <v>41363</v>
      </c>
    </row>
    <row r="133" spans="1:8">
      <c r="A133" s="3">
        <v>132</v>
      </c>
      <c r="B133" s="4">
        <v>45891.599687499998</v>
      </c>
      <c r="C133" s="5" t="str">
        <v>Daihatsu Xenia (Badan)</v>
      </c>
      <c r="D133" s="5" t="str">
        <v>B8137WEW</v>
      </c>
      <c r="E133" s="10">
        <v>38168</v>
      </c>
      <c r="F133" s="3" t="str">
        <v>Iya</v>
      </c>
      <c r="G133" s="4">
        <v>45825</v>
      </c>
      <c r="H133" s="10">
        <v>38168</v>
      </c>
    </row>
    <row r="134" spans="1:8">
      <c r="A134" s="3">
        <v>133</v>
      </c>
      <c r="B134" s="4">
        <v>45891.613564814812</v>
      </c>
      <c r="C134" s="5" t="str">
        <v>Daihatsu Xenia (Badan)</v>
      </c>
      <c r="D134" s="5" t="str">
        <v>B2925QZ</v>
      </c>
      <c r="E134" s="10">
        <v>26434</v>
      </c>
      <c r="F134" s="3" t="str">
        <v>Iya</v>
      </c>
      <c r="G134" s="4">
        <v>45756</v>
      </c>
      <c r="H134" s="10">
        <v>26434</v>
      </c>
    </row>
    <row r="135" spans="1:8">
      <c r="A135" s="3">
        <v>134</v>
      </c>
      <c r="B135" s="4">
        <v>45891.619027777779</v>
      </c>
      <c r="C135" s="5" t="str">
        <v>PICK UP TRAGA 2.5 4X2 MT D M/T</v>
      </c>
      <c r="D135" s="5" t="str">
        <v>B4234ME</v>
      </c>
      <c r="E135" s="10">
        <v>46217</v>
      </c>
      <c r="F135" s="3" t="str">
        <v>Iya</v>
      </c>
      <c r="G135" s="4">
        <v>45820</v>
      </c>
      <c r="H135" s="10">
        <v>46217</v>
      </c>
    </row>
    <row r="136" spans="1:8">
      <c r="A136" s="3">
        <v>135</v>
      </c>
      <c r="B136" s="4">
        <v>45891.651331018518</v>
      </c>
      <c r="C136" s="5" t="str">
        <v>DAIHATSU GRANMAX PU AC PS 1.5 M/T</v>
      </c>
      <c r="D136" s="5" t="str">
        <v>B2344IM</v>
      </c>
      <c r="E136" s="10">
        <v>43703</v>
      </c>
      <c r="F136" s="3" t="str">
        <v>Iya</v>
      </c>
      <c r="G136" s="4">
        <v>45836</v>
      </c>
      <c r="H136" s="10">
        <v>43703</v>
      </c>
    </row>
    <row r="137" spans="1:8">
      <c r="A137" s="3">
        <v>136</v>
      </c>
      <c r="B137" s="4">
        <v>45891.671875</v>
      </c>
      <c r="C137" s="5" t="str">
        <v>PICK UP TRAGA 2.5 4X2 MT D M/T</v>
      </c>
      <c r="D137" s="5" t="str">
        <v>B7875XVS</v>
      </c>
      <c r="E137" s="10">
        <v>17603</v>
      </c>
      <c r="F137" s="3" t="str">
        <v>Iya</v>
      </c>
      <c r="G137" s="4">
        <v>45812</v>
      </c>
      <c r="H137" s="10">
        <v>17603</v>
      </c>
    </row>
    <row r="138" spans="1:8">
      <c r="A138" s="3">
        <v>137</v>
      </c>
      <c r="B138" s="4">
        <v>45891.689884259264</v>
      </c>
      <c r="C138" s="5" t="str">
        <v>PICK UP TRAGA 2.5 4X2 MT D M/T</v>
      </c>
      <c r="D138" s="5" t="str">
        <v>B8895WT</v>
      </c>
      <c r="E138" s="10">
        <v>1485</v>
      </c>
      <c r="F138" s="3" t="str">
        <v>Iya</v>
      </c>
      <c r="G138" s="4">
        <v>45861</v>
      </c>
      <c r="H138" s="10">
        <v>1485</v>
      </c>
    </row>
    <row r="139" spans="1:8">
      <c r="A139" s="3">
        <v>138</v>
      </c>
      <c r="B139" s="4">
        <v>45891.738865740743</v>
      </c>
      <c r="C139" s="5" t="str">
        <v>DAIHATSU GRANMAX PU AC PS 1.5 M/T</v>
      </c>
      <c r="D139" s="5" t="str">
        <v>B7991VB</v>
      </c>
      <c r="E139" s="10">
        <v>14009</v>
      </c>
      <c r="F139" s="3" t="str">
        <v>Iya</v>
      </c>
      <c r="G139" s="4">
        <v>45766</v>
      </c>
      <c r="H139" s="10">
        <v>14009</v>
      </c>
    </row>
    <row r="140" spans="1:8">
      <c r="A140" s="3">
        <v>139</v>
      </c>
      <c r="B140" s="4">
        <v>45891.739351851851</v>
      </c>
      <c r="C140" s="5" t="str">
        <v>DAIHATSU GRANMAX PU AC PS 1.5 M/T</v>
      </c>
      <c r="D140" s="5" t="str">
        <v>KB5129KHN</v>
      </c>
      <c r="E140" s="10">
        <v>57802</v>
      </c>
      <c r="F140" s="3" t="str">
        <v>Iya</v>
      </c>
      <c r="G140" s="4">
        <v>45845</v>
      </c>
      <c r="H140" s="10">
        <v>57802</v>
      </c>
    </row>
    <row r="141" spans="1:8">
      <c r="A141" s="3">
        <v>140</v>
      </c>
      <c r="B141" s="4">
        <v>45891.787222222221</v>
      </c>
      <c r="C141" s="5" t="str">
        <v>PICK UP TRAGA 2.5 4X2 MT D M/T</v>
      </c>
      <c r="D141" s="5" t="str">
        <v>B3271BYK</v>
      </c>
      <c r="E141" s="10">
        <v>28211</v>
      </c>
      <c r="F141" s="3" t="str">
        <v>Iya</v>
      </c>
      <c r="G141" s="4">
        <v>45764</v>
      </c>
      <c r="H141" s="10">
        <v>28211</v>
      </c>
    </row>
    <row r="142" spans="1:8">
      <c r="A142" s="3">
        <v>141</v>
      </c>
      <c r="B142" s="4">
        <v>45891.848599537043</v>
      </c>
      <c r="C142" s="5" t="str">
        <v>DAIHATSU GRANMAX PU AC PS 1.5 M/T</v>
      </c>
      <c r="D142" s="5" t="str">
        <v>B2766FHW</v>
      </c>
      <c r="E142" s="10">
        <v>6147</v>
      </c>
      <c r="F142" s="3" t="str">
        <v>Iya</v>
      </c>
      <c r="G142" s="4">
        <v>45878</v>
      </c>
      <c r="H142" s="10">
        <v>6147</v>
      </c>
    </row>
    <row r="143" spans="1:8">
      <c r="A143" s="3">
        <v>142</v>
      </c>
      <c r="B143" s="4">
        <v>45891.878506944442</v>
      </c>
      <c r="C143" s="5" t="str">
        <v>Daihatsu Xenia (Badan)</v>
      </c>
      <c r="D143" s="5" t="str">
        <v>B9091PM</v>
      </c>
      <c r="E143" s="10">
        <v>30018</v>
      </c>
      <c r="F143" s="3" t="str">
        <v>Iya</v>
      </c>
      <c r="G143" s="4">
        <v>45785</v>
      </c>
      <c r="H143" s="10">
        <v>30018</v>
      </c>
    </row>
    <row r="144" spans="1:8">
      <c r="A144" s="3">
        <v>143</v>
      </c>
      <c r="B144" s="4">
        <v>45892.33965277778</v>
      </c>
      <c r="C144" s="5" t="str">
        <v>DAIHATSU GRANMAX PU AC PS 1.5 M/T</v>
      </c>
      <c r="D144" s="5" t="str">
        <v>B3806AFA</v>
      </c>
      <c r="E144" s="10">
        <v>74586</v>
      </c>
      <c r="F144" s="3" t="str">
        <v>Iya</v>
      </c>
      <c r="G144" s="4">
        <v>45701</v>
      </c>
      <c r="H144" s="10">
        <v>74586</v>
      </c>
    </row>
    <row r="145" spans="1:8">
      <c r="A145" s="3">
        <v>144</v>
      </c>
      <c r="B145" s="4">
        <v>45892.355636574073</v>
      </c>
      <c r="C145" s="5" t="str">
        <v>PICK UP TRAGA 2.5 4X2 MT D M/T</v>
      </c>
      <c r="D145" s="5" t="str">
        <v>B3111BU</v>
      </c>
      <c r="E145" s="10">
        <v>55140</v>
      </c>
      <c r="F145" s="3" t="str">
        <v>Iya</v>
      </c>
      <c r="G145" s="4">
        <v>45799</v>
      </c>
      <c r="H145" s="10">
        <v>55140</v>
      </c>
    </row>
    <row r="146" spans="1:8">
      <c r="A146" s="3">
        <v>145</v>
      </c>
      <c r="B146" s="4">
        <v>45892.385891203703</v>
      </c>
      <c r="C146" s="5" t="str">
        <v>Daihatsu Xenia (Badan)</v>
      </c>
      <c r="D146" s="5" t="str">
        <v>B3279EV</v>
      </c>
      <c r="E146" s="10">
        <v>105449</v>
      </c>
      <c r="F146" s="3" t="str">
        <v>Iya</v>
      </c>
      <c r="G146" s="4">
        <v>45841</v>
      </c>
      <c r="H146" s="10">
        <v>105449</v>
      </c>
    </row>
    <row r="147" spans="1:8">
      <c r="A147" s="3">
        <v>146</v>
      </c>
      <c r="B147" s="4">
        <v>45892.421701388892</v>
      </c>
      <c r="C147" s="5" t="str">
        <v>Daihatsu Xenia (Badan)</v>
      </c>
      <c r="D147" s="5" t="str">
        <v>DA3899XS</v>
      </c>
      <c r="E147" s="10">
        <v>275</v>
      </c>
      <c r="F147" s="3" t="str">
        <v>Iya</v>
      </c>
      <c r="G147" s="4">
        <v>45875</v>
      </c>
      <c r="H147" s="10">
        <v>275</v>
      </c>
    </row>
    <row r="148" spans="1:8">
      <c r="A148" s="3">
        <v>147</v>
      </c>
      <c r="B148" s="4">
        <v>45892.500983796293</v>
      </c>
      <c r="C148" s="5" t="str">
        <v>Daihatsu Xenia (Badan)</v>
      </c>
      <c r="D148" s="5" t="str">
        <v>B8763MP</v>
      </c>
      <c r="E148" s="10">
        <v>87728</v>
      </c>
      <c r="F148" s="3" t="str">
        <v>Iya</v>
      </c>
      <c r="G148" s="4">
        <v>45810</v>
      </c>
      <c r="H148" s="10">
        <v>87728</v>
      </c>
    </row>
    <row r="149" spans="1:8">
      <c r="A149" s="3">
        <v>148</v>
      </c>
      <c r="B149" s="4">
        <v>45892.511111111111</v>
      </c>
      <c r="C149" s="5" t="str">
        <v>Daihatsu Xenia (Badan)</v>
      </c>
      <c r="D149" s="5" t="str">
        <v>B6680XJ</v>
      </c>
      <c r="E149" s="10">
        <v>24567</v>
      </c>
      <c r="F149" s="3" t="str">
        <v>Iya</v>
      </c>
      <c r="G149" s="4">
        <v>45822</v>
      </c>
      <c r="H149" s="10">
        <v>24567</v>
      </c>
    </row>
    <row r="150" spans="1:8">
      <c r="A150" s="3">
        <v>149</v>
      </c>
      <c r="B150" s="4">
        <v>45892.593229166669</v>
      </c>
      <c r="C150" s="5" t="str">
        <v>Daihatsu Xenia (Badan)</v>
      </c>
      <c r="D150" s="5" t="str">
        <v>B1923MMD</v>
      </c>
      <c r="E150" s="10">
        <v>23768</v>
      </c>
      <c r="F150" s="3" t="str">
        <v>Iya</v>
      </c>
      <c r="G150" s="4">
        <v>45763</v>
      </c>
      <c r="H150" s="10">
        <v>23768</v>
      </c>
    </row>
    <row r="151" spans="1:8">
      <c r="A151" s="3">
        <v>150</v>
      </c>
      <c r="B151" s="4">
        <v>45892.615590277783</v>
      </c>
      <c r="C151" s="5" t="str">
        <v>Daihatsu Xenia (Badan)</v>
      </c>
      <c r="D151" s="5" t="str">
        <v>B2306NS</v>
      </c>
      <c r="E151" s="10">
        <v>25752</v>
      </c>
      <c r="F151" s="3" t="str">
        <v>Iya</v>
      </c>
      <c r="G151" s="4">
        <v>45780</v>
      </c>
      <c r="H151" s="10">
        <v>25752</v>
      </c>
    </row>
    <row r="152" spans="1:8">
      <c r="A152" s="3">
        <v>151</v>
      </c>
      <c r="B152" s="4">
        <v>45894.381863425922</v>
      </c>
      <c r="C152" s="5" t="str">
        <v>DAIHATSU GRANMAX PU AC PS 1.5 M/T</v>
      </c>
      <c r="D152" s="5" t="str">
        <v>B4924CM</v>
      </c>
      <c r="E152" s="10">
        <v>123569</v>
      </c>
      <c r="F152" s="3" t="str">
        <v>Iya</v>
      </c>
      <c r="G152" s="4">
        <v>45832</v>
      </c>
      <c r="H152" s="10">
        <v>123569</v>
      </c>
    </row>
    <row r="153" spans="1:8">
      <c r="A153" s="3">
        <v>152</v>
      </c>
      <c r="B153" s="4">
        <v>45894.38585648148</v>
      </c>
      <c r="C153" s="5" t="str">
        <v>PICK UP TRAGA 2.5 4X2 MT D M/T</v>
      </c>
      <c r="D153" s="5" t="str">
        <v>B2293BCX</v>
      </c>
      <c r="E153" s="10">
        <v>3387</v>
      </c>
      <c r="F153" s="3" t="str">
        <v>Iya</v>
      </c>
      <c r="G153" s="4">
        <v>45811</v>
      </c>
      <c r="H153" s="10">
        <v>3387</v>
      </c>
    </row>
    <row r="154" spans="1:8">
      <c r="A154" s="3">
        <v>153</v>
      </c>
      <c r="B154" s="4">
        <v>45894.412604166668</v>
      </c>
      <c r="C154" s="5" t="str">
        <v>Daihatsu Xenia (Badan)</v>
      </c>
      <c r="D154" s="5" t="str">
        <v>B5066SRV</v>
      </c>
      <c r="E154" s="10">
        <v>13256</v>
      </c>
      <c r="F154" s="3" t="str">
        <v>Iya</v>
      </c>
      <c r="G154" s="4">
        <v>45866</v>
      </c>
      <c r="H154" s="10">
        <v>13256</v>
      </c>
    </row>
    <row r="155" spans="1:8">
      <c r="A155" s="3">
        <v>154</v>
      </c>
      <c r="B155" s="4">
        <v>45894.501840277779</v>
      </c>
      <c r="C155" s="5" t="str">
        <v>PICK UP TRAGA 2.5 4X2 MT D M/T</v>
      </c>
      <c r="D155" s="5" t="str">
        <v>KT1884DR</v>
      </c>
      <c r="E155" s="10">
        <v>95532</v>
      </c>
      <c r="F155" s="3" t="str">
        <v>Iya</v>
      </c>
      <c r="G155" s="4">
        <v>45819</v>
      </c>
      <c r="H155" s="10">
        <v>95532</v>
      </c>
    </row>
    <row r="156" spans="1:8">
      <c r="A156" s="3">
        <v>155</v>
      </c>
      <c r="B156" s="4">
        <v>45894.580694444441</v>
      </c>
      <c r="C156" s="5" t="str">
        <v>Daihatsu Xenia (Badan)</v>
      </c>
      <c r="D156" s="5" t="str">
        <v>B3797RA</v>
      </c>
      <c r="E156" s="10">
        <v>5891</v>
      </c>
      <c r="F156" s="3" t="str">
        <v>Iya</v>
      </c>
      <c r="G156" s="4">
        <v>45894</v>
      </c>
      <c r="H156" s="10">
        <v>5891</v>
      </c>
    </row>
    <row r="157" spans="1:8">
      <c r="A157" s="3">
        <v>156</v>
      </c>
      <c r="B157" s="4">
        <v>45894.652858796297</v>
      </c>
      <c r="C157" s="5" t="str">
        <v>DAIHATSU GRANMAX PU AC PS 1.5 M/T</v>
      </c>
      <c r="D157" s="5" t="str">
        <v>B3345RM</v>
      </c>
      <c r="E157" s="10">
        <v>102974</v>
      </c>
      <c r="F157" s="3" t="str">
        <v>Iya</v>
      </c>
      <c r="G157" s="4">
        <v>45825</v>
      </c>
      <c r="H157" s="10">
        <v>102974</v>
      </c>
    </row>
    <row r="158" spans="1:8">
      <c r="A158" s="3">
        <v>157</v>
      </c>
      <c r="B158" s="4">
        <v>45894.670219907413</v>
      </c>
      <c r="C158" s="5" t="str">
        <v>Daihatsu Xenia (Badan)</v>
      </c>
      <c r="D158" s="5" t="str">
        <v>B2637VB</v>
      </c>
      <c r="E158" s="10">
        <v>14673</v>
      </c>
      <c r="F158" s="3" t="str">
        <v>Iya</v>
      </c>
      <c r="G158" s="4">
        <v>45890</v>
      </c>
      <c r="H158" s="10">
        <v>14673</v>
      </c>
    </row>
    <row r="159" spans="1:8">
      <c r="A159" s="3">
        <v>158</v>
      </c>
      <c r="B159" s="4">
        <v>45894.69127314815</v>
      </c>
      <c r="C159" s="5" t="str">
        <v>Daihatsu Xenia (Badan)</v>
      </c>
      <c r="D159" s="5" t="str">
        <v>B4474RVI</v>
      </c>
      <c r="E159" s="10">
        <v>58708</v>
      </c>
      <c r="F159" s="3" t="str">
        <v>Iya</v>
      </c>
      <c r="G159" s="4">
        <v>45713</v>
      </c>
      <c r="H159" s="10">
        <v>58708</v>
      </c>
    </row>
    <row r="160" spans="1:8">
      <c r="A160" s="3">
        <v>159</v>
      </c>
      <c r="B160" s="4">
        <v>45894.715497685182</v>
      </c>
      <c r="C160" s="5" t="str">
        <v>PICK UP TRAGA 2.5 4X2 MT D M/T</v>
      </c>
      <c r="D160" s="5" t="str">
        <v>L4298GD</v>
      </c>
      <c r="E160" s="10">
        <v>100938</v>
      </c>
      <c r="F160" s="3" t="str">
        <v>Iya</v>
      </c>
      <c r="G160" s="4">
        <v>45877</v>
      </c>
      <c r="H160" s="10">
        <v>100938</v>
      </c>
    </row>
    <row r="161" spans="1:8">
      <c r="A161" s="3">
        <v>160</v>
      </c>
      <c r="B161" s="4">
        <v>45894.720011574071</v>
      </c>
      <c r="C161" s="5" t="str">
        <v>PICK UP TRAGA 2.5 4X2 MT D M/T</v>
      </c>
      <c r="D161" s="5" t="str">
        <v>B8891JP</v>
      </c>
      <c r="E161" s="10">
        <v>49717</v>
      </c>
      <c r="F161" s="3" t="str">
        <v>Iya</v>
      </c>
      <c r="G161" s="4">
        <v>45888</v>
      </c>
      <c r="H161" s="10">
        <v>49717</v>
      </c>
    </row>
    <row r="162" spans="1:8">
      <c r="A162" s="3">
        <v>161</v>
      </c>
      <c r="B162" s="4">
        <v>45894.743831018517</v>
      </c>
      <c r="C162" s="5" t="str">
        <v>Daihatsu Xenia (Badan)</v>
      </c>
      <c r="D162" s="5" t="str">
        <v>B2743VJK</v>
      </c>
      <c r="E162" s="10">
        <v>54473</v>
      </c>
      <c r="F162" s="3" t="str">
        <v>Iya</v>
      </c>
      <c r="G162" s="4">
        <v>45850</v>
      </c>
      <c r="H162" s="10">
        <v>54473</v>
      </c>
    </row>
    <row r="163" spans="1:8">
      <c r="A163" s="3">
        <v>162</v>
      </c>
      <c r="B163" s="4">
        <v>45894.754259259258</v>
      </c>
      <c r="C163" s="5" t="str">
        <v>Daihatsu Xenia (Badan)</v>
      </c>
      <c r="D163" s="5" t="str">
        <v>KB4153HK</v>
      </c>
      <c r="E163" s="10">
        <v>39197</v>
      </c>
      <c r="F163" s="3" t="str">
        <v>Iya</v>
      </c>
      <c r="G163" s="4">
        <v>45799</v>
      </c>
      <c r="H163" s="10">
        <v>39197</v>
      </c>
    </row>
    <row r="164" spans="1:8">
      <c r="A164" s="3">
        <v>163</v>
      </c>
      <c r="B164" s="4">
        <v>45894.759340277778</v>
      </c>
      <c r="C164" s="5" t="str">
        <v>DAIHATSU GRANMAX PU AC PS 1.5 M/T</v>
      </c>
      <c r="D164" s="5" t="str">
        <v>B6642GE</v>
      </c>
      <c r="E164" s="10">
        <v>9013</v>
      </c>
      <c r="F164" s="3" t="str">
        <v>Iya</v>
      </c>
      <c r="G164" s="4">
        <v>45930</v>
      </c>
      <c r="H164" s="10">
        <v>9013</v>
      </c>
    </row>
    <row r="165" spans="1:8">
      <c r="A165" s="3">
        <v>164</v>
      </c>
      <c r="B165" s="4">
        <v>45895.341249999998</v>
      </c>
      <c r="C165" s="5" t="str">
        <v>Daihatsu Xenia (Badan)</v>
      </c>
      <c r="D165" s="5" t="str">
        <v>B9558JSZ</v>
      </c>
      <c r="E165" s="10">
        <v>11138</v>
      </c>
      <c r="F165" s="3" t="str">
        <v>Iya</v>
      </c>
      <c r="G165" s="4">
        <v>45833</v>
      </c>
      <c r="H165" s="10">
        <v>11138</v>
      </c>
    </row>
    <row r="166" spans="1:8">
      <c r="A166" s="3">
        <v>165</v>
      </c>
      <c r="B166" s="4">
        <v>45895.483958333331</v>
      </c>
      <c r="C166" s="5" t="str">
        <v>Daihatsu Xenia (Badan)</v>
      </c>
      <c r="D166" s="5" t="str">
        <v>B6374AY</v>
      </c>
      <c r="E166" s="10">
        <v>62095</v>
      </c>
      <c r="F166" s="3" t="str">
        <v>Iya</v>
      </c>
      <c r="G166" s="4">
        <v>45895</v>
      </c>
      <c r="H166" s="10">
        <v>62095</v>
      </c>
    </row>
    <row r="167" spans="1:8">
      <c r="A167" s="3">
        <v>166</v>
      </c>
      <c r="B167" s="4">
        <v>45895.528993055559</v>
      </c>
      <c r="C167" s="5" t="str">
        <v>PICK UP TRAGA 2.5 4X2 MT D M/T</v>
      </c>
      <c r="D167" s="5" t="str">
        <v>B7759RV</v>
      </c>
      <c r="E167" s="10">
        <v>1190</v>
      </c>
      <c r="F167" s="3" t="str">
        <v>Iya</v>
      </c>
      <c r="G167" s="4">
        <v>45877</v>
      </c>
      <c r="H167" s="10">
        <v>1190</v>
      </c>
    </row>
    <row r="168" spans="1:8">
      <c r="A168" s="3">
        <v>167</v>
      </c>
      <c r="B168" s="4">
        <v>45895.588969907411</v>
      </c>
      <c r="C168" s="5" t="str">
        <v>Daihatsu Xenia (Badan)</v>
      </c>
      <c r="D168" s="5" t="str">
        <v>B9679AL</v>
      </c>
      <c r="E168" s="10">
        <v>54404</v>
      </c>
      <c r="F168" s="3" t="str">
        <v>Iya</v>
      </c>
      <c r="G168" s="4">
        <v>45845</v>
      </c>
      <c r="H168" s="10">
        <v>54404</v>
      </c>
    </row>
    <row r="169" spans="1:8">
      <c r="A169" s="3">
        <v>168</v>
      </c>
      <c r="B169" s="4">
        <v>45895.590405092589</v>
      </c>
      <c r="C169" s="5" t="str">
        <v>PICK UP TRAGA 2.5 4X2 MT D M/T</v>
      </c>
      <c r="D169" s="5" t="str">
        <v>B7320ZZ</v>
      </c>
      <c r="E169" s="10">
        <v>40535</v>
      </c>
      <c r="F169" s="3" t="str">
        <v>Iya</v>
      </c>
      <c r="G169" s="4">
        <v>45810</v>
      </c>
      <c r="H169" s="10">
        <v>40535</v>
      </c>
    </row>
    <row r="170" spans="1:8">
      <c r="A170" s="3">
        <v>169</v>
      </c>
      <c r="B170" s="4">
        <v>45895.596180555563</v>
      </c>
      <c r="C170" s="5" t="str">
        <v>DAIHATSU GRANMAX PU AC PS 1.5 M/T</v>
      </c>
      <c r="D170" s="5" t="str">
        <v>B4764SNX</v>
      </c>
      <c r="E170" s="10">
        <v>21028</v>
      </c>
      <c r="F170" s="3" t="str">
        <v>Iya</v>
      </c>
      <c r="G170" s="4">
        <v>45889</v>
      </c>
      <c r="H170" s="10">
        <v>21028</v>
      </c>
    </row>
    <row r="171" spans="1:8">
      <c r="A171" s="3">
        <v>170</v>
      </c>
      <c r="B171" s="4">
        <v>45895.596631944441</v>
      </c>
      <c r="C171" s="5" t="str">
        <v>DAIHATSU GRANMAX PU AC PS 1.5 M/T</v>
      </c>
      <c r="D171" s="5" t="str">
        <v>B5628US</v>
      </c>
      <c r="E171" s="10">
        <v>1192</v>
      </c>
      <c r="F171" s="3" t="str">
        <v>Iya</v>
      </c>
      <c r="G171" s="4">
        <v>45883</v>
      </c>
      <c r="H171" s="10">
        <v>1192</v>
      </c>
    </row>
    <row r="172" spans="1:8">
      <c r="A172" s="3">
        <v>171</v>
      </c>
      <c r="B172" s="4">
        <v>45895.608310185176</v>
      </c>
      <c r="C172" s="5" t="str">
        <v>Daihatsu Xenia (Badan)</v>
      </c>
      <c r="D172" s="5" t="str">
        <v>B9347LJ</v>
      </c>
      <c r="E172" s="10">
        <v>49080</v>
      </c>
      <c r="F172" s="3" t="str">
        <v>Iya</v>
      </c>
      <c r="G172" s="4">
        <v>45887</v>
      </c>
      <c r="H172" s="10">
        <v>49080</v>
      </c>
    </row>
    <row r="173" spans="1:8">
      <c r="A173" s="3">
        <v>172</v>
      </c>
      <c r="B173" s="4">
        <v>45895.621550925927</v>
      </c>
      <c r="C173" s="5" t="str">
        <v>PICK UP TRAGA 2.5 4X2 MT D M/T</v>
      </c>
      <c r="D173" s="5" t="str">
        <v>B6957DH</v>
      </c>
      <c r="E173" s="10">
        <v>94025</v>
      </c>
      <c r="F173" s="3" t="str">
        <v>Iya</v>
      </c>
      <c r="G173" s="4">
        <v>45846</v>
      </c>
      <c r="H173" s="10">
        <v>94025</v>
      </c>
    </row>
    <row r="174" spans="1:8">
      <c r="A174" s="3">
        <v>173</v>
      </c>
      <c r="B174" s="4">
        <v>45895.653865740736</v>
      </c>
      <c r="C174" s="5" t="str">
        <v>DAIHATSU GRANMAX PU AC PS 1.5 M/T</v>
      </c>
      <c r="D174" s="5" t="str">
        <v>B3365TAQ</v>
      </c>
      <c r="E174" s="10">
        <v>72993</v>
      </c>
      <c r="F174" s="3" t="str">
        <v>Iya</v>
      </c>
      <c r="G174" s="4">
        <v>45840</v>
      </c>
      <c r="H174" s="10">
        <v>72993</v>
      </c>
    </row>
    <row r="175" spans="1:8">
      <c r="A175" s="3">
        <v>174</v>
      </c>
      <c r="B175" s="4">
        <v>45895.65729166667</v>
      </c>
      <c r="C175" s="5" t="str">
        <v>PICK UP TRAGA 2.5 4X2 MT D M/T</v>
      </c>
      <c r="D175" s="5" t="str">
        <v>B6816FH</v>
      </c>
      <c r="E175" s="10">
        <v>40944</v>
      </c>
      <c r="F175" s="3" t="str">
        <v>Iya</v>
      </c>
      <c r="G175" s="4">
        <v>45822</v>
      </c>
      <c r="H175" s="10">
        <v>40944</v>
      </c>
    </row>
    <row r="176" spans="1:8">
      <c r="A176" s="3">
        <v>175</v>
      </c>
      <c r="B176" s="4">
        <v>45895.662395833337</v>
      </c>
      <c r="C176" s="5" t="str">
        <v>PICK UP TRAGA 2.5 4X2 MT D M/T</v>
      </c>
      <c r="D176" s="5" t="str">
        <v>B6757PSW</v>
      </c>
      <c r="E176" s="10">
        <v>122096</v>
      </c>
      <c r="F176" s="3" t="str">
        <v>Iya</v>
      </c>
      <c r="G176" s="4">
        <v>45801</v>
      </c>
      <c r="H176" s="10">
        <v>122096</v>
      </c>
    </row>
    <row r="177" spans="1:8">
      <c r="A177" s="3">
        <v>176</v>
      </c>
      <c r="B177" s="4">
        <v>45895.70034722222</v>
      </c>
      <c r="C177" s="5" t="str">
        <v>Daihatsu Xenia (Badan)</v>
      </c>
      <c r="D177" s="5" t="str">
        <v>B5843ME</v>
      </c>
      <c r="E177" s="10">
        <v>94061</v>
      </c>
      <c r="F177" s="3" t="str">
        <v>Iya</v>
      </c>
      <c r="G177" s="4">
        <v>45762</v>
      </c>
      <c r="H177" s="10">
        <v>94061</v>
      </c>
    </row>
    <row r="178" spans="1:8">
      <c r="A178" s="3">
        <v>177</v>
      </c>
      <c r="B178" s="4">
        <v>45895.705266203702</v>
      </c>
      <c r="C178" s="5" t="str">
        <v>PICK UP TRAGA 2.5 4X2 MT D M/T</v>
      </c>
      <c r="D178" s="5" t="str">
        <v>B7482LG</v>
      </c>
      <c r="E178" s="10">
        <v>66549</v>
      </c>
      <c r="F178" s="3" t="str">
        <v>Iya</v>
      </c>
      <c r="G178" s="4">
        <v>45848</v>
      </c>
      <c r="H178" s="10">
        <v>66549</v>
      </c>
    </row>
    <row r="179" spans="1:8">
      <c r="A179" s="3">
        <v>178</v>
      </c>
      <c r="B179" s="4">
        <v>45895.721747685187</v>
      </c>
      <c r="C179" s="5" t="str">
        <v>DAIHATSU GRANMAX PU AC PS 1.5 M/T</v>
      </c>
      <c r="D179" s="5" t="str">
        <v>D3219FF</v>
      </c>
      <c r="E179" s="10">
        <v>30212</v>
      </c>
      <c r="F179" s="3" t="str">
        <v>Iya</v>
      </c>
      <c r="G179" s="4">
        <v>45895</v>
      </c>
      <c r="H179" s="10">
        <v>30212</v>
      </c>
    </row>
    <row r="180" spans="1:8">
      <c r="A180" s="3">
        <v>179</v>
      </c>
      <c r="B180" s="4">
        <v>45896.344768518517</v>
      </c>
      <c r="C180" s="5" t="str">
        <v>Daihatsu Xenia (Badan)</v>
      </c>
      <c r="D180" s="5" t="str">
        <v>B2924KX</v>
      </c>
      <c r="E180" s="10">
        <v>52087</v>
      </c>
      <c r="F180" s="3" t="str">
        <v>Iya</v>
      </c>
      <c r="G180" s="4">
        <v>45866</v>
      </c>
      <c r="H180" s="10">
        <v>52087</v>
      </c>
    </row>
    <row r="181" spans="1:8">
      <c r="A181" s="3">
        <v>180</v>
      </c>
      <c r="B181" s="4">
        <v>45896.354375000003</v>
      </c>
      <c r="C181" s="5" t="str">
        <v>PICK UP TRAGA 2.5 4X2 MT D M/T</v>
      </c>
      <c r="D181" s="5" t="str">
        <v>B5879BX</v>
      </c>
      <c r="E181" s="10">
        <v>58953</v>
      </c>
      <c r="F181" s="3" t="str">
        <v>Iya</v>
      </c>
      <c r="G181" s="4">
        <v>45795</v>
      </c>
      <c r="H181" s="10">
        <v>58953</v>
      </c>
    </row>
    <row r="182" spans="1:8">
      <c r="A182" s="3">
        <v>181</v>
      </c>
      <c r="B182" s="4">
        <v>45896.403854166667</v>
      </c>
      <c r="C182" s="5" t="str">
        <v>Daihatsu Xenia (Badan)</v>
      </c>
      <c r="D182" s="5" t="str">
        <v>AB9641IJ</v>
      </c>
      <c r="E182" s="10">
        <v>31648</v>
      </c>
      <c r="F182" s="3" t="str">
        <v>Iya</v>
      </c>
      <c r="G182" s="4">
        <v>45892</v>
      </c>
      <c r="H182" s="10">
        <v>31648</v>
      </c>
    </row>
    <row r="183" spans="1:8">
      <c r="A183" s="3">
        <v>182</v>
      </c>
      <c r="B183" s="4">
        <v>45896.405833333331</v>
      </c>
      <c r="C183" s="5" t="str">
        <v>DAIHATSU GRANMAX PU AC PS 1.5 M/T</v>
      </c>
      <c r="D183" s="5" t="str">
        <v>B2325IRM</v>
      </c>
      <c r="E183" s="10">
        <v>23182</v>
      </c>
      <c r="F183" s="3" t="str">
        <v>Iya</v>
      </c>
      <c r="G183" s="4">
        <v>45859</v>
      </c>
      <c r="H183" s="10">
        <v>23182</v>
      </c>
    </row>
    <row r="184" spans="1:8">
      <c r="A184" s="3">
        <v>183</v>
      </c>
      <c r="B184" s="4">
        <v>45896.411678240736</v>
      </c>
      <c r="C184" s="5" t="str">
        <v>DAIHATSU GRANMAX PU AC PS 1.5 M/T</v>
      </c>
      <c r="D184" s="5" t="str">
        <v>B2325IRM</v>
      </c>
      <c r="E184" s="10">
        <v>23239</v>
      </c>
      <c r="F184" s="3" t="str">
        <v>Iya</v>
      </c>
      <c r="G184" s="4">
        <v>45859</v>
      </c>
      <c r="H184" s="10">
        <v>23239</v>
      </c>
    </row>
    <row r="185" spans="1:8">
      <c r="A185" s="3">
        <v>184</v>
      </c>
      <c r="B185" s="4">
        <v>45896.428935185177</v>
      </c>
      <c r="C185" s="5" t="str">
        <v>Daihatsu Xenia (Badan)</v>
      </c>
      <c r="D185" s="5" t="str">
        <v>AB6497MM</v>
      </c>
      <c r="E185" s="10">
        <v>17151</v>
      </c>
      <c r="F185" s="3" t="str">
        <v>Iya</v>
      </c>
      <c r="G185" s="4">
        <v>45785</v>
      </c>
      <c r="H185" s="10">
        <v>17151</v>
      </c>
    </row>
    <row r="186" spans="1:8">
      <c r="A186" s="3">
        <v>185</v>
      </c>
      <c r="B186" s="4">
        <v>45896.443993055553</v>
      </c>
      <c r="C186" s="5" t="str">
        <v>PICK UP TRAGA 2.5 4X2 MT D M/T</v>
      </c>
      <c r="D186" s="5" t="str">
        <v>KB6883QY</v>
      </c>
      <c r="E186" s="10">
        <v>12432</v>
      </c>
      <c r="F186" s="3" t="str">
        <v>Iya</v>
      </c>
      <c r="G186" s="4">
        <v>45818</v>
      </c>
      <c r="H186" s="10">
        <v>12432</v>
      </c>
    </row>
    <row r="187" spans="1:8">
      <c r="A187" s="3">
        <v>186</v>
      </c>
      <c r="B187" s="4">
        <v>45896.464189814818</v>
      </c>
      <c r="C187" s="5" t="str">
        <v>Daihatsu Xenia (Badan)</v>
      </c>
      <c r="D187" s="5" t="str">
        <v>DB3636AJ</v>
      </c>
      <c r="E187" s="10">
        <v>34744</v>
      </c>
      <c r="F187" s="3" t="str">
        <v>Iya</v>
      </c>
      <c r="G187" s="4">
        <v>45888</v>
      </c>
      <c r="H187" s="10">
        <v>34744</v>
      </c>
    </row>
    <row r="188" spans="1:8">
      <c r="A188" s="3">
        <v>187</v>
      </c>
      <c r="B188" s="4">
        <v>45896.528043981481</v>
      </c>
      <c r="C188" s="5" t="str">
        <v>Daihatsu Xenia (Badan)</v>
      </c>
      <c r="D188" s="5" t="str">
        <v>b8182eb</v>
      </c>
      <c r="E188" s="10">
        <v>78898</v>
      </c>
      <c r="F188" s="3" t="str">
        <v>Iya</v>
      </c>
      <c r="G188" s="4">
        <v>45839</v>
      </c>
      <c r="H188" s="10">
        <v>78898</v>
      </c>
    </row>
    <row r="189" spans="1:8">
      <c r="A189" s="3">
        <v>188</v>
      </c>
      <c r="B189" s="4">
        <v>45896.573935185188</v>
      </c>
      <c r="C189" s="5" t="str">
        <v>Daihatsu Xenia (Badan)</v>
      </c>
      <c r="D189" s="5" t="str">
        <v>B3472IIU</v>
      </c>
      <c r="E189" s="10">
        <v>75646</v>
      </c>
      <c r="F189" s="3" t="str">
        <v>Iya</v>
      </c>
      <c r="G189" s="4">
        <v>45882</v>
      </c>
      <c r="H189" s="10">
        <v>75646</v>
      </c>
    </row>
    <row r="190" spans="1:8">
      <c r="A190" s="3">
        <v>189</v>
      </c>
      <c r="B190" s="4">
        <v>45896.686944444453</v>
      </c>
      <c r="C190" s="5" t="str">
        <v>Daihatsu Xenia (Badan)</v>
      </c>
      <c r="D190" s="5" t="str">
        <v>B9735KKV</v>
      </c>
      <c r="E190" s="10">
        <v>20997</v>
      </c>
      <c r="F190" s="3" t="str">
        <v>Iya</v>
      </c>
      <c r="G190" s="4">
        <v>45802</v>
      </c>
      <c r="H190" s="10">
        <v>20997</v>
      </c>
    </row>
    <row r="191" spans="1:8">
      <c r="A191" s="3">
        <v>190</v>
      </c>
      <c r="B191" s="4">
        <v>45896.750439814823</v>
      </c>
      <c r="C191" s="5" t="str">
        <v>DAIHATSU GRANMAX PU AC PS 1.5 M/T</v>
      </c>
      <c r="D191" s="5" t="str">
        <v>B1416VGW</v>
      </c>
      <c r="E191" s="10">
        <v>49040</v>
      </c>
      <c r="F191" s="3" t="str">
        <v>Iya</v>
      </c>
      <c r="G191" s="4">
        <v>45757</v>
      </c>
      <c r="H191" s="10">
        <v>49040</v>
      </c>
    </row>
    <row r="192" spans="1:8">
      <c r="A192" s="3">
        <v>191</v>
      </c>
      <c r="B192" s="4">
        <v>45897.353622685187</v>
      </c>
      <c r="C192" s="5" t="str">
        <v>DAIHATSU GRANMAX PU AC PS 1.5 M/T</v>
      </c>
      <c r="D192" s="5" t="str">
        <v>B9303TI</v>
      </c>
      <c r="E192" s="10">
        <v>76887</v>
      </c>
      <c r="F192" s="3" t="str">
        <v>Iya</v>
      </c>
      <c r="G192" s="4">
        <v>45849</v>
      </c>
      <c r="H192" s="10">
        <v>76887</v>
      </c>
    </row>
    <row r="193" spans="1:8">
      <c r="A193" s="3">
        <v>192</v>
      </c>
      <c r="B193" s="4">
        <v>45897.361921296288</v>
      </c>
      <c r="C193" s="5" t="str">
        <v>PICK UP TRAGA 2.5 4X2 MT D M/T</v>
      </c>
      <c r="D193" s="5" t="str">
        <v>B7102CW</v>
      </c>
      <c r="E193" s="10">
        <v>40204</v>
      </c>
      <c r="F193" s="3" t="str">
        <v>Iya</v>
      </c>
      <c r="G193" s="4">
        <v>45843</v>
      </c>
      <c r="H193" s="10">
        <v>40204</v>
      </c>
    </row>
    <row r="194" spans="1:8">
      <c r="A194" s="3">
        <v>193</v>
      </c>
      <c r="B194" s="4">
        <v>45897.428819444453</v>
      </c>
      <c r="C194" s="5" t="str">
        <v>Daihatsu Xenia (Badan)</v>
      </c>
      <c r="D194" s="5" t="str">
        <v>B8704TJL</v>
      </c>
      <c r="E194" s="10">
        <v>72430</v>
      </c>
      <c r="F194" s="3" t="str">
        <v>Iya</v>
      </c>
      <c r="G194" s="4">
        <v>45876</v>
      </c>
      <c r="H194" s="10">
        <v>72430</v>
      </c>
    </row>
    <row r="195" spans="1:8">
      <c r="A195" s="3">
        <v>194</v>
      </c>
      <c r="B195" s="4">
        <v>45897.635254629633</v>
      </c>
      <c r="C195" s="5" t="str">
        <v>Daihatsu Xenia (Badan)</v>
      </c>
      <c r="D195" s="5" t="str">
        <v>B8054VY</v>
      </c>
      <c r="E195" s="10">
        <v>15240</v>
      </c>
      <c r="F195" s="3" t="str">
        <v>Iya</v>
      </c>
      <c r="G195" s="4">
        <v>45722</v>
      </c>
      <c r="H195" s="10">
        <v>15240</v>
      </c>
    </row>
    <row r="196" spans="1:8">
      <c r="A196" s="3">
        <v>195</v>
      </c>
      <c r="B196" s="4">
        <v>45897.744085648148</v>
      </c>
      <c r="C196" s="5" t="str">
        <v>PICK UP TRAGA 2.5 4X2 MT D M/T</v>
      </c>
      <c r="D196" s="5" t="str">
        <v>B9410TZ</v>
      </c>
      <c r="E196" s="10">
        <v>14381</v>
      </c>
      <c r="F196" s="3" t="str">
        <v>Iya</v>
      </c>
      <c r="G196" s="4">
        <v>45765</v>
      </c>
      <c r="H196" s="10">
        <v>14381</v>
      </c>
    </row>
    <row r="197" spans="1:8">
      <c r="A197" s="3">
        <v>196</v>
      </c>
      <c r="B197" s="4">
        <v>45898.357129629629</v>
      </c>
      <c r="C197" s="5" t="str">
        <v>DAIHATSU GRANMAX PU AC PS 1.5 M/T</v>
      </c>
      <c r="D197" s="5" t="str">
        <v>B3806AFA</v>
      </c>
      <c r="E197" s="10">
        <v>72371</v>
      </c>
      <c r="F197" s="3" t="str">
        <v>Iya</v>
      </c>
      <c r="G197" s="4">
        <v>45895</v>
      </c>
      <c r="H197" s="10">
        <v>72371</v>
      </c>
    </row>
    <row r="198" spans="1:8">
      <c r="A198" s="3">
        <v>197</v>
      </c>
      <c r="B198" s="4">
        <v>45898.451620370368</v>
      </c>
      <c r="C198" s="5" t="str">
        <v>Daihatsu Xenia (Badan)</v>
      </c>
      <c r="D198" s="5" t="str">
        <v>B3178QV</v>
      </c>
      <c r="E198" s="10">
        <v>670</v>
      </c>
      <c r="F198" s="3" t="str">
        <v>Iya</v>
      </c>
      <c r="G198" s="4">
        <v>45871</v>
      </c>
      <c r="H198" s="10">
        <v>670</v>
      </c>
    </row>
    <row r="199" spans="1:8">
      <c r="A199" s="3">
        <v>198</v>
      </c>
      <c r="B199" s="4">
        <v>45898.686701388891</v>
      </c>
      <c r="C199" s="5" t="str">
        <v>Daihatsu Xenia (Badan)</v>
      </c>
      <c r="D199" s="5" t="str">
        <v>B4665UI</v>
      </c>
      <c r="E199" s="10">
        <v>10996</v>
      </c>
      <c r="F199" s="3" t="str">
        <v>Iya</v>
      </c>
      <c r="G199" s="4">
        <v>45793</v>
      </c>
      <c r="H199" s="10">
        <v>10996</v>
      </c>
    </row>
    <row r="200" spans="1:8">
      <c r="A200" s="3">
        <v>199</v>
      </c>
      <c r="B200" s="4">
        <v>45898.697789351849</v>
      </c>
      <c r="C200" s="5" t="str">
        <v>Daihatsu Xenia (Badan)</v>
      </c>
      <c r="D200" s="5" t="str">
        <v>B7584BN</v>
      </c>
      <c r="E200" s="10">
        <v>49769</v>
      </c>
      <c r="F200" s="3" t="str">
        <v>Iya</v>
      </c>
      <c r="G200" s="4">
        <v>45847</v>
      </c>
      <c r="H200" s="10">
        <v>49769</v>
      </c>
    </row>
    <row r="201" spans="1:8">
      <c r="A201" s="3">
        <v>200</v>
      </c>
      <c r="B201" s="4">
        <v>45898.747384259259</v>
      </c>
      <c r="C201" s="5" t="str">
        <v>Daihatsu Xenia (Badan)</v>
      </c>
      <c r="D201" s="5" t="str">
        <v>B2503BE</v>
      </c>
      <c r="E201" s="10">
        <v>58963</v>
      </c>
      <c r="F201" s="3" t="str">
        <v>Iya</v>
      </c>
      <c r="G201" s="4">
        <v>45876</v>
      </c>
      <c r="H201" s="10">
        <v>58963</v>
      </c>
    </row>
    <row r="202" spans="1:8">
      <c r="A202" s="3">
        <v>201</v>
      </c>
      <c r="B202" s="4">
        <v>45898.839074074072</v>
      </c>
      <c r="C202" s="5" t="str">
        <v>Daihatsu Xenia (Badan)</v>
      </c>
      <c r="D202" s="5" t="str">
        <v>B4767TPQ</v>
      </c>
      <c r="E202" s="10">
        <v>59318</v>
      </c>
      <c r="F202" s="3" t="str">
        <v>Iya</v>
      </c>
      <c r="G202" s="4">
        <v>45819</v>
      </c>
      <c r="H202" s="10">
        <v>59318</v>
      </c>
    </row>
    <row r="203" spans="1:8">
      <c r="A203" s="3">
        <v>202</v>
      </c>
      <c r="B203" s="4">
        <v>45899.427268518521</v>
      </c>
      <c r="C203" s="5" t="str">
        <v>PICK UP TRAGA 2.5 4X2 MT D M/T</v>
      </c>
      <c r="D203" s="5" t="str">
        <v>B4656ZVZ</v>
      </c>
      <c r="E203" s="10">
        <v>36499</v>
      </c>
      <c r="F203" s="3" t="str">
        <v>Iya</v>
      </c>
      <c r="G203" s="4">
        <v>45728</v>
      </c>
      <c r="H203" s="10">
        <v>36499</v>
      </c>
    </row>
    <row r="204" spans="1:8">
      <c r="A204" s="3">
        <v>203</v>
      </c>
      <c r="B204" s="4">
        <v>45899.444513888891</v>
      </c>
      <c r="C204" s="5" t="str">
        <v>Daihatsu Xenia (Badan)</v>
      </c>
      <c r="D204" s="5" t="str">
        <v>B2966HE</v>
      </c>
      <c r="E204" s="10">
        <v>99524</v>
      </c>
      <c r="F204" s="3" t="str">
        <v>Iya</v>
      </c>
      <c r="G204" s="4">
        <v>45876</v>
      </c>
      <c r="H204" s="10">
        <v>99524</v>
      </c>
    </row>
    <row r="205" spans="1:8">
      <c r="A205" s="3">
        <v>204</v>
      </c>
      <c r="B205" s="4">
        <v>45899.455405092587</v>
      </c>
      <c r="C205" s="5" t="str">
        <v>PICK UP TRAGA 2.5 4X2 MT D M/T</v>
      </c>
      <c r="D205" s="5" t="str">
        <v>B9502WHJ</v>
      </c>
      <c r="E205" s="10">
        <v>38719</v>
      </c>
      <c r="F205" s="3" t="str">
        <v>Iya</v>
      </c>
      <c r="G205" s="4">
        <v>45852</v>
      </c>
      <c r="H205" s="10">
        <v>38719</v>
      </c>
    </row>
    <row r="206" spans="1:8">
      <c r="A206" s="3">
        <v>205</v>
      </c>
      <c r="B206" s="4">
        <v>45900.428796296299</v>
      </c>
      <c r="C206" s="5" t="str">
        <v>DAIHATSU GRANMAX PU AC PS 1.5 M/T</v>
      </c>
      <c r="D206" s="5" t="str">
        <v>B2544NP</v>
      </c>
      <c r="E206" s="10">
        <v>6551</v>
      </c>
      <c r="F206" s="3" t="str">
        <v>Iya</v>
      </c>
      <c r="G206" s="4">
        <v>45724</v>
      </c>
      <c r="H206" s="10">
        <v>6551</v>
      </c>
    </row>
    <row r="207" spans="1:8">
      <c r="A207" s="3">
        <v>206</v>
      </c>
      <c r="B207" s="4">
        <v>45900.713530092587</v>
      </c>
      <c r="C207" s="5" t="str">
        <v>PICK UP TRAGA 2.5 4X2 MT D M/T</v>
      </c>
      <c r="D207" s="5" t="str">
        <v>KH6059EJ</v>
      </c>
      <c r="E207" s="10">
        <v>56900</v>
      </c>
      <c r="F207" s="3" t="str">
        <v>Iya</v>
      </c>
      <c r="G207" s="4">
        <v>45839</v>
      </c>
      <c r="H207" s="10">
        <v>56900</v>
      </c>
    </row>
    <row r="208" spans="1:8">
      <c r="A208" s="3">
        <v>207</v>
      </c>
      <c r="B208" s="4">
        <v>45900.795219907413</v>
      </c>
      <c r="C208" s="5" t="str">
        <v>Daihatsu Xenia (Badan)</v>
      </c>
      <c r="D208" s="5" t="str">
        <v>B4121AL</v>
      </c>
      <c r="E208" s="10">
        <v>10543</v>
      </c>
      <c r="F208" s="3" t="str">
        <v>Iya</v>
      </c>
      <c r="G208" s="4">
        <v>45813</v>
      </c>
      <c r="H208" s="10">
        <v>10543</v>
      </c>
    </row>
    <row r="209" spans="1:8">
      <c r="A209" s="3">
        <v>208</v>
      </c>
      <c r="B209" s="4">
        <v>45902.581770833327</v>
      </c>
      <c r="C209" s="5" t="str">
        <v>Daihatsu Xenia (Badan)</v>
      </c>
      <c r="D209" s="5" t="str">
        <v>B7949TY</v>
      </c>
      <c r="E209" s="10">
        <v>22348</v>
      </c>
      <c r="F209" s="3" t="str">
        <v>Iya</v>
      </c>
      <c r="G209" s="4">
        <v>45839</v>
      </c>
      <c r="H209" s="10">
        <v>22348</v>
      </c>
    </row>
    <row r="210" spans="1:8">
      <c r="A210" s="3">
        <v>209</v>
      </c>
      <c r="B210" s="4">
        <v>45898.522245370368</v>
      </c>
      <c r="C210" s="5" t="str">
        <v>DAIHATSU GRANMAX PU AC PS 1.5 M/T</v>
      </c>
      <c r="D210" s="5" t="str">
        <v>AB8251AD</v>
      </c>
      <c r="E210" s="10">
        <v>29752</v>
      </c>
      <c r="F210" s="3" t="str">
        <v>Iya</v>
      </c>
      <c r="G210" s="4">
        <v>45839</v>
      </c>
      <c r="H210" s="10">
        <v>29752</v>
      </c>
    </row>
    <row r="211" spans="1:8">
      <c r="A211" s="3">
        <v>210</v>
      </c>
      <c r="B211" s="4">
        <v>45898.580277777779</v>
      </c>
      <c r="C211" s="5" t="str">
        <v>Daihatsu Xenia (Badan)</v>
      </c>
      <c r="D211" s="5" t="str">
        <v>B8191BIM</v>
      </c>
      <c r="E211" s="10">
        <v>93483</v>
      </c>
      <c r="F211" s="3" t="str">
        <v>Iya</v>
      </c>
      <c r="G211" s="4">
        <v>45876</v>
      </c>
      <c r="H211" s="10">
        <v>93483</v>
      </c>
    </row>
    <row r="212" spans="1:8">
      <c r="A212" s="3">
        <v>211</v>
      </c>
      <c r="B212" s="4">
        <v>45903.718680555547</v>
      </c>
      <c r="C212" s="5" t="str">
        <v>Daihatsu Xenia (Badan)</v>
      </c>
      <c r="D212" s="5" t="str">
        <v>DD1053PKN</v>
      </c>
      <c r="E212" s="10">
        <v>32171</v>
      </c>
      <c r="F212" s="3" t="str">
        <v>Iya</v>
      </c>
      <c r="G212" s="4">
        <v>45850</v>
      </c>
      <c r="H212" s="10">
        <v>32171</v>
      </c>
    </row>
    <row r="213" spans="1:8">
      <c r="A213" s="3">
        <v>212</v>
      </c>
      <c r="B213" s="4">
        <v>45915.429988425924</v>
      </c>
      <c r="C213" s="5" t="str">
        <v>DAIHATSU GRANMAX PU AC PS 1.5 M/T</v>
      </c>
      <c r="D213" s="5" t="str">
        <v>H3815DXD</v>
      </c>
      <c r="E213" s="10">
        <v>9133</v>
      </c>
      <c r="F213" s="3" t="str">
        <v>Iya</v>
      </c>
      <c r="G213" s="4">
        <v>45904</v>
      </c>
      <c r="H213" s="10">
        <v>9133</v>
      </c>
    </row>
    <row r="214" spans="1:8">
      <c r="A214" s="3">
        <v>213</v>
      </c>
      <c r="B214" s="4">
        <v>45923.392928240741</v>
      </c>
      <c r="C214" s="5" t="str">
        <v>DAIHATSU GRANMAX PU AC PS 1.5 M/T</v>
      </c>
      <c r="D214" s="5" t="str">
        <v>B7326IW</v>
      </c>
      <c r="E214" s="10">
        <v>18951</v>
      </c>
      <c r="F214" s="3" t="str">
        <v>Iya</v>
      </c>
      <c r="G214" s="4">
        <v>45920</v>
      </c>
      <c r="H214" s="10">
        <v>18951</v>
      </c>
    </row>
    <row r="215" spans="1:8">
      <c r="A215" s="3">
        <v>214</v>
      </c>
      <c r="B215" s="4">
        <v>45923.393553240741</v>
      </c>
      <c r="C215" s="5" t="str">
        <v>Daihatsu Xenia (Badan)</v>
      </c>
      <c r="D215" s="5" t="str">
        <v>B1711ZJR</v>
      </c>
      <c r="E215" s="10">
        <v>9560</v>
      </c>
      <c r="F215" s="3" t="str">
        <v>Iya</v>
      </c>
      <c r="G215" s="4">
        <v>45848</v>
      </c>
      <c r="H215" s="10">
        <v>9560</v>
      </c>
    </row>
    <row r="216" spans="1:8">
      <c r="A216" s="3">
        <v>215</v>
      </c>
      <c r="B216" s="4">
        <v>45923.397199074083</v>
      </c>
      <c r="C216" s="5" t="str">
        <v>PICK UP TRAGA 2.5 4X2 MT D M/T</v>
      </c>
      <c r="D216" s="5" t="str">
        <v>B3406ZUA</v>
      </c>
      <c r="E216" s="10">
        <v>56999</v>
      </c>
      <c r="F216" s="3" t="str">
        <v>Iya</v>
      </c>
      <c r="G216" s="4">
        <v>45813</v>
      </c>
      <c r="H216" s="10">
        <v>56999</v>
      </c>
    </row>
    <row r="217" spans="1:8">
      <c r="A217" s="3">
        <v>216</v>
      </c>
      <c r="B217" s="4">
        <v>45923.401932870373</v>
      </c>
      <c r="C217" s="5" t="str">
        <v>Daihatsu Xenia (Badan)</v>
      </c>
      <c r="D217" s="5" t="str">
        <v>D9393MC</v>
      </c>
      <c r="E217" s="10">
        <v>61647</v>
      </c>
      <c r="F217" s="3" t="str">
        <v>Iya</v>
      </c>
      <c r="G217" s="4">
        <v>45792</v>
      </c>
      <c r="H217" s="10">
        <v>61647</v>
      </c>
    </row>
    <row r="218" spans="1:8">
      <c r="A218" s="3">
        <v>217</v>
      </c>
      <c r="B218" s="4">
        <v>45923.4140625</v>
      </c>
      <c r="C218" s="5" t="str">
        <v>PICK UP TRAGA 2.5 4X2 MT D M/T</v>
      </c>
      <c r="D218" s="5" t="str">
        <v>B4196MS</v>
      </c>
      <c r="E218" s="10">
        <v>21111</v>
      </c>
      <c r="F218" s="3" t="str">
        <v>Iya</v>
      </c>
      <c r="G218" s="4">
        <v>45911</v>
      </c>
      <c r="H218" s="10">
        <v>21111</v>
      </c>
    </row>
    <row r="219" spans="1:8">
      <c r="A219" s="3">
        <v>218</v>
      </c>
      <c r="B219" s="4">
        <v>45923.415902777779</v>
      </c>
      <c r="C219" s="5" t="str">
        <v>PICK UP TRAGA 2.5 4X2 MT D M/T</v>
      </c>
      <c r="D219" s="5" t="str">
        <v>B5280HWW</v>
      </c>
      <c r="E219" s="10">
        <v>61831</v>
      </c>
      <c r="F219" s="3" t="str">
        <v>Iya</v>
      </c>
      <c r="G219" s="4">
        <v>45918</v>
      </c>
      <c r="H219" s="10">
        <v>61831</v>
      </c>
    </row>
    <row r="220" spans="1:8">
      <c r="A220" s="3">
        <v>219</v>
      </c>
      <c r="B220" s="4">
        <v>45923.421736111108</v>
      </c>
      <c r="C220" s="5" t="str">
        <v>Daihatsu Xenia (Badan)</v>
      </c>
      <c r="D220" s="5" t="str">
        <v>B2758UU</v>
      </c>
      <c r="E220" s="10">
        <v>15189</v>
      </c>
      <c r="F220" s="3" t="str">
        <v>Iya</v>
      </c>
      <c r="G220" s="4">
        <v>45862</v>
      </c>
      <c r="H220" s="10">
        <v>15189</v>
      </c>
    </row>
    <row r="221" spans="1:8">
      <c r="A221" s="3">
        <v>220</v>
      </c>
      <c r="B221" s="4">
        <v>45923.428240740737</v>
      </c>
      <c r="C221" s="5" t="str">
        <v>Daihatsu Xenia (Badan)</v>
      </c>
      <c r="D221" s="5" t="str">
        <v>B8182EB</v>
      </c>
      <c r="E221" s="10">
        <v>86594</v>
      </c>
      <c r="F221" s="3" t="str">
        <v>Iya</v>
      </c>
      <c r="G221" s="4">
        <v>45849</v>
      </c>
      <c r="H221" s="10">
        <v>86594</v>
      </c>
    </row>
    <row r="222" spans="1:8">
      <c r="A222" s="3">
        <v>221</v>
      </c>
      <c r="B222" s="4">
        <v>45923.434548611112</v>
      </c>
      <c r="C222" s="5" t="str">
        <v>DAIHATSU GRANMAX PU AC PS 1.5 M/T</v>
      </c>
      <c r="D222" s="5" t="str">
        <v>B7154RP</v>
      </c>
      <c r="E222" s="10">
        <v>54744</v>
      </c>
      <c r="F222" s="3" t="str">
        <v>Iya</v>
      </c>
      <c r="G222" s="4">
        <v>45909</v>
      </c>
      <c r="H222" s="10">
        <v>54744</v>
      </c>
    </row>
    <row r="223" spans="1:8">
      <c r="A223" s="3">
        <v>222</v>
      </c>
      <c r="B223" s="4">
        <v>45923.4371875</v>
      </c>
      <c r="C223" s="5" t="str">
        <v>PICK UP TRAGA 2.5 4X2 MT D M/T</v>
      </c>
      <c r="D223" s="5" t="str">
        <v>H6476BKH</v>
      </c>
      <c r="E223" s="10">
        <v>30017</v>
      </c>
      <c r="F223" s="3" t="str">
        <v>Iya</v>
      </c>
      <c r="G223" s="4">
        <v>45775</v>
      </c>
      <c r="H223" s="10">
        <v>30017</v>
      </c>
    </row>
    <row r="224" spans="1:8">
      <c r="A224" s="3">
        <v>223</v>
      </c>
      <c r="B224" s="4">
        <v>45923.441944444443</v>
      </c>
      <c r="C224" s="5" t="str">
        <v>Daihatsu Xenia (Badan)</v>
      </c>
      <c r="D224" s="5" t="str">
        <v>B8137WEW</v>
      </c>
      <c r="E224" s="10">
        <v>37290</v>
      </c>
      <c r="F224" s="3" t="str">
        <v>Iya</v>
      </c>
      <c r="G224" s="4">
        <v>45825</v>
      </c>
      <c r="H224" s="10">
        <v>37290</v>
      </c>
    </row>
    <row r="225" spans="1:8">
      <c r="A225" s="3">
        <v>224</v>
      </c>
      <c r="B225" s="4">
        <v>45923.452465277784</v>
      </c>
      <c r="C225" s="5" t="str">
        <v>Daihatsu Xenia (Badan)</v>
      </c>
      <c r="D225" s="5" t="str">
        <v>B2834CX</v>
      </c>
      <c r="E225" s="10">
        <v>51300</v>
      </c>
      <c r="F225" s="3" t="str">
        <v>Iya</v>
      </c>
      <c r="G225" s="4">
        <v>45876</v>
      </c>
      <c r="H225" s="10">
        <v>51300</v>
      </c>
    </row>
    <row r="226" spans="1:8">
      <c r="A226" s="3">
        <v>225</v>
      </c>
      <c r="B226" s="4">
        <v>45923.457337962973</v>
      </c>
      <c r="C226" s="5" t="str">
        <v>DAIHATSU GRANMAX PU AC PS 1.5 M/T</v>
      </c>
      <c r="D226" s="5" t="str">
        <v>KT2986WG</v>
      </c>
      <c r="E226" s="10">
        <v>42730</v>
      </c>
      <c r="F226" s="3" t="str">
        <v>Iya</v>
      </c>
      <c r="G226" s="4">
        <v>45841</v>
      </c>
      <c r="H226" s="10">
        <v>42730</v>
      </c>
    </row>
    <row r="227" spans="1:8">
      <c r="A227" s="3">
        <v>226</v>
      </c>
      <c r="B227" s="4">
        <v>45923.46707175926</v>
      </c>
      <c r="C227" s="5" t="str">
        <v>DAIHATSU GRANMAX PU AC PS 1.5 M/T</v>
      </c>
      <c r="D227" s="5" t="str">
        <v>B5790CM</v>
      </c>
      <c r="E227" s="10">
        <v>17625</v>
      </c>
      <c r="F227" s="3" t="str">
        <v>Iya</v>
      </c>
      <c r="G227" s="4">
        <v>45784</v>
      </c>
      <c r="H227" s="10">
        <v>17625</v>
      </c>
    </row>
    <row r="228" spans="1:8">
      <c r="A228" s="3">
        <v>227</v>
      </c>
      <c r="B228" s="4">
        <v>45923.472326388888</v>
      </c>
      <c r="C228" s="5" t="str">
        <v>DAIHATSU GRANMAX PU AC PS 1.5 M/T</v>
      </c>
      <c r="D228" s="5" t="str">
        <v>DD8835VA</v>
      </c>
      <c r="E228" s="10">
        <v>7005</v>
      </c>
      <c r="F228" s="3" t="str">
        <v>Iya</v>
      </c>
      <c r="G228" s="4">
        <v>45860</v>
      </c>
      <c r="H228" s="10">
        <v>7005</v>
      </c>
    </row>
    <row r="229" spans="1:8">
      <c r="A229" s="3">
        <v>228</v>
      </c>
      <c r="B229" s="4">
        <v>45923.618738425917</v>
      </c>
      <c r="C229" s="5" t="str">
        <v>Daihatsu Xenia (Badan)</v>
      </c>
      <c r="D229" s="5" t="str">
        <v>B3797RA</v>
      </c>
      <c r="E229" s="10">
        <v>9035</v>
      </c>
      <c r="F229" s="3" t="str">
        <v>Iya</v>
      </c>
      <c r="G229" s="4">
        <v>45934</v>
      </c>
      <c r="H229" s="10">
        <v>9035</v>
      </c>
    </row>
    <row r="230" spans="1:8">
      <c r="A230" s="3">
        <v>229</v>
      </c>
      <c r="B230" s="4">
        <v>45923.649201388893</v>
      </c>
      <c r="C230" s="5" t="str">
        <v>DAIHATSU GRANMAX PU AC PS 1.5 M/T</v>
      </c>
      <c r="D230" s="5" t="str">
        <v>B8474IXR</v>
      </c>
      <c r="E230" s="10">
        <v>15275</v>
      </c>
      <c r="F230" s="3" t="str">
        <v>Iya</v>
      </c>
      <c r="G230" s="4">
        <v>45764</v>
      </c>
      <c r="H230" s="10">
        <v>15275</v>
      </c>
    </row>
    <row r="231" spans="1:8">
      <c r="A231" s="3">
        <v>230</v>
      </c>
      <c r="B231" s="4">
        <v>45923.685925925929</v>
      </c>
      <c r="C231" s="5" t="str">
        <v>Daihatsu Xenia (Badan)</v>
      </c>
      <c r="D231" s="5" t="str">
        <v>B2034KCH</v>
      </c>
      <c r="E231" s="10">
        <v>108592</v>
      </c>
      <c r="F231" s="3" t="str">
        <v>Iya</v>
      </c>
      <c r="G231" s="4">
        <v>45808</v>
      </c>
      <c r="H231" s="10">
        <v>108592</v>
      </c>
    </row>
    <row r="232" spans="1:8">
      <c r="A232" s="3">
        <v>231</v>
      </c>
      <c r="B232" s="4">
        <v>45923.708368055559</v>
      </c>
      <c r="C232" s="5" t="str">
        <v>Daihatsu Xenia (Badan)</v>
      </c>
      <c r="D232" s="5" t="str">
        <v>H8376YB</v>
      </c>
      <c r="E232" s="10">
        <v>49987</v>
      </c>
      <c r="F232" s="3" t="str">
        <v>Iya</v>
      </c>
      <c r="G232" s="4">
        <v>45923</v>
      </c>
      <c r="H232" s="10">
        <v>49987</v>
      </c>
    </row>
    <row r="233" spans="1:8">
      <c r="A233" s="3">
        <v>232</v>
      </c>
      <c r="B233" s="4">
        <v>45923.744976851849</v>
      </c>
      <c r="C233" s="5" t="str">
        <v>Daihatsu Xenia (Badan)</v>
      </c>
      <c r="D233" s="5" t="str">
        <v>DB3636AJ</v>
      </c>
      <c r="E233" s="10">
        <v>32365</v>
      </c>
      <c r="F233" s="3" t="str">
        <v>Iya</v>
      </c>
      <c r="G233" s="4">
        <v>45888</v>
      </c>
      <c r="H233" s="10">
        <v>32365</v>
      </c>
    </row>
    <row r="234" spans="1:8">
      <c r="A234" s="3">
        <v>233</v>
      </c>
      <c r="B234" s="4">
        <v>45923.75885416667</v>
      </c>
      <c r="C234" s="5" t="str">
        <v>PICK UP TRAGA 2.5 4X2 MT D M/T</v>
      </c>
      <c r="D234" s="5" t="str">
        <v>B2293BCX</v>
      </c>
      <c r="E234" s="10">
        <v>5249</v>
      </c>
      <c r="F234" s="3" t="str">
        <v>Iya</v>
      </c>
      <c r="G234" s="4">
        <v>45915</v>
      </c>
      <c r="H234" s="10">
        <v>5249</v>
      </c>
    </row>
    <row r="235" spans="1:8">
      <c r="A235" s="3">
        <v>234</v>
      </c>
      <c r="B235" s="4">
        <v>45924.331354166658</v>
      </c>
      <c r="C235" s="5" t="str">
        <v>Daihatsu Xenia (Badan)</v>
      </c>
      <c r="D235" s="5" t="str">
        <v>B7949TY</v>
      </c>
      <c r="E235" s="10">
        <v>24067</v>
      </c>
      <c r="F235" s="3" t="str">
        <v>Iya</v>
      </c>
      <c r="G235" s="4">
        <v>45796</v>
      </c>
      <c r="H235" s="10">
        <v>24067</v>
      </c>
    </row>
    <row r="236" spans="1:8">
      <c r="A236" s="3">
        <v>235</v>
      </c>
      <c r="B236" s="4">
        <v>45924.367731481478</v>
      </c>
      <c r="C236" s="5" t="str">
        <v>DAIHATSU GRANMAX PU AC PS 1.5 M/T</v>
      </c>
      <c r="D236" s="5" t="str">
        <v>B2047SQ</v>
      </c>
      <c r="E236" s="10">
        <v>37967</v>
      </c>
      <c r="F236" s="3" t="str">
        <v>Iya</v>
      </c>
      <c r="G236" s="4">
        <v>45819</v>
      </c>
      <c r="H236" s="10">
        <v>37967</v>
      </c>
    </row>
    <row r="237" spans="1:8">
      <c r="A237" s="3">
        <v>236</v>
      </c>
      <c r="B237" s="4">
        <v>45924.373391203713</v>
      </c>
      <c r="C237" s="5" t="str">
        <v>Daihatsu Xenia (Badan)</v>
      </c>
      <c r="D237" s="5" t="str">
        <v>B9558JSZ</v>
      </c>
      <c r="E237" s="10">
        <v>15102</v>
      </c>
      <c r="F237" s="3" t="str">
        <v>Iya</v>
      </c>
      <c r="G237" s="4">
        <v>45834</v>
      </c>
      <c r="H237" s="10">
        <v>15102</v>
      </c>
    </row>
    <row r="238" spans="1:8">
      <c r="A238" s="3">
        <v>237</v>
      </c>
      <c r="B238" s="4">
        <v>45924.39403935185</v>
      </c>
      <c r="C238" s="5" t="str">
        <v>Daihatsu Xenia (Badan)</v>
      </c>
      <c r="D238" s="5" t="str">
        <v>B6817ZM</v>
      </c>
      <c r="E238" s="10">
        <v>7663</v>
      </c>
      <c r="F238" s="3" t="str">
        <v>Iya</v>
      </c>
      <c r="G238" s="4">
        <v>45839</v>
      </c>
      <c r="H238" s="10">
        <v>7663</v>
      </c>
    </row>
    <row r="239" spans="1:8">
      <c r="A239" s="3">
        <v>238</v>
      </c>
      <c r="B239" s="4">
        <v>45924.426076388889</v>
      </c>
      <c r="C239" s="5" t="str">
        <v>DAIHATSU GRANMAX PU AC PS 1.5 M/T</v>
      </c>
      <c r="D239" s="5" t="str">
        <v>B2344IM</v>
      </c>
      <c r="E239" s="10">
        <v>41349</v>
      </c>
      <c r="F239" s="3" t="str">
        <v>Iya</v>
      </c>
      <c r="G239" s="4">
        <v>45923</v>
      </c>
      <c r="H239" s="10">
        <v>41349</v>
      </c>
    </row>
    <row r="240" spans="1:8">
      <c r="A240" s="3">
        <v>239</v>
      </c>
      <c r="B240" s="4">
        <v>45924.42659722222</v>
      </c>
      <c r="C240" s="5" t="str">
        <v>PICK UP TRAGA 2.5 4X2 MT D M/T</v>
      </c>
      <c r="D240" s="5" t="str">
        <v>B9856AGQ</v>
      </c>
      <c r="E240" s="10">
        <v>29272</v>
      </c>
      <c r="F240" s="3" t="str">
        <v>Iya</v>
      </c>
      <c r="G240" s="4">
        <v>45849</v>
      </c>
      <c r="H240" s="10">
        <v>29272</v>
      </c>
    </row>
    <row r="241" spans="1:8">
      <c r="A241" s="3">
        <v>240</v>
      </c>
      <c r="B241" s="4">
        <v>45924.521273148152</v>
      </c>
      <c r="C241" s="5" t="str">
        <v>DAIHATSU GRANMAX PU AC PS 1.5 M/T</v>
      </c>
      <c r="D241" s="5" t="str">
        <v>DD9729YV</v>
      </c>
      <c r="E241" s="10">
        <v>53373</v>
      </c>
      <c r="F241" s="3" t="str">
        <v>Iya</v>
      </c>
      <c r="G241" s="4">
        <v>45862</v>
      </c>
      <c r="H241" s="10">
        <v>53373</v>
      </c>
    </row>
    <row r="242" spans="1:8">
      <c r="A242" s="3">
        <v>241</v>
      </c>
      <c r="B242" s="4">
        <v>45924.637986111113</v>
      </c>
      <c r="C242" s="5" t="str">
        <v>DAIHATSU GRANMAX PU AC PS 1.5 M/T</v>
      </c>
      <c r="D242" s="5" t="str">
        <v>B3271BYK</v>
      </c>
      <c r="E242" s="10">
        <v>31239</v>
      </c>
      <c r="F242" s="3" t="str">
        <v>Iya</v>
      </c>
      <c r="G242" s="4">
        <v>45764</v>
      </c>
      <c r="H242" s="10">
        <v>31239</v>
      </c>
    </row>
    <row r="243" spans="1:8">
      <c r="A243" s="3">
        <v>242</v>
      </c>
      <c r="B243" s="4">
        <v>45924.841585648152</v>
      </c>
      <c r="C243" s="5" t="str">
        <v>Daihatsu Xenia (Badan)</v>
      </c>
      <c r="D243" s="5" t="str">
        <v>B9653KV</v>
      </c>
      <c r="E243" s="10">
        <v>38843</v>
      </c>
      <c r="F243" s="3" t="str">
        <v>Iya</v>
      </c>
      <c r="G243" s="4">
        <v>45889</v>
      </c>
      <c r="H243" s="10">
        <v>38843</v>
      </c>
    </row>
    <row r="244" spans="1:8">
      <c r="A244" s="3">
        <v>243</v>
      </c>
      <c r="B244" s="4">
        <v>45925.35434027778</v>
      </c>
      <c r="C244" s="5" t="str">
        <v>Daihatsu Xenia (Badan)</v>
      </c>
      <c r="D244" s="5" t="str">
        <v>B2925QZ</v>
      </c>
      <c r="E244" s="10">
        <v>26999</v>
      </c>
      <c r="F244" s="3" t="str">
        <v>Iya</v>
      </c>
      <c r="G244" s="4">
        <v>45756</v>
      </c>
      <c r="H244" s="10">
        <v>26999</v>
      </c>
    </row>
    <row r="245" spans="1:8">
      <c r="A245" s="3">
        <v>244</v>
      </c>
      <c r="B245" s="4">
        <v>45925.359247685177</v>
      </c>
      <c r="C245" s="5" t="str">
        <v>Daihatsu Xenia (Badan)</v>
      </c>
      <c r="D245" s="5" t="str">
        <v>B2306NS</v>
      </c>
      <c r="E245" s="10">
        <v>27275</v>
      </c>
      <c r="F245" s="3" t="str">
        <v>Iya</v>
      </c>
      <c r="G245" s="4">
        <v>45780</v>
      </c>
      <c r="H245" s="10">
        <v>27275</v>
      </c>
    </row>
    <row r="246" spans="1:8">
      <c r="A246" s="3">
        <v>245</v>
      </c>
      <c r="B246" s="4">
        <v>45925.429340277777</v>
      </c>
      <c r="C246" s="5" t="str">
        <v>DAIHATSU GRANMAX PU AC PS 1.5 M/T</v>
      </c>
      <c r="D246" s="5" t="str">
        <v>B6642GE</v>
      </c>
      <c r="E246" s="10">
        <v>11099</v>
      </c>
      <c r="F246" s="3" t="str">
        <v>Iya</v>
      </c>
      <c r="G246" s="4">
        <v>45916</v>
      </c>
      <c r="H246" s="10">
        <v>11099</v>
      </c>
    </row>
    <row r="247" spans="1:8">
      <c r="A247" s="3">
        <v>246</v>
      </c>
      <c r="B247" s="4">
        <v>45925.458657407413</v>
      </c>
      <c r="C247" s="5" t="str">
        <v>Daihatsu Xenia (Badan)</v>
      </c>
      <c r="D247" s="5" t="str">
        <v>KT6033ET</v>
      </c>
      <c r="E247" s="10">
        <v>38356</v>
      </c>
      <c r="F247" s="3" t="str">
        <v>Iya</v>
      </c>
      <c r="G247" s="4">
        <v>45790</v>
      </c>
      <c r="H247" s="10">
        <v>38356</v>
      </c>
    </row>
    <row r="248" spans="1:8">
      <c r="A248" s="3">
        <v>247</v>
      </c>
      <c r="B248" s="4">
        <v>45925.634351851862</v>
      </c>
      <c r="C248" s="5" t="str">
        <v>Daihatsu Xenia (Badan)</v>
      </c>
      <c r="D248" s="5" t="str">
        <v>B2924KX</v>
      </c>
      <c r="E248" s="10">
        <v>53788</v>
      </c>
      <c r="F248" s="3" t="str">
        <v>Iya</v>
      </c>
      <c r="G248" s="4">
        <v>45866</v>
      </c>
      <c r="H248" s="10">
        <v>53788</v>
      </c>
    </row>
    <row r="249" spans="1:8">
      <c r="A249" s="3">
        <v>248</v>
      </c>
      <c r="B249" s="4">
        <v>45925.639513888891</v>
      </c>
      <c r="C249" s="5" t="str">
        <v>Daihatsu Xenia (Badan)</v>
      </c>
      <c r="D249" s="5" t="str">
        <v>B1923MMD</v>
      </c>
      <c r="E249" s="10">
        <v>25959</v>
      </c>
      <c r="F249" s="3" t="str">
        <v>Iya</v>
      </c>
      <c r="G249" s="4">
        <v>45763</v>
      </c>
      <c r="H249" s="10">
        <v>25959</v>
      </c>
    </row>
    <row r="250" spans="1:8">
      <c r="A250" s="3">
        <v>249</v>
      </c>
      <c r="B250" s="4">
        <v>45925.71837962963</v>
      </c>
      <c r="C250" s="5" t="str">
        <v>DAIHATSU GRANMAX PU AC PS 1.5 M/T</v>
      </c>
      <c r="D250" s="5" t="str">
        <v>B7659CZ</v>
      </c>
      <c r="E250" s="10">
        <v>7186</v>
      </c>
      <c r="F250" s="3" t="str">
        <v>Iya</v>
      </c>
      <c r="G250" s="4">
        <v>45656</v>
      </c>
      <c r="H250" s="10">
        <v>7186</v>
      </c>
    </row>
    <row r="251" spans="1:8">
      <c r="A251" s="3">
        <v>250</v>
      </c>
      <c r="B251" s="4">
        <v>45925.740312499998</v>
      </c>
      <c r="C251" s="5" t="str">
        <v>PICK UP TRAGA 2.5 4X2 MT D M/T</v>
      </c>
      <c r="D251" s="5" t="str">
        <v>B7752SX</v>
      </c>
      <c r="E251" s="10">
        <v>5563</v>
      </c>
      <c r="F251" s="3" t="str">
        <v>Iya</v>
      </c>
      <c r="G251" s="4">
        <v>45919</v>
      </c>
      <c r="H251" s="10">
        <v>5563</v>
      </c>
    </row>
    <row r="252" spans="1:8">
      <c r="A252" s="3">
        <v>251</v>
      </c>
      <c r="B252" s="4">
        <v>45925.763379629629</v>
      </c>
      <c r="C252" s="5" t="str">
        <v>DAIHATSU GRANMAX PU AC PS 1.5 M/T</v>
      </c>
      <c r="D252" s="5" t="str">
        <v>B8188HNM</v>
      </c>
      <c r="E252" s="10">
        <v>37430</v>
      </c>
      <c r="F252" s="3" t="str">
        <v>Iya</v>
      </c>
      <c r="G252" s="4">
        <v>45807</v>
      </c>
      <c r="H252" s="10">
        <v>37430</v>
      </c>
    </row>
    <row r="253" spans="1:8">
      <c r="A253" s="3">
        <v>252</v>
      </c>
      <c r="B253" s="4">
        <v>45926.368125000001</v>
      </c>
      <c r="C253" s="5" t="str">
        <v>DAIHATSU GRANMAX PU AC PS 1.5 M/T</v>
      </c>
      <c r="D253" s="5" t="str">
        <v>DB2968BR</v>
      </c>
      <c r="E253" s="10">
        <v>13037</v>
      </c>
      <c r="F253" s="3" t="str">
        <v>Iya</v>
      </c>
      <c r="G253" s="4">
        <v>45873</v>
      </c>
      <c r="H253" s="10">
        <v>13037</v>
      </c>
    </row>
    <row r="254" spans="1:8">
      <c r="A254" s="3">
        <v>253</v>
      </c>
      <c r="B254" s="4">
        <v>45926.390462962961</v>
      </c>
      <c r="C254" s="5" t="str">
        <v>Daihatsu Xenia (Badan)</v>
      </c>
      <c r="D254" s="5" t="str">
        <v>B7986SF</v>
      </c>
      <c r="E254" s="10">
        <v>34800</v>
      </c>
      <c r="F254" s="3" t="str">
        <v>Iya</v>
      </c>
      <c r="G254" s="4">
        <v>45798</v>
      </c>
      <c r="H254" s="10">
        <v>34800</v>
      </c>
    </row>
    <row r="255" spans="1:8">
      <c r="A255" s="3">
        <v>254</v>
      </c>
      <c r="B255" s="4">
        <v>45926.418368055558</v>
      </c>
      <c r="C255" s="5" t="str">
        <v>Daihatsu Xenia (Badan)</v>
      </c>
      <c r="D255" s="5" t="str">
        <v>B3472IIU</v>
      </c>
      <c r="E255" s="10">
        <v>83548</v>
      </c>
      <c r="F255" s="3" t="str">
        <v>Iya</v>
      </c>
      <c r="G255" s="4">
        <v>45902</v>
      </c>
      <c r="H255" s="10">
        <v>83548</v>
      </c>
    </row>
    <row r="256" spans="1:8">
      <c r="A256" s="3">
        <v>255</v>
      </c>
      <c r="B256" s="4">
        <v>45926.446261574078</v>
      </c>
      <c r="C256" s="5" t="str">
        <v>PICK UP TRAGA 2.5 4X2 MT D M/T</v>
      </c>
      <c r="D256" s="5" t="str">
        <v>B2710QMZ</v>
      </c>
      <c r="E256" s="10">
        <v>47275</v>
      </c>
      <c r="F256" s="3" t="str">
        <v>Iya</v>
      </c>
      <c r="G256" s="4">
        <v>45852</v>
      </c>
      <c r="H256" s="10">
        <v>47275</v>
      </c>
    </row>
    <row r="257" spans="1:8">
      <c r="A257" s="3">
        <v>256</v>
      </c>
      <c r="B257" s="4">
        <v>45926.6015625</v>
      </c>
      <c r="C257" s="5" t="str">
        <v>PICK UP TRAGA 2.5 4X2 MT D M/T</v>
      </c>
      <c r="D257" s="5" t="str">
        <v>B6957DH</v>
      </c>
      <c r="E257" s="10">
        <v>90956</v>
      </c>
      <c r="F257" s="3" t="str">
        <v>Iya</v>
      </c>
      <c r="G257" s="4">
        <v>45846</v>
      </c>
      <c r="H257" s="10">
        <v>90956</v>
      </c>
    </row>
    <row r="258" spans="1:8">
      <c r="A258" s="3">
        <v>257</v>
      </c>
      <c r="B258" s="4">
        <v>45926.626747685194</v>
      </c>
      <c r="C258" s="5" t="str">
        <v>PICK UP TRAGA 2.5 4X2 MT D M/T</v>
      </c>
      <c r="D258" s="5" t="str">
        <v>B9145RF</v>
      </c>
      <c r="E258" s="10">
        <v>95395</v>
      </c>
      <c r="F258" s="3" t="str">
        <v>Iya</v>
      </c>
      <c r="G258" s="4">
        <v>45839</v>
      </c>
      <c r="H258" s="10">
        <v>95395</v>
      </c>
    </row>
    <row r="259" spans="1:8">
      <c r="A259" s="3">
        <v>258</v>
      </c>
      <c r="B259" s="4">
        <v>45926.65388888889</v>
      </c>
      <c r="C259" s="5" t="str">
        <v>Daihatsu Xenia (Badan)</v>
      </c>
      <c r="D259" s="5" t="str">
        <v>B5945BC</v>
      </c>
      <c r="E259" s="10">
        <v>730</v>
      </c>
      <c r="F259" s="3" t="str">
        <v>Iya</v>
      </c>
      <c r="G259" s="4">
        <v>45920</v>
      </c>
      <c r="H259" s="10">
        <v>730</v>
      </c>
    </row>
    <row r="260" spans="1:8">
      <c r="A260" s="3">
        <v>259</v>
      </c>
      <c r="B260" s="4">
        <v>45927.35659722222</v>
      </c>
      <c r="C260" s="5" t="str">
        <v>Daihatsu Xenia (Badan)</v>
      </c>
      <c r="D260" s="5" t="str">
        <v>B9091PM</v>
      </c>
      <c r="E260" s="10">
        <v>35602</v>
      </c>
      <c r="F260" s="3" t="str">
        <v>Iya</v>
      </c>
      <c r="G260" s="4">
        <v>45785</v>
      </c>
      <c r="H260" s="10">
        <v>35602</v>
      </c>
    </row>
    <row r="261" spans="1:8">
      <c r="A261" s="3">
        <v>260</v>
      </c>
      <c r="B261" s="4">
        <v>45927.571006944447</v>
      </c>
      <c r="C261" s="5" t="str">
        <v>Daihatsu Xenia (Badan)</v>
      </c>
      <c r="D261" s="5" t="str">
        <v>B3590QLB</v>
      </c>
      <c r="E261" s="10">
        <v>20854</v>
      </c>
      <c r="F261" s="3" t="str">
        <v>Iya</v>
      </c>
      <c r="G261" s="4">
        <v>45917</v>
      </c>
      <c r="H261" s="10">
        <v>20854</v>
      </c>
    </row>
    <row r="262" spans="1:8">
      <c r="A262" s="3">
        <v>261</v>
      </c>
      <c r="B262" s="4">
        <v>45927.648136574076</v>
      </c>
      <c r="C262" s="5" t="str">
        <v>DAIHATSU GRANMAX PU AC PS 1.5 M/T</v>
      </c>
      <c r="D262" s="5" t="str">
        <v>B6704WT</v>
      </c>
      <c r="E262" s="10">
        <v>36590</v>
      </c>
      <c r="F262" s="3" t="str">
        <v>Iya</v>
      </c>
      <c r="G262" s="4">
        <v>45849</v>
      </c>
      <c r="H262" s="10">
        <v>36590</v>
      </c>
    </row>
    <row r="263" spans="1:8">
      <c r="A263" s="3">
        <v>262</v>
      </c>
      <c r="B263" s="4">
        <v>45928.569502314807</v>
      </c>
      <c r="C263" s="5" t="str">
        <v>PICK UP TRAGA 2.5 4X2 MT D M/T</v>
      </c>
      <c r="D263" s="5" t="str">
        <v>KT4675WB</v>
      </c>
      <c r="E263" s="10">
        <v>41193</v>
      </c>
      <c r="F263" s="3" t="str">
        <v>Iya</v>
      </c>
      <c r="G263" s="4">
        <v>45927</v>
      </c>
      <c r="H263" s="10">
        <v>41193</v>
      </c>
    </row>
    <row r="264" spans="1:8">
      <c r="A264" s="3">
        <v>263</v>
      </c>
      <c r="B264" s="4">
        <v>45929.350937499999</v>
      </c>
      <c r="C264" s="5" t="str">
        <v>Daihatsu Xenia (Badan)</v>
      </c>
      <c r="D264" s="5" t="str">
        <v>B5843ME</v>
      </c>
      <c r="E264" s="10">
        <v>99895</v>
      </c>
      <c r="F264" s="3" t="str">
        <v>Iya</v>
      </c>
      <c r="G264" s="4">
        <v>45762</v>
      </c>
      <c r="H264" s="10">
        <v>99895</v>
      </c>
    </row>
    <row r="265" spans="1:8">
      <c r="A265" s="3">
        <v>264</v>
      </c>
      <c r="B265" s="4">
        <v>45929.390509259261</v>
      </c>
      <c r="C265" s="5" t="str">
        <v>DAIHATSU GRANMAX PU AC PS 1.5 M/T</v>
      </c>
      <c r="D265" s="5" t="str">
        <v>B4124TR</v>
      </c>
      <c r="E265" s="10">
        <v>3497</v>
      </c>
      <c r="F265" s="3" t="str">
        <v>Iya</v>
      </c>
      <c r="G265" s="4">
        <v>45832</v>
      </c>
      <c r="H265" s="10">
        <v>3497</v>
      </c>
    </row>
    <row r="266" spans="1:8">
      <c r="A266" s="3">
        <v>265</v>
      </c>
      <c r="B266" s="4">
        <v>45929.469363425917</v>
      </c>
      <c r="C266" s="5" t="str">
        <v>Daihatsu Xenia (Badan)</v>
      </c>
      <c r="D266" s="5" t="str">
        <v>KB4153HK</v>
      </c>
      <c r="E266" s="10">
        <v>45353</v>
      </c>
      <c r="F266" s="3" t="str">
        <v>Iya</v>
      </c>
      <c r="G266" s="4">
        <v>45799</v>
      </c>
      <c r="H266" s="10">
        <v>45353</v>
      </c>
    </row>
    <row r="267" spans="1:8">
      <c r="A267" s="3">
        <v>266</v>
      </c>
      <c r="B267" s="4">
        <v>45930.771481481483</v>
      </c>
      <c r="C267" s="5" t="str">
        <v>Daihatsu Xenia (Badan)</v>
      </c>
      <c r="D267" s="5" t="str">
        <v>B4121AL</v>
      </c>
      <c r="E267" s="10">
        <v>4930</v>
      </c>
      <c r="F267" s="3" t="str">
        <v>Iya</v>
      </c>
      <c r="G267" s="4">
        <v>45813</v>
      </c>
      <c r="H267" s="10">
        <v>4930</v>
      </c>
    </row>
    <row r="268" spans="1:8">
      <c r="A268" s="3">
        <v>267</v>
      </c>
      <c r="B268" s="4">
        <v>45930.87195601852</v>
      </c>
      <c r="C268" s="5" t="str">
        <v>Daihatsu Xenia (Badan)</v>
      </c>
      <c r="D268" s="5" t="str">
        <v>B1995JFG</v>
      </c>
      <c r="E268" s="10">
        <v>34699</v>
      </c>
      <c r="F268" s="3" t="str">
        <v>Iya</v>
      </c>
      <c r="G268" s="4">
        <v>45923</v>
      </c>
      <c r="H268" s="10">
        <v>34699</v>
      </c>
    </row>
    <row r="269" spans="1:8">
      <c r="A269" s="3">
        <v>268</v>
      </c>
      <c r="B269" s="4">
        <v>45931.463009259263</v>
      </c>
      <c r="C269" s="5" t="str">
        <v>PICK UP TRAGA 2.5 4X2 MT D M/T</v>
      </c>
      <c r="D269" s="5" t="str">
        <v>B7875XVS</v>
      </c>
      <c r="E269" s="10">
        <v>19094</v>
      </c>
      <c r="F269" s="3" t="str">
        <v>Iya</v>
      </c>
      <c r="G269" s="4">
        <v>45812</v>
      </c>
      <c r="H269" s="10">
        <v>19094</v>
      </c>
    </row>
    <row r="270" spans="1:8">
      <c r="A270" s="3">
        <v>269</v>
      </c>
      <c r="B270" s="4">
        <v>45932.362199074072</v>
      </c>
      <c r="C270" s="5" t="str">
        <v>DAIHATSU GRANMAX PU AC PS 1.5 M/T</v>
      </c>
      <c r="D270" s="5" t="str">
        <v>AB8086XV</v>
      </c>
      <c r="E270" s="10">
        <v>4773</v>
      </c>
      <c r="F270" s="3" t="str">
        <v>Iya</v>
      </c>
      <c r="G270" s="4">
        <v>45783</v>
      </c>
      <c r="H270" s="10">
        <v>4773</v>
      </c>
    </row>
    <row r="271" spans="1:8">
      <c r="A271" s="3">
        <v>270</v>
      </c>
      <c r="B271" s="4">
        <v>45932.662534722222</v>
      </c>
      <c r="C271" s="5" t="str">
        <v>Daihatsu Xenia (Badan)</v>
      </c>
      <c r="D271" s="5" t="str">
        <v>DA3899XS</v>
      </c>
      <c r="E271" s="10">
        <v>13586</v>
      </c>
      <c r="F271" s="3" t="str">
        <v>Iya</v>
      </c>
      <c r="G271" s="4">
        <v>45875</v>
      </c>
      <c r="H271" s="10">
        <v>13586</v>
      </c>
    </row>
    <row r="272" spans="1:8">
      <c r="A272" s="3">
        <v>271</v>
      </c>
      <c r="B272" s="4">
        <v>45932.665486111109</v>
      </c>
      <c r="C272" s="5" t="str">
        <v>PICK UP TRAGA 2.5 4X2 MT D M/T</v>
      </c>
      <c r="D272" s="5" t="str">
        <v>B1376PE</v>
      </c>
      <c r="E272" s="10">
        <v>58432</v>
      </c>
      <c r="F272" s="3" t="str">
        <v>Iya</v>
      </c>
      <c r="G272" s="4">
        <v>45825</v>
      </c>
      <c r="H272" s="10">
        <v>58432</v>
      </c>
    </row>
    <row r="273" spans="1:8">
      <c r="A273" s="3">
        <v>272</v>
      </c>
      <c r="B273" s="4">
        <v>45932.675532407397</v>
      </c>
      <c r="C273" s="5" t="str">
        <v>PICK UP TRAGA 2.5 4X2 MT D M/T</v>
      </c>
      <c r="D273" s="5" t="str">
        <v>L4298GD</v>
      </c>
      <c r="E273" s="10">
        <v>111896</v>
      </c>
      <c r="F273" s="3" t="str">
        <v>Iya</v>
      </c>
      <c r="G273" s="4">
        <v>45877</v>
      </c>
      <c r="H273" s="10">
        <v>111896</v>
      </c>
    </row>
    <row r="274" spans="1:8">
      <c r="A274" s="3">
        <v>273</v>
      </c>
      <c r="B274" s="4">
        <v>45932.676435185182</v>
      </c>
      <c r="C274" s="5" t="str">
        <v>DAIHATSU GRANMAX PU AC PS 1.5 M/T</v>
      </c>
      <c r="D274" s="5" t="str">
        <v>KB5129KHN</v>
      </c>
      <c r="E274" s="10">
        <v>59841</v>
      </c>
      <c r="F274" s="3" t="str">
        <v>Iya</v>
      </c>
      <c r="G274" s="4">
        <v>45840</v>
      </c>
      <c r="H274" s="10">
        <v>59841</v>
      </c>
    </row>
    <row r="275" spans="1:8">
      <c r="A275" s="3">
        <v>274</v>
      </c>
      <c r="B275" s="4">
        <v>45932.689699074072</v>
      </c>
      <c r="C275" s="5" t="str">
        <v>Daihatsu Xenia (Badan)</v>
      </c>
      <c r="D275" s="5" t="str">
        <v>B9072QEG</v>
      </c>
      <c r="E275" s="10">
        <v>1974</v>
      </c>
      <c r="F275" s="3" t="str">
        <v>Iya</v>
      </c>
      <c r="G275" s="4">
        <v>45932</v>
      </c>
      <c r="H275" s="10">
        <v>1974</v>
      </c>
    </row>
    <row r="276" spans="1:8">
      <c r="A276" s="3">
        <v>275</v>
      </c>
      <c r="B276" s="4">
        <v>45932.708449074067</v>
      </c>
      <c r="C276" s="5" t="str">
        <v>PICK UP TRAGA 2.5 4X2 MT D M/T</v>
      </c>
      <c r="D276" s="5" t="str">
        <v>B9233IVK</v>
      </c>
      <c r="E276" s="10">
        <v>848</v>
      </c>
      <c r="F276" s="3" t="str">
        <v>Iya</v>
      </c>
      <c r="G276" s="4">
        <v>45925</v>
      </c>
      <c r="H276" s="10">
        <v>848</v>
      </c>
    </row>
    <row r="277" spans="1:8">
      <c r="A277" s="3">
        <v>276</v>
      </c>
      <c r="B277" s="4">
        <v>45932.807337962957</v>
      </c>
      <c r="C277" s="5" t="str">
        <v>PICK UP TRAGA 2.5 4X2 MT D M/T</v>
      </c>
      <c r="D277" s="5" t="str">
        <v>B8827JSD</v>
      </c>
      <c r="E277" s="10">
        <v>6997</v>
      </c>
      <c r="F277" s="3" t="str">
        <v>Iya</v>
      </c>
      <c r="G277" s="4">
        <v>46009</v>
      </c>
      <c r="H277" s="10">
        <v>6997</v>
      </c>
    </row>
    <row r="278" spans="1:8">
      <c r="A278" s="3">
        <v>277</v>
      </c>
      <c r="B278" s="4">
        <v>45933.589733796303</v>
      </c>
      <c r="C278" s="5" t="str">
        <v>PICK UP TRAGA 2.5 4X2 MT D M/T</v>
      </c>
      <c r="D278" s="5" t="str">
        <v>B5623MA</v>
      </c>
      <c r="E278" s="10">
        <v>2299</v>
      </c>
      <c r="F278" s="3" t="str">
        <v>Iya</v>
      </c>
      <c r="G278" s="4">
        <v>45919</v>
      </c>
      <c r="H278" s="10">
        <v>2299</v>
      </c>
    </row>
    <row r="279" spans="1:8">
      <c r="A279" s="3">
        <v>278</v>
      </c>
      <c r="B279" s="4">
        <v>45934.459918981483</v>
      </c>
      <c r="C279" s="5" t="str">
        <v>DAIHATSU GRANMAX PU AC PS 1.5 M/T</v>
      </c>
      <c r="D279" s="5" t="str">
        <v>KT8120IVX</v>
      </c>
      <c r="E279" s="10">
        <v>7396</v>
      </c>
      <c r="F279" s="3" t="str">
        <v>Iya</v>
      </c>
      <c r="G279" s="4">
        <v>45902</v>
      </c>
      <c r="H279" s="10">
        <v>7396</v>
      </c>
    </row>
    <row r="280" spans="1:8">
      <c r="A280" s="3">
        <v>279</v>
      </c>
      <c r="B280" s="4">
        <v>45936.391550925917</v>
      </c>
      <c r="C280" s="5" t="str">
        <v>DAIHATSU GRANMAX PU AC PS 1.5 M/T</v>
      </c>
      <c r="D280" s="5" t="str">
        <v>B4786BT</v>
      </c>
      <c r="E280" s="10">
        <v>19337</v>
      </c>
      <c r="F280" s="3" t="str">
        <v>Iya</v>
      </c>
      <c r="G280" s="4">
        <v>45763</v>
      </c>
      <c r="H280" s="10">
        <v>19337</v>
      </c>
    </row>
    <row r="281" spans="1:8">
      <c r="A281" s="3">
        <v>280</v>
      </c>
      <c r="B281" s="4">
        <v>45936.473576388889</v>
      </c>
      <c r="C281" s="5" t="str">
        <v>Daihatsu Xenia (Badan)</v>
      </c>
      <c r="D281" s="5" t="str">
        <v>B8704TJL</v>
      </c>
      <c r="E281" s="10">
        <v>70335</v>
      </c>
      <c r="F281" s="3" t="str">
        <v>Iya</v>
      </c>
      <c r="G281" s="4">
        <v>45876</v>
      </c>
      <c r="H281" s="10">
        <v>70335</v>
      </c>
    </row>
    <row r="282" spans="1:8">
      <c r="A282" s="3">
        <v>281</v>
      </c>
      <c r="B282" s="4">
        <v>45936.509143518517</v>
      </c>
      <c r="C282" s="5" t="str">
        <v>PICK UP TRAGA 2.5 4X2 MT D M/T</v>
      </c>
      <c r="D282" s="5" t="str">
        <v>B6757PSW</v>
      </c>
      <c r="E282" s="10">
        <v>118277</v>
      </c>
      <c r="F282" s="3" t="str">
        <v>Iya</v>
      </c>
      <c r="G282" s="4">
        <v>45906</v>
      </c>
      <c r="H282" s="10">
        <v>118277</v>
      </c>
    </row>
    <row r="283" spans="1:8">
      <c r="A283" s="3">
        <v>282</v>
      </c>
      <c r="B283" s="4">
        <v>45936.578009259261</v>
      </c>
      <c r="C283" s="5" t="str">
        <v>Daihatsu Xenia (Badan)</v>
      </c>
      <c r="D283" s="5" t="str">
        <v>B8763MP</v>
      </c>
      <c r="E283" s="10">
        <v>90432</v>
      </c>
      <c r="F283" s="3" t="str">
        <v>Iya</v>
      </c>
      <c r="G283" s="4">
        <v>45932</v>
      </c>
      <c r="H283" s="10">
        <v>90432</v>
      </c>
    </row>
    <row r="284" spans="1:8">
      <c r="A284" s="3">
        <v>283</v>
      </c>
      <c r="B284" s="4">
        <v>45936.615347222221</v>
      </c>
      <c r="C284" s="5" t="str">
        <v>DAIHATSU GRANMAX PU AC PS 1.5 M/T</v>
      </c>
      <c r="D284" s="5" t="str">
        <v>D3219FF</v>
      </c>
      <c r="E284" s="10">
        <v>31711</v>
      </c>
      <c r="F284" s="3" t="str">
        <v>Iya</v>
      </c>
      <c r="G284" s="4">
        <v>45933</v>
      </c>
      <c r="H284" s="10">
        <v>31711</v>
      </c>
    </row>
    <row r="285" spans="1:8">
      <c r="A285" s="3">
        <v>284</v>
      </c>
      <c r="B285" s="4">
        <v>45936.638333333343</v>
      </c>
      <c r="C285" s="5" t="str">
        <v>DAIHATSU GRANMAX PU AC PS 1.5 M/T</v>
      </c>
      <c r="D285" s="5" t="str">
        <v>B2743VJK</v>
      </c>
      <c r="E285" s="10">
        <v>34642</v>
      </c>
      <c r="F285" s="3" t="str">
        <v>Iya</v>
      </c>
      <c r="G285" s="4">
        <v>45902</v>
      </c>
      <c r="H285" s="10">
        <v>34642</v>
      </c>
    </row>
    <row r="286" spans="1:8">
      <c r="A286" s="3">
        <v>285</v>
      </c>
      <c r="B286" s="4">
        <v>45936.818252314813</v>
      </c>
      <c r="C286" s="5" t="str">
        <v>PICK UP TRAGA 2.5 4X2 MT D M/T</v>
      </c>
      <c r="D286" s="5" t="str">
        <v>B9410TZ</v>
      </c>
      <c r="E286" s="10">
        <v>16925</v>
      </c>
      <c r="F286" s="3" t="str">
        <v>Iya</v>
      </c>
      <c r="G286" s="4">
        <v>45765</v>
      </c>
      <c r="H286" s="10">
        <v>16925</v>
      </c>
    </row>
    <row r="287" spans="1:8">
      <c r="A287" s="3">
        <v>286</v>
      </c>
      <c r="B287" s="4">
        <v>45937.481238425928</v>
      </c>
      <c r="C287" s="5" t="str">
        <v>DAIHATSU GRANMAX PU AC PS 1.5 M/T</v>
      </c>
      <c r="D287" s="5" t="str">
        <v>B2766FHW</v>
      </c>
      <c r="E287" s="10">
        <v>6499</v>
      </c>
      <c r="F287" s="3" t="str">
        <v>Iya</v>
      </c>
      <c r="G287" s="4">
        <v>45878</v>
      </c>
      <c r="H287" s="10">
        <v>6499</v>
      </c>
    </row>
    <row r="288" spans="1:8">
      <c r="A288" s="3">
        <v>287</v>
      </c>
      <c r="B288" s="4">
        <v>45938.705347222232</v>
      </c>
      <c r="C288" s="5" t="str">
        <v>Daihatsu Xenia (Badan)</v>
      </c>
      <c r="D288" s="5" t="str">
        <v>B2047SQ</v>
      </c>
      <c r="E288" s="10">
        <v>36144</v>
      </c>
      <c r="F288" s="3" t="str">
        <v>Iya</v>
      </c>
      <c r="G288" s="4">
        <v>45819</v>
      </c>
      <c r="H288" s="10">
        <v>36144</v>
      </c>
    </row>
    <row r="289" spans="1:8">
      <c r="A289" s="3">
        <v>288</v>
      </c>
      <c r="B289" s="4">
        <v>45933.423043981478</v>
      </c>
      <c r="C289" s="5" t="str">
        <v>PICK UP TRAGA 2.5 4X2 MT D M/T</v>
      </c>
      <c r="D289" s="5" t="str">
        <v>B9897TAZ</v>
      </c>
      <c r="E289" s="10">
        <v>32273</v>
      </c>
      <c r="F289" s="3" t="str">
        <v>Iya</v>
      </c>
      <c r="G289" s="4">
        <v>45845</v>
      </c>
      <c r="H289" s="10">
        <v>32273</v>
      </c>
    </row>
    <row r="290" spans="1:8">
      <c r="A290" s="3">
        <v>289</v>
      </c>
      <c r="B290" s="4">
        <v>45933.463240740741</v>
      </c>
      <c r="C290" s="5" t="str">
        <v>DAIHATSU GRANMAX PU AC PS 1.5 M/T</v>
      </c>
      <c r="D290" s="5" t="str">
        <v>DA8288KC</v>
      </c>
      <c r="E290" s="10">
        <v>63563</v>
      </c>
      <c r="F290" s="3" t="str">
        <v>Iya</v>
      </c>
      <c r="G290" s="4">
        <v>45932</v>
      </c>
      <c r="H290" s="10">
        <v>63563</v>
      </c>
    </row>
    <row r="291" spans="1:8">
      <c r="A291" s="3">
        <v>290</v>
      </c>
      <c r="B291" s="4">
        <v>45934.3</v>
      </c>
      <c r="C291" s="5" t="str">
        <v>DAIHATSU GRANMAX PU AC PS 1.5 M/T</v>
      </c>
      <c r="D291" s="5" t="str">
        <v>B7154RP</v>
      </c>
      <c r="E291" s="10">
        <v>53544</v>
      </c>
      <c r="F291" s="3" t="str">
        <v>Iya</v>
      </c>
      <c r="G291" s="4">
        <v>45909</v>
      </c>
      <c r="H291" s="10">
        <v>53544</v>
      </c>
    </row>
    <row r="292" spans="1:8">
      <c r="A292" s="3">
        <v>291</v>
      </c>
      <c r="B292" s="4">
        <v>45951.510324074072</v>
      </c>
      <c r="C292" s="5" t="str">
        <v>PICK UP TRAGA 2.5 4X2 MT D M/T</v>
      </c>
      <c r="D292" s="5" t="str">
        <v>B8827JSD</v>
      </c>
      <c r="E292" s="10">
        <v>9074</v>
      </c>
      <c r="F292" s="3" t="str">
        <v>Iya</v>
      </c>
      <c r="G292" s="4">
        <v>45786</v>
      </c>
      <c r="H292" s="10">
        <v>9074</v>
      </c>
    </row>
    <row r="293" spans="1:8">
      <c r="A293" s="3">
        <v>292</v>
      </c>
      <c r="B293" s="4">
        <v>45951.54996527778</v>
      </c>
      <c r="C293" s="5" t="str">
        <v>Daihatsu Xenia (Badan)</v>
      </c>
      <c r="D293" s="5" t="str">
        <v>B3367HD</v>
      </c>
      <c r="E293" s="10">
        <v>40102</v>
      </c>
      <c r="F293" s="3" t="str">
        <v>Iya</v>
      </c>
      <c r="G293" s="4">
        <v>45931</v>
      </c>
      <c r="H293" s="10">
        <v>40102</v>
      </c>
    </row>
    <row r="294" spans="1:8">
      <c r="A294" s="3">
        <v>293</v>
      </c>
      <c r="B294" s="4">
        <v>45951.594571759262</v>
      </c>
      <c r="C294" s="5" t="str">
        <v>Daihatsu Xenia (Badan)</v>
      </c>
      <c r="D294" s="5" t="str">
        <v>DA3899XS</v>
      </c>
      <c r="E294" s="10">
        <v>18711</v>
      </c>
      <c r="F294" s="3" t="str">
        <v>Iya</v>
      </c>
      <c r="G294" s="4">
        <v>45875</v>
      </c>
      <c r="H294" s="10">
        <v>18711</v>
      </c>
    </row>
    <row r="295" spans="1:8">
      <c r="A295" s="3">
        <v>294</v>
      </c>
      <c r="B295" s="4">
        <v>45951.603252314817</v>
      </c>
      <c r="C295" s="5" t="str">
        <v>DAIHATSU GRANMAX PU AC PS 1.5 M/T</v>
      </c>
      <c r="D295" s="5" t="str">
        <v>B2344IM</v>
      </c>
      <c r="E295" s="10">
        <v>45965</v>
      </c>
      <c r="F295" s="3" t="str">
        <v>Iya</v>
      </c>
      <c r="G295" s="4">
        <v>45923</v>
      </c>
      <c r="H295" s="10">
        <v>45965</v>
      </c>
    </row>
    <row r="296" spans="1:8">
      <c r="A296" s="3">
        <v>295</v>
      </c>
      <c r="B296" s="4">
        <v>45951.62703703704</v>
      </c>
      <c r="C296" s="5" t="str">
        <v>DAIHATSU GRANMAX PU AC PS 1.5 M/T</v>
      </c>
      <c r="D296" s="5" t="str">
        <v>B8895WT</v>
      </c>
      <c r="E296" s="10">
        <v>3828</v>
      </c>
      <c r="F296" s="3" t="str">
        <v>Iya</v>
      </c>
      <c r="G296" s="4">
        <v>45861</v>
      </c>
      <c r="H296" s="10">
        <v>3828</v>
      </c>
    </row>
    <row r="297" spans="1:8">
      <c r="A297" s="3">
        <v>296</v>
      </c>
      <c r="B297" s="4">
        <v>45951.632245370369</v>
      </c>
      <c r="C297" s="5" t="str">
        <v>Daihatsu Xenia (Badan)</v>
      </c>
      <c r="D297" s="5" t="str">
        <v>B2306NS</v>
      </c>
      <c r="E297" s="10">
        <v>29125</v>
      </c>
      <c r="F297" s="3" t="str">
        <v>Iya</v>
      </c>
      <c r="G297" s="4">
        <v>45780</v>
      </c>
      <c r="H297" s="10">
        <v>29125</v>
      </c>
    </row>
    <row r="298" spans="1:8">
      <c r="A298" s="3">
        <v>297</v>
      </c>
      <c r="B298" s="4">
        <v>45951.662210648137</v>
      </c>
      <c r="C298" s="5" t="str">
        <v>Daihatsu Xenia (Badan)</v>
      </c>
      <c r="D298" s="5" t="str">
        <v>B3797RA</v>
      </c>
      <c r="E298" s="10">
        <v>11561</v>
      </c>
      <c r="F298" s="3" t="str">
        <v>Iya</v>
      </c>
      <c r="G298" s="4">
        <v>45951</v>
      </c>
      <c r="H298" s="10">
        <v>11561</v>
      </c>
    </row>
    <row r="299" spans="1:8">
      <c r="A299" s="3">
        <v>298</v>
      </c>
      <c r="B299" s="4">
        <v>45951.664236111108</v>
      </c>
      <c r="C299" s="5" t="str">
        <v>PICK UP TRAGA 2.5 4X2 MT D M/T</v>
      </c>
      <c r="D299" s="5" t="str">
        <v>B2293BCX</v>
      </c>
      <c r="E299" s="10">
        <v>6638</v>
      </c>
      <c r="F299" s="3" t="str">
        <v>Iya</v>
      </c>
      <c r="G299" s="4">
        <v>45915</v>
      </c>
      <c r="H299" s="10">
        <v>6638</v>
      </c>
    </row>
    <row r="300" spans="1:8">
      <c r="A300" s="3">
        <v>299</v>
      </c>
      <c r="B300" s="4">
        <v>45951.665694444448</v>
      </c>
      <c r="C300" s="5" t="str">
        <v>DAIHATSU GRANMAX PU AC PS 1.5 M/T</v>
      </c>
      <c r="D300" s="5" t="str">
        <v>B1827XS</v>
      </c>
      <c r="E300" s="10">
        <v>269</v>
      </c>
      <c r="F300" s="3" t="str">
        <v>Iya</v>
      </c>
      <c r="G300" s="4">
        <v>45948</v>
      </c>
      <c r="H300" s="10">
        <v>269</v>
      </c>
    </row>
    <row r="301" spans="1:8">
      <c r="A301" s="3">
        <v>300</v>
      </c>
      <c r="B301" s="4">
        <v>45951.683055555557</v>
      </c>
      <c r="C301" s="5" t="str">
        <v>Daihatsu Xenia (Badan)</v>
      </c>
      <c r="D301" s="5" t="str">
        <v>B2652NS</v>
      </c>
      <c r="E301" s="10">
        <v>41374</v>
      </c>
      <c r="F301" s="3" t="str">
        <v>Iya</v>
      </c>
      <c r="G301" s="4">
        <v>45820</v>
      </c>
      <c r="H301" s="10">
        <v>41374</v>
      </c>
    </row>
    <row r="302" spans="1:8">
      <c r="A302" s="3">
        <v>301</v>
      </c>
      <c r="B302" s="4">
        <v>45951.683530092603</v>
      </c>
      <c r="C302" s="5" t="str">
        <v>PICK UP TRAGA 2.5 4X2 MT D M/T</v>
      </c>
      <c r="D302" s="5" t="str">
        <v>B3705JT</v>
      </c>
      <c r="E302" s="10">
        <v>79129</v>
      </c>
      <c r="F302" s="3" t="str">
        <v>Iya</v>
      </c>
      <c r="G302" s="4">
        <v>45938</v>
      </c>
      <c r="H302" s="10">
        <v>79129</v>
      </c>
    </row>
    <row r="303" spans="1:8">
      <c r="A303" s="3">
        <v>302</v>
      </c>
      <c r="B303" s="4">
        <v>45951.846655092602</v>
      </c>
      <c r="C303" s="5" t="str">
        <v>Daihatsu Xenia (Badan)</v>
      </c>
      <c r="D303" s="5" t="str">
        <v>DB3636AJ</v>
      </c>
      <c r="E303" s="10">
        <v>33797</v>
      </c>
      <c r="F303" s="3" t="str">
        <v>Iya</v>
      </c>
      <c r="G303" s="4">
        <v>45888</v>
      </c>
      <c r="H303" s="10">
        <v>33797</v>
      </c>
    </row>
    <row r="304" spans="1:8">
      <c r="A304" s="3">
        <v>303</v>
      </c>
      <c r="B304" s="4">
        <v>45952.314398148148</v>
      </c>
      <c r="C304" s="5" t="str">
        <v>PICK UP TRAGA 2.5 4X2 MT D M/T</v>
      </c>
      <c r="D304" s="5" t="str">
        <v>B2705EA</v>
      </c>
      <c r="E304" s="10">
        <v>38027</v>
      </c>
      <c r="F304" s="3" t="str">
        <v>Iya</v>
      </c>
      <c r="G304" s="4">
        <v>45824</v>
      </c>
      <c r="H304" s="10">
        <v>38027</v>
      </c>
    </row>
    <row r="305" spans="1:8">
      <c r="A305" s="3">
        <v>304</v>
      </c>
      <c r="B305" s="4">
        <v>45952.321967592587</v>
      </c>
      <c r="C305" s="5" t="str">
        <v>DAIHATSU GRANMAX PU AC PS 1.5 M/T</v>
      </c>
      <c r="D305" s="5" t="str">
        <v>AB8251AD</v>
      </c>
      <c r="E305" s="10">
        <v>32378</v>
      </c>
      <c r="F305" s="3" t="str">
        <v>Iya</v>
      </c>
      <c r="G305" s="4">
        <v>45917</v>
      </c>
      <c r="H305" s="10">
        <v>32378</v>
      </c>
    </row>
    <row r="306" spans="1:8">
      <c r="A306" s="3">
        <v>305</v>
      </c>
      <c r="B306" s="4">
        <v>45952.323020833333</v>
      </c>
      <c r="C306" s="5" t="str">
        <v>Daihatsu Xenia (Badan)</v>
      </c>
      <c r="D306" s="5" t="str">
        <v>B5062PCK</v>
      </c>
      <c r="E306" s="10">
        <v>90150</v>
      </c>
      <c r="F306" s="3" t="str">
        <v>Iya</v>
      </c>
      <c r="G306" s="4">
        <v>45841</v>
      </c>
      <c r="H306" s="10">
        <v>90150</v>
      </c>
    </row>
    <row r="307" spans="1:8">
      <c r="A307" s="3">
        <v>306</v>
      </c>
      <c r="B307" s="4">
        <v>45952.335798611108</v>
      </c>
      <c r="C307" s="5" t="str">
        <v>DAIHATSU GRANMAX PU AC PS 1.5 M/T</v>
      </c>
      <c r="D307" s="5" t="str">
        <v>B7991VB</v>
      </c>
      <c r="E307" s="10">
        <v>17506</v>
      </c>
      <c r="F307" s="3" t="str">
        <v>Iya</v>
      </c>
      <c r="G307" s="4">
        <v>45918</v>
      </c>
      <c r="H307" s="10">
        <v>17506</v>
      </c>
    </row>
    <row r="308" spans="1:8">
      <c r="A308" s="3">
        <v>307</v>
      </c>
      <c r="B308" s="4">
        <v>45952.339606481481</v>
      </c>
      <c r="C308" s="5" t="str">
        <v>Daihatsu Xenia (Badan)</v>
      </c>
      <c r="D308" s="5" t="str">
        <v>B2758UU</v>
      </c>
      <c r="E308" s="10">
        <v>16046</v>
      </c>
      <c r="F308" s="3" t="str">
        <v>Iya</v>
      </c>
      <c r="G308" s="4">
        <v>45862</v>
      </c>
      <c r="H308" s="10">
        <v>16046</v>
      </c>
    </row>
    <row r="309" spans="1:8">
      <c r="A309" s="3">
        <v>308</v>
      </c>
      <c r="B309" s="4">
        <v>45952.344328703701</v>
      </c>
      <c r="C309" s="5" t="str">
        <v>DAIHATSU GRANMAX PU AC PS 1.5 M/T</v>
      </c>
      <c r="D309" s="5" t="str">
        <v>B7659CZ</v>
      </c>
      <c r="E309" s="10">
        <v>7717</v>
      </c>
      <c r="F309" s="3" t="str">
        <v>Iya</v>
      </c>
      <c r="G309" s="4">
        <v>45721</v>
      </c>
      <c r="H309" s="10">
        <v>7717</v>
      </c>
    </row>
    <row r="310" spans="1:8">
      <c r="A310" s="3">
        <v>309</v>
      </c>
      <c r="B310" s="4">
        <v>45952.382928240739</v>
      </c>
      <c r="C310" s="5" t="str">
        <v>Daihatsu Xenia (Badan)</v>
      </c>
      <c r="D310" s="5" t="str">
        <v>B9558JSZ</v>
      </c>
      <c r="E310" s="10">
        <v>16529</v>
      </c>
      <c r="F310" s="3" t="str">
        <v>Iya</v>
      </c>
      <c r="G310" s="4">
        <v>45833</v>
      </c>
      <c r="H310" s="10">
        <v>16529</v>
      </c>
    </row>
    <row r="311" spans="1:8">
      <c r="A311" s="3">
        <v>310</v>
      </c>
      <c r="B311" s="4">
        <v>45952.384062500001</v>
      </c>
      <c r="C311" s="5" t="str">
        <v>Daihatsu Xenia (Badan)</v>
      </c>
      <c r="D311" s="5" t="str">
        <v>B8054VY</v>
      </c>
      <c r="E311" s="10">
        <v>18755</v>
      </c>
      <c r="F311" s="3" t="str">
        <v>Iya</v>
      </c>
      <c r="G311" s="4">
        <v>45923</v>
      </c>
      <c r="H311" s="10">
        <v>18755</v>
      </c>
    </row>
    <row r="312" spans="1:8">
      <c r="A312" s="3">
        <v>311</v>
      </c>
      <c r="B312" s="4">
        <v>45952.408900462957</v>
      </c>
      <c r="C312" s="5" t="str">
        <v>Daihatsu Xenia (Badan)</v>
      </c>
      <c r="D312" s="5" t="str">
        <v>B5945BC</v>
      </c>
      <c r="E312" s="10">
        <v>2913</v>
      </c>
      <c r="F312" s="3" t="str">
        <v>Iya</v>
      </c>
      <c r="G312" s="4">
        <v>45920</v>
      </c>
      <c r="H312" s="10">
        <v>2913</v>
      </c>
    </row>
    <row r="313" spans="1:8">
      <c r="A313" s="3">
        <v>312</v>
      </c>
      <c r="B313" s="4">
        <v>45952.584826388891</v>
      </c>
      <c r="C313" s="5" t="str">
        <v>Daihatsu Xenia (Badan)</v>
      </c>
      <c r="D313" s="5" t="str">
        <v>B8137WEW</v>
      </c>
      <c r="E313" s="10">
        <v>36519</v>
      </c>
      <c r="F313" s="3" t="str">
        <v>Iya</v>
      </c>
      <c r="G313" s="4">
        <v>45950</v>
      </c>
      <c r="H313" s="10">
        <v>36519</v>
      </c>
    </row>
    <row r="314" spans="1:8">
      <c r="A314" s="3">
        <v>313</v>
      </c>
      <c r="B314" s="4">
        <v>45952.61078703704</v>
      </c>
      <c r="C314" s="5" t="str">
        <v>Daihatsu Xenia (Badan)</v>
      </c>
      <c r="D314" s="5" t="str">
        <v>B7991PSS</v>
      </c>
      <c r="E314" s="10">
        <v>74753</v>
      </c>
      <c r="F314" s="3" t="str">
        <v>Iya</v>
      </c>
      <c r="G314" s="4">
        <v>45945</v>
      </c>
      <c r="H314" s="10">
        <v>74753</v>
      </c>
    </row>
    <row r="315" spans="1:8">
      <c r="A315" s="3">
        <v>314</v>
      </c>
      <c r="B315" s="4">
        <v>45953.397974537038</v>
      </c>
      <c r="C315" s="5" t="str">
        <v>Daihatsu Xenia (Badan)</v>
      </c>
      <c r="D315" s="5" t="str">
        <v>B2966HE</v>
      </c>
      <c r="E315" s="10">
        <v>103206</v>
      </c>
      <c r="F315" s="3" t="str">
        <v>Iya</v>
      </c>
      <c r="G315" s="4">
        <v>45944</v>
      </c>
      <c r="H315" s="10">
        <v>103206</v>
      </c>
    </row>
    <row r="316" spans="1:8">
      <c r="A316" s="3">
        <v>315</v>
      </c>
      <c r="B316" s="4">
        <v>45953.403634259259</v>
      </c>
      <c r="C316" s="5" t="str">
        <v>PICK UP TRAGA 2.5 4X2 MT D M/T</v>
      </c>
      <c r="D316" s="5" t="str">
        <v>B4900WYS</v>
      </c>
      <c r="E316" s="10">
        <v>34323</v>
      </c>
      <c r="F316" s="3" t="str">
        <v>Iya</v>
      </c>
      <c r="G316" s="4">
        <v>45793</v>
      </c>
      <c r="H316" s="10">
        <v>34323</v>
      </c>
    </row>
    <row r="317" spans="1:8">
      <c r="A317" s="3">
        <v>316</v>
      </c>
      <c r="B317" s="4">
        <v>45953.583379629628</v>
      </c>
      <c r="C317" s="5" t="str">
        <v>PICK UP TRAGA 2.5 4X2 MT D M/T</v>
      </c>
      <c r="D317" s="5" t="str">
        <v>B7759RV</v>
      </c>
      <c r="E317" s="10">
        <v>2940</v>
      </c>
      <c r="F317" s="3" t="str">
        <v>Iya</v>
      </c>
      <c r="G317" s="4">
        <v>45884</v>
      </c>
      <c r="H317" s="10">
        <v>2940</v>
      </c>
    </row>
    <row r="318" spans="1:8">
      <c r="A318" s="3">
        <v>317</v>
      </c>
      <c r="B318" s="4">
        <v>45953.586886574078</v>
      </c>
      <c r="C318" s="5" t="str">
        <v>Daihatsu Xenia (Badan)</v>
      </c>
      <c r="D318" s="5" t="str">
        <v>B8763MP</v>
      </c>
      <c r="E318" s="10">
        <v>87799</v>
      </c>
      <c r="F318" s="3" t="str">
        <v>Iya</v>
      </c>
      <c r="G318" s="4">
        <v>45932</v>
      </c>
      <c r="H318" s="10">
        <v>87799</v>
      </c>
    </row>
    <row r="319" spans="1:8">
      <c r="A319" s="3">
        <v>318</v>
      </c>
      <c r="B319" s="4">
        <v>45953.594224537039</v>
      </c>
      <c r="C319" s="5" t="str">
        <v>Daihatsu Xenia (Badan)</v>
      </c>
      <c r="D319" s="5" t="str">
        <v>B2034KCH</v>
      </c>
      <c r="E319" s="10">
        <v>100226</v>
      </c>
      <c r="F319" s="3" t="str">
        <v>Iya</v>
      </c>
      <c r="G319" s="4">
        <v>45938</v>
      </c>
      <c r="H319" s="10">
        <v>100226</v>
      </c>
    </row>
    <row r="320" spans="1:8">
      <c r="A320" s="3">
        <v>319</v>
      </c>
      <c r="B320" s="4">
        <v>45953.603703703702</v>
      </c>
      <c r="C320" s="5" t="str">
        <v>PICK UP TRAGA 2.5 4X2 MT D M/T</v>
      </c>
      <c r="D320" s="5" t="str">
        <v>KT1884DR</v>
      </c>
      <c r="E320" s="10">
        <v>59273</v>
      </c>
      <c r="F320" s="3" t="str">
        <v>Iya</v>
      </c>
      <c r="G320" s="4">
        <v>45916</v>
      </c>
      <c r="H320" s="10">
        <v>59273</v>
      </c>
    </row>
    <row r="321" spans="1:8">
      <c r="A321" s="3">
        <v>320</v>
      </c>
      <c r="B321" s="4">
        <v>45953.62604166667</v>
      </c>
      <c r="C321" s="5" t="str">
        <v>Daihatsu Xenia (Badan)</v>
      </c>
      <c r="D321" s="5" t="str">
        <v>B2925QZ</v>
      </c>
      <c r="E321" s="10">
        <v>29533</v>
      </c>
      <c r="F321" s="3" t="str">
        <v>Iya</v>
      </c>
      <c r="G321" s="4">
        <v>45943</v>
      </c>
      <c r="H321" s="10">
        <v>29533</v>
      </c>
    </row>
    <row r="322" spans="1:8">
      <c r="A322" s="3">
        <v>321</v>
      </c>
      <c r="B322" s="4">
        <v>45953.63480324074</v>
      </c>
      <c r="C322" s="5" t="str">
        <v>Daihatsu Xenia (Badan)</v>
      </c>
      <c r="D322" s="5" t="str">
        <v>B2924KX</v>
      </c>
      <c r="E322" s="10">
        <v>61087</v>
      </c>
      <c r="F322" s="3" t="str">
        <v>Iya</v>
      </c>
      <c r="G322" s="4">
        <v>45866</v>
      </c>
      <c r="H322" s="10">
        <v>61087</v>
      </c>
    </row>
    <row r="323" spans="1:8">
      <c r="A323" s="3">
        <v>322</v>
      </c>
      <c r="B323" s="4">
        <v>45953.683692129627</v>
      </c>
      <c r="C323" s="5" t="str">
        <v>DAIHATSU GRANMAX PU AC PS 1.5 M/T</v>
      </c>
      <c r="D323" s="5" t="str">
        <v>B8474IXR</v>
      </c>
      <c r="E323" s="10">
        <v>15766</v>
      </c>
      <c r="F323" s="3" t="str">
        <v>Iya</v>
      </c>
      <c r="G323" s="4">
        <v>45943</v>
      </c>
      <c r="H323" s="10">
        <v>15766</v>
      </c>
    </row>
    <row r="324" spans="1:8">
      <c r="A324" s="3">
        <v>323</v>
      </c>
      <c r="B324" s="4">
        <v>45953.752141203702</v>
      </c>
      <c r="C324" s="5" t="str">
        <v>DAIHATSU GRANMAX PU AC PS 1.5 M/T</v>
      </c>
      <c r="D324" s="5" t="str">
        <v>B4166CNA</v>
      </c>
      <c r="E324" s="10">
        <v>28318</v>
      </c>
      <c r="F324" s="3" t="str">
        <v>Iya</v>
      </c>
      <c r="G324" s="4">
        <v>45917</v>
      </c>
      <c r="H324" s="10">
        <v>28318</v>
      </c>
    </row>
    <row r="325" spans="1:8">
      <c r="A325" s="3">
        <v>324</v>
      </c>
      <c r="B325" s="4">
        <v>45954.416365740741</v>
      </c>
      <c r="C325" s="5" t="str">
        <v>PICK UP TRAGA 2.5 4X2 MT D M/T</v>
      </c>
      <c r="D325" s="5" t="str">
        <v>B3553JC</v>
      </c>
      <c r="E325" s="10">
        <v>26209</v>
      </c>
      <c r="F325" s="3" t="str">
        <v>Iya</v>
      </c>
      <c r="G325" s="4">
        <v>45882</v>
      </c>
      <c r="H325" s="10">
        <v>26209</v>
      </c>
    </row>
    <row r="326" spans="1:8">
      <c r="A326" s="3">
        <v>325</v>
      </c>
      <c r="B326" s="4">
        <v>45954.452141203707</v>
      </c>
      <c r="C326" s="5" t="str">
        <v>DAIHATSU GRANMAX PU AC PS 1.5 M/T</v>
      </c>
      <c r="D326" s="5" t="str">
        <v>H3059ZKJ</v>
      </c>
      <c r="E326" s="10">
        <v>3053</v>
      </c>
      <c r="F326" s="3" t="str">
        <v>Iya</v>
      </c>
      <c r="G326" s="4">
        <v>45917</v>
      </c>
      <c r="H326" s="10">
        <v>3053</v>
      </c>
    </row>
    <row r="327" spans="1:8">
      <c r="A327" s="3">
        <v>326</v>
      </c>
      <c r="B327" s="4">
        <v>45954.497199074067</v>
      </c>
      <c r="C327" s="5" t="str">
        <v>Daihatsu Xenia (Badan)</v>
      </c>
      <c r="D327" s="5" t="str">
        <v>B2047SQ</v>
      </c>
      <c r="E327" s="10">
        <v>37797</v>
      </c>
      <c r="F327" s="3" t="str">
        <v>Iya</v>
      </c>
      <c r="G327" s="4">
        <v>45819</v>
      </c>
      <c r="H327" s="10">
        <v>37797</v>
      </c>
    </row>
    <row r="328" spans="1:8">
      <c r="A328" s="3">
        <v>327</v>
      </c>
      <c r="B328" s="4">
        <v>45954.620486111111</v>
      </c>
      <c r="C328" s="5" t="str">
        <v>PICK UP TRAGA 2.5 4X2 MT D M/T</v>
      </c>
      <c r="D328" s="5" t="str">
        <v>B6757PSW</v>
      </c>
      <c r="E328" s="10">
        <v>115203</v>
      </c>
      <c r="F328" s="3" t="str">
        <v>Iya</v>
      </c>
      <c r="G328" s="4">
        <v>45906</v>
      </c>
      <c r="H328" s="10">
        <v>115203</v>
      </c>
    </row>
    <row r="329" spans="1:8">
      <c r="A329" s="3">
        <v>328</v>
      </c>
      <c r="B329" s="4">
        <v>45954.710868055547</v>
      </c>
      <c r="C329" s="5" t="str">
        <v>DAIHATSU GRANMAX PU AC PS 1.5 M/T</v>
      </c>
      <c r="D329" s="5" t="str">
        <v>B7326IW</v>
      </c>
      <c r="E329" s="10">
        <v>23287</v>
      </c>
      <c r="F329" s="3" t="str">
        <v>Iya</v>
      </c>
      <c r="G329" s="4">
        <v>45920</v>
      </c>
      <c r="H329" s="10">
        <v>23287</v>
      </c>
    </row>
    <row r="330" spans="1:8">
      <c r="A330" s="3">
        <v>329</v>
      </c>
      <c r="B330" s="4">
        <v>45955.341631944437</v>
      </c>
      <c r="C330" s="5" t="str">
        <v>Daihatsu Xenia (Badan)</v>
      </c>
      <c r="D330" s="5" t="str">
        <v>B3590QLB</v>
      </c>
      <c r="E330" s="10">
        <v>26803</v>
      </c>
      <c r="F330" s="3" t="str">
        <v>Iya</v>
      </c>
      <c r="G330" s="4">
        <v>45917</v>
      </c>
      <c r="H330" s="10">
        <v>26803</v>
      </c>
    </row>
    <row r="331" spans="1:8">
      <c r="A331" s="3">
        <v>330</v>
      </c>
      <c r="B331" s="4">
        <v>45955.40697916667</v>
      </c>
      <c r="C331" s="5" t="str">
        <v>PICK UP TRAGA 2.5 4X2 MT D M/T</v>
      </c>
      <c r="D331" s="5" t="str">
        <v>B4068JNS</v>
      </c>
      <c r="E331" s="10">
        <v>57443</v>
      </c>
      <c r="F331" s="3" t="str">
        <v>Iya</v>
      </c>
      <c r="G331" s="4">
        <v>45953</v>
      </c>
      <c r="H331" s="10">
        <v>57443</v>
      </c>
    </row>
    <row r="332" spans="1:8">
      <c r="A332" s="3">
        <v>331</v>
      </c>
      <c r="B332" s="4">
        <v>45955.511342592603</v>
      </c>
      <c r="C332" s="5" t="str">
        <v>Daihatsu Xenia (Badan)</v>
      </c>
      <c r="D332" s="5" t="str">
        <v>B2888ALH</v>
      </c>
      <c r="E332" s="10">
        <v>98384</v>
      </c>
      <c r="F332" s="3" t="str">
        <v>Iya</v>
      </c>
      <c r="G332" s="4">
        <v>45954</v>
      </c>
      <c r="H332" s="10">
        <v>98384</v>
      </c>
    </row>
    <row r="333" spans="1:8">
      <c r="A333" s="3">
        <v>332</v>
      </c>
      <c r="B333" s="4">
        <v>45955.584351851852</v>
      </c>
      <c r="C333" s="5" t="str">
        <v>DAIHATSU GRANMAX PU AC PS 1.5 M/T</v>
      </c>
      <c r="D333" s="5" t="str">
        <v>B1654RAU</v>
      </c>
      <c r="E333" s="10">
        <v>24953</v>
      </c>
      <c r="F333" s="3" t="str">
        <v>Iya</v>
      </c>
      <c r="G333" s="4">
        <v>45770</v>
      </c>
      <c r="H333" s="10">
        <v>24953</v>
      </c>
    </row>
    <row r="334" spans="1:8">
      <c r="A334" s="3">
        <v>333</v>
      </c>
      <c r="B334" s="4">
        <v>45955.693009259259</v>
      </c>
      <c r="C334" s="5" t="str">
        <v>Daihatsu Xenia (Badan)</v>
      </c>
      <c r="D334" s="5" t="str">
        <v>KT6033ET</v>
      </c>
      <c r="E334" s="10">
        <v>47053</v>
      </c>
      <c r="F334" s="3" t="str">
        <v>Iya</v>
      </c>
      <c r="G334" s="4">
        <v>45790</v>
      </c>
      <c r="H334" s="10">
        <v>47053</v>
      </c>
    </row>
    <row r="335" spans="1:8">
      <c r="A335" s="3">
        <v>334</v>
      </c>
      <c r="B335" s="4">
        <v>45955.810081018521</v>
      </c>
      <c r="C335" s="5" t="str">
        <v>Daihatsu Xenia (Badan)</v>
      </c>
      <c r="D335" s="5" t="str">
        <v>B7986SF</v>
      </c>
      <c r="E335" s="10">
        <v>38450</v>
      </c>
      <c r="F335" s="3" t="str">
        <v>Iya</v>
      </c>
      <c r="G335" s="4">
        <v>45798</v>
      </c>
      <c r="H335" s="10">
        <v>38450</v>
      </c>
    </row>
    <row r="336" spans="1:8">
      <c r="A336" s="3">
        <v>335</v>
      </c>
      <c r="B336" s="4">
        <v>45957.524409722217</v>
      </c>
      <c r="C336" s="5" t="str">
        <v>DAIHATSU GRANMAX PU AC PS 1.5 M/T</v>
      </c>
      <c r="D336" s="5" t="str">
        <v>B9529CGF</v>
      </c>
      <c r="E336" s="10">
        <v>20637</v>
      </c>
      <c r="F336" s="3" t="str">
        <v>Iya</v>
      </c>
      <c r="G336" s="4">
        <v>45944</v>
      </c>
      <c r="H336" s="10">
        <v>20637</v>
      </c>
    </row>
    <row r="337" spans="1:8">
      <c r="A337" s="3">
        <v>336</v>
      </c>
      <c r="B337" s="4">
        <v>45957.529756944437</v>
      </c>
      <c r="C337" s="5" t="str">
        <v>Daihatsu Xenia (Badan)</v>
      </c>
      <c r="D337" s="5" t="str">
        <v>B4121AL</v>
      </c>
      <c r="E337" s="10">
        <v>13157</v>
      </c>
      <c r="F337" s="3" t="str">
        <v>Iya</v>
      </c>
      <c r="G337" s="4">
        <v>45813</v>
      </c>
      <c r="H337" s="10">
        <v>13157</v>
      </c>
    </row>
    <row r="338" spans="1:8">
      <c r="A338" s="3">
        <v>337</v>
      </c>
      <c r="B338" s="4">
        <v>45957.571805555563</v>
      </c>
      <c r="C338" s="5" t="str">
        <v>DAIHATSU GRANMAX PU AC PS 1.5 M/T</v>
      </c>
      <c r="D338" s="5" t="str">
        <v>B6704WT</v>
      </c>
      <c r="E338" s="10">
        <v>34827</v>
      </c>
      <c r="F338" s="3" t="str">
        <v>Iya</v>
      </c>
      <c r="G338" s="4">
        <v>45849</v>
      </c>
      <c r="H338" s="10">
        <v>34827</v>
      </c>
    </row>
    <row r="339" spans="1:8">
      <c r="A339" s="3">
        <v>338</v>
      </c>
      <c r="B339" s="4">
        <v>45957.575312499997</v>
      </c>
      <c r="C339" s="5" t="str">
        <v>Daihatsu Xenia (Badan)</v>
      </c>
      <c r="D339" s="5" t="str">
        <v>B7584BN</v>
      </c>
      <c r="E339" s="10">
        <v>50974</v>
      </c>
      <c r="F339" s="3" t="str">
        <v>Iya</v>
      </c>
      <c r="G339" s="4">
        <v>45847</v>
      </c>
      <c r="H339" s="10">
        <v>50974</v>
      </c>
    </row>
    <row r="340" spans="1:8">
      <c r="A340" s="3">
        <v>339</v>
      </c>
      <c r="B340" s="4">
        <v>45957.780428240738</v>
      </c>
      <c r="C340" s="5" t="str">
        <v>DAIHATSU GRANMAX PU AC PS 1.5 M/T</v>
      </c>
      <c r="D340" s="5" t="str">
        <v>KT2986WG</v>
      </c>
      <c r="E340" s="10">
        <v>43467</v>
      </c>
      <c r="F340" s="3" t="str">
        <v>Iya</v>
      </c>
      <c r="G340" s="4">
        <v>45841</v>
      </c>
      <c r="H340" s="10">
        <v>43467</v>
      </c>
    </row>
    <row r="341" spans="1:8">
      <c r="A341" s="3">
        <v>340</v>
      </c>
      <c r="B341" s="4">
        <v>45957.809050925927</v>
      </c>
      <c r="C341" s="5" t="str">
        <v>Daihatsu Xenia (Badan)</v>
      </c>
      <c r="D341" s="5" t="str">
        <v>B9653KV</v>
      </c>
      <c r="E341" s="10">
        <v>39995</v>
      </c>
      <c r="F341" s="3" t="str">
        <v>Iya</v>
      </c>
      <c r="G341" s="4">
        <v>45889</v>
      </c>
      <c r="H341" s="10">
        <v>39995</v>
      </c>
    </row>
    <row r="342" spans="1:8">
      <c r="A342" s="3">
        <v>341</v>
      </c>
      <c r="B342" s="4">
        <v>45957.839803240742</v>
      </c>
      <c r="C342" s="5" t="str">
        <v>Daihatsu Xenia (Badan)</v>
      </c>
      <c r="D342" s="5" t="str">
        <v>L1356IF</v>
      </c>
      <c r="E342" s="10">
        <v>1516</v>
      </c>
      <c r="F342" s="3" t="str">
        <v>Iya</v>
      </c>
      <c r="G342" s="4">
        <v>45957</v>
      </c>
      <c r="H342" s="10">
        <v>1516</v>
      </c>
    </row>
    <row r="343" spans="1:8">
      <c r="A343" s="3">
        <v>342</v>
      </c>
      <c r="B343" s="4">
        <v>45958.411412037043</v>
      </c>
      <c r="C343" s="5" t="str">
        <v>Daihatsu Xenia (Badan)</v>
      </c>
      <c r="D343" s="5" t="str">
        <v>B8704TJL</v>
      </c>
      <c r="E343" s="10">
        <v>68925</v>
      </c>
      <c r="F343" s="3" t="str">
        <v>Iya</v>
      </c>
      <c r="G343" s="4">
        <v>45944</v>
      </c>
      <c r="H343" s="10">
        <v>68925</v>
      </c>
    </row>
    <row r="344" spans="1:8">
      <c r="A344" s="3">
        <v>343</v>
      </c>
      <c r="B344" s="4">
        <v>45958.575787037043</v>
      </c>
      <c r="C344" s="5" t="str">
        <v>PICK UP TRAGA 2.5 4X2 MT D M/T</v>
      </c>
      <c r="D344" s="5" t="str">
        <v>B9856AGQ</v>
      </c>
      <c r="E344" s="10">
        <v>34554</v>
      </c>
      <c r="F344" s="3" t="str">
        <v>Iya</v>
      </c>
      <c r="G344" s="4">
        <v>45941</v>
      </c>
      <c r="H344" s="10">
        <v>34554</v>
      </c>
    </row>
    <row r="345" spans="1:8">
      <c r="A345" s="3">
        <v>344</v>
      </c>
      <c r="B345" s="4">
        <v>45958.650636574072</v>
      </c>
      <c r="C345" s="5" t="str">
        <v>Daihatsu Xenia (Badan)</v>
      </c>
      <c r="D345" s="5" t="str">
        <v>B3412LI</v>
      </c>
      <c r="E345" s="10">
        <v>61499</v>
      </c>
      <c r="F345" s="3" t="str">
        <v>Iya</v>
      </c>
      <c r="G345" s="4">
        <v>45955</v>
      </c>
      <c r="H345" s="10">
        <v>61499</v>
      </c>
    </row>
    <row r="346" spans="1:8">
      <c r="A346" s="3">
        <v>345</v>
      </c>
      <c r="B346" s="4">
        <v>45958.666087962964</v>
      </c>
      <c r="C346" s="5" t="str">
        <v>PICK UP TRAGA 2.5 4X2 MT D M/T</v>
      </c>
      <c r="D346" s="5" t="str">
        <v>B7495IAS</v>
      </c>
      <c r="E346" s="10">
        <v>59799</v>
      </c>
      <c r="F346" s="3" t="str">
        <v>Iya</v>
      </c>
      <c r="G346" s="4">
        <v>45825</v>
      </c>
      <c r="H346" s="10">
        <v>59799</v>
      </c>
    </row>
    <row r="347" spans="1:8">
      <c r="A347" s="3">
        <v>346</v>
      </c>
      <c r="B347" s="4">
        <v>45958.763611111113</v>
      </c>
      <c r="C347" s="5" t="str">
        <v>Daihatsu Xenia (Badan)</v>
      </c>
      <c r="D347" s="5" t="str">
        <v>B7690JA</v>
      </c>
      <c r="E347" s="10">
        <v>13179</v>
      </c>
      <c r="F347" s="3" t="str">
        <v>Iya</v>
      </c>
      <c r="G347" s="4">
        <v>45955</v>
      </c>
      <c r="H347" s="10">
        <v>13179</v>
      </c>
    </row>
    <row r="348" spans="1:8">
      <c r="A348" s="3">
        <v>347</v>
      </c>
      <c r="B348" s="4">
        <v>45959.317997685182</v>
      </c>
      <c r="C348" s="5" t="str">
        <v>Daihatsu Xenia (Badan)</v>
      </c>
      <c r="D348" s="5" t="str">
        <v>B7949TY</v>
      </c>
      <c r="E348" s="10">
        <v>26540</v>
      </c>
      <c r="F348" s="3" t="str">
        <v>Iya</v>
      </c>
      <c r="G348" s="4">
        <v>45796</v>
      </c>
      <c r="H348" s="10">
        <v>26540</v>
      </c>
    </row>
    <row r="349" spans="1:8">
      <c r="A349" s="3">
        <v>348</v>
      </c>
      <c r="B349" s="4">
        <v>45959.574178240742</v>
      </c>
      <c r="C349" s="5" t="str">
        <v>DAIHATSU GRANMAX PU AC PS 1.5 M/T</v>
      </c>
      <c r="D349" s="5" t="str">
        <v>B2544NP</v>
      </c>
      <c r="E349" s="10">
        <v>8171</v>
      </c>
      <c r="F349" s="3" t="str">
        <v>Iya</v>
      </c>
      <c r="G349" s="4">
        <v>45902</v>
      </c>
      <c r="H349" s="10">
        <v>8171</v>
      </c>
    </row>
    <row r="350" spans="1:8">
      <c r="A350" s="3">
        <v>349</v>
      </c>
      <c r="B350" s="4">
        <v>45959.645949074067</v>
      </c>
      <c r="C350" s="5" t="str">
        <v>DAIHATSU GRANMAX PU AC PS 1.5 M/T</v>
      </c>
      <c r="D350" s="5" t="str">
        <v>B1416VGW</v>
      </c>
      <c r="E350" s="10">
        <v>45513</v>
      </c>
      <c r="F350" s="3" t="str">
        <v>Iya</v>
      </c>
      <c r="G350" s="4">
        <v>45945</v>
      </c>
      <c r="H350" s="10">
        <v>45513</v>
      </c>
    </row>
    <row r="351" spans="1:8">
      <c r="A351" s="3">
        <v>350</v>
      </c>
      <c r="B351" s="4">
        <v>45959.696516203701</v>
      </c>
      <c r="C351" s="5" t="str">
        <v>Daihatsu Xenia (Badan)</v>
      </c>
      <c r="D351" s="5" t="str">
        <v>KB4153HK</v>
      </c>
      <c r="E351" s="10">
        <v>42179</v>
      </c>
      <c r="F351" s="3" t="str">
        <v>Iya</v>
      </c>
      <c r="G351" s="4">
        <v>45799</v>
      </c>
      <c r="H351" s="10">
        <v>42179</v>
      </c>
    </row>
    <row r="352" spans="1:8">
      <c r="A352" s="3">
        <v>351</v>
      </c>
      <c r="B352" s="4">
        <v>45959.755104166667</v>
      </c>
      <c r="C352" s="5" t="str">
        <v>PICK UP TRAGA 2.5 4X2 MT D M/T</v>
      </c>
      <c r="D352" s="5" t="str">
        <v>B8699GN</v>
      </c>
      <c r="E352" s="10">
        <v>67262</v>
      </c>
      <c r="F352" s="3" t="str">
        <v>Iya</v>
      </c>
      <c r="G352" s="4">
        <v>45911</v>
      </c>
      <c r="H352" s="10">
        <v>67262</v>
      </c>
    </row>
    <row r="353" spans="1:8">
      <c r="A353" s="3">
        <v>352</v>
      </c>
      <c r="B353" s="4">
        <v>45959.782789351862</v>
      </c>
      <c r="C353" s="5" t="str">
        <v>Daihatsu Xenia (Badan)</v>
      </c>
      <c r="D353" s="5" t="str">
        <v>B6374AY</v>
      </c>
      <c r="E353" s="10">
        <v>61510</v>
      </c>
      <c r="F353" s="3" t="str">
        <v>Iya</v>
      </c>
      <c r="G353" s="4">
        <v>45895</v>
      </c>
      <c r="H353" s="10">
        <v>61510</v>
      </c>
    </row>
    <row r="354" spans="1:8">
      <c r="A354" s="3">
        <v>353</v>
      </c>
      <c r="B354" s="4">
        <v>45960.382453703707</v>
      </c>
      <c r="C354" s="5" t="str">
        <v>DAIHATSU GRANMAX PU AC PS 1.5 M/T</v>
      </c>
      <c r="D354" s="5" t="str">
        <v>B1229TQ</v>
      </c>
      <c r="E354" s="10">
        <v>18990</v>
      </c>
      <c r="F354" s="3" t="str">
        <v>Iya</v>
      </c>
      <c r="G354" s="4">
        <v>45768</v>
      </c>
      <c r="H354" s="10">
        <v>18990</v>
      </c>
    </row>
    <row r="355" spans="1:8">
      <c r="A355" s="3">
        <v>354</v>
      </c>
      <c r="B355" s="4">
        <v>45960.391018518523</v>
      </c>
      <c r="C355" s="5" t="str">
        <v>Daihatsu Xenia (Badan)</v>
      </c>
      <c r="D355" s="5" t="str">
        <v>B5843ME</v>
      </c>
      <c r="E355" s="10">
        <v>99811</v>
      </c>
      <c r="F355" s="3" t="str">
        <v>Iya</v>
      </c>
      <c r="G355" s="4">
        <v>45943</v>
      </c>
      <c r="H355" s="10">
        <v>99811</v>
      </c>
    </row>
    <row r="356" spans="1:8">
      <c r="A356" s="3">
        <v>355</v>
      </c>
      <c r="B356" s="4">
        <v>45960.853541666656</v>
      </c>
      <c r="C356" s="5" t="str">
        <v>Daihatsu Xenia (Badan)</v>
      </c>
      <c r="D356" s="5" t="str">
        <v>B1995JFG</v>
      </c>
      <c r="E356" s="10">
        <v>31721</v>
      </c>
      <c r="F356" s="3" t="str">
        <v>Iya</v>
      </c>
      <c r="G356" s="4">
        <v>45892</v>
      </c>
      <c r="H356" s="10">
        <v>31721</v>
      </c>
    </row>
    <row r="357" spans="1:8">
      <c r="A357" s="3">
        <v>356</v>
      </c>
      <c r="B357" s="4">
        <v>45961.40121527778</v>
      </c>
      <c r="C357" s="5" t="str">
        <v>DAIHATSU GRANMAX PU AC PS 1.5 M/T</v>
      </c>
      <c r="D357" s="5" t="str">
        <v>DD8835VA</v>
      </c>
      <c r="E357" s="10">
        <v>7421</v>
      </c>
      <c r="F357" s="3" t="str">
        <v>Iya</v>
      </c>
      <c r="G357" s="4">
        <v>45860</v>
      </c>
      <c r="H357" s="10">
        <v>7421</v>
      </c>
    </row>
    <row r="358" spans="1:8">
      <c r="A358" s="3">
        <v>357</v>
      </c>
      <c r="B358" s="4">
        <v>45961.862326388888</v>
      </c>
      <c r="C358" s="5" t="str">
        <v>Daihatsu Xenia (Badan)</v>
      </c>
      <c r="D358" s="5" t="str">
        <v>B6817ZM</v>
      </c>
      <c r="E358" s="10">
        <v>8957</v>
      </c>
      <c r="F358" s="3" t="str">
        <v>Iya</v>
      </c>
      <c r="G358" s="4">
        <v>45778</v>
      </c>
      <c r="H358" s="10">
        <v>8957</v>
      </c>
    </row>
    <row r="359" spans="1:8">
      <c r="A359" s="3">
        <v>358</v>
      </c>
      <c r="B359" s="4">
        <v>45961.866446759261</v>
      </c>
      <c r="C359" s="5" t="str">
        <v>Daihatsu Xenia (Badan)</v>
      </c>
      <c r="D359" s="5" t="str">
        <v>B3472IIU</v>
      </c>
      <c r="E359" s="10">
        <v>84365</v>
      </c>
      <c r="F359" s="3" t="str">
        <v>Iya</v>
      </c>
      <c r="G359" s="4">
        <v>45902</v>
      </c>
      <c r="H359" s="10">
        <v>84365</v>
      </c>
    </row>
    <row r="360" spans="1:8">
      <c r="A360" s="3">
        <v>359</v>
      </c>
      <c r="B360" s="4">
        <v>45962.455289351848</v>
      </c>
      <c r="C360" s="5" t="str">
        <v>PICK UP TRAGA 2.5 4X2 MT D M/T</v>
      </c>
      <c r="D360" s="5" t="str">
        <v>B1637UN</v>
      </c>
      <c r="E360" s="10">
        <v>46427</v>
      </c>
      <c r="F360" s="3" t="str">
        <v>Iya</v>
      </c>
      <c r="G360" s="4">
        <v>45952</v>
      </c>
      <c r="H360" s="10">
        <v>46427</v>
      </c>
    </row>
    <row r="361" spans="1:8">
      <c r="A361" s="3">
        <v>360</v>
      </c>
      <c r="B361" s="4">
        <v>45962.510023148148</v>
      </c>
      <c r="C361" s="5" t="str">
        <v>PICK UP TRAGA 2.5 4X2 MT D M/T</v>
      </c>
      <c r="D361" s="5" t="str">
        <v>B1901ZW</v>
      </c>
      <c r="E361" s="10">
        <v>14376</v>
      </c>
      <c r="F361" s="3" t="str">
        <v>Iya</v>
      </c>
      <c r="G361" s="4">
        <v>45957</v>
      </c>
      <c r="H361" s="10">
        <v>14376</v>
      </c>
    </row>
    <row r="362" spans="1:8">
      <c r="A362" s="3">
        <v>361</v>
      </c>
      <c r="B362" s="4">
        <v>45964.347233796303</v>
      </c>
      <c r="C362" s="5" t="str">
        <v>Daihatsu Xenia (Badan)</v>
      </c>
      <c r="D362" s="5" t="str">
        <v>B2743VJK</v>
      </c>
      <c r="E362" s="10">
        <v>56533</v>
      </c>
      <c r="F362" s="3" t="str">
        <v>Iya</v>
      </c>
      <c r="G362" s="4">
        <v>45850</v>
      </c>
      <c r="H362" s="10">
        <v>56533</v>
      </c>
    </row>
    <row r="363" spans="1:8">
      <c r="A363" s="3">
        <v>362</v>
      </c>
      <c r="B363" s="4">
        <v>45964.372916666667</v>
      </c>
      <c r="C363" s="5" t="str">
        <v>PICK UP TRAGA 2.5 4X2 MT D M/T</v>
      </c>
      <c r="D363" s="5" t="str">
        <v>AB4770WL</v>
      </c>
      <c r="E363" s="10">
        <v>39473</v>
      </c>
      <c r="F363" s="3" t="str">
        <v>Iya</v>
      </c>
      <c r="G363" s="4">
        <v>45874</v>
      </c>
      <c r="H363" s="10">
        <v>39473</v>
      </c>
    </row>
    <row r="364" spans="1:8">
      <c r="A364" s="3">
        <v>363</v>
      </c>
      <c r="B364" s="4">
        <v>45964.384699074071</v>
      </c>
      <c r="C364" s="5" t="str">
        <v>DAIHATSU GRANMAX PU AC PS 1.5 M/T</v>
      </c>
      <c r="D364" s="5" t="str">
        <v>B3473LI</v>
      </c>
      <c r="E364" s="10">
        <v>20721</v>
      </c>
      <c r="F364" s="3" t="str">
        <v>Iya</v>
      </c>
      <c r="G364" s="4">
        <v>45568</v>
      </c>
      <c r="H364" s="10">
        <v>20721</v>
      </c>
    </row>
    <row r="365" spans="1:8">
      <c r="A365" s="3">
        <v>364</v>
      </c>
      <c r="B365" s="4">
        <v>45964.401886574073</v>
      </c>
      <c r="C365" s="5" t="str">
        <v>Daihatsu Xenia (Badan)</v>
      </c>
      <c r="D365" s="5" t="str">
        <v>B6680XJ</v>
      </c>
      <c r="E365" s="10">
        <v>25929</v>
      </c>
      <c r="F365" s="3" t="str">
        <v>Iya</v>
      </c>
      <c r="G365" s="4">
        <v>45822</v>
      </c>
      <c r="H365" s="10">
        <v>25929</v>
      </c>
    </row>
    <row r="366" spans="1:8">
      <c r="A366" s="3">
        <v>365</v>
      </c>
      <c r="B366" s="4">
        <v>45964.578587962962</v>
      </c>
      <c r="C366" s="5" t="str">
        <v>Daihatsu Xenia (Badan)</v>
      </c>
      <c r="D366" s="5" t="str">
        <v>B8182EB</v>
      </c>
      <c r="E366" s="10">
        <v>78743</v>
      </c>
      <c r="F366" s="3" t="str">
        <v>Iya</v>
      </c>
      <c r="G366" s="4">
        <v>45950</v>
      </c>
      <c r="H366" s="10">
        <v>78743</v>
      </c>
    </row>
    <row r="367" spans="1:8">
      <c r="A367" s="3">
        <v>366</v>
      </c>
      <c r="B367" s="4">
        <v>45964.678564814807</v>
      </c>
      <c r="C367" s="5" t="str">
        <v>PICK UP TRAGA 2.5 4X2 MT D M/T</v>
      </c>
      <c r="D367" s="5" t="str">
        <v>B8891JP</v>
      </c>
      <c r="E367" s="10">
        <v>55444</v>
      </c>
      <c r="F367" s="3" t="str">
        <v>Iya</v>
      </c>
      <c r="G367" s="4">
        <v>45909</v>
      </c>
      <c r="H367" s="10">
        <v>55444</v>
      </c>
    </row>
    <row r="368" spans="1:8">
      <c r="A368" s="3">
        <v>367</v>
      </c>
      <c r="B368" s="4">
        <v>45974.503263888888</v>
      </c>
      <c r="C368" s="5" t="str">
        <v>Daihatsu Xenia (Badan)</v>
      </c>
      <c r="D368" s="5" t="str">
        <v>B2034KCH</v>
      </c>
      <c r="E368" s="10">
        <v>113889</v>
      </c>
      <c r="F368" s="3" t="str">
        <v>Iya</v>
      </c>
      <c r="G368" s="4">
        <v>45938</v>
      </c>
      <c r="H368" s="10">
        <v>113889</v>
      </c>
    </row>
    <row r="369" spans="1:8">
      <c r="A369" s="3">
        <v>368</v>
      </c>
      <c r="B369" s="4">
        <v>45985.473368055558</v>
      </c>
      <c r="C369" s="5" t="str">
        <v>Daihatsu Xenia (Badan)</v>
      </c>
      <c r="D369" s="5" t="str">
        <v>B3367HD</v>
      </c>
      <c r="E369" s="10">
        <v>42889</v>
      </c>
      <c r="F369" s="3" t="str">
        <v>Iya</v>
      </c>
      <c r="G369" s="4">
        <v>45931</v>
      </c>
      <c r="H369" s="10">
        <v>42889</v>
      </c>
    </row>
    <row r="370" spans="1:8">
      <c r="A370" s="3">
        <v>369</v>
      </c>
      <c r="B370" s="4">
        <v>45985.495439814818</v>
      </c>
      <c r="C370" s="5" t="str">
        <v>Daihatsu Xenia (Badan)</v>
      </c>
      <c r="D370" s="5" t="str">
        <v>B9735KKV</v>
      </c>
      <c r="E370" s="10">
        <v>22397</v>
      </c>
      <c r="F370" s="3" t="str">
        <v>Iya</v>
      </c>
      <c r="G370" s="4">
        <v>45980</v>
      </c>
      <c r="H370" s="10">
        <v>22397</v>
      </c>
    </row>
    <row r="371" spans="1:8">
      <c r="A371" s="3">
        <v>370</v>
      </c>
      <c r="B371" s="4">
        <v>45985.496967592589</v>
      </c>
      <c r="C371" s="5" t="str">
        <v>Daihatsu Xenia (Badan)</v>
      </c>
      <c r="D371" s="5" t="str">
        <v>B9072QEG</v>
      </c>
      <c r="E371" s="10">
        <v>5343</v>
      </c>
      <c r="F371" s="3" t="str">
        <v>Iya</v>
      </c>
      <c r="G371" s="4">
        <v>45901</v>
      </c>
      <c r="H371" s="10">
        <v>5343</v>
      </c>
    </row>
    <row r="372" spans="1:8">
      <c r="A372" s="3">
        <v>371</v>
      </c>
      <c r="B372" s="4">
        <v>45985.522175925929</v>
      </c>
      <c r="C372" s="5" t="str">
        <v>DAIHATSU GRANMAX PU AC PS 1.5 M/T</v>
      </c>
      <c r="D372" s="5" t="str">
        <v>DD8835VA</v>
      </c>
      <c r="E372" s="10">
        <v>7192</v>
      </c>
      <c r="F372" s="3" t="str">
        <v>Iya</v>
      </c>
      <c r="G372" s="4">
        <v>45973</v>
      </c>
      <c r="H372" s="10">
        <v>7192</v>
      </c>
    </row>
    <row r="373" spans="1:8">
      <c r="A373" s="3">
        <v>372</v>
      </c>
      <c r="B373" s="4">
        <v>45985.544039351851</v>
      </c>
      <c r="C373" s="5" t="str">
        <v>PICK UP TRAGA 2.5 4X2 MT D M/T</v>
      </c>
      <c r="D373" s="5" t="str">
        <v>B7875XVS</v>
      </c>
      <c r="E373" s="10">
        <v>19420</v>
      </c>
      <c r="F373" s="3" t="str">
        <v>Iya</v>
      </c>
      <c r="G373" s="4">
        <v>45812</v>
      </c>
      <c r="H373" s="10">
        <v>19420</v>
      </c>
    </row>
    <row r="374" spans="1:8">
      <c r="A374" s="3">
        <v>373</v>
      </c>
      <c r="B374" s="4">
        <v>45985.58761574074</v>
      </c>
      <c r="C374" s="5" t="str">
        <v>PICK UP TRAGA 2.5 4X2 MT D M/T</v>
      </c>
      <c r="D374" s="5" t="str">
        <v>D2702MC</v>
      </c>
      <c r="E374" s="10">
        <v>34842</v>
      </c>
      <c r="F374" s="3" t="str">
        <v>Iya</v>
      </c>
      <c r="G374" s="4">
        <v>45974</v>
      </c>
      <c r="H374" s="10">
        <v>34842</v>
      </c>
    </row>
    <row r="375" spans="1:8">
      <c r="A375" s="3">
        <v>374</v>
      </c>
      <c r="B375" s="4">
        <v>45985.611481481479</v>
      </c>
      <c r="C375" s="5" t="str">
        <v>DAIHATSU GRANMAX PU AC PS 1.5 M/T</v>
      </c>
      <c r="D375" s="5" t="str">
        <v>B8895WT</v>
      </c>
      <c r="E375" s="10">
        <v>5006</v>
      </c>
      <c r="F375" s="3" t="str">
        <v>Iya</v>
      </c>
      <c r="G375" s="4">
        <v>45861</v>
      </c>
      <c r="H375" s="10">
        <v>5006</v>
      </c>
    </row>
    <row r="376" spans="1:8">
      <c r="A376" s="3">
        <v>375</v>
      </c>
      <c r="B376" s="4">
        <v>45985.632395833331</v>
      </c>
      <c r="C376" s="5" t="str">
        <v>Daihatsu Xenia (Badan)</v>
      </c>
      <c r="D376" s="5" t="str">
        <v>DA3899XS</v>
      </c>
      <c r="E376" s="10">
        <v>19562</v>
      </c>
      <c r="F376" s="3" t="str">
        <v>Iya</v>
      </c>
      <c r="G376" s="4">
        <v>45972</v>
      </c>
      <c r="H376" s="10">
        <v>19562</v>
      </c>
    </row>
    <row r="377" spans="1:8">
      <c r="A377" s="3">
        <v>376</v>
      </c>
      <c r="B377" s="4">
        <v>45985.694895833331</v>
      </c>
      <c r="C377" s="5" t="str">
        <v>Daihatsu Xenia (Badan)</v>
      </c>
      <c r="D377" s="5" t="str">
        <v>B2924KX</v>
      </c>
      <c r="E377" s="10">
        <v>62546</v>
      </c>
      <c r="F377" s="3" t="str">
        <v>Iya</v>
      </c>
      <c r="G377" s="4">
        <v>45866</v>
      </c>
      <c r="H377" s="10">
        <v>62546</v>
      </c>
    </row>
    <row r="378" spans="1:8">
      <c r="A378" s="3">
        <v>377</v>
      </c>
      <c r="B378" s="4">
        <v>45985.710115740738</v>
      </c>
      <c r="C378" s="5" t="str">
        <v>Daihatsu Xenia (Badan)</v>
      </c>
      <c r="D378" s="5" t="str">
        <v>B9558JSZ</v>
      </c>
      <c r="E378" s="10">
        <v>17969</v>
      </c>
      <c r="F378" s="3" t="str">
        <v>Iya</v>
      </c>
      <c r="G378" s="4">
        <v>45833</v>
      </c>
      <c r="H378" s="10">
        <v>17969</v>
      </c>
    </row>
    <row r="379" spans="1:8">
      <c r="A379" s="3">
        <v>378</v>
      </c>
      <c r="B379" s="4">
        <v>45985.750787037039</v>
      </c>
      <c r="C379" s="5" t="str">
        <v>Daihatsu Xenia (Badan)</v>
      </c>
      <c r="D379" s="5" t="str">
        <v>B2306NS</v>
      </c>
      <c r="E379" s="10">
        <v>29878</v>
      </c>
      <c r="F379" s="3" t="str">
        <v>Iya</v>
      </c>
      <c r="G379" s="4">
        <v>45985</v>
      </c>
      <c r="H379" s="10">
        <v>29878</v>
      </c>
    </row>
    <row r="380" spans="1:8">
      <c r="A380" s="3">
        <v>379</v>
      </c>
      <c r="B380" s="4">
        <v>45985.787303240737</v>
      </c>
      <c r="C380" s="5" t="str">
        <v>Daihatsu Xenia (Badan)</v>
      </c>
      <c r="D380" s="5" t="str">
        <v>B5062PCK</v>
      </c>
      <c r="E380" s="10">
        <v>93772</v>
      </c>
      <c r="F380" s="3" t="str">
        <v>Iya</v>
      </c>
      <c r="G380" s="4">
        <v>45955</v>
      </c>
      <c r="H380" s="10">
        <v>93772</v>
      </c>
    </row>
    <row r="381" spans="1:8">
      <c r="A381" s="3">
        <v>380</v>
      </c>
      <c r="B381" s="4">
        <v>45986.3437037037</v>
      </c>
      <c r="C381" s="5" t="str">
        <v>Daihatsu Xenia (Badan)</v>
      </c>
      <c r="D381" s="5" t="str">
        <v>B6851IH</v>
      </c>
      <c r="E381" s="10">
        <v>6480</v>
      </c>
      <c r="F381" s="3" t="str">
        <v>Iya</v>
      </c>
      <c r="G381" s="4">
        <v>45919</v>
      </c>
      <c r="H381" s="10">
        <v>6480</v>
      </c>
    </row>
    <row r="382" spans="1:8">
      <c r="A382" s="3">
        <v>381</v>
      </c>
      <c r="B382" s="4">
        <v>45986.355046296303</v>
      </c>
      <c r="C382" s="5" t="str">
        <v>PICK UP TRAGA 2.5 4X2 MT D M/T</v>
      </c>
      <c r="D382" s="5" t="str">
        <v>B9442AC</v>
      </c>
      <c r="E382" s="10">
        <v>25973</v>
      </c>
      <c r="F382" s="3" t="str">
        <v>Iya</v>
      </c>
      <c r="G382" s="4">
        <v>45941</v>
      </c>
      <c r="H382" s="10">
        <v>25973</v>
      </c>
    </row>
    <row r="383" spans="1:8">
      <c r="A383" s="3">
        <v>382</v>
      </c>
      <c r="B383" s="4">
        <v>45986.398993055547</v>
      </c>
      <c r="C383" s="5" t="str">
        <v>Daihatsu Xenia (Badan)</v>
      </c>
      <c r="D383" s="5" t="str">
        <v>B5945BC</v>
      </c>
      <c r="E383" s="10">
        <v>5073</v>
      </c>
      <c r="F383" s="3" t="str">
        <v>Iya</v>
      </c>
      <c r="G383" s="4">
        <v>45920</v>
      </c>
      <c r="H383" s="10">
        <v>5073</v>
      </c>
    </row>
    <row r="384" spans="1:8">
      <c r="A384" s="3">
        <v>383</v>
      </c>
      <c r="B384" s="4">
        <v>45986.407210648147</v>
      </c>
      <c r="C384" s="5" t="str">
        <v>Daihatsu Xenia (Badan)</v>
      </c>
      <c r="D384" s="5" t="str">
        <v>B7991PSS</v>
      </c>
      <c r="E384" s="10">
        <v>77135</v>
      </c>
      <c r="F384" s="3" t="str">
        <v>Iya</v>
      </c>
      <c r="G384" s="4">
        <v>45946</v>
      </c>
      <c r="H384" s="10">
        <v>77135</v>
      </c>
    </row>
    <row r="385" spans="1:8">
      <c r="A385" s="3">
        <v>384</v>
      </c>
      <c r="B385" s="4">
        <v>45986.465381944443</v>
      </c>
      <c r="C385" s="5" t="str">
        <v>Daihatsu Xenia (Badan)</v>
      </c>
      <c r="D385" s="5" t="str">
        <v>DB3636AJ</v>
      </c>
      <c r="E385" s="10">
        <v>35525</v>
      </c>
      <c r="F385" s="3" t="str">
        <v>Iya</v>
      </c>
      <c r="G385" s="4">
        <v>45888</v>
      </c>
      <c r="H385" s="10">
        <v>35525</v>
      </c>
    </row>
    <row r="386" spans="1:8">
      <c r="A386" s="3">
        <v>385</v>
      </c>
      <c r="B386" s="4">
        <v>45986.467430555553</v>
      </c>
      <c r="C386" s="5" t="str">
        <v>Daihatsu Xenia (Badan)</v>
      </c>
      <c r="D386" s="5" t="str">
        <v>B9653KV</v>
      </c>
      <c r="E386" s="10">
        <v>47146</v>
      </c>
      <c r="F386" s="3" t="str">
        <v>Iya</v>
      </c>
      <c r="G386" s="4">
        <v>45889</v>
      </c>
      <c r="H386" s="10">
        <v>47146</v>
      </c>
    </row>
    <row r="387" spans="1:8">
      <c r="A387" s="3">
        <v>386</v>
      </c>
      <c r="B387" s="4">
        <v>45986.603587962964</v>
      </c>
      <c r="C387" s="5" t="str">
        <v>PICK UP TRAGA 2.5 4X2 MT D M/T</v>
      </c>
      <c r="D387" s="5" t="str">
        <v>B6757PSW</v>
      </c>
      <c r="E387" s="10">
        <v>127556</v>
      </c>
      <c r="F387" s="3" t="str">
        <v>Iya</v>
      </c>
      <c r="G387" s="4">
        <v>45906</v>
      </c>
      <c r="H387" s="10">
        <v>127556</v>
      </c>
    </row>
    <row r="388" spans="1:8">
      <c r="A388" s="3">
        <v>387</v>
      </c>
      <c r="B388" s="4">
        <v>45986.630740740737</v>
      </c>
      <c r="C388" s="5" t="str">
        <v>Daihatsu Xenia (Badan)</v>
      </c>
      <c r="D388" s="5" t="str">
        <v>B5843ME</v>
      </c>
      <c r="E388" s="10">
        <v>104110</v>
      </c>
      <c r="F388" s="3" t="str">
        <v>Iya</v>
      </c>
      <c r="G388" s="4">
        <v>45943</v>
      </c>
      <c r="H388" s="10">
        <v>104110</v>
      </c>
    </row>
    <row r="389" spans="1:8">
      <c r="A389" s="3">
        <v>388</v>
      </c>
      <c r="B389" s="4">
        <v>45986.723414351851</v>
      </c>
      <c r="C389" s="5" t="str">
        <v>DAIHATSU GRANMAX PU AC PS 1.5 M/T</v>
      </c>
      <c r="D389" s="5" t="str">
        <v>KT2986WG</v>
      </c>
      <c r="E389" s="10">
        <v>43476</v>
      </c>
      <c r="F389" s="3" t="str">
        <v>Iya</v>
      </c>
      <c r="G389" s="4">
        <v>45958</v>
      </c>
      <c r="H389" s="10">
        <v>43476</v>
      </c>
    </row>
    <row r="390" spans="1:8">
      <c r="A390" s="3">
        <v>389</v>
      </c>
      <c r="B390" s="4">
        <v>45987.322962962957</v>
      </c>
      <c r="C390" s="5" t="str">
        <v>DAIHATSU GRANMAX PU AC PS 1.5 M/T</v>
      </c>
      <c r="D390" s="5" t="str">
        <v>B7991VB</v>
      </c>
      <c r="E390" s="10">
        <v>20879</v>
      </c>
      <c r="F390" s="3" t="str">
        <v>Iya</v>
      </c>
      <c r="G390" s="4">
        <v>45918</v>
      </c>
      <c r="H390" s="10">
        <v>20879</v>
      </c>
    </row>
    <row r="391" spans="1:8">
      <c r="A391" s="3">
        <v>390</v>
      </c>
      <c r="B391" s="4">
        <v>45987.351145833331</v>
      </c>
      <c r="C391" s="5" t="str">
        <v>Daihatsu Xenia (Badan)</v>
      </c>
      <c r="D391" s="5" t="str">
        <v>B2743VJK</v>
      </c>
      <c r="E391" s="10">
        <v>53993</v>
      </c>
      <c r="F391" s="3" t="str">
        <v>Iya</v>
      </c>
      <c r="G391" s="4">
        <v>45973</v>
      </c>
      <c r="H391" s="10">
        <v>53993</v>
      </c>
    </row>
    <row r="392" spans="1:8">
      <c r="A392" s="3">
        <v>391</v>
      </c>
      <c r="B392" s="4">
        <v>45987.361932870372</v>
      </c>
      <c r="C392" s="5" t="str">
        <v>Daihatsu Xenia (Badan)</v>
      </c>
      <c r="D392" s="5" t="str">
        <v>KB4153HK</v>
      </c>
      <c r="E392" s="10">
        <v>45994</v>
      </c>
      <c r="F392" s="3" t="str">
        <v>Iya</v>
      </c>
      <c r="G392" s="4">
        <v>45974</v>
      </c>
      <c r="H392" s="10">
        <v>45994</v>
      </c>
    </row>
    <row r="393" spans="1:8">
      <c r="A393" s="3">
        <v>392</v>
      </c>
      <c r="B393" s="4">
        <v>45987.39502314815</v>
      </c>
      <c r="C393" s="5" t="str">
        <v>DAIHATSU GRANMAX PU AC PS 1.5 M/T</v>
      </c>
      <c r="D393" s="5" t="str">
        <v>AB8251AD</v>
      </c>
      <c r="E393" s="10">
        <v>33950</v>
      </c>
      <c r="F393" s="3" t="str">
        <v>Iya</v>
      </c>
      <c r="G393" s="4">
        <v>45839</v>
      </c>
      <c r="H393" s="10">
        <v>33950</v>
      </c>
    </row>
    <row r="394" spans="1:8">
      <c r="A394" s="3">
        <v>393</v>
      </c>
      <c r="B394" s="4">
        <v>45987.510034722232</v>
      </c>
      <c r="C394" s="5" t="str">
        <v>Daihatsu Xenia (Badan)</v>
      </c>
      <c r="D394" s="5" t="str">
        <v>B2652NS</v>
      </c>
      <c r="E394" s="10">
        <v>49174</v>
      </c>
      <c r="F394" s="3" t="str">
        <v>Iya</v>
      </c>
      <c r="G394" s="4">
        <v>45820</v>
      </c>
      <c r="H394" s="10">
        <v>49174</v>
      </c>
    </row>
    <row r="395" spans="1:8">
      <c r="A395" s="3">
        <v>394</v>
      </c>
      <c r="B395" s="4">
        <v>45987.518009259264</v>
      </c>
      <c r="C395" s="5" t="str">
        <v>Daihatsu Xenia (Badan)</v>
      </c>
      <c r="D395" s="5" t="str">
        <v>B9091PM</v>
      </c>
      <c r="E395" s="10">
        <v>36398</v>
      </c>
      <c r="F395" s="3" t="str">
        <v>Iya</v>
      </c>
      <c r="G395" s="4">
        <v>45953</v>
      </c>
      <c r="H395" s="10">
        <v>36398</v>
      </c>
    </row>
    <row r="396" spans="1:8">
      <c r="A396" s="3">
        <v>395</v>
      </c>
      <c r="B396" s="4">
        <v>45987.538842592592</v>
      </c>
      <c r="C396" s="5" t="str">
        <v>PICK UP TRAGA 2.5 4X2 MT D M/T</v>
      </c>
      <c r="D396" s="5" t="str">
        <v>B1167YL</v>
      </c>
      <c r="E396" s="10">
        <v>35537</v>
      </c>
      <c r="F396" s="3" t="str">
        <v>Iya</v>
      </c>
      <c r="G396" s="4">
        <v>45953</v>
      </c>
      <c r="H396" s="10">
        <v>35537</v>
      </c>
    </row>
    <row r="397" spans="1:8">
      <c r="A397" s="3">
        <v>396</v>
      </c>
      <c r="B397" s="4">
        <v>45987.654363425929</v>
      </c>
      <c r="C397" s="5" t="str">
        <v>PICK UP TRAGA 2.5 4X2 MT D M/T</v>
      </c>
      <c r="D397" s="5" t="str">
        <v>KB3547AT</v>
      </c>
      <c r="E397" s="10">
        <v>38671</v>
      </c>
      <c r="F397" s="3" t="str">
        <v>Iya</v>
      </c>
      <c r="G397" s="4">
        <v>45828</v>
      </c>
      <c r="H397" s="10">
        <v>38671</v>
      </c>
    </row>
    <row r="398" spans="1:8">
      <c r="A398" s="3">
        <v>397</v>
      </c>
      <c r="B398" s="4">
        <v>45987.654756944437</v>
      </c>
      <c r="C398" s="5" t="str">
        <v>PICK UP TRAGA 2.5 4X2 MT D M/T</v>
      </c>
      <c r="D398" s="5" t="str">
        <v>B8891JP</v>
      </c>
      <c r="E398" s="10">
        <v>58197</v>
      </c>
      <c r="F398" s="3" t="str">
        <v>Iya</v>
      </c>
      <c r="G398" s="4">
        <v>45983</v>
      </c>
      <c r="H398" s="10">
        <v>58197</v>
      </c>
    </row>
    <row r="399" spans="1:8">
      <c r="A399" s="3">
        <v>398</v>
      </c>
      <c r="B399" s="4">
        <v>45987.762094907397</v>
      </c>
      <c r="C399" s="5" t="str">
        <v>Daihatsu Xenia (Badan)</v>
      </c>
      <c r="D399" s="5" t="str">
        <v>B1995JFG</v>
      </c>
      <c r="E399" s="10">
        <v>36373</v>
      </c>
      <c r="F399" s="3" t="str">
        <v>Iya</v>
      </c>
      <c r="G399" s="4">
        <v>45892</v>
      </c>
      <c r="H399" s="10">
        <v>36373</v>
      </c>
    </row>
    <row r="400" spans="1:8">
      <c r="A400" s="3">
        <v>399</v>
      </c>
      <c r="B400" s="4">
        <v>45988.407604166663</v>
      </c>
      <c r="C400" s="5" t="str">
        <v>Daihatsu Xenia (Badan)</v>
      </c>
      <c r="D400" s="5" t="str">
        <v>B5066SRV</v>
      </c>
      <c r="E400" s="10">
        <v>17925</v>
      </c>
      <c r="F400" s="3" t="str">
        <v>Iya</v>
      </c>
      <c r="G400" s="4">
        <v>45866</v>
      </c>
      <c r="H400" s="10">
        <v>17925</v>
      </c>
    </row>
    <row r="401" spans="1:8">
      <c r="A401" s="3">
        <v>400</v>
      </c>
      <c r="B401" s="4">
        <v>45988.464444444442</v>
      </c>
      <c r="C401" s="5" t="str">
        <v>Daihatsu Xenia (Badan)</v>
      </c>
      <c r="D401" s="5" t="str">
        <v>B8324WSJ</v>
      </c>
      <c r="E401" s="10">
        <v>11127</v>
      </c>
      <c r="F401" s="3" t="str">
        <v>Iya</v>
      </c>
      <c r="G401" s="4">
        <v>45980</v>
      </c>
      <c r="H401" s="10">
        <v>11127</v>
      </c>
    </row>
    <row r="402" spans="1:8">
      <c r="A402" s="3">
        <v>401</v>
      </c>
      <c r="B402" s="4">
        <v>45988.496018518519</v>
      </c>
      <c r="C402" s="5" t="str">
        <v>Daihatsu Xenia (Badan)</v>
      </c>
      <c r="D402" s="5" t="str">
        <v>B7949TY</v>
      </c>
      <c r="E402" s="10">
        <v>26660</v>
      </c>
      <c r="F402" s="3" t="str">
        <v>Iya</v>
      </c>
      <c r="G402" s="4">
        <v>45982</v>
      </c>
      <c r="H402" s="10">
        <v>26660</v>
      </c>
    </row>
    <row r="403" spans="1:8">
      <c r="A403" s="3">
        <v>402</v>
      </c>
      <c r="B403" s="4">
        <v>45988.528796296298</v>
      </c>
      <c r="C403" s="5" t="str">
        <v>Daihatsu Xenia (Badan)</v>
      </c>
      <c r="D403" s="5" t="str">
        <v>B2341ZVF</v>
      </c>
      <c r="E403" s="10">
        <v>1205</v>
      </c>
      <c r="F403" s="3" t="str">
        <v>Iya</v>
      </c>
      <c r="G403" s="4">
        <v>45966</v>
      </c>
      <c r="H403" s="10">
        <v>1205</v>
      </c>
    </row>
    <row r="404" spans="1:8">
      <c r="A404" s="3">
        <v>403</v>
      </c>
      <c r="B404" s="4">
        <v>45988.676817129628</v>
      </c>
      <c r="C404" s="5" t="str">
        <v>Daihatsu Xenia (Badan)</v>
      </c>
      <c r="D404" s="5" t="str">
        <v>B3797RA</v>
      </c>
      <c r="E404" s="10">
        <v>14971</v>
      </c>
      <c r="F404" s="3" t="str">
        <v>Iya</v>
      </c>
      <c r="G404" s="4">
        <v>45952</v>
      </c>
      <c r="H404" s="10">
        <v>14971</v>
      </c>
    </row>
    <row r="405" spans="1:8">
      <c r="A405" s="3">
        <v>404</v>
      </c>
      <c r="B405" s="4">
        <v>45988.862939814811</v>
      </c>
      <c r="C405" s="5" t="str">
        <v>Daihatsu Xenia (Badan)</v>
      </c>
      <c r="D405" s="5" t="str">
        <v>B2888ALH</v>
      </c>
      <c r="E405" s="10">
        <v>102891</v>
      </c>
      <c r="F405" s="3" t="str">
        <v>Iya</v>
      </c>
      <c r="G405" s="4">
        <v>45953</v>
      </c>
      <c r="H405" s="10">
        <v>102891</v>
      </c>
    </row>
    <row r="406" spans="1:8">
      <c r="A406" s="3">
        <v>405</v>
      </c>
      <c r="B406" s="4">
        <v>45989.358171296299</v>
      </c>
      <c r="C406" s="5" t="str">
        <v>Daihatsu Xenia (Badan)</v>
      </c>
      <c r="D406" s="5" t="str">
        <v>B8704TJL</v>
      </c>
      <c r="E406" s="10">
        <v>77651</v>
      </c>
      <c r="F406" s="3" t="str">
        <v>Iya</v>
      </c>
      <c r="G406" s="4">
        <v>45944</v>
      </c>
      <c r="H406" s="10">
        <v>77651</v>
      </c>
    </row>
    <row r="407" spans="1:8">
      <c r="A407" s="3">
        <v>406</v>
      </c>
      <c r="B407" s="4">
        <v>45989.360208333332</v>
      </c>
      <c r="C407" s="5" t="str">
        <v>Daihatsu Xenia (Badan)</v>
      </c>
      <c r="D407" s="5" t="str">
        <v>B6374AY</v>
      </c>
      <c r="E407" s="10">
        <v>68363</v>
      </c>
      <c r="F407" s="3" t="str">
        <v>Iya</v>
      </c>
      <c r="G407" s="4">
        <v>45895</v>
      </c>
      <c r="H407" s="10">
        <v>68363</v>
      </c>
    </row>
    <row r="408" spans="1:8">
      <c r="A408" s="3">
        <v>407</v>
      </c>
      <c r="B408" s="4">
        <v>45989.631388888891</v>
      </c>
      <c r="C408" s="5" t="str">
        <v>PICK UP TRAGA 2.5 4X2 MT D M/T</v>
      </c>
      <c r="D408" s="5" t="str">
        <v>B3705JT</v>
      </c>
      <c r="E408" s="10">
        <v>85973</v>
      </c>
      <c r="F408" s="3" t="str">
        <v>Iya</v>
      </c>
      <c r="G408" s="4">
        <v>45938</v>
      </c>
      <c r="H408" s="10">
        <v>85973</v>
      </c>
    </row>
    <row r="409" spans="1:8">
      <c r="A409" s="3">
        <v>408</v>
      </c>
      <c r="B409" s="4">
        <v>45989.657939814817</v>
      </c>
      <c r="C409" s="5" t="str">
        <v>Daihatsu Xenia (Badan)</v>
      </c>
      <c r="D409" s="5" t="str">
        <v>B4121AL</v>
      </c>
      <c r="E409" s="10">
        <v>13986</v>
      </c>
      <c r="F409" s="3" t="str">
        <v>Iya</v>
      </c>
      <c r="G409" s="4">
        <v>45974</v>
      </c>
      <c r="H409" s="10">
        <v>13986</v>
      </c>
    </row>
    <row r="410" spans="1:8">
      <c r="A410" s="3">
        <v>409</v>
      </c>
      <c r="B410" s="4">
        <v>45990.468043981477</v>
      </c>
      <c r="C410" s="5" t="str">
        <v>Daihatsu Xenia (Badan)</v>
      </c>
      <c r="D410" s="5" t="str">
        <v>B8763MP</v>
      </c>
      <c r="E410" s="10">
        <v>92950</v>
      </c>
      <c r="F410" s="3" t="str">
        <v>Iya</v>
      </c>
      <c r="G410" s="4">
        <v>45932</v>
      </c>
      <c r="H410" s="10">
        <v>92950</v>
      </c>
    </row>
    <row r="411" spans="1:8">
      <c r="A411" s="3">
        <v>410</v>
      </c>
      <c r="B411" s="4">
        <v>45990.521006944437</v>
      </c>
      <c r="C411" s="5" t="str">
        <v>PICK UP TRAGA 2.5 4X2 MT D M/T</v>
      </c>
      <c r="D411" s="5" t="str">
        <v>B5879BX</v>
      </c>
      <c r="E411" s="10">
        <v>74299</v>
      </c>
      <c r="F411" s="3" t="str">
        <v>Iya</v>
      </c>
      <c r="G411" s="4">
        <v>45954</v>
      </c>
      <c r="H411" s="10">
        <v>74299</v>
      </c>
    </row>
    <row r="412" spans="1:8">
      <c r="A412" s="3">
        <v>411</v>
      </c>
      <c r="B412" s="4">
        <v>45990.568287037036</v>
      </c>
      <c r="C412" s="5" t="str">
        <v>DAIHATSU GRANMAX PU AC PS 1.5 M/T</v>
      </c>
      <c r="D412" s="5" t="str">
        <v>B2772EK</v>
      </c>
      <c r="E412" s="10">
        <v>15631</v>
      </c>
      <c r="F412" s="3" t="str">
        <v>Iya</v>
      </c>
      <c r="G412" s="4">
        <v>45874</v>
      </c>
      <c r="H412" s="10">
        <v>15631</v>
      </c>
    </row>
    <row r="413" spans="1:8">
      <c r="A413" s="3">
        <v>412</v>
      </c>
      <c r="B413" s="4">
        <v>45991.397997685177</v>
      </c>
      <c r="C413" s="5" t="str">
        <v>Daihatsu Xenia (Badan)</v>
      </c>
      <c r="D413" s="5" t="str">
        <v>H9434HIK</v>
      </c>
      <c r="E413" s="10">
        <v>13328</v>
      </c>
      <c r="F413" s="3" t="str">
        <v>Iya</v>
      </c>
      <c r="G413" s="4">
        <v>45925</v>
      </c>
      <c r="H413" s="10">
        <v>13328</v>
      </c>
    </row>
    <row r="414" spans="1:8">
      <c r="A414" s="3">
        <v>413</v>
      </c>
      <c r="B414" s="4">
        <v>45991.482094907413</v>
      </c>
      <c r="C414" s="5" t="str">
        <v>PICK UP TRAGA 2.5 4X2 MT D M/T</v>
      </c>
      <c r="D414" s="5" t="str">
        <v>AB4770WL</v>
      </c>
      <c r="E414" s="10">
        <v>45506</v>
      </c>
      <c r="F414" s="3" t="str">
        <v>Iya</v>
      </c>
      <c r="G414" s="4">
        <v>45874</v>
      </c>
      <c r="H414" s="10">
        <v>45506</v>
      </c>
    </row>
    <row r="415" spans="1:8">
      <c r="A415" s="3">
        <v>414</v>
      </c>
      <c r="B415" s="4">
        <v>45991.587743055563</v>
      </c>
      <c r="C415" s="5" t="str">
        <v>Daihatsu Xenia (Badan)</v>
      </c>
      <c r="D415" s="5" t="str">
        <v>B7986SF</v>
      </c>
      <c r="E415" s="10">
        <v>36710</v>
      </c>
      <c r="F415" s="3" t="str">
        <v>Iya</v>
      </c>
      <c r="G415" s="4">
        <v>45979</v>
      </c>
      <c r="H415" s="10">
        <v>36710</v>
      </c>
    </row>
    <row r="416" spans="1:8">
      <c r="A416" s="3">
        <v>415</v>
      </c>
      <c r="B416" s="4">
        <v>45991.625416666669</v>
      </c>
      <c r="C416" s="5" t="str">
        <v>DAIHATSU GRANMAX PU AC PS 1.5 M/T</v>
      </c>
      <c r="D416" s="5" t="str">
        <v>B7659CZ</v>
      </c>
      <c r="E416" s="10">
        <v>11256</v>
      </c>
      <c r="F416" s="3" t="str">
        <v>Iya</v>
      </c>
      <c r="G416" s="4">
        <v>45987</v>
      </c>
      <c r="H416" s="10">
        <v>11256</v>
      </c>
    </row>
    <row r="417" spans="1:8">
      <c r="A417" s="3">
        <v>416</v>
      </c>
      <c r="B417" s="4">
        <v>45993.49559027778</v>
      </c>
      <c r="C417" s="5" t="str">
        <v>Daihatsu Xenia (Badan)</v>
      </c>
      <c r="D417" s="5" t="str">
        <v>B9347LJ</v>
      </c>
      <c r="E417" s="10">
        <v>47322</v>
      </c>
      <c r="F417" s="3" t="str">
        <v>Iya</v>
      </c>
      <c r="G417" s="4">
        <v>45887</v>
      </c>
      <c r="H417" s="10">
        <v>47322</v>
      </c>
    </row>
    <row r="418" spans="1:8">
      <c r="A418" s="3">
        <v>417</v>
      </c>
      <c r="B418" s="4">
        <v>45993.658958333333</v>
      </c>
      <c r="C418" s="5" t="str">
        <v>Daihatsu Xenia (Badan)</v>
      </c>
      <c r="D418" s="5" t="str">
        <v>KT6033ET</v>
      </c>
      <c r="E418" s="10">
        <v>47208</v>
      </c>
      <c r="F418" s="3" t="str">
        <v>Iya</v>
      </c>
      <c r="G418" s="4">
        <v>45960</v>
      </c>
      <c r="H418" s="10">
        <v>47208</v>
      </c>
    </row>
    <row r="419" spans="1:8">
      <c r="A419" s="3">
        <v>418</v>
      </c>
      <c r="B419" s="4">
        <v>45994.441099537027</v>
      </c>
      <c r="C419" s="5" t="str">
        <v>Daihatsu Xenia (Badan)</v>
      </c>
      <c r="D419" s="5" t="str">
        <v>b8182eb</v>
      </c>
      <c r="E419" s="10">
        <v>83165</v>
      </c>
      <c r="F419" s="3" t="str">
        <v>Iya</v>
      </c>
      <c r="G419" s="4">
        <v>45950</v>
      </c>
      <c r="H419" s="10">
        <v>83165</v>
      </c>
    </row>
    <row r="420" spans="1:8">
      <c r="A420" s="3">
        <v>419</v>
      </c>
      <c r="B420" s="4">
        <v>45994.455358796287</v>
      </c>
      <c r="C420" s="5" t="str">
        <v>Daihatsu Xenia (Badan)</v>
      </c>
      <c r="D420" s="5" t="str">
        <v>B3590QLB</v>
      </c>
      <c r="E420" s="10">
        <v>24341</v>
      </c>
      <c r="F420" s="3" t="str">
        <v>Iya</v>
      </c>
      <c r="G420" s="4">
        <v>45955</v>
      </c>
      <c r="H420" s="10">
        <v>24341</v>
      </c>
    </row>
    <row r="421" spans="1:8">
      <c r="A421" s="3">
        <v>420</v>
      </c>
      <c r="B421" s="4">
        <v>45994.46365740741</v>
      </c>
      <c r="C421" s="5" t="str">
        <v>Daihatsu Xenia (Badan)</v>
      </c>
      <c r="D421" s="5" t="str">
        <v>B2034KCH</v>
      </c>
      <c r="E421" s="10">
        <v>109021</v>
      </c>
      <c r="F421" s="3" t="str">
        <v>Iya</v>
      </c>
      <c r="G421" s="4">
        <v>45938</v>
      </c>
      <c r="H421" s="10">
        <v>109021</v>
      </c>
    </row>
    <row r="422" spans="1:8">
      <c r="A422" s="3">
        <v>421</v>
      </c>
      <c r="B422" s="4">
        <v>45994.509884259263</v>
      </c>
      <c r="C422" s="5" t="str">
        <v>DAIHATSU GRANMAX PU AC PS 1.5 M/T</v>
      </c>
      <c r="D422" s="5" t="str">
        <v>AB8086XV</v>
      </c>
      <c r="E422" s="10">
        <v>5943</v>
      </c>
      <c r="F422" s="3" t="str">
        <v>Iya</v>
      </c>
      <c r="G422" s="4">
        <v>45783</v>
      </c>
      <c r="H422" s="10">
        <v>5943</v>
      </c>
    </row>
    <row r="423" spans="1:8">
      <c r="A423" s="3">
        <v>422</v>
      </c>
      <c r="B423" s="4">
        <v>45994.62296296296</v>
      </c>
      <c r="C423" s="5" t="str">
        <v>DAIHATSU GRANMAX PU AC PS 1.5 M/T</v>
      </c>
      <c r="D423" s="5" t="str">
        <v>B9712CQ</v>
      </c>
      <c r="E423" s="10">
        <v>30288</v>
      </c>
      <c r="F423" s="3" t="str">
        <v>Iya</v>
      </c>
      <c r="G423" s="4">
        <v>45903</v>
      </c>
      <c r="H423" s="10">
        <v>30288</v>
      </c>
    </row>
    <row r="424" spans="1:8">
      <c r="A424" s="3">
        <v>423</v>
      </c>
      <c r="B424" s="4">
        <v>45994.67119212963</v>
      </c>
      <c r="C424" s="5" t="str">
        <v>PICK UP TRAGA 2.5 4X2 MT D M/T</v>
      </c>
      <c r="D424" s="5" t="str">
        <v>B9624HE</v>
      </c>
      <c r="E424" s="10">
        <v>112649</v>
      </c>
      <c r="F424" s="3" t="str">
        <v>Iya</v>
      </c>
      <c r="G424" s="4">
        <v>45972</v>
      </c>
      <c r="H424" s="10">
        <v>112649</v>
      </c>
    </row>
    <row r="425" spans="1:8">
      <c r="A425" s="3">
        <v>424</v>
      </c>
      <c r="B425" s="4">
        <v>45994.701018518521</v>
      </c>
      <c r="C425" s="5" t="str">
        <v>Daihatsu Xenia (Badan)</v>
      </c>
      <c r="D425" s="5" t="str">
        <v>B2637VB</v>
      </c>
      <c r="E425" s="10">
        <v>20333</v>
      </c>
      <c r="F425" s="3" t="str">
        <v>Iya</v>
      </c>
      <c r="G425" s="4">
        <v>45978</v>
      </c>
      <c r="H425" s="10">
        <v>20333</v>
      </c>
    </row>
    <row r="426" spans="1:8">
      <c r="A426" s="3">
        <v>425</v>
      </c>
      <c r="B426" s="4">
        <v>45995.337569444448</v>
      </c>
      <c r="C426" s="5" t="str">
        <v>PICK UP TRAGA 2.5 4X2 MT D M/T</v>
      </c>
      <c r="D426" s="5" t="str">
        <v>B8342NSJ</v>
      </c>
      <c r="E426" s="10">
        <v>457646</v>
      </c>
      <c r="F426" s="3" t="str">
        <v>Iya</v>
      </c>
      <c r="G426" s="4">
        <v>45936</v>
      </c>
      <c r="H426" s="10">
        <v>457646</v>
      </c>
    </row>
    <row r="427" spans="1:8">
      <c r="A427" s="3">
        <v>426</v>
      </c>
      <c r="B427" s="4">
        <v>45996.406493055547</v>
      </c>
      <c r="C427" s="5" t="str">
        <v>Daihatsu Xenia (Badan)</v>
      </c>
      <c r="D427" s="5" t="str">
        <v>B8137WEW</v>
      </c>
      <c r="E427" s="10">
        <v>39597</v>
      </c>
      <c r="F427" s="3" t="str">
        <v>Iya</v>
      </c>
      <c r="G427" s="4">
        <v>45950</v>
      </c>
      <c r="H427" s="10">
        <v>39597</v>
      </c>
    </row>
    <row r="428" spans="1:8">
      <c r="A428" s="3">
        <v>427</v>
      </c>
      <c r="B428" s="4">
        <v>45996.652349537027</v>
      </c>
      <c r="C428" s="5" t="str">
        <v>Daihatsu Xenia (Badan)</v>
      </c>
      <c r="D428" s="5" t="str">
        <v>B2966HE</v>
      </c>
      <c r="E428" s="10">
        <v>99881</v>
      </c>
      <c r="F428" s="3" t="str">
        <v>Iya</v>
      </c>
      <c r="G428" s="4">
        <v>45876</v>
      </c>
      <c r="H428" s="10">
        <v>99881</v>
      </c>
    </row>
    <row r="429" spans="1:8">
      <c r="A429" s="3">
        <v>428</v>
      </c>
      <c r="B429" s="4">
        <v>45997.338472222233</v>
      </c>
      <c r="C429" s="5" t="str">
        <v>Daihatsu Xenia (Badan)</v>
      </c>
      <c r="D429" s="5" t="str">
        <v>B2925QZ</v>
      </c>
      <c r="E429" s="10">
        <v>27638</v>
      </c>
      <c r="F429" s="3" t="str">
        <v>Iya</v>
      </c>
      <c r="G429" s="4">
        <v>45943</v>
      </c>
      <c r="H429" s="10">
        <v>27638</v>
      </c>
    </row>
    <row r="430" spans="1:8">
      <c r="A430" s="3">
        <v>429</v>
      </c>
      <c r="B430" s="4">
        <v>45999.409733796303</v>
      </c>
      <c r="C430" s="5" t="str">
        <v>Daihatsu Xenia (Badan)</v>
      </c>
      <c r="D430" s="5" t="str">
        <v>B8528UFK</v>
      </c>
      <c r="E430" s="10">
        <v>30839</v>
      </c>
      <c r="F430" s="3" t="str">
        <v>Iya</v>
      </c>
      <c r="G430" s="4">
        <v>45982</v>
      </c>
      <c r="H430" s="10">
        <v>30839</v>
      </c>
    </row>
    <row r="431" spans="1:8">
      <c r="A431" s="3">
        <v>430</v>
      </c>
      <c r="B431" s="4">
        <v>45999.41333333333</v>
      </c>
      <c r="C431" s="5" t="str">
        <v>Daihatsu Xenia (Badan)</v>
      </c>
      <c r="D431" s="5" t="str">
        <v>B4767TPQ</v>
      </c>
      <c r="E431" s="10">
        <v>65643</v>
      </c>
      <c r="F431" s="3" t="str">
        <v>Iya</v>
      </c>
      <c r="G431" s="4">
        <v>45987</v>
      </c>
      <c r="H431" s="10">
        <v>65643</v>
      </c>
    </row>
    <row r="432" spans="1:8">
      <c r="A432" s="3">
        <v>431</v>
      </c>
      <c r="B432" s="4">
        <v>45999.425729166673</v>
      </c>
      <c r="C432" s="5" t="str">
        <v>DAIHATSU GRANMAX PU AC PS 1.5 M/T</v>
      </c>
      <c r="D432" s="5" t="str">
        <v>B1035ITY</v>
      </c>
      <c r="E432" s="10">
        <v>18011</v>
      </c>
      <c r="F432" s="3" t="str">
        <v>Iya</v>
      </c>
      <c r="G432" s="4">
        <v>45423</v>
      </c>
      <c r="H432" s="10">
        <v>18011</v>
      </c>
    </row>
    <row r="433" spans="1:8">
      <c r="A433" s="3">
        <v>432</v>
      </c>
      <c r="B433" s="4">
        <v>45999.457268518519</v>
      </c>
      <c r="C433" s="5" t="str">
        <v>PICK UP TRAGA 2.5 4X2 MT D M/T</v>
      </c>
      <c r="D433" s="5" t="str">
        <v>KB6883QY</v>
      </c>
      <c r="E433" s="10">
        <v>19981</v>
      </c>
      <c r="F433" s="3" t="str">
        <v>Iya</v>
      </c>
      <c r="G433" s="4">
        <v>45904</v>
      </c>
      <c r="H433" s="10">
        <v>19981</v>
      </c>
    </row>
    <row r="434" spans="1:8">
      <c r="A434" s="3">
        <v>433</v>
      </c>
      <c r="B434" s="4">
        <v>45999.460416666669</v>
      </c>
      <c r="C434" s="5" t="str">
        <v>Daihatsu Xenia (Badan)</v>
      </c>
      <c r="D434" s="5" t="str">
        <v>B8659RLN</v>
      </c>
      <c r="E434" s="10">
        <v>53560</v>
      </c>
      <c r="F434" s="3" t="str">
        <v>Iya</v>
      </c>
      <c r="G434" s="4">
        <v>45810</v>
      </c>
      <c r="H434" s="10">
        <v>53560</v>
      </c>
    </row>
    <row r="435" spans="1:8">
      <c r="A435" s="3">
        <v>434</v>
      </c>
      <c r="B435" s="4">
        <v>45999.569768518522</v>
      </c>
      <c r="C435" s="5" t="str">
        <v>DAIHATSU GRANMAX PU AC PS 1.5 M/T</v>
      </c>
      <c r="D435" s="5" t="str">
        <v>B7274AH</v>
      </c>
      <c r="E435" s="10">
        <v>12669</v>
      </c>
      <c r="F435" s="3" t="str">
        <v>Iya</v>
      </c>
      <c r="G435" s="4">
        <v>45863</v>
      </c>
      <c r="H435" s="10">
        <v>12669</v>
      </c>
    </row>
    <row r="436" spans="1:8">
      <c r="A436" s="3">
        <v>435</v>
      </c>
      <c r="B436" s="4">
        <v>45999.64340277778</v>
      </c>
      <c r="C436" s="5" t="str">
        <v>Daihatsu Xenia (Badan)</v>
      </c>
      <c r="D436" s="5" t="str">
        <v>B6257GSZ</v>
      </c>
      <c r="E436" s="10">
        <v>152193</v>
      </c>
      <c r="F436" s="3" t="str">
        <v>Iya</v>
      </c>
      <c r="G436" s="4">
        <v>45944</v>
      </c>
      <c r="H436" s="10">
        <v>152193</v>
      </c>
    </row>
    <row r="437" spans="1:8">
      <c r="A437" s="3">
        <v>436</v>
      </c>
      <c r="B437" s="4">
        <v>45999.665567129632</v>
      </c>
      <c r="C437" s="5" t="str">
        <v>Daihatsu Xenia (Badan)</v>
      </c>
      <c r="D437" s="5" t="str">
        <v>B1711ZJR</v>
      </c>
      <c r="E437" s="10">
        <v>11019</v>
      </c>
      <c r="F437" s="3" t="str">
        <v>Iya</v>
      </c>
      <c r="G437" s="4">
        <v>45848</v>
      </c>
      <c r="H437" s="10">
        <v>11019</v>
      </c>
    </row>
    <row r="438" spans="1:8">
      <c r="A438" s="3">
        <v>437</v>
      </c>
      <c r="B438" s="4">
        <v>46001.501643518517</v>
      </c>
      <c r="C438" s="5" t="str">
        <v>PICK UP TRAGA 2.5 4X2 MT D M/T</v>
      </c>
      <c r="D438" s="5" t="str">
        <v>B9410TZ</v>
      </c>
      <c r="E438" s="10">
        <v>19726</v>
      </c>
      <c r="F438" s="3" t="str">
        <v>Iya</v>
      </c>
      <c r="G438" s="4">
        <v>45966</v>
      </c>
      <c r="H438" s="10">
        <v>19726</v>
      </c>
    </row>
    <row r="439" spans="1:8">
      <c r="A439" s="3">
        <v>438</v>
      </c>
      <c r="B439" s="4">
        <v>46013.420173611114</v>
      </c>
      <c r="C439" s="5" t="str">
        <v>Daihatsu Xenia (Badan)</v>
      </c>
      <c r="D439" s="5" t="str">
        <v>B7584BN</v>
      </c>
      <c r="E439" s="10">
        <v>56337</v>
      </c>
      <c r="F439" s="3" t="str">
        <v>Iya</v>
      </c>
      <c r="G439" s="4">
        <v>45847</v>
      </c>
      <c r="H439" s="10">
        <v>56337</v>
      </c>
    </row>
    <row r="440" spans="1:8">
      <c r="A440" s="3">
        <v>439</v>
      </c>
      <c r="B440" s="4">
        <v>46013.420300925929</v>
      </c>
      <c r="C440" s="5" t="str">
        <v>PICK UP TRAGA 2.5 4X2 MT D M/T</v>
      </c>
      <c r="D440" s="5" t="str">
        <v>KB3403JE</v>
      </c>
      <c r="E440" s="10">
        <v>79258</v>
      </c>
      <c r="F440" s="3" t="str">
        <v>Iya</v>
      </c>
      <c r="G440" s="4">
        <v>45972</v>
      </c>
      <c r="H440" s="10">
        <v>79258</v>
      </c>
    </row>
    <row r="441" spans="1:8">
      <c r="A441" s="3">
        <v>440</v>
      </c>
      <c r="B441" s="4">
        <v>46013.424733796302</v>
      </c>
      <c r="C441" s="5" t="str">
        <v>Daihatsu Xenia (Badan)</v>
      </c>
      <c r="D441" s="5" t="str">
        <v>B5062PCK</v>
      </c>
      <c r="E441" s="10">
        <v>90201</v>
      </c>
      <c r="F441" s="3" t="str">
        <v>Iya</v>
      </c>
      <c r="G441" s="4">
        <v>45955</v>
      </c>
      <c r="H441" s="10">
        <v>90201</v>
      </c>
    </row>
    <row r="442" spans="1:8">
      <c r="A442" s="3">
        <v>441</v>
      </c>
      <c r="B442" s="4">
        <v>46013.448113425933</v>
      </c>
      <c r="C442" s="5" t="str">
        <v>Daihatsu Xenia (Badan)</v>
      </c>
      <c r="D442" s="5" t="str">
        <v>B2034KCH</v>
      </c>
      <c r="E442" s="10">
        <v>105033</v>
      </c>
      <c r="F442" s="3" t="str">
        <v>Iya</v>
      </c>
      <c r="G442" s="4">
        <v>45938</v>
      </c>
      <c r="H442" s="10">
        <v>105033</v>
      </c>
    </row>
    <row r="443" spans="1:8">
      <c r="A443" s="3">
        <v>442</v>
      </c>
      <c r="B443" s="4">
        <v>46013.479849537027</v>
      </c>
      <c r="C443" s="5" t="str">
        <v>Daihatsu Xenia (Badan)</v>
      </c>
      <c r="D443" s="5" t="str">
        <v>B1033NB</v>
      </c>
      <c r="E443" s="10">
        <v>51731</v>
      </c>
      <c r="F443" s="3" t="str">
        <v>Iya</v>
      </c>
      <c r="G443" s="4">
        <v>45887</v>
      </c>
      <c r="H443" s="10">
        <v>51731</v>
      </c>
    </row>
    <row r="444" spans="1:8">
      <c r="A444" s="3">
        <v>443</v>
      </c>
      <c r="B444" s="4">
        <v>46013.487129629633</v>
      </c>
      <c r="C444" s="5" t="str">
        <v>Daihatsu Xenia (Badan)</v>
      </c>
      <c r="D444" s="5" t="str">
        <v>B1711ZJR</v>
      </c>
      <c r="E444" s="10">
        <v>11201</v>
      </c>
      <c r="F444" s="3" t="str">
        <v>Iya</v>
      </c>
      <c r="G444" s="4">
        <v>46006</v>
      </c>
      <c r="H444" s="10">
        <v>11201</v>
      </c>
    </row>
    <row r="445" spans="1:8">
      <c r="A445" s="3">
        <v>444</v>
      </c>
      <c r="B445" s="4">
        <v>46013.498738425929</v>
      </c>
      <c r="C445" s="5" t="str">
        <v>Daihatsu Xenia (Badan)</v>
      </c>
      <c r="D445" s="5" t="str">
        <v>KB8049QJT</v>
      </c>
      <c r="E445" s="10">
        <v>6674</v>
      </c>
      <c r="F445" s="3" t="str">
        <v>Iya</v>
      </c>
      <c r="G445" s="4">
        <v>45995</v>
      </c>
      <c r="H445" s="10">
        <v>6674</v>
      </c>
    </row>
    <row r="446" spans="1:8">
      <c r="A446" s="3">
        <v>445</v>
      </c>
      <c r="B446" s="4">
        <v>46013.499513888892</v>
      </c>
      <c r="C446" s="5" t="str">
        <v>Daihatsu Xenia (Badan)</v>
      </c>
      <c r="D446" s="5" t="str">
        <v>B2652NS</v>
      </c>
      <c r="E446" s="10">
        <v>44087</v>
      </c>
      <c r="F446" s="3" t="str">
        <v>Iya</v>
      </c>
      <c r="G446" s="4">
        <v>46002</v>
      </c>
      <c r="H446" s="10">
        <v>44087</v>
      </c>
    </row>
    <row r="447" spans="1:8">
      <c r="A447" s="3">
        <v>446</v>
      </c>
      <c r="B447" s="4">
        <v>46013.503206018519</v>
      </c>
      <c r="C447" s="5" t="str">
        <v>DAIHATSU GRANMAX PU AC PS 1.5 M/T</v>
      </c>
      <c r="D447" s="5" t="str">
        <v>B8732XP</v>
      </c>
      <c r="E447" s="10">
        <v>30639</v>
      </c>
      <c r="F447" s="3" t="str">
        <v>Iya</v>
      </c>
      <c r="G447" s="4">
        <v>45841</v>
      </c>
      <c r="H447" s="10">
        <v>30639</v>
      </c>
    </row>
    <row r="448" spans="1:8">
      <c r="A448" s="3">
        <v>447</v>
      </c>
      <c r="B448" s="4">
        <v>46013.526342592602</v>
      </c>
      <c r="C448" s="5" t="str">
        <v>DAIHATSU GRANMAX PU AC PS 1.5 M/T</v>
      </c>
      <c r="D448" s="5" t="str">
        <v>B2020TJ</v>
      </c>
      <c r="E448" s="10">
        <v>1606</v>
      </c>
      <c r="F448" s="3" t="str">
        <v>Iya</v>
      </c>
      <c r="G448" s="4">
        <v>45967</v>
      </c>
      <c r="H448" s="10">
        <v>1606</v>
      </c>
    </row>
    <row r="449" spans="1:8">
      <c r="A449" s="3">
        <v>448</v>
      </c>
      <c r="B449" s="4">
        <v>46013.530601851853</v>
      </c>
      <c r="C449" s="5" t="str">
        <v>Daihatsu Xenia (Badan)</v>
      </c>
      <c r="D449" s="5" t="str">
        <v>B6851IH</v>
      </c>
      <c r="E449" s="10">
        <v>9549</v>
      </c>
      <c r="F449" s="3" t="str">
        <v>Iya</v>
      </c>
      <c r="G449" s="4">
        <v>45919</v>
      </c>
      <c r="H449" s="10">
        <v>9549</v>
      </c>
    </row>
    <row r="450" spans="1:8">
      <c r="A450" s="3">
        <v>449</v>
      </c>
      <c r="B450" s="4">
        <v>46013.603344907409</v>
      </c>
      <c r="C450" s="5" t="str">
        <v>PICK UP TRAGA 2.5 4X2 MT D M/T</v>
      </c>
      <c r="D450" s="5" t="str">
        <v>D2702MC</v>
      </c>
      <c r="E450" s="10">
        <v>34164</v>
      </c>
      <c r="F450" s="3" t="str">
        <v>Iya</v>
      </c>
      <c r="G450" s="4">
        <v>45974</v>
      </c>
      <c r="H450" s="10">
        <v>34164</v>
      </c>
    </row>
    <row r="451" spans="1:8">
      <c r="A451" s="3">
        <v>450</v>
      </c>
      <c r="B451" s="4">
        <v>46013.619351851848</v>
      </c>
      <c r="C451" s="5" t="str">
        <v>Daihatsu Xenia (Badan)</v>
      </c>
      <c r="D451" s="5" t="str">
        <v>B7991PSS</v>
      </c>
      <c r="E451" s="10">
        <v>73428</v>
      </c>
      <c r="F451" s="3" t="str">
        <v>Iya</v>
      </c>
      <c r="G451" s="4">
        <v>45992</v>
      </c>
      <c r="H451" s="10">
        <v>73428</v>
      </c>
    </row>
    <row r="452" spans="1:8">
      <c r="A452" s="3">
        <v>451</v>
      </c>
      <c r="B452" s="4">
        <v>46013.623182870368</v>
      </c>
      <c r="C452" s="5" t="str">
        <v>Daihatsu Xenia (Badan)</v>
      </c>
      <c r="D452" s="5" t="str">
        <v>B5945BC</v>
      </c>
      <c r="E452" s="10">
        <v>7703</v>
      </c>
      <c r="F452" s="3" t="str">
        <v>Iya</v>
      </c>
      <c r="G452" s="4">
        <v>45920</v>
      </c>
      <c r="H452" s="10">
        <v>7703</v>
      </c>
    </row>
    <row r="453" spans="1:8">
      <c r="A453" s="3">
        <v>452</v>
      </c>
      <c r="B453" s="4">
        <v>46013.64</v>
      </c>
      <c r="C453" s="5" t="str">
        <v>PICK UP TRAGA 2.5 4X2 MT D M/T</v>
      </c>
      <c r="D453" s="5" t="str">
        <v>B1167YL</v>
      </c>
      <c r="E453" s="10">
        <v>36056</v>
      </c>
      <c r="F453" s="3" t="str">
        <v>Iya</v>
      </c>
      <c r="G453" s="4">
        <v>45953</v>
      </c>
      <c r="H453" s="10">
        <v>36056</v>
      </c>
    </row>
    <row r="454" spans="1:8">
      <c r="A454" s="3">
        <v>453</v>
      </c>
      <c r="B454" s="4">
        <v>46013.663553240738</v>
      </c>
      <c r="C454" s="5" t="str">
        <v>Daihatsu Xenia (Badan)</v>
      </c>
      <c r="D454" s="5" t="str">
        <v>B3797RA</v>
      </c>
      <c r="E454" s="10">
        <v>17690</v>
      </c>
      <c r="F454" s="3" t="str">
        <v>Iya</v>
      </c>
      <c r="G454" s="4">
        <v>45952</v>
      </c>
      <c r="H454" s="10">
        <v>17690</v>
      </c>
    </row>
    <row r="455" spans="1:8">
      <c r="A455" s="3">
        <v>454</v>
      </c>
      <c r="B455" s="4">
        <v>46013.723854166667</v>
      </c>
      <c r="C455" s="5" t="str">
        <v>Daihatsu Xenia (Badan)</v>
      </c>
      <c r="D455" s="5" t="str">
        <v>B2306NS</v>
      </c>
      <c r="E455" s="10">
        <v>31687</v>
      </c>
      <c r="F455" s="3" t="str">
        <v>Iya</v>
      </c>
      <c r="G455" s="4">
        <v>45985</v>
      </c>
      <c r="H455" s="10">
        <v>31687</v>
      </c>
    </row>
    <row r="456" spans="1:8">
      <c r="A456" s="3">
        <v>455</v>
      </c>
      <c r="B456" s="4">
        <v>46013.730254629627</v>
      </c>
      <c r="C456" s="5" t="str">
        <v>Daihatsu Xenia (Badan)</v>
      </c>
      <c r="D456" s="5" t="str">
        <v>B9653KV</v>
      </c>
      <c r="E456" s="10">
        <v>48690</v>
      </c>
      <c r="F456" s="3" t="str">
        <v>Iya</v>
      </c>
      <c r="G456" s="4">
        <v>45889</v>
      </c>
      <c r="H456" s="10">
        <v>48690</v>
      </c>
    </row>
    <row r="457" spans="1:8">
      <c r="A457" s="3">
        <v>456</v>
      </c>
      <c r="B457" s="4">
        <v>46013.744988425933</v>
      </c>
      <c r="C457" s="5" t="str">
        <v>DAIHATSU GRANMAX PU AC PS 1.5 M/T</v>
      </c>
      <c r="D457" s="5" t="str">
        <v>B6407IG</v>
      </c>
      <c r="E457" s="10">
        <v>669</v>
      </c>
      <c r="F457" s="3" t="str">
        <v>Iya</v>
      </c>
      <c r="G457" s="4">
        <v>45987</v>
      </c>
      <c r="H457" s="10">
        <v>669</v>
      </c>
    </row>
    <row r="458" spans="1:8">
      <c r="A458" s="3">
        <v>457</v>
      </c>
      <c r="B458" s="4">
        <v>46014.355069444442</v>
      </c>
      <c r="C458" s="5" t="str">
        <v>Daihatsu Xenia (Badan)</v>
      </c>
      <c r="D458" s="5" t="str">
        <v>B8137WEW</v>
      </c>
      <c r="E458" s="10">
        <v>37368</v>
      </c>
      <c r="F458" s="3" t="str">
        <v>Iya</v>
      </c>
      <c r="G458" s="4">
        <v>46000</v>
      </c>
      <c r="H458" s="10">
        <v>37368</v>
      </c>
    </row>
    <row r="459" spans="1:8">
      <c r="A459" s="3">
        <v>458</v>
      </c>
      <c r="B459" s="4">
        <v>46014.4377662037</v>
      </c>
      <c r="C459" s="5" t="str">
        <v>Daihatsu Xenia (Badan)</v>
      </c>
      <c r="D459" s="5" t="str">
        <v>B2925QZ</v>
      </c>
      <c r="E459" s="10">
        <v>31126</v>
      </c>
      <c r="F459" s="3" t="str">
        <v>Iya</v>
      </c>
      <c r="G459" s="4">
        <v>45943</v>
      </c>
      <c r="H459" s="10">
        <v>31126</v>
      </c>
    </row>
    <row r="460" spans="1:8">
      <c r="A460" s="3">
        <v>459</v>
      </c>
      <c r="B460" s="4">
        <v>46014.632199074083</v>
      </c>
      <c r="C460" s="5" t="str">
        <v>Daihatsu Xenia (Badan)</v>
      </c>
      <c r="D460" s="5" t="str">
        <v>B1444ZS</v>
      </c>
      <c r="E460" s="10">
        <v>803</v>
      </c>
      <c r="F460" s="3" t="str">
        <v>Iya</v>
      </c>
      <c r="G460" s="4">
        <v>45999</v>
      </c>
      <c r="H460" s="10">
        <v>803</v>
      </c>
    </row>
    <row r="461" spans="1:8">
      <c r="A461" s="3">
        <v>460</v>
      </c>
      <c r="B461" s="4">
        <v>46014.65384259259</v>
      </c>
      <c r="C461" s="5" t="str">
        <v>Daihatsu Xenia (Badan)</v>
      </c>
      <c r="D461" s="5" t="str">
        <v>B7986SF</v>
      </c>
      <c r="E461" s="10">
        <v>35817</v>
      </c>
      <c r="F461" s="3" t="str">
        <v>Iya</v>
      </c>
      <c r="G461" s="4">
        <v>45798</v>
      </c>
      <c r="H461" s="10">
        <v>35817</v>
      </c>
    </row>
    <row r="462" spans="1:8">
      <c r="A462" s="3">
        <v>461</v>
      </c>
      <c r="B462" s="4">
        <v>46015.347314814811</v>
      </c>
      <c r="C462" s="5" t="str">
        <v>Daihatsu Xenia (Badan)</v>
      </c>
      <c r="D462" s="5" t="str">
        <v>B3367HD</v>
      </c>
      <c r="E462" s="10">
        <v>47537</v>
      </c>
      <c r="F462" s="3" t="str">
        <v>Iya</v>
      </c>
      <c r="G462" s="4">
        <v>45931</v>
      </c>
      <c r="H462" s="10">
        <v>47537</v>
      </c>
    </row>
    <row r="463" spans="1:8">
      <c r="A463" s="3">
        <v>462</v>
      </c>
      <c r="B463" s="4">
        <v>46015.372696759259</v>
      </c>
      <c r="C463" s="5" t="str">
        <v>Daihatsu Xenia (Badan)</v>
      </c>
      <c r="D463" s="5" t="str">
        <v>B5066SRV</v>
      </c>
      <c r="E463" s="10">
        <v>17990</v>
      </c>
      <c r="F463" s="3" t="str">
        <v>Iya</v>
      </c>
      <c r="G463" s="4">
        <v>45866</v>
      </c>
      <c r="H463" s="10">
        <v>17990</v>
      </c>
    </row>
    <row r="464" spans="1:8">
      <c r="A464" s="3">
        <v>463</v>
      </c>
      <c r="B464" s="4">
        <v>46015.610937500001</v>
      </c>
      <c r="C464" s="5" t="str">
        <v>Daihatsu Xenia (Badan)</v>
      </c>
      <c r="D464" s="5" t="str">
        <v>KT6033ET</v>
      </c>
      <c r="E464" s="10">
        <v>51791</v>
      </c>
      <c r="F464" s="3" t="str">
        <v>Iya</v>
      </c>
      <c r="G464" s="4">
        <v>45960</v>
      </c>
      <c r="H464" s="10">
        <v>51791</v>
      </c>
    </row>
    <row r="465" spans="1:8">
      <c r="A465" s="3">
        <v>464</v>
      </c>
      <c r="B465" s="4">
        <v>46015.611863425933</v>
      </c>
      <c r="C465" s="5" t="str">
        <v>Daihatsu Xenia (Badan)</v>
      </c>
      <c r="D465" s="5" t="str">
        <v>B2888ALH</v>
      </c>
      <c r="E465" s="10">
        <v>111429</v>
      </c>
      <c r="F465" s="3" t="str">
        <v>Iya</v>
      </c>
      <c r="G465" s="4">
        <v>45954</v>
      </c>
      <c r="H465" s="10">
        <v>111429</v>
      </c>
    </row>
    <row r="466" spans="1:8">
      <c r="A466" s="3">
        <v>465</v>
      </c>
      <c r="B466" s="4">
        <v>46018.405347222222</v>
      </c>
      <c r="C466" s="5" t="str">
        <v>Daihatsu Xenia (Badan)</v>
      </c>
      <c r="D466" s="5" t="str">
        <v>B2823MF</v>
      </c>
      <c r="E466" s="10">
        <v>27128</v>
      </c>
      <c r="F466" s="3" t="str">
        <v>Iya</v>
      </c>
      <c r="G466" s="4">
        <v>45978</v>
      </c>
      <c r="H466" s="10">
        <v>27128</v>
      </c>
    </row>
    <row r="467" spans="1:8">
      <c r="A467" s="3">
        <v>466</v>
      </c>
      <c r="B467" s="4">
        <v>46018.418865740743</v>
      </c>
      <c r="C467" s="5" t="str">
        <v>Daihatsu Xenia (Badan)</v>
      </c>
      <c r="D467" s="5" t="str">
        <v>D9393MC</v>
      </c>
      <c r="E467" s="10">
        <v>58124</v>
      </c>
      <c r="F467" s="3" t="str">
        <v>Iya</v>
      </c>
      <c r="G467" s="4">
        <v>45924</v>
      </c>
      <c r="H467" s="10">
        <v>58124</v>
      </c>
    </row>
    <row r="468" spans="1:8">
      <c r="A468" s="3">
        <v>467</v>
      </c>
      <c r="B468" s="4">
        <v>46020.469305555547</v>
      </c>
      <c r="C468" s="5" t="str">
        <v>Daihatsu Xenia (Badan)</v>
      </c>
      <c r="D468" s="5" t="str">
        <v>B9072QEG</v>
      </c>
      <c r="E468" s="10">
        <v>7133</v>
      </c>
      <c r="F468" s="3" t="str">
        <v>Iya</v>
      </c>
      <c r="G468" s="4">
        <v>46020</v>
      </c>
      <c r="H468" s="10">
        <v>7133</v>
      </c>
    </row>
    <row r="469" spans="1:8">
      <c r="A469" s="3">
        <v>468</v>
      </c>
      <c r="B469" s="4">
        <v>46020.658437500002</v>
      </c>
      <c r="C469" s="5" t="str">
        <v>Daihatsu Xenia (Badan)</v>
      </c>
      <c r="D469" s="5" t="str">
        <v>B3401BGT</v>
      </c>
      <c r="E469" s="10">
        <v>3173</v>
      </c>
      <c r="F469" s="3" t="str">
        <v>Iya</v>
      </c>
      <c r="G469" s="4">
        <v>45974</v>
      </c>
      <c r="H469" s="10">
        <v>3173</v>
      </c>
    </row>
    <row r="470" spans="1:8">
      <c r="A470" s="3">
        <v>469</v>
      </c>
      <c r="B470" s="4">
        <v>46020.70890046296</v>
      </c>
      <c r="C470" s="5" t="str">
        <v>PICK UP TRAGA 2.5 4X2 MT D M/T</v>
      </c>
      <c r="D470" s="5" t="str">
        <v>B9442AC</v>
      </c>
      <c r="E470" s="10">
        <v>27760</v>
      </c>
      <c r="F470" s="3" t="str">
        <v>Iya</v>
      </c>
      <c r="G470" s="4">
        <v>45941</v>
      </c>
      <c r="H470" s="10">
        <v>27760</v>
      </c>
    </row>
    <row r="471" spans="1:8">
      <c r="A471" s="3">
        <v>470</v>
      </c>
      <c r="B471" s="4">
        <v>46020.754513888889</v>
      </c>
      <c r="C471" s="5" t="str">
        <v>Daihatsu Xenia (Badan)</v>
      </c>
      <c r="D471" s="5" t="str">
        <v>B9558JSZ</v>
      </c>
      <c r="E471" s="10">
        <v>20801</v>
      </c>
      <c r="F471" s="3" t="str">
        <v>Iya</v>
      </c>
      <c r="G471" s="4">
        <v>46009</v>
      </c>
      <c r="H471" s="10">
        <v>20801</v>
      </c>
    </row>
    <row r="472" spans="1:8">
      <c r="A472" s="3">
        <v>471</v>
      </c>
      <c r="B472" s="4">
        <v>46021.420891203707</v>
      </c>
      <c r="C472" s="5" t="str">
        <v>Daihatsu Xenia (Badan)</v>
      </c>
      <c r="D472" s="5" t="str">
        <v>B2834CX</v>
      </c>
      <c r="E472" s="10">
        <v>53590</v>
      </c>
      <c r="F472" s="3" t="str">
        <v>Iya</v>
      </c>
      <c r="G472" s="4">
        <v>45876</v>
      </c>
      <c r="H472" s="10">
        <v>53590</v>
      </c>
    </row>
    <row r="473" spans="1:8">
      <c r="A473" s="3">
        <v>472</v>
      </c>
      <c r="B473" s="4">
        <v>46021.562118055554</v>
      </c>
      <c r="C473" s="5" t="str">
        <v>Daihatsu Xenia (Badan)</v>
      </c>
      <c r="D473" s="5" t="str">
        <v>B1995JFG</v>
      </c>
      <c r="E473" s="10">
        <v>33909</v>
      </c>
      <c r="F473" s="3" t="str">
        <v>Iya</v>
      </c>
      <c r="G473" s="4">
        <v>45892</v>
      </c>
      <c r="H473" s="10">
        <v>33909</v>
      </c>
    </row>
    <row r="474" spans="1:8">
      <c r="A474" s="3">
        <v>473</v>
      </c>
      <c r="B474" s="4">
        <v>46021.623692129629</v>
      </c>
      <c r="C474" s="5" t="str">
        <v>PICK UP TRAGA 2.5 4X2 MT D M/T</v>
      </c>
      <c r="D474" s="5" t="str">
        <v>B1901ZW</v>
      </c>
      <c r="E474" s="10">
        <v>17664</v>
      </c>
      <c r="F474" s="3" t="str">
        <v>Iya</v>
      </c>
      <c r="G474" s="4">
        <v>46009</v>
      </c>
      <c r="H474" s="10">
        <v>17664</v>
      </c>
    </row>
    <row r="475" spans="1:8">
      <c r="A475" s="3">
        <v>474</v>
      </c>
      <c r="B475" s="4">
        <v>46021.645509259259</v>
      </c>
      <c r="C475" s="5" t="str">
        <v>DAIHATSU GRANMAX PU AC PS 1.5 M/T</v>
      </c>
      <c r="D475" s="5" t="str">
        <v>B4764SNX</v>
      </c>
      <c r="E475" s="10">
        <v>22197</v>
      </c>
      <c r="F475" s="3" t="str">
        <v>Iya</v>
      </c>
      <c r="G475" s="4">
        <v>45889</v>
      </c>
      <c r="H475" s="10">
        <v>22197</v>
      </c>
    </row>
    <row r="476" spans="1:8">
      <c r="A476" s="3">
        <v>475</v>
      </c>
      <c r="B476" s="4">
        <v>46022.571226851847</v>
      </c>
      <c r="C476" s="5" t="str">
        <v>Daihatsu Xenia (Badan)</v>
      </c>
      <c r="D476" s="5" t="str">
        <v>B8704TJL</v>
      </c>
      <c r="E476" s="10">
        <v>71425</v>
      </c>
      <c r="F476" s="3" t="str">
        <v>Iya</v>
      </c>
      <c r="G476" s="4">
        <v>45944</v>
      </c>
      <c r="H476" s="10">
        <v>71425</v>
      </c>
    </row>
    <row r="477" spans="1:8">
      <c r="A477" s="3">
        <v>476</v>
      </c>
      <c r="B477" s="4">
        <v>46022.607673611114</v>
      </c>
      <c r="C477" s="5" t="str">
        <v>Daihatsu Xenia (Badan)</v>
      </c>
      <c r="D477" s="5" t="str">
        <v>B8054VY</v>
      </c>
      <c r="E477" s="10">
        <v>24043</v>
      </c>
      <c r="F477" s="3" t="str">
        <v>Iya</v>
      </c>
      <c r="G477" s="4">
        <v>45923</v>
      </c>
      <c r="H477" s="10">
        <v>24043</v>
      </c>
    </row>
    <row r="478" spans="1:8">
      <c r="A478" s="3">
        <v>477</v>
      </c>
      <c r="B478" s="4">
        <v>46025.444444444453</v>
      </c>
      <c r="C478" s="5" t="str">
        <v>Daihatsu Xenia (Badan)</v>
      </c>
      <c r="D478" s="5" t="str">
        <v>B2341ZVF</v>
      </c>
      <c r="E478" s="10">
        <v>2971</v>
      </c>
      <c r="F478" s="3" t="str">
        <v>Iya</v>
      </c>
      <c r="G478" s="4">
        <v>45966</v>
      </c>
      <c r="H478" s="10">
        <v>2971</v>
      </c>
    </row>
    <row r="479" spans="1:8">
      <c r="A479" s="3">
        <v>478</v>
      </c>
      <c r="B479" s="4">
        <v>46025.781712962962</v>
      </c>
      <c r="C479" s="5" t="str">
        <v>PICK UP TRAGA 2.5 4X2 MT D M/T</v>
      </c>
      <c r="D479" s="5" t="str">
        <v>B8699GN</v>
      </c>
      <c r="E479" s="10">
        <v>69899</v>
      </c>
      <c r="F479" s="3" t="str">
        <v>Iya</v>
      </c>
      <c r="G479" s="4">
        <v>45911</v>
      </c>
      <c r="H479" s="10">
        <v>69899</v>
      </c>
    </row>
    <row r="480" spans="1:8">
      <c r="A480" s="3">
        <v>479</v>
      </c>
      <c r="B480" s="4">
        <v>46027.34715277778</v>
      </c>
      <c r="C480" s="5" t="str">
        <v>Daihatsu Xenia (Badan)</v>
      </c>
      <c r="D480" s="5" t="str">
        <v>H8376YB</v>
      </c>
      <c r="E480" s="10">
        <v>55924</v>
      </c>
      <c r="F480" s="3" t="str">
        <v>Iya</v>
      </c>
      <c r="G480" s="4">
        <v>45923</v>
      </c>
      <c r="H480" s="10">
        <v>55924</v>
      </c>
    </row>
    <row r="481" spans="1:8">
      <c r="A481" s="3">
        <v>480</v>
      </c>
      <c r="B481" s="4">
        <v>46027.425300925926</v>
      </c>
      <c r="C481" s="5" t="str">
        <v>Daihatsu Xenia (Badan)</v>
      </c>
      <c r="D481" s="5" t="str">
        <v>B6680XJ</v>
      </c>
      <c r="E481" s="10">
        <v>31418</v>
      </c>
      <c r="F481" s="3" t="str">
        <v>Iya</v>
      </c>
      <c r="G481" s="4">
        <v>45986</v>
      </c>
      <c r="H481" s="10">
        <v>31418</v>
      </c>
    </row>
    <row r="482" spans="1:8">
      <c r="A482" s="3">
        <v>481</v>
      </c>
      <c r="B482" s="4">
        <v>46027.434155092589</v>
      </c>
      <c r="C482" s="5" t="str">
        <v>Daihatsu Xenia (Badan)</v>
      </c>
      <c r="D482" s="5" t="str">
        <v>B8763MP</v>
      </c>
      <c r="E482" s="10">
        <v>103745</v>
      </c>
      <c r="F482" s="3" t="str">
        <v>Iya</v>
      </c>
      <c r="G482" s="4">
        <v>45932</v>
      </c>
      <c r="H482" s="10">
        <v>103745</v>
      </c>
    </row>
    <row r="483" spans="1:8">
      <c r="A483" s="3">
        <v>482</v>
      </c>
      <c r="B483" s="4">
        <v>46027.448773148149</v>
      </c>
      <c r="C483" s="5" t="str">
        <v>Daihatsu Xenia (Badan)</v>
      </c>
      <c r="D483" s="5" t="str">
        <v>B1377ZP</v>
      </c>
      <c r="E483" s="10">
        <v>55205</v>
      </c>
      <c r="F483" s="3" t="str">
        <v>Iya</v>
      </c>
      <c r="G483" s="4">
        <v>45970</v>
      </c>
      <c r="H483" s="10">
        <v>55205</v>
      </c>
    </row>
    <row r="484" spans="1:8">
      <c r="A484" s="3">
        <v>483</v>
      </c>
      <c r="B484" s="4">
        <v>46027.470092592594</v>
      </c>
      <c r="C484" s="5" t="str">
        <v>Daihatsu Xenia (Badan)</v>
      </c>
      <c r="D484" s="5" t="str">
        <v>B2743VJK</v>
      </c>
      <c r="E484" s="10">
        <v>61427</v>
      </c>
      <c r="F484" s="3" t="str">
        <v>Iya</v>
      </c>
      <c r="G484" s="4">
        <v>46002</v>
      </c>
      <c r="H484" s="10">
        <v>61427</v>
      </c>
    </row>
    <row r="485" spans="1:8">
      <c r="A485" s="3">
        <v>484</v>
      </c>
      <c r="B485" s="4">
        <v>46028.369143518517</v>
      </c>
      <c r="C485" s="5" t="str">
        <v>Daihatsu Xenia (Badan)</v>
      </c>
      <c r="D485" s="5" t="str">
        <v>KB4153HK</v>
      </c>
      <c r="E485" s="10">
        <v>47642</v>
      </c>
      <c r="F485" s="3" t="str">
        <v>Iya</v>
      </c>
      <c r="G485" s="4">
        <v>45974</v>
      </c>
      <c r="H485" s="10">
        <v>47642</v>
      </c>
    </row>
    <row r="486" spans="1:8">
      <c r="A486" s="3">
        <v>485</v>
      </c>
      <c r="B486" s="4">
        <v>46029.631909722222</v>
      </c>
      <c r="C486" s="5" t="str">
        <v>Daihatsu Xenia (Badan)</v>
      </c>
      <c r="D486" s="5" t="str">
        <v>B1923MMD</v>
      </c>
      <c r="E486" s="10">
        <v>31211</v>
      </c>
      <c r="F486" s="3" t="str">
        <v>Iya</v>
      </c>
      <c r="G486" s="4">
        <v>45763</v>
      </c>
      <c r="H486" s="10">
        <v>31211</v>
      </c>
    </row>
    <row r="487" spans="1:8">
      <c r="A487" s="3">
        <v>486</v>
      </c>
      <c r="B487" s="4">
        <v>46029.638020833343</v>
      </c>
      <c r="C487" s="5" t="str">
        <v>Daihatsu Xenia (Badan)</v>
      </c>
      <c r="D487" s="5" t="str">
        <v>B9735KKV</v>
      </c>
      <c r="E487" s="10">
        <v>23779</v>
      </c>
      <c r="F487" s="3" t="str">
        <v>Iya</v>
      </c>
      <c r="G487" s="4">
        <v>45980</v>
      </c>
      <c r="H487" s="10">
        <v>23779</v>
      </c>
    </row>
    <row r="488" spans="1:8">
      <c r="A488" s="3">
        <v>487</v>
      </c>
      <c r="B488" s="4">
        <v>46029.684351851851</v>
      </c>
      <c r="C488" s="5" t="str">
        <v>Daihatsu Xenia (Badan)</v>
      </c>
      <c r="D488" s="5" t="str">
        <v>B2924KX</v>
      </c>
      <c r="E488" s="10">
        <v>63490</v>
      </c>
      <c r="F488" s="3" t="str">
        <v>Iya</v>
      </c>
      <c r="G488" s="4">
        <v>45866</v>
      </c>
      <c r="H488" s="10">
        <v>63490</v>
      </c>
    </row>
    <row r="489" spans="1:8">
      <c r="A489" s="3">
        <v>488</v>
      </c>
      <c r="B489" s="4">
        <v>46030.340798611112</v>
      </c>
      <c r="C489" s="5" t="str">
        <v>Daihatsu Xenia (Badan)</v>
      </c>
      <c r="D489" s="5" t="str">
        <v>B3590QLB</v>
      </c>
      <c r="E489" s="10">
        <v>29151</v>
      </c>
      <c r="F489" s="3" t="str">
        <v>Iya</v>
      </c>
      <c r="G489" s="4">
        <v>45955</v>
      </c>
      <c r="H489" s="10">
        <v>29151</v>
      </c>
    </row>
    <row r="490" spans="1:8">
      <c r="A490" s="3">
        <v>489</v>
      </c>
      <c r="B490" s="4">
        <v>46030.423379629632</v>
      </c>
      <c r="C490" s="5" t="str">
        <v>DAIHATSU GRANMAX PU AC PS 1.5 M/T</v>
      </c>
      <c r="D490" s="5" t="str">
        <v>B8955IB</v>
      </c>
      <c r="E490" s="10">
        <v>923</v>
      </c>
      <c r="F490" s="3" t="str">
        <v>Iya</v>
      </c>
      <c r="G490" s="4">
        <v>46010</v>
      </c>
      <c r="H490" s="10">
        <v>923</v>
      </c>
    </row>
    <row r="491" spans="1:8">
      <c r="A491" s="3">
        <v>490</v>
      </c>
      <c r="B491" s="4">
        <v>46030.454201388893</v>
      </c>
      <c r="C491" s="5" t="str">
        <v>Daihatsu Xenia (Badan)</v>
      </c>
      <c r="D491" s="5" t="str">
        <v>B6817ZM</v>
      </c>
      <c r="E491" s="10">
        <v>12023</v>
      </c>
      <c r="F491" s="3" t="str">
        <v>Iya</v>
      </c>
      <c r="G491" s="4">
        <v>45972</v>
      </c>
      <c r="H491" s="10">
        <v>12023</v>
      </c>
    </row>
    <row r="492" spans="1:8">
      <c r="A492" s="3">
        <v>491</v>
      </c>
      <c r="B492" s="4">
        <v>46030.454456018517</v>
      </c>
      <c r="C492" s="5" t="str">
        <v>Daihatsu Xenia (Badan)</v>
      </c>
      <c r="D492" s="5" t="str">
        <v>B3472IIU</v>
      </c>
      <c r="E492" s="10">
        <v>87316</v>
      </c>
      <c r="F492" s="3" t="str">
        <v>Iya</v>
      </c>
      <c r="G492" s="4">
        <v>45902</v>
      </c>
      <c r="H492" s="10">
        <v>87316</v>
      </c>
    </row>
    <row r="493" spans="1:8">
      <c r="A493" s="3">
        <v>492</v>
      </c>
      <c r="B493" s="4">
        <v>46030.458680555559</v>
      </c>
      <c r="C493" s="5" t="str">
        <v>DAIHATSU GRANMAX PU AC PS 1.5 M/T</v>
      </c>
      <c r="D493" s="5" t="str">
        <v>B6596KS</v>
      </c>
      <c r="E493" s="10">
        <v>12793</v>
      </c>
      <c r="F493" s="3" t="str">
        <v>Iya</v>
      </c>
      <c r="G493" s="4">
        <v>45987</v>
      </c>
      <c r="H493" s="10">
        <v>12793</v>
      </c>
    </row>
    <row r="494" spans="1:8">
      <c r="A494" s="3">
        <v>493</v>
      </c>
      <c r="B494" s="4">
        <v>46030.464120370372</v>
      </c>
      <c r="C494" s="5" t="str">
        <v>Daihatsu Xenia (Badan)</v>
      </c>
      <c r="D494" s="5" t="str">
        <v>B8182EB</v>
      </c>
      <c r="E494" s="10">
        <v>86315</v>
      </c>
      <c r="F494" s="3" t="str">
        <v>Iya</v>
      </c>
      <c r="G494" s="4">
        <v>45950</v>
      </c>
      <c r="H494" s="10">
        <v>86315</v>
      </c>
    </row>
    <row r="495" spans="1:8">
      <c r="A495" s="3">
        <v>494</v>
      </c>
      <c r="B495" s="4">
        <v>46031.385497685187</v>
      </c>
      <c r="C495" s="5" t="str">
        <v>Daihatsu Xenia (Badan)</v>
      </c>
      <c r="D495" s="5" t="str">
        <v>B6374AY</v>
      </c>
      <c r="E495" s="10">
        <v>74558</v>
      </c>
      <c r="F495" s="3" t="str">
        <v>Iya</v>
      </c>
      <c r="G495" s="4">
        <v>46030</v>
      </c>
      <c r="H495" s="10">
        <v>74558</v>
      </c>
    </row>
    <row r="496" spans="1:8">
      <c r="A496" s="3">
        <v>495</v>
      </c>
      <c r="B496" s="4">
        <v>46031.466793981483</v>
      </c>
      <c r="C496" s="5" t="str">
        <v>DAIHATSU GRANMAX PU AC PS 1.5 M/T</v>
      </c>
      <c r="D496" s="5" t="str">
        <v>B5518KS</v>
      </c>
      <c r="E496" s="10">
        <v>1478</v>
      </c>
      <c r="F496" s="3" t="str">
        <v>Iya</v>
      </c>
      <c r="G496" s="4">
        <v>45967</v>
      </c>
      <c r="H496" s="10">
        <v>1478</v>
      </c>
    </row>
    <row r="497" spans="1:8">
      <c r="A497" s="3">
        <v>496</v>
      </c>
      <c r="B497" s="4">
        <v>46031.468182870369</v>
      </c>
      <c r="C497" s="5" t="str">
        <v>Daihatsu Xenia (Badan)</v>
      </c>
      <c r="D497" s="5" t="str">
        <v>AB6497MM</v>
      </c>
      <c r="E497" s="10">
        <v>26113</v>
      </c>
      <c r="F497" s="3" t="str">
        <v>Iya</v>
      </c>
      <c r="G497" s="4">
        <v>45953</v>
      </c>
      <c r="H497" s="10">
        <v>26113</v>
      </c>
    </row>
    <row r="498" spans="1:8">
      <c r="A498" s="3">
        <v>497</v>
      </c>
      <c r="B498" s="4">
        <v>46031.685879629629</v>
      </c>
      <c r="C498" s="5" t="str">
        <v>DAIHATSU GRANMAX PU AC PS 1.5 M/T</v>
      </c>
      <c r="D498" s="5" t="str">
        <v>B4952MY</v>
      </c>
      <c r="E498" s="10">
        <v>31228</v>
      </c>
      <c r="F498" s="3" t="str">
        <v>Iya</v>
      </c>
      <c r="G498" s="4">
        <v>46030</v>
      </c>
      <c r="H498" s="10">
        <v>31228</v>
      </c>
    </row>
    <row r="499" spans="1:8">
      <c r="A499" s="3">
        <v>498</v>
      </c>
      <c r="B499" s="4">
        <v>46031.746053240742</v>
      </c>
      <c r="C499" s="5" t="str">
        <v>DAIHATSU GRANMAX PU AC PS 1.5 M/T</v>
      </c>
      <c r="D499" s="5" t="str">
        <v>B1265LKJ</v>
      </c>
      <c r="E499" s="10">
        <v>6567</v>
      </c>
      <c r="F499" s="3" t="str">
        <v>Iya</v>
      </c>
      <c r="G499" s="4">
        <v>46031</v>
      </c>
      <c r="H499" s="10">
        <v>6567</v>
      </c>
    </row>
    <row r="500" spans="1:8">
      <c r="A500" s="3">
        <v>499</v>
      </c>
      <c r="B500" s="4">
        <v>46031.766817129632</v>
      </c>
      <c r="C500" s="5" t="str">
        <v>Daihatsu Xenia (Badan)</v>
      </c>
      <c r="D500" s="5" t="str">
        <v>L1356IF</v>
      </c>
      <c r="E500" s="10">
        <v>20581</v>
      </c>
      <c r="F500" s="3" t="str">
        <v>Iya</v>
      </c>
      <c r="G500" s="4">
        <v>45957</v>
      </c>
      <c r="H500" s="10">
        <v>20581</v>
      </c>
    </row>
    <row r="501" spans="1:8">
      <c r="A501" s="3">
        <v>500</v>
      </c>
      <c r="B501" s="4">
        <v>46032.43613425926</v>
      </c>
      <c r="C501" s="5" t="str">
        <v>Daihatsu Xenia (Badan)</v>
      </c>
      <c r="D501" s="5" t="str">
        <v>B4121AL</v>
      </c>
      <c r="E501" s="10">
        <v>14774</v>
      </c>
      <c r="F501" s="3" t="str">
        <v>Iya</v>
      </c>
      <c r="G501" s="4">
        <v>45974</v>
      </c>
      <c r="H501" s="10">
        <v>14774</v>
      </c>
    </row>
    <row r="502" spans="1:8">
      <c r="A502" s="3">
        <v>501</v>
      </c>
      <c r="B502" s="4">
        <v>46032.527442129627</v>
      </c>
      <c r="C502" s="5" t="str">
        <v>PICK UP TRAGA 2.5 4X2 MT D M/T</v>
      </c>
      <c r="D502" s="5" t="str">
        <v>B2710QMZ</v>
      </c>
      <c r="E502" s="10">
        <v>54320</v>
      </c>
      <c r="F502" s="3" t="str">
        <v>Iya</v>
      </c>
      <c r="G502" s="4">
        <v>45968</v>
      </c>
      <c r="H502" s="10">
        <v>54320</v>
      </c>
    </row>
    <row r="503" spans="1:8">
      <c r="A503" s="3">
        <v>502</v>
      </c>
      <c r="B503" s="4">
        <v>46032.799525462957</v>
      </c>
      <c r="C503" s="5" t="str">
        <v>Daihatsu Xenia (Badan)</v>
      </c>
      <c r="D503" s="5" t="str">
        <v>B4665UI</v>
      </c>
      <c r="E503" s="10">
        <v>18629</v>
      </c>
      <c r="F503" s="3" t="str">
        <v>Iya</v>
      </c>
      <c r="G503" s="4">
        <v>45972</v>
      </c>
      <c r="H503" s="10">
        <v>18629</v>
      </c>
    </row>
    <row r="504" spans="1:8">
      <c r="A504" s="3">
        <v>503</v>
      </c>
      <c r="B504" s="4">
        <v>46034.511122685188</v>
      </c>
      <c r="C504" s="5" t="str">
        <v>Daihatsu Xenia (Badan)</v>
      </c>
      <c r="D504" s="5" t="str">
        <v>B8430ECN</v>
      </c>
      <c r="E504" s="10">
        <v>839</v>
      </c>
      <c r="F504" s="3" t="str">
        <v>Iya</v>
      </c>
      <c r="G504" s="4">
        <v>46034</v>
      </c>
      <c r="H504" s="10">
        <v>839</v>
      </c>
    </row>
    <row r="505" spans="1:8">
      <c r="A505" s="3">
        <v>504</v>
      </c>
      <c r="B505" s="4">
        <v>46034.525219907409</v>
      </c>
      <c r="C505" s="5" t="str">
        <v>Daihatsu Xenia (Badan)</v>
      </c>
      <c r="D505" s="5" t="str">
        <v>B5644FI</v>
      </c>
      <c r="E505" s="10">
        <v>1291</v>
      </c>
      <c r="F505" s="3" t="str">
        <v>Iya</v>
      </c>
      <c r="G505" s="4">
        <v>45999</v>
      </c>
      <c r="H505" s="10">
        <v>1291</v>
      </c>
    </row>
    <row r="506" spans="1:8">
      <c r="A506" s="3">
        <v>505</v>
      </c>
      <c r="B506" s="4">
        <v>46043.408506944441</v>
      </c>
      <c r="C506" s="5" t="str">
        <v>Daihatsu Xenia (Badan)</v>
      </c>
      <c r="D506" s="5" t="str">
        <v>B1923MMD</v>
      </c>
      <c r="E506" s="10">
        <v>31537</v>
      </c>
      <c r="F506" s="3" t="str">
        <v>Iya</v>
      </c>
      <c r="G506" s="4">
        <v>46041</v>
      </c>
      <c r="H506" s="10">
        <v>31537</v>
      </c>
    </row>
    <row r="507" spans="1:8">
      <c r="A507" s="3">
        <v>506</v>
      </c>
      <c r="B507" s="4">
        <v>46043.412314814806</v>
      </c>
      <c r="C507" s="5" t="str">
        <v>Daihatsu Xenia (Badan)</v>
      </c>
      <c r="D507" s="5" t="str">
        <v>B1711ZJR</v>
      </c>
      <c r="E507" s="10">
        <v>10139</v>
      </c>
      <c r="F507" s="3" t="str">
        <v>Iya</v>
      </c>
      <c r="G507" s="4">
        <v>46006</v>
      </c>
      <c r="H507" s="10">
        <v>10139</v>
      </c>
    </row>
    <row r="508" spans="1:8">
      <c r="A508" s="3">
        <v>507</v>
      </c>
      <c r="B508" s="4">
        <v>46043.46570601852</v>
      </c>
      <c r="C508" s="5" t="str">
        <v>Daihatsu Xenia (Badan)</v>
      </c>
      <c r="D508" s="5" t="str">
        <v>B5062PCK</v>
      </c>
      <c r="E508" s="10">
        <v>101276</v>
      </c>
      <c r="F508" s="3" t="str">
        <v>Iya</v>
      </c>
      <c r="G508" s="4">
        <v>45955</v>
      </c>
      <c r="H508" s="10">
        <v>101276</v>
      </c>
    </row>
    <row r="509" spans="1:8">
      <c r="A509" s="3">
        <v>508</v>
      </c>
      <c r="B509" s="4">
        <v>46043.534618055557</v>
      </c>
      <c r="C509" s="5" t="str">
        <v>Daihatsu Xenia (Badan)</v>
      </c>
      <c r="D509" s="5" t="str">
        <v>B9091PM</v>
      </c>
      <c r="E509" s="10">
        <v>38664</v>
      </c>
      <c r="F509" s="3" t="str">
        <v>Iya</v>
      </c>
      <c r="G509" s="4">
        <v>45953</v>
      </c>
      <c r="H509" s="10">
        <v>38664</v>
      </c>
    </row>
    <row r="510" spans="1:8">
      <c r="A510" s="3">
        <v>509</v>
      </c>
      <c r="B510" s="4">
        <v>46043.650509259263</v>
      </c>
      <c r="C510" s="5" t="str">
        <v>Daihatsu Xenia (Badan)</v>
      </c>
      <c r="D510" s="5" t="str">
        <v>B2652NS</v>
      </c>
      <c r="E510" s="10">
        <v>51023</v>
      </c>
      <c r="F510" s="3" t="str">
        <v>Iya</v>
      </c>
      <c r="G510" s="4">
        <v>45973</v>
      </c>
      <c r="H510" s="10">
        <v>51023</v>
      </c>
    </row>
    <row r="511" spans="1:8">
      <c r="A511" s="3">
        <v>510</v>
      </c>
      <c r="B511" s="4">
        <v>46043.714097222219</v>
      </c>
      <c r="C511" s="5" t="str">
        <v>Daihatsu Xenia (Badan)</v>
      </c>
      <c r="D511" s="5" t="str">
        <v>KT6033ET</v>
      </c>
      <c r="E511" s="10">
        <v>4883</v>
      </c>
      <c r="F511" s="3" t="str">
        <v>Iya</v>
      </c>
      <c r="G511" s="4">
        <v>45960</v>
      </c>
      <c r="H511" s="10">
        <v>4883</v>
      </c>
    </row>
    <row r="512" spans="1:8">
      <c r="A512" s="3">
        <v>511</v>
      </c>
      <c r="B512" s="4">
        <v>46043.720439814817</v>
      </c>
      <c r="C512" s="5" t="str">
        <v>Daihatsu Xenia (Badan)</v>
      </c>
      <c r="D512" s="5" t="str">
        <v>B6851IH</v>
      </c>
      <c r="E512" s="10">
        <v>12822</v>
      </c>
      <c r="F512" s="3" t="str">
        <v>Iya</v>
      </c>
      <c r="G512" s="4">
        <v>46028</v>
      </c>
      <c r="H512" s="10">
        <v>12822</v>
      </c>
    </row>
    <row r="513" spans="1:8">
      <c r="A513" s="3">
        <v>512</v>
      </c>
      <c r="B513" s="4">
        <v>46043.879537037043</v>
      </c>
      <c r="C513" s="5" t="str">
        <v>Daihatsu Xenia (Badan)</v>
      </c>
      <c r="D513" s="5" t="str">
        <v>B7986SF</v>
      </c>
      <c r="E513" s="10">
        <v>40830</v>
      </c>
      <c r="F513" s="3" t="str">
        <v>Iya</v>
      </c>
      <c r="G513" s="4">
        <v>45798</v>
      </c>
      <c r="H513" s="10">
        <v>40830</v>
      </c>
    </row>
    <row r="514" spans="1:8">
      <c r="A514" s="3">
        <v>513</v>
      </c>
      <c r="B514" s="4">
        <v>46043.883738425917</v>
      </c>
      <c r="C514" s="5" t="str">
        <v>Daihatsu Xenia (Badan)</v>
      </c>
      <c r="D514" s="5" t="str">
        <v>B7986SF</v>
      </c>
      <c r="E514" s="10">
        <v>37659</v>
      </c>
      <c r="F514" s="3" t="str">
        <v>Iya</v>
      </c>
      <c r="G514" s="4">
        <v>45979</v>
      </c>
      <c r="H514" s="10">
        <v>37659</v>
      </c>
    </row>
    <row r="515" spans="1:8">
      <c r="A515" s="3">
        <v>514</v>
      </c>
      <c r="B515" s="4">
        <v>46044.421273148153</v>
      </c>
      <c r="C515" s="5" t="str">
        <v>Daihatsu Xenia (Badan)</v>
      </c>
      <c r="D515" s="5" t="str">
        <v>B2834CX</v>
      </c>
      <c r="E515" s="10">
        <v>55083</v>
      </c>
      <c r="F515" s="3" t="str">
        <v>Iya</v>
      </c>
      <c r="G515" s="4">
        <v>45876</v>
      </c>
      <c r="H515" s="10">
        <v>55083</v>
      </c>
    </row>
    <row r="516" spans="1:8">
      <c r="A516" s="3">
        <v>515</v>
      </c>
      <c r="B516" s="4">
        <v>46044.469155092593</v>
      </c>
      <c r="C516" s="5" t="str">
        <v>Daihatsu Xenia (Badan)</v>
      </c>
      <c r="D516" s="5" t="str">
        <v>B6374AY</v>
      </c>
      <c r="E516" s="10">
        <v>67643</v>
      </c>
      <c r="F516" s="3" t="str">
        <v>Iya</v>
      </c>
      <c r="G516" s="4">
        <v>46030</v>
      </c>
      <c r="H516" s="10">
        <v>67643</v>
      </c>
    </row>
    <row r="517" spans="1:8">
      <c r="A517" s="3">
        <v>516</v>
      </c>
      <c r="B517" s="4">
        <v>46044.557164351849</v>
      </c>
      <c r="C517" s="5" t="str">
        <v>Daihatsu Xenia (Badan)</v>
      </c>
      <c r="D517" s="5" t="str">
        <v>B7584BN</v>
      </c>
      <c r="E517" s="10">
        <v>51075</v>
      </c>
      <c r="F517" s="3" t="str">
        <v>Iya</v>
      </c>
      <c r="G517" s="4">
        <v>45847</v>
      </c>
      <c r="H517" s="10">
        <v>51075</v>
      </c>
    </row>
    <row r="518" spans="1:8">
      <c r="A518" s="3">
        <v>517</v>
      </c>
      <c r="B518" s="4">
        <v>46044.667175925933</v>
      </c>
      <c r="C518" s="5" t="str">
        <v>Daihatsu Xenia (Badan)</v>
      </c>
      <c r="D518" s="5" t="str">
        <v>B3797RA</v>
      </c>
      <c r="E518" s="10">
        <v>20028</v>
      </c>
      <c r="F518" s="3" t="str">
        <v>Iya</v>
      </c>
      <c r="G518" s="4">
        <v>45952</v>
      </c>
      <c r="H518" s="10">
        <v>20028</v>
      </c>
    </row>
    <row r="519" spans="1:8">
      <c r="A519" s="3">
        <v>518</v>
      </c>
      <c r="B519" s="4">
        <v>46045.463055555563</v>
      </c>
      <c r="C519" s="5" t="str">
        <v>Daihatsu Xenia (Badan)</v>
      </c>
      <c r="D519" s="5" t="str">
        <v>B2925QZ</v>
      </c>
      <c r="E519" s="10">
        <v>33681</v>
      </c>
      <c r="F519" s="3" t="str">
        <v>Iya</v>
      </c>
      <c r="G519" s="4">
        <v>45943</v>
      </c>
      <c r="H519" s="10">
        <v>33681</v>
      </c>
    </row>
    <row r="520" spans="1:8">
      <c r="A520" s="3">
        <v>519</v>
      </c>
      <c r="B520" s="4">
        <v>46045.482766203713</v>
      </c>
      <c r="C520" s="5" t="str">
        <v>Daihatsu Xenia (Badan)</v>
      </c>
      <c r="D520" s="5" t="str">
        <v>B9558JSZ</v>
      </c>
      <c r="E520" s="10">
        <v>21574</v>
      </c>
      <c r="F520" s="3" t="str">
        <v>Iya</v>
      </c>
      <c r="G520" s="4">
        <v>46374</v>
      </c>
      <c r="H520" s="10">
        <v>21574</v>
      </c>
    </row>
    <row r="521" spans="1:8">
      <c r="A521" s="3">
        <v>520</v>
      </c>
      <c r="B521" s="4">
        <v>46045.672326388893</v>
      </c>
      <c r="C521" s="5" t="str">
        <v>Daihatsu Xenia (Badan)</v>
      </c>
      <c r="D521" s="5" t="str">
        <v>B9653KV</v>
      </c>
      <c r="E521" s="10">
        <v>51663</v>
      </c>
      <c r="F521" s="3" t="str">
        <v>Iya</v>
      </c>
      <c r="G521" s="4">
        <v>46039</v>
      </c>
      <c r="H521" s="10">
        <v>51663</v>
      </c>
    </row>
    <row r="522" spans="1:8">
      <c r="A522" s="3">
        <v>521</v>
      </c>
      <c r="B522" s="4">
        <v>46046.511296296303</v>
      </c>
      <c r="C522" s="5" t="str">
        <v>Daihatsu Xenia (Badan)</v>
      </c>
      <c r="D522" s="5" t="str">
        <v>B7991PSS</v>
      </c>
      <c r="E522" s="10">
        <v>86716</v>
      </c>
      <c r="F522" s="3" t="str">
        <v>Iya</v>
      </c>
      <c r="G522" s="4">
        <v>45943</v>
      </c>
      <c r="H522" s="10">
        <v>86716</v>
      </c>
    </row>
    <row r="523" spans="1:8">
      <c r="A523" s="3">
        <v>522</v>
      </c>
      <c r="B523" s="4">
        <v>46046.651504629634</v>
      </c>
      <c r="C523" s="5" t="str">
        <v>Daihatsu Xenia (Badan)</v>
      </c>
      <c r="D523" s="5" t="str">
        <v>B8137WEW</v>
      </c>
      <c r="E523" s="10">
        <v>38665</v>
      </c>
      <c r="F523" s="3" t="str">
        <v>Iya</v>
      </c>
      <c r="G523" s="4">
        <v>46000</v>
      </c>
      <c r="H523" s="10">
        <v>38665</v>
      </c>
    </row>
    <row r="524" spans="1:8">
      <c r="A524" s="3">
        <v>523</v>
      </c>
      <c r="B524" s="4">
        <v>46047.429490740738</v>
      </c>
      <c r="C524" s="5" t="str">
        <v>Daihatsu Xenia (Badan)</v>
      </c>
      <c r="D524" s="5" t="str">
        <v>B2306NS</v>
      </c>
      <c r="E524" s="10">
        <v>32956</v>
      </c>
      <c r="F524" s="3" t="str">
        <v>Iya</v>
      </c>
      <c r="G524" s="4">
        <v>45985</v>
      </c>
      <c r="H524" s="10">
        <v>32956</v>
      </c>
    </row>
    <row r="525" spans="1:8">
      <c r="A525" s="3">
        <v>524</v>
      </c>
      <c r="B525" s="4">
        <v>46048.349965277783</v>
      </c>
      <c r="C525" s="5" t="str">
        <v>Daihatsu Xenia (Badan)</v>
      </c>
      <c r="D525" s="5" t="str">
        <v>B8763MP</v>
      </c>
      <c r="E525" s="10">
        <v>100597</v>
      </c>
      <c r="F525" s="3" t="str">
        <v>Iya</v>
      </c>
      <c r="G525" s="4">
        <v>46029</v>
      </c>
      <c r="H525" s="10">
        <v>100597</v>
      </c>
    </row>
    <row r="526" spans="1:8">
      <c r="A526" s="3">
        <v>525</v>
      </c>
      <c r="B526" s="4">
        <v>46048.473645833343</v>
      </c>
      <c r="C526" s="5" t="str">
        <v>Daihatsu Xenia (Badan)</v>
      </c>
      <c r="D526" s="5" t="str">
        <v>KB4153HK</v>
      </c>
      <c r="E526" s="10">
        <v>52343</v>
      </c>
      <c r="F526" s="3" t="str">
        <v>Iya</v>
      </c>
      <c r="G526" s="4">
        <v>45974</v>
      </c>
      <c r="H526" s="10">
        <v>52343</v>
      </c>
    </row>
    <row r="527" spans="1:8">
      <c r="A527" s="3">
        <v>526</v>
      </c>
      <c r="B527" s="4">
        <v>46048.701319444437</v>
      </c>
      <c r="C527" s="5" t="str">
        <v>Daihatsu Xenia (Badan)</v>
      </c>
      <c r="D527" s="5" t="str">
        <v>B8430ECN</v>
      </c>
      <c r="E527" s="10">
        <v>1313</v>
      </c>
      <c r="F527" s="3" t="str">
        <v>Iya</v>
      </c>
      <c r="G527" s="4">
        <v>46048</v>
      </c>
      <c r="H527" s="10">
        <v>1313</v>
      </c>
    </row>
    <row r="528" spans="1:8">
      <c r="A528" s="3">
        <v>527</v>
      </c>
      <c r="B528" s="4">
        <v>46049.391585648147</v>
      </c>
      <c r="C528" s="5" t="str">
        <v>Daihatsu Xenia (Badan)</v>
      </c>
      <c r="D528" s="5" t="str">
        <v>B5066SRV</v>
      </c>
      <c r="E528" s="10">
        <v>20659</v>
      </c>
      <c r="F528" s="3" t="str">
        <v>Iya</v>
      </c>
      <c r="G528" s="4">
        <v>46035</v>
      </c>
      <c r="H528" s="10">
        <v>20659</v>
      </c>
    </row>
    <row r="529" spans="1:8">
      <c r="A529" s="3">
        <v>528</v>
      </c>
      <c r="B529" s="4">
        <v>46049.394814814812</v>
      </c>
      <c r="C529" s="5" t="str">
        <v>Daihatsu Xenia (Badan)</v>
      </c>
      <c r="D529" s="5" t="str">
        <v>B3590QLB</v>
      </c>
      <c r="E529" s="10">
        <v>31259</v>
      </c>
      <c r="F529" s="3" t="str">
        <v>Iya</v>
      </c>
      <c r="G529" s="4">
        <v>45955</v>
      </c>
      <c r="H529" s="10">
        <v>31259</v>
      </c>
    </row>
    <row r="530" spans="1:8">
      <c r="A530" s="3">
        <v>529</v>
      </c>
      <c r="B530" s="4">
        <v>46049.471180555563</v>
      </c>
      <c r="C530" s="5" t="str">
        <v>Daihatsu Xenia (Badan)</v>
      </c>
      <c r="D530" s="5" t="str">
        <v>B5945BC</v>
      </c>
      <c r="E530" s="10">
        <v>11059</v>
      </c>
      <c r="F530" s="3" t="str">
        <v>Iya</v>
      </c>
      <c r="G530" s="4">
        <v>45920</v>
      </c>
      <c r="H530" s="10">
        <v>11059</v>
      </c>
    </row>
    <row r="531" spans="1:8">
      <c r="A531" s="3">
        <v>530</v>
      </c>
      <c r="B531" s="4">
        <v>46049.796770833331</v>
      </c>
      <c r="C531" s="5" t="str">
        <v>Daihatsu Xenia (Badan)</v>
      </c>
      <c r="D531" s="5" t="str">
        <v>B2888ALH</v>
      </c>
      <c r="E531" s="10">
        <v>106869</v>
      </c>
      <c r="F531" s="3" t="str">
        <v>Iya</v>
      </c>
      <c r="G531" s="4">
        <v>45953</v>
      </c>
      <c r="H531" s="10">
        <v>106869</v>
      </c>
    </row>
    <row r="532" spans="1:8">
      <c r="A532" s="3">
        <v>531</v>
      </c>
      <c r="B532" s="4">
        <v>46050.744340277779</v>
      </c>
      <c r="C532" s="5" t="str">
        <v>Daihatsu Xenia (Badan)</v>
      </c>
      <c r="D532" s="5" t="str">
        <v>B7690JA</v>
      </c>
      <c r="E532" s="10">
        <v>22971</v>
      </c>
      <c r="F532" s="3" t="str">
        <v>Iya</v>
      </c>
      <c r="G532" s="4">
        <v>46018</v>
      </c>
      <c r="H532" s="10">
        <v>22971</v>
      </c>
    </row>
    <row r="533" spans="1:8">
      <c r="A533" s="3">
        <v>532</v>
      </c>
      <c r="B533" s="4">
        <v>46050.845497685194</v>
      </c>
      <c r="C533" s="5" t="str">
        <v>Daihatsu Xenia (Badan)</v>
      </c>
      <c r="D533" s="5" t="str">
        <v>B2341ZVF</v>
      </c>
      <c r="E533" s="10">
        <v>4873</v>
      </c>
      <c r="F533" s="3" t="str">
        <v>Iya</v>
      </c>
      <c r="G533" s="4">
        <v>45966</v>
      </c>
      <c r="H533" s="10">
        <v>4873</v>
      </c>
    </row>
    <row r="534" spans="1:8">
      <c r="A534" s="3">
        <v>533</v>
      </c>
      <c r="B534" s="4">
        <v>46051.406759259262</v>
      </c>
      <c r="C534" s="5" t="str">
        <v>Daihatsu Xenia (Badan)</v>
      </c>
      <c r="D534" s="5" t="str">
        <v>KB8049QJT</v>
      </c>
      <c r="E534" s="10">
        <v>8020</v>
      </c>
      <c r="F534" s="3" t="str">
        <v>Iya</v>
      </c>
      <c r="G534" s="4">
        <v>46051</v>
      </c>
      <c r="H534" s="10">
        <v>8020</v>
      </c>
    </row>
    <row r="535" spans="1:8">
      <c r="A535" s="3">
        <v>534</v>
      </c>
      <c r="B535" s="4">
        <v>46052.70484953704</v>
      </c>
      <c r="C535" s="5" t="str">
        <v>Daihatsu Xenia (Badan)</v>
      </c>
      <c r="D535" s="5" t="str">
        <v>B2924KX</v>
      </c>
      <c r="E535" s="10">
        <v>60787</v>
      </c>
      <c r="F535" s="3" t="str">
        <v>Iya</v>
      </c>
      <c r="G535" s="4">
        <v>46052</v>
      </c>
      <c r="H535" s="10">
        <v>60787</v>
      </c>
    </row>
    <row r="536" spans="1:8">
      <c r="A536" s="3">
        <v>535</v>
      </c>
      <c r="B536" s="4">
        <v>46053.879479166673</v>
      </c>
      <c r="C536" s="5" t="str">
        <v>Daihatsu Xenia (Badan)</v>
      </c>
      <c r="D536" s="5" t="str">
        <v>B8054VY</v>
      </c>
      <c r="E536" s="10">
        <v>22783</v>
      </c>
      <c r="F536" s="3" t="str">
        <v>Iya</v>
      </c>
      <c r="G536" s="4">
        <v>45923</v>
      </c>
      <c r="H536" s="10">
        <v>22783</v>
      </c>
    </row>
    <row r="537" spans="1:8">
      <c r="A537" s="3">
        <v>536</v>
      </c>
      <c r="B537" s="4">
        <v>46059.56689814815</v>
      </c>
      <c r="C537" s="5" t="str">
        <v>Daihatsu Xenia (Badan)</v>
      </c>
      <c r="D537" s="5" t="str">
        <v>B8704TJL</v>
      </c>
      <c r="E537" s="10">
        <v>74937</v>
      </c>
      <c r="F537" s="3" t="str">
        <v>Iya</v>
      </c>
      <c r="G537" s="4">
        <v>45944</v>
      </c>
      <c r="H537" s="10">
        <v>74937</v>
      </c>
    </row>
    <row r="538" spans="1:8">
      <c r="A538" s="3">
        <v>537</v>
      </c>
      <c r="B538" s="4">
        <v>46062.61377314815</v>
      </c>
      <c r="C538" s="5" t="str">
        <v>Daihatsu Xenia (Badan)</v>
      </c>
      <c r="D538" s="5" t="str">
        <v>B7584BN</v>
      </c>
      <c r="E538" s="10">
        <v>52155</v>
      </c>
      <c r="F538" s="3" t="str">
        <v>Iya</v>
      </c>
      <c r="G538" s="4">
        <v>46058</v>
      </c>
      <c r="H538" s="10">
        <v>52155</v>
      </c>
    </row>
    <row r="539" spans="1:8">
      <c r="A539" s="3">
        <v>538</v>
      </c>
      <c r="B539" s="4">
        <v>46063.368715277778</v>
      </c>
      <c r="C539" s="5" t="str">
        <v>PICK UP TRAGA 2.5 4X2 MT D M/T</v>
      </c>
      <c r="D539" s="5" t="str">
        <v>D2702MC</v>
      </c>
      <c r="E539" s="10">
        <v>37237</v>
      </c>
      <c r="F539" s="3" t="str">
        <v>Iya</v>
      </c>
      <c r="G539" s="4">
        <v>45974</v>
      </c>
      <c r="H539" s="10">
        <v>37237</v>
      </c>
    </row>
    <row r="540" spans="1:8">
      <c r="A540" s="3">
        <v>539</v>
      </c>
      <c r="B540" s="4">
        <v>46084.509120370371</v>
      </c>
      <c r="C540" s="5" t="str">
        <v>Daihatsu Xenia (Badan)</v>
      </c>
      <c r="D540" s="5" t="str">
        <v>B6817ZM</v>
      </c>
      <c r="E540" s="10">
        <v>16143</v>
      </c>
      <c r="F540" s="3" t="str">
        <v>Iya</v>
      </c>
      <c r="G540" s="4">
        <v>45972</v>
      </c>
      <c r="H540" s="10">
        <v>16143</v>
      </c>
    </row>
    <row r="541" spans="1:8">
      <c r="A541" s="3">
        <v>540</v>
      </c>
      <c r="B541" s="4">
        <v>46084.609918981478</v>
      </c>
      <c r="C541" s="5" t="str">
        <v>Daihatsu Xenia (Badan)</v>
      </c>
      <c r="D541" s="5" t="str">
        <v>B3797RA</v>
      </c>
      <c r="E541" s="10">
        <v>21361</v>
      </c>
      <c r="F541" s="3" t="str">
        <v>Iya</v>
      </c>
      <c r="G541" s="4">
        <v>46059</v>
      </c>
      <c r="H541" s="10">
        <v>21361</v>
      </c>
    </row>
    <row r="542" spans="1:8">
      <c r="A542" s="3">
        <v>541</v>
      </c>
      <c r="B542" s="4">
        <v>46084.66920138889</v>
      </c>
      <c r="C542" s="5" t="str">
        <v>DAIHATSU GRANMAX PU AC PS 1.5 M/T</v>
      </c>
      <c r="D542" s="5" t="str">
        <v>B8457UZ</v>
      </c>
      <c r="E542" s="10">
        <v>18313</v>
      </c>
      <c r="F542" s="3" t="str">
        <v>Iya</v>
      </c>
      <c r="G542" s="4">
        <v>46056</v>
      </c>
      <c r="H542" s="10">
        <v>18313</v>
      </c>
    </row>
    <row r="543" spans="1:8">
      <c r="A543" s="3">
        <v>542</v>
      </c>
      <c r="B543" s="4">
        <v>46084.674108796287</v>
      </c>
      <c r="C543" s="5" t="str">
        <v>PICK UP TRAGA 2.5 4X2 MT D M/T</v>
      </c>
      <c r="D543" s="5" t="str">
        <v>B1444ZS</v>
      </c>
      <c r="E543" s="10">
        <v>5257</v>
      </c>
      <c r="F543" s="3" t="str">
        <v>Iya</v>
      </c>
      <c r="G543" s="4">
        <v>45999</v>
      </c>
      <c r="H543" s="10">
        <v>5257</v>
      </c>
    </row>
    <row r="544" spans="1:8">
      <c r="A544" s="3">
        <v>543</v>
      </c>
      <c r="B544" s="4">
        <v>46084.679907407408</v>
      </c>
      <c r="C544" s="5" t="str">
        <v>PICK UP TRAGA 2.5 4X2 MT D M/T</v>
      </c>
      <c r="D544" s="5" t="str">
        <v>KB3403JE</v>
      </c>
      <c r="E544" s="10">
        <v>79223</v>
      </c>
      <c r="F544" s="3" t="str">
        <v>Iya</v>
      </c>
      <c r="G544" s="4">
        <v>46063</v>
      </c>
      <c r="H544" s="10">
        <v>79223</v>
      </c>
    </row>
    <row r="545" spans="1:8">
      <c r="A545" s="3">
        <v>544</v>
      </c>
      <c r="B545" s="4">
        <v>46084.681122685193</v>
      </c>
      <c r="C545" s="5" t="str">
        <v>DAIHATSU GRANMAX PU AC PS 1.5 M/T</v>
      </c>
      <c r="D545" s="5" t="str">
        <v>KT2986WG</v>
      </c>
      <c r="E545" s="10">
        <v>55976</v>
      </c>
      <c r="F545" s="3" t="str">
        <v>Iya</v>
      </c>
      <c r="G545" s="4">
        <v>45958</v>
      </c>
      <c r="H545" s="10">
        <v>55976</v>
      </c>
    </row>
    <row r="546" spans="1:8">
      <c r="A546" s="3">
        <v>545</v>
      </c>
      <c r="B546" s="4">
        <v>46085.340300925927</v>
      </c>
      <c r="C546" s="5" t="str">
        <v>Daihatsu Xenia (Badan)</v>
      </c>
      <c r="D546" s="5" t="str">
        <v>B8054VY</v>
      </c>
      <c r="E546" s="10">
        <v>22972</v>
      </c>
      <c r="F546" s="3" t="str">
        <v>Iya</v>
      </c>
      <c r="G546" s="4">
        <v>45923</v>
      </c>
      <c r="H546" s="10">
        <v>22972</v>
      </c>
    </row>
    <row r="547" spans="1:8">
      <c r="A547" s="3">
        <v>546</v>
      </c>
      <c r="B547" s="4">
        <v>46085.36515046296</v>
      </c>
      <c r="C547" s="5" t="str">
        <v>Daihatsu Xenia (Badan)</v>
      </c>
      <c r="D547" s="5" t="str">
        <v>B2306NS</v>
      </c>
      <c r="E547" s="10">
        <v>34381</v>
      </c>
      <c r="F547" s="3" t="str">
        <v>Iya</v>
      </c>
      <c r="G547" s="4">
        <v>45985</v>
      </c>
      <c r="H547" s="10">
        <v>34381</v>
      </c>
    </row>
    <row r="548" spans="1:8">
      <c r="A548" s="3">
        <v>547</v>
      </c>
      <c r="B548" s="4">
        <v>46085.404664351852</v>
      </c>
      <c r="C548" s="5" t="str">
        <v>Daihatsu Xenia (Badan)</v>
      </c>
      <c r="D548" s="5" t="str">
        <v>B6851IH</v>
      </c>
      <c r="E548" s="10">
        <v>14457</v>
      </c>
      <c r="F548" s="3" t="str">
        <v>Iya</v>
      </c>
      <c r="G548" s="4">
        <v>46044</v>
      </c>
      <c r="H548" s="10">
        <v>14457</v>
      </c>
    </row>
    <row r="549" spans="1:8">
      <c r="A549" s="3">
        <v>548</v>
      </c>
      <c r="B549" s="4">
        <v>46085.408067129632</v>
      </c>
      <c r="C549" s="5" t="str">
        <v>Daihatsu Xenia (Badan)</v>
      </c>
      <c r="D549" s="5" t="str">
        <v>B8763MP</v>
      </c>
      <c r="E549" s="10">
        <v>97373</v>
      </c>
      <c r="F549" s="3" t="str">
        <v>Iya</v>
      </c>
      <c r="G549" s="4">
        <v>46029</v>
      </c>
      <c r="H549" s="10">
        <v>97373</v>
      </c>
    </row>
    <row r="550" spans="1:8">
      <c r="A550" s="3">
        <v>549</v>
      </c>
      <c r="B550" s="4">
        <v>46085.459930555553</v>
      </c>
      <c r="C550" s="5" t="str">
        <v>Daihatsu Xenia (Badan)</v>
      </c>
      <c r="D550" s="5" t="str">
        <v>B8430ECN</v>
      </c>
      <c r="E550" s="10">
        <v>1894</v>
      </c>
      <c r="F550" s="3" t="str">
        <v>Iya</v>
      </c>
      <c r="G550" s="4">
        <v>46085</v>
      </c>
      <c r="H550" s="10">
        <v>1894</v>
      </c>
    </row>
    <row r="551" spans="1:8">
      <c r="A551" s="3">
        <v>550</v>
      </c>
      <c r="B551" s="4">
        <v>46085.475694444453</v>
      </c>
      <c r="C551" s="5" t="str">
        <v>Daihatsu Xenia (Badan)</v>
      </c>
      <c r="D551" s="5" t="str">
        <v>B8137WEW</v>
      </c>
      <c r="E551" s="10">
        <v>40287</v>
      </c>
      <c r="F551" s="3" t="str">
        <v>Iya</v>
      </c>
      <c r="G551" s="4">
        <v>46000</v>
      </c>
      <c r="H551" s="10">
        <v>40287</v>
      </c>
    </row>
    <row r="552" spans="1:8">
      <c r="A552" s="3">
        <v>551</v>
      </c>
      <c r="B552" s="4">
        <v>46085.659849537027</v>
      </c>
      <c r="C552" s="5" t="str">
        <v>Daihatsu Xenia (Badan)</v>
      </c>
      <c r="D552" s="5" t="str">
        <v>B9619FMM</v>
      </c>
      <c r="E552" s="10">
        <v>76041</v>
      </c>
      <c r="F552" s="3" t="str">
        <v>Iya</v>
      </c>
      <c r="G552" s="4">
        <v>45937</v>
      </c>
      <c r="H552" s="10">
        <v>76041</v>
      </c>
    </row>
    <row r="553" spans="1:8">
      <c r="A553" s="3">
        <v>552</v>
      </c>
      <c r="B553" s="4">
        <v>46085.677430555559</v>
      </c>
      <c r="C553" s="5" t="str">
        <v>Daihatsu Xenia (Badan)</v>
      </c>
      <c r="D553" s="5" t="str">
        <v>B2823MF</v>
      </c>
      <c r="E553" s="10">
        <v>28946</v>
      </c>
      <c r="F553" s="3" t="str">
        <v>Iya</v>
      </c>
      <c r="G553" s="4">
        <v>45978</v>
      </c>
      <c r="H553" s="10">
        <v>28946</v>
      </c>
    </row>
    <row r="554" spans="1:8">
      <c r="A554" s="3">
        <v>553</v>
      </c>
      <c r="B554" s="4">
        <v>46085.698009259257</v>
      </c>
      <c r="C554" s="5" t="str">
        <v>Daihatsu Xenia (Badan)</v>
      </c>
      <c r="D554" s="5" t="str">
        <v>B2888ALH</v>
      </c>
      <c r="E554" s="10">
        <v>114050</v>
      </c>
      <c r="F554" s="3" t="str">
        <v>Iya</v>
      </c>
      <c r="G554" s="4">
        <v>45953</v>
      </c>
      <c r="H554" s="10">
        <v>114050</v>
      </c>
    </row>
    <row r="555" spans="1:8">
      <c r="A555" s="3">
        <v>554</v>
      </c>
      <c r="B555" s="4">
        <v>46086.360752314817</v>
      </c>
      <c r="C555" s="5" t="str">
        <v>DAIHATSU GRANMAX PU AC PS 1.5 M/T</v>
      </c>
      <c r="D555" s="5" t="str">
        <v>B5518KS</v>
      </c>
      <c r="E555" s="10">
        <v>2765</v>
      </c>
      <c r="F555" s="3" t="str">
        <v>Iya</v>
      </c>
      <c r="G555" s="4">
        <v>45967</v>
      </c>
      <c r="H555" s="10">
        <v>2765</v>
      </c>
    </row>
    <row r="556" spans="1:8">
      <c r="A556" s="3">
        <v>555</v>
      </c>
      <c r="B556" s="4">
        <v>46086.376967592587</v>
      </c>
      <c r="C556" s="5" t="str">
        <v>Daihatsu Xenia (Badan)</v>
      </c>
      <c r="D556" s="5" t="str">
        <v>B8324WSJ</v>
      </c>
      <c r="E556" s="10">
        <v>20057</v>
      </c>
      <c r="F556" s="3" t="str">
        <v>Iya</v>
      </c>
      <c r="G556" s="4">
        <v>46063</v>
      </c>
      <c r="H556" s="10">
        <v>20057</v>
      </c>
    </row>
    <row r="557" spans="1:8">
      <c r="A557" s="3">
        <v>556</v>
      </c>
      <c r="B557" s="4">
        <v>46086.50341435185</v>
      </c>
      <c r="C557" s="5" t="str">
        <v>DAIHATSU GRANMAX PU AC PS 1.5 M/T</v>
      </c>
      <c r="D557" s="5" t="str">
        <v>B7326IW</v>
      </c>
      <c r="E557" s="10">
        <v>31724</v>
      </c>
      <c r="F557" s="3" t="str">
        <v>Iya</v>
      </c>
      <c r="G557" s="4">
        <v>46079</v>
      </c>
      <c r="H557" s="10">
        <v>31724</v>
      </c>
    </row>
    <row r="558" spans="1:8">
      <c r="A558" s="3">
        <v>557</v>
      </c>
      <c r="B558" s="4">
        <v>46086.664618055547</v>
      </c>
      <c r="C558" s="5" t="str">
        <v>DAIHATSU GRANMAX PU AC PS 1.5 M/T</v>
      </c>
      <c r="D558" s="5" t="str">
        <v>B8803CF</v>
      </c>
      <c r="E558" s="10">
        <v>4954</v>
      </c>
      <c r="F558" s="3" t="str">
        <v>Iya</v>
      </c>
      <c r="G558" s="4">
        <v>45952</v>
      </c>
      <c r="H558" s="10">
        <v>4954</v>
      </c>
    </row>
    <row r="559" spans="1:8">
      <c r="A559" s="3">
        <v>558</v>
      </c>
      <c r="B559" s="4">
        <v>46087.339363425926</v>
      </c>
      <c r="C559" s="5" t="str">
        <v>Daihatsu Xenia (Badan)</v>
      </c>
      <c r="D559" s="5" t="str">
        <v>B8704TJL</v>
      </c>
      <c r="E559" s="10">
        <v>73575</v>
      </c>
      <c r="F559" s="3" t="str">
        <v>Iya</v>
      </c>
      <c r="G559" s="4">
        <v>46064</v>
      </c>
      <c r="H559" s="10">
        <v>73575</v>
      </c>
    </row>
    <row r="560" spans="1:8">
      <c r="A560" s="3">
        <v>559</v>
      </c>
      <c r="B560" s="4">
        <v>46087.401967592603</v>
      </c>
      <c r="C560" s="5" t="str">
        <v>Daihatsu Xenia (Badan)</v>
      </c>
      <c r="D560" s="5" t="str">
        <v>B9653KV</v>
      </c>
      <c r="E560" s="10">
        <v>50084</v>
      </c>
      <c r="F560" s="3" t="str">
        <v>Iya</v>
      </c>
      <c r="G560" s="4">
        <v>46039</v>
      </c>
      <c r="H560" s="10">
        <v>50084</v>
      </c>
    </row>
    <row r="561" spans="1:8">
      <c r="A561" s="3">
        <v>560</v>
      </c>
      <c r="B561" s="4">
        <v>46087.632071759261</v>
      </c>
      <c r="C561" s="5" t="str">
        <v>Daihatsu Xenia (Badan)</v>
      </c>
      <c r="D561" s="5" t="str">
        <v>B4121AL</v>
      </c>
      <c r="E561" s="10">
        <v>18046</v>
      </c>
      <c r="F561" s="3" t="str">
        <v>Iya</v>
      </c>
      <c r="G561" s="4">
        <v>45974</v>
      </c>
      <c r="H561" s="10">
        <v>18046</v>
      </c>
    </row>
    <row r="562" spans="1:8">
      <c r="A562" s="3">
        <v>561</v>
      </c>
      <c r="B562" s="4">
        <v>46088.293726851851</v>
      </c>
      <c r="C562" s="5" t="str">
        <v>DAIHATSU GRANMAX PU AC PS 1.5 M/T</v>
      </c>
      <c r="D562" s="5" t="str">
        <v>B7659CZ</v>
      </c>
      <c r="E562" s="10">
        <v>15848</v>
      </c>
      <c r="F562" s="3" t="str">
        <v>Iya</v>
      </c>
      <c r="G562" s="4">
        <v>45987</v>
      </c>
      <c r="H562" s="10">
        <v>15848</v>
      </c>
    </row>
    <row r="563" spans="1:8">
      <c r="A563" s="3">
        <v>562</v>
      </c>
      <c r="B563" s="4">
        <v>46088.475173611107</v>
      </c>
      <c r="C563" s="5" t="str">
        <v>DAIHATSU GRANMAX PU AC PS 1.5 M/T</v>
      </c>
      <c r="D563" s="5" t="str">
        <v>B1578YGJ</v>
      </c>
      <c r="E563" s="10">
        <v>4294</v>
      </c>
      <c r="F563" s="3" t="str">
        <v>Iya</v>
      </c>
      <c r="G563" s="4">
        <v>45911</v>
      </c>
      <c r="H563" s="10">
        <v>4294</v>
      </c>
    </row>
    <row r="564" spans="1:8">
      <c r="A564" s="3">
        <v>563</v>
      </c>
      <c r="B564" s="4">
        <v>46090.519166666672</v>
      </c>
      <c r="C564" s="5" t="str">
        <v>DAIHATSU GRANMAX PU AC PS 1.5 M/T</v>
      </c>
      <c r="D564" s="5" t="str">
        <v>B8857PYD</v>
      </c>
      <c r="E564" s="10">
        <v>13461</v>
      </c>
      <c r="F564" s="3" t="str">
        <v>Iya</v>
      </c>
      <c r="G564" s="4">
        <v>45994</v>
      </c>
      <c r="H564" s="10">
        <v>13461</v>
      </c>
    </row>
    <row r="565" spans="1:8">
      <c r="A565" s="3">
        <v>564</v>
      </c>
      <c r="B565" s="4">
        <v>46091.693530092591</v>
      </c>
      <c r="C565" s="5" t="str">
        <v>Daihatsu Xenia (Badan)</v>
      </c>
      <c r="D565" s="5" t="str">
        <v>B1923MMD</v>
      </c>
      <c r="E565" s="10">
        <v>33340</v>
      </c>
      <c r="F565" s="3" t="str">
        <v>Iya</v>
      </c>
      <c r="G565" s="4">
        <v>46036</v>
      </c>
      <c r="H565" s="10">
        <v>33340</v>
      </c>
    </row>
    <row r="566" spans="1:8">
      <c r="A566" s="3">
        <v>565</v>
      </c>
      <c r="B566" s="4">
        <v>46091.711701388893</v>
      </c>
      <c r="C566" s="5" t="str">
        <v>Daihatsu Xenia (Badan)</v>
      </c>
      <c r="D566" s="5" t="str">
        <v>B9091PM</v>
      </c>
      <c r="E566" s="10">
        <v>41876</v>
      </c>
      <c r="F566" s="3" t="str">
        <v>Iya</v>
      </c>
      <c r="G566" s="4">
        <v>45953</v>
      </c>
      <c r="H566" s="10">
        <v>41876</v>
      </c>
    </row>
    <row r="567" spans="1:8">
      <c r="A567" s="3">
        <v>566</v>
      </c>
      <c r="B567" s="4">
        <v>46092.591087962966</v>
      </c>
      <c r="C567" s="5" t="str">
        <v>Daihatsu Xenia (Badan)</v>
      </c>
      <c r="D567" s="5" t="str">
        <v>B9072QEG</v>
      </c>
      <c r="E567" s="10">
        <v>10126</v>
      </c>
      <c r="F567" s="3" t="str">
        <v>Iya</v>
      </c>
      <c r="G567" s="4">
        <v>46090</v>
      </c>
      <c r="H567" s="10">
        <v>10126</v>
      </c>
    </row>
    <row r="568" spans="1:8">
      <c r="A568" s="3">
        <v>567</v>
      </c>
      <c r="B568" s="4">
        <v>46092.703645833331</v>
      </c>
      <c r="C568" s="5" t="str">
        <v>PICK UP TRAGA 2.5 4X2 MT D M/T</v>
      </c>
      <c r="D568" s="5" t="str">
        <v>B5623MA</v>
      </c>
      <c r="E568" s="10">
        <v>5678</v>
      </c>
      <c r="F568" s="3" t="str">
        <v>Iya</v>
      </c>
      <c r="G568" s="4">
        <v>46091</v>
      </c>
      <c r="H568" s="10">
        <v>5678</v>
      </c>
    </row>
    <row r="569" spans="1:8">
      <c r="A569" s="3">
        <v>568</v>
      </c>
      <c r="B569" s="4">
        <v>46092.722094907411</v>
      </c>
      <c r="C569" s="5" t="str">
        <v>Daihatsu Xenia (Badan)</v>
      </c>
      <c r="D569" s="5" t="str">
        <v>B5176KW</v>
      </c>
      <c r="E569" s="10">
        <v>598</v>
      </c>
      <c r="F569" s="3" t="str">
        <v>Iya</v>
      </c>
      <c r="G569" s="4">
        <v>46085</v>
      </c>
      <c r="H569" s="10">
        <v>598</v>
      </c>
    </row>
    <row r="570" spans="1:8">
      <c r="A570" s="3">
        <v>569</v>
      </c>
      <c r="B570" s="4">
        <v>46093.638726851852</v>
      </c>
      <c r="C570" s="5" t="str">
        <v>DAIHATSU GRANMAX PU AC PS 1.5 M/T</v>
      </c>
      <c r="D570" s="5" t="str">
        <v>B1265LKJ</v>
      </c>
      <c r="E570" s="10">
        <v>87002</v>
      </c>
      <c r="F570" s="3" t="str">
        <v>Iya</v>
      </c>
      <c r="G570" s="4">
        <v>46031</v>
      </c>
      <c r="H570" s="10">
        <v>87002</v>
      </c>
    </row>
    <row r="571" spans="1:8">
      <c r="A571" s="3">
        <v>570</v>
      </c>
      <c r="B571" s="4">
        <v>46093.654062499998</v>
      </c>
      <c r="C571" s="5" t="str">
        <v>Daihatsu Xenia (Badan)</v>
      </c>
      <c r="D571" s="5" t="str">
        <v>B6374AY</v>
      </c>
      <c r="E571" s="10">
        <v>74409</v>
      </c>
      <c r="F571" s="3" t="str">
        <v>Iya</v>
      </c>
      <c r="G571" s="4">
        <v>46030</v>
      </c>
      <c r="H571" s="10">
        <v>74409</v>
      </c>
    </row>
    <row r="572" spans="1:8">
      <c r="A572" s="3">
        <v>571</v>
      </c>
      <c r="B572" s="4">
        <v>46095.484131944453</v>
      </c>
      <c r="C572" s="5" t="str">
        <v>Daihatsu Xenia (Badan)</v>
      </c>
      <c r="D572" s="5" t="str">
        <v>B2925QZ</v>
      </c>
      <c r="E572" s="10">
        <v>34725</v>
      </c>
      <c r="F572" s="3" t="str">
        <v>Iya</v>
      </c>
      <c r="G572" s="4">
        <v>46080</v>
      </c>
      <c r="H572" s="10">
        <v>34725</v>
      </c>
    </row>
    <row r="573" spans="1:8">
      <c r="A573" s="3">
        <v>572</v>
      </c>
      <c r="B573" s="4">
        <v>46097.383680555547</v>
      </c>
      <c r="C573" s="5" t="str">
        <v>Daihatsu Xenia (Badan)</v>
      </c>
      <c r="D573" s="5" t="str">
        <v>B9347LJ</v>
      </c>
      <c r="E573" s="10">
        <v>48435</v>
      </c>
      <c r="F573" s="3" t="str">
        <v>Iya</v>
      </c>
      <c r="G573" s="4">
        <v>46088</v>
      </c>
      <c r="H573" s="10">
        <v>48435</v>
      </c>
    </row>
    <row r="574" spans="1:8">
      <c r="A574" s="3">
        <v>573</v>
      </c>
      <c r="B574" s="4">
        <v>46097.428101851852</v>
      </c>
      <c r="C574" s="5" t="str">
        <v>DAIHATSU GRANMAX PU AC PS 1.5 M/T</v>
      </c>
      <c r="D574" s="5" t="str">
        <v>B2772EK</v>
      </c>
      <c r="E574" s="10">
        <v>24312</v>
      </c>
      <c r="F574" s="3" t="str">
        <v>Iya</v>
      </c>
      <c r="G574" s="4">
        <v>46048</v>
      </c>
      <c r="H574" s="10">
        <v>24312</v>
      </c>
    </row>
    <row r="575" spans="1:8">
      <c r="A575" s="3">
        <v>574</v>
      </c>
      <c r="B575" s="4">
        <v>46106.694085648152</v>
      </c>
      <c r="C575" s="5" t="str">
        <v>Daihatsu Xenia (Badan)</v>
      </c>
      <c r="D575" s="5" t="str">
        <v>B7949TY</v>
      </c>
      <c r="E575" s="10">
        <v>35464</v>
      </c>
      <c r="F575" s="3" t="str">
        <v>Iya</v>
      </c>
      <c r="G575" s="4">
        <v>45982</v>
      </c>
      <c r="H575" s="10">
        <v>35464</v>
      </c>
    </row>
    <row r="576" spans="1:8">
      <c r="A576" s="3">
        <v>575</v>
      </c>
      <c r="B576" s="4">
        <v>46106.809212962973</v>
      </c>
      <c r="C576" s="5" t="str">
        <v>Daihatsu Xenia (Badan)</v>
      </c>
      <c r="D576" s="5" t="str">
        <v>B8659RLN</v>
      </c>
      <c r="E576" s="10">
        <v>67810</v>
      </c>
      <c r="F576" s="3" t="str">
        <v>Iya</v>
      </c>
      <c r="G576" s="4">
        <v>46001</v>
      </c>
      <c r="H576" s="10">
        <v>67810</v>
      </c>
    </row>
    <row r="577" spans="1:8">
      <c r="A577" s="3">
        <v>576</v>
      </c>
      <c r="B577" s="4">
        <v>46107.349652777782</v>
      </c>
      <c r="C577" s="5" t="str">
        <v>Daihatsu Xenia (Badan)</v>
      </c>
      <c r="D577" s="5" t="str">
        <v>B1444ZS</v>
      </c>
      <c r="E577" s="10">
        <v>6524</v>
      </c>
      <c r="F577" s="3" t="str">
        <v>Iya</v>
      </c>
      <c r="G577" s="4">
        <v>45999</v>
      </c>
      <c r="H577" s="10">
        <v>6524</v>
      </c>
    </row>
    <row r="578" spans="1:8">
      <c r="A578" s="3">
        <v>577</v>
      </c>
      <c r="B578" s="4">
        <v>46107.394166666672</v>
      </c>
      <c r="C578" s="5" t="str">
        <v>Daihatsu Xenia (Badan)</v>
      </c>
      <c r="D578" s="5" t="str">
        <v>B2034KCH</v>
      </c>
      <c r="E578" s="10">
        <v>117613</v>
      </c>
      <c r="F578" s="3" t="str">
        <v>Iya</v>
      </c>
      <c r="G578" s="4">
        <v>46088</v>
      </c>
      <c r="H578" s="10">
        <v>117613</v>
      </c>
    </row>
    <row r="579" spans="1:8">
      <c r="A579" s="3">
        <v>578</v>
      </c>
      <c r="B579" s="4">
        <v>46107.413761574076</v>
      </c>
      <c r="C579" s="5" t="str">
        <v>Daihatsu Xenia (Badan)</v>
      </c>
      <c r="D579" s="5" t="str">
        <v>B7302PP</v>
      </c>
      <c r="E579" s="10">
        <v>1552</v>
      </c>
      <c r="F579" s="3" t="str">
        <v>Iya</v>
      </c>
      <c r="G579" s="4">
        <v>46087</v>
      </c>
      <c r="H579" s="10">
        <v>1552</v>
      </c>
    </row>
    <row r="580" spans="1:8">
      <c r="A580" s="3">
        <v>579</v>
      </c>
      <c r="B580" s="4">
        <v>46107.491365740738</v>
      </c>
      <c r="C580" s="5" t="str">
        <v>Daihatsu Xenia (Badan)</v>
      </c>
      <c r="D580" s="5" t="str">
        <v>B2306NS</v>
      </c>
      <c r="E580" s="10">
        <v>38870</v>
      </c>
      <c r="F580" s="3" t="str">
        <v>Iya</v>
      </c>
      <c r="G580" s="4">
        <v>45985</v>
      </c>
      <c r="H580" s="10">
        <v>38870</v>
      </c>
    </row>
    <row r="581" spans="1:8">
      <c r="A581" s="3">
        <v>580</v>
      </c>
      <c r="B581" s="4">
        <v>46108.453368055547</v>
      </c>
      <c r="C581" s="5" t="str">
        <v>Daihatsu Xenia (Badan)</v>
      </c>
      <c r="D581" s="5" t="str">
        <v>D9393MC</v>
      </c>
      <c r="E581" s="10">
        <v>67869</v>
      </c>
      <c r="F581" s="3" t="str">
        <v>Iya</v>
      </c>
      <c r="G581" s="4">
        <v>46066</v>
      </c>
      <c r="H581" s="10">
        <v>67869</v>
      </c>
    </row>
    <row r="582" spans="1:8">
      <c r="A582" s="3">
        <v>581</v>
      </c>
      <c r="B582" s="4">
        <v>46108.612534722219</v>
      </c>
      <c r="C582" s="5" t="str">
        <v>Daihatsu Xenia (Badan)</v>
      </c>
      <c r="D582" s="5" t="str">
        <v>B2888ALH</v>
      </c>
      <c r="E582" s="10">
        <v>115278</v>
      </c>
      <c r="F582" s="3" t="str">
        <v>Iya</v>
      </c>
      <c r="G582" s="4">
        <v>46091</v>
      </c>
      <c r="H582" s="10">
        <v>115278</v>
      </c>
    </row>
    <row r="583" spans="1:8">
      <c r="A583" s="3">
        <v>582</v>
      </c>
      <c r="B583" s="4">
        <v>46109.294629629629</v>
      </c>
      <c r="C583" s="5" t="str">
        <v>Daihatsu Xenia (Badan)</v>
      </c>
      <c r="D583" s="5" t="str">
        <v>B7991PSS</v>
      </c>
      <c r="E583" s="10">
        <v>93039</v>
      </c>
      <c r="F583" s="3" t="str">
        <v>Iya</v>
      </c>
      <c r="G583" s="4">
        <v>45943</v>
      </c>
      <c r="H583" s="10">
        <v>93039</v>
      </c>
    </row>
    <row r="584" spans="1:8">
      <c r="A584" s="3">
        <v>583</v>
      </c>
      <c r="B584" s="4">
        <v>46111.456956018519</v>
      </c>
      <c r="C584" s="5" t="str">
        <v>Daihatsu Xenia (Badan)</v>
      </c>
      <c r="D584" s="5" t="str">
        <v>B5945BC</v>
      </c>
      <c r="E584" s="10">
        <v>16474</v>
      </c>
      <c r="F584" s="3" t="str">
        <v>Iya</v>
      </c>
      <c r="G584" s="4">
        <v>45920</v>
      </c>
      <c r="H584" s="10">
        <v>16474</v>
      </c>
    </row>
    <row r="585" spans="1:8">
      <c r="A585" s="3">
        <v>584</v>
      </c>
      <c r="B585" s="4">
        <v>46111.463240740741</v>
      </c>
      <c r="C585" s="5" t="str">
        <v>DAIHATSU GRANMAX PU AC PS 1.5 M/T</v>
      </c>
      <c r="D585" s="5" t="str">
        <v>B4790UR</v>
      </c>
      <c r="E585" s="10">
        <v>44394</v>
      </c>
      <c r="F585" s="3" t="str">
        <v>Iya</v>
      </c>
      <c r="G585" s="4">
        <v>45811</v>
      </c>
      <c r="H585" s="10">
        <v>44394</v>
      </c>
    </row>
    <row r="586" spans="1:8">
      <c r="A586" s="3">
        <v>585</v>
      </c>
      <c r="B586" s="4">
        <v>46111.551736111112</v>
      </c>
      <c r="C586" s="5" t="str">
        <v>Daihatsu Xenia (Badan)</v>
      </c>
      <c r="D586" s="5" t="str">
        <v>B5945BC</v>
      </c>
      <c r="E586" s="10">
        <v>16399</v>
      </c>
      <c r="F586" s="3" t="str">
        <v>Iya</v>
      </c>
      <c r="G586" s="4">
        <v>46056</v>
      </c>
      <c r="H586" s="10">
        <v>16399</v>
      </c>
    </row>
    <row r="587" spans="1:8">
      <c r="A587" s="3">
        <v>586</v>
      </c>
      <c r="B587" s="4">
        <v>46111.963125000002</v>
      </c>
      <c r="C587" s="5" t="str">
        <v>DAIHATSU GRANMAX PU AC PS 1.5 M/T</v>
      </c>
      <c r="D587" s="5" t="str">
        <v>B6642GE</v>
      </c>
      <c r="E587" s="10">
        <v>28095</v>
      </c>
      <c r="F587" s="3" t="str">
        <v>Iya</v>
      </c>
      <c r="G587" s="4">
        <v>45916</v>
      </c>
      <c r="H587" s="10">
        <v>28095</v>
      </c>
    </row>
    <row r="588" spans="1:8">
      <c r="A588" s="3">
        <v>587</v>
      </c>
      <c r="B588" s="4">
        <v>46113.424699074072</v>
      </c>
      <c r="C588" s="5" t="str">
        <v>Daihatsu Xenia (Badan)</v>
      </c>
      <c r="D588" s="5" t="str">
        <v>B8763MP</v>
      </c>
      <c r="E588" s="10">
        <v>112547</v>
      </c>
      <c r="F588" s="3" t="str">
        <v>Iya</v>
      </c>
      <c r="G588" s="4">
        <v>46029</v>
      </c>
      <c r="H588" s="10">
        <v>112547</v>
      </c>
    </row>
    <row r="589" spans="1:8">
      <c r="A589" s="3">
        <v>588</v>
      </c>
      <c r="B589" s="4">
        <v>46122.465243055558</v>
      </c>
      <c r="C589" s="5" t="str">
        <v>Daihatsu Xenia (Badan)</v>
      </c>
      <c r="D589" s="5" t="str">
        <v>B8430ECN</v>
      </c>
      <c r="E589" s="10">
        <v>2487</v>
      </c>
      <c r="F589" s="3" t="str">
        <v>Iya</v>
      </c>
      <c r="G589" s="4">
        <v>46122</v>
      </c>
      <c r="H589" s="10">
        <v>2487</v>
      </c>
    </row>
    <row r="590" spans="1:8">
      <c r="A590" s="3">
        <v>589</v>
      </c>
      <c r="B590" s="4">
        <v>46125.667037037027</v>
      </c>
      <c r="C590" s="5" t="str">
        <v>Daihatsu Xenia (Badan)</v>
      </c>
      <c r="D590" s="5" t="str">
        <v>B7986SF</v>
      </c>
      <c r="E590" s="10">
        <v>41058</v>
      </c>
      <c r="F590" s="3" t="str">
        <v>Tidak</v>
      </c>
      <c r="G590" s="4">
        <v>0</v>
      </c>
      <c r="H590" s="10">
        <v>0</v>
      </c>
    </row>
    <row r="591" spans="1:8">
      <c r="A591" s="3">
        <v>590</v>
      </c>
      <c r="B591" s="4">
        <v>46129.439502314817</v>
      </c>
      <c r="C591" s="5" t="str">
        <v>Daihatsu Xenia (Badan)</v>
      </c>
      <c r="D591" s="5" t="str">
        <v>B9347LJ</v>
      </c>
      <c r="E591" s="10">
        <v>53863</v>
      </c>
      <c r="F591" s="3" t="str">
        <v>Iya</v>
      </c>
      <c r="G591" s="4">
        <v>46087</v>
      </c>
      <c r="H591" s="10">
        <v>52947</v>
      </c>
    </row>
    <row r="592" spans="1:8">
      <c r="A592" s="3">
        <v>591</v>
      </c>
      <c r="B592" s="4">
        <v>46129.446608796286</v>
      </c>
      <c r="C592" s="5" t="str">
        <v>Daihatsu Xenia (Badan)</v>
      </c>
      <c r="D592" s="5" t="str">
        <v>B1444ZS</v>
      </c>
      <c r="E592" s="10">
        <v>7275</v>
      </c>
      <c r="F592" s="3" t="str">
        <v>Tidak</v>
      </c>
      <c r="G592" s="4">
        <v>0</v>
      </c>
      <c r="H592" s="10">
        <v>0</v>
      </c>
    </row>
    <row r="593" spans="1:8">
      <c r="A593" s="3">
        <v>592</v>
      </c>
      <c r="B593" s="4">
        <v>46129.457013888888</v>
      </c>
      <c r="C593" s="5" t="str">
        <v>Daihatsu Xenia (Badan)</v>
      </c>
      <c r="D593" s="5" t="str">
        <v>KB4153HK</v>
      </c>
      <c r="E593" s="10">
        <v>51353</v>
      </c>
      <c r="F593" s="3" t="str">
        <v>Tidak</v>
      </c>
      <c r="G593" s="4">
        <v>0</v>
      </c>
      <c r="H593" s="10">
        <v>0</v>
      </c>
    </row>
    <row r="594" spans="1:8">
      <c r="A594" s="3">
        <v>593</v>
      </c>
      <c r="B594" s="4">
        <v>46129.460393518522</v>
      </c>
      <c r="C594" s="5" t="str">
        <v>Daihatsu Xenia (Badan)</v>
      </c>
      <c r="D594" s="5" t="str">
        <v>B5066SRV</v>
      </c>
      <c r="E594" s="10">
        <v>21465</v>
      </c>
      <c r="F594" s="3" t="str">
        <v>Tidak</v>
      </c>
      <c r="G594" s="4">
        <v>0</v>
      </c>
      <c r="H594" s="10">
        <v>0</v>
      </c>
    </row>
    <row r="595" spans="1:8">
      <c r="A595" s="3">
        <v>594</v>
      </c>
      <c r="B595" s="4">
        <v>46129.561180555553</v>
      </c>
      <c r="C595" s="5" t="str">
        <v>DAIHATSU GRANMAX PU AC PS 1.5 M/T</v>
      </c>
      <c r="D595" s="5" t="str">
        <v>B1042EB</v>
      </c>
      <c r="E595" s="10">
        <v>3965</v>
      </c>
      <c r="F595" s="3" t="str">
        <v>Iya</v>
      </c>
      <c r="G595" s="4">
        <v>46099</v>
      </c>
      <c r="H595" s="10">
        <v>14407</v>
      </c>
    </row>
    <row r="596" spans="1:8">
      <c r="A596" s="3">
        <v>595</v>
      </c>
      <c r="B596" s="4">
        <v>46129.62699074074</v>
      </c>
      <c r="C596" s="5" t="str">
        <v>Daihatsu Xenia (Badan)</v>
      </c>
      <c r="D596" s="5" t="str">
        <v>B2823MF</v>
      </c>
      <c r="E596" s="10">
        <v>30781</v>
      </c>
      <c r="F596" s="3" t="str">
        <v>Tidak</v>
      </c>
      <c r="G596" s="4">
        <v>0</v>
      </c>
      <c r="H596" s="10">
        <v>0</v>
      </c>
    </row>
    <row r="597" spans="1:8">
      <c r="A597" s="3">
        <v>596</v>
      </c>
      <c r="B597" s="4">
        <v>46129.644074074073</v>
      </c>
      <c r="C597" s="5" t="str">
        <v>Daihatsu Xenia (Badan)</v>
      </c>
      <c r="D597" s="5" t="str">
        <v>B2743VJK</v>
      </c>
      <c r="E597" s="10">
        <v>65235</v>
      </c>
      <c r="F597" s="3" t="str">
        <v>Tidak</v>
      </c>
      <c r="G597" s="4">
        <v>0</v>
      </c>
      <c r="H597" s="10">
        <v>0</v>
      </c>
    </row>
    <row r="598" spans="1:8">
      <c r="A598" s="3">
        <v>597</v>
      </c>
      <c r="B598" s="4">
        <v>46129.673020833332</v>
      </c>
      <c r="C598" s="5" t="str">
        <v>PICK UP TRAGA 2.5 4X2 MT D M/T</v>
      </c>
      <c r="D598" s="5" t="str">
        <v>D2702MC</v>
      </c>
      <c r="E598" s="10">
        <v>44266</v>
      </c>
      <c r="F598" s="3" t="str">
        <v>Iya</v>
      </c>
      <c r="G598" s="4">
        <v>46123</v>
      </c>
      <c r="H598" s="10">
        <v>44266</v>
      </c>
    </row>
    <row r="599" spans="1:8">
      <c r="A599" s="3">
        <v>598</v>
      </c>
      <c r="B599" s="4">
        <v>46129.750902777778</v>
      </c>
      <c r="C599" s="5" t="str">
        <v>Daihatsu Xenia (Badan)</v>
      </c>
      <c r="D599" s="5" t="str">
        <v>B5062PCK</v>
      </c>
      <c r="E599" s="10">
        <v>99698</v>
      </c>
      <c r="F599" s="3" t="str">
        <v>Tidak</v>
      </c>
      <c r="G599" s="4">
        <v>0</v>
      </c>
      <c r="H599" s="10">
        <v>0</v>
      </c>
    </row>
    <row r="600" spans="1:8">
      <c r="A600" s="3">
        <v>599</v>
      </c>
      <c r="B600" s="4">
        <v>46130.366666666669</v>
      </c>
      <c r="C600" s="5" t="str">
        <v>Daihatsu Xenia (Badan)</v>
      </c>
      <c r="D600" s="5" t="str">
        <v>B3797RA</v>
      </c>
      <c r="E600" s="10">
        <v>26276</v>
      </c>
      <c r="F600" s="3" t="str">
        <v>Tidak</v>
      </c>
      <c r="G600" s="4">
        <v>0</v>
      </c>
      <c r="H600" s="10">
        <v>0</v>
      </c>
    </row>
    <row r="601" spans="1:8">
      <c r="A601" s="3">
        <v>600</v>
      </c>
      <c r="B601" s="4">
        <v>46130.429236111107</v>
      </c>
      <c r="C601" s="5" t="str">
        <v>Daihatsu Xenia (Badan)</v>
      </c>
      <c r="D601" s="5" t="str">
        <v>B2034KCH</v>
      </c>
      <c r="E601" s="10">
        <v>113745</v>
      </c>
      <c r="F601" s="3" t="str">
        <v>Tidak</v>
      </c>
      <c r="G601" s="4">
        <v>0</v>
      </c>
      <c r="H601" s="10">
        <v>0</v>
      </c>
    </row>
    <row r="602" spans="1:8">
      <c r="A602" s="3">
        <v>601</v>
      </c>
      <c r="B602" s="4">
        <v>46130.435300925928</v>
      </c>
      <c r="C602" s="5" t="str">
        <v>Daihatsu Xenia (Badan)</v>
      </c>
      <c r="D602" s="5" t="str">
        <v>B2306NS</v>
      </c>
      <c r="E602" s="10">
        <v>36309</v>
      </c>
      <c r="F602" s="3" t="str">
        <v>Tidak</v>
      </c>
      <c r="G602" s="4">
        <v>0</v>
      </c>
      <c r="H602" s="10">
        <v>0</v>
      </c>
    </row>
    <row r="603" spans="1:8">
      <c r="A603" s="3">
        <v>602</v>
      </c>
      <c r="B603" s="4">
        <v>46130.463043981479</v>
      </c>
      <c r="C603" s="5" t="str">
        <v>Daihatsu Xenia (Badan)</v>
      </c>
      <c r="D603" s="5" t="str">
        <v>H8376YB</v>
      </c>
      <c r="E603" s="10">
        <v>56985</v>
      </c>
      <c r="F603" s="3" t="str">
        <v>Iya</v>
      </c>
      <c r="G603" s="4">
        <v>46093</v>
      </c>
      <c r="H603" s="10">
        <v>55</v>
      </c>
    </row>
    <row r="604" spans="1:8">
      <c r="A604" s="3">
        <v>603</v>
      </c>
      <c r="B604" s="4">
        <v>46130.784097222233</v>
      </c>
      <c r="C604" s="5" t="str">
        <v>Daihatsu Xenia (Badan)</v>
      </c>
      <c r="D604" s="5" t="str">
        <v>B6851IH</v>
      </c>
      <c r="E604" s="10">
        <v>19146</v>
      </c>
      <c r="F604" s="3" t="str">
        <v>Tidak</v>
      </c>
      <c r="G604" s="4">
        <v>0</v>
      </c>
      <c r="H604" s="10">
        <v>0</v>
      </c>
    </row>
    <row r="605" spans="1:8">
      <c r="A605" s="3">
        <v>604</v>
      </c>
      <c r="B605" s="4">
        <v>46132.312442129631</v>
      </c>
      <c r="C605" s="5" t="str">
        <v>Daihatsu Xenia (Badan)</v>
      </c>
      <c r="D605" s="5" t="str">
        <v>B7991PSS</v>
      </c>
      <c r="E605" s="10">
        <v>94270</v>
      </c>
      <c r="F605" s="3" t="str">
        <v>Iya</v>
      </c>
      <c r="G605" s="4">
        <v>46118</v>
      </c>
      <c r="H605" s="10">
        <v>93018</v>
      </c>
    </row>
    <row r="606" spans="1:8">
      <c r="A606" s="3">
        <v>605</v>
      </c>
      <c r="B606" s="4">
        <v>46132.370312500003</v>
      </c>
      <c r="C606" s="5" t="str">
        <v>Daihatsu Xenia (Badan)</v>
      </c>
      <c r="D606" s="5" t="str">
        <v>B2925QZ</v>
      </c>
      <c r="E606" s="10">
        <v>37567</v>
      </c>
      <c r="F606" s="3" t="str">
        <v>Tidak</v>
      </c>
      <c r="G606" s="4">
        <v>0</v>
      </c>
      <c r="H606" s="10">
        <v>0</v>
      </c>
    </row>
    <row r="607" spans="1:8">
      <c r="A607" s="3">
        <v>606</v>
      </c>
      <c r="B607" s="4">
        <v>46132.43440972222</v>
      </c>
      <c r="C607" s="5" t="str">
        <v>PICK UP TRAGA 2.5 4X2 MT D M/T</v>
      </c>
      <c r="D607" s="5" t="str">
        <v>B9052XK</v>
      </c>
      <c r="E607" s="10">
        <v>4938</v>
      </c>
      <c r="F607" s="3" t="str">
        <v>Tidak</v>
      </c>
      <c r="G607" s="4">
        <v>0</v>
      </c>
      <c r="H607" s="10">
        <v>0</v>
      </c>
    </row>
    <row r="608" spans="1:8">
      <c r="A608" s="3">
        <v>607</v>
      </c>
      <c r="B608" s="4">
        <v>46132.450856481482</v>
      </c>
      <c r="C608" s="5" t="str">
        <v>Daihatsu Xenia (Badan)</v>
      </c>
      <c r="D608" s="5" t="str">
        <v>B3367HD</v>
      </c>
      <c r="E608" s="10">
        <v>59286</v>
      </c>
      <c r="F608" s="3" t="str">
        <v>Tidak</v>
      </c>
      <c r="G608" s="4">
        <v>0</v>
      </c>
      <c r="H608" s="10">
        <v>0</v>
      </c>
    </row>
    <row r="609" spans="1:8">
      <c r="A609" s="3">
        <v>608</v>
      </c>
      <c r="B609" s="4">
        <v>46132.608032407406</v>
      </c>
      <c r="C609" s="5" t="str">
        <v>DAIHATSU GRANMAX PU AC PS 1.5 M/T</v>
      </c>
      <c r="D609" s="5" t="str">
        <v>B6407IG</v>
      </c>
      <c r="E609" s="10">
        <v>3070</v>
      </c>
      <c r="F609" s="3" t="str">
        <v>Tidak</v>
      </c>
      <c r="G609" s="4">
        <v>0</v>
      </c>
      <c r="H609" s="10">
        <v>0</v>
      </c>
    </row>
    <row r="610" spans="1:8">
      <c r="A610" s="3">
        <v>609</v>
      </c>
      <c r="B610" s="4">
        <v>46132.623703703714</v>
      </c>
      <c r="C610" s="5" t="str">
        <v>Daihatsu Xenia (Badan)</v>
      </c>
      <c r="D610" s="5" t="str">
        <v>B5176KW</v>
      </c>
      <c r="E610" s="10">
        <v>2139</v>
      </c>
      <c r="F610" s="3" t="str">
        <v>Tidak</v>
      </c>
      <c r="G610" s="4">
        <v>0</v>
      </c>
      <c r="H610" s="10">
        <v>0</v>
      </c>
    </row>
    <row r="611" spans="1:8">
      <c r="A611" s="3">
        <v>610</v>
      </c>
      <c r="B611" s="4">
        <v>46132.730451388888</v>
      </c>
      <c r="C611" s="5" t="str">
        <v>DAIHATSU GRANMAX PU AC PS 1.5 M/T</v>
      </c>
      <c r="D611" s="5" t="str">
        <v>B6642GE</v>
      </c>
      <c r="E611" s="10">
        <v>27505</v>
      </c>
      <c r="F611" s="3" t="str">
        <v>Iya</v>
      </c>
      <c r="G611" s="4">
        <v>46127</v>
      </c>
      <c r="H611" s="10">
        <v>27505</v>
      </c>
    </row>
    <row r="612" spans="1:8">
      <c r="A612" s="3">
        <v>611</v>
      </c>
      <c r="B612" s="4">
        <v>46132.795520833337</v>
      </c>
      <c r="C612" s="5" t="str">
        <v>PICK UP TRAGA 2.5 4X2 MT D M/T</v>
      </c>
      <c r="D612" s="5" t="str">
        <v>B5067LZ</v>
      </c>
      <c r="E612" s="10">
        <v>39274</v>
      </c>
      <c r="F612" s="3" t="str">
        <v>Tidak</v>
      </c>
      <c r="G612" s="4">
        <v>0</v>
      </c>
      <c r="H612" s="10">
        <v>0</v>
      </c>
    </row>
    <row r="613" spans="1:8">
      <c r="A613" s="3">
        <v>612</v>
      </c>
      <c r="B613" s="4">
        <v>45859.686122685183</v>
      </c>
      <c r="C613" s="5" t="str">
        <v>DAIHATSU GRANMAX PU AC PS 1.5 M/T</v>
      </c>
      <c r="D613" s="5" t="str">
        <v>B8069JR</v>
      </c>
      <c r="E613" s="10">
        <v>83521</v>
      </c>
      <c r="F613" s="3" t="str">
        <v>Iya</v>
      </c>
      <c r="G613" s="4">
        <v>45859</v>
      </c>
      <c r="H613" s="10">
        <v>83521</v>
      </c>
    </row>
    <row r="614" spans="1:8">
      <c r="A614" s="3">
        <v>613</v>
      </c>
      <c r="B614" s="4">
        <v>45859.689930555563</v>
      </c>
      <c r="C614" s="5" t="str">
        <v>PICK UP TRAGA 2.5 4X2 MT D M/T</v>
      </c>
      <c r="D614" s="5" t="str">
        <v>B3406ZUA</v>
      </c>
      <c r="E614" s="10">
        <v>49892</v>
      </c>
      <c r="F614" s="3" t="str">
        <v>Iya</v>
      </c>
      <c r="G614" s="4">
        <v>45810</v>
      </c>
      <c r="H614" s="10">
        <v>49892</v>
      </c>
    </row>
    <row r="615" spans="1:8">
      <c r="A615" s="3">
        <v>614</v>
      </c>
      <c r="B615" s="4">
        <v>45859.691770833328</v>
      </c>
      <c r="C615" s="5" t="str">
        <v>PICK UP TRAGA 2.5 4X2 MT D M/T</v>
      </c>
      <c r="D615" s="5" t="str">
        <v>H6818GV</v>
      </c>
      <c r="E615" s="10">
        <v>27693</v>
      </c>
      <c r="F615" s="3" t="str">
        <v>Iya</v>
      </c>
      <c r="G615" s="4">
        <v>45821</v>
      </c>
      <c r="H615" s="10">
        <v>27693</v>
      </c>
    </row>
    <row r="616" spans="1:8">
      <c r="A616" s="3">
        <v>615</v>
      </c>
      <c r="B616" s="4">
        <v>45859.692349537043</v>
      </c>
      <c r="C616" s="5" t="str">
        <v>PICK UP TRAGA 2.5 4X2 MT D M/T</v>
      </c>
      <c r="D616" s="5" t="str">
        <v>B4597RJ</v>
      </c>
      <c r="E616" s="10">
        <v>69984</v>
      </c>
      <c r="F616" s="3" t="str">
        <v>Iya</v>
      </c>
      <c r="G616" s="4">
        <v>45859</v>
      </c>
      <c r="H616" s="10">
        <v>69984</v>
      </c>
    </row>
    <row r="617" spans="1:8">
      <c r="A617" s="3">
        <v>616</v>
      </c>
      <c r="B617" s="4">
        <v>45859.692418981482</v>
      </c>
      <c r="C617" s="5" t="str">
        <v>DAIHATSU GRANMAX PU AC PS 1.5 M/T</v>
      </c>
      <c r="D617" s="5" t="str">
        <v>AB7714BG</v>
      </c>
      <c r="E617" s="10">
        <v>46830</v>
      </c>
      <c r="F617" s="3" t="str">
        <v>Iya</v>
      </c>
      <c r="G617" s="4">
        <v>45798</v>
      </c>
      <c r="H617" s="10">
        <v>46830</v>
      </c>
    </row>
    <row r="618" spans="1:8">
      <c r="A618" s="3">
        <v>617</v>
      </c>
      <c r="B618" s="4">
        <v>45859.6953587963</v>
      </c>
      <c r="C618" s="5" t="str">
        <v>DAIHATSU GRANMAX PU AC PS 1.5 M/T</v>
      </c>
      <c r="D618" s="5" t="str">
        <v>B1204ZZ</v>
      </c>
      <c r="E618" s="10">
        <v>17526</v>
      </c>
      <c r="F618" s="3" t="str">
        <v>Iya</v>
      </c>
      <c r="G618" s="4">
        <v>45841</v>
      </c>
      <c r="H618" s="10">
        <v>17526</v>
      </c>
    </row>
    <row r="619" spans="1:8">
      <c r="A619" s="3">
        <v>618</v>
      </c>
      <c r="B619" s="4">
        <v>45859.698738425926</v>
      </c>
      <c r="C619" s="5" t="str">
        <v>PICK UP TRAGA 2.5 4X2 MT D M/T</v>
      </c>
      <c r="D619" s="5" t="str">
        <v>KB3403JE</v>
      </c>
      <c r="E619" s="10">
        <v>62601</v>
      </c>
      <c r="F619" s="3" t="str">
        <v>Iya</v>
      </c>
      <c r="G619" s="4">
        <v>45782</v>
      </c>
      <c r="H619" s="10">
        <v>62601</v>
      </c>
    </row>
    <row r="620" spans="1:8">
      <c r="A620" s="3">
        <v>619</v>
      </c>
      <c r="B620" s="4">
        <v>45859.698784722219</v>
      </c>
      <c r="C620" s="5" t="str">
        <v>PICK UP TRAGA 2.5 4X2 MT D M/T</v>
      </c>
      <c r="D620" s="5" t="str">
        <v>B4196MS</v>
      </c>
      <c r="E620" s="10">
        <v>17414</v>
      </c>
      <c r="F620" s="3" t="str">
        <v>Iya</v>
      </c>
      <c r="G620" s="4">
        <v>45568</v>
      </c>
      <c r="H620" s="10">
        <v>17414</v>
      </c>
    </row>
    <row r="621" spans="1:8">
      <c r="A621" s="3">
        <v>620</v>
      </c>
      <c r="B621" s="4">
        <v>45859.700266203698</v>
      </c>
      <c r="C621" s="5" t="str">
        <v>DAIHATSU GRANMAX PU AC PS 1.5 M/T</v>
      </c>
      <c r="D621" s="5" t="str">
        <v>B1229TQ</v>
      </c>
      <c r="E621" s="10">
        <v>15190</v>
      </c>
      <c r="F621" s="3" t="str">
        <v>Iya</v>
      </c>
      <c r="G621" s="4">
        <v>45768</v>
      </c>
      <c r="H621" s="10">
        <v>15190</v>
      </c>
    </row>
    <row r="622" spans="1:8">
      <c r="A622" s="3">
        <v>621</v>
      </c>
      <c r="B622" s="4">
        <v>45859.702997685177</v>
      </c>
      <c r="C622" s="5" t="str">
        <v>DAIHATSU GRANMAX PU AC PS 1.5 M/T</v>
      </c>
      <c r="D622" s="5" t="str">
        <v>B8132XW</v>
      </c>
      <c r="E622" s="10">
        <v>33133</v>
      </c>
      <c r="F622" s="3" t="str">
        <v>Iya</v>
      </c>
      <c r="G622" s="4">
        <v>45731</v>
      </c>
      <c r="H622" s="10">
        <v>33133</v>
      </c>
    </row>
    <row r="623" spans="1:8">
      <c r="A623" s="3">
        <v>622</v>
      </c>
      <c r="B623" s="4">
        <v>45859.70888888889</v>
      </c>
      <c r="C623" s="5" t="str">
        <v>DAIHATSU GRANMAX PU AC PS 1.5 M/T</v>
      </c>
      <c r="D623" s="5" t="str">
        <v>KT2986WG</v>
      </c>
      <c r="E623" s="10">
        <v>3539</v>
      </c>
      <c r="F623" s="3" t="str">
        <v>Iya</v>
      </c>
      <c r="G623" s="4">
        <v>45841</v>
      </c>
      <c r="H623" s="10">
        <v>3539</v>
      </c>
    </row>
    <row r="624" spans="1:8">
      <c r="A624" s="3">
        <v>623</v>
      </c>
      <c r="B624" s="4">
        <v>45859.709305555552</v>
      </c>
      <c r="C624" s="5" t="str">
        <v>PICK UP TRAGA 2.5 4X2 MT D M/T</v>
      </c>
      <c r="D624" s="5" t="str">
        <v>B9006FL</v>
      </c>
      <c r="E624" s="10">
        <v>17950</v>
      </c>
      <c r="F624" s="3" t="str">
        <v>Iya</v>
      </c>
      <c r="G624" s="4">
        <v>45755</v>
      </c>
      <c r="H624" s="10">
        <v>17950</v>
      </c>
    </row>
    <row r="625" spans="1:8">
      <c r="A625" s="3">
        <v>624</v>
      </c>
      <c r="B625" s="4">
        <v>45859.711435185192</v>
      </c>
      <c r="C625" s="5" t="str">
        <v>DAIHATSU GRANMAX PU AC PS 1.5 M/T</v>
      </c>
      <c r="D625" s="5" t="str">
        <v>B1377MKN</v>
      </c>
      <c r="E625" s="10">
        <v>50</v>
      </c>
      <c r="F625" s="3" t="str">
        <v>Iya</v>
      </c>
      <c r="G625" s="4">
        <v>45762</v>
      </c>
      <c r="H625" s="10">
        <v>50</v>
      </c>
    </row>
    <row r="626" spans="1:8">
      <c r="A626" s="3">
        <v>625</v>
      </c>
      <c r="B626" s="4">
        <v>45859.713773148149</v>
      </c>
      <c r="C626" s="5" t="str">
        <v>PICK UP TRAGA 2.5 4X2 MT D M/T</v>
      </c>
      <c r="D626" s="5" t="str">
        <v>B6987KLG</v>
      </c>
      <c r="E626" s="10">
        <v>37904</v>
      </c>
      <c r="F626" s="3" t="str">
        <v>Iya</v>
      </c>
      <c r="G626" s="4">
        <v>45821</v>
      </c>
      <c r="H626" s="10">
        <v>37904</v>
      </c>
    </row>
    <row r="627" spans="1:8">
      <c r="A627" s="3">
        <v>626</v>
      </c>
      <c r="B627" s="4">
        <v>45859.716423611113</v>
      </c>
      <c r="C627" s="5" t="str">
        <v>PICK UP TRAGA 2.5 4X2 MT D M/T</v>
      </c>
      <c r="D627" s="5" t="str">
        <v>B9410TZ</v>
      </c>
      <c r="E627" s="10">
        <v>13870</v>
      </c>
      <c r="F627" s="3" t="str">
        <v>Iya</v>
      </c>
      <c r="G627" s="4">
        <v>45765</v>
      </c>
      <c r="H627" s="10">
        <v>13870</v>
      </c>
    </row>
    <row r="628" spans="1:8">
      <c r="A628" s="3">
        <v>627</v>
      </c>
      <c r="B628" s="4">
        <v>45859.717986111107</v>
      </c>
      <c r="C628" s="5" t="str">
        <v>DAIHATSU GRANMAX PU AC PS 1.5 M/T</v>
      </c>
      <c r="D628" s="5" t="str">
        <v>B9442MAL</v>
      </c>
      <c r="E628" s="10">
        <v>16400</v>
      </c>
      <c r="F628" s="3" t="str">
        <v>Iya</v>
      </c>
      <c r="G628" s="4">
        <v>45825</v>
      </c>
      <c r="H628" s="10">
        <v>16400</v>
      </c>
    </row>
    <row r="629" spans="1:8">
      <c r="A629" s="3">
        <v>628</v>
      </c>
      <c r="B629" s="4">
        <v>45859.726689814823</v>
      </c>
      <c r="C629" s="5" t="str">
        <v>DAIHATSU GRANMAX PU AC PS 1.5 M/T</v>
      </c>
      <c r="D629" s="5" t="str">
        <v>B4001FJ</v>
      </c>
      <c r="E629" s="10">
        <v>3498</v>
      </c>
      <c r="F629" s="3" t="str">
        <v>Iya</v>
      </c>
      <c r="G629" s="4">
        <v>45792</v>
      </c>
      <c r="H629" s="10">
        <v>3498</v>
      </c>
    </row>
    <row r="630" spans="1:8">
      <c r="A630" s="3">
        <v>629</v>
      </c>
      <c r="B630" s="4">
        <v>45859.726875</v>
      </c>
      <c r="C630" s="5" t="str">
        <v>DAIHATSU GRANMAX PU AC PS 1.5 M/T</v>
      </c>
      <c r="D630" s="5" t="str">
        <v>B9274GSS</v>
      </c>
      <c r="E630" s="10">
        <v>35706</v>
      </c>
      <c r="F630" s="3" t="str">
        <v>Iya</v>
      </c>
      <c r="G630" s="4">
        <v>45820</v>
      </c>
      <c r="H630" s="10">
        <v>35706</v>
      </c>
    </row>
    <row r="631" spans="1:8">
      <c r="A631" s="3">
        <v>630</v>
      </c>
      <c r="B631" s="4">
        <v>45859.72693287037</v>
      </c>
      <c r="C631" s="5" t="str">
        <v>DAIHATSU GRANMAX PU AC PS 1.5 M/T</v>
      </c>
      <c r="D631" s="5" t="str">
        <v>B1960LKY</v>
      </c>
      <c r="E631" s="10">
        <v>45117</v>
      </c>
      <c r="F631" s="3" t="str">
        <v>Iya</v>
      </c>
      <c r="G631" s="4">
        <v>45762</v>
      </c>
      <c r="H631" s="10">
        <v>45117</v>
      </c>
    </row>
    <row r="632" spans="1:8">
      <c r="A632" s="3">
        <v>631</v>
      </c>
      <c r="B632" s="4">
        <v>45859.728981481479</v>
      </c>
      <c r="C632" s="5" t="str">
        <v>DAIHATSU GRANMAX PU AC PS 1.5 M/T</v>
      </c>
      <c r="D632" s="5" t="str">
        <v>D8668TS</v>
      </c>
      <c r="E632" s="10">
        <v>7838</v>
      </c>
      <c r="F632" s="3" t="str">
        <v>Iya</v>
      </c>
      <c r="G632" s="4">
        <v>45794</v>
      </c>
      <c r="H632" s="10">
        <v>7838</v>
      </c>
    </row>
    <row r="633" spans="1:8">
      <c r="A633" s="3">
        <v>632</v>
      </c>
      <c r="B633" s="4">
        <v>45859.732731481483</v>
      </c>
      <c r="C633" s="5" t="str">
        <v>DAIHATSU GRANMAX PU AC PS 1.5 M/T</v>
      </c>
      <c r="D633" s="5" t="str">
        <v>B5795ED</v>
      </c>
      <c r="E633" s="10">
        <v>45142</v>
      </c>
      <c r="F633" s="3" t="str">
        <v>Iya</v>
      </c>
      <c r="G633" s="4">
        <v>45708</v>
      </c>
      <c r="H633" s="10">
        <v>45142</v>
      </c>
    </row>
    <row r="634" spans="1:8">
      <c r="A634" s="3">
        <v>633</v>
      </c>
      <c r="B634" s="4">
        <v>45859.740011574067</v>
      </c>
      <c r="C634" s="5" t="str">
        <v>PICK UP TRAGA 2.5 4X2 MT D M/T</v>
      </c>
      <c r="D634" s="5" t="str">
        <v>B3050XRL</v>
      </c>
      <c r="E634" s="10">
        <v>64126</v>
      </c>
      <c r="F634" s="3" t="str">
        <v>Iya</v>
      </c>
      <c r="G634" s="4">
        <v>45831</v>
      </c>
      <c r="H634" s="10">
        <v>64126</v>
      </c>
    </row>
    <row r="635" spans="1:8">
      <c r="A635" s="3">
        <v>634</v>
      </c>
      <c r="B635" s="4">
        <v>45859.747534722221</v>
      </c>
      <c r="C635" s="5" t="str">
        <v>DAIHATSU GRANMAX PU AC PS 1.5 M/T</v>
      </c>
      <c r="D635" s="5" t="str">
        <v>B2840UE</v>
      </c>
      <c r="E635" s="10">
        <v>79909</v>
      </c>
      <c r="F635" s="3" t="str">
        <v>Iya</v>
      </c>
      <c r="G635" s="4">
        <v>45856</v>
      </c>
      <c r="H635" s="10">
        <v>79909</v>
      </c>
    </row>
    <row r="636" spans="1:8">
      <c r="A636" s="3">
        <v>635</v>
      </c>
      <c r="B636" s="4">
        <v>45859.74790509259</v>
      </c>
      <c r="C636" s="5" t="str">
        <v>DAIHATSU GRANMAX PU AC PS 1.5 M/T</v>
      </c>
      <c r="D636" s="5" t="str">
        <v>B8385EAN</v>
      </c>
      <c r="E636" s="10">
        <v>14233</v>
      </c>
      <c r="F636" s="3" t="str">
        <v>Iya</v>
      </c>
      <c r="G636" s="4">
        <v>45783</v>
      </c>
      <c r="H636" s="10">
        <v>14233</v>
      </c>
    </row>
    <row r="637" spans="1:8">
      <c r="A637" s="3">
        <v>636</v>
      </c>
      <c r="B637" s="4">
        <v>45859.755509259259</v>
      </c>
      <c r="C637" s="5" t="str">
        <v>PICK UP TRAGA 2.5 4X2 MT D M/T</v>
      </c>
      <c r="D637" s="5" t="str">
        <v>B8491EZ</v>
      </c>
      <c r="E637" s="10">
        <v>13855</v>
      </c>
      <c r="F637" s="3" t="str">
        <v>Iya</v>
      </c>
      <c r="G637" s="4">
        <v>45812</v>
      </c>
      <c r="H637" s="10">
        <v>13855</v>
      </c>
    </row>
    <row r="638" spans="1:8">
      <c r="A638" s="3">
        <v>637</v>
      </c>
      <c r="B638" s="4">
        <v>45859.761435185188</v>
      </c>
      <c r="C638" s="5" t="str">
        <v>DAIHATSU GRANMAX PU AC PS 1.5 M/T</v>
      </c>
      <c r="D638" s="5" t="str">
        <v>B1444CKJ</v>
      </c>
      <c r="E638" s="10">
        <v>79798</v>
      </c>
      <c r="F638" s="3" t="str">
        <v>Iya</v>
      </c>
      <c r="G638" s="4">
        <v>45805</v>
      </c>
      <c r="H638" s="10">
        <v>79798</v>
      </c>
    </row>
    <row r="639" spans="1:8">
      <c r="A639" s="3">
        <v>638</v>
      </c>
      <c r="B639" s="4">
        <v>45859.778692129628</v>
      </c>
      <c r="C639" s="5" t="str">
        <v>DAIHATSU GRANMAX PU AC PS 1.5 M/T</v>
      </c>
      <c r="D639" s="5" t="str">
        <v>B7692UCT</v>
      </c>
      <c r="E639" s="10">
        <v>6174</v>
      </c>
      <c r="F639" s="3" t="str">
        <v>Iya</v>
      </c>
      <c r="G639" s="4">
        <v>45827</v>
      </c>
      <c r="H639" s="10">
        <v>6174</v>
      </c>
    </row>
    <row r="640" spans="1:8">
      <c r="A640" s="3">
        <v>639</v>
      </c>
      <c r="B640" s="4">
        <v>45859.789629629631</v>
      </c>
      <c r="C640" s="5" t="str">
        <v>DAIHATSU GRANMAX PU AC PS 1.5 M/T</v>
      </c>
      <c r="D640" s="5" t="str">
        <v>B8457UZ</v>
      </c>
      <c r="E640" s="10">
        <v>6917</v>
      </c>
      <c r="F640" s="3" t="str">
        <v>Iya</v>
      </c>
      <c r="G640" s="4">
        <v>45743</v>
      </c>
      <c r="H640" s="10">
        <v>6917</v>
      </c>
    </row>
    <row r="641" spans="1:8">
      <c r="A641" s="3">
        <v>640</v>
      </c>
      <c r="B641" s="4">
        <v>45859.791643518518</v>
      </c>
      <c r="C641" s="5" t="str">
        <v>DAIHATSU GRANMAX PU AC PS 1.5 M/T</v>
      </c>
      <c r="D641" s="5" t="str">
        <v>B6236MZW</v>
      </c>
      <c r="E641" s="10">
        <v>33312</v>
      </c>
      <c r="F641" s="3" t="str">
        <v>Iya</v>
      </c>
      <c r="G641" s="4">
        <v>45713</v>
      </c>
      <c r="H641" s="10">
        <v>33312</v>
      </c>
    </row>
    <row r="642" spans="1:8">
      <c r="A642" s="3">
        <v>641</v>
      </c>
      <c r="B642" s="4">
        <v>45859.830358796287</v>
      </c>
      <c r="C642" s="5" t="str">
        <v>PICK UP TRAGA 2.5 4X2 MT D M/T</v>
      </c>
      <c r="D642" s="5" t="str">
        <v>B6013WGR</v>
      </c>
      <c r="E642" s="10">
        <v>35052</v>
      </c>
      <c r="F642" s="3" t="str">
        <v>Iya</v>
      </c>
      <c r="G642" s="4">
        <v>45861</v>
      </c>
      <c r="H642" s="10">
        <v>35052</v>
      </c>
    </row>
    <row r="643" spans="1:8">
      <c r="A643" s="3">
        <v>642</v>
      </c>
      <c r="B643" s="4">
        <v>45859.834803240738</v>
      </c>
      <c r="C643" s="5" t="str">
        <v>Daihatsu Xenia (Badan)</v>
      </c>
      <c r="D643" s="5" t="str">
        <v>DA9877GL</v>
      </c>
      <c r="E643" s="10">
        <v>24252</v>
      </c>
      <c r="F643" s="3" t="str">
        <v>Iya</v>
      </c>
      <c r="G643" s="4">
        <v>45735</v>
      </c>
      <c r="H643" s="10">
        <v>24252</v>
      </c>
    </row>
    <row r="644" spans="1:8">
      <c r="A644" s="3">
        <v>643</v>
      </c>
      <c r="B644" s="4">
        <v>45859.86146990741</v>
      </c>
      <c r="C644" s="5" t="str">
        <v>DAIHATSU GRANMAX PU AC PS 1.5 M/T</v>
      </c>
      <c r="D644" s="5" t="str">
        <v>B1190TVJ</v>
      </c>
      <c r="E644" s="10">
        <v>47106</v>
      </c>
      <c r="F644" s="3" t="str">
        <v>Iya</v>
      </c>
      <c r="G644" s="4">
        <v>45833</v>
      </c>
      <c r="H644" s="10">
        <v>47106</v>
      </c>
    </row>
    <row r="645" spans="1:8">
      <c r="A645" s="3">
        <v>644</v>
      </c>
      <c r="B645" s="4">
        <v>45860.309247685182</v>
      </c>
      <c r="C645" s="5" t="str">
        <v>PICK UP TRAGA 2.5 4X2 MT D M/T</v>
      </c>
      <c r="D645" s="5" t="str">
        <v>B9848XJ</v>
      </c>
      <c r="E645" s="10">
        <v>67509</v>
      </c>
      <c r="F645" s="3" t="str">
        <v>Iya</v>
      </c>
      <c r="G645" s="4">
        <v>45997</v>
      </c>
      <c r="H645" s="10">
        <v>67509</v>
      </c>
    </row>
    <row r="646" spans="1:8">
      <c r="A646" s="3">
        <v>645</v>
      </c>
      <c r="B646" s="4">
        <v>45860.317615740743</v>
      </c>
      <c r="C646" s="5" t="str">
        <v>DAIHATSU GRANMAX PU AC PS 1.5 M/T</v>
      </c>
      <c r="D646" s="5" t="str">
        <v>B8645QN</v>
      </c>
      <c r="E646" s="10">
        <v>42358</v>
      </c>
      <c r="F646" s="3" t="str">
        <v>Iya</v>
      </c>
      <c r="G646" s="4">
        <v>45771</v>
      </c>
      <c r="H646" s="10">
        <v>42358</v>
      </c>
    </row>
    <row r="647" spans="1:8">
      <c r="A647" s="3">
        <v>646</v>
      </c>
      <c r="B647" s="4">
        <v>45860.31858796296</v>
      </c>
      <c r="C647" s="5" t="str">
        <v>PICK UP TRAGA 2.5 4X2 MT D M/T</v>
      </c>
      <c r="D647" s="5" t="str">
        <v>B1075RA</v>
      </c>
      <c r="E647" s="10">
        <v>48591</v>
      </c>
      <c r="F647" s="3" t="str">
        <v>Iya</v>
      </c>
      <c r="G647" s="4">
        <v>45726</v>
      </c>
      <c r="H647" s="10">
        <v>48591</v>
      </c>
    </row>
    <row r="648" spans="1:8">
      <c r="A648" s="3">
        <v>647</v>
      </c>
      <c r="B648" s="4">
        <v>45860.321238425917</v>
      </c>
      <c r="C648" s="5" t="str">
        <v>PICK UP TRAGA 2.5 4X2 MT D M/T</v>
      </c>
      <c r="D648" s="5" t="str">
        <v>B2118PQK</v>
      </c>
      <c r="E648" s="10">
        <v>45753</v>
      </c>
      <c r="F648" s="3" t="str">
        <v>Iya</v>
      </c>
      <c r="G648" s="4">
        <v>45901</v>
      </c>
      <c r="H648" s="10">
        <v>45753</v>
      </c>
    </row>
    <row r="649" spans="1:8">
      <c r="A649" s="3">
        <v>648</v>
      </c>
      <c r="B649" s="4">
        <v>45860.322939814818</v>
      </c>
      <c r="C649" s="5" t="str">
        <v>PICK UP TRAGA 2.5 4X2 MT D M/T</v>
      </c>
      <c r="D649" s="5" t="str">
        <v>B7875XVS</v>
      </c>
      <c r="E649" s="10">
        <v>15547</v>
      </c>
      <c r="F649" s="3" t="str">
        <v>Iya</v>
      </c>
      <c r="G649" s="4">
        <v>45812</v>
      </c>
      <c r="H649" s="10">
        <v>15547</v>
      </c>
    </row>
    <row r="650" spans="1:8">
      <c r="A650" s="3">
        <v>649</v>
      </c>
      <c r="B650" s="4">
        <v>45860.325243055559</v>
      </c>
      <c r="C650" s="5" t="str">
        <v>DAIHATSU GRANMAX PU AC PS 1.5 M/T</v>
      </c>
      <c r="D650" s="5" t="str">
        <v>B9910CL</v>
      </c>
      <c r="E650" s="10">
        <v>3036</v>
      </c>
      <c r="F650" s="3" t="str">
        <v>Iya</v>
      </c>
      <c r="G650" s="4">
        <v>45776</v>
      </c>
      <c r="H650" s="10">
        <v>3036</v>
      </c>
    </row>
    <row r="651" spans="1:8">
      <c r="A651" s="3">
        <v>650</v>
      </c>
      <c r="B651" s="4">
        <v>45860.331354166658</v>
      </c>
      <c r="C651" s="5" t="str">
        <v>DAIHATSU GRANMAX PU AC PS 1.5 M/T</v>
      </c>
      <c r="D651" s="5" t="str">
        <v>B7351RH</v>
      </c>
      <c r="E651" s="10">
        <v>50381</v>
      </c>
      <c r="F651" s="3" t="str">
        <v>Iya</v>
      </c>
      <c r="G651" s="4">
        <v>45668</v>
      </c>
      <c r="H651" s="10">
        <v>50381</v>
      </c>
    </row>
    <row r="652" spans="1:8">
      <c r="A652" s="3">
        <v>651</v>
      </c>
      <c r="B652" s="4">
        <v>45860.345393518517</v>
      </c>
      <c r="C652" s="5" t="str">
        <v>PICK UP TRAGA 2.5 4X2 MT D M/T</v>
      </c>
      <c r="D652" s="5" t="str">
        <v>B6882KT</v>
      </c>
      <c r="E652" s="10">
        <v>51064</v>
      </c>
      <c r="F652" s="3" t="str">
        <v>Iya</v>
      </c>
      <c r="G652" s="4">
        <v>45848</v>
      </c>
      <c r="H652" s="10">
        <v>51064</v>
      </c>
    </row>
    <row r="653" spans="1:8">
      <c r="A653" s="3">
        <v>652</v>
      </c>
      <c r="B653" s="4">
        <v>45860.350659722222</v>
      </c>
      <c r="C653" s="5" t="str">
        <v>DAIHATSU GRANMAX PU AC PS 1.5 M/T</v>
      </c>
      <c r="D653" s="5" t="str">
        <v>B4175FW</v>
      </c>
      <c r="E653" s="10">
        <v>48216</v>
      </c>
      <c r="F653" s="3" t="str">
        <v>Iya</v>
      </c>
      <c r="G653" s="4">
        <v>45819</v>
      </c>
      <c r="H653" s="10">
        <v>48216</v>
      </c>
    </row>
    <row r="654" spans="1:8">
      <c r="A654" s="3">
        <v>653</v>
      </c>
      <c r="B654" s="4">
        <v>45860.351469907408</v>
      </c>
      <c r="C654" s="5" t="str">
        <v>DAIHATSU GRANMAX PU AC PS 1.5 M/T</v>
      </c>
      <c r="D654" s="5" t="str">
        <v>B4222XM</v>
      </c>
      <c r="E654" s="10">
        <v>27041</v>
      </c>
      <c r="F654" s="3" t="str">
        <v>Iya</v>
      </c>
      <c r="G654" s="4">
        <v>45730</v>
      </c>
      <c r="H654" s="10">
        <v>27041</v>
      </c>
    </row>
    <row r="655" spans="1:8">
      <c r="A655" s="3">
        <v>654</v>
      </c>
      <c r="B655" s="4">
        <v>45860.361863425933</v>
      </c>
      <c r="C655" s="5" t="str">
        <v>DAIHATSU GRANMAX PU AC PS 1.5 M/T</v>
      </c>
      <c r="D655" s="5" t="str">
        <v>B6441NR</v>
      </c>
      <c r="E655" s="10">
        <v>11130</v>
      </c>
      <c r="F655" s="3" t="str">
        <v>Iya</v>
      </c>
      <c r="G655" s="4">
        <v>45847</v>
      </c>
      <c r="H655" s="10">
        <v>11130</v>
      </c>
    </row>
    <row r="656" spans="1:8">
      <c r="A656" s="3">
        <v>655</v>
      </c>
      <c r="B656" s="4">
        <v>45860.362766203703</v>
      </c>
      <c r="C656" s="5" t="str">
        <v>PICK UP TRAGA 2.5 4X2 MT D M/T</v>
      </c>
      <c r="D656" s="5" t="str">
        <v>B6557JW</v>
      </c>
      <c r="E656" s="10">
        <v>75455</v>
      </c>
      <c r="F656" s="3" t="str">
        <v>Iya</v>
      </c>
      <c r="G656" s="4">
        <v>45817</v>
      </c>
      <c r="H656" s="10">
        <v>75455</v>
      </c>
    </row>
    <row r="657" spans="1:8">
      <c r="A657" s="3">
        <v>656</v>
      </c>
      <c r="B657" s="4">
        <v>45860.363483796304</v>
      </c>
      <c r="C657" s="5" t="str">
        <v>PICK UP TRAGA 2.5 4X2 MT D M/T</v>
      </c>
      <c r="D657" s="5" t="str">
        <v>B6957DH</v>
      </c>
      <c r="E657" s="10">
        <v>84938</v>
      </c>
      <c r="F657" s="3" t="str">
        <v>Iya</v>
      </c>
      <c r="G657" s="4">
        <v>45846</v>
      </c>
      <c r="H657" s="10">
        <v>84938</v>
      </c>
    </row>
    <row r="658" spans="1:8">
      <c r="A658" s="3">
        <v>657</v>
      </c>
      <c r="B658" s="4">
        <v>45860.364178240743</v>
      </c>
      <c r="C658" s="5" t="str">
        <v>DAIHATSU GRANMAX PU AC PS 1.5 M/T</v>
      </c>
      <c r="D658" s="5" t="str">
        <v>B5541LZ</v>
      </c>
      <c r="E658" s="10">
        <v>18078</v>
      </c>
      <c r="F658" s="3" t="str">
        <v>Iya</v>
      </c>
      <c r="G658" s="4">
        <v>45813</v>
      </c>
      <c r="H658" s="10">
        <v>18078</v>
      </c>
    </row>
    <row r="659" spans="1:8">
      <c r="A659" s="3">
        <v>658</v>
      </c>
      <c r="B659" s="4">
        <v>45860.364664351851</v>
      </c>
      <c r="C659" s="5" t="str">
        <v>DAIHATSU GRANMAX PU AC PS 1.5 M/T</v>
      </c>
      <c r="D659" s="5" t="str">
        <v>KT8120IVX</v>
      </c>
      <c r="E659" s="10">
        <v>4015</v>
      </c>
      <c r="F659" s="3" t="str">
        <v>Iya</v>
      </c>
      <c r="G659" s="4">
        <v>45726</v>
      </c>
      <c r="H659" s="10">
        <v>4015</v>
      </c>
    </row>
    <row r="660" spans="1:8">
      <c r="A660" s="3">
        <v>659</v>
      </c>
      <c r="B660" s="4">
        <v>45860.367291666669</v>
      </c>
      <c r="C660" s="5" t="str">
        <v>PICK UP TRAGA 2.5 4X2 MT D M/T</v>
      </c>
      <c r="D660" s="5" t="str">
        <v>B9187TB</v>
      </c>
      <c r="E660" s="10">
        <v>19762</v>
      </c>
      <c r="F660" s="3" t="str">
        <v>Iya</v>
      </c>
      <c r="G660" s="4">
        <v>45779</v>
      </c>
      <c r="H660" s="10">
        <v>19762</v>
      </c>
    </row>
    <row r="661" spans="1:8">
      <c r="A661" s="3">
        <v>660</v>
      </c>
      <c r="B661" s="4">
        <v>45860.367719907408</v>
      </c>
      <c r="C661" s="5" t="str">
        <v>DAIHATSU GRANMAX PU AC PS 1.5 M/T</v>
      </c>
      <c r="D661" s="5" t="str">
        <v>B6065WA</v>
      </c>
      <c r="E661" s="10">
        <v>26347</v>
      </c>
      <c r="F661" s="3" t="str">
        <v>Iya</v>
      </c>
      <c r="G661" s="4">
        <v>45593</v>
      </c>
      <c r="H661" s="10">
        <v>26347</v>
      </c>
    </row>
    <row r="662" spans="1:8">
      <c r="A662" s="3">
        <v>661</v>
      </c>
      <c r="B662" s="4">
        <v>45860.371840277781</v>
      </c>
      <c r="C662" s="5" t="str">
        <v>PICK UP TRAGA 2.5 4X2 MT D M/T</v>
      </c>
      <c r="D662" s="5" t="str">
        <v>B7591HAI</v>
      </c>
      <c r="E662" s="10">
        <v>82275</v>
      </c>
      <c r="F662" s="3" t="str">
        <v>Iya</v>
      </c>
      <c r="G662" s="4">
        <v>45796</v>
      </c>
      <c r="H662" s="10">
        <v>82275</v>
      </c>
    </row>
    <row r="663" spans="1:8">
      <c r="A663" s="3">
        <v>662</v>
      </c>
      <c r="B663" s="4">
        <v>45860.372928240737</v>
      </c>
      <c r="C663" s="5" t="str">
        <v>PICK UP TRAGA 2.5 4X2 MT D M/T</v>
      </c>
      <c r="D663" s="5" t="str">
        <v>B2823MF</v>
      </c>
      <c r="E663" s="10">
        <v>2387</v>
      </c>
      <c r="F663" s="3" t="str">
        <v>Iya</v>
      </c>
      <c r="G663" s="4">
        <v>45715</v>
      </c>
      <c r="H663" s="10">
        <v>2387</v>
      </c>
    </row>
    <row r="664" spans="1:8">
      <c r="A664" s="3">
        <v>663</v>
      </c>
      <c r="B664" s="4">
        <v>45860.379942129628</v>
      </c>
      <c r="C664" s="5" t="str">
        <v>DAIHATSU GRANMAX PU AC PS 1.5 M/T</v>
      </c>
      <c r="D664" s="5" t="str">
        <v>KT3681HUC</v>
      </c>
      <c r="E664" s="10">
        <v>19492</v>
      </c>
      <c r="F664" s="3" t="str">
        <v>Iya</v>
      </c>
      <c r="G664" s="4">
        <v>45785</v>
      </c>
      <c r="H664" s="10">
        <v>19492</v>
      </c>
    </row>
    <row r="665" spans="1:8">
      <c r="A665" s="3">
        <v>664</v>
      </c>
      <c r="B665" s="4">
        <v>45860.39271990741</v>
      </c>
      <c r="C665" s="5" t="str">
        <v>DAIHATSU GRANMAX PU AC PS 1.5 M/T</v>
      </c>
      <c r="D665" s="5" t="str">
        <v>DD8835VA</v>
      </c>
      <c r="E665" s="10">
        <v>5631</v>
      </c>
      <c r="F665" s="3" t="str">
        <v>Iya</v>
      </c>
      <c r="G665" s="4">
        <v>45630</v>
      </c>
      <c r="H665" s="10">
        <v>5631</v>
      </c>
    </row>
    <row r="666" spans="1:8">
      <c r="A666" s="3">
        <v>665</v>
      </c>
      <c r="B666" s="4">
        <v>45860.39539351852</v>
      </c>
      <c r="C666" s="5" t="str">
        <v>DAIHATSU GRANMAX PU AC PS 1.5 M/T</v>
      </c>
      <c r="D666" s="5" t="str">
        <v>B6551IKH</v>
      </c>
      <c r="E666" s="10">
        <v>28397</v>
      </c>
      <c r="F666" s="3" t="str">
        <v>Iya</v>
      </c>
      <c r="G666" s="4">
        <v>45831</v>
      </c>
      <c r="H666" s="10">
        <v>28397</v>
      </c>
    </row>
    <row r="667" spans="1:8">
      <c r="A667" s="3">
        <v>666</v>
      </c>
      <c r="B667" s="4">
        <v>45860.395636574067</v>
      </c>
      <c r="C667" s="5" t="str">
        <v>DAIHATSU GRANMAX PU AC PS 1.5 M/T</v>
      </c>
      <c r="D667" s="5" t="str">
        <v>B4786BT</v>
      </c>
      <c r="E667" s="10">
        <v>18566</v>
      </c>
      <c r="F667" s="3" t="str">
        <v>Iya</v>
      </c>
      <c r="G667" s="4">
        <v>45702</v>
      </c>
      <c r="H667" s="10">
        <v>18566</v>
      </c>
    </row>
    <row r="668" spans="1:8">
      <c r="A668" s="3">
        <v>667</v>
      </c>
      <c r="B668" s="4">
        <v>45860.398634259262</v>
      </c>
      <c r="C668" s="5" t="str">
        <v>DAIHATSU GRANMAX PU AC PS 1.5 M/T</v>
      </c>
      <c r="D668" s="5" t="str">
        <v>B2491RA</v>
      </c>
      <c r="E668" s="10">
        <v>54942</v>
      </c>
      <c r="F668" s="3" t="str">
        <v>Iya</v>
      </c>
      <c r="G668" s="4">
        <v>45762</v>
      </c>
      <c r="H668" s="10">
        <v>54942</v>
      </c>
    </row>
    <row r="669" spans="1:8">
      <c r="A669" s="3">
        <v>668</v>
      </c>
      <c r="B669" s="4">
        <v>45860.415763888886</v>
      </c>
      <c r="C669" s="5" t="str">
        <v>DAIHATSU GRANMAX PU AC PS 1.5 M/T</v>
      </c>
      <c r="D669" s="5" t="str">
        <v>B7135IN</v>
      </c>
      <c r="E669" s="10">
        <v>17716</v>
      </c>
      <c r="F669" s="3" t="str">
        <v>Iya</v>
      </c>
      <c r="G669" s="4">
        <v>45622</v>
      </c>
      <c r="H669" s="10">
        <v>17716</v>
      </c>
    </row>
    <row r="670" spans="1:8">
      <c r="A670" s="3">
        <v>669</v>
      </c>
      <c r="B670" s="4">
        <v>45860.417372685188</v>
      </c>
      <c r="C670" s="5" t="str">
        <v>Daihatsu Xenia (Badan)</v>
      </c>
      <c r="D670" s="5" t="str">
        <v>B5798XLR</v>
      </c>
      <c r="E670" s="10">
        <v>1111</v>
      </c>
      <c r="F670" s="3" t="str">
        <v>Iya</v>
      </c>
      <c r="G670" s="4">
        <v>45712</v>
      </c>
      <c r="H670" s="10">
        <v>1111</v>
      </c>
    </row>
    <row r="671" spans="1:8">
      <c r="A671" s="3">
        <v>670</v>
      </c>
      <c r="B671" s="4">
        <v>45860.419212962966</v>
      </c>
      <c r="C671" s="5" t="str">
        <v>PICK UP TRAGA 2.5 4X2 MT D M/T</v>
      </c>
      <c r="D671" s="5" t="str">
        <v>B4234ME</v>
      </c>
      <c r="E671" s="10">
        <v>46564</v>
      </c>
      <c r="F671" s="3" t="str">
        <v>Iya</v>
      </c>
      <c r="G671" s="4">
        <v>45820</v>
      </c>
      <c r="H671" s="10">
        <v>46564</v>
      </c>
    </row>
    <row r="672" spans="1:8">
      <c r="A672" s="3">
        <v>671</v>
      </c>
      <c r="B672" s="4">
        <v>45860.436493055553</v>
      </c>
      <c r="C672" s="5" t="str">
        <v>PICK UP TRAGA 2.5 4X2 MT D M/T</v>
      </c>
      <c r="D672" s="5" t="str">
        <v>B3431HDZ</v>
      </c>
      <c r="E672" s="10">
        <v>17996</v>
      </c>
      <c r="F672" s="3" t="str">
        <v>Iya</v>
      </c>
      <c r="G672" s="4">
        <v>45728</v>
      </c>
      <c r="H672" s="10">
        <v>17996</v>
      </c>
    </row>
    <row r="673" spans="1:8">
      <c r="A673" s="3">
        <v>672</v>
      </c>
      <c r="B673" s="4">
        <v>45860.444756944453</v>
      </c>
      <c r="C673" s="5" t="str">
        <v>PICK UP TRAGA 2.5 4X2 MT D M/T</v>
      </c>
      <c r="D673" s="5" t="str">
        <v>B9936AP</v>
      </c>
      <c r="E673" s="10">
        <v>46367</v>
      </c>
      <c r="F673" s="3" t="str">
        <v>Iya</v>
      </c>
      <c r="G673" s="4">
        <v>45702</v>
      </c>
      <c r="H673" s="10">
        <v>46367</v>
      </c>
    </row>
    <row r="674" spans="1:8">
      <c r="A674" s="3">
        <v>673</v>
      </c>
      <c r="B674" s="4">
        <v>45860.450937499998</v>
      </c>
      <c r="C674" s="5" t="str">
        <v>DAIHATSU GRANMAX PU AC PS 1.5 M/T</v>
      </c>
      <c r="D674" s="5" t="str">
        <v>B3306HX</v>
      </c>
      <c r="E674" s="10">
        <v>14294</v>
      </c>
      <c r="F674" s="3" t="str">
        <v>Iya</v>
      </c>
      <c r="G674" s="4">
        <v>45827</v>
      </c>
      <c r="H674" s="10">
        <v>14294</v>
      </c>
    </row>
    <row r="675" spans="1:8">
      <c r="A675" s="3">
        <v>674</v>
      </c>
      <c r="B675" s="4">
        <v>45860.46539351852</v>
      </c>
      <c r="C675" s="5" t="str">
        <v>PICK UP TRAGA 2.5 4X2 MT D M/T</v>
      </c>
      <c r="D675" s="5" t="str">
        <v>B7707TH</v>
      </c>
      <c r="E675" s="10">
        <v>53710</v>
      </c>
      <c r="F675" s="3" t="str">
        <v>Iya</v>
      </c>
      <c r="G675" s="4">
        <v>45815</v>
      </c>
      <c r="H675" s="10">
        <v>53710</v>
      </c>
    </row>
    <row r="676" spans="1:8">
      <c r="A676" s="3">
        <v>675</v>
      </c>
      <c r="B676" s="4">
        <v>45860.47115740741</v>
      </c>
      <c r="C676" s="5" t="str">
        <v>DAIHATSU GRANMAX PU AC PS 1.5 M/T</v>
      </c>
      <c r="D676" s="5" t="str">
        <v>B6505HTV</v>
      </c>
      <c r="E676" s="10">
        <v>48828</v>
      </c>
      <c r="F676" s="3" t="str">
        <v>Iya</v>
      </c>
      <c r="G676" s="4">
        <v>45860</v>
      </c>
      <c r="H676" s="10">
        <v>48828</v>
      </c>
    </row>
    <row r="677" spans="1:8">
      <c r="A677" s="3">
        <v>676</v>
      </c>
      <c r="B677" s="4">
        <v>45860.481469907398</v>
      </c>
      <c r="C677" s="5" t="str">
        <v>DAIHATSU GRANMAX PU AC PS 1.5 M/T</v>
      </c>
      <c r="D677" s="5" t="str">
        <v>B4411YL</v>
      </c>
      <c r="E677" s="10">
        <v>80255</v>
      </c>
      <c r="F677" s="3" t="str">
        <v>Iya</v>
      </c>
      <c r="G677" s="4">
        <v>45793</v>
      </c>
      <c r="H677" s="10">
        <v>80255</v>
      </c>
    </row>
    <row r="678" spans="1:8">
      <c r="A678" s="3">
        <v>677</v>
      </c>
      <c r="B678" s="4">
        <v>45860.497650462959</v>
      </c>
      <c r="C678" s="5" t="str">
        <v>DAIHATSU GRANMAX PU AC PS 1.5 M/T</v>
      </c>
      <c r="D678" s="5" t="str">
        <v>B5592QL</v>
      </c>
      <c r="E678" s="10">
        <v>50874</v>
      </c>
      <c r="F678" s="3" t="str">
        <v>Iya</v>
      </c>
      <c r="G678" s="4">
        <v>45723</v>
      </c>
      <c r="H678" s="10">
        <v>50874</v>
      </c>
    </row>
    <row r="679" spans="1:8">
      <c r="A679" s="3">
        <v>678</v>
      </c>
      <c r="B679" s="4">
        <v>45860.512766203698</v>
      </c>
      <c r="C679" s="5" t="str">
        <v>DAIHATSU GRANMAX PU AC PS 1.5 M/T</v>
      </c>
      <c r="D679" s="5" t="str">
        <v>B7713QE</v>
      </c>
      <c r="E679" s="10">
        <v>21746</v>
      </c>
      <c r="F679" s="3" t="str">
        <v>Iya</v>
      </c>
      <c r="G679" s="4">
        <v>45667</v>
      </c>
      <c r="H679" s="10">
        <v>21746</v>
      </c>
    </row>
    <row r="680" spans="1:8">
      <c r="A680" s="3">
        <v>679</v>
      </c>
      <c r="B680" s="4">
        <v>45860.524884259263</v>
      </c>
      <c r="C680" s="5" t="str">
        <v>PICK UP TRAGA 2.5 4X2 MT D M/T</v>
      </c>
      <c r="D680" s="5" t="str">
        <v>DD8059VC</v>
      </c>
      <c r="E680" s="10">
        <v>44165</v>
      </c>
      <c r="F680" s="3" t="str">
        <v>Iya</v>
      </c>
      <c r="G680" s="4">
        <v>45759</v>
      </c>
      <c r="H680" s="10">
        <v>44165</v>
      </c>
    </row>
    <row r="681" spans="1:8">
      <c r="A681" s="3">
        <v>680</v>
      </c>
      <c r="B681" s="4">
        <v>45860.530555555553</v>
      </c>
      <c r="C681" s="5" t="str">
        <v>DAIHATSU GRANMAX PU AC PS 1.5 M/T</v>
      </c>
      <c r="D681" s="5" t="str">
        <v>BP6297BR</v>
      </c>
      <c r="E681" s="10">
        <v>33914</v>
      </c>
      <c r="F681" s="3" t="str">
        <v>Iya</v>
      </c>
      <c r="G681" s="4">
        <v>45797</v>
      </c>
      <c r="H681" s="10">
        <v>33914</v>
      </c>
    </row>
    <row r="682" spans="1:8">
      <c r="A682" s="3">
        <v>681</v>
      </c>
      <c r="B682" s="4">
        <v>45860.560532407413</v>
      </c>
      <c r="C682" s="5" t="str">
        <v>DAIHATSU GRANMAX PU AC PS 1.5 M/T</v>
      </c>
      <c r="D682" s="5" t="str">
        <v>B5277IQ</v>
      </c>
      <c r="E682" s="10">
        <v>37013</v>
      </c>
      <c r="F682" s="3" t="str">
        <v>Iya</v>
      </c>
      <c r="G682" s="4">
        <v>45810</v>
      </c>
      <c r="H682" s="10">
        <v>37013</v>
      </c>
    </row>
    <row r="683" spans="1:8">
      <c r="A683" s="3">
        <v>682</v>
      </c>
      <c r="B683" s="4">
        <v>45860.562106481477</v>
      </c>
      <c r="C683" s="5" t="str">
        <v>Daihatsu Xenia (Badan)</v>
      </c>
      <c r="D683" s="5" t="str">
        <v>B8258SPN</v>
      </c>
      <c r="E683" s="10">
        <v>35177</v>
      </c>
      <c r="F683" s="3" t="str">
        <v>Iya</v>
      </c>
      <c r="G683" s="4">
        <v>45681</v>
      </c>
      <c r="H683" s="10">
        <v>35177</v>
      </c>
    </row>
    <row r="684" spans="1:8">
      <c r="A684" s="3">
        <v>683</v>
      </c>
      <c r="B684" s="4">
        <v>45860.569282407407</v>
      </c>
      <c r="C684" s="5" t="str">
        <v>PICK UP TRAGA 2.5 4X2 MT D M/T</v>
      </c>
      <c r="D684" s="5" t="str">
        <v>B3079BPJ</v>
      </c>
      <c r="E684" s="10">
        <v>42798</v>
      </c>
      <c r="F684" s="3" t="str">
        <v>Iya</v>
      </c>
      <c r="G684" s="4">
        <v>45800</v>
      </c>
      <c r="H684" s="10">
        <v>42798</v>
      </c>
    </row>
    <row r="685" spans="1:8">
      <c r="A685" s="3">
        <v>684</v>
      </c>
      <c r="B685" s="4">
        <v>45860.574178240742</v>
      </c>
      <c r="C685" s="5" t="str">
        <v>DAIHATSU GRANMAX PU AC PS 1.5 M/T</v>
      </c>
      <c r="D685" s="5" t="str">
        <v>B8857PYD</v>
      </c>
      <c r="E685" s="10">
        <v>1389</v>
      </c>
      <c r="F685" s="3" t="str">
        <v>Iya</v>
      </c>
      <c r="G685" s="4">
        <v>45808</v>
      </c>
      <c r="H685" s="10">
        <v>1389</v>
      </c>
    </row>
    <row r="686" spans="1:8">
      <c r="A686" s="3">
        <v>685</v>
      </c>
      <c r="B686" s="4">
        <v>45860.583287037043</v>
      </c>
      <c r="C686" s="5" t="str">
        <v>PICK UP TRAGA 2.5 4X2 MT D M/T</v>
      </c>
      <c r="D686" s="5" t="str">
        <v>B8721DW</v>
      </c>
      <c r="E686" s="10">
        <v>31646</v>
      </c>
      <c r="F686" s="3" t="str">
        <v>Iya</v>
      </c>
      <c r="G686" s="4">
        <v>45845</v>
      </c>
      <c r="H686" s="10">
        <v>31646</v>
      </c>
    </row>
    <row r="687" spans="1:8">
      <c r="A687" s="3">
        <v>686</v>
      </c>
      <c r="B687" s="4">
        <v>45860.588206018518</v>
      </c>
      <c r="C687" s="5" t="str">
        <v>DAIHATSU GRANMAX PU AC PS 1.5 M/T</v>
      </c>
      <c r="D687" s="5" t="str">
        <v>B8589XJW</v>
      </c>
      <c r="E687" s="10">
        <v>25746</v>
      </c>
      <c r="F687" s="3" t="str">
        <v>Iya</v>
      </c>
      <c r="G687" s="4">
        <v>45841</v>
      </c>
      <c r="H687" s="10">
        <v>25746</v>
      </c>
    </row>
    <row r="688" spans="1:8">
      <c r="A688" s="3">
        <v>687</v>
      </c>
      <c r="B688" s="4">
        <v>45860.595300925917</v>
      </c>
      <c r="C688" s="5" t="str">
        <v>DAIHATSU GRANMAX PU AC PS 1.5 M/T</v>
      </c>
      <c r="D688" s="5" t="str">
        <v>B4034IWU</v>
      </c>
      <c r="E688" s="10">
        <v>24920</v>
      </c>
      <c r="F688" s="3" t="str">
        <v>Iya</v>
      </c>
      <c r="G688" s="4">
        <v>45710</v>
      </c>
      <c r="H688" s="10">
        <v>24920</v>
      </c>
    </row>
    <row r="689" spans="1:8">
      <c r="A689" s="3">
        <v>688</v>
      </c>
      <c r="B689" s="4">
        <v>45860.599560185183</v>
      </c>
      <c r="C689" s="5" t="str">
        <v>DAIHATSU GRANMAX PU AC PS 1.5 M/T</v>
      </c>
      <c r="D689" s="5" t="str">
        <v>B3553ILD</v>
      </c>
      <c r="E689" s="10">
        <v>4645</v>
      </c>
      <c r="F689" s="3" t="str">
        <v>Iya</v>
      </c>
      <c r="G689" s="4">
        <v>45735</v>
      </c>
      <c r="H689" s="10">
        <v>4645</v>
      </c>
    </row>
    <row r="690" spans="1:8">
      <c r="A690" s="3">
        <v>689</v>
      </c>
      <c r="B690" s="4">
        <v>45860.60355324074</v>
      </c>
      <c r="C690" s="5" t="str">
        <v>PICK UP TRAGA 2.5 4X2 MT D M/T</v>
      </c>
      <c r="D690" s="5" t="str">
        <v>B6757PSW</v>
      </c>
      <c r="E690" s="10">
        <v>118290</v>
      </c>
      <c r="F690" s="3" t="str">
        <v>Iya</v>
      </c>
      <c r="G690" s="4">
        <v>45801</v>
      </c>
      <c r="H690" s="10">
        <v>118290</v>
      </c>
    </row>
    <row r="691" spans="1:8">
      <c r="A691" s="3">
        <v>690</v>
      </c>
      <c r="B691" s="4">
        <v>45860.611550925933</v>
      </c>
      <c r="C691" s="5" t="str">
        <v>DAIHATSU GRANMAX PU AC PS 1.5 M/T</v>
      </c>
      <c r="D691" s="5" t="str">
        <v>H3815DXD</v>
      </c>
      <c r="E691" s="10">
        <v>7250</v>
      </c>
      <c r="F691" s="3" t="str">
        <v>Iya</v>
      </c>
      <c r="G691" s="4">
        <v>45708</v>
      </c>
      <c r="H691" s="10">
        <v>7250</v>
      </c>
    </row>
    <row r="692" spans="1:8">
      <c r="A692" s="3">
        <v>691</v>
      </c>
      <c r="B692" s="4">
        <v>45860.62672453704</v>
      </c>
      <c r="C692" s="5" t="str">
        <v>Daihatsu Xenia (Badan)</v>
      </c>
      <c r="D692" s="5" t="str">
        <v>B2834CX</v>
      </c>
      <c r="E692" s="10">
        <v>45989</v>
      </c>
      <c r="F692" s="3" t="str">
        <v>Iya</v>
      </c>
      <c r="G692" s="4">
        <v>45710</v>
      </c>
      <c r="H692" s="10">
        <v>45989</v>
      </c>
    </row>
    <row r="693" spans="1:8">
      <c r="A693" s="3">
        <v>692</v>
      </c>
      <c r="B693" s="4">
        <v>45860.650821759264</v>
      </c>
      <c r="C693" s="5" t="str">
        <v>DAIHATSU GRANMAX PU AC PS 1.5 M/T</v>
      </c>
      <c r="D693" s="5" t="str">
        <v>DD1709SU</v>
      </c>
      <c r="E693" s="10">
        <v>32160</v>
      </c>
      <c r="F693" s="3" t="str">
        <v>Iya</v>
      </c>
      <c r="G693" s="4">
        <v>45736</v>
      </c>
      <c r="H693" s="10">
        <v>32160</v>
      </c>
    </row>
    <row r="694" spans="1:8">
      <c r="A694" s="3">
        <v>693</v>
      </c>
      <c r="B694" s="4">
        <v>45860.812337962961</v>
      </c>
      <c r="C694" s="5" t="str">
        <v>DAIHATSU GRANMAX PU AC PS 1.5 M/T</v>
      </c>
      <c r="D694" s="5" t="str">
        <v>H6446RTB</v>
      </c>
      <c r="E694" s="10">
        <v>9701</v>
      </c>
      <c r="F694" s="3" t="str">
        <v>Iya</v>
      </c>
      <c r="G694" s="4">
        <v>45826</v>
      </c>
      <c r="H694" s="10">
        <v>9701</v>
      </c>
    </row>
    <row r="695" spans="1:8">
      <c r="A695" s="3">
        <v>694</v>
      </c>
      <c r="B695" s="4">
        <v>45860.840671296297</v>
      </c>
      <c r="C695" s="5" t="str">
        <v>DAIHATSU GRANMAX PU AC PS 1.5 M/T</v>
      </c>
      <c r="D695" s="5" t="str">
        <v>B8269XJ</v>
      </c>
      <c r="E695" s="10">
        <v>25904</v>
      </c>
      <c r="F695" s="3" t="str">
        <v>Iya</v>
      </c>
      <c r="G695" s="4">
        <v>45810</v>
      </c>
      <c r="H695" s="10">
        <v>25904</v>
      </c>
    </row>
    <row r="696" spans="1:8">
      <c r="A696" s="3">
        <v>695</v>
      </c>
      <c r="B696" s="4">
        <v>45861.337337962963</v>
      </c>
      <c r="C696" s="5" t="str">
        <v>DAIHATSU GRANMAX PU AC PS 1.5 M/T</v>
      </c>
      <c r="D696" s="5" t="str">
        <v>B8160PCQ</v>
      </c>
      <c r="E696" s="10">
        <v>25725</v>
      </c>
      <c r="F696" s="3" t="str">
        <v>Iya</v>
      </c>
      <c r="G696" s="4">
        <v>45817</v>
      </c>
      <c r="H696" s="10">
        <v>25725</v>
      </c>
    </row>
    <row r="697" spans="1:8">
      <c r="A697" s="3">
        <v>696</v>
      </c>
      <c r="B697" s="4">
        <v>45861.372858796298</v>
      </c>
      <c r="C697" s="5" t="str">
        <v>PICK UP TRAGA 2.5 4X2 MT D M/T</v>
      </c>
      <c r="D697" s="5" t="str">
        <v>B6986NB</v>
      </c>
      <c r="E697" s="10">
        <v>38007</v>
      </c>
      <c r="F697" s="3" t="str">
        <v>Iya</v>
      </c>
      <c r="G697" s="4">
        <v>45757</v>
      </c>
      <c r="H697" s="10">
        <v>38007</v>
      </c>
    </row>
    <row r="698" spans="1:8">
      <c r="A698" s="3">
        <v>697</v>
      </c>
      <c r="B698" s="4">
        <v>45861.385613425933</v>
      </c>
      <c r="C698" s="5" t="str">
        <v>DAIHATSU GRANMAX PU AC PS 1.5 M/T</v>
      </c>
      <c r="D698" s="5" t="str">
        <v>B3473LI</v>
      </c>
      <c r="E698" s="10">
        <v>14683</v>
      </c>
      <c r="F698" s="3" t="str">
        <v>Iya</v>
      </c>
      <c r="G698" s="4">
        <v>45568</v>
      </c>
      <c r="H698" s="10">
        <v>14683</v>
      </c>
    </row>
    <row r="699" spans="1:8">
      <c r="A699" s="3">
        <v>698</v>
      </c>
      <c r="B699" s="4">
        <v>45861.415625000001</v>
      </c>
      <c r="C699" s="5" t="str">
        <v>DAIHATSU GRANMAX PU AC PS 1.5 M/T</v>
      </c>
      <c r="D699" s="5" t="str">
        <v>B8613WYE</v>
      </c>
      <c r="E699" s="10">
        <v>48018</v>
      </c>
      <c r="F699" s="3" t="str">
        <v>Iya</v>
      </c>
      <c r="G699" s="4">
        <v>45583</v>
      </c>
      <c r="H699" s="10">
        <v>48018</v>
      </c>
    </row>
    <row r="700" spans="1:8">
      <c r="A700" s="3">
        <v>699</v>
      </c>
      <c r="B700" s="4">
        <v>45861.469143518523</v>
      </c>
      <c r="C700" s="5" t="str">
        <v>PICK UP TRAGA 2.5 4X2 MT D M/T</v>
      </c>
      <c r="D700" s="5" t="str">
        <v>B3507YER</v>
      </c>
      <c r="E700" s="10">
        <v>37417</v>
      </c>
      <c r="F700" s="3" t="str">
        <v>Iya</v>
      </c>
      <c r="G700" s="4">
        <v>45841</v>
      </c>
      <c r="H700" s="10">
        <v>37417</v>
      </c>
    </row>
    <row r="701" spans="1:8">
      <c r="A701" s="3">
        <v>700</v>
      </c>
      <c r="B701" s="4">
        <v>45861.500636574077</v>
      </c>
      <c r="C701" s="5" t="str">
        <v>DAIHATSU GRANMAX PU AC PS 1.5 M/T</v>
      </c>
      <c r="D701" s="5" t="str">
        <v>B2772EK</v>
      </c>
      <c r="E701" s="10">
        <v>8823</v>
      </c>
      <c r="F701" s="3" t="str">
        <v>Iya</v>
      </c>
      <c r="G701" s="4">
        <v>45703</v>
      </c>
      <c r="H701" s="10">
        <v>8823</v>
      </c>
    </row>
    <row r="702" spans="1:8">
      <c r="A702" s="3">
        <v>701</v>
      </c>
      <c r="B702" s="4">
        <v>45861.564155092587</v>
      </c>
      <c r="C702" s="5" t="str">
        <v>PICK UP TRAGA 2.5 4X2 MT D M/T</v>
      </c>
      <c r="D702" s="5" t="str">
        <v>B7983KQ</v>
      </c>
      <c r="E702" s="10">
        <v>28010</v>
      </c>
      <c r="F702" s="3" t="str">
        <v>Iya</v>
      </c>
      <c r="G702" s="4">
        <v>45757</v>
      </c>
      <c r="H702" s="10">
        <v>28010</v>
      </c>
    </row>
    <row r="703" spans="1:8">
      <c r="A703" s="3">
        <v>702</v>
      </c>
      <c r="B703" s="4">
        <v>45861.567962962959</v>
      </c>
      <c r="C703" s="5" t="str">
        <v>DAIHATSU GRANMAX PU AC PS 1.5 M/T</v>
      </c>
      <c r="D703" s="5" t="str">
        <v>B6999PZ</v>
      </c>
      <c r="E703" s="10">
        <v>17104</v>
      </c>
      <c r="F703" s="3" t="str">
        <v>Iya</v>
      </c>
      <c r="G703" s="4">
        <v>45861</v>
      </c>
      <c r="H703" s="10">
        <v>17104</v>
      </c>
    </row>
    <row r="704" spans="1:8">
      <c r="A704" s="3">
        <v>703</v>
      </c>
      <c r="B704" s="4">
        <v>45861.573449074072</v>
      </c>
      <c r="C704" s="5" t="str">
        <v>DAIHATSU GRANMAX PU AC PS 1.5 M/T</v>
      </c>
      <c r="D704" s="5" t="str">
        <v>B6633GLS</v>
      </c>
      <c r="E704" s="10">
        <v>14026</v>
      </c>
      <c r="F704" s="3" t="str">
        <v>Iya</v>
      </c>
      <c r="G704" s="4">
        <v>45861</v>
      </c>
      <c r="H704" s="10">
        <v>14026</v>
      </c>
    </row>
    <row r="705" spans="1:8">
      <c r="A705" s="3">
        <v>704</v>
      </c>
      <c r="B705" s="4">
        <v>45861.58421296296</v>
      </c>
      <c r="C705" s="5" t="str">
        <v>DAIHATSU GRANMAX PU AC PS 1.5 M/T</v>
      </c>
      <c r="D705" s="5" t="str">
        <v>B3699EI</v>
      </c>
      <c r="E705" s="10">
        <v>2082</v>
      </c>
      <c r="F705" s="3" t="str">
        <v>Iya</v>
      </c>
      <c r="G705" s="4">
        <v>45842</v>
      </c>
      <c r="H705" s="10">
        <v>2082</v>
      </c>
    </row>
    <row r="706" spans="1:8">
      <c r="A706" s="3">
        <v>705</v>
      </c>
      <c r="B706" s="4">
        <v>45861.592650462961</v>
      </c>
      <c r="C706" s="5" t="str">
        <v>DAIHATSU GRANMAX PU AC PS 1.5 M/T</v>
      </c>
      <c r="D706" s="5" t="str">
        <v>B5790CM</v>
      </c>
      <c r="E706" s="10">
        <v>17005</v>
      </c>
      <c r="F706" s="3" t="str">
        <v>Iya</v>
      </c>
      <c r="G706" s="4">
        <v>45784</v>
      </c>
      <c r="H706" s="10">
        <v>17005</v>
      </c>
    </row>
    <row r="707" spans="1:8">
      <c r="A707" s="3">
        <v>706</v>
      </c>
      <c r="B707" s="4">
        <v>45861.592743055553</v>
      </c>
      <c r="C707" s="5" t="str">
        <v>PICK UP TRAGA 2.5 4X2 MT D M/T</v>
      </c>
      <c r="D707" s="5" t="str">
        <v>B1884ZSB</v>
      </c>
      <c r="E707" s="10">
        <v>48279</v>
      </c>
      <c r="F707" s="3" t="str">
        <v>Iya</v>
      </c>
      <c r="G707" s="4">
        <v>45818</v>
      </c>
      <c r="H707" s="10">
        <v>48279</v>
      </c>
    </row>
    <row r="708" spans="1:8">
      <c r="A708" s="3">
        <v>707</v>
      </c>
      <c r="B708" s="4">
        <v>45861.630219907413</v>
      </c>
      <c r="C708" s="5" t="str">
        <v>Daihatsu Xenia (Badan)</v>
      </c>
      <c r="D708" s="5" t="str">
        <v>B4474RVI</v>
      </c>
      <c r="E708" s="10">
        <v>53298</v>
      </c>
      <c r="F708" s="3" t="str">
        <v>Iya</v>
      </c>
      <c r="G708" s="4">
        <v>45713</v>
      </c>
      <c r="H708" s="10">
        <v>53298</v>
      </c>
    </row>
    <row r="709" spans="1:8">
      <c r="A709" s="3">
        <v>708</v>
      </c>
      <c r="B709" s="4">
        <v>45861.647638888891</v>
      </c>
      <c r="C709" s="5" t="str">
        <v>DAIHATSU GRANMAX PU AC PS 1.5 M/T</v>
      </c>
      <c r="D709" s="5" t="str">
        <v>B9409VZ</v>
      </c>
      <c r="E709" s="10">
        <v>18951</v>
      </c>
      <c r="F709" s="3" t="str">
        <v>Iya</v>
      </c>
      <c r="G709" s="4">
        <v>45427</v>
      </c>
      <c r="H709" s="10">
        <v>18951</v>
      </c>
    </row>
    <row r="710" spans="1:8">
      <c r="A710" s="3">
        <v>709</v>
      </c>
      <c r="B710" s="4">
        <v>45861.689282407409</v>
      </c>
      <c r="C710" s="5" t="str">
        <v>Daihatsu Xenia (Badan)</v>
      </c>
      <c r="D710" s="5" t="str">
        <v>B1923MMD</v>
      </c>
      <c r="E710" s="10">
        <v>24480</v>
      </c>
      <c r="F710" s="3" t="str">
        <v>Iya</v>
      </c>
      <c r="G710" s="4">
        <v>45763</v>
      </c>
      <c r="H710" s="10">
        <v>24480</v>
      </c>
    </row>
    <row r="711" spans="1:8">
      <c r="A711" s="3">
        <v>710</v>
      </c>
      <c r="B711" s="4">
        <v>45861.695902777778</v>
      </c>
      <c r="C711" s="5" t="str">
        <v>PICK UP TRAGA 2.5 4X2 MT D M/T</v>
      </c>
      <c r="D711" s="5" t="str">
        <v>D8314WE</v>
      </c>
      <c r="E711" s="10">
        <v>40802</v>
      </c>
      <c r="F711" s="3" t="str">
        <v>Iya</v>
      </c>
      <c r="G711" s="4">
        <v>45785</v>
      </c>
      <c r="H711" s="10">
        <v>40802</v>
      </c>
    </row>
    <row r="712" spans="1:8">
      <c r="A712" s="3">
        <v>711</v>
      </c>
      <c r="B712" s="4">
        <v>45861.719884259262</v>
      </c>
      <c r="C712" s="5" t="str">
        <v>DAIHATSU GRANMAX PU AC PS 1.5 M/T</v>
      </c>
      <c r="D712" s="5" t="str">
        <v>B9587WL</v>
      </c>
      <c r="E712" s="10">
        <v>1284</v>
      </c>
      <c r="F712" s="3" t="str">
        <v>Iya</v>
      </c>
      <c r="G712" s="4">
        <v>45796</v>
      </c>
      <c r="H712" s="10">
        <v>1284</v>
      </c>
    </row>
    <row r="713" spans="1:8">
      <c r="A713" s="3">
        <v>712</v>
      </c>
      <c r="B713" s="4">
        <v>45861.734849537039</v>
      </c>
      <c r="C713" s="5" t="str">
        <v>DAIHATSU GRANMAX PU AC PS 1.5 M/T</v>
      </c>
      <c r="D713" s="5" t="str">
        <v>B1693MX</v>
      </c>
      <c r="E713" s="10">
        <v>49630</v>
      </c>
      <c r="F713" s="3" t="str">
        <v>Iya</v>
      </c>
      <c r="G713" s="4">
        <v>45666</v>
      </c>
      <c r="H713" s="10">
        <v>49630</v>
      </c>
    </row>
    <row r="714" spans="1:8">
      <c r="A714" s="3">
        <v>713</v>
      </c>
      <c r="B714" s="4">
        <v>45861.752708333333</v>
      </c>
      <c r="C714" s="5" t="str">
        <v>Daihatsu Xenia (Badan)</v>
      </c>
      <c r="D714" s="5" t="str">
        <v>KT6033ET</v>
      </c>
      <c r="E714" s="10">
        <v>39763</v>
      </c>
      <c r="F714" s="3" t="str">
        <v>Iya</v>
      </c>
      <c r="G714" s="4">
        <v>45790</v>
      </c>
      <c r="H714" s="10">
        <v>39763</v>
      </c>
    </row>
    <row r="715" spans="1:8">
      <c r="A715" s="3">
        <v>714</v>
      </c>
      <c r="B715" s="4">
        <v>45861.764201388891</v>
      </c>
      <c r="C715" s="5" t="str">
        <v>PICK UP TRAGA 2.5 4X2 MT D M/T</v>
      </c>
      <c r="D715" s="5" t="str">
        <v>DA2223FX</v>
      </c>
      <c r="E715" s="10">
        <v>46275</v>
      </c>
      <c r="F715" s="3" t="str">
        <v>Iya</v>
      </c>
      <c r="G715" s="4">
        <v>45713</v>
      </c>
      <c r="H715" s="10">
        <v>46275</v>
      </c>
    </row>
    <row r="716" spans="1:8">
      <c r="A716" s="3">
        <v>715</v>
      </c>
      <c r="B716" s="4">
        <v>45861.777858796297</v>
      </c>
      <c r="C716" s="5" t="str">
        <v>PICK UP TRAGA 2.5 4X2 MT D M/T</v>
      </c>
      <c r="D716" s="5" t="str">
        <v>B9624HE</v>
      </c>
      <c r="E716" s="10">
        <v>109805</v>
      </c>
      <c r="F716" s="3" t="str">
        <v>Iya</v>
      </c>
      <c r="G716" s="4">
        <v>45782</v>
      </c>
      <c r="H716" s="10">
        <v>109805</v>
      </c>
    </row>
    <row r="717" spans="1:8">
      <c r="A717" s="3">
        <v>716</v>
      </c>
      <c r="B717" s="4">
        <v>45861.782407407409</v>
      </c>
      <c r="C717" s="5" t="str">
        <v>Daihatsu Xenia (Badan)</v>
      </c>
      <c r="D717" s="5" t="str">
        <v>B4665UI</v>
      </c>
      <c r="E717" s="10">
        <v>7865</v>
      </c>
      <c r="F717" s="3" t="str">
        <v>Iya</v>
      </c>
      <c r="G717" s="4">
        <v>45793</v>
      </c>
      <c r="H717" s="10">
        <v>7865</v>
      </c>
    </row>
    <row r="718" spans="1:8">
      <c r="A718" s="3">
        <v>717</v>
      </c>
      <c r="B718" s="4">
        <v>45861.794282407413</v>
      </c>
      <c r="C718" s="5" t="str">
        <v>DAIHATSU GRANMAX PU AC PS 1.5 M/T</v>
      </c>
      <c r="D718" s="5" t="str">
        <v>B5918LZ</v>
      </c>
      <c r="E718" s="10">
        <v>95539</v>
      </c>
      <c r="F718" s="3" t="str">
        <v>Iya</v>
      </c>
      <c r="G718" s="4">
        <v>45861</v>
      </c>
      <c r="H718" s="10">
        <v>95539</v>
      </c>
    </row>
    <row r="719" spans="1:8">
      <c r="A719" s="3">
        <v>718</v>
      </c>
      <c r="B719" s="4">
        <v>45861.809259259258</v>
      </c>
      <c r="C719" s="5" t="str">
        <v>PICK UP TRAGA 2.5 4X2 MT D M/T</v>
      </c>
      <c r="D719" s="5" t="str">
        <v>B9442AC</v>
      </c>
      <c r="E719" s="10">
        <v>12522</v>
      </c>
      <c r="F719" s="3" t="str">
        <v>Iya</v>
      </c>
      <c r="G719" s="4">
        <v>45848</v>
      </c>
      <c r="H719" s="10">
        <v>12522</v>
      </c>
    </row>
    <row r="720" spans="1:8">
      <c r="A720" s="3">
        <v>719</v>
      </c>
      <c r="B720" s="4">
        <v>45861.812986111108</v>
      </c>
      <c r="C720" s="5" t="str">
        <v>PICK UP TRAGA 2.5 4X2 MT D M/T</v>
      </c>
      <c r="D720" s="5" t="str">
        <v>B9856AGQ</v>
      </c>
      <c r="E720" s="10">
        <v>29276</v>
      </c>
      <c r="F720" s="3" t="str">
        <v>Iya</v>
      </c>
      <c r="G720" s="4">
        <v>45849</v>
      </c>
      <c r="H720" s="10">
        <v>29276</v>
      </c>
    </row>
    <row r="721" spans="1:8">
      <c r="A721" s="3">
        <v>720</v>
      </c>
      <c r="B721" s="4">
        <v>45862.324016203696</v>
      </c>
      <c r="C721" s="5" t="str">
        <v>PICK UP TRAGA 2.5 4X2 MT D M/T</v>
      </c>
      <c r="D721" s="5" t="str">
        <v>B2543AR</v>
      </c>
      <c r="E721" s="10">
        <v>28689</v>
      </c>
      <c r="F721" s="3" t="str">
        <v>Iya</v>
      </c>
      <c r="G721" s="4">
        <v>45857</v>
      </c>
      <c r="H721" s="10">
        <v>28689</v>
      </c>
    </row>
    <row r="722" spans="1:8">
      <c r="A722" s="3">
        <v>721</v>
      </c>
      <c r="B722" s="4">
        <v>45862.32984953704</v>
      </c>
      <c r="C722" s="5" t="str">
        <v>PICK UP TRAGA 2.5 4X2 MT D M/T</v>
      </c>
      <c r="D722" s="5" t="str">
        <v>B3245IGH</v>
      </c>
      <c r="E722" s="10">
        <v>41871</v>
      </c>
      <c r="F722" s="3" t="str">
        <v>Iya</v>
      </c>
      <c r="G722" s="4">
        <v>45860</v>
      </c>
      <c r="H722" s="10">
        <v>41871</v>
      </c>
    </row>
    <row r="723" spans="1:8">
      <c r="A723" s="3">
        <v>722</v>
      </c>
      <c r="B723" s="4">
        <v>45862.332986111112</v>
      </c>
      <c r="C723" s="5" t="str">
        <v>DAIHATSU GRANMAX PU AC PS 1.5 M/T</v>
      </c>
      <c r="D723" s="5" t="str">
        <v>B3144SJ</v>
      </c>
      <c r="E723" s="10">
        <v>42523</v>
      </c>
      <c r="F723" s="3" t="str">
        <v>Iya</v>
      </c>
      <c r="G723" s="4">
        <v>45811</v>
      </c>
      <c r="H723" s="10">
        <v>42523</v>
      </c>
    </row>
    <row r="724" spans="1:8">
      <c r="A724" s="3">
        <v>723</v>
      </c>
      <c r="B724" s="4">
        <v>45862.427106481482</v>
      </c>
      <c r="C724" s="5" t="str">
        <v>DAIHATSU GRANMAX PU AC PS 1.5 M/T</v>
      </c>
      <c r="D724" s="5" t="str">
        <v>B4036RJ</v>
      </c>
      <c r="E724" s="10">
        <v>3392</v>
      </c>
      <c r="F724" s="3" t="str">
        <v>Iya</v>
      </c>
      <c r="G724" s="4">
        <v>45862</v>
      </c>
      <c r="H724" s="10">
        <v>3392</v>
      </c>
    </row>
    <row r="725" spans="1:8">
      <c r="A725" s="3">
        <v>724</v>
      </c>
      <c r="B725" s="4">
        <v>45862.45103009259</v>
      </c>
      <c r="C725" s="5" t="str">
        <v>DAIHATSU GRANMAX PU AC PS 1.5 M/T</v>
      </c>
      <c r="D725" s="5" t="str">
        <v>B6871DFH</v>
      </c>
      <c r="E725" s="10">
        <v>6212</v>
      </c>
      <c r="F725" s="3" t="str">
        <v>Iya</v>
      </c>
      <c r="G725" s="4">
        <v>45862</v>
      </c>
      <c r="H725" s="10">
        <v>6212</v>
      </c>
    </row>
    <row r="726" spans="1:8">
      <c r="A726" s="3">
        <v>725</v>
      </c>
      <c r="B726" s="4">
        <v>45862.455416666657</v>
      </c>
      <c r="C726" s="5" t="str">
        <v>DAIHATSU GRANMAX PU AC PS 1.5 M/T</v>
      </c>
      <c r="D726" s="5" t="str">
        <v>B3365TAQ</v>
      </c>
      <c r="E726" s="10">
        <v>70722</v>
      </c>
      <c r="F726" s="3" t="str">
        <v>Iya</v>
      </c>
      <c r="G726" s="4">
        <v>45840</v>
      </c>
      <c r="H726" s="10">
        <v>70722</v>
      </c>
    </row>
    <row r="727" spans="1:8">
      <c r="A727" s="3">
        <v>726</v>
      </c>
      <c r="B727" s="4">
        <v>45862.459467592591</v>
      </c>
      <c r="C727" s="5" t="str">
        <v>PICK UP TRAGA 2.5 4X2 MT D M/T</v>
      </c>
      <c r="D727" s="5" t="str">
        <v>B2514HCV</v>
      </c>
      <c r="E727" s="10">
        <v>8055</v>
      </c>
      <c r="F727" s="3" t="str">
        <v>Iya</v>
      </c>
      <c r="G727" s="4">
        <v>45840</v>
      </c>
      <c r="H727" s="10">
        <v>8055</v>
      </c>
    </row>
    <row r="728" spans="1:8">
      <c r="A728" s="3">
        <v>727</v>
      </c>
      <c r="B728" s="4">
        <v>45862.492800925917</v>
      </c>
      <c r="C728" s="5" t="str">
        <v>DAIHATSU GRANMAX PU AC PS 1.5 M/T</v>
      </c>
      <c r="D728" s="5" t="str">
        <v>B1827DA</v>
      </c>
      <c r="E728" s="10">
        <v>15499</v>
      </c>
      <c r="F728" s="3" t="str">
        <v>Iya</v>
      </c>
      <c r="G728" s="4">
        <v>45801</v>
      </c>
      <c r="H728" s="10">
        <v>15499</v>
      </c>
    </row>
    <row r="729" spans="1:8">
      <c r="A729" s="3">
        <v>728</v>
      </c>
      <c r="B729" s="4">
        <v>45862.539803240739</v>
      </c>
      <c r="C729" s="5" t="str">
        <v>PICK UP TRAGA 2.5 4X2 MT D M/T</v>
      </c>
      <c r="D729" s="5" t="str">
        <v>B4361MD</v>
      </c>
      <c r="E729" s="10">
        <v>53083</v>
      </c>
      <c r="F729" s="3" t="str">
        <v>Iya</v>
      </c>
      <c r="G729" s="4">
        <v>45849</v>
      </c>
      <c r="H729" s="10">
        <v>53083</v>
      </c>
    </row>
    <row r="730" spans="1:8">
      <c r="A730" s="3">
        <v>729</v>
      </c>
      <c r="B730" s="4">
        <v>45862.568101851852</v>
      </c>
      <c r="C730" s="5" t="str">
        <v>DAIHATSU GRANMAX PU AC PS 1.5 M/T</v>
      </c>
      <c r="D730" s="5" t="str">
        <v>B9946LF</v>
      </c>
      <c r="E730" s="10">
        <v>25631</v>
      </c>
      <c r="F730" s="3" t="str">
        <v>Iya</v>
      </c>
      <c r="G730" s="4">
        <v>45845</v>
      </c>
      <c r="H730" s="10">
        <v>25631</v>
      </c>
    </row>
    <row r="731" spans="1:8">
      <c r="A731" s="3">
        <v>730</v>
      </c>
      <c r="B731" s="4">
        <v>45862.641365740739</v>
      </c>
      <c r="C731" s="5" t="str">
        <v>PICK UP TRAGA 2.5 4X2 MT D M/T</v>
      </c>
      <c r="D731" s="5" t="str">
        <v>B6633GLS</v>
      </c>
      <c r="E731" s="10">
        <v>13220</v>
      </c>
      <c r="F731" s="3" t="str">
        <v>Iya</v>
      </c>
      <c r="G731" s="4">
        <v>45861</v>
      </c>
      <c r="H731" s="10">
        <v>13220</v>
      </c>
    </row>
    <row r="732" spans="1:8">
      <c r="A732" s="3">
        <v>731</v>
      </c>
      <c r="B732" s="4">
        <v>45863.353703703702</v>
      </c>
      <c r="C732" s="5" t="str">
        <v>DAIHATSU GRANMAX PU AC PS 1.5 M/T</v>
      </c>
      <c r="D732" s="5" t="str">
        <v>B2047SQ</v>
      </c>
      <c r="E732" s="10">
        <v>31971</v>
      </c>
      <c r="F732" s="3" t="str">
        <v>Iya</v>
      </c>
      <c r="G732" s="4">
        <v>45819</v>
      </c>
      <c r="H732" s="10">
        <v>31971</v>
      </c>
    </row>
    <row r="733" spans="1:8">
      <c r="A733" s="3">
        <v>732</v>
      </c>
      <c r="B733" s="4">
        <v>45863.599988425929</v>
      </c>
      <c r="C733" s="5" t="str">
        <v>PICK UP TRAGA 2.5 4X2 MT D M/T</v>
      </c>
      <c r="D733" s="5" t="str">
        <v>B7915GBS</v>
      </c>
      <c r="E733" s="10">
        <v>42677</v>
      </c>
      <c r="F733" s="3" t="str">
        <v>Iya</v>
      </c>
      <c r="G733" s="4">
        <v>45737</v>
      </c>
      <c r="H733" s="10">
        <v>42677</v>
      </c>
    </row>
    <row r="734" spans="1:8">
      <c r="A734" s="3">
        <v>733</v>
      </c>
      <c r="B734" s="4">
        <v>45864.571087962962</v>
      </c>
      <c r="C734" s="5" t="str">
        <v>DAIHATSU GRANMAX PU AC PS 1.5 M/T</v>
      </c>
      <c r="D734" s="5" t="str">
        <v>AB5434PRX</v>
      </c>
      <c r="E734" s="10">
        <v>35100</v>
      </c>
      <c r="F734" s="3" t="str">
        <v>Iya</v>
      </c>
      <c r="G734" s="4">
        <v>45864</v>
      </c>
      <c r="H734" s="10">
        <v>35100</v>
      </c>
    </row>
    <row r="735" spans="1:8">
      <c r="A735" s="3">
        <v>734</v>
      </c>
      <c r="B735" s="4">
        <v>45865.592650462961</v>
      </c>
      <c r="C735" s="5" t="str">
        <v>PICK UP TRAGA 2.5 4X2 MT D M/T</v>
      </c>
      <c r="D735" s="5" t="str">
        <v>B9410TZ</v>
      </c>
      <c r="E735" s="10">
        <v>14386</v>
      </c>
      <c r="F735" s="3" t="str">
        <v>Iya</v>
      </c>
      <c r="G735" s="4">
        <v>45765</v>
      </c>
      <c r="H735" s="10">
        <v>14386</v>
      </c>
    </row>
    <row r="736" spans="1:8">
      <c r="A736" s="3">
        <v>735</v>
      </c>
      <c r="B736" s="4">
        <v>45866.621469907397</v>
      </c>
      <c r="C736" s="5" t="str">
        <v>PICK UP TRAGA 2.5 4X2 MT D M/T</v>
      </c>
      <c r="D736" s="5" t="str">
        <v>DA2696LV</v>
      </c>
      <c r="E736" s="10">
        <v>75434</v>
      </c>
      <c r="F736" s="3" t="str">
        <v>Iya</v>
      </c>
      <c r="G736" s="4">
        <v>45863</v>
      </c>
      <c r="H736" s="10">
        <v>75434</v>
      </c>
    </row>
    <row r="737" spans="1:8">
      <c r="A737" s="3">
        <v>736</v>
      </c>
      <c r="B737" s="4">
        <v>45866.624305555553</v>
      </c>
      <c r="C737" s="5" t="str">
        <v>DAIHATSU GRANMAX PU AC PS 1.5 M/T</v>
      </c>
      <c r="D737" s="5" t="str">
        <v>B8742VP</v>
      </c>
      <c r="E737" s="10">
        <v>9355</v>
      </c>
      <c r="F737" s="3" t="str">
        <v>Iya</v>
      </c>
      <c r="G737" s="4">
        <v>45761</v>
      </c>
      <c r="H737" s="10">
        <v>9355</v>
      </c>
    </row>
    <row r="738" spans="1:8">
      <c r="A738" s="3">
        <v>737</v>
      </c>
      <c r="B738" s="4">
        <v>45866.62835648148</v>
      </c>
      <c r="C738" s="5" t="str">
        <v>DAIHATSU GRANMAX PU AC PS 1.5 M/T</v>
      </c>
      <c r="D738" s="5" t="str">
        <v>B3540VF</v>
      </c>
      <c r="E738" s="10">
        <v>18088</v>
      </c>
      <c r="F738" s="3" t="str">
        <v>Iya</v>
      </c>
      <c r="G738" s="4">
        <v>45701</v>
      </c>
      <c r="H738" s="10">
        <v>18088</v>
      </c>
    </row>
    <row r="739" spans="1:8">
      <c r="A739" s="3">
        <v>738</v>
      </c>
      <c r="B739" s="4">
        <v>45866.629548611112</v>
      </c>
      <c r="C739" s="5" t="str">
        <v>DAIHATSU GRANMAX PU AC PS 1.5 M/T</v>
      </c>
      <c r="D739" s="5" t="str">
        <v>B8144GH</v>
      </c>
      <c r="E739" s="10">
        <v>6744</v>
      </c>
      <c r="F739" s="3" t="str">
        <v>Iya</v>
      </c>
      <c r="G739" s="4">
        <v>45620</v>
      </c>
      <c r="H739" s="10">
        <v>6744</v>
      </c>
    </row>
    <row r="740" spans="1:8">
      <c r="A740" s="3">
        <v>739</v>
      </c>
      <c r="B740" s="4">
        <v>45866.650856481479</v>
      </c>
      <c r="C740" s="5" t="str">
        <v>DAIHATSU GRANMAX PU AC PS 1.5 M/T</v>
      </c>
      <c r="D740" s="5" t="str">
        <v>B1960LKY</v>
      </c>
      <c r="E740" s="10">
        <v>41886</v>
      </c>
      <c r="F740" s="3" t="str">
        <v>Iya</v>
      </c>
      <c r="G740" s="4">
        <v>45762</v>
      </c>
      <c r="H740" s="10">
        <v>41886</v>
      </c>
    </row>
    <row r="741" spans="1:8">
      <c r="A741" s="3">
        <v>740</v>
      </c>
      <c r="B741" s="4">
        <v>45866.655277777783</v>
      </c>
      <c r="C741" s="5" t="str">
        <v>DAIHATSU GRANMAX PU AC PS 1.5 M/T</v>
      </c>
      <c r="D741" s="5" t="str">
        <v>B4242KSP</v>
      </c>
      <c r="E741" s="10">
        <v>31651</v>
      </c>
      <c r="F741" s="3" t="str">
        <v>Iya</v>
      </c>
      <c r="G741" s="4">
        <v>45813</v>
      </c>
      <c r="H741" s="10">
        <v>31651</v>
      </c>
    </row>
    <row r="742" spans="1:8">
      <c r="A742" s="3">
        <v>741</v>
      </c>
      <c r="B742" s="4">
        <v>45866.663206018522</v>
      </c>
      <c r="C742" s="5" t="str">
        <v>PICK UP TRAGA 2.5 4X2 MT D M/T</v>
      </c>
      <c r="D742" s="5" t="str">
        <v>B9848XJ</v>
      </c>
      <c r="E742" s="10">
        <v>69392</v>
      </c>
      <c r="F742" s="3" t="str">
        <v>Iya</v>
      </c>
      <c r="G742" s="4">
        <v>45836</v>
      </c>
      <c r="H742" s="10">
        <v>69392</v>
      </c>
    </row>
    <row r="743" spans="1:8">
      <c r="A743" s="3">
        <v>742</v>
      </c>
      <c r="B743" s="4">
        <v>45866.679548611108</v>
      </c>
      <c r="C743" s="5" t="str">
        <v>DAIHATSU GRANMAX PU AC PS 1.5 M/T</v>
      </c>
      <c r="D743" s="5" t="str">
        <v>B5205ZM</v>
      </c>
      <c r="E743" s="10">
        <v>17821</v>
      </c>
      <c r="F743" s="3" t="str">
        <v>Iya</v>
      </c>
      <c r="G743" s="4">
        <v>45695</v>
      </c>
      <c r="H743" s="10">
        <v>17821</v>
      </c>
    </row>
    <row r="744" spans="1:8">
      <c r="A744" s="3">
        <v>743</v>
      </c>
      <c r="B744" s="4">
        <v>45866.741712962961</v>
      </c>
      <c r="C744" s="5" t="str">
        <v>DAIHATSU GRANMAX PU AC PS 1.5 M/T</v>
      </c>
      <c r="D744" s="5" t="str">
        <v>B3561NJ</v>
      </c>
      <c r="E744" s="10">
        <v>14474</v>
      </c>
      <c r="F744" s="3" t="str">
        <v>Iya</v>
      </c>
      <c r="G744" s="4">
        <v>45805</v>
      </c>
      <c r="H744" s="10">
        <v>14474</v>
      </c>
    </row>
    <row r="745" spans="1:8">
      <c r="A745" s="3">
        <v>744</v>
      </c>
      <c r="B745" s="4">
        <v>45866.752233796287</v>
      </c>
      <c r="C745" s="5" t="str">
        <v>DAIHATSU GRANMAX PU AC PS 1.5 M/T</v>
      </c>
      <c r="D745" s="5" t="str">
        <v>B7960GK</v>
      </c>
      <c r="E745" s="10">
        <v>19961</v>
      </c>
      <c r="F745" s="3" t="str">
        <v>Iya</v>
      </c>
      <c r="G745" s="4">
        <v>45668</v>
      </c>
      <c r="H745" s="10">
        <v>19961</v>
      </c>
    </row>
    <row r="746" spans="1:8">
      <c r="A746" s="3">
        <v>745</v>
      </c>
      <c r="B746" s="4">
        <v>45867.349062499998</v>
      </c>
      <c r="C746" s="5" t="str">
        <v>DAIHATSU GRANMAX PU AC PS 1.5 M/T</v>
      </c>
      <c r="D746" s="5" t="str">
        <v>D9851QY</v>
      </c>
      <c r="E746" s="10">
        <v>4027</v>
      </c>
      <c r="F746" s="3" t="str">
        <v>Iya</v>
      </c>
      <c r="G746" s="4">
        <v>45827</v>
      </c>
      <c r="H746" s="10">
        <v>4027</v>
      </c>
    </row>
    <row r="747" spans="1:8">
      <c r="A747" s="3">
        <v>746</v>
      </c>
      <c r="B747" s="4">
        <v>45867.389155092591</v>
      </c>
      <c r="C747" s="5" t="str">
        <v>DAIHATSU GRANMAX PU AC PS 1.5 M/T</v>
      </c>
      <c r="D747" s="5" t="str">
        <v>KT3681HUC</v>
      </c>
      <c r="E747" s="10">
        <v>19799</v>
      </c>
      <c r="F747" s="3" t="str">
        <v>Iya</v>
      </c>
      <c r="G747" s="4">
        <v>45785</v>
      </c>
      <c r="H747" s="10">
        <v>19799</v>
      </c>
    </row>
    <row r="748" spans="1:8">
      <c r="A748" s="3">
        <v>747</v>
      </c>
      <c r="B748" s="4">
        <v>45867.418333333328</v>
      </c>
      <c r="C748" s="5" t="str">
        <v>DAIHATSU GRANMAX PU AC PS 1.5 M/T</v>
      </c>
      <c r="D748" s="5" t="str">
        <v>B6876VS</v>
      </c>
      <c r="E748" s="10">
        <v>22747</v>
      </c>
      <c r="F748" s="3" t="str">
        <v>Iya</v>
      </c>
      <c r="G748" s="4">
        <v>45701</v>
      </c>
      <c r="H748" s="10">
        <v>22747</v>
      </c>
    </row>
    <row r="749" spans="1:8">
      <c r="A749" s="3">
        <v>748</v>
      </c>
      <c r="B749" s="4">
        <v>45867.420740740738</v>
      </c>
      <c r="C749" s="5" t="str">
        <v>DAIHATSU GRANMAX PU AC PS 1.5 M/T</v>
      </c>
      <c r="D749" s="5" t="str">
        <v>AB1281PCR</v>
      </c>
      <c r="E749" s="10">
        <v>21785</v>
      </c>
      <c r="F749" s="3" t="str">
        <v>Iya</v>
      </c>
      <c r="G749" s="4">
        <v>45687</v>
      </c>
      <c r="H749" s="10">
        <v>21785</v>
      </c>
    </row>
    <row r="750" spans="1:8">
      <c r="A750" s="3">
        <v>749</v>
      </c>
      <c r="B750" s="4">
        <v>45867.437314814822</v>
      </c>
      <c r="C750" s="5" t="str">
        <v>DAIHATSU GRANMAX PU AC PS 1.5 M/T</v>
      </c>
      <c r="D750" s="5" t="str">
        <v>B4356XF</v>
      </c>
      <c r="E750" s="10">
        <v>37524</v>
      </c>
      <c r="F750" s="3" t="str">
        <v>Iya</v>
      </c>
      <c r="G750" s="4">
        <v>45797</v>
      </c>
      <c r="H750" s="10">
        <v>37524</v>
      </c>
    </row>
    <row r="751" spans="1:8">
      <c r="A751" s="3">
        <v>750</v>
      </c>
      <c r="B751" s="4">
        <v>45867.440868055557</v>
      </c>
      <c r="C751" s="5" t="str">
        <v>DAIHATSU GRANMAX PU AC PS 1.5 M/T</v>
      </c>
      <c r="D751" s="5" t="str">
        <v>AB8251AD</v>
      </c>
      <c r="E751" s="10">
        <v>30646</v>
      </c>
      <c r="F751" s="3" t="str">
        <v>Iya</v>
      </c>
      <c r="G751" s="4">
        <v>45839</v>
      </c>
      <c r="H751" s="10">
        <v>30646</v>
      </c>
    </row>
    <row r="752" spans="1:8">
      <c r="A752" s="3">
        <v>751</v>
      </c>
      <c r="B752" s="4">
        <v>45867.444467592592</v>
      </c>
      <c r="C752" s="5" t="str">
        <v>DAIHATSU GRANMAX PU AC PS 1.5 M/T</v>
      </c>
      <c r="D752" s="5" t="str">
        <v>DD2694FT</v>
      </c>
      <c r="E752" s="10">
        <v>19664</v>
      </c>
      <c r="F752" s="3" t="str">
        <v>Iya</v>
      </c>
      <c r="G752" s="4">
        <v>45703</v>
      </c>
      <c r="H752" s="10">
        <v>19664</v>
      </c>
    </row>
    <row r="753" spans="1:8">
      <c r="A753" s="3">
        <v>752</v>
      </c>
      <c r="B753" s="4">
        <v>45867.450995370367</v>
      </c>
      <c r="C753" s="5" t="str">
        <v>DAIHATSU GRANMAX PU AC PS 1.5 M/T</v>
      </c>
      <c r="D753" s="5" t="str">
        <v>B8144GH</v>
      </c>
      <c r="E753" s="10">
        <v>7033</v>
      </c>
      <c r="F753" s="3" t="str">
        <v>Iya</v>
      </c>
      <c r="G753" s="4">
        <v>45867</v>
      </c>
      <c r="H753" s="10">
        <v>7033</v>
      </c>
    </row>
    <row r="754" spans="1:8">
      <c r="A754" s="3">
        <v>753</v>
      </c>
      <c r="B754" s="4">
        <v>45867.452743055554</v>
      </c>
      <c r="C754" s="5" t="str">
        <v>PICK UP TRAGA 2.5 4X2 MT D M/T</v>
      </c>
      <c r="D754" s="5" t="str">
        <v>B1419NV</v>
      </c>
      <c r="E754" s="10">
        <v>114136</v>
      </c>
      <c r="F754" s="3" t="str">
        <v>Iya</v>
      </c>
      <c r="G754" s="4">
        <v>45852</v>
      </c>
      <c r="H754" s="10">
        <v>114136</v>
      </c>
    </row>
    <row r="755" spans="1:8">
      <c r="A755" s="3">
        <v>754</v>
      </c>
      <c r="B755" s="4">
        <v>45867.452962962961</v>
      </c>
      <c r="C755" s="5" t="str">
        <v>DAIHATSU GRANMAX PU AC PS 1.5 M/T</v>
      </c>
      <c r="D755" s="5" t="str">
        <v>B3087ASI</v>
      </c>
      <c r="E755" s="10">
        <v>25013</v>
      </c>
      <c r="F755" s="3" t="str">
        <v>Iya</v>
      </c>
      <c r="G755" s="4">
        <v>45780</v>
      </c>
      <c r="H755" s="10">
        <v>25013</v>
      </c>
    </row>
    <row r="756" spans="1:8">
      <c r="A756" s="3">
        <v>755</v>
      </c>
      <c r="B756" s="4">
        <v>45867.454988425918</v>
      </c>
      <c r="C756" s="5" t="str">
        <v>PICK UP TRAGA 2.5 4X2 MT D M/T</v>
      </c>
      <c r="D756" s="5" t="str">
        <v>B2886XC</v>
      </c>
      <c r="E756" s="10">
        <v>9969</v>
      </c>
      <c r="F756" s="3" t="str">
        <v>Iya</v>
      </c>
      <c r="G756" s="4">
        <v>45867</v>
      </c>
      <c r="H756" s="10">
        <v>9969</v>
      </c>
    </row>
    <row r="757" spans="1:8">
      <c r="A757" s="3">
        <v>756</v>
      </c>
      <c r="B757" s="4">
        <v>45867.457662037043</v>
      </c>
      <c r="C757" s="5" t="str">
        <v>DAIHATSU GRANMAX PU AC PS 1.5 M/T</v>
      </c>
      <c r="D757" s="5" t="str">
        <v>B6193SD</v>
      </c>
      <c r="E757" s="10">
        <v>11474</v>
      </c>
      <c r="F757" s="3" t="str">
        <v>Iya</v>
      </c>
      <c r="G757" s="4">
        <v>45720</v>
      </c>
      <c r="H757" s="10">
        <v>11474</v>
      </c>
    </row>
    <row r="758" spans="1:8">
      <c r="A758" s="3">
        <v>757</v>
      </c>
      <c r="B758" s="4">
        <v>45867.459108796298</v>
      </c>
      <c r="C758" s="5" t="str">
        <v>DAIHATSU GRANMAX PU AC PS 1.5 M/T</v>
      </c>
      <c r="D758" s="5" t="str">
        <v>B8474IXR</v>
      </c>
      <c r="E758" s="10">
        <v>12961</v>
      </c>
      <c r="F758" s="3" t="str">
        <v>Iya</v>
      </c>
      <c r="G758" s="4">
        <v>45764</v>
      </c>
      <c r="H758" s="10">
        <v>12961</v>
      </c>
    </row>
    <row r="759" spans="1:8">
      <c r="A759" s="3">
        <v>758</v>
      </c>
      <c r="B759" s="4">
        <v>45867.459328703713</v>
      </c>
      <c r="C759" s="5" t="str">
        <v>PICK UP TRAGA 2.5 4X2 MT D M/T</v>
      </c>
      <c r="D759" s="5" t="str">
        <v>B1167YL</v>
      </c>
      <c r="E759" s="10">
        <v>18595</v>
      </c>
      <c r="F759" s="3" t="str">
        <v>Iya</v>
      </c>
      <c r="G759" s="4">
        <v>45864</v>
      </c>
      <c r="H759" s="10">
        <v>18595</v>
      </c>
    </row>
    <row r="760" spans="1:8">
      <c r="A760" s="3">
        <v>759</v>
      </c>
      <c r="B760" s="4">
        <v>45867.468101851853</v>
      </c>
      <c r="C760" s="5" t="str">
        <v>DAIHATSU GRANMAX PU AC PS 1.5 M/T</v>
      </c>
      <c r="D760" s="5" t="str">
        <v>B9487WI</v>
      </c>
      <c r="E760" s="10">
        <v>71223</v>
      </c>
      <c r="F760" s="3" t="str">
        <v>Iya</v>
      </c>
      <c r="G760" s="4">
        <v>45701</v>
      </c>
      <c r="H760" s="10">
        <v>71223</v>
      </c>
    </row>
    <row r="761" spans="1:8">
      <c r="A761" s="3">
        <v>760</v>
      </c>
      <c r="B761" s="4">
        <v>45867.475138888891</v>
      </c>
      <c r="C761" s="5" t="str">
        <v>DAIHATSU GRANMAX PU AC PS 1.5 M/T</v>
      </c>
      <c r="D761" s="5" t="str">
        <v>B8732XP</v>
      </c>
      <c r="E761" s="10">
        <v>28384</v>
      </c>
      <c r="F761" s="3" t="str">
        <v>Iya</v>
      </c>
      <c r="G761" s="4">
        <v>45841</v>
      </c>
      <c r="H761" s="10">
        <v>28384</v>
      </c>
    </row>
    <row r="762" spans="1:8">
      <c r="A762" s="3">
        <v>761</v>
      </c>
      <c r="B762" s="4">
        <v>45867.483726851853</v>
      </c>
      <c r="C762" s="5" t="str">
        <v>DAIHATSU GRANMAX PU AC PS 1.5 M/T</v>
      </c>
      <c r="D762" s="5" t="str">
        <v>DD1071FI</v>
      </c>
      <c r="E762" s="10">
        <v>27643</v>
      </c>
      <c r="F762" s="3" t="str">
        <v>Iya</v>
      </c>
      <c r="G762" s="4">
        <v>45722</v>
      </c>
      <c r="H762" s="10">
        <v>27643</v>
      </c>
    </row>
    <row r="763" spans="1:8">
      <c r="A763" s="3">
        <v>762</v>
      </c>
      <c r="B763" s="4">
        <v>45867.484849537039</v>
      </c>
      <c r="C763" s="5" t="str">
        <v>PICK UP TRAGA 2.5 4X2 MT D M/T</v>
      </c>
      <c r="D763" s="5" t="str">
        <v>B4656ZVZ</v>
      </c>
      <c r="E763" s="10">
        <v>34902</v>
      </c>
      <c r="F763" s="3" t="str">
        <v>Iya</v>
      </c>
      <c r="G763" s="4">
        <v>45866</v>
      </c>
      <c r="H763" s="10">
        <v>34902</v>
      </c>
    </row>
    <row r="764" spans="1:8">
      <c r="A764" s="3">
        <v>763</v>
      </c>
      <c r="B764" s="4">
        <v>45867.48847222222</v>
      </c>
      <c r="C764" s="5" t="str">
        <v>DAIHATSU GRANMAX PU AC PS 1.5 M/T</v>
      </c>
      <c r="D764" s="5" t="str">
        <v>H4950GZ</v>
      </c>
      <c r="E764" s="10">
        <v>5821</v>
      </c>
      <c r="F764" s="3" t="str">
        <v>Iya</v>
      </c>
      <c r="G764" s="4">
        <v>45825</v>
      </c>
      <c r="H764" s="10">
        <v>5821</v>
      </c>
    </row>
    <row r="765" spans="1:8">
      <c r="A765" s="3">
        <v>764</v>
      </c>
      <c r="B765" s="4">
        <v>45867.50571759259</v>
      </c>
      <c r="C765" s="5" t="str">
        <v>DAIHATSU GRANMAX PU AC PS 1.5 M/T</v>
      </c>
      <c r="D765" s="5" t="str">
        <v>B7223XEX</v>
      </c>
      <c r="E765" s="10">
        <v>53201</v>
      </c>
      <c r="F765" s="3" t="str">
        <v>Iya</v>
      </c>
      <c r="G765" s="4">
        <v>45695</v>
      </c>
      <c r="H765" s="10">
        <v>53201</v>
      </c>
    </row>
    <row r="766" spans="1:8">
      <c r="A766" s="3">
        <v>765</v>
      </c>
      <c r="B766" s="4">
        <v>45867.518842592603</v>
      </c>
      <c r="C766" s="5" t="str">
        <v>DAIHATSU GRANMAX PU AC PS 1.5 M/T</v>
      </c>
      <c r="D766" s="5" t="str">
        <v>B7162IV</v>
      </c>
      <c r="E766" s="10">
        <v>5553</v>
      </c>
      <c r="F766" s="3" t="str">
        <v>Iya</v>
      </c>
      <c r="G766" s="4">
        <v>45910</v>
      </c>
      <c r="H766" s="10">
        <v>5553</v>
      </c>
    </row>
    <row r="767" spans="1:8">
      <c r="A767" s="3">
        <v>766</v>
      </c>
      <c r="B767" s="4">
        <v>45867.53365740741</v>
      </c>
      <c r="C767" s="5" t="str">
        <v>PICK UP TRAGA 2.5 4X2 MT D M/T</v>
      </c>
      <c r="D767" s="5" t="str">
        <v>B4667XM</v>
      </c>
      <c r="E767" s="10">
        <v>42589</v>
      </c>
      <c r="F767" s="3" t="str">
        <v>Iya</v>
      </c>
      <c r="G767" s="4">
        <v>45820</v>
      </c>
      <c r="H767" s="10">
        <v>42589</v>
      </c>
    </row>
    <row r="768" spans="1:8">
      <c r="A768" s="3">
        <v>767</v>
      </c>
      <c r="B768" s="4">
        <v>45867.538101851853</v>
      </c>
      <c r="C768" s="5" t="str">
        <v>DAIHATSU GRANMAX PU AC PS 1.5 M/T</v>
      </c>
      <c r="D768" s="5" t="str">
        <v>B9244VW</v>
      </c>
      <c r="E768" s="10">
        <v>10948</v>
      </c>
      <c r="F768" s="3" t="str">
        <v>Iya</v>
      </c>
      <c r="G768" s="4">
        <v>45833</v>
      </c>
      <c r="H768" s="10">
        <v>10948</v>
      </c>
    </row>
    <row r="769" spans="1:8">
      <c r="A769" s="3">
        <v>768</v>
      </c>
      <c r="B769" s="4">
        <v>45867.576157407413</v>
      </c>
      <c r="C769" s="5" t="str">
        <v>PICK UP TRAGA 2.5 4X2 MT D M/T</v>
      </c>
      <c r="D769" s="5" t="str">
        <v>B2710QMZ</v>
      </c>
      <c r="E769" s="10">
        <v>44781</v>
      </c>
      <c r="F769" s="3" t="str">
        <v>Iya</v>
      </c>
      <c r="G769" s="4">
        <v>45852</v>
      </c>
      <c r="H769" s="10">
        <v>44781</v>
      </c>
    </row>
    <row r="770" spans="1:8">
      <c r="A770" s="3">
        <v>769</v>
      </c>
      <c r="B770" s="4">
        <v>45867.592581018522</v>
      </c>
      <c r="C770" s="5" t="str">
        <v>PICK UP TRAGA 2.5 4X2 MT D M/T</v>
      </c>
      <c r="D770" s="5" t="str">
        <v>B2784YG</v>
      </c>
      <c r="E770" s="10">
        <v>69653</v>
      </c>
      <c r="F770" s="3" t="str">
        <v>Iya</v>
      </c>
      <c r="G770" s="4">
        <v>45841</v>
      </c>
      <c r="H770" s="10">
        <v>69653</v>
      </c>
    </row>
    <row r="771" spans="1:8">
      <c r="A771" s="3">
        <v>770</v>
      </c>
      <c r="B771" s="4">
        <v>45867.598194444443</v>
      </c>
      <c r="C771" s="5" t="str">
        <v>PICK UP TRAGA 2.5 4X2 MT D M/T</v>
      </c>
      <c r="D771" s="5" t="str">
        <v>AB3137TU</v>
      </c>
      <c r="E771" s="10">
        <v>2762</v>
      </c>
      <c r="F771" s="3" t="str">
        <v>Iya</v>
      </c>
      <c r="G771" s="4">
        <v>45717</v>
      </c>
      <c r="H771" s="10">
        <v>2762</v>
      </c>
    </row>
    <row r="772" spans="1:8">
      <c r="A772" s="3">
        <v>771</v>
      </c>
      <c r="B772" s="4">
        <v>45867.599988425929</v>
      </c>
      <c r="C772" s="5" t="str">
        <v>PICK UP TRAGA 2.5 4X2 MT D M/T</v>
      </c>
      <c r="D772" s="5" t="str">
        <v>KB3547AT</v>
      </c>
      <c r="E772" s="10">
        <v>35404</v>
      </c>
      <c r="F772" s="3" t="str">
        <v>Iya</v>
      </c>
      <c r="G772" s="4">
        <v>45826</v>
      </c>
      <c r="H772" s="10">
        <v>35404</v>
      </c>
    </row>
    <row r="773" spans="1:8">
      <c r="A773" s="3">
        <v>772</v>
      </c>
      <c r="B773" s="4">
        <v>45867.602349537039</v>
      </c>
      <c r="C773" s="5" t="str">
        <v>DAIHATSU GRANMAX PU AC PS 1.5 M/T</v>
      </c>
      <c r="D773" s="5" t="str">
        <v>B4293EW</v>
      </c>
      <c r="E773" s="10">
        <v>86045</v>
      </c>
      <c r="F773" s="3" t="str">
        <v>Iya</v>
      </c>
      <c r="G773" s="4">
        <v>45708</v>
      </c>
      <c r="H773" s="10">
        <v>86045</v>
      </c>
    </row>
    <row r="774" spans="1:8">
      <c r="A774" s="3">
        <v>773</v>
      </c>
      <c r="B774" s="4">
        <v>45867.605034722219</v>
      </c>
      <c r="C774" s="5" t="str">
        <v>DAIHATSU GRANMAX PU AC PS 1.5 M/T</v>
      </c>
      <c r="D774" s="5" t="str">
        <v>B4790UR</v>
      </c>
      <c r="E774" s="10">
        <v>33493</v>
      </c>
      <c r="F774" s="3" t="str">
        <v>Iya</v>
      </c>
      <c r="G774" s="4">
        <v>45811</v>
      </c>
      <c r="H774" s="10">
        <v>33493</v>
      </c>
    </row>
    <row r="775" spans="1:8">
      <c r="A775" s="3">
        <v>774</v>
      </c>
      <c r="B775" s="4">
        <v>45867.606851851851</v>
      </c>
      <c r="C775" s="5" t="str">
        <v>PICK UP TRAGA 2.5 4X2 MT D M/T</v>
      </c>
      <c r="D775" s="5" t="str">
        <v>D8603EG</v>
      </c>
      <c r="E775" s="10">
        <v>12713</v>
      </c>
      <c r="F775" s="3" t="str">
        <v>Iya</v>
      </c>
      <c r="G775" s="4">
        <v>45660</v>
      </c>
      <c r="H775" s="10">
        <v>12713</v>
      </c>
    </row>
    <row r="776" spans="1:8">
      <c r="A776" s="3">
        <v>775</v>
      </c>
      <c r="B776" s="4">
        <v>45867.630486111113</v>
      </c>
      <c r="C776" s="5" t="str">
        <v>PICK UP TRAGA 2.5 4X2 MT D M/T</v>
      </c>
      <c r="D776" s="5" t="str">
        <v>B2542RG</v>
      </c>
      <c r="E776" s="10">
        <v>26150</v>
      </c>
      <c r="F776" s="3" t="str">
        <v>Iya</v>
      </c>
      <c r="G776" s="4">
        <v>45861</v>
      </c>
      <c r="H776" s="10">
        <v>26150</v>
      </c>
    </row>
    <row r="777" spans="1:8">
      <c r="A777" s="3">
        <v>776</v>
      </c>
      <c r="B777" s="4">
        <v>45867.639178240737</v>
      </c>
      <c r="C777" s="5" t="str">
        <v>DAIHATSU GRANMAX PU AC PS 1.5 M/T</v>
      </c>
      <c r="D777" s="5" t="str">
        <v>B5948HU</v>
      </c>
      <c r="E777" s="10">
        <v>3047</v>
      </c>
      <c r="F777" s="3" t="str">
        <v>Iya</v>
      </c>
      <c r="G777" s="4">
        <v>45723</v>
      </c>
      <c r="H777" s="10">
        <v>3047</v>
      </c>
    </row>
    <row r="778" spans="1:8">
      <c r="A778" s="3">
        <v>777</v>
      </c>
      <c r="B778" s="4">
        <v>45867.662442129629</v>
      </c>
      <c r="C778" s="5" t="str">
        <v>PICK UP TRAGA 2.5 4X2 MT D M/T</v>
      </c>
      <c r="D778" s="5" t="str">
        <v>B5879BX</v>
      </c>
      <c r="E778" s="10">
        <v>56258</v>
      </c>
      <c r="F778" s="3" t="str">
        <v>Iya</v>
      </c>
      <c r="G778" s="4">
        <v>45829</v>
      </c>
      <c r="H778" s="10">
        <v>56258</v>
      </c>
    </row>
    <row r="779" spans="1:8">
      <c r="A779" s="3">
        <v>778</v>
      </c>
      <c r="B779" s="4">
        <v>45867.67287037037</v>
      </c>
      <c r="C779" s="5" t="str">
        <v>DAIHATSU GRANMAX PU AC PS 1.5 M/T</v>
      </c>
      <c r="D779" s="5" t="str">
        <v>KT5836DY</v>
      </c>
      <c r="E779" s="10">
        <v>7697</v>
      </c>
      <c r="F779" s="3" t="str">
        <v>Iya</v>
      </c>
      <c r="G779" s="4">
        <v>45720</v>
      </c>
      <c r="H779" s="10">
        <v>7697</v>
      </c>
    </row>
    <row r="780" spans="1:8">
      <c r="A780" s="3">
        <v>779</v>
      </c>
      <c r="B780" s="4">
        <v>45867.673807870371</v>
      </c>
      <c r="C780" s="5" t="str">
        <v>DAIHATSU GRANMAX PU AC PS 1.5 M/T</v>
      </c>
      <c r="D780" s="5" t="str">
        <v>D3219FF</v>
      </c>
      <c r="E780" s="10">
        <v>32602</v>
      </c>
      <c r="F780" s="3" t="str">
        <v>Iya</v>
      </c>
      <c r="G780" s="4">
        <v>45856</v>
      </c>
      <c r="H780" s="10">
        <v>32602</v>
      </c>
    </row>
    <row r="781" spans="1:8">
      <c r="A781" s="3">
        <v>780</v>
      </c>
      <c r="B781" s="4">
        <v>45867.691550925927</v>
      </c>
      <c r="C781" s="5" t="str">
        <v>PICK UP TRAGA 2.5 4X2 MT D M/T</v>
      </c>
      <c r="D781" s="5" t="str">
        <v>B4784VXS</v>
      </c>
      <c r="E781" s="10">
        <v>60740</v>
      </c>
      <c r="F781" s="3" t="str">
        <v>Iya</v>
      </c>
      <c r="G781" s="4">
        <v>45818</v>
      </c>
      <c r="H781" s="10">
        <v>60740</v>
      </c>
    </row>
    <row r="782" spans="1:8">
      <c r="A782" s="3">
        <v>781</v>
      </c>
      <c r="B782" s="4">
        <v>45867.69604166667</v>
      </c>
      <c r="C782" s="5" t="str">
        <v>DAIHATSU GRANMAX PU AC PS 1.5 M/T</v>
      </c>
      <c r="D782" s="5" t="str">
        <v>B1080SUL</v>
      </c>
      <c r="E782" s="10">
        <v>8807</v>
      </c>
      <c r="F782" s="3" t="str">
        <v>Iya</v>
      </c>
      <c r="G782" s="4">
        <v>45689</v>
      </c>
      <c r="H782" s="10">
        <v>8807</v>
      </c>
    </row>
    <row r="783" spans="1:8">
      <c r="A783" s="3">
        <v>782</v>
      </c>
      <c r="B783" s="4">
        <v>45867.697152777779</v>
      </c>
      <c r="C783" s="5" t="str">
        <v>DAIHATSU GRANMAX PU AC PS 1.5 M/T</v>
      </c>
      <c r="D783" s="5" t="str">
        <v>B3556KY</v>
      </c>
      <c r="E783" s="10">
        <v>2699</v>
      </c>
      <c r="F783" s="3" t="str">
        <v>Iya</v>
      </c>
      <c r="G783" s="4">
        <v>46001</v>
      </c>
      <c r="H783" s="10">
        <v>2699</v>
      </c>
    </row>
    <row r="784" spans="1:8">
      <c r="A784" s="3">
        <v>783</v>
      </c>
      <c r="B784" s="4">
        <v>45867.747361111113</v>
      </c>
      <c r="C784" s="5" t="str">
        <v>PICK UP TRAGA 2.5 4X2 MT D M/T</v>
      </c>
      <c r="D784" s="5" t="str">
        <v>B9614KS</v>
      </c>
      <c r="E784" s="10">
        <v>15066</v>
      </c>
      <c r="F784" s="3" t="str">
        <v>Iya</v>
      </c>
      <c r="G784" s="4">
        <v>45709</v>
      </c>
      <c r="H784" s="10">
        <v>15066</v>
      </c>
    </row>
    <row r="785" spans="1:8">
      <c r="A785" s="3">
        <v>784</v>
      </c>
      <c r="B785" s="4">
        <v>45867.823692129627</v>
      </c>
      <c r="C785" s="5" t="str">
        <v>PICK UP TRAGA 2.5 4X2 MT D M/T</v>
      </c>
      <c r="D785" s="5" t="str">
        <v>B8659VBE</v>
      </c>
      <c r="E785" s="10">
        <v>67153</v>
      </c>
      <c r="F785" s="3" t="str">
        <v>Iya</v>
      </c>
      <c r="G785" s="4">
        <v>45828</v>
      </c>
      <c r="H785" s="10">
        <v>67153</v>
      </c>
    </row>
    <row r="786" spans="1:8">
      <c r="A786" s="3">
        <v>785</v>
      </c>
      <c r="B786" s="4">
        <v>45867.854988425926</v>
      </c>
      <c r="C786" s="5" t="str">
        <v>DAIHATSU GRANMAX PU AC PS 1.5 M/T</v>
      </c>
      <c r="D786" s="5" t="str">
        <v>KB9990JIF</v>
      </c>
      <c r="E786" s="10">
        <v>7149</v>
      </c>
      <c r="F786" s="3" t="str">
        <v>Iya</v>
      </c>
      <c r="G786" s="4">
        <v>45845</v>
      </c>
      <c r="H786" s="10">
        <v>7149</v>
      </c>
    </row>
    <row r="787" spans="1:8">
      <c r="A787" s="3">
        <v>786</v>
      </c>
      <c r="B787" s="4">
        <v>45867.984016203707</v>
      </c>
      <c r="C787" s="5" t="str">
        <v>DAIHATSU GRANMAX PU AC PS 1.5 M/T</v>
      </c>
      <c r="D787" s="5" t="str">
        <v>KB5129KHN</v>
      </c>
      <c r="E787" s="10">
        <v>58824</v>
      </c>
      <c r="F787" s="3" t="str">
        <v>Iya</v>
      </c>
      <c r="G787" s="4">
        <v>45846</v>
      </c>
      <c r="H787" s="10">
        <v>58824</v>
      </c>
    </row>
    <row r="788" spans="1:8">
      <c r="A788" s="3">
        <v>787</v>
      </c>
      <c r="B788" s="4">
        <v>45868.342789351853</v>
      </c>
      <c r="C788" s="5" t="str">
        <v>DAIHATSU GRANMAX PU AC PS 1.5 M/T</v>
      </c>
      <c r="D788" s="5" t="str">
        <v>B8753SMF</v>
      </c>
      <c r="E788" s="10">
        <v>39313</v>
      </c>
      <c r="F788" s="3" t="str">
        <v>Iya</v>
      </c>
      <c r="G788" s="4">
        <v>45818</v>
      </c>
      <c r="H788" s="10">
        <v>39313</v>
      </c>
    </row>
    <row r="789" spans="1:8">
      <c r="A789" s="3">
        <v>788</v>
      </c>
      <c r="B789" s="4">
        <v>45868.34747685185</v>
      </c>
      <c r="C789" s="5" t="str">
        <v>DAIHATSU GRANMAX PU AC PS 1.5 M/T</v>
      </c>
      <c r="D789" s="5" t="str">
        <v>B6840ZH</v>
      </c>
      <c r="E789" s="10">
        <v>37248</v>
      </c>
      <c r="F789" s="3" t="str">
        <v>Iya</v>
      </c>
      <c r="G789" s="4">
        <v>45712</v>
      </c>
      <c r="H789" s="10">
        <v>37248</v>
      </c>
    </row>
    <row r="790" spans="1:8">
      <c r="A790" s="3">
        <v>789</v>
      </c>
      <c r="B790" s="4">
        <v>45868.354409722233</v>
      </c>
      <c r="C790" s="5" t="str">
        <v>DAIHATSU GRANMAX PU AC PS 1.5 M/T</v>
      </c>
      <c r="D790" s="5" t="str">
        <v>B5659TK</v>
      </c>
      <c r="E790" s="10">
        <v>89682</v>
      </c>
      <c r="F790" s="3" t="str">
        <v>Iya</v>
      </c>
      <c r="G790" s="4">
        <v>45833</v>
      </c>
      <c r="H790" s="10">
        <v>89682</v>
      </c>
    </row>
    <row r="791" spans="1:8">
      <c r="A791" s="3">
        <v>790</v>
      </c>
      <c r="B791" s="4">
        <v>45868.378969907397</v>
      </c>
      <c r="C791" s="5" t="str">
        <v>DAIHATSU GRANMAX PU AC PS 1.5 M/T</v>
      </c>
      <c r="D791" s="5" t="str">
        <v>B7326IW</v>
      </c>
      <c r="E791" s="10">
        <v>15962</v>
      </c>
      <c r="F791" s="3" t="str">
        <v>Iya</v>
      </c>
      <c r="G791" s="4">
        <v>45799</v>
      </c>
      <c r="H791" s="10">
        <v>15962</v>
      </c>
    </row>
    <row r="792" spans="1:8">
      <c r="A792" s="3">
        <v>791</v>
      </c>
      <c r="B792" s="4">
        <v>45868.385034722232</v>
      </c>
      <c r="C792" s="5" t="str">
        <v>PICK UP TRAGA 2.5 4X2 MT D M/T</v>
      </c>
      <c r="D792" s="5" t="str">
        <v>B6191JQ</v>
      </c>
      <c r="E792" s="10">
        <v>72039</v>
      </c>
      <c r="F792" s="3" t="str">
        <v>Iya</v>
      </c>
      <c r="G792" s="4">
        <v>45787</v>
      </c>
      <c r="H792" s="10">
        <v>72039</v>
      </c>
    </row>
    <row r="793" spans="1:8">
      <c r="A793" s="3">
        <v>792</v>
      </c>
      <c r="B793" s="4">
        <v>45868.412152777782</v>
      </c>
      <c r="C793" s="5" t="str">
        <v>DAIHATSU GRANMAX PU AC PS 1.5 M/T</v>
      </c>
      <c r="D793" s="5" t="str">
        <v>B4262RU</v>
      </c>
      <c r="E793" s="10">
        <v>30535</v>
      </c>
      <c r="F793" s="3" t="str">
        <v>Iya</v>
      </c>
      <c r="G793" s="4">
        <v>45867</v>
      </c>
      <c r="H793" s="10">
        <v>30535</v>
      </c>
    </row>
    <row r="794" spans="1:8">
      <c r="A794" s="3">
        <v>793</v>
      </c>
      <c r="B794" s="4">
        <v>45868.455416666657</v>
      </c>
      <c r="C794" s="5" t="str">
        <v>PICK UP TRAGA 2.5 4X2 MT D M/T</v>
      </c>
      <c r="D794" s="5" t="str">
        <v>B9502WHJ</v>
      </c>
      <c r="E794" s="10">
        <v>35552</v>
      </c>
      <c r="F794" s="3" t="str">
        <v>Iya</v>
      </c>
      <c r="G794" s="4">
        <v>45852</v>
      </c>
      <c r="H794" s="10">
        <v>35552</v>
      </c>
    </row>
    <row r="795" spans="1:8">
      <c r="A795" s="3">
        <v>794</v>
      </c>
      <c r="B795" s="4">
        <v>45868.467210648138</v>
      </c>
      <c r="C795" s="5" t="str">
        <v>PICK UP TRAGA 2.5 4X2 MT D M/T</v>
      </c>
      <c r="D795" s="5" t="str">
        <v>H9293ZLM</v>
      </c>
      <c r="E795" s="10">
        <v>6717</v>
      </c>
      <c r="F795" s="3" t="str">
        <v>Iya</v>
      </c>
      <c r="G795" s="4">
        <v>45710</v>
      </c>
      <c r="H795" s="10">
        <v>6717</v>
      </c>
    </row>
    <row r="796" spans="1:8">
      <c r="A796" s="3">
        <v>795</v>
      </c>
      <c r="B796" s="4">
        <v>45868.485081018523</v>
      </c>
      <c r="C796" s="5" t="str">
        <v>DAIHATSU GRANMAX PU AC PS 1.5 M/T</v>
      </c>
      <c r="D796" s="5" t="str">
        <v>B6936PI</v>
      </c>
      <c r="E796" s="10">
        <v>6199</v>
      </c>
      <c r="F796" s="3" t="str">
        <v>Iya</v>
      </c>
      <c r="G796" s="4">
        <v>45755</v>
      </c>
      <c r="H796" s="10">
        <v>6199</v>
      </c>
    </row>
    <row r="797" spans="1:8">
      <c r="A797" s="3">
        <v>796</v>
      </c>
      <c r="B797" s="4">
        <v>45868.576435185183</v>
      </c>
      <c r="C797" s="5" t="str">
        <v>Daihatsu Xenia (Badan)</v>
      </c>
      <c r="D797" s="5" t="str">
        <v>B6257GSZ</v>
      </c>
      <c r="E797" s="10">
        <v>7517</v>
      </c>
      <c r="F797" s="3" t="str">
        <v>Iya</v>
      </c>
      <c r="G797" s="4">
        <v>45772</v>
      </c>
      <c r="H797" s="10">
        <v>7517</v>
      </c>
    </row>
    <row r="798" spans="1:8">
      <c r="A798" s="3">
        <v>797</v>
      </c>
      <c r="B798" s="4">
        <v>45868.590173611112</v>
      </c>
      <c r="C798" s="5" t="str">
        <v>DAIHATSU GRANMAX PU AC PS 1.5 M/T</v>
      </c>
      <c r="D798" s="5" t="str">
        <v>B5612UFW</v>
      </c>
      <c r="E798" s="10">
        <v>19197</v>
      </c>
      <c r="F798" s="3" t="str">
        <v>Iya</v>
      </c>
      <c r="G798" s="4">
        <v>45854</v>
      </c>
      <c r="H798" s="10">
        <v>19197</v>
      </c>
    </row>
    <row r="799" spans="1:8">
      <c r="A799" s="3">
        <v>798</v>
      </c>
      <c r="B799" s="4">
        <v>45868.640451388892</v>
      </c>
      <c r="C799" s="5" t="str">
        <v>PICK UP TRAGA 2.5 4X2 MT D M/T</v>
      </c>
      <c r="D799" s="5" t="str">
        <v>B4068JNS</v>
      </c>
      <c r="E799" s="10">
        <v>48876</v>
      </c>
      <c r="F799" s="3" t="str">
        <v>Iya</v>
      </c>
      <c r="G799" s="4">
        <v>45793</v>
      </c>
      <c r="H799" s="10">
        <v>48876</v>
      </c>
    </row>
    <row r="800" spans="1:8">
      <c r="A800" s="3">
        <v>799</v>
      </c>
      <c r="B800" s="4">
        <v>45868.656111111108</v>
      </c>
      <c r="C800" s="5" t="str">
        <v>DAIHATSU GRANMAX PU AC PS 1.5 M/T</v>
      </c>
      <c r="D800" s="5" t="str">
        <v>B7274AH</v>
      </c>
      <c r="E800" s="10">
        <v>7570</v>
      </c>
      <c r="F800" s="3" t="str">
        <v>Iya</v>
      </c>
      <c r="G800" s="4">
        <v>45863</v>
      </c>
      <c r="H800" s="10">
        <v>7570</v>
      </c>
    </row>
    <row r="801" spans="1:8">
      <c r="A801" s="3">
        <v>800</v>
      </c>
      <c r="B801" s="4">
        <v>45869.504502314812</v>
      </c>
      <c r="C801" s="5" t="str">
        <v>DAIHATSU GRANMAX PU AC PS 1.5 M/T</v>
      </c>
      <c r="D801" s="5" t="str">
        <v>B1356KE</v>
      </c>
      <c r="E801" s="10">
        <v>29602</v>
      </c>
      <c r="F801" s="3" t="str">
        <v>Iya</v>
      </c>
      <c r="G801" s="4">
        <v>45715</v>
      </c>
      <c r="H801" s="10">
        <v>29602</v>
      </c>
    </row>
    <row r="802" spans="1:8">
      <c r="A802" s="3">
        <v>801</v>
      </c>
      <c r="B802" s="4">
        <v>45869.672800925917</v>
      </c>
      <c r="C802" s="5" t="str">
        <v>PICK UP TRAGA 2.5 4X2 MT D M/T</v>
      </c>
      <c r="D802" s="5" t="str">
        <v>B6598EX</v>
      </c>
      <c r="E802" s="10">
        <v>26758</v>
      </c>
      <c r="F802" s="3" t="str">
        <v>Iya</v>
      </c>
      <c r="G802" s="4">
        <v>45847</v>
      </c>
      <c r="H802" s="10">
        <v>26758</v>
      </c>
    </row>
    <row r="803" spans="1:8">
      <c r="A803" s="3">
        <v>802</v>
      </c>
      <c r="B803" s="4">
        <v>45869.827974537038</v>
      </c>
      <c r="C803" s="5" t="str">
        <v>Daihatsu Xenia (Badan)</v>
      </c>
      <c r="D803" s="5" t="str">
        <v>H9434HIK</v>
      </c>
      <c r="E803" s="10">
        <v>10038</v>
      </c>
      <c r="F803" s="3" t="str">
        <v>Iya</v>
      </c>
      <c r="G803" s="4">
        <v>45831</v>
      </c>
      <c r="H803" s="10">
        <v>10038</v>
      </c>
    </row>
    <row r="804" spans="1:8">
      <c r="A804" s="3">
        <v>803</v>
      </c>
      <c r="B804" s="4">
        <v>45870.459675925929</v>
      </c>
      <c r="C804" s="5" t="str">
        <v>PICK UP TRAGA 2.5 4X2 MT D M/T</v>
      </c>
      <c r="D804" s="5" t="str">
        <v>B6137XG</v>
      </c>
      <c r="E804" s="10">
        <v>58142</v>
      </c>
      <c r="F804" s="3" t="str">
        <v>Iya</v>
      </c>
      <c r="G804" s="4">
        <v>45784</v>
      </c>
      <c r="H804" s="10">
        <v>58142</v>
      </c>
    </row>
    <row r="805" spans="1:8">
      <c r="A805" s="3">
        <v>804</v>
      </c>
      <c r="B805" s="4">
        <v>45870.462905092587</v>
      </c>
      <c r="C805" s="5" t="str">
        <v>PICK UP TRAGA 2.5 4X2 MT D M/T</v>
      </c>
      <c r="D805" s="5" t="str">
        <v>B5022SN</v>
      </c>
      <c r="E805" s="10">
        <v>93667</v>
      </c>
      <c r="F805" s="3" t="str">
        <v>Iya</v>
      </c>
      <c r="G805" s="4">
        <v>45826</v>
      </c>
      <c r="H805" s="10">
        <v>93667</v>
      </c>
    </row>
    <row r="806" spans="1:8">
      <c r="A806" s="3">
        <v>805</v>
      </c>
      <c r="B806" s="4">
        <v>45870.464016203703</v>
      </c>
      <c r="C806" s="5" t="str">
        <v>PICK UP TRAGA 2.5 4X2 MT D M/T</v>
      </c>
      <c r="D806" s="5" t="str">
        <v>B2396IX</v>
      </c>
      <c r="E806" s="10">
        <v>13610</v>
      </c>
      <c r="F806" s="3" t="str">
        <v>Iya</v>
      </c>
      <c r="G806" s="4">
        <v>45840</v>
      </c>
      <c r="H806" s="10">
        <v>13610</v>
      </c>
    </row>
    <row r="807" spans="1:8">
      <c r="A807" s="3">
        <v>806</v>
      </c>
      <c r="B807" s="4">
        <v>45870.479039351849</v>
      </c>
      <c r="C807" s="5" t="str">
        <v>PICK UP TRAGA 2.5 4X2 MT D M/T</v>
      </c>
      <c r="D807" s="5" t="str">
        <v>B6874UZA</v>
      </c>
      <c r="E807" s="10">
        <v>46284</v>
      </c>
      <c r="F807" s="3" t="str">
        <v>Iya</v>
      </c>
      <c r="G807" s="4">
        <v>45897</v>
      </c>
      <c r="H807" s="10">
        <v>46284</v>
      </c>
    </row>
    <row r="808" spans="1:8">
      <c r="A808" s="3">
        <v>807</v>
      </c>
      <c r="B808" s="4">
        <v>45870.524282407408</v>
      </c>
      <c r="C808" s="5" t="str">
        <v>DAIHATSU GRANMAX PU AC PS 1.5 M/T</v>
      </c>
      <c r="D808" s="5" t="str">
        <v>B7069IU</v>
      </c>
      <c r="E808" s="10">
        <v>7399</v>
      </c>
      <c r="F808" s="3" t="str">
        <v>Iya</v>
      </c>
      <c r="G808" s="4">
        <v>45849</v>
      </c>
      <c r="H808" s="10">
        <v>7399</v>
      </c>
    </row>
    <row r="809" spans="1:8">
      <c r="A809" s="3">
        <v>808</v>
      </c>
      <c r="B809" s="4">
        <v>45870.571516203701</v>
      </c>
      <c r="C809" s="5" t="str">
        <v>DAIHATSU GRANMAX PU AC PS 1.5 M/T</v>
      </c>
      <c r="D809" s="5" t="str">
        <v>B5628US</v>
      </c>
      <c r="E809" s="10">
        <v>1178</v>
      </c>
      <c r="F809" s="3" t="str">
        <v>Iya</v>
      </c>
      <c r="G809" s="4">
        <v>45870</v>
      </c>
      <c r="H809" s="10">
        <v>1178</v>
      </c>
    </row>
    <row r="810" spans="1:8">
      <c r="A810" s="3">
        <v>809</v>
      </c>
      <c r="B810" s="4">
        <v>45870.579004629632</v>
      </c>
      <c r="C810" s="5" t="str">
        <v>DAIHATSU GRANMAX PU AC PS 1.5 M/T</v>
      </c>
      <c r="D810" s="5" t="str">
        <v>B3918PT</v>
      </c>
      <c r="E810" s="10">
        <v>27787</v>
      </c>
      <c r="F810" s="3" t="str">
        <v>Iya</v>
      </c>
      <c r="G810" s="4">
        <v>45828</v>
      </c>
      <c r="H810" s="10">
        <v>27787</v>
      </c>
    </row>
    <row r="811" spans="1:8">
      <c r="A811" s="3">
        <v>810</v>
      </c>
      <c r="B811" s="4">
        <v>45870.604259259257</v>
      </c>
      <c r="C811" s="5" t="str">
        <v>DAIHATSU GRANMAX PU AC PS 1.5 M/T</v>
      </c>
      <c r="D811" s="5" t="str">
        <v>B4849EVK</v>
      </c>
      <c r="E811" s="10">
        <v>23743</v>
      </c>
      <c r="F811" s="3" t="str">
        <v>Iya</v>
      </c>
      <c r="G811" s="4">
        <v>45769</v>
      </c>
      <c r="H811" s="10">
        <v>23743</v>
      </c>
    </row>
    <row r="812" spans="1:8">
      <c r="A812" s="3">
        <v>811</v>
      </c>
      <c r="B812" s="4">
        <v>45870.63559027778</v>
      </c>
      <c r="C812" s="5" t="str">
        <v>DAIHATSU GRANMAX PU AC PS 1.5 M/T</v>
      </c>
      <c r="D812" s="5" t="str">
        <v>B3355VB</v>
      </c>
      <c r="E812" s="10">
        <v>2867</v>
      </c>
      <c r="F812" s="3" t="str">
        <v>Iya</v>
      </c>
      <c r="G812" s="4">
        <v>45720</v>
      </c>
      <c r="H812" s="10">
        <v>2867</v>
      </c>
    </row>
    <row r="813" spans="1:8">
      <c r="A813" s="3">
        <v>812</v>
      </c>
      <c r="B813" s="4">
        <v>45870.672488425917</v>
      </c>
      <c r="C813" s="5" t="str">
        <v>DAIHATSU GRANMAX PU AC PS 1.5 M/T</v>
      </c>
      <c r="D813" s="5" t="str">
        <v>B7035JK</v>
      </c>
      <c r="E813" s="10">
        <v>33779</v>
      </c>
      <c r="F813" s="3" t="str">
        <v>Iya</v>
      </c>
      <c r="G813" s="4">
        <v>45727</v>
      </c>
      <c r="H813" s="10">
        <v>33779</v>
      </c>
    </row>
    <row r="814" spans="1:8">
      <c r="A814" s="3">
        <v>813</v>
      </c>
      <c r="B814" s="4">
        <v>45871.607673611114</v>
      </c>
      <c r="C814" s="5" t="str">
        <v>PICK UP TRAGA 2.5 4X2 MT D M/T</v>
      </c>
      <c r="D814" s="5" t="str">
        <v>B9145RF</v>
      </c>
      <c r="E814" s="10">
        <v>101315</v>
      </c>
      <c r="F814" s="3" t="str">
        <v>Iya</v>
      </c>
      <c r="G814" s="4">
        <v>45839</v>
      </c>
      <c r="H814" s="10">
        <v>101315</v>
      </c>
    </row>
    <row r="815" spans="1:8">
      <c r="A815" s="3">
        <v>814</v>
      </c>
      <c r="B815" s="4">
        <v>45873.426805555559</v>
      </c>
      <c r="C815" s="5" t="str">
        <v>DAIHATSU GRANMAX PU AC PS 1.5 M/T</v>
      </c>
      <c r="D815" s="5" t="str">
        <v>B8230YP</v>
      </c>
      <c r="E815" s="10">
        <v>26348</v>
      </c>
      <c r="F815" s="3" t="str">
        <v>Iya</v>
      </c>
      <c r="G815" s="4">
        <v>45699</v>
      </c>
      <c r="H815" s="10">
        <v>26348</v>
      </c>
    </row>
    <row r="816" spans="1:8">
      <c r="A816" s="3">
        <v>815</v>
      </c>
      <c r="B816" s="4">
        <v>45873.434201388889</v>
      </c>
      <c r="C816" s="5" t="str">
        <v>DAIHATSU GRANMAX PU AC PS 1.5 M/T</v>
      </c>
      <c r="D816" s="5" t="str">
        <v>B8599SQ</v>
      </c>
      <c r="E816" s="10">
        <v>3824</v>
      </c>
      <c r="F816" s="3" t="str">
        <v>Iya</v>
      </c>
      <c r="G816" s="4">
        <v>45854</v>
      </c>
      <c r="H816" s="10">
        <v>3824</v>
      </c>
    </row>
    <row r="817" spans="1:8">
      <c r="A817" s="3">
        <v>816</v>
      </c>
      <c r="B817" s="4">
        <v>45873.609895833331</v>
      </c>
      <c r="C817" s="5" t="str">
        <v>PICK UP TRAGA 2.5 4X2 MT D M/T</v>
      </c>
      <c r="D817" s="5" t="str">
        <v>DM7010BJ</v>
      </c>
      <c r="E817" s="10">
        <v>10873</v>
      </c>
      <c r="F817" s="3" t="str">
        <v>Iya</v>
      </c>
      <c r="G817" s="4">
        <v>45405</v>
      </c>
      <c r="H817" s="10">
        <v>10873</v>
      </c>
    </row>
    <row r="818" spans="1:8">
      <c r="A818" s="3">
        <v>817</v>
      </c>
      <c r="B818" s="4">
        <v>45873.682337962957</v>
      </c>
      <c r="C818" s="5" t="str">
        <v>DAIHATSU GRANMAX PU AC PS 1.5 M/T</v>
      </c>
      <c r="D818" s="5" t="str">
        <v>DD1709SU</v>
      </c>
      <c r="E818" s="10">
        <v>34026</v>
      </c>
      <c r="F818" s="3" t="str">
        <v>Iya</v>
      </c>
      <c r="G818" s="4">
        <v>45736</v>
      </c>
      <c r="H818" s="10">
        <v>34026</v>
      </c>
    </row>
    <row r="819" spans="1:8">
      <c r="A819" s="3">
        <v>818</v>
      </c>
      <c r="B819" s="4">
        <v>45873.743692129632</v>
      </c>
      <c r="C819" s="5" t="str">
        <v>DAIHATSU GRANMAX PU AC PS 1.5 M/T</v>
      </c>
      <c r="D819" s="5" t="str">
        <v>DD9729YV</v>
      </c>
      <c r="E819" s="10">
        <v>49598</v>
      </c>
      <c r="F819" s="3" t="str">
        <v>Iya</v>
      </c>
      <c r="G819" s="4">
        <v>45862</v>
      </c>
      <c r="H819" s="10">
        <v>49598</v>
      </c>
    </row>
    <row r="820" spans="1:8">
      <c r="A820" s="3">
        <v>819</v>
      </c>
      <c r="B820" s="4">
        <v>45875.750138888892</v>
      </c>
      <c r="C820" s="5" t="str">
        <v>PICK UP TRAGA 2.5 4X2 MT D M/T</v>
      </c>
      <c r="D820" s="5" t="str">
        <v>B7591HAI</v>
      </c>
      <c r="E820" s="10">
        <v>75850</v>
      </c>
      <c r="F820" s="3" t="str">
        <v>Iya</v>
      </c>
      <c r="G820" s="4">
        <v>45874</v>
      </c>
      <c r="H820" s="10">
        <v>75850</v>
      </c>
    </row>
    <row r="821" spans="1:8">
      <c r="A821" s="3">
        <v>820</v>
      </c>
      <c r="B821" s="4">
        <v>45876.465567129628</v>
      </c>
      <c r="C821" s="5" t="str">
        <v>PICK UP TRAGA 2.5 4X2 MT D M/T</v>
      </c>
      <c r="D821" s="5" t="str">
        <v>DD5905FD</v>
      </c>
      <c r="E821" s="10">
        <v>38482</v>
      </c>
      <c r="F821" s="3" t="str">
        <v>Iya</v>
      </c>
      <c r="G821" s="4">
        <v>45821</v>
      </c>
      <c r="H821" s="10">
        <v>38482</v>
      </c>
    </row>
    <row r="822" spans="1:8">
      <c r="A822" s="3">
        <v>821</v>
      </c>
      <c r="B822" s="4">
        <v>45876.652395833327</v>
      </c>
      <c r="C822" s="5" t="str">
        <v>PICK UP TRAGA 2.5 4X2 MT D M/T</v>
      </c>
      <c r="D822" s="5" t="str">
        <v>B2705EA</v>
      </c>
      <c r="E822" s="10">
        <v>32663</v>
      </c>
      <c r="F822" s="3" t="str">
        <v>Iya</v>
      </c>
      <c r="G822" s="4">
        <v>45824</v>
      </c>
      <c r="H822" s="10">
        <v>32663</v>
      </c>
    </row>
    <row r="823" spans="1:8">
      <c r="A823" s="3">
        <v>822</v>
      </c>
      <c r="B823" s="4">
        <v>45876.687604166669</v>
      </c>
      <c r="C823" s="5" t="str">
        <v>PICK UP TRAGA 2.5 4X2 MT D M/T</v>
      </c>
      <c r="D823" s="5" t="str">
        <v>B5067LZ</v>
      </c>
      <c r="E823" s="10">
        <v>27648</v>
      </c>
      <c r="F823" s="3" t="str">
        <v>Iya</v>
      </c>
      <c r="G823" s="4">
        <v>45849</v>
      </c>
      <c r="H823" s="10">
        <v>27648</v>
      </c>
    </row>
    <row r="824" spans="1:8">
      <c r="A824" s="3">
        <v>823</v>
      </c>
      <c r="B824" s="4">
        <v>45877.666805555556</v>
      </c>
      <c r="C824" s="5" t="str">
        <v>DAIHATSU GRANMAX PU AC PS 1.5 M/T</v>
      </c>
      <c r="D824" s="5" t="str">
        <v>AB9418SNR</v>
      </c>
      <c r="E824" s="10">
        <v>9640</v>
      </c>
      <c r="F824" s="3" t="str">
        <v>Iya</v>
      </c>
      <c r="G824" s="4">
        <v>45846</v>
      </c>
      <c r="H824" s="10">
        <v>9640</v>
      </c>
    </row>
    <row r="825" spans="1:8">
      <c r="A825" s="3">
        <v>824</v>
      </c>
      <c r="B825" s="4">
        <v>45878.596585648149</v>
      </c>
      <c r="C825" s="5" t="str">
        <v>DAIHATSU GRANMAX PU AC PS 1.5 M/T</v>
      </c>
      <c r="D825" s="5" t="str">
        <v>B3545GSF</v>
      </c>
      <c r="E825" s="10">
        <v>1629</v>
      </c>
      <c r="F825" s="3" t="str">
        <v>Iya</v>
      </c>
      <c r="G825" s="4">
        <v>45878</v>
      </c>
      <c r="H825" s="10">
        <v>1629</v>
      </c>
    </row>
    <row r="826" spans="1:8">
      <c r="A826" s="3">
        <v>825</v>
      </c>
      <c r="B826" s="4">
        <v>45880.579652777778</v>
      </c>
      <c r="C826" s="5" t="str">
        <v>Daihatsu Xenia (Badan)</v>
      </c>
      <c r="D826" s="5" t="str">
        <v>B7991PSS</v>
      </c>
      <c r="E826" s="10">
        <v>65858</v>
      </c>
      <c r="F826" s="3" t="str">
        <v>Iya</v>
      </c>
      <c r="G826" s="4">
        <v>45785</v>
      </c>
      <c r="H826" s="10">
        <v>65858</v>
      </c>
    </row>
    <row r="827" spans="1:8">
      <c r="A827" s="3">
        <v>826</v>
      </c>
      <c r="B827" s="4">
        <v>45880.625011574077</v>
      </c>
      <c r="C827" s="5" t="str">
        <v>DAIHATSU GRANMAX PU AC PS 1.5 M/T</v>
      </c>
      <c r="D827" s="5" t="str">
        <v>B7713QE</v>
      </c>
      <c r="E827" s="10">
        <v>22539</v>
      </c>
      <c r="F827" s="3" t="str">
        <v>Iya</v>
      </c>
      <c r="G827" s="4">
        <v>45875</v>
      </c>
      <c r="H827" s="10">
        <v>22539</v>
      </c>
    </row>
    <row r="828" spans="1:8">
      <c r="A828" s="3">
        <v>827</v>
      </c>
      <c r="B828" s="4">
        <v>45882.595381944448</v>
      </c>
      <c r="C828" s="5" t="str">
        <v>DAIHATSU GRANMAX PU AC PS 1.5 M/T</v>
      </c>
      <c r="D828" s="5" t="str">
        <v>D8603EG</v>
      </c>
      <c r="E828" s="10">
        <v>12707</v>
      </c>
      <c r="F828" s="3" t="str">
        <v>Iya</v>
      </c>
      <c r="G828" s="4">
        <v>45878</v>
      </c>
      <c r="H828" s="10">
        <v>12707</v>
      </c>
    </row>
    <row r="829" spans="1:8">
      <c r="A829" s="3">
        <v>828</v>
      </c>
      <c r="B829" s="4">
        <v>45944.640185185177</v>
      </c>
      <c r="C829" s="5" t="str">
        <v>DAIHATSU GRANMAX PU AC PS 1.5 M/T</v>
      </c>
      <c r="D829" s="5" t="str">
        <v>B5572LYP</v>
      </c>
      <c r="E829" s="10">
        <v>19947</v>
      </c>
      <c r="F829" s="3" t="str">
        <v>Iya</v>
      </c>
      <c r="G829" s="4">
        <v>45941</v>
      </c>
      <c r="H829" s="10">
        <v>19947</v>
      </c>
    </row>
    <row r="830" spans="1:8">
      <c r="A830" s="3">
        <v>829</v>
      </c>
      <c r="B830" s="4">
        <v>45890.659849537027</v>
      </c>
      <c r="C830" s="5" t="str">
        <v>DAIHATSU GRANMAX PU AC PS 1.5 M/T</v>
      </c>
      <c r="D830" s="5" t="str">
        <v>B5388UQ</v>
      </c>
      <c r="E830" s="10">
        <v>40043</v>
      </c>
      <c r="F830" s="3" t="str">
        <v>Iya</v>
      </c>
      <c r="G830" s="4">
        <v>45889</v>
      </c>
      <c r="H830" s="10">
        <v>40043</v>
      </c>
    </row>
    <row r="831" spans="1:8">
      <c r="A831" s="3">
        <v>830</v>
      </c>
      <c r="B831" s="4">
        <v>45890.661249999997</v>
      </c>
      <c r="C831" s="5" t="str">
        <v>DAIHATSU GRANMAX PU AC PS 1.5 M/T</v>
      </c>
      <c r="D831" s="5" t="str">
        <v>D8668TS</v>
      </c>
      <c r="E831" s="10">
        <v>83692</v>
      </c>
      <c r="F831" s="3" t="str">
        <v>Iya</v>
      </c>
      <c r="G831" s="4">
        <v>45794</v>
      </c>
      <c r="H831" s="10">
        <v>83692</v>
      </c>
    </row>
    <row r="832" spans="1:8">
      <c r="A832" s="3">
        <v>831</v>
      </c>
      <c r="B832" s="4">
        <v>45890.66128472222</v>
      </c>
      <c r="C832" s="5" t="str">
        <v>PICK UP TRAGA 2.5 4X2 MT D M/T</v>
      </c>
      <c r="D832" s="5" t="str">
        <v>B7915GBS</v>
      </c>
      <c r="E832" s="10">
        <v>43450</v>
      </c>
      <c r="F832" s="3" t="str">
        <v>Iya</v>
      </c>
      <c r="G832" s="4">
        <v>45876</v>
      </c>
      <c r="H832" s="10">
        <v>43450</v>
      </c>
    </row>
    <row r="833" spans="1:8">
      <c r="A833" s="3">
        <v>832</v>
      </c>
      <c r="B833" s="4">
        <v>45890.663657407407</v>
      </c>
      <c r="C833" s="5" t="str">
        <v>DAIHATSU GRANMAX PU AC PS 1.5 M/T</v>
      </c>
      <c r="D833" s="5" t="str">
        <v>B8589XJW</v>
      </c>
      <c r="E833" s="10">
        <v>26097</v>
      </c>
      <c r="F833" s="3" t="str">
        <v>Iya</v>
      </c>
      <c r="G833" s="4">
        <v>45841</v>
      </c>
      <c r="H833" s="10">
        <v>26097</v>
      </c>
    </row>
    <row r="834" spans="1:8">
      <c r="A834" s="3">
        <v>833</v>
      </c>
      <c r="B834" s="4">
        <v>45890.665254629632</v>
      </c>
      <c r="C834" s="5" t="str">
        <v>Daihatsu Xenia (Badan)</v>
      </c>
      <c r="D834" s="5" t="str">
        <v>D2758PP</v>
      </c>
      <c r="E834" s="10">
        <v>55745</v>
      </c>
      <c r="F834" s="3" t="str">
        <v>Iya</v>
      </c>
      <c r="G834" s="4">
        <v>45881</v>
      </c>
      <c r="H834" s="10">
        <v>55745</v>
      </c>
    </row>
    <row r="835" spans="1:8">
      <c r="A835" s="3">
        <v>834</v>
      </c>
      <c r="B835" s="4">
        <v>45890.665625000001</v>
      </c>
      <c r="C835" s="5" t="str">
        <v>DAIHATSU GRANMAX PU AC PS 1.5 M/T</v>
      </c>
      <c r="D835" s="5" t="str">
        <v>AB5434PRX</v>
      </c>
      <c r="E835" s="10">
        <v>39655</v>
      </c>
      <c r="F835" s="3" t="str">
        <v>Iya</v>
      </c>
      <c r="G835" s="4">
        <v>45864</v>
      </c>
      <c r="H835" s="10">
        <v>39655</v>
      </c>
    </row>
    <row r="836" spans="1:8">
      <c r="A836" s="3">
        <v>835</v>
      </c>
      <c r="B836" s="4">
        <v>45890.669085648151</v>
      </c>
      <c r="C836" s="5" t="str">
        <v>DAIHATSU GRANMAX PU AC PS 1.5 M/T</v>
      </c>
      <c r="D836" s="5" t="str">
        <v>B9409VZ</v>
      </c>
      <c r="E836" s="10">
        <v>20844</v>
      </c>
      <c r="F836" s="3" t="str">
        <v>Iya</v>
      </c>
      <c r="G836" s="4">
        <v>45427</v>
      </c>
      <c r="H836" s="10">
        <v>20844</v>
      </c>
    </row>
    <row r="837" spans="1:8">
      <c r="A837" s="3">
        <v>836</v>
      </c>
      <c r="B837" s="4">
        <v>45890.669606481482</v>
      </c>
      <c r="C837" s="5" t="str">
        <v>DAIHATSU GRANMAX PU AC PS 1.5 M/T</v>
      </c>
      <c r="D837" s="5" t="str">
        <v>B7223XEX</v>
      </c>
      <c r="E837" s="10">
        <v>49511</v>
      </c>
      <c r="F837" s="3" t="str">
        <v>Iya</v>
      </c>
      <c r="G837" s="4">
        <v>45870</v>
      </c>
      <c r="H837" s="10">
        <v>49511</v>
      </c>
    </row>
    <row r="838" spans="1:8">
      <c r="A838" s="3">
        <v>837</v>
      </c>
      <c r="B838" s="4">
        <v>45890.673958333333</v>
      </c>
      <c r="C838" s="5" t="str">
        <v>DAIHATSU GRANMAX PU AC PS 1.5 M/T</v>
      </c>
      <c r="D838" s="5" t="str">
        <v>B6876VS</v>
      </c>
      <c r="E838" s="10">
        <v>21540</v>
      </c>
      <c r="F838" s="3" t="str">
        <v>Iya</v>
      </c>
      <c r="G838" s="4">
        <v>45888</v>
      </c>
      <c r="H838" s="10">
        <v>21540</v>
      </c>
    </row>
    <row r="839" spans="1:8">
      <c r="A839" s="3">
        <v>838</v>
      </c>
      <c r="B839" s="4">
        <v>45890.675949074073</v>
      </c>
      <c r="C839" s="5" t="str">
        <v>DAIHATSU GRANMAX PU AC PS 1.5 M/T</v>
      </c>
      <c r="D839" s="5" t="str">
        <v>B5948HU</v>
      </c>
      <c r="E839" s="10">
        <v>3018</v>
      </c>
      <c r="F839" s="3" t="str">
        <v>Iya</v>
      </c>
      <c r="G839" s="4">
        <v>45783</v>
      </c>
      <c r="H839" s="10">
        <v>3018</v>
      </c>
    </row>
    <row r="840" spans="1:8">
      <c r="A840" s="3">
        <v>839</v>
      </c>
      <c r="B840" s="4">
        <v>45890.677187499998</v>
      </c>
      <c r="C840" s="5" t="str">
        <v>PICK UP TRAGA 2.5 4X2 MT D M/T</v>
      </c>
      <c r="D840" s="5" t="str">
        <v>B4597RJ</v>
      </c>
      <c r="E840" s="10">
        <v>80573</v>
      </c>
      <c r="F840" s="3" t="str">
        <v>Iya</v>
      </c>
      <c r="G840" s="4">
        <v>45859</v>
      </c>
      <c r="H840" s="10">
        <v>80573</v>
      </c>
    </row>
    <row r="841" spans="1:8">
      <c r="A841" s="3">
        <v>840</v>
      </c>
      <c r="B841" s="4">
        <v>45890.677743055552</v>
      </c>
      <c r="C841" s="5" t="str">
        <v>DAIHATSU GRANMAX PU AC PS 1.5 M/T</v>
      </c>
      <c r="D841" s="5" t="str">
        <v>DD8835VA</v>
      </c>
      <c r="E841" s="10">
        <v>5845</v>
      </c>
      <c r="F841" s="3" t="str">
        <v>Iya</v>
      </c>
      <c r="G841" s="4">
        <v>45860</v>
      </c>
      <c r="H841" s="10">
        <v>5845</v>
      </c>
    </row>
    <row r="842" spans="1:8">
      <c r="A842" s="3">
        <v>841</v>
      </c>
      <c r="B842" s="4">
        <v>45890.678622685176</v>
      </c>
      <c r="C842" s="5" t="str">
        <v>DAIHATSU GRANMAX PU AC PS 1.5 M/T</v>
      </c>
      <c r="D842" s="5" t="str">
        <v>B7135IN</v>
      </c>
      <c r="E842" s="10">
        <v>18657</v>
      </c>
      <c r="F842" s="3" t="str">
        <v>Iya</v>
      </c>
      <c r="G842" s="4">
        <v>45622</v>
      </c>
      <c r="H842" s="10">
        <v>18657</v>
      </c>
    </row>
    <row r="843" spans="1:8">
      <c r="A843" s="3">
        <v>842</v>
      </c>
      <c r="B843" s="4">
        <v>45890.67864583333</v>
      </c>
      <c r="C843" s="5" t="str">
        <v>DAIHATSU GRANMAX PU AC PS 1.5 M/T</v>
      </c>
      <c r="D843" s="5" t="str">
        <v>B6505HTV</v>
      </c>
      <c r="E843" s="10">
        <v>53002</v>
      </c>
      <c r="F843" s="3" t="str">
        <v>Iya</v>
      </c>
      <c r="G843" s="4">
        <v>45860</v>
      </c>
      <c r="H843" s="10">
        <v>53002</v>
      </c>
    </row>
    <row r="844" spans="1:8">
      <c r="A844" s="3">
        <v>843</v>
      </c>
      <c r="B844" s="4">
        <v>45890.678900462961</v>
      </c>
      <c r="C844" s="5" t="str">
        <v>DAIHATSU GRANMAX PU AC PS 1.5 M/T</v>
      </c>
      <c r="D844" s="5" t="str">
        <v>B7069IU</v>
      </c>
      <c r="E844" s="10">
        <v>7215</v>
      </c>
      <c r="F844" s="3" t="str">
        <v>Iya</v>
      </c>
      <c r="G844" s="4">
        <v>45849</v>
      </c>
      <c r="H844" s="10">
        <v>7215</v>
      </c>
    </row>
    <row r="845" spans="1:8">
      <c r="A845" s="3">
        <v>844</v>
      </c>
      <c r="B845" s="4">
        <v>45890.679386574076</v>
      </c>
      <c r="C845" s="5" t="str">
        <v>Daihatsu Xenia (Badan)</v>
      </c>
      <c r="D845" s="5" t="str">
        <v>KB8049QJT</v>
      </c>
      <c r="E845" s="10">
        <v>297</v>
      </c>
      <c r="F845" s="3" t="str">
        <v>Iya</v>
      </c>
      <c r="G845" s="4">
        <v>45890</v>
      </c>
      <c r="H845" s="10">
        <v>297</v>
      </c>
    </row>
    <row r="846" spans="1:8">
      <c r="A846" s="3">
        <v>845</v>
      </c>
      <c r="B846" s="4">
        <v>45890.681643518517</v>
      </c>
      <c r="C846" s="5" t="str">
        <v>DAIHATSU GRANMAX PU AC PS 1.5 M/T</v>
      </c>
      <c r="D846" s="5" t="str">
        <v>B6999PZ</v>
      </c>
      <c r="E846" s="10">
        <v>19360</v>
      </c>
      <c r="F846" s="3" t="str">
        <v>Iya</v>
      </c>
      <c r="G846" s="4">
        <v>45860</v>
      </c>
      <c r="H846" s="10">
        <v>19360</v>
      </c>
    </row>
    <row r="847" spans="1:8">
      <c r="A847" s="3">
        <v>846</v>
      </c>
      <c r="B847" s="4">
        <v>45890.682511574072</v>
      </c>
      <c r="C847" s="5" t="str">
        <v>DAIHATSU GRANMAX PU AC PS 1.5 M/T</v>
      </c>
      <c r="D847" s="5" t="str">
        <v>B6551IKH</v>
      </c>
      <c r="E847" s="10">
        <v>28193</v>
      </c>
      <c r="F847" s="3" t="str">
        <v>Iya</v>
      </c>
      <c r="G847" s="4">
        <v>45831</v>
      </c>
      <c r="H847" s="10">
        <v>28193</v>
      </c>
    </row>
    <row r="848" spans="1:8">
      <c r="A848" s="3">
        <v>847</v>
      </c>
      <c r="B848" s="4">
        <v>45890.682916666658</v>
      </c>
      <c r="C848" s="5" t="str">
        <v>DAIHATSU GRANMAX PU AC PS 1.5 M/T</v>
      </c>
      <c r="D848" s="5" t="str">
        <v>B1654RAU</v>
      </c>
      <c r="E848" s="10">
        <v>53632</v>
      </c>
      <c r="F848" s="3" t="str">
        <v>Iya</v>
      </c>
      <c r="G848" s="4">
        <v>45770</v>
      </c>
      <c r="H848" s="10">
        <v>53632</v>
      </c>
    </row>
    <row r="849" spans="1:8">
      <c r="A849" s="3">
        <v>848</v>
      </c>
      <c r="B849" s="4">
        <v>45890.682939814818</v>
      </c>
      <c r="C849" s="5" t="str">
        <v>DAIHATSU GRANMAX PU AC PS 1.5 M/T</v>
      </c>
      <c r="D849" s="5" t="str">
        <v>B3553ILD</v>
      </c>
      <c r="E849" s="10">
        <v>6465</v>
      </c>
      <c r="F849" s="3" t="str">
        <v>Iya</v>
      </c>
      <c r="G849" s="4">
        <v>45884</v>
      </c>
      <c r="H849" s="10">
        <v>6465</v>
      </c>
    </row>
    <row r="850" spans="1:8">
      <c r="A850" s="3">
        <v>849</v>
      </c>
      <c r="B850" s="4">
        <v>45890.686377314807</v>
      </c>
      <c r="C850" s="5" t="str">
        <v>PICK UP TRAGA 2.5 4X2 MT D M/T</v>
      </c>
      <c r="D850" s="5" t="str">
        <v>B3050XRL</v>
      </c>
      <c r="E850" s="10">
        <v>75523</v>
      </c>
      <c r="F850" s="3" t="str">
        <v>Iya</v>
      </c>
      <c r="G850" s="4">
        <v>45831</v>
      </c>
      <c r="H850" s="10">
        <v>75523</v>
      </c>
    </row>
    <row r="851" spans="1:8">
      <c r="A851" s="3">
        <v>850</v>
      </c>
      <c r="B851" s="4">
        <v>45890.686469907407</v>
      </c>
      <c r="C851" s="5" t="str">
        <v>PICK UP TRAGA 2.5 4X2 MT D M/T</v>
      </c>
      <c r="D851" s="5" t="str">
        <v>B1292DPE</v>
      </c>
      <c r="E851" s="10">
        <v>1491</v>
      </c>
      <c r="F851" s="3" t="str">
        <v>Iya</v>
      </c>
      <c r="G851" s="4">
        <v>45870</v>
      </c>
      <c r="H851" s="10">
        <v>1491</v>
      </c>
    </row>
    <row r="852" spans="1:8">
      <c r="A852" s="3">
        <v>851</v>
      </c>
      <c r="B852" s="4">
        <v>45890.686782407407</v>
      </c>
      <c r="C852" s="5" t="str">
        <v>PICK UP TRAGA 2.5 4X2 MT D M/T</v>
      </c>
      <c r="D852" s="5" t="str">
        <v>B9848XJ</v>
      </c>
      <c r="E852" s="10">
        <v>65728</v>
      </c>
      <c r="F852" s="3" t="str">
        <v>Iya</v>
      </c>
      <c r="G852" s="4">
        <v>45839</v>
      </c>
      <c r="H852" s="10">
        <v>65728</v>
      </c>
    </row>
    <row r="853" spans="1:8">
      <c r="A853" s="3">
        <v>852</v>
      </c>
      <c r="B853" s="4">
        <v>45890.689108796287</v>
      </c>
      <c r="C853" s="5" t="str">
        <v>DAIHATSU GRANMAX PU AC PS 1.5 M/T</v>
      </c>
      <c r="D853" s="5" t="str">
        <v>B8132XW</v>
      </c>
      <c r="E853" s="10">
        <v>34660</v>
      </c>
      <c r="F853" s="3" t="str">
        <v>Iya</v>
      </c>
      <c r="G853" s="4">
        <v>45731</v>
      </c>
      <c r="H853" s="10">
        <v>34660</v>
      </c>
    </row>
    <row r="854" spans="1:8">
      <c r="A854" s="3">
        <v>853</v>
      </c>
      <c r="B854" s="4">
        <v>45890.690335648149</v>
      </c>
      <c r="C854" s="5" t="str">
        <v>PICK UP TRAGA 2.5 4X2 MT D M/T</v>
      </c>
      <c r="D854" s="5" t="str">
        <v>B3406ZUA</v>
      </c>
      <c r="E854" s="10">
        <v>57582</v>
      </c>
      <c r="F854" s="3" t="str">
        <v>Iya</v>
      </c>
      <c r="G854" s="4">
        <v>45813</v>
      </c>
      <c r="H854" s="10">
        <v>57582</v>
      </c>
    </row>
    <row r="855" spans="1:8">
      <c r="A855" s="3">
        <v>854</v>
      </c>
      <c r="B855" s="4">
        <v>45890.691076388888</v>
      </c>
      <c r="C855" s="5" t="str">
        <v>DAIHATSU GRANMAX PU AC PS 1.5 M/T</v>
      </c>
      <c r="D855" s="5" t="str">
        <v>B5659TK</v>
      </c>
      <c r="E855" s="10">
        <v>92158</v>
      </c>
      <c r="F855" s="3" t="str">
        <v>Iya</v>
      </c>
      <c r="G855" s="4">
        <v>45833</v>
      </c>
      <c r="H855" s="10">
        <v>92158</v>
      </c>
    </row>
    <row r="856" spans="1:8">
      <c r="A856" s="3">
        <v>855</v>
      </c>
      <c r="B856" s="4">
        <v>45890.691481481481</v>
      </c>
      <c r="C856" s="5" t="str">
        <v>PICK UP TRAGA 2.5 4X2 MT D M/T</v>
      </c>
      <c r="D856" s="5" t="str">
        <v>B8659VBE</v>
      </c>
      <c r="E856" s="10">
        <v>72623</v>
      </c>
      <c r="F856" s="3" t="str">
        <v>Iya</v>
      </c>
      <c r="G856" s="4">
        <v>45828</v>
      </c>
      <c r="H856" s="10">
        <v>72623</v>
      </c>
    </row>
    <row r="857" spans="1:8">
      <c r="A857" s="3">
        <v>856</v>
      </c>
      <c r="B857" s="4">
        <v>45890.696018518523</v>
      </c>
      <c r="C857" s="5" t="str">
        <v>PICK UP TRAGA 2.5 4X2 MT D M/T</v>
      </c>
      <c r="D857" s="5" t="str">
        <v>B2742DP</v>
      </c>
      <c r="E857" s="10">
        <v>49948</v>
      </c>
      <c r="F857" s="3" t="str">
        <v>Iya</v>
      </c>
      <c r="G857" s="4">
        <v>45794</v>
      </c>
      <c r="H857" s="10">
        <v>49948</v>
      </c>
    </row>
    <row r="858" spans="1:8">
      <c r="A858" s="3">
        <v>857</v>
      </c>
      <c r="B858" s="4">
        <v>45890.698055555556</v>
      </c>
      <c r="C858" s="5" t="str">
        <v>DAIHATSU GRANMAX PU AC PS 1.5 M/T</v>
      </c>
      <c r="D858" s="5" t="str">
        <v>B4034IWU</v>
      </c>
      <c r="E858" s="10">
        <v>23612</v>
      </c>
      <c r="F858" s="3" t="str">
        <v>Iya</v>
      </c>
      <c r="G858" s="4">
        <v>45885</v>
      </c>
      <c r="H858" s="10">
        <v>23612</v>
      </c>
    </row>
    <row r="859" spans="1:8">
      <c r="A859" s="3">
        <v>858</v>
      </c>
      <c r="B859" s="4">
        <v>45890.70616898148</v>
      </c>
      <c r="C859" s="5" t="str">
        <v>DAIHATSU GRANMAX PU AC PS 1.5 M/T</v>
      </c>
      <c r="D859" s="5" t="str">
        <v>B7692UCT</v>
      </c>
      <c r="E859" s="10">
        <v>7199</v>
      </c>
      <c r="F859" s="3" t="str">
        <v>Iya</v>
      </c>
      <c r="G859" s="4">
        <v>45827</v>
      </c>
      <c r="H859" s="10">
        <v>7199</v>
      </c>
    </row>
    <row r="860" spans="1:8">
      <c r="A860" s="3">
        <v>859</v>
      </c>
      <c r="B860" s="4">
        <v>45890.715277777781</v>
      </c>
      <c r="C860" s="5" t="str">
        <v>DAIHATSU GRANMAX PU AC PS 1.5 M/T</v>
      </c>
      <c r="D860" s="5" t="str">
        <v>B8069JR</v>
      </c>
      <c r="E860" s="10">
        <v>92401</v>
      </c>
      <c r="F860" s="3" t="str">
        <v>Iya</v>
      </c>
      <c r="G860" s="4">
        <v>45825</v>
      </c>
      <c r="H860" s="10">
        <v>92401</v>
      </c>
    </row>
    <row r="861" spans="1:8">
      <c r="A861" s="3">
        <v>860</v>
      </c>
      <c r="B861" s="4">
        <v>45890.717835648153</v>
      </c>
      <c r="C861" s="5" t="str">
        <v>PICK UP TRAGA 2.5 4X2 MT D M/T</v>
      </c>
      <c r="D861" s="5" t="str">
        <v>B8491EZ</v>
      </c>
      <c r="E861" s="10">
        <v>14738</v>
      </c>
      <c r="F861" s="3" t="str">
        <v>Iya</v>
      </c>
      <c r="G861" s="4">
        <v>45812</v>
      </c>
      <c r="H861" s="10">
        <v>14738</v>
      </c>
    </row>
    <row r="862" spans="1:8">
      <c r="A862" s="3">
        <v>861</v>
      </c>
      <c r="B862" s="4">
        <v>45890.71979166667</v>
      </c>
      <c r="C862" s="5" t="str">
        <v>Daihatsu Xenia (Badan)</v>
      </c>
      <c r="D862" s="5" t="str">
        <v>B9910CL</v>
      </c>
      <c r="E862" s="10">
        <v>3903</v>
      </c>
      <c r="F862" s="3" t="str">
        <v>Iya</v>
      </c>
      <c r="G862" s="4">
        <v>45883</v>
      </c>
      <c r="H862" s="10">
        <v>3903</v>
      </c>
    </row>
    <row r="863" spans="1:8">
      <c r="A863" s="3">
        <v>862</v>
      </c>
      <c r="B863" s="4">
        <v>45890.720196759263</v>
      </c>
      <c r="C863" s="5" t="str">
        <v>PICK UP TRAGA 2.5 4X2 MT D M/T</v>
      </c>
      <c r="D863" s="5" t="str">
        <v>B6557JW</v>
      </c>
      <c r="E863" s="10">
        <v>84603</v>
      </c>
      <c r="F863" s="3" t="str">
        <v>Iya</v>
      </c>
      <c r="G863" s="4">
        <v>45817</v>
      </c>
      <c r="H863" s="10">
        <v>84603</v>
      </c>
    </row>
    <row r="864" spans="1:8">
      <c r="A864" s="3">
        <v>863</v>
      </c>
      <c r="B864" s="4">
        <v>45890.729733796303</v>
      </c>
      <c r="C864" s="5" t="str">
        <v>DAIHATSU GRANMAX PU AC PS 1.5 M/T</v>
      </c>
      <c r="D864" s="5" t="str">
        <v>B5277IQ</v>
      </c>
      <c r="E864" s="10">
        <v>39846</v>
      </c>
      <c r="F864" s="3" t="str">
        <v>Iya</v>
      </c>
      <c r="G864" s="4">
        <v>45814</v>
      </c>
      <c r="H864" s="10">
        <v>39846</v>
      </c>
    </row>
    <row r="865" spans="1:8">
      <c r="A865" s="3">
        <v>864</v>
      </c>
      <c r="B865" s="4">
        <v>45890.73364583333</v>
      </c>
      <c r="C865" s="5" t="str">
        <v>DAIHATSU GRANMAX PU AC PS 1.5 M/T</v>
      </c>
      <c r="D865" s="5" t="str">
        <v>H3815DXD</v>
      </c>
      <c r="E865" s="10">
        <v>9519</v>
      </c>
      <c r="F865" s="3" t="str">
        <v>Iya</v>
      </c>
      <c r="G865" s="4">
        <v>45708</v>
      </c>
      <c r="H865" s="10">
        <v>9519</v>
      </c>
    </row>
    <row r="866" spans="1:8">
      <c r="A866" s="3">
        <v>865</v>
      </c>
      <c r="B866" s="4">
        <v>45890.741990740738</v>
      </c>
      <c r="C866" s="5" t="str">
        <v>DAIHATSU GRANMAX PU AC PS 1.5 M/T</v>
      </c>
      <c r="D866" s="5" t="str">
        <v>B8645QN</v>
      </c>
      <c r="E866" s="10">
        <v>42959</v>
      </c>
      <c r="F866" s="3" t="str">
        <v>Iya</v>
      </c>
      <c r="G866" s="4">
        <v>45771</v>
      </c>
      <c r="H866" s="10">
        <v>42959</v>
      </c>
    </row>
    <row r="867" spans="1:8">
      <c r="A867" s="3">
        <v>866</v>
      </c>
      <c r="B867" s="4">
        <v>45890.747615740736</v>
      </c>
      <c r="C867" s="5" t="str">
        <v>DAIHATSU GRANMAX PU AC PS 1.5 M/T</v>
      </c>
      <c r="D867" s="5" t="str">
        <v>B8144GH</v>
      </c>
      <c r="E867" s="10">
        <v>7430</v>
      </c>
      <c r="F867" s="3" t="str">
        <v>Iya</v>
      </c>
      <c r="G867" s="4">
        <v>45867</v>
      </c>
      <c r="H867" s="10">
        <v>7430</v>
      </c>
    </row>
    <row r="868" spans="1:8">
      <c r="A868" s="3">
        <v>867</v>
      </c>
      <c r="B868" s="4">
        <v>45890.748530092591</v>
      </c>
      <c r="C868" s="5" t="str">
        <v>DAIHATSU GRANMAX PU AC PS 1.5 M/T</v>
      </c>
      <c r="D868" s="5" t="str">
        <v>B8457UZ</v>
      </c>
      <c r="E868" s="10">
        <v>8632</v>
      </c>
      <c r="F868" s="3" t="str">
        <v>Iya</v>
      </c>
      <c r="G868" s="4">
        <v>45743</v>
      </c>
      <c r="H868" s="10">
        <v>8632</v>
      </c>
    </row>
    <row r="869" spans="1:8">
      <c r="A869" s="3">
        <v>868</v>
      </c>
      <c r="B869" s="4">
        <v>45890.751550925917</v>
      </c>
      <c r="C869" s="5" t="str">
        <v>PICK UP TRAGA 2.5 4X2 MT D M/T</v>
      </c>
      <c r="D869" s="5" t="str">
        <v>B7591HAI</v>
      </c>
      <c r="E869" s="10">
        <v>88370</v>
      </c>
      <c r="F869" s="3" t="str">
        <v>Iya</v>
      </c>
      <c r="G869" s="4">
        <v>45874</v>
      </c>
      <c r="H869" s="10">
        <v>88370</v>
      </c>
    </row>
    <row r="870" spans="1:8">
      <c r="A870" s="3">
        <v>869</v>
      </c>
      <c r="B870" s="4">
        <v>45890.785682870373</v>
      </c>
      <c r="C870" s="5" t="str">
        <v>DAIHATSU GRANMAX PU AC PS 1.5 M/T</v>
      </c>
      <c r="D870" s="5" t="str">
        <v>B8269XJ</v>
      </c>
      <c r="E870" s="10">
        <v>25306</v>
      </c>
      <c r="F870" s="3" t="str">
        <v>Iya</v>
      </c>
      <c r="G870" s="4">
        <v>45810</v>
      </c>
      <c r="H870" s="10">
        <v>25306</v>
      </c>
    </row>
    <row r="871" spans="1:8">
      <c r="A871" s="3">
        <v>870</v>
      </c>
      <c r="B871" s="4">
        <v>45890.800381944442</v>
      </c>
      <c r="C871" s="5" t="str">
        <v>Daihatsu Xenia (Badan)</v>
      </c>
      <c r="D871" s="5" t="str">
        <v>AB5933RIW</v>
      </c>
      <c r="E871" s="10">
        <v>27012</v>
      </c>
      <c r="F871" s="3" t="str">
        <v>Iya</v>
      </c>
      <c r="G871" s="4">
        <v>45875</v>
      </c>
      <c r="H871" s="10">
        <v>27012</v>
      </c>
    </row>
    <row r="872" spans="1:8">
      <c r="A872" s="3">
        <v>871</v>
      </c>
      <c r="B872" s="4">
        <v>45890.824560185189</v>
      </c>
      <c r="C872" s="5" t="str">
        <v>PICK UP TRAGA 2.5 4X2 MT D M/T</v>
      </c>
      <c r="D872" s="5" t="str">
        <v>B1181GU</v>
      </c>
      <c r="E872" s="10">
        <v>8561</v>
      </c>
      <c r="F872" s="3" t="str">
        <v>Iya</v>
      </c>
      <c r="G872" s="4">
        <v>45778</v>
      </c>
      <c r="H872" s="10">
        <v>8561</v>
      </c>
    </row>
    <row r="873" spans="1:8">
      <c r="A873" s="3">
        <v>872</v>
      </c>
      <c r="B873" s="4">
        <v>45891.290578703702</v>
      </c>
      <c r="C873" s="5" t="str">
        <v>PICK UP TRAGA 2.5 4X2 MT D M/T</v>
      </c>
      <c r="D873" s="5" t="str">
        <v>D3684CE</v>
      </c>
      <c r="E873" s="10">
        <v>82798</v>
      </c>
      <c r="F873" s="3" t="str">
        <v>Iya</v>
      </c>
      <c r="G873" s="4">
        <v>45845</v>
      </c>
      <c r="H873" s="10">
        <v>82798</v>
      </c>
    </row>
    <row r="874" spans="1:8">
      <c r="A874" s="3">
        <v>873</v>
      </c>
      <c r="B874" s="4">
        <v>45891.306643518517</v>
      </c>
      <c r="C874" s="5" t="str">
        <v>DAIHATSU GRANMAX PU AC PS 1.5 M/T</v>
      </c>
      <c r="D874" s="5" t="str">
        <v>KT2986WG</v>
      </c>
      <c r="E874" s="10">
        <v>32161</v>
      </c>
      <c r="F874" s="3" t="str">
        <v>Iya</v>
      </c>
      <c r="G874" s="4">
        <v>45841</v>
      </c>
      <c r="H874" s="10">
        <v>32161</v>
      </c>
    </row>
    <row r="875" spans="1:8">
      <c r="A875" s="3">
        <v>874</v>
      </c>
      <c r="B875" s="4">
        <v>45891.319768518522</v>
      </c>
      <c r="C875" s="5" t="str">
        <v>PICK UP TRAGA 2.5 4X2 MT D M/T</v>
      </c>
      <c r="D875" s="5" t="str">
        <v>KB3547AT</v>
      </c>
      <c r="E875" s="10">
        <v>37574</v>
      </c>
      <c r="F875" s="3" t="str">
        <v>Iya</v>
      </c>
      <c r="G875" s="4">
        <v>45828</v>
      </c>
      <c r="H875" s="10">
        <v>37574</v>
      </c>
    </row>
    <row r="876" spans="1:8">
      <c r="A876" s="3">
        <v>875</v>
      </c>
      <c r="B876" s="4">
        <v>45891.322164351863</v>
      </c>
      <c r="C876" s="5" t="str">
        <v>PICK UP TRAGA 2.5 4X2 MT D M/T</v>
      </c>
      <c r="D876" s="5" t="str">
        <v>B2118PQK</v>
      </c>
      <c r="E876" s="10">
        <v>46844</v>
      </c>
      <c r="F876" s="3" t="str">
        <v>Iya</v>
      </c>
      <c r="G876" s="4">
        <v>45781</v>
      </c>
      <c r="H876" s="10">
        <v>46844</v>
      </c>
    </row>
    <row r="877" spans="1:8">
      <c r="A877" s="3">
        <v>876</v>
      </c>
      <c r="B877" s="4">
        <v>45891.322870370372</v>
      </c>
      <c r="C877" s="5" t="str">
        <v>PICK UP TRAGA 2.5 4X2 MT D M/T</v>
      </c>
      <c r="D877" s="5" t="str">
        <v>B2705EA</v>
      </c>
      <c r="E877" s="10">
        <v>32839</v>
      </c>
      <c r="F877" s="3" t="str">
        <v>Iya</v>
      </c>
      <c r="G877" s="4">
        <v>45824</v>
      </c>
      <c r="H877" s="10">
        <v>32839</v>
      </c>
    </row>
    <row r="878" spans="1:8">
      <c r="A878" s="3">
        <v>877</v>
      </c>
      <c r="B878" s="4">
        <v>45891.329293981478</v>
      </c>
      <c r="C878" s="5" t="str">
        <v>DAIHATSU GRANMAX PU AC PS 1.5 M/T</v>
      </c>
      <c r="D878" s="5" t="str">
        <v>B6065WA</v>
      </c>
      <c r="E878" s="10">
        <v>27969</v>
      </c>
      <c r="F878" s="3" t="str">
        <v>Iya</v>
      </c>
      <c r="G878" s="4">
        <v>45593</v>
      </c>
      <c r="H878" s="10">
        <v>27969</v>
      </c>
    </row>
    <row r="879" spans="1:8">
      <c r="A879" s="3">
        <v>878</v>
      </c>
      <c r="B879" s="4">
        <v>45891.33315972222</v>
      </c>
      <c r="C879" s="5" t="str">
        <v>DAIHATSU GRANMAX PU AC PS 1.5 M/T</v>
      </c>
      <c r="D879" s="5" t="str">
        <v>B1960LKY</v>
      </c>
      <c r="E879" s="10">
        <v>42311</v>
      </c>
      <c r="F879" s="3" t="str">
        <v>Iya</v>
      </c>
      <c r="G879" s="4">
        <v>45762</v>
      </c>
      <c r="H879" s="10">
        <v>42311</v>
      </c>
    </row>
    <row r="880" spans="1:8">
      <c r="A880" s="3">
        <v>879</v>
      </c>
      <c r="B880" s="4">
        <v>45891.35355324074</v>
      </c>
      <c r="C880" s="5" t="str">
        <v>DAIHATSU GRANMAX PU AC PS 1.5 M/T</v>
      </c>
      <c r="D880" s="5" t="str">
        <v>B3968XFF</v>
      </c>
      <c r="E880" s="10">
        <v>12125</v>
      </c>
      <c r="F880" s="3" t="str">
        <v>Iya</v>
      </c>
      <c r="G880" s="4">
        <v>45720</v>
      </c>
      <c r="H880" s="10">
        <v>12125</v>
      </c>
    </row>
    <row r="881" spans="1:8">
      <c r="A881" s="3">
        <v>880</v>
      </c>
      <c r="B881" s="4">
        <v>45891.358425925922</v>
      </c>
      <c r="C881" s="5" t="str">
        <v>PICK UP TRAGA 2.5 4X2 MT D M/T</v>
      </c>
      <c r="D881" s="5" t="str">
        <v>AB4872CQP</v>
      </c>
      <c r="E881" s="10">
        <v>33518</v>
      </c>
      <c r="F881" s="3" t="str">
        <v>Iya</v>
      </c>
      <c r="G881" s="4">
        <v>45759</v>
      </c>
      <c r="H881" s="10">
        <v>33518</v>
      </c>
    </row>
    <row r="882" spans="1:8">
      <c r="A882" s="3">
        <v>881</v>
      </c>
      <c r="B882" s="4">
        <v>45891.362708333327</v>
      </c>
      <c r="C882" s="5" t="str">
        <v>DAIHATSU GRANMAX PU AC PS 1.5 M/T</v>
      </c>
      <c r="D882" s="5" t="str">
        <v>B8474IXR</v>
      </c>
      <c r="E882" s="10">
        <v>13793</v>
      </c>
      <c r="F882" s="3" t="str">
        <v>Iya</v>
      </c>
      <c r="G882" s="4">
        <v>45764</v>
      </c>
      <c r="H882" s="10">
        <v>13793</v>
      </c>
    </row>
    <row r="883" spans="1:8">
      <c r="A883" s="3">
        <v>882</v>
      </c>
      <c r="B883" s="4">
        <v>45891.373194444437</v>
      </c>
      <c r="C883" s="5" t="str">
        <v>DAIHATSU GRANMAX PU AC PS 1.5 M/T</v>
      </c>
      <c r="D883" s="5" t="str">
        <v>B6989QE</v>
      </c>
      <c r="E883" s="10">
        <v>85825</v>
      </c>
      <c r="F883" s="3" t="str">
        <v>Iya</v>
      </c>
      <c r="G883" s="4">
        <v>45812</v>
      </c>
      <c r="H883" s="10">
        <v>85825</v>
      </c>
    </row>
    <row r="884" spans="1:8">
      <c r="A884" s="3">
        <v>883</v>
      </c>
      <c r="B884" s="4">
        <v>45891.375462962962</v>
      </c>
      <c r="C884" s="5" t="str">
        <v>DAIHATSU GRANMAX PU AC PS 1.5 M/T</v>
      </c>
      <c r="D884" s="5" t="str">
        <v>B7351RH</v>
      </c>
      <c r="E884" s="10">
        <v>53739</v>
      </c>
      <c r="F884" s="3" t="str">
        <v>Iya</v>
      </c>
      <c r="G884" s="4">
        <v>45885</v>
      </c>
      <c r="H884" s="10">
        <v>53739</v>
      </c>
    </row>
    <row r="885" spans="1:8">
      <c r="A885" s="3">
        <v>884</v>
      </c>
      <c r="B885" s="4">
        <v>45891.375821759262</v>
      </c>
      <c r="C885" s="5" t="str">
        <v>DAIHATSU GRANMAX PU AC PS 1.5 M/T</v>
      </c>
      <c r="D885" s="5" t="str">
        <v>B4068JNS</v>
      </c>
      <c r="E885" s="10">
        <v>49070</v>
      </c>
      <c r="F885" s="3" t="str">
        <v>Iya</v>
      </c>
      <c r="G885" s="4">
        <v>45793</v>
      </c>
      <c r="H885" s="10">
        <v>49070</v>
      </c>
    </row>
    <row r="886" spans="1:8">
      <c r="A886" s="3">
        <v>885</v>
      </c>
      <c r="B886" s="4">
        <v>45891.379293981481</v>
      </c>
      <c r="C886" s="5" t="str">
        <v>DAIHATSU GRANMAX PU AC PS 1.5 M/T</v>
      </c>
      <c r="D886" s="5" t="str">
        <v>H6446RTB</v>
      </c>
      <c r="E886" s="10">
        <v>11509</v>
      </c>
      <c r="F886" s="3" t="str">
        <v>Iya</v>
      </c>
      <c r="G886" s="4">
        <v>45826</v>
      </c>
      <c r="H886" s="10">
        <v>11509</v>
      </c>
    </row>
    <row r="887" spans="1:8">
      <c r="A887" s="3">
        <v>886</v>
      </c>
      <c r="B887" s="4">
        <v>45891.384131944447</v>
      </c>
      <c r="C887" s="5" t="str">
        <v>DAIHATSU GRANMAX PU AC PS 1.5 M/T</v>
      </c>
      <c r="D887" s="5" t="str">
        <v>B9587WL</v>
      </c>
      <c r="E887" s="10">
        <v>1547</v>
      </c>
      <c r="F887" s="3" t="str">
        <v>Iya</v>
      </c>
      <c r="G887" s="4">
        <v>45796</v>
      </c>
      <c r="H887" s="10">
        <v>1547</v>
      </c>
    </row>
    <row r="888" spans="1:8">
      <c r="A888" s="3">
        <v>887</v>
      </c>
      <c r="B888" s="4">
        <v>45891.386087962957</v>
      </c>
      <c r="C888" s="5" t="str">
        <v>PICK UP TRAGA 2.5 4X2 MT D M/T</v>
      </c>
      <c r="D888" s="5" t="str">
        <v>H6818GV</v>
      </c>
      <c r="E888" s="10">
        <v>31730</v>
      </c>
      <c r="F888" s="3" t="str">
        <v>Iya</v>
      </c>
      <c r="G888" s="4">
        <v>45821</v>
      </c>
      <c r="H888" s="10">
        <v>31730</v>
      </c>
    </row>
    <row r="889" spans="1:8">
      <c r="A889" s="3">
        <v>888</v>
      </c>
      <c r="B889" s="4">
        <v>45891.397858796299</v>
      </c>
      <c r="C889" s="5" t="str">
        <v>DAIHATSU GRANMAX PU AC PS 1.5 M/T</v>
      </c>
      <c r="D889" s="5" t="str">
        <v>DD1709SU</v>
      </c>
      <c r="E889" s="10">
        <v>31810</v>
      </c>
      <c r="F889" s="3" t="str">
        <v>Iya</v>
      </c>
      <c r="G889" s="4">
        <v>45736</v>
      </c>
      <c r="H889" s="10">
        <v>31810</v>
      </c>
    </row>
    <row r="890" spans="1:8">
      <c r="A890" s="3">
        <v>889</v>
      </c>
      <c r="B890" s="4">
        <v>45891.402071759258</v>
      </c>
      <c r="C890" s="5" t="str">
        <v>DAIHATSU GRANMAX PU AC PS 1.5 M/T</v>
      </c>
      <c r="D890" s="5" t="str">
        <v>B5226AVT</v>
      </c>
      <c r="E890" s="10">
        <v>2268</v>
      </c>
      <c r="F890" s="3" t="str">
        <v>Iya</v>
      </c>
      <c r="G890" s="4">
        <v>45842</v>
      </c>
      <c r="H890" s="10">
        <v>2268</v>
      </c>
    </row>
    <row r="891" spans="1:8">
      <c r="A891" s="3">
        <v>890</v>
      </c>
      <c r="B891" s="4">
        <v>45891.404791666668</v>
      </c>
      <c r="C891" s="5" t="str">
        <v>PICK UP TRAGA 2.5 4X2 MT D M/T</v>
      </c>
      <c r="D891" s="5" t="str">
        <v>B9936AP</v>
      </c>
      <c r="E891" s="10">
        <v>42783</v>
      </c>
      <c r="F891" s="3" t="str">
        <v>Iya</v>
      </c>
      <c r="G891" s="4">
        <v>45819</v>
      </c>
      <c r="H891" s="10">
        <v>42783</v>
      </c>
    </row>
    <row r="892" spans="1:8">
      <c r="A892" s="3">
        <v>891</v>
      </c>
      <c r="B892" s="4">
        <v>45891.414236111108</v>
      </c>
      <c r="C892" s="5" t="str">
        <v>PICK UP TRAGA 2.5 4X2 MT D M/T</v>
      </c>
      <c r="D892" s="5" t="str">
        <v>KT5059PV</v>
      </c>
      <c r="E892" s="10">
        <v>6159</v>
      </c>
      <c r="F892" s="3" t="str">
        <v>Iya</v>
      </c>
      <c r="G892" s="4">
        <v>45880</v>
      </c>
      <c r="H892" s="10">
        <v>6159</v>
      </c>
    </row>
    <row r="893" spans="1:8">
      <c r="A893" s="3">
        <v>892</v>
      </c>
      <c r="B893" s="4">
        <v>45891.427129629628</v>
      </c>
      <c r="C893" s="5" t="str">
        <v>DAIHATSU GRANMAX PU AC PS 1.5 M/T</v>
      </c>
      <c r="D893" s="5" t="str">
        <v>B4786BT</v>
      </c>
      <c r="E893" s="10">
        <v>20091</v>
      </c>
      <c r="F893" s="3" t="str">
        <v>Iya</v>
      </c>
      <c r="G893" s="4">
        <v>45890</v>
      </c>
      <c r="H893" s="10">
        <v>20091</v>
      </c>
    </row>
    <row r="894" spans="1:8">
      <c r="A894" s="3">
        <v>893</v>
      </c>
      <c r="B894" s="4">
        <v>45891.428425925929</v>
      </c>
      <c r="C894" s="5" t="str">
        <v>PICK UP TRAGA 2.5 4X2 MT D M/T</v>
      </c>
      <c r="D894" s="5" t="str">
        <v>B3079BPJ</v>
      </c>
      <c r="E894" s="10">
        <v>48501</v>
      </c>
      <c r="F894" s="3" t="str">
        <v>Iya</v>
      </c>
      <c r="G894" s="4">
        <v>45889</v>
      </c>
      <c r="H894" s="10">
        <v>48501</v>
      </c>
    </row>
    <row r="895" spans="1:8">
      <c r="A895" s="3">
        <v>894</v>
      </c>
      <c r="B895" s="4">
        <v>45891.429895833331</v>
      </c>
      <c r="C895" s="5" t="str">
        <v>DAIHATSU GRANMAX PU AC PS 1.5 M/T</v>
      </c>
      <c r="D895" s="5" t="str">
        <v>B6236MZW</v>
      </c>
      <c r="E895" s="10">
        <v>32118</v>
      </c>
      <c r="F895" s="3" t="str">
        <v>Iya</v>
      </c>
      <c r="G895" s="4">
        <v>45888</v>
      </c>
      <c r="H895" s="10">
        <v>32118</v>
      </c>
    </row>
    <row r="896" spans="1:8">
      <c r="A896" s="3">
        <v>895</v>
      </c>
      <c r="B896" s="4">
        <v>45891.441354166673</v>
      </c>
      <c r="C896" s="5" t="str">
        <v>DAIHATSU GRANMAX PU AC PS 1.5 M/T</v>
      </c>
      <c r="D896" s="5" t="str">
        <v>B9912VG</v>
      </c>
      <c r="E896" s="10">
        <v>100657</v>
      </c>
      <c r="F896" s="3" t="str">
        <v>Iya</v>
      </c>
      <c r="G896" s="4">
        <v>45820</v>
      </c>
      <c r="H896" s="10">
        <v>100657</v>
      </c>
    </row>
    <row r="897" spans="1:8">
      <c r="A897" s="3">
        <v>896</v>
      </c>
      <c r="B897" s="4">
        <v>45891.442685185182</v>
      </c>
      <c r="C897" s="5" t="str">
        <v>DAIHATSU GRANMAX PU AC PS 1.5 M/T</v>
      </c>
      <c r="D897" s="5" t="str">
        <v>KT4675WB</v>
      </c>
      <c r="E897" s="10">
        <v>39629</v>
      </c>
      <c r="F897" s="3" t="str">
        <v>Iya</v>
      </c>
      <c r="G897" s="4">
        <v>45814</v>
      </c>
      <c r="H897" s="10">
        <v>39629</v>
      </c>
    </row>
    <row r="898" spans="1:8">
      <c r="A898" s="3">
        <v>897</v>
      </c>
      <c r="B898" s="4">
        <v>45891.445694444446</v>
      </c>
      <c r="C898" s="5" t="str">
        <v>PICK UP TRAGA 2.5 4X2 MT D M/T</v>
      </c>
      <c r="D898" s="5" t="str">
        <v>B7562JW</v>
      </c>
      <c r="E898" s="10">
        <v>50523</v>
      </c>
      <c r="F898" s="3" t="str">
        <v>Iya</v>
      </c>
      <c r="G898" s="4">
        <v>45726</v>
      </c>
      <c r="H898" s="10">
        <v>50523</v>
      </c>
    </row>
    <row r="899" spans="1:8">
      <c r="A899" s="3">
        <v>898</v>
      </c>
      <c r="B899" s="4">
        <v>45891.468946759262</v>
      </c>
      <c r="C899" s="5" t="str">
        <v>DAIHATSU GRANMAX PU AC PS 1.5 M/T</v>
      </c>
      <c r="D899" s="5" t="str">
        <v>B4755HT</v>
      </c>
      <c r="E899" s="10">
        <v>8332</v>
      </c>
      <c r="F899" s="3" t="str">
        <v>Iya</v>
      </c>
      <c r="G899" s="4">
        <v>45723</v>
      </c>
      <c r="H899" s="10">
        <v>8332</v>
      </c>
    </row>
    <row r="900" spans="1:8">
      <c r="A900" s="3">
        <v>899</v>
      </c>
      <c r="B900" s="4">
        <v>45891.505729166667</v>
      </c>
      <c r="C900" s="5" t="str">
        <v>DAIHATSU GRANMAX PU AC PS 1.5 M/T</v>
      </c>
      <c r="D900" s="5" t="str">
        <v>B4001FJ</v>
      </c>
      <c r="E900" s="10">
        <v>5616</v>
      </c>
      <c r="F900" s="3" t="str">
        <v>Iya</v>
      </c>
      <c r="G900" s="4">
        <v>45792</v>
      </c>
      <c r="H900" s="10">
        <v>5616</v>
      </c>
    </row>
    <row r="901" spans="1:8">
      <c r="A901" s="3">
        <v>900</v>
      </c>
      <c r="B901" s="4">
        <v>45891.523715277777</v>
      </c>
      <c r="C901" s="5" t="str">
        <v>PICK UP TRAGA 2.5 4X2 MT D M/T</v>
      </c>
      <c r="D901" s="5" t="str">
        <v>B6987KLG</v>
      </c>
      <c r="E901" s="10">
        <v>39446</v>
      </c>
      <c r="F901" s="3" t="str">
        <v>Iya</v>
      </c>
      <c r="G901" s="4">
        <v>45819</v>
      </c>
      <c r="H901" s="10">
        <v>39446</v>
      </c>
    </row>
    <row r="902" spans="1:8">
      <c r="A902" s="3">
        <v>901</v>
      </c>
      <c r="B902" s="4">
        <v>45891.574884259258</v>
      </c>
      <c r="C902" s="5" t="str">
        <v>DAIHATSU GRANMAX PU AC PS 1.5 M/T</v>
      </c>
      <c r="D902" s="5" t="str">
        <v>B5472JN</v>
      </c>
      <c r="E902" s="10">
        <v>52215</v>
      </c>
      <c r="F902" s="3" t="str">
        <v>Iya</v>
      </c>
      <c r="G902" s="4">
        <v>45794</v>
      </c>
      <c r="H902" s="10">
        <v>52215</v>
      </c>
    </row>
    <row r="903" spans="1:8">
      <c r="A903" s="3">
        <v>902</v>
      </c>
      <c r="B903" s="4">
        <v>45891.599687499998</v>
      </c>
      <c r="C903" s="5" t="str">
        <v>DAIHATSU GRANMAX PU AC PS 1.5 M/T</v>
      </c>
      <c r="D903" s="5" t="str">
        <v>B9442MAL</v>
      </c>
      <c r="E903" s="10">
        <v>17568</v>
      </c>
      <c r="F903" s="3" t="str">
        <v>Iya</v>
      </c>
      <c r="G903" s="4">
        <v>45825</v>
      </c>
      <c r="H903" s="10">
        <v>17568</v>
      </c>
    </row>
    <row r="904" spans="1:8">
      <c r="A904" s="3">
        <v>903</v>
      </c>
      <c r="B904" s="4">
        <v>45891.613206018519</v>
      </c>
      <c r="C904" s="5" t="str">
        <v>PICK UP TRAGA 2.5 4X2 MT D M/T</v>
      </c>
      <c r="D904" s="5" t="str">
        <v>D2702MC</v>
      </c>
      <c r="E904" s="10">
        <v>31257</v>
      </c>
      <c r="F904" s="3" t="str">
        <v>Iya</v>
      </c>
      <c r="G904" s="4">
        <v>45882</v>
      </c>
      <c r="H904" s="10">
        <v>31257</v>
      </c>
    </row>
    <row r="905" spans="1:8">
      <c r="A905" s="3">
        <v>904</v>
      </c>
      <c r="B905" s="4">
        <v>45891.613564814812</v>
      </c>
      <c r="C905" s="5" t="str">
        <v>DAIHATSU GRANMAX PU AC PS 1.5 M/T</v>
      </c>
      <c r="D905" s="5" t="str">
        <v>B5750IQ</v>
      </c>
      <c r="E905" s="10">
        <v>52163</v>
      </c>
      <c r="F905" s="3" t="str">
        <v>Iya</v>
      </c>
      <c r="G905" s="4">
        <v>45741</v>
      </c>
      <c r="H905" s="10">
        <v>52163</v>
      </c>
    </row>
    <row r="906" spans="1:8">
      <c r="A906" s="3">
        <v>905</v>
      </c>
      <c r="B906" s="4">
        <v>45891.614722222221</v>
      </c>
      <c r="C906" s="5" t="str">
        <v>DAIHATSU GRANMAX PU AC PS 1.5 M/T</v>
      </c>
      <c r="D906" s="5" t="str">
        <v>B5773GMW</v>
      </c>
      <c r="E906" s="10">
        <v>54854</v>
      </c>
      <c r="F906" s="3" t="str">
        <v>Iya</v>
      </c>
      <c r="G906" s="4">
        <v>45583</v>
      </c>
      <c r="H906" s="10">
        <v>54854</v>
      </c>
    </row>
    <row r="907" spans="1:8">
      <c r="A907" s="3">
        <v>906</v>
      </c>
      <c r="B907" s="4">
        <v>45891.61515046296</v>
      </c>
      <c r="C907" s="5" t="str">
        <v>PICK UP TRAGA 2.5 4X2 MT D M/T</v>
      </c>
      <c r="D907" s="5" t="str">
        <v>B6986NB</v>
      </c>
      <c r="E907" s="10">
        <v>39695</v>
      </c>
      <c r="F907" s="3" t="str">
        <v>Iya</v>
      </c>
      <c r="G907" s="4">
        <v>45757</v>
      </c>
      <c r="H907" s="10">
        <v>39695</v>
      </c>
    </row>
    <row r="908" spans="1:8">
      <c r="A908" s="3">
        <v>907</v>
      </c>
      <c r="B908" s="4">
        <v>45891.615972222222</v>
      </c>
      <c r="C908" s="5" t="str">
        <v>PICK UP TRAGA 2.5 4X2 MT D M/T</v>
      </c>
      <c r="D908" s="5" t="str">
        <v>B7707TH</v>
      </c>
      <c r="E908" s="10">
        <v>49417</v>
      </c>
      <c r="F908" s="3" t="str">
        <v>Iya</v>
      </c>
      <c r="G908" s="4">
        <v>45844</v>
      </c>
      <c r="H908" s="10">
        <v>49417</v>
      </c>
    </row>
    <row r="909" spans="1:8">
      <c r="A909" s="3">
        <v>908</v>
      </c>
      <c r="B909" s="4">
        <v>45891.619027777779</v>
      </c>
      <c r="C909" s="5" t="str">
        <v>Daihatsu Xenia (Badan)</v>
      </c>
      <c r="D909" s="5" t="str">
        <v>B2652NS</v>
      </c>
      <c r="E909" s="10">
        <v>40613</v>
      </c>
      <c r="F909" s="3" t="str">
        <v>Iya</v>
      </c>
      <c r="G909" s="4">
        <v>45820</v>
      </c>
      <c r="H909" s="10">
        <v>40613</v>
      </c>
    </row>
    <row r="910" spans="1:8">
      <c r="A910" s="3">
        <v>909</v>
      </c>
      <c r="B910" s="4">
        <v>45891.619976851849</v>
      </c>
      <c r="C910" s="5" t="str">
        <v>DAIHATSU GRANMAX PU AC PS 1.5 M/T</v>
      </c>
      <c r="D910" s="5" t="str">
        <v>KT8120IVX</v>
      </c>
      <c r="E910" s="10">
        <v>4829</v>
      </c>
      <c r="F910" s="3" t="str">
        <v>Iya</v>
      </c>
      <c r="G910" s="4">
        <v>45891</v>
      </c>
      <c r="H910" s="10">
        <v>4829</v>
      </c>
    </row>
    <row r="911" spans="1:8">
      <c r="A911" s="3">
        <v>910</v>
      </c>
      <c r="B911" s="4">
        <v>45891.620740740742</v>
      </c>
      <c r="C911" s="5" t="str">
        <v>DAIHATSU GRANMAX PU AC PS 1.5 M/T</v>
      </c>
      <c r="D911" s="5" t="str">
        <v>B1377MKN</v>
      </c>
      <c r="E911" s="10">
        <v>55645</v>
      </c>
      <c r="F911" s="3" t="str">
        <v>Iya</v>
      </c>
      <c r="G911" s="4">
        <v>45831</v>
      </c>
      <c r="H911" s="10">
        <v>55645</v>
      </c>
    </row>
    <row r="912" spans="1:8">
      <c r="A912" s="3">
        <v>911</v>
      </c>
      <c r="B912" s="4">
        <v>45891.626689814817</v>
      </c>
      <c r="C912" s="5" t="str">
        <v>PICK UP TRAGA 2.5 4X2 MT D M/T</v>
      </c>
      <c r="D912" s="5" t="str">
        <v>B3431HDZ</v>
      </c>
      <c r="E912" s="10">
        <v>18636</v>
      </c>
      <c r="F912" s="3" t="str">
        <v>Iya</v>
      </c>
      <c r="G912" s="4">
        <v>45881</v>
      </c>
      <c r="H912" s="10">
        <v>18636</v>
      </c>
    </row>
    <row r="913" spans="1:8">
      <c r="A913" s="3">
        <v>912</v>
      </c>
      <c r="B913" s="4">
        <v>45891.651331018518</v>
      </c>
      <c r="C913" s="5" t="str">
        <v>DAIHATSU GRANMAX PU AC PS 1.5 M/T</v>
      </c>
      <c r="D913" s="5" t="str">
        <v>B6871DFH</v>
      </c>
      <c r="E913" s="10">
        <v>8609</v>
      </c>
      <c r="F913" s="3" t="str">
        <v>Iya</v>
      </c>
      <c r="G913" s="4">
        <v>45724</v>
      </c>
      <c r="H913" s="10">
        <v>8609</v>
      </c>
    </row>
    <row r="914" spans="1:8">
      <c r="A914" s="3">
        <v>913</v>
      </c>
      <c r="B914" s="4">
        <v>45891.654131944437</v>
      </c>
      <c r="C914" s="5" t="str">
        <v>DAIHATSU GRANMAX PU AC PS 1.5 M/T</v>
      </c>
      <c r="D914" s="5" t="str">
        <v>B6806LA</v>
      </c>
      <c r="E914" s="10">
        <v>8788</v>
      </c>
      <c r="F914" s="3" t="str">
        <v>Iya</v>
      </c>
      <c r="G914" s="4">
        <v>45726</v>
      </c>
      <c r="H914" s="10">
        <v>8788</v>
      </c>
    </row>
    <row r="915" spans="1:8">
      <c r="A915" s="3">
        <v>914</v>
      </c>
      <c r="B915" s="4">
        <v>45891.657233796293</v>
      </c>
      <c r="C915" s="5" t="str">
        <v>DAIHATSU GRANMAX PU AC PS 1.5 M/T</v>
      </c>
      <c r="D915" s="5" t="str">
        <v>B9946LF</v>
      </c>
      <c r="E915" s="10">
        <v>25887</v>
      </c>
      <c r="F915" s="3" t="str">
        <v>Iya</v>
      </c>
      <c r="G915" s="4">
        <v>45845</v>
      </c>
      <c r="H915" s="10">
        <v>25887</v>
      </c>
    </row>
    <row r="916" spans="1:8">
      <c r="A916" s="3">
        <v>915</v>
      </c>
      <c r="B916" s="4">
        <v>45891.671875</v>
      </c>
      <c r="C916" s="5" t="str">
        <v>DAIHATSU GRANMAX PU AC PS 1.5 M/T</v>
      </c>
      <c r="D916" s="5" t="str">
        <v>B7154RP</v>
      </c>
      <c r="E916" s="10">
        <v>49316</v>
      </c>
      <c r="F916" s="3" t="str">
        <v>Iya</v>
      </c>
      <c r="G916" s="4">
        <v>45752</v>
      </c>
      <c r="H916" s="10">
        <v>49316</v>
      </c>
    </row>
    <row r="917" spans="1:8">
      <c r="A917" s="3">
        <v>916</v>
      </c>
      <c r="B917" s="4">
        <v>45891.688020833331</v>
      </c>
      <c r="C917" s="5" t="str">
        <v>DAIHATSU GRANMAX PU AC PS 1.5 M/T</v>
      </c>
      <c r="D917" s="5" t="str">
        <v>B9244VW</v>
      </c>
      <c r="E917" s="10">
        <v>12035</v>
      </c>
      <c r="F917" s="3" t="str">
        <v>Iya</v>
      </c>
      <c r="G917" s="4">
        <v>45833</v>
      </c>
      <c r="H917" s="10">
        <v>12035</v>
      </c>
    </row>
    <row r="918" spans="1:8">
      <c r="A918" s="3">
        <v>917</v>
      </c>
      <c r="B918" s="4">
        <v>45891.689884259264</v>
      </c>
      <c r="C918" s="5" t="str">
        <v>DAIHATSU GRANMAX PU AC PS 1.5 M/T</v>
      </c>
      <c r="D918" s="5" t="str">
        <v>B2840UE</v>
      </c>
      <c r="E918" s="10">
        <v>86550</v>
      </c>
      <c r="F918" s="3" t="str">
        <v>Iya</v>
      </c>
      <c r="G918" s="4">
        <v>45846</v>
      </c>
      <c r="H918" s="10">
        <v>86550</v>
      </c>
    </row>
    <row r="919" spans="1:8">
      <c r="A919" s="3">
        <v>918</v>
      </c>
      <c r="B919" s="4">
        <v>45891.709641203714</v>
      </c>
      <c r="C919" s="5" t="str">
        <v>DAIHATSU GRANMAX PU AC PS 1.5 M/T</v>
      </c>
      <c r="D919" s="5" t="str">
        <v>B9272ZF</v>
      </c>
      <c r="E919" s="10">
        <v>68739</v>
      </c>
      <c r="F919" s="3" t="str">
        <v>Iya</v>
      </c>
      <c r="G919" s="4">
        <v>45799</v>
      </c>
      <c r="H919" s="10">
        <v>68739</v>
      </c>
    </row>
    <row r="920" spans="1:8">
      <c r="A920" s="3">
        <v>919</v>
      </c>
      <c r="B920" s="4">
        <v>45891.70988425926</v>
      </c>
      <c r="C920" s="5" t="str">
        <v>DAIHATSU GRANMAX PU AC PS 1.5 M/T</v>
      </c>
      <c r="D920" s="5" t="str">
        <v>B1080SUL</v>
      </c>
      <c r="E920" s="10">
        <v>8800</v>
      </c>
      <c r="F920" s="3" t="str">
        <v>Iya</v>
      </c>
      <c r="G920" s="4">
        <v>45881</v>
      </c>
      <c r="H920" s="10">
        <v>8800</v>
      </c>
    </row>
    <row r="921" spans="1:8">
      <c r="A921" s="3">
        <v>920</v>
      </c>
      <c r="B921" s="4">
        <v>45891.738865740743</v>
      </c>
      <c r="C921" s="5" t="str">
        <v>DAIHATSU GRANMAX PU AC PS 1.5 M/T</v>
      </c>
      <c r="D921" s="5" t="str">
        <v>DD9729YV</v>
      </c>
      <c r="E921" s="10">
        <v>51516</v>
      </c>
      <c r="F921" s="3" t="str">
        <v>Iya</v>
      </c>
      <c r="G921" s="4">
        <v>45862</v>
      </c>
      <c r="H921" s="10">
        <v>51516</v>
      </c>
    </row>
    <row r="922" spans="1:8">
      <c r="A922" s="3">
        <v>921</v>
      </c>
      <c r="B922" s="4">
        <v>45891.739351851851</v>
      </c>
      <c r="C922" s="5" t="str">
        <v>Daihatsu Xenia (Badan)</v>
      </c>
      <c r="D922" s="5" t="str">
        <v>B8324WSJ</v>
      </c>
      <c r="E922" s="10">
        <v>1320</v>
      </c>
      <c r="F922" s="3" t="str">
        <v>Iya</v>
      </c>
      <c r="G922" s="4">
        <v>45861</v>
      </c>
      <c r="H922" s="10">
        <v>1320</v>
      </c>
    </row>
    <row r="923" spans="1:8">
      <c r="A923" s="3">
        <v>922</v>
      </c>
      <c r="B923" s="4">
        <v>45891.787222222221</v>
      </c>
      <c r="C923" s="5" t="str">
        <v>Daihatsu Xenia (Badan)</v>
      </c>
      <c r="D923" s="5" t="str">
        <v>B8258SPN</v>
      </c>
      <c r="E923" s="10">
        <v>38573</v>
      </c>
      <c r="F923" s="3" t="str">
        <v>Iya</v>
      </c>
      <c r="G923" s="4">
        <v>45681</v>
      </c>
      <c r="H923" s="10">
        <v>38573</v>
      </c>
    </row>
    <row r="924" spans="1:8">
      <c r="A924" s="3">
        <v>923</v>
      </c>
      <c r="B924" s="4">
        <v>45891.848599537043</v>
      </c>
      <c r="C924" s="5" t="str">
        <v>DAIHATSU GRANMAX PU AC PS 1.5 M/T</v>
      </c>
      <c r="D924" s="5" t="str">
        <v>B6076VM</v>
      </c>
      <c r="E924" s="10">
        <v>2685</v>
      </c>
      <c r="F924" s="3" t="str">
        <v>Iya</v>
      </c>
      <c r="G924" s="4">
        <v>45891</v>
      </c>
      <c r="H924" s="10">
        <v>2685</v>
      </c>
    </row>
    <row r="925" spans="1:8">
      <c r="A925" s="3">
        <v>924</v>
      </c>
      <c r="B925" s="4">
        <v>45891.878506944442</v>
      </c>
      <c r="C925" s="5" t="str">
        <v>DAIHATSU GRANMAX PU AC PS 1.5 M/T</v>
      </c>
      <c r="D925" s="5" t="str">
        <v>KT3681HUC</v>
      </c>
      <c r="E925" s="10">
        <v>20248</v>
      </c>
      <c r="F925" s="3" t="str">
        <v>Iya</v>
      </c>
      <c r="G925" s="4">
        <v>45785</v>
      </c>
      <c r="H925" s="10">
        <v>20248</v>
      </c>
    </row>
    <row r="926" spans="1:8">
      <c r="A926" s="3">
        <v>925</v>
      </c>
      <c r="B926" s="4">
        <v>45892.33965277778</v>
      </c>
      <c r="C926" s="5" t="str">
        <v>Daihatsu Xenia (Badan)</v>
      </c>
      <c r="D926" s="5" t="str">
        <v>B5062PCK</v>
      </c>
      <c r="E926" s="10">
        <v>88067</v>
      </c>
      <c r="F926" s="3" t="str">
        <v>Iya</v>
      </c>
      <c r="G926" s="4">
        <v>45841</v>
      </c>
      <c r="H926" s="10">
        <v>88067</v>
      </c>
    </row>
    <row r="927" spans="1:8">
      <c r="A927" s="3">
        <v>926</v>
      </c>
      <c r="B927" s="4">
        <v>45892.342638888891</v>
      </c>
      <c r="C927" s="5" t="str">
        <v>DAIHATSU GRANMAX PU AC PS 1.5 M/T</v>
      </c>
      <c r="D927" s="5" t="str">
        <v>B6936PI</v>
      </c>
      <c r="E927" s="10">
        <v>7293</v>
      </c>
      <c r="F927" s="3" t="str">
        <v>Iya</v>
      </c>
      <c r="G927" s="4">
        <v>46113</v>
      </c>
      <c r="H927" s="10">
        <v>7293</v>
      </c>
    </row>
    <row r="928" spans="1:8">
      <c r="A928" s="3">
        <v>927</v>
      </c>
      <c r="B928" s="4">
        <v>45892.355636574073</v>
      </c>
      <c r="C928" s="5" t="str">
        <v>Daihatsu Xenia (Badan)</v>
      </c>
      <c r="D928" s="5" t="str">
        <v>B2047SQ</v>
      </c>
      <c r="E928" s="10">
        <v>33277</v>
      </c>
      <c r="F928" s="3" t="str">
        <v>Iya</v>
      </c>
      <c r="G928" s="4">
        <v>45819</v>
      </c>
      <c r="H928" s="10">
        <v>33277</v>
      </c>
    </row>
    <row r="929" spans="1:8">
      <c r="A929" s="3">
        <v>928</v>
      </c>
      <c r="B929" s="4">
        <v>45892.359837962962</v>
      </c>
      <c r="C929" s="5" t="str">
        <v>DAIHATSU GRANMAX PU AC PS 1.5 M/T</v>
      </c>
      <c r="D929" s="5" t="str">
        <v>B6224AT</v>
      </c>
      <c r="E929" s="10">
        <v>11973</v>
      </c>
      <c r="F929" s="3" t="str">
        <v>Iya</v>
      </c>
      <c r="G929" s="4">
        <v>45854</v>
      </c>
      <c r="H929" s="10">
        <v>11973</v>
      </c>
    </row>
    <row r="930" spans="1:8">
      <c r="A930" s="3">
        <v>929</v>
      </c>
      <c r="B930" s="4">
        <v>45892.383275462962</v>
      </c>
      <c r="C930" s="5" t="str">
        <v>DAIHATSU GRANMAX PU AC PS 1.5 M/T</v>
      </c>
      <c r="D930" s="5" t="str">
        <v>B9712CQ</v>
      </c>
      <c r="E930" s="10">
        <v>27457</v>
      </c>
      <c r="F930" s="3" t="str">
        <v>Iya</v>
      </c>
      <c r="G930" s="4">
        <v>45717</v>
      </c>
      <c r="H930" s="10">
        <v>27457</v>
      </c>
    </row>
    <row r="931" spans="1:8">
      <c r="A931" s="3">
        <v>930</v>
      </c>
      <c r="B931" s="4">
        <v>45892.385891203703</v>
      </c>
      <c r="C931" s="5" t="str">
        <v>DAIHATSU GRANMAX PU AC PS 1.5 M/T</v>
      </c>
      <c r="D931" s="5" t="str">
        <v>B3556KY</v>
      </c>
      <c r="E931" s="10">
        <v>3341</v>
      </c>
      <c r="F931" s="3" t="str">
        <v>Iya</v>
      </c>
      <c r="G931" s="4">
        <v>45756</v>
      </c>
      <c r="H931" s="10">
        <v>3341</v>
      </c>
    </row>
    <row r="932" spans="1:8">
      <c r="A932" s="3">
        <v>931</v>
      </c>
      <c r="B932" s="4">
        <v>45892.40351851852</v>
      </c>
      <c r="C932" s="5" t="str">
        <v>DAIHATSU GRANMAX PU AC PS 1.5 M/T</v>
      </c>
      <c r="D932" s="5" t="str">
        <v>KT4872SA</v>
      </c>
      <c r="E932" s="10">
        <v>18116</v>
      </c>
      <c r="F932" s="3" t="str">
        <v>Iya</v>
      </c>
      <c r="G932" s="4">
        <v>45885</v>
      </c>
      <c r="H932" s="10">
        <v>18116</v>
      </c>
    </row>
    <row r="933" spans="1:8">
      <c r="A933" s="3">
        <v>932</v>
      </c>
      <c r="B933" s="4">
        <v>45892.421701388892</v>
      </c>
      <c r="C933" s="5" t="str">
        <v>PICK UP TRAGA 2.5 4X2 MT D M/T</v>
      </c>
      <c r="D933" s="5" t="str">
        <v>KB3403JE</v>
      </c>
      <c r="E933" s="10">
        <v>65851</v>
      </c>
      <c r="F933" s="3" t="str">
        <v>Iya</v>
      </c>
      <c r="G933" s="4">
        <v>45876</v>
      </c>
      <c r="H933" s="10">
        <v>65851</v>
      </c>
    </row>
    <row r="934" spans="1:8">
      <c r="A934" s="3">
        <v>933</v>
      </c>
      <c r="B934" s="4">
        <v>45892.425266203703</v>
      </c>
      <c r="C934" s="5" t="str">
        <v>PICK UP TRAGA 2.5 4X2 MT D M/T</v>
      </c>
      <c r="D934" s="5" t="str">
        <v>B1884ZSB</v>
      </c>
      <c r="E934" s="10">
        <v>47289</v>
      </c>
      <c r="F934" s="3" t="str">
        <v>Iya</v>
      </c>
      <c r="G934" s="4">
        <v>45882</v>
      </c>
      <c r="H934" s="10">
        <v>47289</v>
      </c>
    </row>
    <row r="935" spans="1:8">
      <c r="A935" s="3">
        <v>934</v>
      </c>
      <c r="B935" s="4">
        <v>45892.467870370368</v>
      </c>
      <c r="C935" s="5" t="str">
        <v>DAIHATSU GRANMAX PU AC PS 1.5 M/T</v>
      </c>
      <c r="D935" s="5" t="str">
        <v>B2198SM</v>
      </c>
      <c r="E935" s="10">
        <v>20975</v>
      </c>
      <c r="F935" s="3" t="str">
        <v>Iya</v>
      </c>
      <c r="G935" s="4">
        <v>45794</v>
      </c>
      <c r="H935" s="10">
        <v>20975</v>
      </c>
    </row>
    <row r="936" spans="1:8">
      <c r="A936" s="3">
        <v>935</v>
      </c>
      <c r="B936" s="4">
        <v>45892.473391203697</v>
      </c>
      <c r="C936" s="5" t="str">
        <v>Daihatsu Xenia (Badan)</v>
      </c>
      <c r="D936" s="5" t="str">
        <v>B4337KK</v>
      </c>
      <c r="E936" s="10">
        <v>63083</v>
      </c>
      <c r="F936" s="3" t="str">
        <v>Iya</v>
      </c>
      <c r="G936" s="4">
        <v>45840</v>
      </c>
      <c r="H936" s="10">
        <v>63083</v>
      </c>
    </row>
    <row r="937" spans="1:8">
      <c r="A937" s="3">
        <v>936</v>
      </c>
      <c r="B937" s="4">
        <v>45892.500983796293</v>
      </c>
      <c r="C937" s="5" t="str">
        <v>DAIHATSU GRANMAX PU AC PS 1.5 M/T</v>
      </c>
      <c r="D937" s="5" t="str">
        <v>B6441NR</v>
      </c>
      <c r="E937" s="10">
        <v>12071</v>
      </c>
      <c r="F937" s="3" t="str">
        <v>Iya</v>
      </c>
      <c r="G937" s="4">
        <v>45847</v>
      </c>
      <c r="H937" s="10">
        <v>12071</v>
      </c>
    </row>
    <row r="938" spans="1:8">
      <c r="A938" s="3">
        <v>937</v>
      </c>
      <c r="B938" s="4">
        <v>45892.511111111111</v>
      </c>
      <c r="C938" s="5" t="str">
        <v>DAIHATSU GRANMAX PU AC PS 1.5 M/T</v>
      </c>
      <c r="D938" s="5" t="str">
        <v>B4790UR</v>
      </c>
      <c r="E938" s="10">
        <v>32457</v>
      </c>
      <c r="F938" s="3" t="str">
        <v>Iya</v>
      </c>
      <c r="G938" s="4">
        <v>45811</v>
      </c>
      <c r="H938" s="10">
        <v>32457</v>
      </c>
    </row>
    <row r="939" spans="1:8">
      <c r="A939" s="3">
        <v>938</v>
      </c>
      <c r="B939" s="4">
        <v>45892.584861111107</v>
      </c>
      <c r="C939" s="5" t="str">
        <v>DAIHATSU GRANMAX PU AC PS 1.5 M/T</v>
      </c>
      <c r="D939" s="5" t="str">
        <v>B1356KE</v>
      </c>
      <c r="E939" s="10">
        <v>32497</v>
      </c>
      <c r="F939" s="3" t="str">
        <v>Iya</v>
      </c>
      <c r="G939" s="4">
        <v>45715</v>
      </c>
      <c r="H939" s="10">
        <v>32497</v>
      </c>
    </row>
    <row r="940" spans="1:8">
      <c r="A940" s="3">
        <v>939</v>
      </c>
      <c r="B940" s="4">
        <v>45892.593229166669</v>
      </c>
      <c r="C940" s="5" t="str">
        <v>PICK UP TRAGA 2.5 4X2 MT D M/T</v>
      </c>
      <c r="D940" s="5" t="str">
        <v>AB4770WL</v>
      </c>
      <c r="E940" s="10">
        <v>42364</v>
      </c>
      <c r="F940" s="3" t="str">
        <v>Iya</v>
      </c>
      <c r="G940" s="4">
        <v>45881</v>
      </c>
      <c r="H940" s="10">
        <v>42364</v>
      </c>
    </row>
    <row r="941" spans="1:8">
      <c r="A941" s="3">
        <v>940</v>
      </c>
      <c r="B941" s="4">
        <v>45892.615590277783</v>
      </c>
      <c r="C941" s="5" t="str">
        <v>PICK UP TRAGA 2.5 4X2 MT D M/T</v>
      </c>
      <c r="D941" s="5" t="str">
        <v>B6905PX</v>
      </c>
      <c r="E941" s="10">
        <v>1986</v>
      </c>
      <c r="F941" s="3" t="str">
        <v>Iya</v>
      </c>
      <c r="G941" s="4">
        <v>45836</v>
      </c>
      <c r="H941" s="10">
        <v>1986</v>
      </c>
    </row>
    <row r="942" spans="1:8">
      <c r="A942" s="3">
        <v>941</v>
      </c>
      <c r="B942" s="4">
        <v>45892.821030092593</v>
      </c>
      <c r="C942" s="5" t="str">
        <v>Daihatsu Xenia (Badan)</v>
      </c>
      <c r="D942" s="5" t="str">
        <v>B2710QMZ</v>
      </c>
      <c r="E942" s="10">
        <v>48399</v>
      </c>
      <c r="F942" s="3" t="str">
        <v>Iya</v>
      </c>
      <c r="G942" s="4">
        <v>45852</v>
      </c>
      <c r="H942" s="10">
        <v>48399</v>
      </c>
    </row>
    <row r="943" spans="1:8">
      <c r="A943" s="3">
        <v>942</v>
      </c>
      <c r="B943" s="4">
        <v>45894.381863425922</v>
      </c>
      <c r="C943" s="5" t="str">
        <v>DAIHATSU GRANMAX PU AC PS 1.5 M/T</v>
      </c>
      <c r="D943" s="5" t="str">
        <v>DA8288KC</v>
      </c>
      <c r="E943" s="10">
        <v>65455</v>
      </c>
      <c r="F943" s="3" t="str">
        <v>Iya</v>
      </c>
      <c r="G943" s="4">
        <v>45786</v>
      </c>
      <c r="H943" s="10">
        <v>65455</v>
      </c>
    </row>
    <row r="944" spans="1:8">
      <c r="A944" s="3">
        <v>943</v>
      </c>
      <c r="B944" s="4">
        <v>45894.38585648148</v>
      </c>
      <c r="C944" s="5" t="str">
        <v>DAIHATSU GRANMAX PU AC PS 1.5 M/T</v>
      </c>
      <c r="D944" s="5" t="str">
        <v>B3144SJ</v>
      </c>
      <c r="E944" s="10">
        <v>44648</v>
      </c>
      <c r="F944" s="3" t="str">
        <v>Iya</v>
      </c>
      <c r="G944" s="4">
        <v>45811</v>
      </c>
      <c r="H944" s="10">
        <v>44648</v>
      </c>
    </row>
    <row r="945" spans="1:8">
      <c r="A945" s="3">
        <v>944</v>
      </c>
      <c r="B945" s="4">
        <v>45894.405763888892</v>
      </c>
      <c r="C945" s="5" t="str">
        <v>DAIHATSU GRANMAX PU AC PS 1.5 M/T</v>
      </c>
      <c r="D945" s="5" t="str">
        <v>B7326IW</v>
      </c>
      <c r="E945" s="10">
        <v>18077</v>
      </c>
      <c r="F945" s="3" t="str">
        <v>Iya</v>
      </c>
      <c r="G945" s="4">
        <v>45799</v>
      </c>
      <c r="H945" s="10">
        <v>18077</v>
      </c>
    </row>
    <row r="946" spans="1:8">
      <c r="A946" s="3">
        <v>945</v>
      </c>
      <c r="B946" s="4">
        <v>45894.412141203713</v>
      </c>
      <c r="C946" s="5" t="str">
        <v>PICK UP TRAGA 2.5 4X2 MT D M/T</v>
      </c>
      <c r="D946" s="5" t="str">
        <v>B3245IGH</v>
      </c>
      <c r="E946" s="10">
        <v>40018</v>
      </c>
      <c r="F946" s="3" t="str">
        <v>Iya</v>
      </c>
      <c r="G946" s="4">
        <v>45860</v>
      </c>
      <c r="H946" s="10">
        <v>40018</v>
      </c>
    </row>
    <row r="947" spans="1:8">
      <c r="A947" s="3">
        <v>946</v>
      </c>
      <c r="B947" s="4">
        <v>45894.412604166668</v>
      </c>
      <c r="C947" s="5" t="str">
        <v>DAIHATSU GRANMAX PU AC PS 1.5 M/T</v>
      </c>
      <c r="D947" s="5" t="str">
        <v>B7326IW</v>
      </c>
      <c r="E947" s="10">
        <v>19186</v>
      </c>
      <c r="F947" s="3" t="str">
        <v>Iya</v>
      </c>
      <c r="G947" s="4">
        <v>45799</v>
      </c>
      <c r="H947" s="10">
        <v>19186</v>
      </c>
    </row>
    <row r="948" spans="1:8">
      <c r="A948" s="3">
        <v>947</v>
      </c>
      <c r="B948" s="4">
        <v>45894.436122685183</v>
      </c>
      <c r="C948" s="5" t="str">
        <v>PICK UP TRAGA 2.5 4X2 MT D M/T</v>
      </c>
      <c r="D948" s="5" t="str">
        <v>B3406ZUA</v>
      </c>
      <c r="E948" s="10">
        <v>40503</v>
      </c>
      <c r="F948" s="3" t="str">
        <v>Iya</v>
      </c>
      <c r="G948" s="4">
        <v>45892</v>
      </c>
      <c r="H948" s="10">
        <v>40503</v>
      </c>
    </row>
    <row r="949" spans="1:8">
      <c r="A949" s="3">
        <v>948</v>
      </c>
      <c r="B949" s="4">
        <v>45894.469490740739</v>
      </c>
      <c r="C949" s="5" t="str">
        <v>DAIHATSU GRANMAX PU AC PS 1.5 M/T</v>
      </c>
      <c r="D949" s="5" t="str">
        <v>B8753SMF</v>
      </c>
      <c r="E949" s="10">
        <v>43042</v>
      </c>
      <c r="F949" s="3" t="str">
        <v>Iya</v>
      </c>
      <c r="G949" s="4">
        <v>45818</v>
      </c>
      <c r="H949" s="10">
        <v>43042</v>
      </c>
    </row>
    <row r="950" spans="1:8">
      <c r="A950" s="3">
        <v>949</v>
      </c>
      <c r="B950" s="4">
        <v>45894.488298611112</v>
      </c>
      <c r="C950" s="5" t="str">
        <v>PICK UP TRAGA 2.5 4X2 MT D M/T</v>
      </c>
      <c r="D950" s="5" t="str">
        <v>B7036XU</v>
      </c>
      <c r="E950" s="10">
        <v>14207</v>
      </c>
      <c r="F950" s="3" t="str">
        <v>Iya</v>
      </c>
      <c r="G950" s="4">
        <v>45894</v>
      </c>
      <c r="H950" s="10">
        <v>14207</v>
      </c>
    </row>
    <row r="951" spans="1:8">
      <c r="A951" s="3">
        <v>950</v>
      </c>
      <c r="B951" s="4">
        <v>45894.501840277779</v>
      </c>
      <c r="C951" s="5" t="str">
        <v>DAIHATSU GRANMAX PU AC PS 1.5 M/T</v>
      </c>
      <c r="D951" s="5" t="str">
        <v>B4175FW</v>
      </c>
      <c r="E951" s="10">
        <v>51553</v>
      </c>
      <c r="F951" s="3" t="str">
        <v>Iya</v>
      </c>
      <c r="G951" s="4">
        <v>45819</v>
      </c>
      <c r="H951" s="10">
        <v>51553</v>
      </c>
    </row>
    <row r="952" spans="1:8">
      <c r="A952" s="3">
        <v>951</v>
      </c>
      <c r="B952" s="4">
        <v>45894.521828703713</v>
      </c>
      <c r="C952" s="5" t="str">
        <v>DAIHATSU GRANMAX PU AC PS 1.5 M/T</v>
      </c>
      <c r="D952" s="5" t="str">
        <v>B4242KSP</v>
      </c>
      <c r="E952" s="10">
        <v>32018</v>
      </c>
      <c r="F952" s="3" t="str">
        <v>Iya</v>
      </c>
      <c r="G952" s="4">
        <v>45813</v>
      </c>
      <c r="H952" s="10">
        <v>32018</v>
      </c>
    </row>
    <row r="953" spans="1:8">
      <c r="A953" s="3">
        <v>952</v>
      </c>
      <c r="B953" s="4">
        <v>45894.534988425927</v>
      </c>
      <c r="C953" s="5" t="str">
        <v>PICK UP TRAGA 2.5 4X2 MT D M/T</v>
      </c>
      <c r="D953" s="5" t="str">
        <v>B2919XQ</v>
      </c>
      <c r="E953" s="10">
        <v>46780</v>
      </c>
      <c r="F953" s="3" t="str">
        <v>Iya</v>
      </c>
      <c r="G953" s="4">
        <v>45892</v>
      </c>
      <c r="H953" s="10">
        <v>46780</v>
      </c>
    </row>
    <row r="954" spans="1:8">
      <c r="A954" s="3">
        <v>953</v>
      </c>
      <c r="B954" s="4">
        <v>45894.580694444441</v>
      </c>
      <c r="C954" s="5" t="str">
        <v>DAIHATSU GRANMAX PU AC PS 1.5 M/T</v>
      </c>
      <c r="D954" s="5" t="str">
        <v>B1827DA</v>
      </c>
      <c r="E954" s="10">
        <v>17543</v>
      </c>
      <c r="F954" s="3" t="str">
        <v>Iya</v>
      </c>
      <c r="G954" s="4">
        <v>45801</v>
      </c>
      <c r="H954" s="10">
        <v>17543</v>
      </c>
    </row>
    <row r="955" spans="1:8">
      <c r="A955" s="3">
        <v>954</v>
      </c>
      <c r="B955" s="4">
        <v>45894.617245370369</v>
      </c>
      <c r="C955" s="5" t="str">
        <v>PICK UP TRAGA 2.5 4X2 MT D M/T</v>
      </c>
      <c r="D955" s="5" t="str">
        <v>KT2370AGQ</v>
      </c>
      <c r="E955" s="10">
        <v>20278</v>
      </c>
      <c r="F955" s="3" t="str">
        <v>Iya</v>
      </c>
      <c r="G955" s="4">
        <v>45889</v>
      </c>
      <c r="H955" s="10">
        <v>20278</v>
      </c>
    </row>
    <row r="956" spans="1:8">
      <c r="A956" s="3">
        <v>955</v>
      </c>
      <c r="B956" s="4">
        <v>45894.63554398148</v>
      </c>
      <c r="C956" s="5" t="str">
        <v>PICK UP TRAGA 2.5 4X2 MT D M/T</v>
      </c>
      <c r="D956" s="5" t="str">
        <v>DA2696LV</v>
      </c>
      <c r="E956" s="10">
        <v>74977</v>
      </c>
      <c r="F956" s="3" t="str">
        <v>Iya</v>
      </c>
      <c r="G956" s="4">
        <v>45863</v>
      </c>
      <c r="H956" s="10">
        <v>74977</v>
      </c>
    </row>
    <row r="957" spans="1:8">
      <c r="A957" s="3">
        <v>956</v>
      </c>
      <c r="B957" s="4">
        <v>45894.652858796297</v>
      </c>
      <c r="C957" s="5" t="str">
        <v>DAIHATSU GRANMAX PU AC PS 1.5 M/T</v>
      </c>
      <c r="D957" s="5" t="str">
        <v>B5303SL</v>
      </c>
      <c r="E957" s="10">
        <v>21470</v>
      </c>
      <c r="F957" s="3" t="str">
        <v>Iya</v>
      </c>
      <c r="G957" s="4">
        <v>45821</v>
      </c>
      <c r="H957" s="10">
        <v>21470</v>
      </c>
    </row>
    <row r="958" spans="1:8">
      <c r="A958" s="3">
        <v>957</v>
      </c>
      <c r="B958" s="4">
        <v>45894.670219907413</v>
      </c>
      <c r="C958" s="5" t="str">
        <v>DAIHATSU GRANMAX PU AC PS 1.5 M/T</v>
      </c>
      <c r="D958" s="5" t="str">
        <v>B8599SQ</v>
      </c>
      <c r="E958" s="10">
        <v>4474</v>
      </c>
      <c r="F958" s="3" t="str">
        <v>Iya</v>
      </c>
      <c r="G958" s="4">
        <v>45809</v>
      </c>
      <c r="H958" s="10">
        <v>4474</v>
      </c>
    </row>
    <row r="959" spans="1:8">
      <c r="A959" s="3">
        <v>958</v>
      </c>
      <c r="B959" s="4">
        <v>45894.685914351852</v>
      </c>
      <c r="C959" s="5" t="str">
        <v>DAIHATSU GRANMAX PU AC PS 1.5 M/T</v>
      </c>
      <c r="D959" s="5" t="str">
        <v>B7713QE</v>
      </c>
      <c r="E959" s="10">
        <v>21231</v>
      </c>
      <c r="F959" s="3" t="str">
        <v>Iya</v>
      </c>
      <c r="G959" s="4">
        <v>45875</v>
      </c>
      <c r="H959" s="10">
        <v>21231</v>
      </c>
    </row>
    <row r="960" spans="1:8">
      <c r="A960" s="3">
        <v>959</v>
      </c>
      <c r="B960" s="4">
        <v>45894.69127314815</v>
      </c>
      <c r="C960" s="5" t="str">
        <v>DAIHATSU GRANMAX PU AC PS 1.5 M/T</v>
      </c>
      <c r="D960" s="5" t="str">
        <v>B4516ER</v>
      </c>
      <c r="E960" s="10">
        <v>66280</v>
      </c>
      <c r="F960" s="3" t="str">
        <v>Iya</v>
      </c>
      <c r="G960" s="4">
        <v>45873</v>
      </c>
      <c r="H960" s="10">
        <v>66280</v>
      </c>
    </row>
    <row r="961" spans="1:8">
      <c r="A961" s="3">
        <v>960</v>
      </c>
      <c r="B961" s="4">
        <v>45894.691701388889</v>
      </c>
      <c r="C961" s="5" t="str">
        <v>DAIHATSU GRANMAX PU AC PS 1.5 M/T</v>
      </c>
      <c r="D961" s="5" t="str">
        <v>B4356XF</v>
      </c>
      <c r="E961" s="10">
        <v>41779</v>
      </c>
      <c r="F961" s="3" t="str">
        <v>Iya</v>
      </c>
      <c r="G961" s="4">
        <v>45796</v>
      </c>
      <c r="H961" s="10">
        <v>41779</v>
      </c>
    </row>
    <row r="962" spans="1:8">
      <c r="A962" s="3">
        <v>961</v>
      </c>
      <c r="B962" s="4">
        <v>45894.693344907413</v>
      </c>
      <c r="C962" s="5" t="str">
        <v>DAIHATSU GRANMAX PU AC PS 1.5 M/T</v>
      </c>
      <c r="D962" s="5" t="str">
        <v>KB9990JIF</v>
      </c>
      <c r="E962" s="10">
        <v>7161</v>
      </c>
      <c r="F962" s="3" t="str">
        <v>Iya</v>
      </c>
      <c r="G962" s="4">
        <v>45845</v>
      </c>
      <c r="H962" s="10">
        <v>7161</v>
      </c>
    </row>
    <row r="963" spans="1:8">
      <c r="A963" s="3">
        <v>962</v>
      </c>
      <c r="B963" s="4">
        <v>45894.715497685182</v>
      </c>
      <c r="C963" s="5" t="str">
        <v>PICK UP TRAGA 2.5 4X2 MT D M/T</v>
      </c>
      <c r="D963" s="5" t="str">
        <v>B6137XG</v>
      </c>
      <c r="E963" s="10">
        <v>64469</v>
      </c>
      <c r="F963" s="3" t="str">
        <v>Iya</v>
      </c>
      <c r="G963" s="4">
        <v>45877</v>
      </c>
      <c r="H963" s="10">
        <v>64469</v>
      </c>
    </row>
    <row r="964" spans="1:8">
      <c r="A964" s="3">
        <v>963</v>
      </c>
      <c r="B964" s="4">
        <v>45894.719872685193</v>
      </c>
      <c r="C964" s="5" t="str">
        <v>DAIHATSU GRANMAX PU AC PS 1.5 M/T</v>
      </c>
      <c r="D964" s="5" t="str">
        <v>B1190TVJ</v>
      </c>
      <c r="E964" s="10">
        <v>48764</v>
      </c>
      <c r="F964" s="3" t="str">
        <v>Iya</v>
      </c>
      <c r="G964" s="4">
        <v>45833</v>
      </c>
      <c r="H964" s="10">
        <v>48764</v>
      </c>
    </row>
    <row r="965" spans="1:8">
      <c r="A965" s="3">
        <v>964</v>
      </c>
      <c r="B965" s="4">
        <v>45894.720011574071</v>
      </c>
      <c r="C965" s="5" t="str">
        <v>PICK UP TRAGA 2.5 4X2 MT D M/T</v>
      </c>
      <c r="D965" s="5" t="str">
        <v>B5818SHZ</v>
      </c>
      <c r="E965" s="10">
        <v>88788</v>
      </c>
      <c r="F965" s="3" t="str">
        <v>Iya</v>
      </c>
      <c r="G965" s="4">
        <v>45802</v>
      </c>
      <c r="H965" s="10">
        <v>88788</v>
      </c>
    </row>
    <row r="966" spans="1:8">
      <c r="A966" s="3">
        <v>965</v>
      </c>
      <c r="B966" s="4">
        <v>45894.722743055558</v>
      </c>
      <c r="C966" s="5" t="str">
        <v>DAIHATSU GRANMAX PU AC PS 1.5 M/T</v>
      </c>
      <c r="D966" s="5" t="str">
        <v>B5205ZM</v>
      </c>
      <c r="E966" s="10">
        <v>20491</v>
      </c>
      <c r="F966" s="3" t="str">
        <v>Iya</v>
      </c>
      <c r="G966" s="4">
        <v>45889</v>
      </c>
      <c r="H966" s="10">
        <v>20491</v>
      </c>
    </row>
    <row r="967" spans="1:8">
      <c r="A967" s="3">
        <v>966</v>
      </c>
      <c r="B967" s="4">
        <v>45894.743831018517</v>
      </c>
      <c r="C967" s="5" t="str">
        <v>DAIHATSU GRANMAX PU AC PS 1.5 M/T</v>
      </c>
      <c r="D967" s="5" t="str">
        <v>BP6297BR</v>
      </c>
      <c r="E967" s="10">
        <v>31293</v>
      </c>
      <c r="F967" s="3" t="str">
        <v>Iya</v>
      </c>
      <c r="G967" s="4">
        <v>45797</v>
      </c>
      <c r="H967" s="10">
        <v>31293</v>
      </c>
    </row>
    <row r="968" spans="1:8">
      <c r="A968" s="3">
        <v>967</v>
      </c>
      <c r="B968" s="4">
        <v>45894.754259259258</v>
      </c>
      <c r="C968" s="5" t="str">
        <v>PICK UP TRAGA 2.5 4X2 MT D M/T</v>
      </c>
      <c r="D968" s="5" t="str">
        <v>H9293ZLM</v>
      </c>
      <c r="E968" s="10">
        <v>7200</v>
      </c>
      <c r="F968" s="3" t="str">
        <v>Iya</v>
      </c>
      <c r="G968" s="4">
        <v>45710</v>
      </c>
      <c r="H968" s="10">
        <v>7200</v>
      </c>
    </row>
    <row r="969" spans="1:8">
      <c r="A969" s="3">
        <v>968</v>
      </c>
      <c r="B969" s="4">
        <v>45894.759340277778</v>
      </c>
      <c r="C969" s="5" t="str">
        <v>PICK UP TRAGA 2.5 4X2 MT D M/T</v>
      </c>
      <c r="D969" s="5" t="str">
        <v>B8699GN</v>
      </c>
      <c r="E969" s="10">
        <v>64216</v>
      </c>
      <c r="F969" s="3" t="str">
        <v>Iya</v>
      </c>
      <c r="G969" s="4">
        <v>45719</v>
      </c>
      <c r="H969" s="10">
        <v>64216</v>
      </c>
    </row>
    <row r="970" spans="1:8">
      <c r="A970" s="3">
        <v>969</v>
      </c>
      <c r="B970" s="4">
        <v>45894.826608796298</v>
      </c>
      <c r="C970" s="5" t="str">
        <v>DAIHATSU GRANMAX PU AC PS 1.5 M/T</v>
      </c>
      <c r="D970" s="5" t="str">
        <v>B8160PCQ</v>
      </c>
      <c r="E970" s="10">
        <v>24299</v>
      </c>
      <c r="F970" s="3" t="str">
        <v>Iya</v>
      </c>
      <c r="G970" s="4">
        <v>45817</v>
      </c>
      <c r="H970" s="10">
        <v>24299</v>
      </c>
    </row>
    <row r="971" spans="1:8">
      <c r="A971" s="3">
        <v>970</v>
      </c>
      <c r="B971" s="4">
        <v>45895.341249999998</v>
      </c>
      <c r="C971" s="5" t="str">
        <v>DAIHATSU GRANMAX PU AC PS 1.5 M/T</v>
      </c>
      <c r="D971" s="5" t="str">
        <v>B4036RJ</v>
      </c>
      <c r="E971" s="10">
        <v>5146</v>
      </c>
      <c r="F971" s="3" t="str">
        <v>Iya</v>
      </c>
      <c r="G971" s="4">
        <v>45871</v>
      </c>
      <c r="H971" s="10">
        <v>5146</v>
      </c>
    </row>
    <row r="972" spans="1:8">
      <c r="A972" s="3">
        <v>971</v>
      </c>
      <c r="B972" s="4">
        <v>45895.426354166673</v>
      </c>
      <c r="C972" s="5" t="str">
        <v>DAIHATSU GRANMAX PU AC PS 1.5 M/T</v>
      </c>
      <c r="D972" s="5" t="str">
        <v>B1204ZZ</v>
      </c>
      <c r="E972" s="10">
        <v>17872</v>
      </c>
      <c r="F972" s="3" t="str">
        <v>Iya</v>
      </c>
      <c r="G972" s="4">
        <v>45840</v>
      </c>
      <c r="H972" s="10">
        <v>17872</v>
      </c>
    </row>
    <row r="973" spans="1:8">
      <c r="A973" s="3">
        <v>972</v>
      </c>
      <c r="B973" s="4">
        <v>45895.429525462961</v>
      </c>
      <c r="C973" s="5" t="str">
        <v>DAIHATSU GRANMAX PU AC PS 1.5 M/T</v>
      </c>
      <c r="D973" s="5" t="str">
        <v>AB1281PCR</v>
      </c>
      <c r="E973" s="10">
        <v>23523</v>
      </c>
      <c r="F973" s="3" t="str">
        <v>Iya</v>
      </c>
      <c r="G973" s="4">
        <v>45688</v>
      </c>
      <c r="H973" s="10">
        <v>23523</v>
      </c>
    </row>
    <row r="974" spans="1:8">
      <c r="A974" s="3">
        <v>973</v>
      </c>
      <c r="B974" s="4">
        <v>45895.483958333331</v>
      </c>
      <c r="C974" s="5" t="str">
        <v>PICK UP TRAGA 2.5 4X2 MT D M/T</v>
      </c>
      <c r="D974" s="5" t="str">
        <v>B9145RF</v>
      </c>
      <c r="E974" s="10">
        <v>102844</v>
      </c>
      <c r="F974" s="3" t="str">
        <v>Iya</v>
      </c>
      <c r="G974" s="4">
        <v>45839</v>
      </c>
      <c r="H974" s="10">
        <v>102844</v>
      </c>
    </row>
    <row r="975" spans="1:8">
      <c r="A975" s="3">
        <v>974</v>
      </c>
      <c r="B975" s="4">
        <v>45895.517511574071</v>
      </c>
      <c r="C975" s="5" t="str">
        <v>PICK UP TRAGA 2.5 4X2 MT D M/T</v>
      </c>
      <c r="D975" s="5" t="str">
        <v>B9442AC</v>
      </c>
      <c r="E975" s="10">
        <v>18068</v>
      </c>
      <c r="F975" s="3" t="str">
        <v>Iya</v>
      </c>
      <c r="G975" s="4">
        <v>45848</v>
      </c>
      <c r="H975" s="10">
        <v>18068</v>
      </c>
    </row>
    <row r="976" spans="1:8">
      <c r="A976" s="3">
        <v>975</v>
      </c>
      <c r="B976" s="4">
        <v>45895.519236111111</v>
      </c>
      <c r="C976" s="5" t="str">
        <v>PICK UP TRAGA 2.5 4X2 MT D M/T</v>
      </c>
      <c r="D976" s="5" t="str">
        <v>B9856AGQ</v>
      </c>
      <c r="E976" s="10">
        <v>29176</v>
      </c>
      <c r="F976" s="3" t="str">
        <v>Iya</v>
      </c>
      <c r="G976" s="4">
        <v>45848</v>
      </c>
      <c r="H976" s="10">
        <v>29176</v>
      </c>
    </row>
    <row r="977" spans="1:8">
      <c r="A977" s="3">
        <v>976</v>
      </c>
      <c r="B977" s="4">
        <v>45895.520613425928</v>
      </c>
      <c r="C977" s="5" t="str">
        <v>PICK UP TRAGA 2.5 4X2 MT D M/T</v>
      </c>
      <c r="D977" s="5" t="str">
        <v>B5912QZ</v>
      </c>
      <c r="E977" s="10">
        <v>53655</v>
      </c>
      <c r="F977" s="3" t="str">
        <v>Iya</v>
      </c>
      <c r="G977" s="4">
        <v>45848</v>
      </c>
      <c r="H977" s="10">
        <v>53655</v>
      </c>
    </row>
    <row r="978" spans="1:8">
      <c r="A978" s="3">
        <v>977</v>
      </c>
      <c r="B978" s="4">
        <v>45895.528993055559</v>
      </c>
      <c r="C978" s="5" t="str">
        <v>PICK UP TRAGA 2.5 4X2 MT D M/T</v>
      </c>
      <c r="D978" s="5" t="str">
        <v>B2542RG</v>
      </c>
      <c r="E978" s="10">
        <v>28722</v>
      </c>
      <c r="F978" s="3" t="str">
        <v>Iya</v>
      </c>
      <c r="G978" s="4">
        <v>45861</v>
      </c>
      <c r="H978" s="10">
        <v>28722</v>
      </c>
    </row>
    <row r="979" spans="1:8">
      <c r="A979" s="3">
        <v>978</v>
      </c>
      <c r="B979" s="4">
        <v>45895.588969907411</v>
      </c>
      <c r="C979" s="5" t="str">
        <v>DAIHATSU GRANMAX PU AC PS 1.5 M/T</v>
      </c>
      <c r="D979" s="5" t="str">
        <v>B8732XP</v>
      </c>
      <c r="E979" s="10">
        <v>32053</v>
      </c>
      <c r="F979" s="3" t="str">
        <v>Iya</v>
      </c>
      <c r="G979" s="4">
        <v>45841</v>
      </c>
      <c r="H979" s="10">
        <v>32053</v>
      </c>
    </row>
    <row r="980" spans="1:8">
      <c r="A980" s="3">
        <v>979</v>
      </c>
      <c r="B980" s="4">
        <v>45895.590208333328</v>
      </c>
      <c r="C980" s="5" t="str">
        <v>DAIHATSU GRANMAX PU AC PS 1.5 M/T</v>
      </c>
      <c r="D980" s="5" t="str">
        <v>B9694MVN</v>
      </c>
      <c r="E980" s="10">
        <v>6916</v>
      </c>
      <c r="F980" s="3" t="str">
        <v>Iya</v>
      </c>
      <c r="G980" s="4">
        <v>45919</v>
      </c>
      <c r="H980" s="10">
        <v>6916</v>
      </c>
    </row>
    <row r="981" spans="1:8">
      <c r="A981" s="3">
        <v>980</v>
      </c>
      <c r="B981" s="4">
        <v>45895.590405092589</v>
      </c>
      <c r="C981" s="5" t="str">
        <v>PICK UP TRAGA 2.5 4X2 MT D M/T</v>
      </c>
      <c r="D981" s="5" t="str">
        <v>B2687VC</v>
      </c>
      <c r="E981" s="10">
        <v>2968</v>
      </c>
      <c r="F981" s="3" t="str">
        <v>Iya</v>
      </c>
      <c r="G981" s="4">
        <v>45895</v>
      </c>
      <c r="H981" s="10">
        <v>2968</v>
      </c>
    </row>
    <row r="982" spans="1:8">
      <c r="A982" s="3">
        <v>981</v>
      </c>
      <c r="B982" s="4">
        <v>45895.592743055553</v>
      </c>
      <c r="C982" s="5" t="str">
        <v>DAIHATSU GRANMAX PU AC PS 1.5 M/T</v>
      </c>
      <c r="D982" s="5" t="str">
        <v>B3540VF</v>
      </c>
      <c r="E982" s="10">
        <v>17470</v>
      </c>
      <c r="F982" s="3" t="str">
        <v>Iya</v>
      </c>
      <c r="G982" s="4">
        <v>45701</v>
      </c>
      <c r="H982" s="10">
        <v>17470</v>
      </c>
    </row>
    <row r="983" spans="1:8">
      <c r="A983" s="3">
        <v>982</v>
      </c>
      <c r="B983" s="4">
        <v>45895.596180555563</v>
      </c>
      <c r="C983" s="5" t="str">
        <v>Daihatsu Xenia (Badan)</v>
      </c>
      <c r="D983" s="5" t="str">
        <v>B8528UFK</v>
      </c>
      <c r="E983" s="10">
        <v>27803</v>
      </c>
      <c r="F983" s="3" t="str">
        <v>Iya</v>
      </c>
      <c r="G983" s="4">
        <v>45758</v>
      </c>
      <c r="H983" s="10">
        <v>27803</v>
      </c>
    </row>
    <row r="984" spans="1:8">
      <c r="A984" s="3">
        <v>983</v>
      </c>
      <c r="B984" s="4">
        <v>45895.596631944441</v>
      </c>
      <c r="C984" s="5" t="str">
        <v>Daihatsu Xenia (Badan)</v>
      </c>
      <c r="D984" s="5" t="str">
        <v>B1711ZJR</v>
      </c>
      <c r="E984" s="10">
        <v>93473</v>
      </c>
      <c r="F984" s="3" t="str">
        <v>Iya</v>
      </c>
      <c r="G984" s="4">
        <v>45848</v>
      </c>
      <c r="H984" s="10">
        <v>93473</v>
      </c>
    </row>
    <row r="985" spans="1:8">
      <c r="A985" s="3">
        <v>984</v>
      </c>
      <c r="B985" s="4">
        <v>45895.598738425928</v>
      </c>
      <c r="C985" s="5" t="str">
        <v>Daihatsu Xenia (Badan)</v>
      </c>
      <c r="D985" s="5" t="str">
        <v>B5798XLR</v>
      </c>
      <c r="E985" s="10">
        <v>1212</v>
      </c>
      <c r="F985" s="3" t="str">
        <v>Iya</v>
      </c>
      <c r="G985" s="4">
        <v>45712</v>
      </c>
      <c r="H985" s="10">
        <v>1212</v>
      </c>
    </row>
    <row r="986" spans="1:8">
      <c r="A986" s="3">
        <v>985</v>
      </c>
      <c r="B986" s="4">
        <v>45895.601284722223</v>
      </c>
      <c r="C986" s="5" t="str">
        <v>DAIHATSU GRANMAX PU AC PS 1.5 M/T</v>
      </c>
      <c r="D986" s="5" t="str">
        <v>B9274GSS</v>
      </c>
      <c r="E986" s="10">
        <v>35362</v>
      </c>
      <c r="F986" s="3" t="str">
        <v>Iya</v>
      </c>
      <c r="G986" s="4">
        <v>45820</v>
      </c>
      <c r="H986" s="10">
        <v>35362</v>
      </c>
    </row>
    <row r="987" spans="1:8">
      <c r="A987" s="3">
        <v>986</v>
      </c>
      <c r="B987" s="4">
        <v>45895.603217592587</v>
      </c>
      <c r="C987" s="5" t="str">
        <v>PICK UP TRAGA 2.5 4X2 MT D M/T</v>
      </c>
      <c r="D987" s="5" t="str">
        <v>B2784YG</v>
      </c>
      <c r="E987" s="10">
        <v>78921</v>
      </c>
      <c r="F987" s="3" t="str">
        <v>Iya</v>
      </c>
      <c r="G987" s="4">
        <v>45841</v>
      </c>
      <c r="H987" s="10">
        <v>78921</v>
      </c>
    </row>
    <row r="988" spans="1:8">
      <c r="A988" s="3">
        <v>987</v>
      </c>
      <c r="B988" s="4">
        <v>45895.604444444441</v>
      </c>
      <c r="C988" s="5" t="str">
        <v>DAIHATSU GRANMAX PU AC PS 1.5 M/T</v>
      </c>
      <c r="D988" s="5" t="str">
        <v>B3519TA</v>
      </c>
      <c r="E988" s="10">
        <v>32217</v>
      </c>
      <c r="F988" s="3" t="str">
        <v>Iya</v>
      </c>
      <c r="G988" s="4">
        <v>45762</v>
      </c>
      <c r="H988" s="10">
        <v>32217</v>
      </c>
    </row>
    <row r="989" spans="1:8">
      <c r="A989" s="3">
        <v>988</v>
      </c>
      <c r="B989" s="4">
        <v>45895.608310185176</v>
      </c>
      <c r="C989" s="5" t="str">
        <v>PICK UP TRAGA 2.5 4X2 MT D M/T</v>
      </c>
      <c r="D989" s="5" t="str">
        <v>DH5825NG</v>
      </c>
      <c r="E989" s="10">
        <v>19569</v>
      </c>
      <c r="F989" s="3" t="str">
        <v>Iya</v>
      </c>
      <c r="G989" s="4">
        <v>45764</v>
      </c>
      <c r="H989" s="10">
        <v>19569</v>
      </c>
    </row>
    <row r="990" spans="1:8">
      <c r="A990" s="3">
        <v>989</v>
      </c>
      <c r="B990" s="4">
        <v>45895.619733796288</v>
      </c>
      <c r="C990" s="5" t="str">
        <v>DAIHATSU GRANMAX PU AC PS 1.5 M/T</v>
      </c>
      <c r="D990" s="5" t="str">
        <v>B8742VP</v>
      </c>
      <c r="E990" s="10">
        <v>8780</v>
      </c>
      <c r="F990" s="3" t="str">
        <v>Iya</v>
      </c>
      <c r="G990" s="4">
        <v>45883</v>
      </c>
      <c r="H990" s="10">
        <v>8780</v>
      </c>
    </row>
    <row r="991" spans="1:8">
      <c r="A991" s="3">
        <v>990</v>
      </c>
      <c r="B991" s="4">
        <v>45895.621550925927</v>
      </c>
      <c r="C991" s="5" t="str">
        <v>PICK UP TRAGA 2.5 4X2 MT D M/T</v>
      </c>
      <c r="D991" s="5" t="str">
        <v>B3705JT</v>
      </c>
      <c r="E991" s="10">
        <v>80297</v>
      </c>
      <c r="F991" s="3" t="str">
        <v>Iya</v>
      </c>
      <c r="G991" s="4">
        <v>45846</v>
      </c>
      <c r="H991" s="10">
        <v>80297</v>
      </c>
    </row>
    <row r="992" spans="1:8">
      <c r="A992" s="3">
        <v>991</v>
      </c>
      <c r="B992" s="4">
        <v>45895.623738425929</v>
      </c>
      <c r="C992" s="5" t="str">
        <v>PICK UP TRAGA 2.5 4X2 MT D M/T</v>
      </c>
      <c r="D992" s="5" t="str">
        <v>B3485RG</v>
      </c>
      <c r="E992" s="10">
        <v>34678</v>
      </c>
      <c r="F992" s="3" t="str">
        <v>Iya</v>
      </c>
      <c r="G992" s="4">
        <v>45880</v>
      </c>
      <c r="H992" s="10">
        <v>34678</v>
      </c>
    </row>
    <row r="993" spans="1:8">
      <c r="A993" s="3">
        <v>992</v>
      </c>
      <c r="B993" s="4">
        <v>45895.6249537037</v>
      </c>
      <c r="C993" s="5" t="str">
        <v>PICK UP TRAGA 2.5 4X2 MT D M/T</v>
      </c>
      <c r="D993" s="5" t="str">
        <v>B6874UZA</v>
      </c>
      <c r="E993" s="10">
        <v>47377</v>
      </c>
      <c r="F993" s="3" t="str">
        <v>Iya</v>
      </c>
      <c r="G993" s="4">
        <v>45736</v>
      </c>
      <c r="H993" s="10">
        <v>47377</v>
      </c>
    </row>
    <row r="994" spans="1:8">
      <c r="A994" s="3">
        <v>993</v>
      </c>
      <c r="B994" s="4">
        <v>45895.625196759262</v>
      </c>
      <c r="C994" s="5" t="str">
        <v>DAIHATSU GRANMAX PU AC PS 1.5 M/T</v>
      </c>
      <c r="D994" s="5" t="str">
        <v>B2960MA</v>
      </c>
      <c r="E994" s="10">
        <v>53314</v>
      </c>
      <c r="F994" s="3" t="str">
        <v>Iya</v>
      </c>
      <c r="G994" s="4">
        <v>45769</v>
      </c>
      <c r="H994" s="10">
        <v>53314</v>
      </c>
    </row>
    <row r="995" spans="1:8">
      <c r="A995" s="3">
        <v>994</v>
      </c>
      <c r="B995" s="4">
        <v>45895.62773148148</v>
      </c>
      <c r="C995" s="5" t="str">
        <v>PICK UP TRAGA 2.5 4X2 MT D M/T</v>
      </c>
      <c r="D995" s="5" t="str">
        <v>B6882KT</v>
      </c>
      <c r="E995" s="10">
        <v>56208</v>
      </c>
      <c r="F995" s="3" t="str">
        <v>Iya</v>
      </c>
      <c r="G995" s="4">
        <v>45848</v>
      </c>
      <c r="H995" s="10">
        <v>56208</v>
      </c>
    </row>
    <row r="996" spans="1:8">
      <c r="A996" s="3">
        <v>995</v>
      </c>
      <c r="B996" s="4">
        <v>45895.628321759257</v>
      </c>
      <c r="C996" s="5" t="str">
        <v>PICK UP TRAGA 2.5 4X2 MT D M/T</v>
      </c>
      <c r="D996" s="5" t="str">
        <v>B7983KQ</v>
      </c>
      <c r="E996" s="10">
        <v>31453</v>
      </c>
      <c r="F996" s="3" t="str">
        <v>Iya</v>
      </c>
      <c r="G996" s="4">
        <v>45888</v>
      </c>
      <c r="H996" s="10">
        <v>31453</v>
      </c>
    </row>
    <row r="997" spans="1:8">
      <c r="A997" s="3">
        <v>996</v>
      </c>
      <c r="B997" s="4">
        <v>45895.637488425928</v>
      </c>
      <c r="C997" s="5" t="str">
        <v>PICK UP TRAGA 2.5 4X2 MT D M/T</v>
      </c>
      <c r="D997" s="5" t="str">
        <v>b6633gls</v>
      </c>
      <c r="E997" s="10">
        <v>14327</v>
      </c>
      <c r="F997" s="3" t="str">
        <v>Iya</v>
      </c>
      <c r="G997" s="4">
        <v>45861</v>
      </c>
      <c r="H997" s="10">
        <v>14327</v>
      </c>
    </row>
    <row r="998" spans="1:8">
      <c r="A998" s="3">
        <v>997</v>
      </c>
      <c r="B998" s="4">
        <v>45895.638101851851</v>
      </c>
      <c r="C998" s="5" t="str">
        <v>PICK UP TRAGA 2.5 4X2 MT D M/T</v>
      </c>
      <c r="D998" s="5" t="str">
        <v>B6191JQ</v>
      </c>
      <c r="E998" s="10">
        <v>73429</v>
      </c>
      <c r="F998" s="3" t="str">
        <v>Iya</v>
      </c>
      <c r="G998" s="4">
        <v>45847</v>
      </c>
      <c r="H998" s="10">
        <v>73429</v>
      </c>
    </row>
    <row r="999" spans="1:8">
      <c r="A999" s="3">
        <v>998</v>
      </c>
      <c r="B999" s="4">
        <v>45895.639872685177</v>
      </c>
      <c r="C999" s="5" t="str">
        <v>DAIHATSU GRANMAX PU AC PS 1.5 M/T</v>
      </c>
      <c r="D999" s="5" t="str">
        <v>B6840ZH</v>
      </c>
      <c r="E999" s="10">
        <v>36968</v>
      </c>
      <c r="F999" s="3" t="str">
        <v>Iya</v>
      </c>
      <c r="G999" s="4">
        <v>45882</v>
      </c>
      <c r="H999" s="10">
        <v>36968</v>
      </c>
    </row>
    <row r="1000" spans="1:8">
      <c r="A1000" s="3">
        <v>999</v>
      </c>
      <c r="B1000" s="4">
        <v>45895.643113425933</v>
      </c>
      <c r="C1000" s="5" t="str">
        <v>DAIHATSU GRANMAX PU AC PS 1.5 M/T</v>
      </c>
      <c r="D1000" s="5" t="str">
        <v>DD1071FI</v>
      </c>
      <c r="E1000" s="10">
        <v>30022</v>
      </c>
      <c r="F1000" s="3" t="str">
        <v>Iya</v>
      </c>
      <c r="G1000" s="4">
        <v>45722</v>
      </c>
      <c r="H1000" s="10">
        <v>30022</v>
      </c>
    </row>
    <row r="1001" spans="1:8">
      <c r="A1001" s="3">
        <v>1000</v>
      </c>
      <c r="B1001" s="4">
        <v>45895.643518518518</v>
      </c>
      <c r="C1001" s="5" t="str">
        <v>DAIHATSU GRANMAX PU AC PS 1.5 M/T</v>
      </c>
      <c r="D1001" s="5" t="str">
        <v>D9140HC</v>
      </c>
      <c r="E1001" s="10">
        <v>527</v>
      </c>
      <c r="F1001" s="3" t="str">
        <v>Iya</v>
      </c>
      <c r="G1001" s="4">
        <v>45842</v>
      </c>
      <c r="H1001" s="10">
        <v>527</v>
      </c>
    </row>
    <row r="1002" spans="1:8">
      <c r="A1002" s="3">
        <v>1001</v>
      </c>
      <c r="B1002" s="4">
        <v>45895.649687500001</v>
      </c>
      <c r="C1002" s="5" t="str">
        <v>DAIHATSU GRANMAX PU AC PS 1.5 M/T</v>
      </c>
      <c r="D1002" s="5" t="str">
        <v>B6341YY</v>
      </c>
      <c r="E1002" s="10">
        <v>27669</v>
      </c>
      <c r="F1002" s="3" t="str">
        <v>Iya</v>
      </c>
      <c r="G1002" s="4">
        <v>45763</v>
      </c>
      <c r="H1002" s="10">
        <v>27669</v>
      </c>
    </row>
    <row r="1003" spans="1:8">
      <c r="A1003" s="3">
        <v>1002</v>
      </c>
      <c r="B1003" s="4">
        <v>45895.649895833332</v>
      </c>
      <c r="C1003" s="5" t="str">
        <v>Daihatsu Xenia (Badan)</v>
      </c>
      <c r="D1003" s="5" t="str">
        <v>DD1053PKN</v>
      </c>
      <c r="E1003" s="10">
        <v>33740</v>
      </c>
      <c r="F1003" s="3" t="str">
        <v>Iya</v>
      </c>
      <c r="G1003" s="4">
        <v>45850</v>
      </c>
      <c r="H1003" s="10">
        <v>33740</v>
      </c>
    </row>
    <row r="1004" spans="1:8">
      <c r="A1004" s="3">
        <v>1003</v>
      </c>
      <c r="B1004" s="4">
        <v>45895.653865740736</v>
      </c>
      <c r="C1004" s="5" t="str">
        <v>Daihatsu Xenia (Badan)</v>
      </c>
      <c r="D1004" s="5" t="str">
        <v>B2146GK</v>
      </c>
      <c r="E1004" s="10">
        <v>95685</v>
      </c>
      <c r="F1004" s="3" t="str">
        <v>Iya</v>
      </c>
      <c r="G1004" s="4">
        <v>45815</v>
      </c>
      <c r="H1004" s="10">
        <v>95685</v>
      </c>
    </row>
    <row r="1005" spans="1:8">
      <c r="A1005" s="3">
        <v>1004</v>
      </c>
      <c r="B1005" s="4">
        <v>45895.655081018522</v>
      </c>
      <c r="C1005" s="5" t="str">
        <v>DAIHATSU GRANMAX PU AC PS 1.5 M/T</v>
      </c>
      <c r="D1005" s="5" t="str">
        <v>B8230YP</v>
      </c>
      <c r="E1005" s="10">
        <v>27906</v>
      </c>
      <c r="F1005" s="3" t="str">
        <v>Iya</v>
      </c>
      <c r="G1005" s="4">
        <v>45699</v>
      </c>
      <c r="H1005" s="10">
        <v>27906</v>
      </c>
    </row>
    <row r="1006" spans="1:8">
      <c r="A1006" s="3">
        <v>1005</v>
      </c>
      <c r="B1006" s="4">
        <v>45895.65729166667</v>
      </c>
      <c r="C1006" s="5" t="str">
        <v>PICK UP TRAGA 2.5 4X2 MT D M/T</v>
      </c>
      <c r="D1006" s="5" t="str">
        <v>N8661BC</v>
      </c>
      <c r="E1006" s="10">
        <v>0</v>
      </c>
      <c r="F1006" s="3" t="str">
        <v>Iya</v>
      </c>
      <c r="G1006" s="4">
        <v>45822</v>
      </c>
      <c r="H1006" s="10">
        <v>0</v>
      </c>
    </row>
    <row r="1007" spans="1:8">
      <c r="A1007" s="3">
        <v>1006</v>
      </c>
      <c r="B1007" s="4">
        <v>45895.662395833337</v>
      </c>
      <c r="C1007" s="5" t="str">
        <v>PICK UP TRAGA 2.5 4X2 MT D M/T</v>
      </c>
      <c r="D1007" s="5" t="str">
        <v>B1177MX</v>
      </c>
      <c r="E1007" s="10">
        <v>122394</v>
      </c>
      <c r="F1007" s="3" t="str">
        <v>Iya</v>
      </c>
      <c r="G1007" s="4">
        <v>45755</v>
      </c>
      <c r="H1007" s="10">
        <v>122394</v>
      </c>
    </row>
    <row r="1008" spans="1:8">
      <c r="A1008" s="3">
        <v>1007</v>
      </c>
      <c r="B1008" s="4">
        <v>45895.663807870369</v>
      </c>
      <c r="C1008" s="5" t="str">
        <v>DAIHATSU GRANMAX PU AC PS 1.5 M/T</v>
      </c>
      <c r="D1008" s="5" t="str">
        <v>B1455JPZ</v>
      </c>
      <c r="E1008" s="10">
        <v>7754</v>
      </c>
      <c r="F1008" s="3" t="str">
        <v>Iya</v>
      </c>
      <c r="G1008" s="4">
        <v>45815</v>
      </c>
      <c r="H1008" s="10">
        <v>7754</v>
      </c>
    </row>
    <row r="1009" spans="1:8">
      <c r="A1009" s="3">
        <v>1008</v>
      </c>
      <c r="B1009" s="4">
        <v>45895.685694444437</v>
      </c>
      <c r="C1009" s="5" t="str">
        <v>DAIHATSU GRANMAX PU AC PS 1.5 M/T</v>
      </c>
      <c r="D1009" s="5" t="str">
        <v>B7035JK</v>
      </c>
      <c r="E1009" s="10">
        <v>35416</v>
      </c>
      <c r="F1009" s="3" t="str">
        <v>Iya</v>
      </c>
      <c r="G1009" s="4">
        <v>45727</v>
      </c>
      <c r="H1009" s="10">
        <v>35416</v>
      </c>
    </row>
    <row r="1010" spans="1:8">
      <c r="A1010" s="3">
        <v>1009</v>
      </c>
      <c r="B1010" s="4">
        <v>45895.693668981483</v>
      </c>
      <c r="C1010" s="5" t="str">
        <v>DAIHATSU GRANMAX PU AC PS 1.5 M/T</v>
      </c>
      <c r="D1010" s="5" t="str">
        <v>B4952MY</v>
      </c>
      <c r="E1010" s="10">
        <v>25324</v>
      </c>
      <c r="F1010" s="3" t="str">
        <v>Iya</v>
      </c>
      <c r="G1010" s="4">
        <v>45861</v>
      </c>
      <c r="H1010" s="10">
        <v>25324</v>
      </c>
    </row>
    <row r="1011" spans="1:8">
      <c r="A1011" s="3">
        <v>1010</v>
      </c>
      <c r="B1011" s="4">
        <v>45895.70034722222</v>
      </c>
      <c r="C1011" s="5" t="str">
        <v>DAIHATSU GRANMAX PU AC PS 1.5 M/T</v>
      </c>
      <c r="D1011" s="5" t="str">
        <v>D9851QY</v>
      </c>
      <c r="E1011" s="10">
        <v>4254</v>
      </c>
      <c r="F1011" s="3" t="str">
        <v>Iya</v>
      </c>
      <c r="G1011" s="4">
        <v>45827</v>
      </c>
      <c r="H1011" s="10">
        <v>4254</v>
      </c>
    </row>
    <row r="1012" spans="1:8">
      <c r="A1012" s="3">
        <v>1011</v>
      </c>
      <c r="B1012" s="4">
        <v>45895.705266203702</v>
      </c>
      <c r="C1012" s="5" t="str">
        <v>PICK UP TRAGA 2.5 4X2 MT D M/T</v>
      </c>
      <c r="D1012" s="5" t="str">
        <v>B8827JSD</v>
      </c>
      <c r="E1012" s="10">
        <v>1914</v>
      </c>
      <c r="F1012" s="3" t="str">
        <v>Iya</v>
      </c>
      <c r="G1012" s="4">
        <v>45895</v>
      </c>
      <c r="H1012" s="10">
        <v>1914</v>
      </c>
    </row>
    <row r="1013" spans="1:8">
      <c r="A1013" s="3">
        <v>1012</v>
      </c>
      <c r="B1013" s="4">
        <v>45895.709918981483</v>
      </c>
      <c r="C1013" s="5" t="str">
        <v>DAIHATSU GRANMAX PU AC PS 1.5 M/T</v>
      </c>
      <c r="D1013" s="5" t="str">
        <v>B8740PD</v>
      </c>
      <c r="E1013" s="10">
        <v>46720</v>
      </c>
      <c r="F1013" s="3" t="str">
        <v>Iya</v>
      </c>
      <c r="G1013" s="4">
        <v>45825</v>
      </c>
      <c r="H1013" s="10">
        <v>46720</v>
      </c>
    </row>
    <row r="1014" spans="1:8">
      <c r="A1014" s="3">
        <v>1013</v>
      </c>
      <c r="B1014" s="4">
        <v>45895.713009259263</v>
      </c>
      <c r="C1014" s="5" t="str">
        <v>DAIHATSU GRANMAX PU AC PS 1.5 M/T</v>
      </c>
      <c r="D1014" s="5" t="str">
        <v>B8389IA</v>
      </c>
      <c r="E1014" s="10">
        <v>10355</v>
      </c>
      <c r="F1014" s="3" t="str">
        <v>Iya</v>
      </c>
      <c r="G1014" s="4">
        <v>45820</v>
      </c>
      <c r="H1014" s="10">
        <v>10355</v>
      </c>
    </row>
    <row r="1015" spans="1:8">
      <c r="A1015" s="3">
        <v>1014</v>
      </c>
      <c r="B1015" s="4">
        <v>45895.721747685187</v>
      </c>
      <c r="C1015" s="5" t="str">
        <v>PICK UP TRAGA 2.5 4X2 MT D M/T</v>
      </c>
      <c r="D1015" s="5" t="str">
        <v>B1901ZW</v>
      </c>
      <c r="E1015" s="10">
        <v>9796</v>
      </c>
      <c r="F1015" s="3" t="str">
        <v>Iya</v>
      </c>
      <c r="G1015" s="4">
        <v>45891</v>
      </c>
      <c r="H1015" s="10">
        <v>9796</v>
      </c>
    </row>
    <row r="1016" spans="1:8">
      <c r="A1016" s="3">
        <v>1015</v>
      </c>
      <c r="B1016" s="4">
        <v>45895.736759259264</v>
      </c>
      <c r="C1016" s="5" t="str">
        <v>PICK UP TRAGA 2.5 4X2 MT D M/T</v>
      </c>
      <c r="D1016" s="5" t="str">
        <v>B3848WJ</v>
      </c>
      <c r="E1016" s="10">
        <v>21225</v>
      </c>
      <c r="F1016" s="3" t="str">
        <v>Iya</v>
      </c>
      <c r="G1016" s="4">
        <v>45895</v>
      </c>
      <c r="H1016" s="10">
        <v>21225</v>
      </c>
    </row>
    <row r="1017" spans="1:8">
      <c r="A1017" s="3">
        <v>1016</v>
      </c>
      <c r="B1017" s="4">
        <v>45895.743333333332</v>
      </c>
      <c r="C1017" s="5" t="str">
        <v>DAIHATSU GRANMAX PU AC PS 1.5 M/T</v>
      </c>
      <c r="D1017" s="5" t="str">
        <v>B5795ED</v>
      </c>
      <c r="E1017" s="10">
        <v>44346</v>
      </c>
      <c r="F1017" s="3" t="str">
        <v>Iya</v>
      </c>
      <c r="G1017" s="4">
        <v>45708</v>
      </c>
      <c r="H1017" s="10">
        <v>44346</v>
      </c>
    </row>
    <row r="1018" spans="1:8">
      <c r="A1018" s="3">
        <v>1017</v>
      </c>
      <c r="B1018" s="4">
        <v>45895.746365740742</v>
      </c>
      <c r="C1018" s="5" t="str">
        <v>DAIHATSU GRANMAX PU AC PS 1.5 M/T</v>
      </c>
      <c r="D1018" s="5" t="str">
        <v>B1229TQ</v>
      </c>
      <c r="E1018" s="10">
        <v>17403</v>
      </c>
      <c r="F1018" s="3" t="str">
        <v>Iya</v>
      </c>
      <c r="G1018" s="4">
        <v>45768</v>
      </c>
      <c r="H1018" s="10">
        <v>17403</v>
      </c>
    </row>
    <row r="1019" spans="1:8">
      <c r="A1019" s="3">
        <v>1018</v>
      </c>
      <c r="B1019" s="4">
        <v>45895.760659722233</v>
      </c>
      <c r="C1019" s="5" t="str">
        <v>PICK UP TRAGA 2.5 4X2 MT D M/T</v>
      </c>
      <c r="D1019" s="5" t="str">
        <v>B9187TB</v>
      </c>
      <c r="E1019" s="10">
        <v>20771</v>
      </c>
      <c r="F1019" s="3" t="str">
        <v>Iya</v>
      </c>
      <c r="G1019" s="4">
        <v>45779</v>
      </c>
      <c r="H1019" s="10">
        <v>20771</v>
      </c>
    </row>
    <row r="1020" spans="1:8">
      <c r="A1020" s="3">
        <v>1019</v>
      </c>
      <c r="B1020" s="4">
        <v>45895.854548611111</v>
      </c>
      <c r="C1020" s="5" t="str">
        <v>PICK UP TRAGA 2.5 4X2 MT D M/T</v>
      </c>
      <c r="D1020" s="5" t="str">
        <v>DA2223FX</v>
      </c>
      <c r="E1020" s="10">
        <v>48745</v>
      </c>
      <c r="F1020" s="3" t="str">
        <v>Iya</v>
      </c>
      <c r="G1020" s="4">
        <v>45873</v>
      </c>
      <c r="H1020" s="10">
        <v>48745</v>
      </c>
    </row>
    <row r="1021" spans="1:8">
      <c r="A1021" s="3">
        <v>1020</v>
      </c>
      <c r="B1021" s="4">
        <v>45896.326585648138</v>
      </c>
      <c r="C1021" s="5" t="str">
        <v>DAIHATSU GRANMAX PU AC PS 1.5 M/T</v>
      </c>
      <c r="D1021" s="5" t="str">
        <v>AB7714BG</v>
      </c>
      <c r="E1021" s="10">
        <v>49284</v>
      </c>
      <c r="F1021" s="3" t="str">
        <v>Iya</v>
      </c>
      <c r="G1021" s="4">
        <v>45798</v>
      </c>
      <c r="H1021" s="10">
        <v>49284</v>
      </c>
    </row>
    <row r="1022" spans="1:8">
      <c r="A1022" s="3">
        <v>1021</v>
      </c>
      <c r="B1022" s="4">
        <v>45896.338252314818</v>
      </c>
      <c r="C1022" s="5" t="str">
        <v>DAIHATSU GRANMAX PU AC PS 1.5 M/T</v>
      </c>
      <c r="D1022" s="5" t="str">
        <v>B2639ZDE</v>
      </c>
      <c r="E1022" s="10">
        <v>5504</v>
      </c>
      <c r="F1022" s="3" t="str">
        <v>Iya</v>
      </c>
      <c r="G1022" s="4">
        <v>45658</v>
      </c>
      <c r="H1022" s="10">
        <v>5504</v>
      </c>
    </row>
    <row r="1023" spans="1:8">
      <c r="A1023" s="3">
        <v>1022</v>
      </c>
      <c r="B1023" s="4">
        <v>45896.340624999997</v>
      </c>
      <c r="C1023" s="5" t="str">
        <v>DAIHATSU GRANMAX PU AC PS 1.5 M/T</v>
      </c>
      <c r="D1023" s="5" t="str">
        <v>B3561NJ</v>
      </c>
      <c r="E1023" s="10">
        <v>17185</v>
      </c>
      <c r="F1023" s="3" t="str">
        <v>Iya</v>
      </c>
      <c r="G1023" s="4">
        <v>45805</v>
      </c>
      <c r="H1023" s="10">
        <v>17185</v>
      </c>
    </row>
    <row r="1024" spans="1:8">
      <c r="A1024" s="3">
        <v>1023</v>
      </c>
      <c r="B1024" s="4">
        <v>45896.344768518517</v>
      </c>
      <c r="C1024" s="5" t="str">
        <v>PICK UP TRAGA 2.5 4X2 MT D M/T</v>
      </c>
      <c r="D1024" s="5" t="str">
        <v>B2514HCV</v>
      </c>
      <c r="E1024" s="10">
        <v>9284</v>
      </c>
      <c r="F1024" s="3" t="str">
        <v>Iya</v>
      </c>
      <c r="G1024" s="4">
        <v>45840</v>
      </c>
      <c r="H1024" s="10">
        <v>9284</v>
      </c>
    </row>
    <row r="1025" spans="1:8">
      <c r="A1025" s="3">
        <v>1024</v>
      </c>
      <c r="B1025" s="4">
        <v>45896.345381944448</v>
      </c>
      <c r="C1025" s="5" t="str">
        <v>DAIHATSU GRANMAX PU AC PS 1.5 M/T</v>
      </c>
      <c r="D1025" s="5" t="str">
        <v>B1733TDE</v>
      </c>
      <c r="E1025" s="10">
        <v>4232</v>
      </c>
      <c r="F1025" s="3" t="str">
        <v>Iya</v>
      </c>
      <c r="G1025" s="4">
        <v>45800</v>
      </c>
      <c r="H1025" s="10">
        <v>4232</v>
      </c>
    </row>
    <row r="1026" spans="1:8">
      <c r="A1026" s="3">
        <v>1025</v>
      </c>
      <c r="B1026" s="4">
        <v>45896.353344907409</v>
      </c>
      <c r="C1026" s="5" t="str">
        <v>DAIHATSU GRANMAX PU AC PS 1.5 M/T</v>
      </c>
      <c r="D1026" s="5" t="str">
        <v>KT5836DY</v>
      </c>
      <c r="E1026" s="10">
        <v>9567</v>
      </c>
      <c r="F1026" s="3" t="str">
        <v>Iya</v>
      </c>
      <c r="G1026" s="4">
        <v>45720</v>
      </c>
      <c r="H1026" s="10">
        <v>9567</v>
      </c>
    </row>
    <row r="1027" spans="1:8">
      <c r="A1027" s="3">
        <v>1026</v>
      </c>
      <c r="B1027" s="4">
        <v>45896.354375000003</v>
      </c>
      <c r="C1027" s="5" t="str">
        <v>Daihatsu Xenia (Badan)</v>
      </c>
      <c r="D1027" s="5" t="str">
        <v>L1356IF</v>
      </c>
      <c r="E1027" s="10">
        <v>15228</v>
      </c>
      <c r="F1027" s="3" t="str">
        <v>Iya</v>
      </c>
      <c r="G1027" s="4">
        <v>45761</v>
      </c>
      <c r="H1027" s="10">
        <v>15228</v>
      </c>
    </row>
    <row r="1028" spans="1:8">
      <c r="A1028" s="3">
        <v>1027</v>
      </c>
      <c r="B1028" s="4">
        <v>45896.403854166667</v>
      </c>
      <c r="C1028" s="5" t="str">
        <v>DAIHATSU GRANMAX PU AC PS 1.5 M/T</v>
      </c>
      <c r="D1028" s="5" t="str">
        <v>B3355VB</v>
      </c>
      <c r="E1028" s="10">
        <v>2755</v>
      </c>
      <c r="F1028" s="3" t="str">
        <v>Iya</v>
      </c>
      <c r="G1028" s="4">
        <v>45720</v>
      </c>
      <c r="H1028" s="10">
        <v>2755</v>
      </c>
    </row>
    <row r="1029" spans="1:8">
      <c r="A1029" s="3">
        <v>1028</v>
      </c>
      <c r="B1029" s="4">
        <v>45896.405833333331</v>
      </c>
      <c r="C1029" s="5" t="str">
        <v>DAIHATSU GRANMAX PU AC PS 1.5 M/T</v>
      </c>
      <c r="D1029" s="5" t="str">
        <v>B4124TR</v>
      </c>
      <c r="E1029" s="10">
        <v>2321</v>
      </c>
      <c r="F1029" s="3" t="str">
        <v>Iya</v>
      </c>
      <c r="G1029" s="4">
        <v>45832</v>
      </c>
      <c r="H1029" s="10">
        <v>2321</v>
      </c>
    </row>
    <row r="1030" spans="1:8">
      <c r="A1030" s="3">
        <v>1029</v>
      </c>
      <c r="B1030" s="4">
        <v>45896.411678240736</v>
      </c>
      <c r="C1030" s="5" t="str">
        <v>DAIHATSU GRANMAX PU AC PS 1.5 M/T</v>
      </c>
      <c r="D1030" s="5" t="str">
        <v>B4124TR</v>
      </c>
      <c r="E1030" s="10">
        <v>2077</v>
      </c>
      <c r="F1030" s="3" t="str">
        <v>Iya</v>
      </c>
      <c r="G1030" s="4">
        <v>45832</v>
      </c>
      <c r="H1030" s="10">
        <v>2077</v>
      </c>
    </row>
    <row r="1031" spans="1:8">
      <c r="A1031" s="3">
        <v>1030</v>
      </c>
      <c r="B1031" s="4">
        <v>45896.428935185177</v>
      </c>
      <c r="C1031" s="5" t="str">
        <v>DAIHATSU GRANMAX PU AC PS 1.5 M/T</v>
      </c>
      <c r="D1031" s="5" t="str">
        <v>B7274AH</v>
      </c>
      <c r="E1031" s="10">
        <v>7602</v>
      </c>
      <c r="F1031" s="3" t="str">
        <v>Iya</v>
      </c>
      <c r="G1031" s="4">
        <v>45863</v>
      </c>
      <c r="H1031" s="10">
        <v>7602</v>
      </c>
    </row>
    <row r="1032" spans="1:8">
      <c r="A1032" s="3">
        <v>1031</v>
      </c>
      <c r="B1032" s="4">
        <v>45896.443993055553</v>
      </c>
      <c r="C1032" s="5" t="str">
        <v>Daihatsu Xenia (Badan)</v>
      </c>
      <c r="D1032" s="5" t="str">
        <v>B6049PM</v>
      </c>
      <c r="E1032" s="10">
        <v>265</v>
      </c>
      <c r="F1032" s="3" t="str">
        <v>Iya</v>
      </c>
      <c r="G1032" s="4">
        <v>45869</v>
      </c>
      <c r="H1032" s="10">
        <v>265</v>
      </c>
    </row>
    <row r="1033" spans="1:8">
      <c r="A1033" s="3">
        <v>1032</v>
      </c>
      <c r="B1033" s="4">
        <v>45896.464189814818</v>
      </c>
      <c r="C1033" s="5" t="str">
        <v>DAIHATSU GRANMAX PU AC PS 1.5 M/T</v>
      </c>
      <c r="D1033" s="5" t="str">
        <v>B3545GSF</v>
      </c>
      <c r="E1033" s="10">
        <v>1995</v>
      </c>
      <c r="F1033" s="3" t="str">
        <v>Iya</v>
      </c>
      <c r="G1033" s="4">
        <v>45890</v>
      </c>
      <c r="H1033" s="10">
        <v>1995</v>
      </c>
    </row>
    <row r="1034" spans="1:8">
      <c r="A1034" s="3">
        <v>1033</v>
      </c>
      <c r="B1034" s="4">
        <v>45896.499155092592</v>
      </c>
      <c r="C1034" s="5" t="str">
        <v>PICK UP TRAGA 2.5 4X2 MT D M/T</v>
      </c>
      <c r="D1034" s="5" t="str">
        <v>B3507YER</v>
      </c>
      <c r="E1034" s="10">
        <v>41175</v>
      </c>
      <c r="F1034" s="3" t="str">
        <v>Iya</v>
      </c>
      <c r="G1034" s="4">
        <v>45841</v>
      </c>
      <c r="H1034" s="10">
        <v>41175</v>
      </c>
    </row>
    <row r="1035" spans="1:8">
      <c r="A1035" s="3">
        <v>1034</v>
      </c>
      <c r="B1035" s="4">
        <v>45896.528043981481</v>
      </c>
      <c r="C1035" s="5" t="str">
        <v>DAIHATSU GRANMAX PU AC PS 1.5 M/T</v>
      </c>
      <c r="D1035" s="5" t="str">
        <v>b2342qw</v>
      </c>
      <c r="E1035" s="10">
        <v>8024</v>
      </c>
      <c r="F1035" s="3" t="str">
        <v>Iya</v>
      </c>
      <c r="G1035" s="4">
        <v>45809</v>
      </c>
      <c r="H1035" s="10">
        <v>8024</v>
      </c>
    </row>
    <row r="1036" spans="1:8">
      <c r="A1036" s="3">
        <v>1035</v>
      </c>
      <c r="B1036" s="4">
        <v>45896.551469907397</v>
      </c>
      <c r="C1036" s="5" t="str">
        <v>DAIHATSU GRANMAX PU AC PS 1.5 M/T</v>
      </c>
      <c r="D1036" s="5" t="str">
        <v>KB9985GGA</v>
      </c>
      <c r="E1036" s="10">
        <v>8476</v>
      </c>
      <c r="F1036" s="3" t="str">
        <v>Iya</v>
      </c>
      <c r="G1036" s="4">
        <v>45747</v>
      </c>
      <c r="H1036" s="10">
        <v>8476</v>
      </c>
    </row>
    <row r="1037" spans="1:8">
      <c r="A1037" s="3">
        <v>1036</v>
      </c>
      <c r="B1037" s="4">
        <v>45896.565312500003</v>
      </c>
      <c r="C1037" s="5" t="str">
        <v>DAIHATSU GRANMAX PU AC PS 1.5 M/T</v>
      </c>
      <c r="D1037" s="5" t="str">
        <v>B3306HX</v>
      </c>
      <c r="E1037" s="10">
        <v>15257</v>
      </c>
      <c r="F1037" s="3" t="str">
        <v>Iya</v>
      </c>
      <c r="G1037" s="4">
        <v>45827</v>
      </c>
      <c r="H1037" s="10">
        <v>15257</v>
      </c>
    </row>
    <row r="1038" spans="1:8">
      <c r="A1038" s="3">
        <v>1037</v>
      </c>
      <c r="B1038" s="4">
        <v>45896.573935185188</v>
      </c>
      <c r="C1038" s="5" t="str">
        <v>DAIHATSU GRANMAX PU AC PS 1.5 M/T</v>
      </c>
      <c r="D1038" s="5" t="str">
        <v>B2772EK</v>
      </c>
      <c r="E1038" s="10">
        <v>9430</v>
      </c>
      <c r="F1038" s="3" t="str">
        <v>Iya</v>
      </c>
      <c r="G1038" s="4">
        <v>45874</v>
      </c>
      <c r="H1038" s="10">
        <v>9430</v>
      </c>
    </row>
    <row r="1039" spans="1:8">
      <c r="A1039" s="3">
        <v>1038</v>
      </c>
      <c r="B1039" s="4">
        <v>45896.655324074083</v>
      </c>
      <c r="C1039" s="5" t="str">
        <v>DAIHATSU GRANMAX PU AC PS 1.5 M/T</v>
      </c>
      <c r="D1039" s="5" t="str">
        <v>B7390TQ</v>
      </c>
      <c r="E1039" s="10">
        <v>39392</v>
      </c>
      <c r="F1039" s="3" t="str">
        <v>Iya</v>
      </c>
      <c r="G1039" s="4">
        <v>45820</v>
      </c>
      <c r="H1039" s="10">
        <v>39392</v>
      </c>
    </row>
    <row r="1040" spans="1:8">
      <c r="A1040" s="3">
        <v>1039</v>
      </c>
      <c r="B1040" s="4">
        <v>45896.686944444453</v>
      </c>
      <c r="C1040" s="5" t="str">
        <v>DAIHATSU GRANMAX PU AC PS 1.5 M/T</v>
      </c>
      <c r="D1040" s="5" t="str">
        <v>B4021PX</v>
      </c>
      <c r="E1040" s="10">
        <v>3315</v>
      </c>
      <c r="F1040" s="3" t="str">
        <v>Iya</v>
      </c>
      <c r="G1040" s="4">
        <v>45883</v>
      </c>
      <c r="H1040" s="10">
        <v>3315</v>
      </c>
    </row>
    <row r="1041" spans="1:8">
      <c r="A1041" s="3">
        <v>1040</v>
      </c>
      <c r="B1041" s="4">
        <v>45896.750439814823</v>
      </c>
      <c r="C1041" s="5" t="str">
        <v>DAIHATSU GRANMAX PU AC PS 1.5 M/T</v>
      </c>
      <c r="D1041" s="5" t="str">
        <v>B1265LKJ</v>
      </c>
      <c r="E1041" s="10">
        <v>944</v>
      </c>
      <c r="F1041" s="3" t="str">
        <v>Iya</v>
      </c>
      <c r="G1041" s="4">
        <v>45757</v>
      </c>
      <c r="H1041" s="10">
        <v>944</v>
      </c>
    </row>
    <row r="1042" spans="1:8">
      <c r="A1042" s="3">
        <v>1041</v>
      </c>
      <c r="B1042" s="4">
        <v>45897.353622685187</v>
      </c>
      <c r="C1042" s="5" t="str">
        <v>DAIHATSU GRANMAX PU AC PS 1.5 M/T</v>
      </c>
      <c r="D1042" s="5" t="str">
        <v>B3473LI</v>
      </c>
      <c r="E1042" s="10">
        <v>16517</v>
      </c>
      <c r="F1042" s="3" t="str">
        <v>Iya</v>
      </c>
      <c r="G1042" s="4">
        <v>45568</v>
      </c>
      <c r="H1042" s="10">
        <v>16517</v>
      </c>
    </row>
    <row r="1043" spans="1:8">
      <c r="A1043" s="3">
        <v>1042</v>
      </c>
      <c r="B1043" s="4">
        <v>45897.361921296288</v>
      </c>
      <c r="C1043" s="5" t="str">
        <v>DAIHATSU GRANMAX PU AC PS 1.5 M/T</v>
      </c>
      <c r="D1043" s="5" t="str">
        <v>B6704WT</v>
      </c>
      <c r="E1043" s="10">
        <v>33188</v>
      </c>
      <c r="F1043" s="3" t="str">
        <v>Iya</v>
      </c>
      <c r="G1043" s="4">
        <v>45849</v>
      </c>
      <c r="H1043" s="10">
        <v>33188</v>
      </c>
    </row>
    <row r="1044" spans="1:8">
      <c r="A1044" s="3">
        <v>1043</v>
      </c>
      <c r="B1044" s="4">
        <v>45897.428819444453</v>
      </c>
      <c r="C1044" s="5" t="str">
        <v>DAIHATSU GRANMAX PU AC PS 1.5 M/T</v>
      </c>
      <c r="D1044" s="5" t="str">
        <v>B5612UFW</v>
      </c>
      <c r="E1044" s="10">
        <v>20866</v>
      </c>
      <c r="F1044" s="3" t="str">
        <v>Iya</v>
      </c>
      <c r="G1044" s="4">
        <v>45854</v>
      </c>
      <c r="H1044" s="10">
        <v>20866</v>
      </c>
    </row>
    <row r="1045" spans="1:8">
      <c r="A1045" s="3">
        <v>1044</v>
      </c>
      <c r="B1045" s="4">
        <v>45897.454571759263</v>
      </c>
      <c r="C1045" s="5" t="str">
        <v>DAIHATSU GRANMAX PU AC PS 1.5 M/T</v>
      </c>
      <c r="D1045" s="5" t="str">
        <v>B1356KE</v>
      </c>
      <c r="E1045" s="10">
        <v>34426</v>
      </c>
      <c r="F1045" s="3" t="str">
        <v>Iya</v>
      </c>
      <c r="G1045" s="4">
        <v>45895</v>
      </c>
      <c r="H1045" s="10">
        <v>34426</v>
      </c>
    </row>
    <row r="1046" spans="1:8">
      <c r="A1046" s="3">
        <v>1045</v>
      </c>
      <c r="B1046" s="4">
        <v>45897.635254629633</v>
      </c>
      <c r="C1046" s="5" t="str">
        <v>DAIHATSU GRANMAX PU AC PS 1.5 M/T</v>
      </c>
      <c r="D1046" s="5" t="str">
        <v>B5790CM</v>
      </c>
      <c r="E1046" s="10">
        <v>15748</v>
      </c>
      <c r="F1046" s="3" t="str">
        <v>Iya</v>
      </c>
      <c r="G1046" s="4">
        <v>45784</v>
      </c>
      <c r="H1046" s="10">
        <v>15748</v>
      </c>
    </row>
    <row r="1047" spans="1:8">
      <c r="A1047" s="3">
        <v>1046</v>
      </c>
      <c r="B1047" s="4">
        <v>45897.655115740738</v>
      </c>
      <c r="C1047" s="5" t="str">
        <v>PICK UP TRAGA 2.5 4X2 MT D M/T</v>
      </c>
      <c r="D1047" s="5" t="str">
        <v>B1167YL</v>
      </c>
      <c r="E1047" s="10">
        <v>26037</v>
      </c>
      <c r="F1047" s="3" t="str">
        <v>Iya</v>
      </c>
      <c r="G1047" s="4">
        <v>45864</v>
      </c>
      <c r="H1047" s="10">
        <v>26037</v>
      </c>
    </row>
    <row r="1048" spans="1:8">
      <c r="A1048" s="3">
        <v>1047</v>
      </c>
      <c r="B1048" s="4">
        <v>45897.662557870368</v>
      </c>
      <c r="C1048" s="5" t="str">
        <v>DAIHATSU GRANMAX PU AC PS 1.5 M/T</v>
      </c>
      <c r="D1048" s="5" t="str">
        <v>B4293EW</v>
      </c>
      <c r="E1048" s="10">
        <v>92911</v>
      </c>
      <c r="F1048" s="3" t="str">
        <v>Iya</v>
      </c>
      <c r="G1048" s="4">
        <v>45895</v>
      </c>
      <c r="H1048" s="10">
        <v>92911</v>
      </c>
    </row>
    <row r="1049" spans="1:8">
      <c r="A1049" s="3">
        <v>1048</v>
      </c>
      <c r="B1049" s="4">
        <v>45897.744085648148</v>
      </c>
      <c r="C1049" s="5" t="str">
        <v>PICK UP TRAGA 2.5 4X2 MT D M/T</v>
      </c>
      <c r="D1049" s="5" t="str">
        <v>B2357HT</v>
      </c>
      <c r="E1049" s="10">
        <v>68106</v>
      </c>
      <c r="F1049" s="3" t="str">
        <v>Iya</v>
      </c>
      <c r="G1049" s="4">
        <v>45811</v>
      </c>
      <c r="H1049" s="10">
        <v>68106</v>
      </c>
    </row>
    <row r="1050" spans="1:8">
      <c r="A1050" s="3">
        <v>1049</v>
      </c>
      <c r="B1050" s="4">
        <v>45898.357129629629</v>
      </c>
      <c r="C1050" s="5" t="str">
        <v>Daihatsu Xenia (Badan)</v>
      </c>
      <c r="D1050" s="5" t="str">
        <v>B5062PCK</v>
      </c>
      <c r="E1050" s="10">
        <v>87537</v>
      </c>
      <c r="F1050" s="3" t="str">
        <v>Iya</v>
      </c>
      <c r="G1050" s="4">
        <v>45841</v>
      </c>
      <c r="H1050" s="10">
        <v>87537</v>
      </c>
    </row>
    <row r="1051" spans="1:8">
      <c r="A1051" s="3">
        <v>1050</v>
      </c>
      <c r="B1051" s="4">
        <v>45898.397129629629</v>
      </c>
      <c r="C1051" s="5" t="str">
        <v>PICK UP TRAGA 2.5 4X2 MT D M/T</v>
      </c>
      <c r="D1051" s="5" t="str">
        <v>B1419NV</v>
      </c>
      <c r="E1051" s="10">
        <v>103710</v>
      </c>
      <c r="F1051" s="3" t="str">
        <v>Iya</v>
      </c>
      <c r="G1051" s="4">
        <v>45852</v>
      </c>
      <c r="H1051" s="10">
        <v>103710</v>
      </c>
    </row>
    <row r="1052" spans="1:8">
      <c r="A1052" s="3">
        <v>1051</v>
      </c>
      <c r="B1052" s="4">
        <v>45898.431469907409</v>
      </c>
      <c r="C1052" s="5" t="str">
        <v>DAIHATSU GRANMAX PU AC PS 1.5 M/T</v>
      </c>
      <c r="D1052" s="5" t="str">
        <v>B4262RU</v>
      </c>
      <c r="E1052" s="10">
        <v>32398</v>
      </c>
      <c r="F1052" s="3" t="str">
        <v>Iya</v>
      </c>
      <c r="G1052" s="4">
        <v>45867</v>
      </c>
      <c r="H1052" s="10">
        <v>32398</v>
      </c>
    </row>
    <row r="1053" spans="1:8">
      <c r="A1053" s="3">
        <v>1052</v>
      </c>
      <c r="B1053" s="4">
        <v>45898.451620370368</v>
      </c>
      <c r="C1053" s="5" t="str">
        <v>PICK UP TRAGA 2.5 4X2 MT D M/T</v>
      </c>
      <c r="D1053" s="5" t="str">
        <v>B3848WJ</v>
      </c>
      <c r="E1053" s="10">
        <v>22763</v>
      </c>
      <c r="F1053" s="3" t="str">
        <v>Iya</v>
      </c>
      <c r="G1053" s="4">
        <v>45895</v>
      </c>
      <c r="H1053" s="10">
        <v>22763</v>
      </c>
    </row>
    <row r="1054" spans="1:8">
      <c r="A1054" s="3">
        <v>1053</v>
      </c>
      <c r="B1054" s="4">
        <v>45898.570555555547</v>
      </c>
      <c r="C1054" s="5" t="str">
        <v>DAIHATSU GRANMAX PU AC PS 1.5 M/T</v>
      </c>
      <c r="D1054" s="5" t="str">
        <v>b5038csc</v>
      </c>
      <c r="E1054" s="10">
        <v>11697</v>
      </c>
      <c r="F1054" s="3" t="str">
        <v>Iya</v>
      </c>
      <c r="G1054" s="4">
        <v>45726</v>
      </c>
      <c r="H1054" s="10">
        <v>11697</v>
      </c>
    </row>
    <row r="1055" spans="1:8">
      <c r="A1055" s="3">
        <v>1054</v>
      </c>
      <c r="B1055" s="4">
        <v>45898.57980324074</v>
      </c>
      <c r="C1055" s="5" t="str">
        <v>PICK UP TRAGA 2.5 4X2 MT D M/T</v>
      </c>
      <c r="D1055" s="5" t="str">
        <v>DD5533EI</v>
      </c>
      <c r="E1055" s="10">
        <v>100261</v>
      </c>
      <c r="F1055" s="3" t="str">
        <v>Iya</v>
      </c>
      <c r="G1055" s="4">
        <v>45821</v>
      </c>
      <c r="H1055" s="10">
        <v>100261</v>
      </c>
    </row>
    <row r="1056" spans="1:8">
      <c r="A1056" s="3">
        <v>1055</v>
      </c>
      <c r="B1056" s="4">
        <v>45898.633206018523</v>
      </c>
      <c r="C1056" s="5" t="str">
        <v>DAIHATSU GRANMAX PU AC PS 1.5 M/T</v>
      </c>
      <c r="D1056" s="5" t="str">
        <v>B3087ASI</v>
      </c>
      <c r="E1056" s="10">
        <v>26751</v>
      </c>
      <c r="F1056" s="3" t="str">
        <v>Iya</v>
      </c>
      <c r="G1056" s="4">
        <v>45822</v>
      </c>
      <c r="H1056" s="10">
        <v>26751</v>
      </c>
    </row>
    <row r="1057" spans="1:8">
      <c r="A1057" s="3">
        <v>1056</v>
      </c>
      <c r="B1057" s="4">
        <v>45898.649837962963</v>
      </c>
      <c r="C1057" s="5" t="str">
        <v>PICK UP TRAGA 2.5 4X2 MT D M/T</v>
      </c>
      <c r="D1057" s="5" t="str">
        <v>B9006FL</v>
      </c>
      <c r="E1057" s="10">
        <v>16971</v>
      </c>
      <c r="F1057" s="3" t="str">
        <v>Iya</v>
      </c>
      <c r="G1057" s="4">
        <v>45724</v>
      </c>
      <c r="H1057" s="10">
        <v>16971</v>
      </c>
    </row>
    <row r="1058" spans="1:8">
      <c r="A1058" s="3">
        <v>1057</v>
      </c>
      <c r="B1058" s="4">
        <v>45898.686701388891</v>
      </c>
      <c r="C1058" s="5" t="str">
        <v>PICK UP TRAGA 2.5 4X2 MT D M/T</v>
      </c>
      <c r="D1058" s="5" t="str">
        <v>B9624HE</v>
      </c>
      <c r="E1058" s="10">
        <v>107457</v>
      </c>
      <c r="F1058" s="3" t="str">
        <v>Iya</v>
      </c>
      <c r="G1058" s="4">
        <v>45875</v>
      </c>
      <c r="H1058" s="10">
        <v>107457</v>
      </c>
    </row>
    <row r="1059" spans="1:8">
      <c r="A1059" s="3">
        <v>1058</v>
      </c>
      <c r="B1059" s="4">
        <v>45898.697789351849</v>
      </c>
      <c r="C1059" s="5" t="str">
        <v>DAIHATSU GRANMAX PU AC PS 1.5 M/T</v>
      </c>
      <c r="D1059" s="5" t="str">
        <v>B1513KJ</v>
      </c>
      <c r="E1059" s="10">
        <v>6482</v>
      </c>
      <c r="F1059" s="3" t="str">
        <v>Iya</v>
      </c>
      <c r="G1059" s="4">
        <v>45814</v>
      </c>
      <c r="H1059" s="10">
        <v>6482</v>
      </c>
    </row>
    <row r="1060" spans="1:8">
      <c r="A1060" s="3">
        <v>1059</v>
      </c>
      <c r="B1060" s="4">
        <v>45898.747384259259</v>
      </c>
      <c r="C1060" s="5" t="str">
        <v>DAIHATSU GRANMAX PU AC PS 1.5 M/T</v>
      </c>
      <c r="D1060" s="5" t="str">
        <v>B7659CZ</v>
      </c>
      <c r="E1060" s="10">
        <v>5999</v>
      </c>
      <c r="F1060" s="3" t="str">
        <v>Iya</v>
      </c>
      <c r="G1060" s="4">
        <v>45656</v>
      </c>
      <c r="H1060" s="10">
        <v>5999</v>
      </c>
    </row>
    <row r="1061" spans="1:8">
      <c r="A1061" s="3">
        <v>1060</v>
      </c>
      <c r="B1061" s="4">
        <v>45898.821979166663</v>
      </c>
      <c r="C1061" s="5" t="str">
        <v>PICK UP TRAGA 2.5 4X2 MT D M/T</v>
      </c>
      <c r="D1061" s="5" t="str">
        <v>B6598EX</v>
      </c>
      <c r="E1061" s="10">
        <v>24255</v>
      </c>
      <c r="F1061" s="3" t="str">
        <v>Iya</v>
      </c>
      <c r="G1061" s="4">
        <v>45847</v>
      </c>
      <c r="H1061" s="10">
        <v>24255</v>
      </c>
    </row>
    <row r="1062" spans="1:8">
      <c r="A1062" s="3">
        <v>1061</v>
      </c>
      <c r="B1062" s="4">
        <v>45898.839074074072</v>
      </c>
      <c r="C1062" s="5" t="str">
        <v>DAIHATSU GRANMAX PU AC PS 1.5 M/T</v>
      </c>
      <c r="D1062" s="5" t="str">
        <v>B4849EVK</v>
      </c>
      <c r="E1062" s="10">
        <v>23782</v>
      </c>
      <c r="F1062" s="3" t="str">
        <v>Iya</v>
      </c>
      <c r="G1062" s="4">
        <v>45769</v>
      </c>
      <c r="H1062" s="10">
        <v>23782</v>
      </c>
    </row>
    <row r="1063" spans="1:8">
      <c r="A1063" s="3">
        <v>1062</v>
      </c>
      <c r="B1063" s="4">
        <v>45899.427268518521</v>
      </c>
      <c r="C1063" s="5" t="str">
        <v>PICK UP TRAGA 2.5 4X2 MT D M/T</v>
      </c>
      <c r="D1063" s="5" t="str">
        <v>B2404HI</v>
      </c>
      <c r="E1063" s="10">
        <v>31517</v>
      </c>
      <c r="F1063" s="3" t="str">
        <v>Iya</v>
      </c>
      <c r="G1063" s="4">
        <v>45848</v>
      </c>
      <c r="H1063" s="10">
        <v>31517</v>
      </c>
    </row>
    <row r="1064" spans="1:8">
      <c r="A1064" s="3">
        <v>1063</v>
      </c>
      <c r="B1064" s="4">
        <v>45899.444513888891</v>
      </c>
      <c r="C1064" s="5" t="str">
        <v>DAIHATSU GRANMAX PU AC PS 1.5 M/T</v>
      </c>
      <c r="D1064" s="5" t="str">
        <v>B6512QGG</v>
      </c>
      <c r="E1064" s="10">
        <v>52400</v>
      </c>
      <c r="F1064" s="3" t="str">
        <v>Iya</v>
      </c>
      <c r="G1064" s="4">
        <v>45875</v>
      </c>
      <c r="H1064" s="10">
        <v>52400</v>
      </c>
    </row>
    <row r="1065" spans="1:8">
      <c r="A1065" s="3">
        <v>1064</v>
      </c>
      <c r="B1065" s="4">
        <v>45899.455405092587</v>
      </c>
      <c r="C1065" s="5" t="str">
        <v>DAIHATSU GRANMAX PU AC PS 1.5 M/T</v>
      </c>
      <c r="D1065" s="5" t="str">
        <v>H3059ZKJ</v>
      </c>
      <c r="E1065" s="10">
        <v>677</v>
      </c>
      <c r="F1065" s="3" t="str">
        <v>Iya</v>
      </c>
      <c r="G1065" s="4">
        <v>45880</v>
      </c>
      <c r="H1065" s="10">
        <v>677</v>
      </c>
    </row>
    <row r="1066" spans="1:8">
      <c r="A1066" s="3">
        <v>1065</v>
      </c>
      <c r="B1066" s="4">
        <v>45899.505810185183</v>
      </c>
      <c r="C1066" s="5" t="str">
        <v>DAIHATSU GRANMAX PU AC PS 1.5 M/T</v>
      </c>
      <c r="D1066" s="5" t="str">
        <v>B5918LZ</v>
      </c>
      <c r="E1066" s="10">
        <v>88344</v>
      </c>
      <c r="F1066" s="3" t="str">
        <v>Iya</v>
      </c>
      <c r="G1066" s="4">
        <v>45861</v>
      </c>
      <c r="H1066" s="10">
        <v>88344</v>
      </c>
    </row>
    <row r="1067" spans="1:8">
      <c r="A1067" s="3">
        <v>1066</v>
      </c>
      <c r="B1067" s="4">
        <v>45899.604513888888</v>
      </c>
      <c r="C1067" s="5" t="str">
        <v>DAIHATSU GRANMAX PU AC PS 1.5 M/T</v>
      </c>
      <c r="D1067" s="5" t="str">
        <v>B9356SC</v>
      </c>
      <c r="E1067" s="10">
        <v>55007</v>
      </c>
      <c r="F1067" s="3" t="str">
        <v>Iya</v>
      </c>
      <c r="G1067" s="4">
        <v>45820</v>
      </c>
      <c r="H1067" s="10">
        <v>55007</v>
      </c>
    </row>
    <row r="1068" spans="1:8">
      <c r="A1068" s="3">
        <v>1067</v>
      </c>
      <c r="B1068" s="4">
        <v>45900.428796296299</v>
      </c>
      <c r="C1068" s="5" t="str">
        <v>DAIHATSU GRANMAX PU AC PS 1.5 M/T</v>
      </c>
      <c r="D1068" s="5" t="str">
        <v>B9877USW</v>
      </c>
      <c r="E1068" s="10">
        <v>6633</v>
      </c>
      <c r="F1068" s="3" t="str">
        <v>Iya</v>
      </c>
      <c r="G1068" s="4">
        <v>45737</v>
      </c>
      <c r="H1068" s="10">
        <v>6633</v>
      </c>
    </row>
    <row r="1069" spans="1:8">
      <c r="A1069" s="3">
        <v>1068</v>
      </c>
      <c r="B1069" s="4">
        <v>45900.713530092587</v>
      </c>
      <c r="C1069" s="5" t="str">
        <v>PICK UP TRAGA 2.5 4X2 MT D M/T</v>
      </c>
      <c r="D1069" s="5" t="str">
        <v>D8314WE</v>
      </c>
      <c r="E1069" s="10">
        <v>35805</v>
      </c>
      <c r="F1069" s="3" t="str">
        <v>Iya</v>
      </c>
      <c r="G1069" s="4">
        <v>45889</v>
      </c>
      <c r="H1069" s="10">
        <v>35805</v>
      </c>
    </row>
    <row r="1070" spans="1:8">
      <c r="A1070" s="3">
        <v>1069</v>
      </c>
      <c r="B1070" s="4">
        <v>45900.754293981481</v>
      </c>
      <c r="C1070" s="5" t="str">
        <v>DAIHATSU GRANMAX PU AC PS 1.5 M/T</v>
      </c>
      <c r="D1070" s="5" t="str">
        <v>B4547RRN</v>
      </c>
      <c r="E1070" s="10">
        <v>72340</v>
      </c>
      <c r="F1070" s="3" t="str">
        <v>Iya</v>
      </c>
      <c r="G1070" s="4">
        <v>45757</v>
      </c>
      <c r="H1070" s="10">
        <v>72340</v>
      </c>
    </row>
    <row r="1071" spans="1:8">
      <c r="A1071" s="3">
        <v>1070</v>
      </c>
      <c r="B1071" s="4">
        <v>45900.795219907413</v>
      </c>
      <c r="C1071" s="5" t="str">
        <v>DAIHATSU GRANMAX PU AC PS 1.5 M/T</v>
      </c>
      <c r="D1071" s="5" t="str">
        <v>D8603EG</v>
      </c>
      <c r="E1071" s="10">
        <v>13302</v>
      </c>
      <c r="F1071" s="3" t="str">
        <v>Iya</v>
      </c>
      <c r="G1071" s="4">
        <v>45878</v>
      </c>
      <c r="H1071" s="10">
        <v>13302</v>
      </c>
    </row>
    <row r="1072" spans="1:8">
      <c r="A1072" s="3">
        <v>1071</v>
      </c>
      <c r="B1072" s="4">
        <v>45900.824050925927</v>
      </c>
      <c r="C1072" s="5" t="str">
        <v>DAIHATSU GRANMAX PU AC PS 1.5 M/T</v>
      </c>
      <c r="D1072" s="5" t="str">
        <v>B7960GK</v>
      </c>
      <c r="E1072" s="10">
        <v>20073</v>
      </c>
      <c r="F1072" s="3" t="str">
        <v>Iya</v>
      </c>
      <c r="G1072" s="4">
        <v>45668</v>
      </c>
      <c r="H1072" s="10">
        <v>20073</v>
      </c>
    </row>
    <row r="1073" spans="1:8">
      <c r="A1073" s="3">
        <v>1072</v>
      </c>
      <c r="B1073" s="4">
        <v>45902.581770833327</v>
      </c>
      <c r="C1073" s="5" t="str">
        <v>DAIHATSU GRANMAX PU AC PS 1.5 M/T</v>
      </c>
      <c r="D1073" s="5" t="str">
        <v>B5572LYP</v>
      </c>
      <c r="E1073" s="10">
        <v>18942</v>
      </c>
      <c r="F1073" s="3" t="str">
        <v>Iya</v>
      </c>
      <c r="G1073" s="4">
        <v>45717</v>
      </c>
      <c r="H1073" s="10">
        <v>18942</v>
      </c>
    </row>
    <row r="1074" spans="1:8">
      <c r="A1074" s="3">
        <v>1073</v>
      </c>
      <c r="B1074" s="4">
        <v>45898.47351851852</v>
      </c>
      <c r="C1074" s="5" t="str">
        <v>PICK UP TRAGA 2.5 4X2 MT D M/T</v>
      </c>
      <c r="D1074" s="5" t="str">
        <v>B5818SHZ</v>
      </c>
      <c r="E1074" s="10">
        <v>89141</v>
      </c>
      <c r="F1074" s="3" t="str">
        <v>Iya</v>
      </c>
      <c r="G1074" s="4">
        <v>45731</v>
      </c>
      <c r="H1074" s="10">
        <v>89141</v>
      </c>
    </row>
    <row r="1075" spans="1:8">
      <c r="A1075" s="3">
        <v>1074</v>
      </c>
      <c r="B1075" s="4">
        <v>45898.522245370368</v>
      </c>
      <c r="C1075" s="5" t="str">
        <v>DAIHATSU GRANMAX PU AC PS 1.5 M/T</v>
      </c>
      <c r="D1075" s="5" t="str">
        <v>B6193SD</v>
      </c>
      <c r="E1075" s="10">
        <v>11398</v>
      </c>
      <c r="F1075" s="3" t="str">
        <v>Iya</v>
      </c>
      <c r="G1075" s="4">
        <v>45896</v>
      </c>
      <c r="H1075" s="10">
        <v>11398</v>
      </c>
    </row>
    <row r="1076" spans="1:8">
      <c r="A1076" s="3">
        <v>1075</v>
      </c>
      <c r="B1076" s="4">
        <v>45898.580277777779</v>
      </c>
      <c r="C1076" s="5" t="str">
        <v>PICK UP TRAGA 2.5 4X2 MT D M/T</v>
      </c>
      <c r="D1076" s="5" t="str">
        <v>B8474IXR</v>
      </c>
      <c r="E1076" s="10">
        <v>14078</v>
      </c>
      <c r="F1076" s="3" t="str">
        <v>Iya</v>
      </c>
      <c r="G1076" s="4">
        <v>45764</v>
      </c>
      <c r="H1076" s="10">
        <v>14078</v>
      </c>
    </row>
    <row r="1077" spans="1:8">
      <c r="A1077" s="3">
        <v>1076</v>
      </c>
      <c r="B1077" s="4">
        <v>45898.738553240742</v>
      </c>
      <c r="C1077" s="5" t="str">
        <v>DAIHATSU GRANMAX PU AC PS 1.5 M/T</v>
      </c>
      <c r="D1077" s="5" t="str">
        <v>B8132XW</v>
      </c>
      <c r="E1077" s="10">
        <v>30817</v>
      </c>
      <c r="F1077" s="3" t="str">
        <v>Iya</v>
      </c>
      <c r="G1077" s="4">
        <v>45731</v>
      </c>
      <c r="H1077" s="10">
        <v>30817</v>
      </c>
    </row>
    <row r="1078" spans="1:8">
      <c r="A1078" s="3">
        <v>1077</v>
      </c>
      <c r="B1078" s="4">
        <v>45903.495578703703</v>
      </c>
      <c r="C1078" s="5" t="str">
        <v>PICK UP TRAGA 2.5 4X2 MT D M/T</v>
      </c>
      <c r="D1078" s="5" t="str">
        <v>B3507YER</v>
      </c>
      <c r="E1078" s="10">
        <v>40353</v>
      </c>
      <c r="F1078" s="3" t="str">
        <v>Iya</v>
      </c>
      <c r="G1078" s="4">
        <v>45903</v>
      </c>
      <c r="H1078" s="10">
        <v>40353</v>
      </c>
    </row>
    <row r="1079" spans="1:8">
      <c r="A1079" s="3">
        <v>1078</v>
      </c>
      <c r="B1079" s="4">
        <v>45903.718680555547</v>
      </c>
      <c r="C1079" s="5" t="str">
        <v>PICK UP TRAGA 2.5 4X2 MT D M/T</v>
      </c>
      <c r="D1079" s="5" t="str">
        <v>B9614KS</v>
      </c>
      <c r="E1079" s="10">
        <v>14994</v>
      </c>
      <c r="F1079" s="3" t="str">
        <v>Iya</v>
      </c>
      <c r="G1079" s="4">
        <v>45902</v>
      </c>
      <c r="H1079" s="10">
        <v>14994</v>
      </c>
    </row>
    <row r="1080" spans="1:8">
      <c r="A1080" s="3">
        <v>1079</v>
      </c>
      <c r="B1080" s="4">
        <v>45904.640983796293</v>
      </c>
      <c r="C1080" s="5" t="str">
        <v>PICK UP TRAGA 2.5 4X2 MT D M/T</v>
      </c>
      <c r="D1080" s="5" t="str">
        <v>B2432SKR</v>
      </c>
      <c r="E1080" s="10">
        <v>26866</v>
      </c>
      <c r="F1080" s="3" t="str">
        <v>Iya</v>
      </c>
      <c r="G1080" s="4">
        <v>45904</v>
      </c>
      <c r="H1080" s="10">
        <v>26866</v>
      </c>
    </row>
    <row r="1081" spans="1:8">
      <c r="A1081" s="3">
        <v>1080</v>
      </c>
      <c r="B1081" s="4">
        <v>45908.350474537037</v>
      </c>
      <c r="C1081" s="5" t="str">
        <v>DAIHATSU GRANMAX PU AC PS 1.5 M/T</v>
      </c>
      <c r="D1081" s="5" t="str">
        <v>B9712CQ</v>
      </c>
      <c r="E1081" s="10">
        <v>28977</v>
      </c>
      <c r="F1081" s="3" t="str">
        <v>Iya</v>
      </c>
      <c r="G1081" s="4">
        <v>45903</v>
      </c>
      <c r="H1081" s="10">
        <v>28977</v>
      </c>
    </row>
    <row r="1082" spans="1:8">
      <c r="A1082" s="3">
        <v>1081</v>
      </c>
      <c r="B1082" s="4">
        <v>45908.425254629627</v>
      </c>
      <c r="C1082" s="5" t="str">
        <v>DAIHATSU GRANMAX PU AC PS 1.5 M/T</v>
      </c>
      <c r="D1082" s="5" t="str">
        <v>AB1281PCR</v>
      </c>
      <c r="E1082" s="10">
        <v>24299</v>
      </c>
      <c r="F1082" s="3" t="str">
        <v>Iya</v>
      </c>
      <c r="G1082" s="4">
        <v>45902</v>
      </c>
      <c r="H1082" s="10">
        <v>24299</v>
      </c>
    </row>
    <row r="1083" spans="1:8">
      <c r="A1083" s="3">
        <v>1082</v>
      </c>
      <c r="B1083" s="4">
        <v>45908.43787037037</v>
      </c>
      <c r="C1083" s="5" t="str">
        <v>DAIHATSU GRANMAX PU AC PS 1.5 M/T</v>
      </c>
      <c r="D1083" s="5" t="str">
        <v>B8230YP</v>
      </c>
      <c r="E1083" s="10">
        <v>30023</v>
      </c>
      <c r="F1083" s="3" t="str">
        <v>Iya</v>
      </c>
      <c r="G1083" s="4">
        <v>45898</v>
      </c>
      <c r="H1083" s="10">
        <v>30023</v>
      </c>
    </row>
    <row r="1084" spans="1:8">
      <c r="A1084" s="3">
        <v>1083</v>
      </c>
      <c r="B1084" s="4">
        <v>45915.429988425924</v>
      </c>
      <c r="C1084" s="5" t="str">
        <v>Daihatsu Xenia (Badan)</v>
      </c>
      <c r="D1084" s="5" t="str">
        <v>B3367HD</v>
      </c>
      <c r="E1084" s="10">
        <v>39147</v>
      </c>
      <c r="F1084" s="3" t="str">
        <v>Iya</v>
      </c>
      <c r="G1084" s="4">
        <v>45818</v>
      </c>
      <c r="H1084" s="10">
        <v>39147</v>
      </c>
    </row>
    <row r="1085" spans="1:8">
      <c r="A1085" s="3">
        <v>1084</v>
      </c>
      <c r="B1085" s="4">
        <v>45917.432187500002</v>
      </c>
      <c r="C1085" s="5" t="str">
        <v>DAIHATSU GRANMAX PU AC PS 1.5 M/T</v>
      </c>
      <c r="D1085" s="5" t="str">
        <v>B8069JR</v>
      </c>
      <c r="E1085" s="10">
        <v>102336</v>
      </c>
      <c r="F1085" s="3" t="str">
        <v>Iya</v>
      </c>
      <c r="G1085" s="4">
        <v>45911</v>
      </c>
      <c r="H1085" s="10">
        <v>102336</v>
      </c>
    </row>
    <row r="1086" spans="1:8">
      <c r="A1086" s="3">
        <v>1085</v>
      </c>
      <c r="B1086" s="4">
        <v>45923.38925925926</v>
      </c>
      <c r="C1086" s="5" t="str">
        <v>DAIHATSU GRANMAX PU AC PS 1.5 M/T</v>
      </c>
      <c r="D1086" s="5" t="str">
        <v>B8457UZ</v>
      </c>
      <c r="E1086" s="10">
        <v>9245</v>
      </c>
      <c r="F1086" s="3" t="str">
        <v>Iya</v>
      </c>
      <c r="G1086" s="4">
        <v>45919</v>
      </c>
      <c r="H1086" s="10">
        <v>9245</v>
      </c>
    </row>
    <row r="1087" spans="1:8">
      <c r="A1087" s="3">
        <v>1086</v>
      </c>
      <c r="B1087" s="4">
        <v>45923.389479166668</v>
      </c>
      <c r="C1087" s="5" t="str">
        <v>PICK UP TRAGA 2.5 4X2 MT D M/T</v>
      </c>
      <c r="D1087" s="5" t="str">
        <v>B3406ZUA</v>
      </c>
      <c r="E1087" s="10">
        <v>55796</v>
      </c>
      <c r="F1087" s="3" t="str">
        <v>Iya</v>
      </c>
      <c r="G1087" s="4">
        <v>45891</v>
      </c>
      <c r="H1087" s="10">
        <v>55796</v>
      </c>
    </row>
    <row r="1088" spans="1:8">
      <c r="A1088" s="3">
        <v>1087</v>
      </c>
      <c r="B1088" s="4">
        <v>45923.38994212963</v>
      </c>
      <c r="C1088" s="5" t="str">
        <v>DAIHATSU GRANMAX PU AC PS 1.5 M/T</v>
      </c>
      <c r="D1088" s="5" t="str">
        <v>AB5434PRX</v>
      </c>
      <c r="E1088" s="10">
        <v>39770</v>
      </c>
      <c r="F1088" s="3" t="str">
        <v>Iya</v>
      </c>
      <c r="G1088" s="4">
        <v>45864</v>
      </c>
      <c r="H1088" s="10">
        <v>39770</v>
      </c>
    </row>
    <row r="1089" spans="1:8">
      <c r="A1089" s="3">
        <v>1088</v>
      </c>
      <c r="B1089" s="4">
        <v>45923.392141203702</v>
      </c>
      <c r="C1089" s="5" t="str">
        <v>PICK UP TRAGA 2.5 4X2 MT D M/T</v>
      </c>
      <c r="D1089" s="5" t="str">
        <v>B3431HDZ</v>
      </c>
      <c r="E1089" s="10">
        <v>21649</v>
      </c>
      <c r="F1089" s="3" t="str">
        <v>Iya</v>
      </c>
      <c r="G1089" s="4">
        <v>45881</v>
      </c>
      <c r="H1089" s="10">
        <v>21649</v>
      </c>
    </row>
    <row r="1090" spans="1:8">
      <c r="A1090" s="3">
        <v>1089</v>
      </c>
      <c r="B1090" s="4">
        <v>45923.39266203704</v>
      </c>
      <c r="C1090" s="5" t="str">
        <v>DAIHATSU GRANMAX PU AC PS 1.5 M/T</v>
      </c>
      <c r="D1090" s="5" t="str">
        <v>B7135IN</v>
      </c>
      <c r="E1090" s="10">
        <v>19285</v>
      </c>
      <c r="F1090" s="3" t="str">
        <v>Iya</v>
      </c>
      <c r="G1090" s="4">
        <v>45911</v>
      </c>
      <c r="H1090" s="10">
        <v>19285</v>
      </c>
    </row>
    <row r="1091" spans="1:8">
      <c r="A1091" s="3">
        <v>1090</v>
      </c>
      <c r="B1091" s="4">
        <v>45923.392928240741</v>
      </c>
      <c r="C1091" s="5" t="str">
        <v>Daihatsu Xenia (Badan)</v>
      </c>
      <c r="D1091" s="5" t="str">
        <v>B5066SRV</v>
      </c>
      <c r="E1091" s="10">
        <v>14532</v>
      </c>
      <c r="F1091" s="3" t="str">
        <v>Iya</v>
      </c>
      <c r="G1091" s="4">
        <v>45866</v>
      </c>
      <c r="H1091" s="10">
        <v>14532</v>
      </c>
    </row>
    <row r="1092" spans="1:8">
      <c r="A1092" s="3">
        <v>1091</v>
      </c>
      <c r="B1092" s="4">
        <v>45923.393553240741</v>
      </c>
      <c r="C1092" s="5" t="str">
        <v>DAIHATSU GRANMAX PU AC PS 1.5 M/T</v>
      </c>
      <c r="D1092" s="5" t="str">
        <v>B5628US</v>
      </c>
      <c r="E1092" s="10">
        <v>1351</v>
      </c>
      <c r="F1092" s="3" t="str">
        <v>Iya</v>
      </c>
      <c r="G1092" s="4">
        <v>45883</v>
      </c>
      <c r="H1092" s="10">
        <v>1351</v>
      </c>
    </row>
    <row r="1093" spans="1:8">
      <c r="A1093" s="3">
        <v>1092</v>
      </c>
      <c r="B1093" s="4">
        <v>45923.394270833327</v>
      </c>
      <c r="C1093" s="5" t="str">
        <v>DAIHATSU GRANMAX PU AC PS 1.5 M/T</v>
      </c>
      <c r="D1093" s="5" t="str">
        <v>B4867VJI</v>
      </c>
      <c r="E1093" s="10">
        <v>48819</v>
      </c>
      <c r="F1093" s="3" t="str">
        <v>Iya</v>
      </c>
      <c r="G1093" s="4">
        <v>45870</v>
      </c>
      <c r="H1093" s="10">
        <v>48819</v>
      </c>
    </row>
    <row r="1094" spans="1:8">
      <c r="A1094" s="3">
        <v>1093</v>
      </c>
      <c r="B1094" s="4">
        <v>45923.396967592591</v>
      </c>
      <c r="C1094" s="5" t="str">
        <v>DAIHATSU GRANMAX PU AC PS 1.5 M/T</v>
      </c>
      <c r="D1094" s="5" t="str">
        <v>H9028KZJ</v>
      </c>
      <c r="E1094" s="10">
        <v>8419</v>
      </c>
      <c r="F1094" s="3" t="str">
        <v>Iya</v>
      </c>
      <c r="G1094" s="4">
        <v>45884</v>
      </c>
      <c r="H1094" s="10">
        <v>8419</v>
      </c>
    </row>
    <row r="1095" spans="1:8">
      <c r="A1095" s="3">
        <v>1094</v>
      </c>
      <c r="B1095" s="4">
        <v>45923.397199074083</v>
      </c>
      <c r="C1095" s="5" t="str">
        <v>PICK UP TRAGA 2.5 4X2 MT D M/T</v>
      </c>
      <c r="D1095" s="5" t="str">
        <v>B2919XQ</v>
      </c>
      <c r="E1095" s="10">
        <v>47247</v>
      </c>
      <c r="F1095" s="3" t="str">
        <v>Iya</v>
      </c>
      <c r="G1095" s="4">
        <v>45892</v>
      </c>
      <c r="H1095" s="10">
        <v>47247</v>
      </c>
    </row>
    <row r="1096" spans="1:8">
      <c r="A1096" s="3">
        <v>1095</v>
      </c>
      <c r="B1096" s="4">
        <v>45923.398518518523</v>
      </c>
      <c r="C1096" s="5" t="str">
        <v>DAIHATSU GRANMAX PU AC PS 1.5 M/T</v>
      </c>
      <c r="D1096" s="5" t="str">
        <v>B2960MA</v>
      </c>
      <c r="E1096" s="10">
        <v>52330</v>
      </c>
      <c r="F1096" s="3" t="str">
        <v>Iya</v>
      </c>
      <c r="G1096" s="4">
        <v>45404</v>
      </c>
      <c r="H1096" s="10">
        <v>52330</v>
      </c>
    </row>
    <row r="1097" spans="1:8">
      <c r="A1097" s="3">
        <v>1096</v>
      </c>
      <c r="B1097" s="4">
        <v>45923.401932870373</v>
      </c>
      <c r="C1097" s="5" t="str">
        <v>DAIHATSU GRANMAX PU AC PS 1.5 M/T</v>
      </c>
      <c r="D1097" s="5" t="str">
        <v>B8895WT</v>
      </c>
      <c r="E1097" s="10">
        <v>3045</v>
      </c>
      <c r="F1097" s="3" t="str">
        <v>Iya</v>
      </c>
      <c r="G1097" s="4">
        <v>45861</v>
      </c>
      <c r="H1097" s="10">
        <v>3045</v>
      </c>
    </row>
    <row r="1098" spans="1:8">
      <c r="A1098" s="3">
        <v>1097</v>
      </c>
      <c r="B1098" s="4">
        <v>45923.401979166672</v>
      </c>
      <c r="C1098" s="5" t="str">
        <v>PICK UP TRAGA 2.5 4X2 MT D M/T</v>
      </c>
      <c r="D1098" s="5" t="str">
        <v>B8491EZ</v>
      </c>
      <c r="E1098" s="10">
        <v>14601</v>
      </c>
      <c r="F1098" s="3" t="str">
        <v>Iya</v>
      </c>
      <c r="G1098" s="4">
        <v>45812</v>
      </c>
      <c r="H1098" s="10">
        <v>14601</v>
      </c>
    </row>
    <row r="1099" spans="1:8">
      <c r="A1099" s="3">
        <v>1098</v>
      </c>
      <c r="B1099" s="4">
        <v>45923.404548611114</v>
      </c>
      <c r="C1099" s="5" t="str">
        <v>DAIHATSU GRANMAX PU AC PS 1.5 M/T</v>
      </c>
      <c r="D1099" s="5" t="str">
        <v>D9140HC</v>
      </c>
      <c r="E1099" s="10">
        <v>925</v>
      </c>
      <c r="F1099" s="3" t="str">
        <v>Iya</v>
      </c>
      <c r="G1099" s="4">
        <v>45843</v>
      </c>
      <c r="H1099" s="10">
        <v>925</v>
      </c>
    </row>
    <row r="1100" spans="1:8">
      <c r="A1100" s="3">
        <v>1099</v>
      </c>
      <c r="B1100" s="4">
        <v>45923.41034722222</v>
      </c>
      <c r="C1100" s="5" t="str">
        <v>DAIHATSU GRANMAX PU AC PS 1.5 M/T</v>
      </c>
      <c r="D1100" s="5" t="str">
        <v>B3540VF</v>
      </c>
      <c r="E1100" s="10">
        <v>18145</v>
      </c>
      <c r="F1100" s="3" t="str">
        <v>Iya</v>
      </c>
      <c r="G1100" s="4">
        <v>45911</v>
      </c>
      <c r="H1100" s="10">
        <v>18145</v>
      </c>
    </row>
    <row r="1101" spans="1:8">
      <c r="A1101" s="3">
        <v>1100</v>
      </c>
      <c r="B1101" s="4">
        <v>45923.413310185177</v>
      </c>
      <c r="C1101" s="5" t="str">
        <v>DAIHATSU GRANMAX PU AC PS 1.5 M/T</v>
      </c>
      <c r="D1101" s="5" t="str">
        <v>B6224AT</v>
      </c>
      <c r="E1101" s="10">
        <v>13901</v>
      </c>
      <c r="F1101" s="3" t="str">
        <v>Iya</v>
      </c>
      <c r="G1101" s="4">
        <v>45854</v>
      </c>
      <c r="H1101" s="10">
        <v>13901</v>
      </c>
    </row>
    <row r="1102" spans="1:8">
      <c r="A1102" s="3">
        <v>1101</v>
      </c>
      <c r="B1102" s="4">
        <v>45923.413877314822</v>
      </c>
      <c r="C1102" s="5" t="str">
        <v>DAIHATSU GRANMAX PU AC PS 1.5 M/T</v>
      </c>
      <c r="D1102" s="5" t="str">
        <v>B8389IA</v>
      </c>
      <c r="E1102" s="10">
        <v>11539</v>
      </c>
      <c r="F1102" s="3" t="str">
        <v>Iya</v>
      </c>
      <c r="G1102" s="4">
        <v>45820</v>
      </c>
      <c r="H1102" s="10">
        <v>11539</v>
      </c>
    </row>
    <row r="1103" spans="1:8">
      <c r="A1103" s="3">
        <v>1102</v>
      </c>
      <c r="B1103" s="4">
        <v>45923.4140625</v>
      </c>
      <c r="C1103" s="5" t="str">
        <v>Daihatsu Xenia (Badan)</v>
      </c>
      <c r="D1103" s="5" t="str">
        <v>B9347LJ</v>
      </c>
      <c r="E1103" s="10">
        <v>49843</v>
      </c>
      <c r="F1103" s="3" t="str">
        <v>Iya</v>
      </c>
      <c r="G1103" s="4">
        <v>45887</v>
      </c>
      <c r="H1103" s="10">
        <v>49843</v>
      </c>
    </row>
    <row r="1104" spans="1:8">
      <c r="A1104" s="3">
        <v>1103</v>
      </c>
      <c r="B1104" s="4">
        <v>45923.415717592587</v>
      </c>
      <c r="C1104" s="5" t="str">
        <v>DAIHATSU GRANMAX PU AC PS 1.5 M/T</v>
      </c>
      <c r="D1104" s="5" t="str">
        <v>B5277IQ</v>
      </c>
      <c r="E1104" s="10">
        <v>41689</v>
      </c>
      <c r="F1104" s="3" t="str">
        <v>Iya</v>
      </c>
      <c r="G1104" s="4">
        <v>45810</v>
      </c>
      <c r="H1104" s="10">
        <v>41689</v>
      </c>
    </row>
    <row r="1105" spans="1:8">
      <c r="A1105" s="3">
        <v>1104</v>
      </c>
      <c r="B1105" s="4">
        <v>45923.415902777779</v>
      </c>
      <c r="C1105" s="5" t="str">
        <v>PICK UP TRAGA 2.5 4X2 MT D M/T</v>
      </c>
      <c r="D1105" s="5" t="str">
        <v>B2705EA</v>
      </c>
      <c r="E1105" s="10">
        <v>36260</v>
      </c>
      <c r="F1105" s="3" t="str">
        <v>Iya</v>
      </c>
      <c r="G1105" s="4">
        <v>45824</v>
      </c>
      <c r="H1105" s="10">
        <v>36260</v>
      </c>
    </row>
    <row r="1106" spans="1:8">
      <c r="A1106" s="3">
        <v>1105</v>
      </c>
      <c r="B1106" s="4">
        <v>45923.421736111108</v>
      </c>
      <c r="C1106" s="5" t="str">
        <v>DAIHATSU GRANMAX PU AC PS 1.5 M/T</v>
      </c>
      <c r="D1106" s="5" t="str">
        <v>B3699EI</v>
      </c>
      <c r="E1106" s="10">
        <v>3014</v>
      </c>
      <c r="F1106" s="3" t="str">
        <v>Iya</v>
      </c>
      <c r="G1106" s="4">
        <v>45842</v>
      </c>
      <c r="H1106" s="10">
        <v>3014</v>
      </c>
    </row>
    <row r="1107" spans="1:8">
      <c r="A1107" s="3">
        <v>1106</v>
      </c>
      <c r="B1107" s="4">
        <v>45923.424467592587</v>
      </c>
      <c r="C1107" s="5" t="str">
        <v>DAIHATSU GRANMAX PU AC PS 1.5 M/T</v>
      </c>
      <c r="D1107" s="5" t="str">
        <v>B8385EAN</v>
      </c>
      <c r="E1107" s="10">
        <v>15297</v>
      </c>
      <c r="F1107" s="3" t="str">
        <v>Iya</v>
      </c>
      <c r="G1107" s="4">
        <v>45783</v>
      </c>
      <c r="H1107" s="10">
        <v>15297</v>
      </c>
    </row>
    <row r="1108" spans="1:8">
      <c r="A1108" s="3">
        <v>1107</v>
      </c>
      <c r="B1108" s="4">
        <v>45923.427905092591</v>
      </c>
      <c r="C1108" s="5" t="str">
        <v>DAIHATSU GRANMAX PU AC PS 1.5 M/T</v>
      </c>
      <c r="D1108" s="5" t="str">
        <v>D8668TS</v>
      </c>
      <c r="E1108" s="10">
        <v>29807</v>
      </c>
      <c r="F1108" s="3" t="str">
        <v>Iya</v>
      </c>
      <c r="G1108" s="4">
        <v>45794</v>
      </c>
      <c r="H1108" s="10">
        <v>29807</v>
      </c>
    </row>
    <row r="1109" spans="1:8">
      <c r="A1109" s="3">
        <v>1108</v>
      </c>
      <c r="B1109" s="4">
        <v>45923.428240740737</v>
      </c>
      <c r="C1109" s="5" t="str">
        <v>DAIHATSU GRANMAX PU AC PS 1.5 M/T</v>
      </c>
      <c r="D1109" s="5" t="str">
        <v>B2342QW</v>
      </c>
      <c r="E1109" s="10">
        <v>9968</v>
      </c>
      <c r="F1109" s="3" t="str">
        <v>Iya</v>
      </c>
      <c r="G1109" s="4">
        <v>45809</v>
      </c>
      <c r="H1109" s="10">
        <v>9968</v>
      </c>
    </row>
    <row r="1110" spans="1:8">
      <c r="A1110" s="3">
        <v>1109</v>
      </c>
      <c r="B1110" s="4">
        <v>45923.431250000001</v>
      </c>
      <c r="C1110" s="5" t="str">
        <v>PICK UP TRAGA 2.5 4X2 MT D M/T</v>
      </c>
      <c r="D1110" s="5" t="str">
        <v>B2118PQK</v>
      </c>
      <c r="E1110" s="10">
        <v>48388</v>
      </c>
      <c r="F1110" s="3" t="str">
        <v>Iya</v>
      </c>
      <c r="G1110" s="4">
        <v>45915</v>
      </c>
      <c r="H1110" s="10">
        <v>48388</v>
      </c>
    </row>
    <row r="1111" spans="1:8">
      <c r="A1111" s="3">
        <v>1110</v>
      </c>
      <c r="B1111" s="4">
        <v>45923.434351851851</v>
      </c>
      <c r="C1111" s="5" t="str">
        <v>DAIHATSU GRANMAX PU AC PS 1.5 M/T</v>
      </c>
      <c r="D1111" s="5" t="str">
        <v>B1204ZZ</v>
      </c>
      <c r="E1111" s="10">
        <v>19546</v>
      </c>
      <c r="F1111" s="3" t="str">
        <v>Iya</v>
      </c>
      <c r="G1111" s="4">
        <v>45841</v>
      </c>
      <c r="H1111" s="10">
        <v>19546</v>
      </c>
    </row>
    <row r="1112" spans="1:8">
      <c r="A1112" s="3">
        <v>1111</v>
      </c>
      <c r="B1112" s="4">
        <v>45923.434548611112</v>
      </c>
      <c r="C1112" s="5" t="str">
        <v>PICK UP TRAGA 2.5 4X2 MT D M/T</v>
      </c>
      <c r="D1112" s="5" t="str">
        <v>B7875XVS</v>
      </c>
      <c r="E1112" s="10">
        <v>17225</v>
      </c>
      <c r="F1112" s="3" t="str">
        <v>Iya</v>
      </c>
      <c r="G1112" s="4">
        <v>45812</v>
      </c>
      <c r="H1112" s="10">
        <v>17225</v>
      </c>
    </row>
    <row r="1113" spans="1:8">
      <c r="A1113" s="3">
        <v>1112</v>
      </c>
      <c r="B1113" s="4">
        <v>45923.436041666668</v>
      </c>
      <c r="C1113" s="5" t="str">
        <v>DAIHATSU GRANMAX PU AC PS 1.5 M/T</v>
      </c>
      <c r="D1113" s="5" t="str">
        <v>DD2694FT</v>
      </c>
      <c r="E1113" s="10">
        <v>20021</v>
      </c>
      <c r="F1113" s="3" t="str">
        <v>Iya</v>
      </c>
      <c r="G1113" s="4">
        <v>45916</v>
      </c>
      <c r="H1113" s="10">
        <v>20021</v>
      </c>
    </row>
    <row r="1114" spans="1:8">
      <c r="A1114" s="3">
        <v>1113</v>
      </c>
      <c r="B1114" s="4">
        <v>45923.4371875</v>
      </c>
      <c r="C1114" s="5" t="str">
        <v>DAIHATSU GRANMAX PU AC PS 1.5 M/T</v>
      </c>
      <c r="D1114" s="5" t="str">
        <v>H3059ZKJ</v>
      </c>
      <c r="E1114" s="10">
        <v>1478</v>
      </c>
      <c r="F1114" s="3" t="str">
        <v>Iya</v>
      </c>
      <c r="G1114" s="4">
        <v>45917</v>
      </c>
      <c r="H1114" s="10">
        <v>1478</v>
      </c>
    </row>
    <row r="1115" spans="1:8">
      <c r="A1115" s="3">
        <v>1114</v>
      </c>
      <c r="B1115" s="4">
        <v>45923.441550925927</v>
      </c>
      <c r="C1115" s="5" t="str">
        <v>DAIHATSU GRANMAX PU AC PS 1.5 M/T</v>
      </c>
      <c r="D1115" s="5" t="str">
        <v>B7692UCT</v>
      </c>
      <c r="E1115" s="10">
        <v>7446</v>
      </c>
      <c r="F1115" s="3" t="str">
        <v>Iya</v>
      </c>
      <c r="G1115" s="4">
        <v>45827</v>
      </c>
      <c r="H1115" s="10">
        <v>7446</v>
      </c>
    </row>
    <row r="1116" spans="1:8">
      <c r="A1116" s="3">
        <v>1115</v>
      </c>
      <c r="B1116" s="4">
        <v>45923.441944444443</v>
      </c>
      <c r="C1116" s="5" t="str">
        <v>DAIHATSU GRANMAX PU AC PS 1.5 M/T</v>
      </c>
      <c r="D1116" s="5" t="str">
        <v>B9442MAL</v>
      </c>
      <c r="E1116" s="10">
        <v>18117</v>
      </c>
      <c r="F1116" s="3" t="str">
        <v>Iya</v>
      </c>
      <c r="G1116" s="4">
        <v>45825</v>
      </c>
      <c r="H1116" s="10">
        <v>18117</v>
      </c>
    </row>
    <row r="1117" spans="1:8">
      <c r="A1117" s="3">
        <v>1116</v>
      </c>
      <c r="B1117" s="4">
        <v>45923.452465277784</v>
      </c>
      <c r="C1117" s="5" t="str">
        <v>DAIHATSU GRANMAX PU AC PS 1.5 M/T</v>
      </c>
      <c r="D1117" s="5" t="str">
        <v>B1654RAU</v>
      </c>
      <c r="E1117" s="10">
        <v>22569</v>
      </c>
      <c r="F1117" s="3" t="str">
        <v>Iya</v>
      </c>
      <c r="G1117" s="4">
        <v>45770</v>
      </c>
      <c r="H1117" s="10">
        <v>22569</v>
      </c>
    </row>
    <row r="1118" spans="1:8">
      <c r="A1118" s="3">
        <v>1117</v>
      </c>
      <c r="B1118" s="4">
        <v>45923.454872685194</v>
      </c>
      <c r="C1118" s="5" t="str">
        <v>DAIHATSU GRANMAX PU AC PS 1.5 M/T</v>
      </c>
      <c r="D1118" s="5" t="str">
        <v>B8740PD</v>
      </c>
      <c r="E1118" s="10">
        <v>42472</v>
      </c>
      <c r="F1118" s="3" t="str">
        <v>Iya</v>
      </c>
      <c r="G1118" s="4">
        <v>45825</v>
      </c>
      <c r="H1118" s="10">
        <v>42472</v>
      </c>
    </row>
    <row r="1119" spans="1:8">
      <c r="A1119" s="3">
        <v>1118</v>
      </c>
      <c r="B1119" s="4">
        <v>45923.457337962973</v>
      </c>
      <c r="C1119" s="5" t="str">
        <v>DAIHATSU GRANMAX PU AC PS 1.5 M/T</v>
      </c>
      <c r="D1119" s="5" t="str">
        <v>b4952my</v>
      </c>
      <c r="E1119" s="10">
        <v>38733</v>
      </c>
      <c r="F1119" s="3" t="str">
        <v>Iya</v>
      </c>
      <c r="G1119" s="4">
        <v>45861</v>
      </c>
      <c r="H1119" s="10">
        <v>38733</v>
      </c>
    </row>
    <row r="1120" spans="1:8">
      <c r="A1120" s="3">
        <v>1119</v>
      </c>
      <c r="B1120" s="4">
        <v>45923.460312499999</v>
      </c>
      <c r="C1120" s="5" t="str">
        <v>DAIHATSU GRANMAX PU AC PS 1.5 M/T</v>
      </c>
      <c r="D1120" s="5" t="str">
        <v>B9244VW</v>
      </c>
      <c r="E1120" s="10">
        <v>13687</v>
      </c>
      <c r="F1120" s="3" t="str">
        <v>Iya</v>
      </c>
      <c r="G1120" s="4">
        <v>45833</v>
      </c>
      <c r="H1120" s="10">
        <v>13687</v>
      </c>
    </row>
    <row r="1121" spans="1:8">
      <c r="A1121" s="3">
        <v>1120</v>
      </c>
      <c r="B1121" s="4">
        <v>45923.46707175926</v>
      </c>
      <c r="C1121" s="5" t="str">
        <v>Daihatsu Xenia (Badan)</v>
      </c>
      <c r="D1121" s="5" t="str">
        <v>B8054VY</v>
      </c>
      <c r="E1121" s="10">
        <v>17920</v>
      </c>
      <c r="F1121" s="3" t="str">
        <v>Iya</v>
      </c>
      <c r="G1121" s="4">
        <v>45923</v>
      </c>
      <c r="H1121" s="10">
        <v>17920</v>
      </c>
    </row>
    <row r="1122" spans="1:8">
      <c r="A1122" s="3">
        <v>1121</v>
      </c>
      <c r="B1122" s="4">
        <v>45923.472326388888</v>
      </c>
      <c r="C1122" s="5" t="str">
        <v>Daihatsu Xenia (Badan)</v>
      </c>
      <c r="D1122" s="5" t="str">
        <v>KB8049QJT</v>
      </c>
      <c r="E1122" s="10">
        <v>1360</v>
      </c>
      <c r="F1122" s="3" t="str">
        <v>Iya</v>
      </c>
      <c r="G1122" s="4">
        <v>45923</v>
      </c>
      <c r="H1122" s="10">
        <v>1360</v>
      </c>
    </row>
    <row r="1123" spans="1:8">
      <c r="A1123" s="3">
        <v>1122</v>
      </c>
      <c r="B1123" s="4">
        <v>45923.476122685177</v>
      </c>
      <c r="C1123" s="5" t="str">
        <v>PICK UP TRAGA 2.5 4X2 MT D M/T</v>
      </c>
      <c r="D1123" s="5" t="str">
        <v>B4597RJ</v>
      </c>
      <c r="E1123" s="10">
        <v>73300</v>
      </c>
      <c r="F1123" s="3" t="str">
        <v>Iya</v>
      </c>
      <c r="G1123" s="4">
        <v>45857</v>
      </c>
      <c r="H1123" s="10">
        <v>73300</v>
      </c>
    </row>
    <row r="1124" spans="1:8">
      <c r="A1124" s="3">
        <v>1123</v>
      </c>
      <c r="B1124" s="4">
        <v>45923.476550925923</v>
      </c>
      <c r="C1124" s="5" t="str">
        <v>DAIHATSU GRANMAX PU AC PS 1.5 M/T</v>
      </c>
      <c r="D1124" s="5" t="str">
        <v>B5948HU</v>
      </c>
      <c r="E1124" s="10">
        <v>5250</v>
      </c>
      <c r="F1124" s="3" t="str">
        <v>Iya</v>
      </c>
      <c r="G1124" s="4">
        <v>45915</v>
      </c>
      <c r="H1124" s="10">
        <v>5250</v>
      </c>
    </row>
    <row r="1125" spans="1:8">
      <c r="A1125" s="3">
        <v>1124</v>
      </c>
      <c r="B1125" s="4">
        <v>45923.483090277783</v>
      </c>
      <c r="C1125" s="5" t="str">
        <v>PICK UP TRAGA 2.5 4X2 MT D M/T</v>
      </c>
      <c r="D1125" s="5" t="str">
        <v>B7707TH</v>
      </c>
      <c r="E1125" s="10">
        <v>57960</v>
      </c>
      <c r="F1125" s="3" t="str">
        <v>Iya</v>
      </c>
      <c r="G1125" s="4">
        <v>45912</v>
      </c>
      <c r="H1125" s="10">
        <v>57960</v>
      </c>
    </row>
    <row r="1126" spans="1:8">
      <c r="A1126" s="3">
        <v>1125</v>
      </c>
      <c r="B1126" s="4">
        <v>45923.504004629627</v>
      </c>
      <c r="C1126" s="5" t="str">
        <v>DAIHATSU GRANMAX PU AC PS 1.5 M/T</v>
      </c>
      <c r="D1126" s="5" t="str">
        <v>B9912VG</v>
      </c>
      <c r="E1126" s="10">
        <v>99063</v>
      </c>
      <c r="F1126" s="3" t="str">
        <v>Iya</v>
      </c>
      <c r="G1126" s="4">
        <v>45918</v>
      </c>
      <c r="H1126" s="10">
        <v>99063</v>
      </c>
    </row>
    <row r="1127" spans="1:8">
      <c r="A1127" s="3">
        <v>1126</v>
      </c>
      <c r="B1127" s="4">
        <v>45923.538553240738</v>
      </c>
      <c r="C1127" s="5" t="str">
        <v>DAIHATSU GRANMAX PU AC PS 1.5 M/T</v>
      </c>
      <c r="D1127" s="5" t="str">
        <v>B8589XJW</v>
      </c>
      <c r="E1127" s="10">
        <v>27581</v>
      </c>
      <c r="F1127" s="3" t="str">
        <v>Iya</v>
      </c>
      <c r="G1127" s="4">
        <v>45841</v>
      </c>
      <c r="H1127" s="10">
        <v>27581</v>
      </c>
    </row>
    <row r="1128" spans="1:8">
      <c r="A1128" s="3">
        <v>1127</v>
      </c>
      <c r="B1128" s="4">
        <v>45923.566840277781</v>
      </c>
      <c r="C1128" s="5" t="str">
        <v>DAIHATSU GRANMAX PU AC PS 1.5 M/T</v>
      </c>
      <c r="D1128" s="5" t="str">
        <v>B1190TVJ</v>
      </c>
      <c r="E1128" s="10">
        <v>55398</v>
      </c>
      <c r="F1128" s="3" t="str">
        <v>Iya</v>
      </c>
      <c r="G1128" s="4">
        <v>45833</v>
      </c>
      <c r="H1128" s="10">
        <v>55398</v>
      </c>
    </row>
    <row r="1129" spans="1:8">
      <c r="A1129" s="3">
        <v>1128</v>
      </c>
      <c r="B1129" s="4">
        <v>45923.566921296297</v>
      </c>
      <c r="C1129" s="5" t="str">
        <v>DAIHATSU GRANMAX PU AC PS 1.5 M/T</v>
      </c>
      <c r="D1129" s="5" t="str">
        <v>B6065WA</v>
      </c>
      <c r="E1129" s="10">
        <v>26774</v>
      </c>
      <c r="F1129" s="3" t="str">
        <v>Iya</v>
      </c>
      <c r="G1129" s="4">
        <v>45903</v>
      </c>
      <c r="H1129" s="10">
        <v>26774</v>
      </c>
    </row>
    <row r="1130" spans="1:8">
      <c r="A1130" s="3">
        <v>1129</v>
      </c>
      <c r="B1130" s="4">
        <v>45923.573217592602</v>
      </c>
      <c r="C1130" s="5" t="str">
        <v>PICK UP TRAGA 2.5 4X2 MT D M/T</v>
      </c>
      <c r="D1130" s="5" t="str">
        <v>B3050XRL</v>
      </c>
      <c r="E1130" s="10">
        <v>72625</v>
      </c>
      <c r="F1130" s="3" t="str">
        <v>Iya</v>
      </c>
      <c r="G1130" s="4">
        <v>45912</v>
      </c>
      <c r="H1130" s="10">
        <v>72625</v>
      </c>
    </row>
    <row r="1131" spans="1:8">
      <c r="A1131" s="3">
        <v>1130</v>
      </c>
      <c r="B1131" s="4">
        <v>45923.580775462957</v>
      </c>
      <c r="C1131" s="5" t="str">
        <v>DAIHATSU GRANMAX PU AC PS 1.5 M/T</v>
      </c>
      <c r="D1131" s="5" t="str">
        <v>DD1071FI</v>
      </c>
      <c r="E1131" s="10">
        <v>26625</v>
      </c>
      <c r="F1131" s="3" t="str">
        <v>Iya</v>
      </c>
      <c r="G1131" s="4">
        <v>45911</v>
      </c>
      <c r="H1131" s="10">
        <v>26625</v>
      </c>
    </row>
    <row r="1132" spans="1:8">
      <c r="A1132" s="3">
        <v>1131</v>
      </c>
      <c r="B1132" s="4">
        <v>45923.588148148148</v>
      </c>
      <c r="C1132" s="5" t="str">
        <v>DAIHATSU GRANMAX PU AC PS 1.5 M/T</v>
      </c>
      <c r="D1132" s="5" t="str">
        <v>B3574SAY</v>
      </c>
      <c r="E1132" s="10">
        <v>19505</v>
      </c>
      <c r="F1132" s="3" t="str">
        <v>Iya</v>
      </c>
      <c r="G1132" s="4">
        <v>45861</v>
      </c>
      <c r="H1132" s="10">
        <v>19505</v>
      </c>
    </row>
    <row r="1133" spans="1:8">
      <c r="A1133" s="3">
        <v>1132</v>
      </c>
      <c r="B1133" s="4">
        <v>45923.604560185187</v>
      </c>
      <c r="C1133" s="5" t="str">
        <v>PICK UP TRAGA 2.5 4X2 MT D M/T</v>
      </c>
      <c r="D1133" s="5" t="str">
        <v>B3485RG</v>
      </c>
      <c r="E1133" s="10">
        <v>41303</v>
      </c>
      <c r="F1133" s="3" t="str">
        <v>Iya</v>
      </c>
      <c r="G1133" s="4">
        <v>45880</v>
      </c>
      <c r="H1133" s="10">
        <v>41303</v>
      </c>
    </row>
    <row r="1134" spans="1:8">
      <c r="A1134" s="3">
        <v>1133</v>
      </c>
      <c r="B1134" s="4">
        <v>45923.618738425917</v>
      </c>
      <c r="C1134" s="5" t="str">
        <v>DAIHATSU GRANMAX PU AC PS 1.5 M/T</v>
      </c>
      <c r="D1134" s="5" t="str">
        <v>B1827DA</v>
      </c>
      <c r="E1134" s="10">
        <v>20097</v>
      </c>
      <c r="F1134" s="3" t="str">
        <v>Iya</v>
      </c>
      <c r="G1134" s="4">
        <v>45801</v>
      </c>
      <c r="H1134" s="10">
        <v>20097</v>
      </c>
    </row>
    <row r="1135" spans="1:8">
      <c r="A1135" s="3">
        <v>1134</v>
      </c>
      <c r="B1135" s="4">
        <v>45923.63548611111</v>
      </c>
      <c r="C1135" s="5" t="str">
        <v>DAIHATSU GRANMAX PU AC PS 1.5 M/T</v>
      </c>
      <c r="D1135" s="5" t="str">
        <v>B1693MX</v>
      </c>
      <c r="E1135" s="10">
        <v>54115</v>
      </c>
      <c r="F1135" s="3" t="str">
        <v>Iya</v>
      </c>
      <c r="G1135" s="4">
        <v>45892</v>
      </c>
      <c r="H1135" s="10">
        <v>54115</v>
      </c>
    </row>
    <row r="1136" spans="1:8">
      <c r="A1136" s="3">
        <v>1135</v>
      </c>
      <c r="B1136" s="4">
        <v>45923.639108796298</v>
      </c>
      <c r="C1136" s="5" t="str">
        <v>DAIHATSU GRANMAX PU AC PS 1.5 M/T</v>
      </c>
      <c r="D1136" s="5" t="str">
        <v>B6876VS</v>
      </c>
      <c r="E1136" s="10">
        <v>21395</v>
      </c>
      <c r="F1136" s="3" t="str">
        <v>Iya</v>
      </c>
      <c r="G1136" s="4">
        <v>45887</v>
      </c>
      <c r="H1136" s="10">
        <v>21395</v>
      </c>
    </row>
    <row r="1137" spans="1:8">
      <c r="A1137" s="3">
        <v>1136</v>
      </c>
      <c r="B1137" s="4">
        <v>45923.649201388893</v>
      </c>
      <c r="C1137" s="5" t="str">
        <v>Daihatsu Xenia (Badan)</v>
      </c>
      <c r="D1137" s="5" t="str">
        <v>B6851IH</v>
      </c>
      <c r="E1137" s="10">
        <v>1658</v>
      </c>
      <c r="F1137" s="3" t="str">
        <v>Iya</v>
      </c>
      <c r="G1137" s="4">
        <v>45919</v>
      </c>
      <c r="H1137" s="10">
        <v>1658</v>
      </c>
    </row>
    <row r="1138" spans="1:8">
      <c r="A1138" s="3">
        <v>1137</v>
      </c>
      <c r="B1138" s="4">
        <v>45923.649884259263</v>
      </c>
      <c r="C1138" s="5" t="str">
        <v>DAIHATSU GRANMAX PU AC PS 1.5 M/T</v>
      </c>
      <c r="D1138" s="5" t="str">
        <v>DD1709SU</v>
      </c>
      <c r="E1138" s="10">
        <v>34605</v>
      </c>
      <c r="F1138" s="3" t="str">
        <v>Iya</v>
      </c>
      <c r="G1138" s="4">
        <v>45736</v>
      </c>
      <c r="H1138" s="10">
        <v>34605</v>
      </c>
    </row>
    <row r="1139" spans="1:8">
      <c r="A1139" s="3">
        <v>1138</v>
      </c>
      <c r="B1139" s="4">
        <v>45923.651006944441</v>
      </c>
      <c r="C1139" s="5" t="str">
        <v>DAIHATSU GRANMAX PU AC PS 1.5 M/T</v>
      </c>
      <c r="D1139" s="5" t="str">
        <v>B2639ZDE</v>
      </c>
      <c r="E1139" s="10">
        <v>7274</v>
      </c>
      <c r="F1139" s="3" t="str">
        <v>Iya</v>
      </c>
      <c r="G1139" s="4">
        <v>45916</v>
      </c>
      <c r="H1139" s="10">
        <v>7274</v>
      </c>
    </row>
    <row r="1140" spans="1:8">
      <c r="A1140" s="3">
        <v>1139</v>
      </c>
      <c r="B1140" s="4">
        <v>45923.65388888889</v>
      </c>
      <c r="C1140" s="5" t="str">
        <v>PICK UP TRAGA 2.5 4X2 MT D M/T</v>
      </c>
      <c r="D1140" s="5" t="str">
        <v>B1292DPE</v>
      </c>
      <c r="E1140" s="10">
        <v>4196</v>
      </c>
      <c r="F1140" s="3" t="str">
        <v>Iya</v>
      </c>
      <c r="G1140" s="4">
        <v>45923</v>
      </c>
      <c r="H1140" s="10">
        <v>4196</v>
      </c>
    </row>
    <row r="1141" spans="1:8">
      <c r="A1141" s="3">
        <v>1140</v>
      </c>
      <c r="B1141" s="4">
        <v>45923.685925925929</v>
      </c>
      <c r="C1141" s="5" t="str">
        <v>DAIHATSU GRANMAX PU AC PS 1.5 M/T</v>
      </c>
      <c r="D1141" s="5" t="str">
        <v>B8857PYD</v>
      </c>
      <c r="E1141" s="10">
        <v>4159</v>
      </c>
      <c r="F1141" s="3" t="str">
        <v>Iya</v>
      </c>
      <c r="G1141" s="4">
        <v>45869</v>
      </c>
      <c r="H1141" s="10">
        <v>4159</v>
      </c>
    </row>
    <row r="1142" spans="1:8">
      <c r="A1142" s="3">
        <v>1141</v>
      </c>
      <c r="B1142" s="4">
        <v>45923.690833333327</v>
      </c>
      <c r="C1142" s="5" t="str">
        <v>PICK UP TRAGA 2.5 4X2 MT D M/T</v>
      </c>
      <c r="D1142" s="5" t="str">
        <v>B7983KQ</v>
      </c>
      <c r="E1142" s="10">
        <v>34604</v>
      </c>
      <c r="F1142" s="3" t="str">
        <v>Iya</v>
      </c>
      <c r="G1142" s="4">
        <v>45888</v>
      </c>
      <c r="H1142" s="10">
        <v>34604</v>
      </c>
    </row>
    <row r="1143" spans="1:8">
      <c r="A1143" s="3">
        <v>1142</v>
      </c>
      <c r="B1143" s="4">
        <v>45923.708368055559</v>
      </c>
      <c r="C1143" s="5" t="str">
        <v>PICK UP TRAGA 2.5 4X2 MT D M/T</v>
      </c>
      <c r="D1143" s="5" t="str">
        <v>B8891JP</v>
      </c>
      <c r="E1143" s="10">
        <v>50492</v>
      </c>
      <c r="F1143" s="3" t="str">
        <v>Iya</v>
      </c>
      <c r="G1143" s="4">
        <v>45909</v>
      </c>
      <c r="H1143" s="10">
        <v>50492</v>
      </c>
    </row>
    <row r="1144" spans="1:8">
      <c r="A1144" s="3">
        <v>1143</v>
      </c>
      <c r="B1144" s="4">
        <v>45923.744976851849</v>
      </c>
      <c r="C1144" s="5" t="str">
        <v>DAIHATSU GRANMAX PU AC PS 1.5 M/T</v>
      </c>
      <c r="D1144" s="5" t="str">
        <v>B3545GSF</v>
      </c>
      <c r="E1144" s="10">
        <v>2646</v>
      </c>
      <c r="F1144" s="3" t="str">
        <v>Iya</v>
      </c>
      <c r="G1144" s="4">
        <v>45890</v>
      </c>
      <c r="H1144" s="10">
        <v>2646</v>
      </c>
    </row>
    <row r="1145" spans="1:8">
      <c r="A1145" s="3">
        <v>1144</v>
      </c>
      <c r="B1145" s="4">
        <v>45923.75885416667</v>
      </c>
      <c r="C1145" s="5" t="str">
        <v>DAIHATSU GRANMAX PU AC PS 1.5 M/T</v>
      </c>
      <c r="D1145" s="5" t="str">
        <v>B3144SJ</v>
      </c>
      <c r="E1145" s="10">
        <v>47485</v>
      </c>
      <c r="F1145" s="3" t="str">
        <v>Iya</v>
      </c>
      <c r="G1145" s="4">
        <v>45915</v>
      </c>
      <c r="H1145" s="10">
        <v>47485</v>
      </c>
    </row>
    <row r="1146" spans="1:8">
      <c r="A1146" s="3">
        <v>1145</v>
      </c>
      <c r="B1146" s="4">
        <v>45923.857743055552</v>
      </c>
      <c r="C1146" s="5" t="str">
        <v>DAIHATSU GRANMAX PU AC PS 1.5 M/T</v>
      </c>
      <c r="D1146" s="5" t="str">
        <v>B4034IWU</v>
      </c>
      <c r="E1146" s="10">
        <v>25733</v>
      </c>
      <c r="F1146" s="3" t="str">
        <v>Iya</v>
      </c>
      <c r="G1146" s="4">
        <v>45885</v>
      </c>
      <c r="H1146" s="10">
        <v>25733</v>
      </c>
    </row>
    <row r="1147" spans="1:8">
      <c r="A1147" s="3">
        <v>1146</v>
      </c>
      <c r="B1147" s="4">
        <v>45924.331354166658</v>
      </c>
      <c r="C1147" s="5" t="str">
        <v>DAIHATSU GRANMAX PU AC PS 1.5 M/T</v>
      </c>
      <c r="D1147" s="5" t="str">
        <v>B5572LYP</v>
      </c>
      <c r="E1147" s="10">
        <v>17990</v>
      </c>
      <c r="F1147" s="3" t="str">
        <v>Iya</v>
      </c>
      <c r="G1147" s="4">
        <v>45721</v>
      </c>
      <c r="H1147" s="10">
        <v>17990</v>
      </c>
    </row>
    <row r="1148" spans="1:8">
      <c r="A1148" s="3">
        <v>1147</v>
      </c>
      <c r="B1148" s="4">
        <v>45924.340601851851</v>
      </c>
      <c r="C1148" s="5" t="str">
        <v>PICK UP TRAGA 2.5 4X2 MT D M/T</v>
      </c>
      <c r="D1148" s="5" t="str">
        <v>B7591HAI</v>
      </c>
      <c r="E1148" s="10">
        <v>90432</v>
      </c>
      <c r="F1148" s="3" t="str">
        <v>Iya</v>
      </c>
      <c r="G1148" s="4">
        <v>45874</v>
      </c>
      <c r="H1148" s="10">
        <v>90432</v>
      </c>
    </row>
    <row r="1149" spans="1:8">
      <c r="A1149" s="3">
        <v>1148</v>
      </c>
      <c r="B1149" s="4">
        <v>45924.348379629628</v>
      </c>
      <c r="C1149" s="5" t="str">
        <v>PICK UP TRAGA 2.5 4X2 MT D M/T</v>
      </c>
      <c r="D1149" s="5" t="str">
        <v>B6013WGR</v>
      </c>
      <c r="E1149" s="10">
        <v>36280</v>
      </c>
      <c r="F1149" s="3" t="str">
        <v>Iya</v>
      </c>
      <c r="G1149" s="4">
        <v>45923</v>
      </c>
      <c r="H1149" s="10">
        <v>36280</v>
      </c>
    </row>
    <row r="1150" spans="1:8">
      <c r="A1150" s="3">
        <v>1149</v>
      </c>
      <c r="B1150" s="4">
        <v>45924.355219907397</v>
      </c>
      <c r="C1150" s="5" t="str">
        <v>PICK UP TRAGA 2.5 4X2 MT D M/T</v>
      </c>
      <c r="D1150" s="5" t="str">
        <v>D3684CE</v>
      </c>
      <c r="E1150" s="10">
        <v>79504</v>
      </c>
      <c r="F1150" s="3" t="str">
        <v>Iya</v>
      </c>
      <c r="G1150" s="4">
        <v>45903</v>
      </c>
      <c r="H1150" s="10">
        <v>79504</v>
      </c>
    </row>
    <row r="1151" spans="1:8">
      <c r="A1151" s="3">
        <v>1150</v>
      </c>
      <c r="B1151" s="4">
        <v>45924.367731481478</v>
      </c>
      <c r="C1151" s="5" t="str">
        <v>PICK UP TRAGA 2.5 4X2 MT D M/T</v>
      </c>
      <c r="D1151" s="5" t="str">
        <v>B3111BU</v>
      </c>
      <c r="E1151" s="10">
        <v>59477</v>
      </c>
      <c r="F1151" s="3" t="str">
        <v>Iya</v>
      </c>
      <c r="G1151" s="4">
        <v>45830</v>
      </c>
      <c r="H1151" s="10">
        <v>59477</v>
      </c>
    </row>
    <row r="1152" spans="1:8">
      <c r="A1152" s="3">
        <v>1151</v>
      </c>
      <c r="B1152" s="4">
        <v>45924.373391203713</v>
      </c>
      <c r="C1152" s="5" t="str">
        <v>DAIHATSU GRANMAX PU AC PS 1.5 M/T</v>
      </c>
      <c r="D1152" s="5" t="str">
        <v>B4036RJ</v>
      </c>
      <c r="E1152" s="10">
        <v>6353</v>
      </c>
      <c r="F1152" s="3" t="str">
        <v>Iya</v>
      </c>
      <c r="G1152" s="4">
        <v>45871</v>
      </c>
      <c r="H1152" s="10">
        <v>6353</v>
      </c>
    </row>
    <row r="1153" spans="1:8">
      <c r="A1153" s="3">
        <v>1152</v>
      </c>
      <c r="B1153" s="4">
        <v>45924.378576388888</v>
      </c>
      <c r="C1153" s="5" t="str">
        <v>DAIHATSU GRANMAX PU AC PS 1.5 M/T</v>
      </c>
      <c r="D1153" s="5" t="str">
        <v>B6483WV</v>
      </c>
      <c r="E1153" s="10">
        <v>3821</v>
      </c>
      <c r="F1153" s="3" t="str">
        <v>Iya</v>
      </c>
      <c r="G1153" s="4">
        <v>45923</v>
      </c>
      <c r="H1153" s="10">
        <v>3821</v>
      </c>
    </row>
    <row r="1154" spans="1:8">
      <c r="A1154" s="3">
        <v>1153</v>
      </c>
      <c r="B1154" s="4">
        <v>45924.380428240736</v>
      </c>
      <c r="C1154" s="5" t="str">
        <v>PICK UP TRAGA 2.5 4X2 MT D M/T</v>
      </c>
      <c r="D1154" s="5" t="str">
        <v>B1075RA</v>
      </c>
      <c r="E1154" s="10">
        <v>49551</v>
      </c>
      <c r="F1154" s="3" t="str">
        <v>Iya</v>
      </c>
      <c r="G1154" s="4">
        <v>45933</v>
      </c>
      <c r="H1154" s="10">
        <v>49551</v>
      </c>
    </row>
    <row r="1155" spans="1:8">
      <c r="A1155" s="3">
        <v>1154</v>
      </c>
      <c r="B1155" s="4">
        <v>45924.39403935185</v>
      </c>
      <c r="C1155" s="5" t="str">
        <v>Daihatsu Xenia (Badan)</v>
      </c>
      <c r="D1155" s="5" t="str">
        <v>B6817ZM</v>
      </c>
      <c r="E1155" s="10">
        <v>7091</v>
      </c>
      <c r="F1155" s="3" t="str">
        <v>Iya</v>
      </c>
      <c r="G1155" s="4">
        <v>45839</v>
      </c>
      <c r="H1155" s="10">
        <v>7091</v>
      </c>
    </row>
    <row r="1156" spans="1:8">
      <c r="A1156" s="3">
        <v>1155</v>
      </c>
      <c r="B1156" s="4">
        <v>45924.39640046296</v>
      </c>
      <c r="C1156" s="5" t="str">
        <v>PICK UP TRAGA 2.5 4X2 MT D M/T</v>
      </c>
      <c r="D1156" s="5" t="str">
        <v>DD5533EI</v>
      </c>
      <c r="E1156" s="10">
        <v>97974</v>
      </c>
      <c r="F1156" s="3" t="str">
        <v>Iya</v>
      </c>
      <c r="G1156" s="4">
        <v>45912</v>
      </c>
      <c r="H1156" s="10">
        <v>97974</v>
      </c>
    </row>
    <row r="1157" spans="1:8">
      <c r="A1157" s="3">
        <v>1156</v>
      </c>
      <c r="B1157" s="4">
        <v>45924.412361111114</v>
      </c>
      <c r="C1157" s="5" t="str">
        <v>PICK UP TRAGA 2.5 4X2 MT D M/T</v>
      </c>
      <c r="D1157" s="5" t="str">
        <v>D2702MC</v>
      </c>
      <c r="E1157" s="10">
        <v>33485</v>
      </c>
      <c r="F1157" s="3" t="str">
        <v>Iya</v>
      </c>
      <c r="G1157" s="4">
        <v>45901</v>
      </c>
      <c r="H1157" s="10">
        <v>33485</v>
      </c>
    </row>
    <row r="1158" spans="1:8">
      <c r="A1158" s="3">
        <v>1157</v>
      </c>
      <c r="B1158" s="4">
        <v>45924.414351851847</v>
      </c>
      <c r="C1158" s="5" t="str">
        <v>PICK UP TRAGA 2.5 4X2 MT D M/T</v>
      </c>
      <c r="D1158" s="5" t="str">
        <v>H8789UP</v>
      </c>
      <c r="E1158" s="10">
        <v>32199</v>
      </c>
      <c r="F1158" s="3" t="str">
        <v>Iya</v>
      </c>
      <c r="G1158" s="4">
        <v>45910</v>
      </c>
      <c r="H1158" s="10">
        <v>32199</v>
      </c>
    </row>
    <row r="1159" spans="1:8">
      <c r="A1159" s="3">
        <v>1158</v>
      </c>
      <c r="B1159" s="4">
        <v>45924.426076388889</v>
      </c>
      <c r="C1159" s="5" t="str">
        <v>DAIHATSU GRANMAX PU AC PS 1.5 M/T</v>
      </c>
      <c r="D1159" s="5" t="str">
        <v>B6871DFH</v>
      </c>
      <c r="E1159" s="10">
        <v>9846</v>
      </c>
      <c r="F1159" s="3" t="str">
        <v>Iya</v>
      </c>
      <c r="G1159" s="4">
        <v>45923</v>
      </c>
      <c r="H1159" s="10">
        <v>9846</v>
      </c>
    </row>
    <row r="1160" spans="1:8">
      <c r="A1160" s="3">
        <v>1159</v>
      </c>
      <c r="B1160" s="4">
        <v>45924.42659722222</v>
      </c>
      <c r="C1160" s="5" t="str">
        <v>PICK UP TRAGA 2.5 4X2 MT D M/T</v>
      </c>
      <c r="D1160" s="5" t="str">
        <v>B3164QC</v>
      </c>
      <c r="E1160" s="10">
        <v>51388</v>
      </c>
      <c r="F1160" s="3" t="str">
        <v>Iya</v>
      </c>
      <c r="G1160" s="4">
        <v>45849</v>
      </c>
      <c r="H1160" s="10">
        <v>51388</v>
      </c>
    </row>
    <row r="1161" spans="1:8">
      <c r="A1161" s="3">
        <v>1160</v>
      </c>
      <c r="B1161" s="4">
        <v>45924.470277777778</v>
      </c>
      <c r="C1161" s="5" t="str">
        <v>DAIHATSU GRANMAX PU AC PS 1.5 M/T</v>
      </c>
      <c r="D1161" s="5" t="str">
        <v>B6806LA</v>
      </c>
      <c r="E1161" s="10">
        <v>10635</v>
      </c>
      <c r="F1161" s="3" t="str">
        <v>Iya</v>
      </c>
      <c r="G1161" s="4">
        <v>45923</v>
      </c>
      <c r="H1161" s="10">
        <v>10635</v>
      </c>
    </row>
    <row r="1162" spans="1:8">
      <c r="A1162" s="3">
        <v>1161</v>
      </c>
      <c r="B1162" s="4">
        <v>45924.495694444442</v>
      </c>
      <c r="C1162" s="5" t="str">
        <v>PICK UP TRAGA 2.5 4X2 MT D M/T</v>
      </c>
      <c r="D1162" s="5" t="str">
        <v>B6987KLG</v>
      </c>
      <c r="E1162" s="10">
        <v>39949</v>
      </c>
      <c r="F1162" s="3" t="str">
        <v>Iya</v>
      </c>
      <c r="G1162" s="4">
        <v>45910</v>
      </c>
      <c r="H1162" s="10">
        <v>39949</v>
      </c>
    </row>
    <row r="1163" spans="1:8">
      <c r="A1163" s="3">
        <v>1162</v>
      </c>
      <c r="B1163" s="4">
        <v>45924.503564814811</v>
      </c>
      <c r="C1163" s="5" t="str">
        <v>DAIHATSU GRANMAX PU AC PS 1.5 M/T</v>
      </c>
      <c r="D1163" s="5" t="str">
        <v>B1578YGJ</v>
      </c>
      <c r="E1163" s="10">
        <v>520</v>
      </c>
      <c r="F1163" s="3" t="str">
        <v>Iya</v>
      </c>
      <c r="G1163" s="4">
        <v>45911</v>
      </c>
      <c r="H1163" s="10">
        <v>520</v>
      </c>
    </row>
    <row r="1164" spans="1:8">
      <c r="A1164" s="3">
        <v>1163</v>
      </c>
      <c r="B1164" s="4">
        <v>45924.51116898148</v>
      </c>
      <c r="C1164" s="5" t="str">
        <v>DAIHATSU GRANMAX PU AC PS 1.5 M/T</v>
      </c>
      <c r="D1164" s="5" t="str">
        <v>B6551IKH</v>
      </c>
      <c r="E1164" s="10">
        <v>29089</v>
      </c>
      <c r="F1164" s="3" t="str">
        <v>Iya</v>
      </c>
      <c r="G1164" s="4">
        <v>45831</v>
      </c>
      <c r="H1164" s="10">
        <v>29089</v>
      </c>
    </row>
    <row r="1165" spans="1:8">
      <c r="A1165" s="3">
        <v>1164</v>
      </c>
      <c r="B1165" s="4">
        <v>45924.521273148152</v>
      </c>
      <c r="C1165" s="5" t="str">
        <v>DAIHATSU GRANMAX PU AC PS 1.5 M/T</v>
      </c>
      <c r="D1165" s="5" t="str">
        <v>B7991VB</v>
      </c>
      <c r="E1165" s="10">
        <v>15842</v>
      </c>
      <c r="F1165" s="3" t="str">
        <v>Iya</v>
      </c>
      <c r="G1165" s="4">
        <v>45918</v>
      </c>
      <c r="H1165" s="10">
        <v>15842</v>
      </c>
    </row>
    <row r="1166" spans="1:8">
      <c r="A1166" s="3">
        <v>1165</v>
      </c>
      <c r="B1166" s="4">
        <v>45924.551030092603</v>
      </c>
      <c r="C1166" s="5" t="str">
        <v>DAIHATSU GRANMAX PU AC PS 1.5 M/T</v>
      </c>
      <c r="D1166" s="5" t="str">
        <v>B9409VZ</v>
      </c>
      <c r="E1166" s="10">
        <v>20507</v>
      </c>
      <c r="F1166" s="3" t="str">
        <v>Iya</v>
      </c>
      <c r="G1166" s="4">
        <v>45903</v>
      </c>
      <c r="H1166" s="10">
        <v>20507</v>
      </c>
    </row>
    <row r="1167" spans="1:8">
      <c r="A1167" s="3">
        <v>1166</v>
      </c>
      <c r="B1167" s="4">
        <v>45924.555625000001</v>
      </c>
      <c r="C1167" s="5" t="str">
        <v>DAIHATSU GRANMAX PU AC PS 1.5 M/T</v>
      </c>
      <c r="D1167" s="5" t="str">
        <v>KB7221ZEE</v>
      </c>
      <c r="E1167" s="10">
        <v>57693</v>
      </c>
      <c r="F1167" s="3" t="str">
        <v>Iya</v>
      </c>
      <c r="G1167" s="4">
        <v>45825</v>
      </c>
      <c r="H1167" s="10">
        <v>57693</v>
      </c>
    </row>
    <row r="1168" spans="1:8">
      <c r="A1168" s="3">
        <v>1167</v>
      </c>
      <c r="B1168" s="4">
        <v>45924.637986111113</v>
      </c>
      <c r="C1168" s="5" t="str">
        <v>Daihatsu Xenia (Badan)</v>
      </c>
      <c r="D1168" s="5" t="str">
        <v>B2888ALH</v>
      </c>
      <c r="E1168" s="10">
        <v>104683</v>
      </c>
      <c r="F1168" s="3" t="str">
        <v>Iya</v>
      </c>
      <c r="G1168" s="4">
        <v>45761</v>
      </c>
      <c r="H1168" s="10">
        <v>104683</v>
      </c>
    </row>
    <row r="1169" spans="1:8">
      <c r="A1169" s="3">
        <v>1168</v>
      </c>
      <c r="B1169" s="4">
        <v>45924.656099537038</v>
      </c>
      <c r="C1169" s="5" t="str">
        <v>PICK UP TRAGA 2.5 4X2 MT D M/T</v>
      </c>
      <c r="D1169" s="5" t="str">
        <v>B9936AP</v>
      </c>
      <c r="E1169" s="10">
        <v>45321</v>
      </c>
      <c r="F1169" s="3" t="str">
        <v>Iya</v>
      </c>
      <c r="G1169" s="4">
        <v>45819</v>
      </c>
      <c r="H1169" s="10">
        <v>45321</v>
      </c>
    </row>
    <row r="1170" spans="1:8">
      <c r="A1170" s="3">
        <v>1169</v>
      </c>
      <c r="B1170" s="4">
        <v>45924.665636574071</v>
      </c>
      <c r="C1170" s="5" t="str">
        <v>PICK UP TRAGA 2.5 4X2 MT D M/T</v>
      </c>
      <c r="D1170" s="5" t="str">
        <v>B8659VBE</v>
      </c>
      <c r="E1170" s="10">
        <v>68951</v>
      </c>
      <c r="F1170" s="3" t="str">
        <v>Iya</v>
      </c>
      <c r="G1170" s="4">
        <v>45828</v>
      </c>
      <c r="H1170" s="10">
        <v>68951</v>
      </c>
    </row>
    <row r="1171" spans="1:8">
      <c r="A1171" s="3">
        <v>1170</v>
      </c>
      <c r="B1171" s="4">
        <v>45924.670891203707</v>
      </c>
      <c r="C1171" s="5" t="str">
        <v>DAIHATSU GRANMAX PU AC PS 1.5 M/T</v>
      </c>
      <c r="D1171" s="5" t="str">
        <v>B6236MZW</v>
      </c>
      <c r="E1171" s="10">
        <v>37423</v>
      </c>
      <c r="F1171" s="3" t="str">
        <v>Iya</v>
      </c>
      <c r="G1171" s="4">
        <v>45888</v>
      </c>
      <c r="H1171" s="10">
        <v>37423</v>
      </c>
    </row>
    <row r="1172" spans="1:8">
      <c r="A1172" s="3">
        <v>1171</v>
      </c>
      <c r="B1172" s="4">
        <v>45924.682974537027</v>
      </c>
      <c r="C1172" s="5" t="str">
        <v>PICK UP TRAGA 2.5 4X2 MT D M/T</v>
      </c>
      <c r="D1172" s="5" t="str">
        <v>B1419NV</v>
      </c>
      <c r="E1172" s="10">
        <v>106069</v>
      </c>
      <c r="F1172" s="3" t="str">
        <v>Iya</v>
      </c>
      <c r="G1172" s="4">
        <v>45918</v>
      </c>
      <c r="H1172" s="10">
        <v>106069</v>
      </c>
    </row>
    <row r="1173" spans="1:8">
      <c r="A1173" s="3">
        <v>1172</v>
      </c>
      <c r="B1173" s="4">
        <v>45924.689201388886</v>
      </c>
      <c r="C1173" s="5" t="str">
        <v>DAIHATSU GRANMAX PU AC PS 1.5 M/T</v>
      </c>
      <c r="D1173" s="5" t="str">
        <v>B8753SMF</v>
      </c>
      <c r="E1173" s="10">
        <v>44684</v>
      </c>
      <c r="F1173" s="3" t="str">
        <v>Iya</v>
      </c>
      <c r="G1173" s="4">
        <v>45912</v>
      </c>
      <c r="H1173" s="10">
        <v>44684</v>
      </c>
    </row>
    <row r="1174" spans="1:8">
      <c r="A1174" s="3">
        <v>1173</v>
      </c>
      <c r="B1174" s="4">
        <v>45924.714155092603</v>
      </c>
      <c r="C1174" s="5" t="str">
        <v>DAIHATSU GRANMAX PU AC PS 1.5 M/T</v>
      </c>
      <c r="D1174" s="5" t="str">
        <v>B7162IV</v>
      </c>
      <c r="E1174" s="10">
        <v>9076</v>
      </c>
      <c r="F1174" s="3" t="str">
        <v>Iya</v>
      </c>
      <c r="G1174" s="4">
        <v>45915</v>
      </c>
      <c r="H1174" s="10">
        <v>9076</v>
      </c>
    </row>
    <row r="1175" spans="1:8">
      <c r="A1175" s="3">
        <v>1174</v>
      </c>
      <c r="B1175" s="4">
        <v>45924.721585648149</v>
      </c>
      <c r="C1175" s="5" t="str">
        <v>DAIHATSU GRANMAX PU AC PS 1.5 M/T</v>
      </c>
      <c r="D1175" s="5" t="str">
        <v>B1960LKY</v>
      </c>
      <c r="E1175" s="10">
        <v>45470</v>
      </c>
      <c r="F1175" s="3" t="str">
        <v>Iya</v>
      </c>
      <c r="G1175" s="4">
        <v>45762</v>
      </c>
      <c r="H1175" s="10">
        <v>45470</v>
      </c>
    </row>
    <row r="1176" spans="1:8">
      <c r="A1176" s="3">
        <v>1175</v>
      </c>
      <c r="B1176" s="4">
        <v>45924.725671296299</v>
      </c>
      <c r="C1176" s="5" t="str">
        <v>DAIHATSU GRANMAX PU AC PS 1.5 M/T</v>
      </c>
      <c r="D1176" s="5" t="str">
        <v>B7713QE</v>
      </c>
      <c r="E1176" s="10">
        <v>23695</v>
      </c>
      <c r="F1176" s="3" t="str">
        <v>Iya</v>
      </c>
      <c r="G1176" s="4">
        <v>45875</v>
      </c>
      <c r="H1176" s="10">
        <v>23695</v>
      </c>
    </row>
    <row r="1177" spans="1:8">
      <c r="A1177" s="3">
        <v>1176</v>
      </c>
      <c r="B1177" s="4">
        <v>45924.751180555562</v>
      </c>
      <c r="C1177" s="5" t="str">
        <v>PICK UP TRAGA 2.5 4X2 MT D M/T</v>
      </c>
      <c r="D1177" s="5" t="str">
        <v>B6986NB</v>
      </c>
      <c r="E1177" s="10">
        <v>39890</v>
      </c>
      <c r="F1177" s="3" t="str">
        <v>Iya</v>
      </c>
      <c r="G1177" s="4">
        <v>45924</v>
      </c>
      <c r="H1177" s="10">
        <v>39890</v>
      </c>
    </row>
    <row r="1178" spans="1:8">
      <c r="A1178" s="3">
        <v>1177</v>
      </c>
      <c r="B1178" s="4">
        <v>45924.841585648152</v>
      </c>
      <c r="C1178" s="5" t="str">
        <v>PICK UP TRAGA 2.5 4X2 MT D M/T</v>
      </c>
      <c r="D1178" s="5" t="str">
        <v>B3079BPJ</v>
      </c>
      <c r="E1178" s="10">
        <v>43296</v>
      </c>
      <c r="F1178" s="3" t="str">
        <v>Iya</v>
      </c>
      <c r="G1178" s="4">
        <v>45889</v>
      </c>
      <c r="H1178" s="10">
        <v>43296</v>
      </c>
    </row>
    <row r="1179" spans="1:8">
      <c r="A1179" s="3">
        <v>1178</v>
      </c>
      <c r="B1179" s="4">
        <v>45925.35434027778</v>
      </c>
      <c r="C1179" s="5" t="str">
        <v>DAIHATSU GRANMAX PU AC PS 1.5 M/T</v>
      </c>
      <c r="D1179" s="5" t="str">
        <v>B5750IQ</v>
      </c>
      <c r="E1179" s="10">
        <v>50376</v>
      </c>
      <c r="F1179" s="3" t="str">
        <v>Iya</v>
      </c>
      <c r="G1179" s="4">
        <v>45903</v>
      </c>
      <c r="H1179" s="10">
        <v>50376</v>
      </c>
    </row>
    <row r="1180" spans="1:8">
      <c r="A1180" s="3">
        <v>1179</v>
      </c>
      <c r="B1180" s="4">
        <v>45925.358819444453</v>
      </c>
      <c r="C1180" s="5" t="str">
        <v>DAIHATSU GRANMAX PU AC PS 1.5 M/T</v>
      </c>
      <c r="D1180" s="5" t="str">
        <v>B3561NJ</v>
      </c>
      <c r="E1180" s="10">
        <v>18441</v>
      </c>
      <c r="F1180" s="3" t="str">
        <v>Iya</v>
      </c>
      <c r="G1180" s="4">
        <v>45805</v>
      </c>
      <c r="H1180" s="10">
        <v>18441</v>
      </c>
    </row>
    <row r="1181" spans="1:8">
      <c r="A1181" s="3">
        <v>1180</v>
      </c>
      <c r="B1181" s="4">
        <v>45925.359247685177</v>
      </c>
      <c r="C1181" s="5" t="str">
        <v>PICK UP TRAGA 2.5 4X2 MT D M/T</v>
      </c>
      <c r="D1181" s="5" t="str">
        <v>B6905PX</v>
      </c>
      <c r="E1181" s="10">
        <v>3373</v>
      </c>
      <c r="F1181" s="3" t="str">
        <v>Iya</v>
      </c>
      <c r="G1181" s="4">
        <v>45849</v>
      </c>
      <c r="H1181" s="10">
        <v>3373</v>
      </c>
    </row>
    <row r="1182" spans="1:8">
      <c r="A1182" s="3">
        <v>1181</v>
      </c>
      <c r="B1182" s="4">
        <v>45925.429340277777</v>
      </c>
      <c r="C1182" s="5" t="str">
        <v>PICK UP TRAGA 2.5 4X2 MT D M/T</v>
      </c>
      <c r="D1182" s="5" t="str">
        <v>B3881AG</v>
      </c>
      <c r="E1182" s="10">
        <v>69274</v>
      </c>
      <c r="F1182" s="3" t="str">
        <v>Iya</v>
      </c>
      <c r="G1182" s="4">
        <v>45911</v>
      </c>
      <c r="H1182" s="10">
        <v>69274</v>
      </c>
    </row>
    <row r="1183" spans="1:8">
      <c r="A1183" s="3">
        <v>1182</v>
      </c>
      <c r="B1183" s="4">
        <v>45925.458657407413</v>
      </c>
      <c r="C1183" s="5" t="str">
        <v>DAIHATSU GRANMAX PU AC PS 1.5 M/T</v>
      </c>
      <c r="D1183" s="5" t="str">
        <v>B5472JN</v>
      </c>
      <c r="E1183" s="10">
        <v>53782</v>
      </c>
      <c r="F1183" s="3" t="str">
        <v>Iya</v>
      </c>
      <c r="G1183" s="4">
        <v>45794</v>
      </c>
      <c r="H1183" s="10">
        <v>53782</v>
      </c>
    </row>
    <row r="1184" spans="1:8">
      <c r="A1184" s="3">
        <v>1183</v>
      </c>
      <c r="B1184" s="4">
        <v>45925.528043981481</v>
      </c>
      <c r="C1184" s="5" t="str">
        <v>PICK UP TRAGA 2.5 4X2 MT D M/T</v>
      </c>
      <c r="D1184" s="5" t="str">
        <v>B6874UZA</v>
      </c>
      <c r="E1184" s="10">
        <v>53144</v>
      </c>
      <c r="F1184" s="3" t="str">
        <v>Iya</v>
      </c>
      <c r="G1184" s="4">
        <v>45924</v>
      </c>
      <c r="H1184" s="10">
        <v>53144</v>
      </c>
    </row>
    <row r="1185" spans="1:8">
      <c r="A1185" s="3">
        <v>1184</v>
      </c>
      <c r="B1185" s="4">
        <v>45925.591643518521</v>
      </c>
      <c r="C1185" s="5" t="str">
        <v>DAIHATSU GRANMAX PU AC PS 1.5 M/T</v>
      </c>
      <c r="D1185" s="5" t="str">
        <v>B8144GH</v>
      </c>
      <c r="E1185" s="10">
        <v>8127</v>
      </c>
      <c r="F1185" s="3" t="str">
        <v>Iya</v>
      </c>
      <c r="G1185" s="4">
        <v>45867</v>
      </c>
      <c r="H1185" s="10">
        <v>8127</v>
      </c>
    </row>
    <row r="1186" spans="1:8">
      <c r="A1186" s="3">
        <v>1185</v>
      </c>
      <c r="B1186" s="4">
        <v>45925.597638888888</v>
      </c>
      <c r="C1186" s="5" t="str">
        <v>PICK UP TRAGA 2.5 4X2 MT D M/T</v>
      </c>
      <c r="D1186" s="5" t="str">
        <v>B2784YG</v>
      </c>
      <c r="E1186" s="10">
        <v>84672</v>
      </c>
      <c r="F1186" s="3" t="str">
        <v>Iya</v>
      </c>
      <c r="G1186" s="4">
        <v>45877</v>
      </c>
      <c r="H1186" s="10">
        <v>84672</v>
      </c>
    </row>
    <row r="1187" spans="1:8">
      <c r="A1187" s="3">
        <v>1186</v>
      </c>
      <c r="B1187" s="4">
        <v>45925.622337962966</v>
      </c>
      <c r="C1187" s="5" t="str">
        <v>PICK UP TRAGA 2.5 4X2 MT D M/T</v>
      </c>
      <c r="D1187" s="5" t="str">
        <v>KT2370AGQ</v>
      </c>
      <c r="E1187" s="10">
        <v>21694</v>
      </c>
      <c r="F1187" s="3" t="str">
        <v>Iya</v>
      </c>
      <c r="G1187" s="4">
        <v>45889</v>
      </c>
      <c r="H1187" s="10">
        <v>21694</v>
      </c>
    </row>
    <row r="1188" spans="1:8">
      <c r="A1188" s="3">
        <v>1187</v>
      </c>
      <c r="B1188" s="4">
        <v>45925.626226851848</v>
      </c>
      <c r="C1188" s="5" t="str">
        <v>PICK UP TRAGA 2.5 4X2 MT D M/T</v>
      </c>
      <c r="D1188" s="5" t="str">
        <v>B1884ZSB</v>
      </c>
      <c r="E1188" s="10">
        <v>48942</v>
      </c>
      <c r="F1188" s="3" t="str">
        <v>Iya</v>
      </c>
      <c r="G1188" s="4">
        <v>45922</v>
      </c>
      <c r="H1188" s="10">
        <v>48942</v>
      </c>
    </row>
    <row r="1189" spans="1:8">
      <c r="A1189" s="3">
        <v>1188</v>
      </c>
      <c r="B1189" s="4">
        <v>45925.6328587963</v>
      </c>
      <c r="C1189" s="5" t="str">
        <v>DAIHATSU GRANMAX PU AC PS 1.5 M/T</v>
      </c>
      <c r="D1189" s="5" t="str">
        <v>B1455JPZ</v>
      </c>
      <c r="E1189" s="10">
        <v>8276</v>
      </c>
      <c r="F1189" s="3" t="str">
        <v>Iya</v>
      </c>
      <c r="G1189" s="4">
        <v>45895</v>
      </c>
      <c r="H1189" s="10">
        <v>8276</v>
      </c>
    </row>
    <row r="1190" spans="1:8">
      <c r="A1190" s="3">
        <v>1189</v>
      </c>
      <c r="B1190" s="4">
        <v>45925.634351851862</v>
      </c>
      <c r="C1190" s="5" t="str">
        <v>PICK UP TRAGA 2.5 4X2 MT D M/T</v>
      </c>
      <c r="D1190" s="5" t="str">
        <v>B2514HCV</v>
      </c>
      <c r="E1190" s="10">
        <v>9078</v>
      </c>
      <c r="F1190" s="3" t="str">
        <v>Iya</v>
      </c>
      <c r="G1190" s="4">
        <v>45840</v>
      </c>
      <c r="H1190" s="10">
        <v>9078</v>
      </c>
    </row>
    <row r="1191" spans="1:8">
      <c r="A1191" s="3">
        <v>1190</v>
      </c>
      <c r="B1191" s="4">
        <v>45925.637141203697</v>
      </c>
      <c r="C1191" s="5" t="str">
        <v>DAIHATSU GRANMAX PU AC PS 1.5 M/T</v>
      </c>
      <c r="D1191" s="5" t="str">
        <v>B7351RH</v>
      </c>
      <c r="E1191" s="10">
        <v>56483</v>
      </c>
      <c r="F1191" s="3" t="str">
        <v>Iya</v>
      </c>
      <c r="G1191" s="4">
        <v>45885</v>
      </c>
      <c r="H1191" s="10">
        <v>56483</v>
      </c>
    </row>
    <row r="1192" spans="1:8">
      <c r="A1192" s="3">
        <v>1191</v>
      </c>
      <c r="B1192" s="4">
        <v>45925.639513888891</v>
      </c>
      <c r="C1192" s="5" t="str">
        <v>PICK UP TRAGA 2.5 4X2 MT D M/T</v>
      </c>
      <c r="D1192" s="5" t="str">
        <v>AB4770WL</v>
      </c>
      <c r="E1192" s="10">
        <v>44179</v>
      </c>
      <c r="F1192" s="3" t="str">
        <v>Iya</v>
      </c>
      <c r="G1192" s="4">
        <v>45881</v>
      </c>
      <c r="H1192" s="10">
        <v>44179</v>
      </c>
    </row>
    <row r="1193" spans="1:8">
      <c r="A1193" s="3">
        <v>1192</v>
      </c>
      <c r="B1193" s="4">
        <v>45925.71837962963</v>
      </c>
      <c r="C1193" s="5" t="str">
        <v>Daihatsu Xenia (Badan)</v>
      </c>
      <c r="D1193" s="5" t="str">
        <v>B2503BE</v>
      </c>
      <c r="E1193" s="10">
        <v>67174</v>
      </c>
      <c r="F1193" s="3" t="str">
        <v>Iya</v>
      </c>
      <c r="G1193" s="4">
        <v>45875</v>
      </c>
      <c r="H1193" s="10">
        <v>67174</v>
      </c>
    </row>
    <row r="1194" spans="1:8">
      <c r="A1194" s="3">
        <v>1193</v>
      </c>
      <c r="B1194" s="4">
        <v>45925.734861111108</v>
      </c>
      <c r="C1194" s="5" t="str">
        <v>DAIHATSU GRANMAX PU AC PS 1.5 M/T</v>
      </c>
      <c r="D1194" s="5" t="str">
        <v>B9274GSS</v>
      </c>
      <c r="E1194" s="10">
        <v>37052</v>
      </c>
      <c r="F1194" s="3" t="str">
        <v>Iya</v>
      </c>
      <c r="G1194" s="4">
        <v>45820</v>
      </c>
      <c r="H1194" s="10">
        <v>37052</v>
      </c>
    </row>
    <row r="1195" spans="1:8">
      <c r="A1195" s="3">
        <v>1194</v>
      </c>
      <c r="B1195" s="4">
        <v>45925.740312499998</v>
      </c>
      <c r="C1195" s="5" t="str">
        <v>PICK UP TRAGA 2.5 4X2 MT D M/T</v>
      </c>
      <c r="D1195" s="5" t="str">
        <v>B6816FH</v>
      </c>
      <c r="E1195" s="10">
        <v>45947</v>
      </c>
      <c r="F1195" s="3" t="str">
        <v>Iya</v>
      </c>
      <c r="G1195" s="4">
        <v>45919</v>
      </c>
      <c r="H1195" s="10">
        <v>45947</v>
      </c>
    </row>
    <row r="1196" spans="1:8">
      <c r="A1196" s="3">
        <v>1195</v>
      </c>
      <c r="B1196" s="4">
        <v>45925.763379629629</v>
      </c>
      <c r="C1196" s="5" t="str">
        <v>Daihatsu Xenia (Badan)</v>
      </c>
      <c r="D1196" s="5" t="str">
        <v>B5062PCK</v>
      </c>
      <c r="E1196" s="10">
        <v>93650</v>
      </c>
      <c r="F1196" s="3" t="str">
        <v>Iya</v>
      </c>
      <c r="G1196" s="4">
        <v>45841</v>
      </c>
      <c r="H1196" s="10">
        <v>93650</v>
      </c>
    </row>
    <row r="1197" spans="1:8">
      <c r="A1197" s="3">
        <v>1196</v>
      </c>
      <c r="B1197" s="4">
        <v>45925.842013888891</v>
      </c>
      <c r="C1197" s="5" t="str">
        <v>DAIHATSU GRANMAX PU AC PS 1.5 M/T</v>
      </c>
      <c r="D1197" s="5" t="str">
        <v>B8269XJ</v>
      </c>
      <c r="E1197" s="10">
        <v>26493</v>
      </c>
      <c r="F1197" s="3" t="str">
        <v>Iya</v>
      </c>
      <c r="G1197" s="4">
        <v>45924</v>
      </c>
      <c r="H1197" s="10">
        <v>26493</v>
      </c>
    </row>
    <row r="1198" spans="1:8">
      <c r="A1198" s="3">
        <v>1197</v>
      </c>
      <c r="B1198" s="4">
        <v>45926.368125000001</v>
      </c>
      <c r="C1198" s="5" t="str">
        <v>PICK UP TRAGA 2.5 4X2 MT D M/T</v>
      </c>
      <c r="D1198" s="5" t="str">
        <v>B4985JZY</v>
      </c>
      <c r="E1198" s="10">
        <v>31242</v>
      </c>
      <c r="F1198" s="3" t="str">
        <v>Iya</v>
      </c>
      <c r="G1198" s="4">
        <v>45797</v>
      </c>
      <c r="H1198" s="10">
        <v>31242</v>
      </c>
    </row>
    <row r="1199" spans="1:8">
      <c r="A1199" s="3">
        <v>1198</v>
      </c>
      <c r="B1199" s="4">
        <v>45926.390462962961</v>
      </c>
      <c r="C1199" s="5" t="str">
        <v>DAIHATSU GRANMAX PU AC PS 1.5 M/T</v>
      </c>
      <c r="D1199" s="5" t="str">
        <v>B9587WL</v>
      </c>
      <c r="E1199" s="10">
        <v>2695</v>
      </c>
      <c r="F1199" s="3" t="str">
        <v>Iya</v>
      </c>
      <c r="G1199" s="4">
        <v>45909</v>
      </c>
      <c r="H1199" s="10">
        <v>2695</v>
      </c>
    </row>
    <row r="1200" spans="1:8">
      <c r="A1200" s="3">
        <v>1199</v>
      </c>
      <c r="B1200" s="4">
        <v>45926.413622685177</v>
      </c>
      <c r="C1200" s="5" t="str">
        <v>DAIHATSU GRANMAX PU AC PS 1.5 M/T</v>
      </c>
      <c r="D1200" s="5" t="str">
        <v>KT8120IVX</v>
      </c>
      <c r="E1200" s="10">
        <v>6684</v>
      </c>
      <c r="F1200" s="3" t="str">
        <v>Iya</v>
      </c>
      <c r="G1200" s="4">
        <v>45926</v>
      </c>
      <c r="H1200" s="10">
        <v>6684</v>
      </c>
    </row>
    <row r="1201" spans="1:8">
      <c r="A1201" s="3">
        <v>1200</v>
      </c>
      <c r="B1201" s="4">
        <v>45926.418368055558</v>
      </c>
      <c r="C1201" s="5" t="str">
        <v>DAIHATSU GRANMAX PU AC PS 1.5 M/T</v>
      </c>
      <c r="D1201" s="5" t="str">
        <v>B2772EK</v>
      </c>
      <c r="E1201" s="10">
        <v>13440</v>
      </c>
      <c r="F1201" s="3" t="str">
        <v>Iya</v>
      </c>
      <c r="G1201" s="4">
        <v>45882</v>
      </c>
      <c r="H1201" s="10">
        <v>13440</v>
      </c>
    </row>
    <row r="1202" spans="1:8">
      <c r="A1202" s="3">
        <v>1201</v>
      </c>
      <c r="B1202" s="4">
        <v>45926.430821759262</v>
      </c>
      <c r="C1202" s="5" t="str">
        <v>DAIHATSU GRANMAX PU AC PS 1.5 M/T</v>
      </c>
      <c r="D1202" s="5" t="str">
        <v>B5659TK</v>
      </c>
      <c r="E1202" s="10">
        <v>88639</v>
      </c>
      <c r="F1202" s="3" t="str">
        <v>Iya</v>
      </c>
      <c r="G1202" s="4">
        <v>45908</v>
      </c>
      <c r="H1202" s="10">
        <v>88639</v>
      </c>
    </row>
    <row r="1203" spans="1:8">
      <c r="A1203" s="3">
        <v>1202</v>
      </c>
      <c r="B1203" s="4">
        <v>45926.446261574078</v>
      </c>
      <c r="C1203" s="5" t="str">
        <v>Daihatsu Xenia (Badan)</v>
      </c>
      <c r="D1203" s="5" t="str">
        <v>B7690JA</v>
      </c>
      <c r="E1203" s="10">
        <v>10448</v>
      </c>
      <c r="F1203" s="3" t="str">
        <v>Iya</v>
      </c>
      <c r="G1203" s="4">
        <v>45918</v>
      </c>
      <c r="H1203" s="10">
        <v>10448</v>
      </c>
    </row>
    <row r="1204" spans="1:8">
      <c r="A1204" s="3">
        <v>1203</v>
      </c>
      <c r="B1204" s="4">
        <v>45926.6015625</v>
      </c>
      <c r="C1204" s="5" t="str">
        <v>PICK UP TRAGA 2.5 4X2 MT D M/T</v>
      </c>
      <c r="D1204" s="5" t="str">
        <v>B3705JT</v>
      </c>
      <c r="E1204" s="10">
        <v>73533</v>
      </c>
      <c r="F1204" s="3" t="str">
        <v>Iya</v>
      </c>
      <c r="G1204" s="4">
        <v>45846</v>
      </c>
      <c r="H1204" s="10">
        <v>73533</v>
      </c>
    </row>
    <row r="1205" spans="1:8">
      <c r="A1205" s="3">
        <v>1204</v>
      </c>
      <c r="B1205" s="4">
        <v>45926.615497685183</v>
      </c>
      <c r="C1205" s="5" t="str">
        <v>DAIHATSU GRANMAX PU AC PS 1.5 M/T</v>
      </c>
      <c r="D1205" s="5" t="str">
        <v>B8160PCQ</v>
      </c>
      <c r="E1205" s="10">
        <v>28235</v>
      </c>
      <c r="F1205" s="3" t="str">
        <v>Iya</v>
      </c>
      <c r="G1205" s="4">
        <v>45915</v>
      </c>
      <c r="H1205" s="10">
        <v>28235</v>
      </c>
    </row>
    <row r="1206" spans="1:8">
      <c r="A1206" s="3">
        <v>1205</v>
      </c>
      <c r="B1206" s="4">
        <v>45926.626747685194</v>
      </c>
      <c r="C1206" s="5" t="str">
        <v>Daihatsu Xenia (Badan)</v>
      </c>
      <c r="D1206" s="5" t="str">
        <v>B6374AY</v>
      </c>
      <c r="E1206" s="10">
        <v>64004</v>
      </c>
      <c r="F1206" s="3" t="str">
        <v>Iya</v>
      </c>
      <c r="G1206" s="4">
        <v>45895</v>
      </c>
      <c r="H1206" s="10">
        <v>64004</v>
      </c>
    </row>
    <row r="1207" spans="1:8">
      <c r="A1207" s="3">
        <v>1206</v>
      </c>
      <c r="B1207" s="4">
        <v>45926.65388888889</v>
      </c>
      <c r="C1207" s="5" t="str">
        <v>DAIHATSU GRANMAX PU AC PS 1.5 M/T</v>
      </c>
      <c r="D1207" s="5" t="str">
        <v>B3556KY</v>
      </c>
      <c r="E1207" s="10">
        <v>3995</v>
      </c>
      <c r="F1207" s="3" t="str">
        <v>Iya</v>
      </c>
      <c r="G1207" s="4">
        <v>45756</v>
      </c>
      <c r="H1207" s="10">
        <v>3995</v>
      </c>
    </row>
    <row r="1208" spans="1:8">
      <c r="A1208" s="3">
        <v>1207</v>
      </c>
      <c r="B1208" s="4">
        <v>45926.654814814807</v>
      </c>
      <c r="C1208" s="5" t="str">
        <v>DAIHATSU GRANMAX PU AC PS 1.5 M/T</v>
      </c>
      <c r="D1208" s="5" t="str">
        <v>B6633GLS</v>
      </c>
      <c r="E1208" s="10">
        <v>14753</v>
      </c>
      <c r="F1208" s="3" t="str">
        <v>Iya</v>
      </c>
      <c r="G1208" s="4">
        <v>45861</v>
      </c>
      <c r="H1208" s="10">
        <v>14753</v>
      </c>
    </row>
    <row r="1209" spans="1:8">
      <c r="A1209" s="3">
        <v>1208</v>
      </c>
      <c r="B1209" s="4">
        <v>45926.667812500003</v>
      </c>
      <c r="C1209" s="5" t="str">
        <v>DAIHATSU GRANMAX PU AC PS 1.5 M/T</v>
      </c>
      <c r="D1209" s="5" t="str">
        <v>B1377MKN</v>
      </c>
      <c r="E1209" s="10">
        <v>52264</v>
      </c>
      <c r="F1209" s="3" t="str">
        <v>Iya</v>
      </c>
      <c r="G1209" s="4">
        <v>45831</v>
      </c>
      <c r="H1209" s="10">
        <v>52264</v>
      </c>
    </row>
    <row r="1210" spans="1:8">
      <c r="A1210" s="3">
        <v>1209</v>
      </c>
      <c r="B1210" s="4">
        <v>45927.3359837963</v>
      </c>
      <c r="C1210" s="5" t="str">
        <v>Daihatsu Xenia (Badan)</v>
      </c>
      <c r="D1210" s="5" t="str">
        <v>B4786BT</v>
      </c>
      <c r="E1210" s="10">
        <v>21521</v>
      </c>
      <c r="F1210" s="3" t="str">
        <v>Iya</v>
      </c>
      <c r="G1210" s="4">
        <v>45883</v>
      </c>
      <c r="H1210" s="10">
        <v>21521</v>
      </c>
    </row>
    <row r="1211" spans="1:8">
      <c r="A1211" s="3">
        <v>1210</v>
      </c>
      <c r="B1211" s="4">
        <v>45927.35659722222</v>
      </c>
      <c r="C1211" s="5" t="str">
        <v>DAIHATSU GRANMAX PU AC PS 1.5 M/T</v>
      </c>
      <c r="D1211" s="5" t="str">
        <v>KT3681HUC</v>
      </c>
      <c r="E1211" s="10">
        <v>20873</v>
      </c>
      <c r="F1211" s="3" t="str">
        <v>Iya</v>
      </c>
      <c r="G1211" s="4">
        <v>45785</v>
      </c>
      <c r="H1211" s="10">
        <v>20873</v>
      </c>
    </row>
    <row r="1212" spans="1:8">
      <c r="A1212" s="3">
        <v>1211</v>
      </c>
      <c r="B1212" s="4">
        <v>45927.571006944447</v>
      </c>
      <c r="C1212" s="5" t="str">
        <v>PICK UP TRAGA 2.5 4X2 MT D M/T</v>
      </c>
      <c r="D1212" s="5" t="str">
        <v>B4001FJ</v>
      </c>
      <c r="E1212" s="10">
        <v>7882</v>
      </c>
      <c r="F1212" s="3" t="str">
        <v>Iya</v>
      </c>
      <c r="G1212" s="4">
        <v>45927</v>
      </c>
      <c r="H1212" s="10">
        <v>7882</v>
      </c>
    </row>
    <row r="1213" spans="1:8">
      <c r="A1213" s="3">
        <v>1212</v>
      </c>
      <c r="B1213" s="4">
        <v>45927.646736111114</v>
      </c>
      <c r="C1213" s="5" t="str">
        <v>DAIHATSU GRANMAX PU AC PS 1.5 M/T</v>
      </c>
      <c r="D1213" s="5" t="str">
        <v>B8132XW</v>
      </c>
      <c r="E1213" s="10">
        <v>36096</v>
      </c>
      <c r="F1213" s="3" t="str">
        <v>Iya</v>
      </c>
      <c r="G1213" s="4">
        <v>45927</v>
      </c>
      <c r="H1213" s="10">
        <v>36096</v>
      </c>
    </row>
    <row r="1214" spans="1:8">
      <c r="A1214" s="3">
        <v>1213</v>
      </c>
      <c r="B1214" s="4">
        <v>45927.648136574076</v>
      </c>
      <c r="C1214" s="5" t="str">
        <v>PICK UP TRAGA 2.5 4X2 MT D M/T</v>
      </c>
      <c r="D1214" s="5" t="str">
        <v>B7102CW</v>
      </c>
      <c r="E1214" s="10">
        <v>42615</v>
      </c>
      <c r="F1214" s="3" t="str">
        <v>Iya</v>
      </c>
      <c r="G1214" s="4">
        <v>45843</v>
      </c>
      <c r="H1214" s="10">
        <v>42615</v>
      </c>
    </row>
    <row r="1215" spans="1:8">
      <c r="A1215" s="3">
        <v>1214</v>
      </c>
      <c r="B1215" s="4">
        <v>45928.569502314807</v>
      </c>
      <c r="C1215" s="5" t="str">
        <v>PICK UP TRAGA 2.5 4X2 MT D M/T</v>
      </c>
      <c r="D1215" s="5" t="str">
        <v>B6972EIM</v>
      </c>
      <c r="E1215" s="10">
        <v>41905</v>
      </c>
      <c r="F1215" s="3" t="str">
        <v>Iya</v>
      </c>
      <c r="G1215" s="4">
        <v>45927</v>
      </c>
      <c r="H1215" s="10">
        <v>41905</v>
      </c>
    </row>
    <row r="1216" spans="1:8">
      <c r="A1216" s="3">
        <v>1215</v>
      </c>
      <c r="B1216" s="4">
        <v>45928.805879629632</v>
      </c>
      <c r="C1216" s="5" t="str">
        <v>DAIHATSU GRANMAX PU AC PS 1.5 M/T</v>
      </c>
      <c r="D1216" s="5" t="str">
        <v>H6446RTB</v>
      </c>
      <c r="E1216" s="10">
        <v>12380</v>
      </c>
      <c r="F1216" s="3" t="str">
        <v>Iya</v>
      </c>
      <c r="G1216" s="4">
        <v>45826</v>
      </c>
      <c r="H1216" s="10">
        <v>12380</v>
      </c>
    </row>
    <row r="1217" spans="1:8">
      <c r="A1217" s="3">
        <v>1216</v>
      </c>
      <c r="B1217" s="4">
        <v>45929.350937499999</v>
      </c>
      <c r="C1217" s="5" t="str">
        <v>DAIHATSU GRANMAX PU AC PS 1.5 M/T</v>
      </c>
      <c r="D1217" s="5" t="str">
        <v>D9851QY</v>
      </c>
      <c r="E1217" s="10">
        <v>5791</v>
      </c>
      <c r="F1217" s="3" t="str">
        <v>Iya</v>
      </c>
      <c r="G1217" s="4">
        <v>45827</v>
      </c>
      <c r="H1217" s="10">
        <v>5791</v>
      </c>
    </row>
    <row r="1218" spans="1:8">
      <c r="A1218" s="3">
        <v>1217</v>
      </c>
      <c r="B1218" s="4">
        <v>45929.390509259261</v>
      </c>
      <c r="C1218" s="5" t="str">
        <v>DAIHATSU GRANMAX PU AC PS 1.5 M/T</v>
      </c>
      <c r="D1218" s="5" t="str">
        <v>B2325IRM</v>
      </c>
      <c r="E1218" s="10">
        <v>27089</v>
      </c>
      <c r="F1218" s="3" t="str">
        <v>Iya</v>
      </c>
      <c r="G1218" s="4">
        <v>45859</v>
      </c>
      <c r="H1218" s="10">
        <v>27089</v>
      </c>
    </row>
    <row r="1219" spans="1:8">
      <c r="A1219" s="3">
        <v>1218</v>
      </c>
      <c r="B1219" s="4">
        <v>45929.403009259258</v>
      </c>
      <c r="C1219" s="5" t="str">
        <v>DAIHATSU GRANMAX PU AC PS 1.5 M/T</v>
      </c>
      <c r="D1219" s="5" t="str">
        <v>B7390TQ</v>
      </c>
      <c r="E1219" s="10">
        <v>36493</v>
      </c>
      <c r="F1219" s="3" t="str">
        <v>Iya</v>
      </c>
      <c r="G1219" s="4">
        <v>45820</v>
      </c>
      <c r="H1219" s="10">
        <v>36493</v>
      </c>
    </row>
    <row r="1220" spans="1:8">
      <c r="A1220" s="3">
        <v>1219</v>
      </c>
      <c r="B1220" s="4">
        <v>45929.431250000001</v>
      </c>
      <c r="C1220" s="5" t="str">
        <v>DAIHATSU GRANMAX PU AC PS 1.5 M/T</v>
      </c>
      <c r="D1220" s="5" t="str">
        <v>B5205ZM</v>
      </c>
      <c r="E1220" s="10">
        <v>21935</v>
      </c>
      <c r="F1220" s="3" t="str">
        <v>Iya</v>
      </c>
      <c r="G1220" s="4">
        <v>45889</v>
      </c>
      <c r="H1220" s="10">
        <v>21935</v>
      </c>
    </row>
    <row r="1221" spans="1:8">
      <c r="A1221" s="3">
        <v>1220</v>
      </c>
      <c r="B1221" s="4">
        <v>45929.440046296288</v>
      </c>
      <c r="C1221" s="5" t="str">
        <v>DAIHATSU GRANMAX PU AC PS 1.5 M/T</v>
      </c>
      <c r="D1221" s="5" t="str">
        <v>B5205ZM</v>
      </c>
      <c r="E1221" s="10">
        <v>20817</v>
      </c>
      <c r="F1221" s="3" t="str">
        <v>Iya</v>
      </c>
      <c r="G1221" s="4">
        <v>45889</v>
      </c>
      <c r="H1221" s="10">
        <v>20817</v>
      </c>
    </row>
    <row r="1222" spans="1:8">
      <c r="A1222" s="3">
        <v>1221</v>
      </c>
      <c r="B1222" s="4">
        <v>45929.469363425917</v>
      </c>
      <c r="C1222" s="5" t="str">
        <v>Daihatsu Xenia (Badan)</v>
      </c>
      <c r="D1222" s="5" t="str">
        <v>B5457CMQ</v>
      </c>
      <c r="E1222" s="10">
        <v>8621</v>
      </c>
      <c r="F1222" s="3" t="str">
        <v>Iya</v>
      </c>
      <c r="G1222" s="4">
        <v>45917</v>
      </c>
      <c r="H1222" s="10">
        <v>8621</v>
      </c>
    </row>
    <row r="1223" spans="1:8">
      <c r="A1223" s="3">
        <v>1222</v>
      </c>
      <c r="B1223" s="4">
        <v>45929.653217592589</v>
      </c>
      <c r="C1223" s="5" t="str">
        <v>DAIHATSU GRANMAX PU AC PS 1.5 M/T</v>
      </c>
      <c r="D1223" s="5" t="str">
        <v>B3306HX</v>
      </c>
      <c r="E1223" s="10">
        <v>15820</v>
      </c>
      <c r="F1223" s="3" t="str">
        <v>Iya</v>
      </c>
      <c r="G1223" s="4">
        <v>45827</v>
      </c>
      <c r="H1223" s="10">
        <v>15820</v>
      </c>
    </row>
    <row r="1224" spans="1:8">
      <c r="A1224" s="3">
        <v>1223</v>
      </c>
      <c r="B1224" s="4">
        <v>45929.696666666663</v>
      </c>
      <c r="C1224" s="5" t="str">
        <v>DAIHATSU GRANMAX PU AC PS 1.5 M/T</v>
      </c>
      <c r="D1224" s="5" t="str">
        <v>B1080SUL</v>
      </c>
      <c r="E1224" s="10">
        <v>10379</v>
      </c>
      <c r="F1224" s="3" t="str">
        <v>Iya</v>
      </c>
      <c r="G1224" s="4">
        <v>45881</v>
      </c>
      <c r="H1224" s="10">
        <v>10379</v>
      </c>
    </row>
    <row r="1225" spans="1:8">
      <c r="A1225" s="3">
        <v>1224</v>
      </c>
      <c r="B1225" s="4">
        <v>45929.770266203697</v>
      </c>
      <c r="C1225" s="5" t="str">
        <v>PICK UP TRAGA 2.5 4X2 MT D M/T</v>
      </c>
      <c r="D1225" s="5" t="str">
        <v>B6598EX</v>
      </c>
      <c r="E1225" s="10">
        <v>25370</v>
      </c>
      <c r="F1225" s="3" t="str">
        <v>Iya</v>
      </c>
      <c r="G1225" s="4">
        <v>45847</v>
      </c>
      <c r="H1225" s="10">
        <v>25370</v>
      </c>
    </row>
    <row r="1226" spans="1:8">
      <c r="A1226" s="3">
        <v>1225</v>
      </c>
      <c r="B1226" s="4">
        <v>45930.771481481483</v>
      </c>
      <c r="C1226" s="5" t="str">
        <v>DAIHATSU GRANMAX PU AC PS 1.5 M/T</v>
      </c>
      <c r="D1226" s="5" t="str">
        <v>D8603EG</v>
      </c>
      <c r="E1226" s="10">
        <v>14527</v>
      </c>
      <c r="F1226" s="3" t="str">
        <v>Iya</v>
      </c>
      <c r="G1226" s="4">
        <v>45878</v>
      </c>
      <c r="H1226" s="10">
        <v>14527</v>
      </c>
    </row>
    <row r="1227" spans="1:8">
      <c r="A1227" s="3">
        <v>1226</v>
      </c>
      <c r="B1227" s="4">
        <v>45930.87195601852</v>
      </c>
      <c r="C1227" s="5" t="str">
        <v>DAIHATSU GRANMAX PU AC PS 1.5 M/T</v>
      </c>
      <c r="D1227" s="5" t="str">
        <v>B3355VB</v>
      </c>
      <c r="E1227" s="10">
        <v>3047</v>
      </c>
      <c r="F1227" s="3" t="str">
        <v>Iya</v>
      </c>
      <c r="G1227" s="4">
        <v>45720</v>
      </c>
      <c r="H1227" s="10">
        <v>3047</v>
      </c>
    </row>
    <row r="1228" spans="1:8">
      <c r="A1228" s="3">
        <v>1227</v>
      </c>
      <c r="B1228" s="4">
        <v>45930.929398148153</v>
      </c>
      <c r="C1228" s="5" t="str">
        <v>PICK UP TRAGA 2.5 4X2 MT D M/T</v>
      </c>
      <c r="D1228" s="5" t="str">
        <v>B5798XLR</v>
      </c>
      <c r="E1228" s="10">
        <v>2007</v>
      </c>
      <c r="F1228" s="3" t="str">
        <v>Iya</v>
      </c>
      <c r="G1228" s="4">
        <v>45899</v>
      </c>
      <c r="H1228" s="10">
        <v>2007</v>
      </c>
    </row>
    <row r="1229" spans="1:8">
      <c r="A1229" s="3">
        <v>1228</v>
      </c>
      <c r="B1229" s="4">
        <v>45931.434907407413</v>
      </c>
      <c r="C1229" s="5" t="str">
        <v>DAIHATSU GRANMAX PU AC PS 1.5 M/T</v>
      </c>
      <c r="D1229" s="5" t="str">
        <v>B5795ED</v>
      </c>
      <c r="E1229" s="10">
        <v>46439</v>
      </c>
      <c r="F1229" s="3" t="str">
        <v>Iya</v>
      </c>
      <c r="G1229" s="4">
        <v>45708</v>
      </c>
      <c r="H1229" s="10">
        <v>46439</v>
      </c>
    </row>
    <row r="1230" spans="1:8">
      <c r="A1230" s="3">
        <v>1229</v>
      </c>
      <c r="B1230" s="4">
        <v>45931.446122685193</v>
      </c>
      <c r="C1230" s="5" t="str">
        <v>DAIHATSU GRANMAX PU AC PS 1.5 M/T</v>
      </c>
      <c r="D1230" s="5" t="str">
        <v>B1229TQ</v>
      </c>
      <c r="E1230" s="10">
        <v>16800</v>
      </c>
      <c r="F1230" s="3" t="str">
        <v>Iya</v>
      </c>
      <c r="G1230" s="4">
        <v>45768</v>
      </c>
      <c r="H1230" s="10">
        <v>16800</v>
      </c>
    </row>
    <row r="1231" spans="1:8">
      <c r="A1231" s="3">
        <v>1230</v>
      </c>
      <c r="B1231" s="4">
        <v>45931.448472222219</v>
      </c>
      <c r="C1231" s="5" t="str">
        <v>DAIHATSU GRANMAX PU AC PS 1.5 M/T</v>
      </c>
      <c r="D1231" s="5" t="str">
        <v>B4034IWU</v>
      </c>
      <c r="E1231" s="10">
        <v>26798</v>
      </c>
      <c r="F1231" s="3" t="str">
        <v>Iya</v>
      </c>
      <c r="G1231" s="4">
        <v>45885</v>
      </c>
      <c r="H1231" s="10">
        <v>26798</v>
      </c>
    </row>
    <row r="1232" spans="1:8">
      <c r="A1232" s="3">
        <v>1231</v>
      </c>
      <c r="B1232" s="4">
        <v>45931.463009259263</v>
      </c>
      <c r="C1232" s="5" t="str">
        <v>DAIHATSU GRANMAX PU AC PS 1.5 M/T</v>
      </c>
      <c r="D1232" s="5" t="str">
        <v>B7154RP</v>
      </c>
      <c r="E1232" s="10">
        <v>54791</v>
      </c>
      <c r="F1232" s="3" t="str">
        <v>Iya</v>
      </c>
      <c r="G1232" s="4">
        <v>45909</v>
      </c>
      <c r="H1232" s="10">
        <v>54791</v>
      </c>
    </row>
    <row r="1233" spans="1:8">
      <c r="A1233" s="3">
        <v>1232</v>
      </c>
      <c r="B1233" s="4">
        <v>45931.626377314817</v>
      </c>
      <c r="C1233" s="5" t="str">
        <v>DAIHATSU GRANMAX PU AC PS 1.5 M/T</v>
      </c>
      <c r="D1233" s="5" t="str">
        <v>B8269XJ</v>
      </c>
      <c r="E1233" s="10">
        <v>27621</v>
      </c>
      <c r="F1233" s="3" t="str">
        <v>Iya</v>
      </c>
      <c r="G1233" s="4">
        <v>45810</v>
      </c>
      <c r="H1233" s="10">
        <v>27621</v>
      </c>
    </row>
    <row r="1234" spans="1:8">
      <c r="A1234" s="3">
        <v>1233</v>
      </c>
      <c r="B1234" s="4">
        <v>45931.630555555559</v>
      </c>
      <c r="C1234" s="5" t="str">
        <v>DAIHATSU GRANMAX PU AC PS 1.5 M/T</v>
      </c>
      <c r="D1234" s="5" t="str">
        <v>B4293EW</v>
      </c>
      <c r="E1234" s="10">
        <v>93551</v>
      </c>
      <c r="F1234" s="3" t="str">
        <v>Iya</v>
      </c>
      <c r="G1234" s="4">
        <v>45895</v>
      </c>
      <c r="H1234" s="10">
        <v>93551</v>
      </c>
    </row>
    <row r="1235" spans="1:8">
      <c r="A1235" s="3">
        <v>1234</v>
      </c>
      <c r="B1235" s="4">
        <v>45932.349166666667</v>
      </c>
      <c r="C1235" s="5" t="str">
        <v>DAIHATSU GRANMAX PU AC PS 1.5 M/T</v>
      </c>
      <c r="D1235" s="5" t="str">
        <v>b5038csc</v>
      </c>
      <c r="E1235" s="10">
        <v>13162</v>
      </c>
      <c r="F1235" s="3" t="str">
        <v>Iya</v>
      </c>
      <c r="G1235" s="4">
        <v>45911</v>
      </c>
      <c r="H1235" s="10">
        <v>13162</v>
      </c>
    </row>
    <row r="1236" spans="1:8">
      <c r="A1236" s="3">
        <v>1235</v>
      </c>
      <c r="B1236" s="4">
        <v>45932.362199074072</v>
      </c>
      <c r="C1236" s="5" t="str">
        <v>DAIHATSU GRANMAX PU AC PS 1.5 M/T</v>
      </c>
      <c r="D1236" s="5" t="str">
        <v>B4790UR</v>
      </c>
      <c r="E1236" s="10">
        <v>37064</v>
      </c>
      <c r="F1236" s="3" t="str">
        <v>Iya</v>
      </c>
      <c r="G1236" s="4">
        <v>45811</v>
      </c>
      <c r="H1236" s="10">
        <v>37064</v>
      </c>
    </row>
    <row r="1237" spans="1:8">
      <c r="A1237" s="3">
        <v>1236</v>
      </c>
      <c r="B1237" s="4">
        <v>45932.386550925927</v>
      </c>
      <c r="C1237" s="5" t="str">
        <v>PICK UP TRAGA 2.5 4X2 MT D M/T</v>
      </c>
      <c r="D1237" s="5" t="str">
        <v>B3889CE</v>
      </c>
      <c r="E1237" s="10">
        <v>19983</v>
      </c>
      <c r="F1237" s="3" t="str">
        <v>Iya</v>
      </c>
      <c r="G1237" s="4">
        <v>45883</v>
      </c>
      <c r="H1237" s="10">
        <v>19983</v>
      </c>
    </row>
    <row r="1238" spans="1:8">
      <c r="A1238" s="3">
        <v>1237</v>
      </c>
      <c r="B1238" s="4">
        <v>45932.659513888888</v>
      </c>
      <c r="C1238" s="5" t="str">
        <v>DAIHATSU GRANMAX PU AC PS 1.5 M/T</v>
      </c>
      <c r="D1238" s="5" t="str">
        <v>B8742VP</v>
      </c>
      <c r="E1238" s="10">
        <v>10015</v>
      </c>
      <c r="F1238" s="3" t="str">
        <v>Iya</v>
      </c>
      <c r="G1238" s="4">
        <v>45761</v>
      </c>
      <c r="H1238" s="10">
        <v>10015</v>
      </c>
    </row>
    <row r="1239" spans="1:8">
      <c r="A1239" s="3">
        <v>1238</v>
      </c>
      <c r="B1239" s="4">
        <v>45932.662534722222</v>
      </c>
      <c r="C1239" s="5" t="str">
        <v>PICK UP TRAGA 2.5 4X2 MT D M/T</v>
      </c>
      <c r="D1239" s="5" t="str">
        <v>KB3403JE</v>
      </c>
      <c r="E1239" s="10">
        <v>70429</v>
      </c>
      <c r="F1239" s="3" t="str">
        <v>Iya</v>
      </c>
      <c r="G1239" s="4">
        <v>45876</v>
      </c>
      <c r="H1239" s="10">
        <v>70429</v>
      </c>
    </row>
    <row r="1240" spans="1:8">
      <c r="A1240" s="3">
        <v>1239</v>
      </c>
      <c r="B1240" s="4">
        <v>45932.665486111109</v>
      </c>
      <c r="C1240" s="5" t="str">
        <v>PICK UP TRAGA 2.5 4X2 MT D M/T</v>
      </c>
      <c r="D1240" s="5" t="str">
        <v>B2886XC</v>
      </c>
      <c r="E1240" s="10">
        <v>13971</v>
      </c>
      <c r="F1240" s="3" t="str">
        <v>Iya</v>
      </c>
      <c r="G1240" s="4">
        <v>45874</v>
      </c>
      <c r="H1240" s="10">
        <v>13971</v>
      </c>
    </row>
    <row r="1241" spans="1:8">
      <c r="A1241" s="3">
        <v>1240</v>
      </c>
      <c r="B1241" s="4">
        <v>45932.667997685188</v>
      </c>
      <c r="C1241" s="5" t="str">
        <v>DAIHATSU GRANMAX PU AC PS 1.5 M/T</v>
      </c>
      <c r="D1241" s="5" t="str">
        <v>B7069IU</v>
      </c>
      <c r="E1241" s="10">
        <v>84645</v>
      </c>
      <c r="F1241" s="3" t="str">
        <v>Iya</v>
      </c>
      <c r="G1241" s="4">
        <v>45845</v>
      </c>
      <c r="H1241" s="10">
        <v>84645</v>
      </c>
    </row>
    <row r="1242" spans="1:8">
      <c r="A1242" s="3">
        <v>1241</v>
      </c>
      <c r="B1242" s="4">
        <v>45932.673622685194</v>
      </c>
      <c r="C1242" s="5" t="str">
        <v>PICK UP TRAGA 2.5 4X2 MT D M/T</v>
      </c>
      <c r="D1242" s="5" t="str">
        <v>B6882KT</v>
      </c>
      <c r="E1242" s="10">
        <v>61261</v>
      </c>
      <c r="F1242" s="3" t="str">
        <v>Iya</v>
      </c>
      <c r="G1242" s="4">
        <v>45848</v>
      </c>
      <c r="H1242" s="10">
        <v>61261</v>
      </c>
    </row>
    <row r="1243" spans="1:8">
      <c r="A1243" s="3">
        <v>1242</v>
      </c>
      <c r="B1243" s="4">
        <v>45932.673680555563</v>
      </c>
      <c r="C1243" s="5" t="str">
        <v>DAIHATSU GRANMAX PU AC PS 1.5 M/T</v>
      </c>
      <c r="D1243" s="5" t="str">
        <v>B1035ITY</v>
      </c>
      <c r="E1243" s="10">
        <v>16322</v>
      </c>
      <c r="F1243" s="3" t="str">
        <v>Iya</v>
      </c>
      <c r="G1243" s="4">
        <v>45423</v>
      </c>
      <c r="H1243" s="10">
        <v>16322</v>
      </c>
    </row>
    <row r="1244" spans="1:8">
      <c r="A1244" s="3">
        <v>1243</v>
      </c>
      <c r="B1244" s="4">
        <v>45932.67454861111</v>
      </c>
      <c r="C1244" s="5" t="str">
        <v>DAIHATSU GRANMAX PU AC PS 1.5 M/T</v>
      </c>
      <c r="D1244" s="5" t="str">
        <v>B5388UQ</v>
      </c>
      <c r="E1244" s="10">
        <v>46471</v>
      </c>
      <c r="F1244" s="3" t="str">
        <v>Iya</v>
      </c>
      <c r="G1244" s="4">
        <v>45889</v>
      </c>
      <c r="H1244" s="10">
        <v>46471</v>
      </c>
    </row>
    <row r="1245" spans="1:8">
      <c r="A1245" s="3">
        <v>1244</v>
      </c>
      <c r="B1245" s="4">
        <v>45932.675532407397</v>
      </c>
      <c r="C1245" s="5" t="str">
        <v>PICK UP TRAGA 2.5 4X2 MT D M/T</v>
      </c>
      <c r="D1245" s="5" t="str">
        <v>DM4592XT</v>
      </c>
      <c r="E1245" s="10">
        <v>66549</v>
      </c>
      <c r="F1245" s="3" t="str">
        <v>Iya</v>
      </c>
      <c r="G1245" s="4">
        <v>45877</v>
      </c>
      <c r="H1245" s="10">
        <v>66549</v>
      </c>
    </row>
    <row r="1246" spans="1:8">
      <c r="A1246" s="3">
        <v>1245</v>
      </c>
      <c r="B1246" s="4">
        <v>45932.676435185182</v>
      </c>
      <c r="C1246" s="5" t="str">
        <v>Daihatsu Xenia (Badan)</v>
      </c>
      <c r="D1246" s="5" t="str">
        <v>B8324WSJ</v>
      </c>
      <c r="E1246" s="10">
        <v>5857</v>
      </c>
      <c r="F1246" s="3" t="str">
        <v>Iya</v>
      </c>
      <c r="G1246" s="4">
        <v>45889</v>
      </c>
      <c r="H1246" s="10">
        <v>5857</v>
      </c>
    </row>
    <row r="1247" spans="1:8">
      <c r="A1247" s="3">
        <v>1246</v>
      </c>
      <c r="B1247" s="4">
        <v>45932.68178240741</v>
      </c>
      <c r="C1247" s="5" t="str">
        <v>Daihatsu Xenia (Badan)</v>
      </c>
      <c r="D1247" s="5" t="str">
        <v>B3551TYP</v>
      </c>
      <c r="E1247" s="10">
        <v>24565</v>
      </c>
      <c r="F1247" s="3" t="str">
        <v>Iya</v>
      </c>
      <c r="G1247" s="4">
        <v>45881</v>
      </c>
      <c r="H1247" s="10">
        <v>24565</v>
      </c>
    </row>
    <row r="1248" spans="1:8">
      <c r="A1248" s="3">
        <v>1247</v>
      </c>
      <c r="B1248" s="4">
        <v>45932.682743055557</v>
      </c>
      <c r="C1248" s="5" t="str">
        <v>DAIHATSU GRANMAX PU AC PS 1.5 M/T</v>
      </c>
      <c r="D1248" s="5" t="str">
        <v>B4242KSP</v>
      </c>
      <c r="E1248" s="10">
        <v>32700</v>
      </c>
      <c r="F1248" s="3" t="str">
        <v>Iya</v>
      </c>
      <c r="G1248" s="4">
        <v>45813</v>
      </c>
      <c r="H1248" s="10">
        <v>32700</v>
      </c>
    </row>
    <row r="1249" spans="1:8">
      <c r="A1249" s="3">
        <v>1248</v>
      </c>
      <c r="B1249" s="4">
        <v>45932.685925925929</v>
      </c>
      <c r="C1249" s="5" t="str">
        <v>PICK UP TRAGA 2.5 4X2 MT D M/T</v>
      </c>
      <c r="D1249" s="5" t="str">
        <v>B6557JW</v>
      </c>
      <c r="E1249" s="10">
        <v>81274</v>
      </c>
      <c r="F1249" s="3" t="str">
        <v>Iya</v>
      </c>
      <c r="G1249" s="4">
        <v>45908</v>
      </c>
      <c r="H1249" s="10">
        <v>81274</v>
      </c>
    </row>
    <row r="1250" spans="1:8">
      <c r="A1250" s="3">
        <v>1249</v>
      </c>
      <c r="B1250" s="4">
        <v>45932.689699074072</v>
      </c>
      <c r="C1250" s="5" t="str">
        <v>DAIHATSU GRANMAX PU AC PS 1.5 M/T</v>
      </c>
      <c r="D1250" s="5" t="str">
        <v>B5895NM</v>
      </c>
      <c r="E1250" s="10">
        <v>61017</v>
      </c>
      <c r="F1250" s="3" t="str">
        <v>Iya</v>
      </c>
      <c r="G1250" s="4">
        <v>45932</v>
      </c>
      <c r="H1250" s="10">
        <v>61017</v>
      </c>
    </row>
    <row r="1251" spans="1:8">
      <c r="A1251" s="3">
        <v>1250</v>
      </c>
      <c r="B1251" s="4">
        <v>45932.704074074078</v>
      </c>
      <c r="C1251" s="5" t="str">
        <v>DAIHATSU GRANMAX PU AC PS 1.5 M/T</v>
      </c>
      <c r="D1251" s="5" t="str">
        <v>B6936PI</v>
      </c>
      <c r="E1251" s="10">
        <v>745</v>
      </c>
      <c r="F1251" s="3" t="str">
        <v>Iya</v>
      </c>
      <c r="G1251" s="4">
        <v>45759</v>
      </c>
      <c r="H1251" s="10">
        <v>745</v>
      </c>
    </row>
    <row r="1252" spans="1:8">
      <c r="A1252" s="3">
        <v>1251</v>
      </c>
      <c r="B1252" s="4">
        <v>45932.708449074067</v>
      </c>
      <c r="C1252" s="5" t="str">
        <v>PICK UP TRAGA 2.5 4X2 MT D M/T</v>
      </c>
      <c r="D1252" s="5" t="str">
        <v>B5783FB</v>
      </c>
      <c r="E1252" s="10">
        <v>18852</v>
      </c>
      <c r="F1252" s="3" t="str">
        <v>Iya</v>
      </c>
      <c r="G1252" s="4">
        <v>45804</v>
      </c>
      <c r="H1252" s="10">
        <v>18852</v>
      </c>
    </row>
    <row r="1253" spans="1:8">
      <c r="A1253" s="3">
        <v>1252</v>
      </c>
      <c r="B1253" s="4">
        <v>45932.713622685187</v>
      </c>
      <c r="C1253" s="5" t="str">
        <v>PICK UP TRAGA 2.5 4X2 MT D M/T</v>
      </c>
      <c r="D1253" s="5" t="str">
        <v>B9187TB</v>
      </c>
      <c r="E1253" s="10">
        <v>21833</v>
      </c>
      <c r="F1253" s="3" t="str">
        <v>Iya</v>
      </c>
      <c r="G1253" s="4">
        <v>45784</v>
      </c>
      <c r="H1253" s="10">
        <v>21833</v>
      </c>
    </row>
    <row r="1254" spans="1:8">
      <c r="A1254" s="3">
        <v>1253</v>
      </c>
      <c r="B1254" s="4">
        <v>45932.715462962973</v>
      </c>
      <c r="C1254" s="5" t="str">
        <v>PICK UP TRAGA 2.5 4X2 MT D M/T</v>
      </c>
      <c r="D1254" s="5" t="str">
        <v>B4784VXS</v>
      </c>
      <c r="E1254" s="10">
        <v>65181</v>
      </c>
      <c r="F1254" s="3" t="str">
        <v>Iya</v>
      </c>
      <c r="G1254" s="4">
        <v>45909</v>
      </c>
      <c r="H1254" s="10">
        <v>65181</v>
      </c>
    </row>
    <row r="1255" spans="1:8">
      <c r="A1255" s="3">
        <v>1254</v>
      </c>
      <c r="B1255" s="4">
        <v>45932.807337962957</v>
      </c>
      <c r="C1255" s="5" t="str">
        <v>PICK UP TRAGA 2.5 4X2 MT D M/T</v>
      </c>
      <c r="D1255" s="5" t="str">
        <v>B7482LG</v>
      </c>
      <c r="E1255" s="10">
        <v>61110</v>
      </c>
      <c r="F1255" s="3" t="str">
        <v>Iya</v>
      </c>
      <c r="G1255" s="4">
        <v>45968</v>
      </c>
      <c r="H1255" s="10">
        <v>61110</v>
      </c>
    </row>
    <row r="1256" spans="1:8">
      <c r="A1256" s="3">
        <v>1255</v>
      </c>
      <c r="B1256" s="4">
        <v>45933.364560185182</v>
      </c>
      <c r="C1256" s="5" t="str">
        <v>DAIHATSU GRANMAX PU AC PS 1.5 M/T</v>
      </c>
      <c r="D1256" s="5" t="str">
        <v>B5918LZ</v>
      </c>
      <c r="E1256" s="10">
        <v>104117</v>
      </c>
      <c r="F1256" s="3" t="str">
        <v>Iya</v>
      </c>
      <c r="G1256" s="4">
        <v>45861</v>
      </c>
      <c r="H1256" s="10">
        <v>104117</v>
      </c>
    </row>
    <row r="1257" spans="1:8">
      <c r="A1257" s="3">
        <v>1256</v>
      </c>
      <c r="B1257" s="4">
        <v>45933.589733796303</v>
      </c>
      <c r="C1257" s="5" t="str">
        <v>Daihatsu Xenia (Badan)</v>
      </c>
      <c r="D1257" s="5" t="str">
        <v>B2652NS</v>
      </c>
      <c r="E1257" s="10">
        <v>45482</v>
      </c>
      <c r="F1257" s="3" t="str">
        <v>Iya</v>
      </c>
      <c r="G1257" s="4">
        <v>45820</v>
      </c>
      <c r="H1257" s="10">
        <v>45482</v>
      </c>
    </row>
    <row r="1258" spans="1:8">
      <c r="A1258" s="3">
        <v>1257</v>
      </c>
      <c r="B1258" s="4">
        <v>45933.611921296288</v>
      </c>
      <c r="C1258" s="5" t="str">
        <v>DAIHATSU GRANMAX PU AC PS 1.5 M/T</v>
      </c>
      <c r="D1258" s="5" t="str">
        <v>AB7714BG</v>
      </c>
      <c r="E1258" s="10">
        <v>53757</v>
      </c>
      <c r="F1258" s="3" t="str">
        <v>Iya</v>
      </c>
      <c r="G1258" s="4">
        <v>45829</v>
      </c>
      <c r="H1258" s="10">
        <v>53757</v>
      </c>
    </row>
    <row r="1259" spans="1:8">
      <c r="A1259" s="3">
        <v>1258</v>
      </c>
      <c r="B1259" s="4">
        <v>45933.674016203702</v>
      </c>
      <c r="C1259" s="5" t="str">
        <v>DAIHATSU GRANMAX PU AC PS 1.5 M/T</v>
      </c>
      <c r="D1259" s="5" t="str">
        <v>B2401EI</v>
      </c>
      <c r="E1259" s="10">
        <v>59243</v>
      </c>
      <c r="F1259" s="3" t="str">
        <v>Iya</v>
      </c>
      <c r="G1259" s="4">
        <v>45820</v>
      </c>
      <c r="H1259" s="10">
        <v>59243</v>
      </c>
    </row>
    <row r="1260" spans="1:8">
      <c r="A1260" s="3">
        <v>1259</v>
      </c>
      <c r="B1260" s="4">
        <v>45933.676087962973</v>
      </c>
      <c r="C1260" s="5" t="str">
        <v>DAIHATSU GRANMAX PU AC PS 1.5 M/T</v>
      </c>
      <c r="D1260" s="5" t="str">
        <v>KB6393GN</v>
      </c>
      <c r="E1260" s="10">
        <v>4268</v>
      </c>
      <c r="F1260" s="3" t="str">
        <v>Iya</v>
      </c>
      <c r="G1260" s="4">
        <v>45724</v>
      </c>
      <c r="H1260" s="10">
        <v>4268</v>
      </c>
    </row>
    <row r="1261" spans="1:8">
      <c r="A1261" s="3">
        <v>1260</v>
      </c>
      <c r="B1261" s="4">
        <v>45933.69226851852</v>
      </c>
      <c r="C1261" s="5" t="str">
        <v>DAIHATSU GRANMAX PU AC PS 1.5 M/T</v>
      </c>
      <c r="D1261" s="5" t="str">
        <v>B6341YY</v>
      </c>
      <c r="E1261" s="10">
        <v>31541</v>
      </c>
      <c r="F1261" s="3" t="str">
        <v>Iya</v>
      </c>
      <c r="G1261" s="4">
        <v>45763</v>
      </c>
      <c r="H1261" s="10">
        <v>31541</v>
      </c>
    </row>
    <row r="1262" spans="1:8">
      <c r="A1262" s="3">
        <v>1261</v>
      </c>
      <c r="B1262" s="4">
        <v>45933.700115740743</v>
      </c>
      <c r="C1262" s="5" t="str">
        <v>DAIHATSU GRANMAX PU AC PS 1.5 M/T</v>
      </c>
      <c r="D1262" s="5" t="str">
        <v>B7035JK</v>
      </c>
      <c r="E1262" s="10">
        <v>40552</v>
      </c>
      <c r="F1262" s="3" t="str">
        <v>Iya</v>
      </c>
      <c r="G1262" s="4">
        <v>45926</v>
      </c>
      <c r="H1262" s="10">
        <v>40552</v>
      </c>
    </row>
    <row r="1263" spans="1:8">
      <c r="A1263" s="3">
        <v>1262</v>
      </c>
      <c r="B1263" s="4">
        <v>45934.459918981483</v>
      </c>
      <c r="C1263" s="5" t="str">
        <v>DAIHATSU GRANMAX PU AC PS 1.5 M/T</v>
      </c>
      <c r="D1263" s="5" t="str">
        <v>B9877USW</v>
      </c>
      <c r="E1263" s="10">
        <v>7835</v>
      </c>
      <c r="F1263" s="3" t="str">
        <v>Iya</v>
      </c>
      <c r="G1263" s="4">
        <v>45902</v>
      </c>
      <c r="H1263" s="10">
        <v>7835</v>
      </c>
    </row>
    <row r="1264" spans="1:8">
      <c r="A1264" s="3">
        <v>1263</v>
      </c>
      <c r="B1264" s="4">
        <v>45935.477395833332</v>
      </c>
      <c r="C1264" s="5" t="str">
        <v>PICK UP TRAGA 2.5 4X2 MT D M/T</v>
      </c>
      <c r="D1264" s="5" t="str">
        <v>B6191JQ</v>
      </c>
      <c r="E1264" s="10">
        <v>77493</v>
      </c>
      <c r="F1264" s="3" t="str">
        <v>Iya</v>
      </c>
      <c r="G1264" s="4">
        <v>45847</v>
      </c>
      <c r="H1264" s="10">
        <v>77493</v>
      </c>
    </row>
    <row r="1265" spans="1:8">
      <c r="A1265" s="3">
        <v>1264</v>
      </c>
      <c r="B1265" s="4">
        <v>45936.344571759262</v>
      </c>
      <c r="C1265" s="5" t="str">
        <v>DAIHATSU GRANMAX PU AC PS 1.5 M/T</v>
      </c>
      <c r="D1265" s="5" t="str">
        <v>DD1709SU</v>
      </c>
      <c r="E1265" s="10">
        <v>33016</v>
      </c>
      <c r="F1265" s="3" t="str">
        <v>Iya</v>
      </c>
      <c r="G1265" s="4">
        <v>45736</v>
      </c>
      <c r="H1265" s="10">
        <v>33016</v>
      </c>
    </row>
    <row r="1266" spans="1:8">
      <c r="A1266" s="3">
        <v>1265</v>
      </c>
      <c r="B1266" s="4">
        <v>45936.345023148147</v>
      </c>
      <c r="C1266" s="5" t="str">
        <v>DAIHATSU GRANMAX PU AC PS 1.5 M/T</v>
      </c>
      <c r="D1266" s="5" t="str">
        <v>B4755HT</v>
      </c>
      <c r="E1266" s="10">
        <v>9687</v>
      </c>
      <c r="F1266" s="3" t="str">
        <v>Iya</v>
      </c>
      <c r="G1266" s="4">
        <v>45720</v>
      </c>
      <c r="H1266" s="10">
        <v>9687</v>
      </c>
    </row>
    <row r="1267" spans="1:8">
      <c r="A1267" s="3">
        <v>1266</v>
      </c>
      <c r="B1267" s="4">
        <v>45936.387465277781</v>
      </c>
      <c r="C1267" s="5" t="str">
        <v>DAIHATSU GRANMAX PU AC PS 1.5 M/T</v>
      </c>
      <c r="D1267" s="5" t="str">
        <v>B9272ZF</v>
      </c>
      <c r="E1267" s="10">
        <v>66297</v>
      </c>
      <c r="F1267" s="3" t="str">
        <v>Iya</v>
      </c>
      <c r="G1267" s="4">
        <v>45799</v>
      </c>
      <c r="H1267" s="10">
        <v>66297</v>
      </c>
    </row>
    <row r="1268" spans="1:8">
      <c r="A1268" s="3">
        <v>1267</v>
      </c>
      <c r="B1268" s="4">
        <v>45936.391550925917</v>
      </c>
      <c r="C1268" s="5" t="str">
        <v>DAIHATSU GRANMAX PU AC PS 1.5 M/T</v>
      </c>
      <c r="D1268" s="5" t="str">
        <v>B9303TI</v>
      </c>
      <c r="E1268" s="10">
        <v>77905</v>
      </c>
      <c r="F1268" s="3" t="str">
        <v>Iya</v>
      </c>
      <c r="G1268" s="4">
        <v>45849</v>
      </c>
      <c r="H1268" s="10">
        <v>77905</v>
      </c>
    </row>
    <row r="1269" spans="1:8">
      <c r="A1269" s="3">
        <v>1268</v>
      </c>
      <c r="B1269" s="4">
        <v>45936.409328703703</v>
      </c>
      <c r="C1269" s="5" t="str">
        <v>PICK UP TRAGA 2.5 4X2 MT D M/T</v>
      </c>
      <c r="D1269" s="5" t="str">
        <v>B4656ZVZ</v>
      </c>
      <c r="E1269" s="10">
        <v>35406</v>
      </c>
      <c r="F1269" s="3" t="str">
        <v>Iya</v>
      </c>
      <c r="G1269" s="4">
        <v>45728</v>
      </c>
      <c r="H1269" s="10">
        <v>35406</v>
      </c>
    </row>
    <row r="1270" spans="1:8">
      <c r="A1270" s="3">
        <v>1269</v>
      </c>
      <c r="B1270" s="4">
        <v>45936.442002314812</v>
      </c>
      <c r="C1270" s="5" t="str">
        <v>DAIHATSU GRANMAX PU AC PS 1.5 M/T</v>
      </c>
      <c r="D1270" s="5" t="str">
        <v>B1356KE</v>
      </c>
      <c r="E1270" s="10">
        <v>33927</v>
      </c>
      <c r="F1270" s="3" t="str">
        <v>Iya</v>
      </c>
      <c r="G1270" s="4">
        <v>45895</v>
      </c>
      <c r="H1270" s="10">
        <v>33927</v>
      </c>
    </row>
    <row r="1271" spans="1:8">
      <c r="A1271" s="3">
        <v>1270</v>
      </c>
      <c r="B1271" s="4">
        <v>45936.473576388889</v>
      </c>
      <c r="C1271" s="5" t="str">
        <v>DAIHATSU GRANMAX PU AC PS 1.5 M/T</v>
      </c>
      <c r="D1271" s="5" t="str">
        <v>B5612UFW</v>
      </c>
      <c r="E1271" s="10">
        <v>21209</v>
      </c>
      <c r="F1271" s="3" t="str">
        <v>Iya</v>
      </c>
      <c r="G1271" s="4">
        <v>45854</v>
      </c>
      <c r="H1271" s="10">
        <v>21209</v>
      </c>
    </row>
    <row r="1272" spans="1:8">
      <c r="A1272" s="3">
        <v>1271</v>
      </c>
      <c r="B1272" s="4">
        <v>45936.509143518517</v>
      </c>
      <c r="C1272" s="5" t="str">
        <v>PICK UP TRAGA 2.5 4X2 MT D M/T</v>
      </c>
      <c r="D1272" s="5" t="str">
        <v>B1177MX</v>
      </c>
      <c r="E1272" s="10">
        <v>121402</v>
      </c>
      <c r="F1272" s="3" t="str">
        <v>Iya</v>
      </c>
      <c r="G1272" s="4">
        <v>45908</v>
      </c>
      <c r="H1272" s="10">
        <v>121402</v>
      </c>
    </row>
    <row r="1273" spans="1:8">
      <c r="A1273" s="3">
        <v>1272</v>
      </c>
      <c r="B1273" s="4">
        <v>45936.53392361111</v>
      </c>
      <c r="C1273" s="5" t="str">
        <v>PICK UP TRAGA 2.5 4X2 MT D M/T</v>
      </c>
      <c r="D1273" s="5" t="str">
        <v>DA2223FX</v>
      </c>
      <c r="E1273" s="10">
        <v>51328</v>
      </c>
      <c r="F1273" s="3" t="str">
        <v>Iya</v>
      </c>
      <c r="G1273" s="4">
        <v>45873</v>
      </c>
      <c r="H1273" s="10">
        <v>51328</v>
      </c>
    </row>
    <row r="1274" spans="1:8">
      <c r="A1274" s="3">
        <v>1273</v>
      </c>
      <c r="B1274" s="4">
        <v>45936.563784722217</v>
      </c>
      <c r="C1274" s="5" t="str">
        <v>DAIHATSU GRANMAX PU AC PS 1.5 M/T</v>
      </c>
      <c r="D1274" s="5" t="str">
        <v>B6236MZW</v>
      </c>
      <c r="E1274" s="10">
        <v>34877</v>
      </c>
      <c r="F1274" s="3" t="str">
        <v>Iya</v>
      </c>
      <c r="G1274" s="4">
        <v>45888</v>
      </c>
      <c r="H1274" s="10">
        <v>34877</v>
      </c>
    </row>
    <row r="1275" spans="1:8">
      <c r="A1275" s="3">
        <v>1274</v>
      </c>
      <c r="B1275" s="4">
        <v>45936.578009259261</v>
      </c>
      <c r="C1275" s="5" t="str">
        <v>DAIHATSU GRANMAX PU AC PS 1.5 M/T</v>
      </c>
      <c r="D1275" s="5" t="str">
        <v>B6441NR</v>
      </c>
      <c r="E1275" s="10">
        <v>16022</v>
      </c>
      <c r="F1275" s="3" t="str">
        <v>Iya</v>
      </c>
      <c r="G1275" s="4">
        <v>45847</v>
      </c>
      <c r="H1275" s="10">
        <v>16022</v>
      </c>
    </row>
    <row r="1276" spans="1:8">
      <c r="A1276" s="3">
        <v>1275</v>
      </c>
      <c r="B1276" s="4">
        <v>45936.580289351848</v>
      </c>
      <c r="C1276" s="5" t="str">
        <v>PICK UP TRAGA 2.5 4X2 MT D M/T</v>
      </c>
      <c r="D1276" s="5" t="str">
        <v>B1167YL</v>
      </c>
      <c r="E1276" s="10">
        <v>27346</v>
      </c>
      <c r="F1276" s="3" t="str">
        <v>Iya</v>
      </c>
      <c r="G1276" s="4">
        <v>45864</v>
      </c>
      <c r="H1276" s="10">
        <v>27346</v>
      </c>
    </row>
    <row r="1277" spans="1:8">
      <c r="A1277" s="3">
        <v>1276</v>
      </c>
      <c r="B1277" s="4">
        <v>45936.582696759258</v>
      </c>
      <c r="C1277" s="5" t="str">
        <v>DAIHATSU GRANMAX PU AC PS 1.5 M/T</v>
      </c>
      <c r="D1277" s="5" t="str">
        <v>B1578YGJ</v>
      </c>
      <c r="E1277" s="10">
        <v>1049</v>
      </c>
      <c r="F1277" s="3" t="str">
        <v>Iya</v>
      </c>
      <c r="G1277" s="4">
        <v>45912</v>
      </c>
      <c r="H1277" s="10">
        <v>1049</v>
      </c>
    </row>
    <row r="1278" spans="1:8">
      <c r="A1278" s="3">
        <v>1277</v>
      </c>
      <c r="B1278" s="4">
        <v>45936.585601851853</v>
      </c>
      <c r="C1278" s="5" t="str">
        <v>DAIHATSU GRANMAX PU AC PS 1.5 M/T</v>
      </c>
      <c r="D1278" s="5" t="str">
        <v>B3306HX</v>
      </c>
      <c r="E1278" s="10">
        <v>16341</v>
      </c>
      <c r="F1278" s="3" t="str">
        <v>Iya</v>
      </c>
      <c r="G1278" s="4">
        <v>45824</v>
      </c>
      <c r="H1278" s="10">
        <v>16341</v>
      </c>
    </row>
    <row r="1279" spans="1:8">
      <c r="A1279" s="3">
        <v>1278</v>
      </c>
      <c r="B1279" s="4">
        <v>45936.601435185177</v>
      </c>
      <c r="C1279" s="5" t="str">
        <v>DAIHATSU GRANMAX PU AC PS 1.5 M/T</v>
      </c>
      <c r="D1279" s="5" t="str">
        <v>B4547RRN</v>
      </c>
      <c r="E1279" s="10">
        <v>72746</v>
      </c>
      <c r="F1279" s="3" t="str">
        <v>Iya</v>
      </c>
      <c r="G1279" s="4">
        <v>45757</v>
      </c>
      <c r="H1279" s="10">
        <v>72746</v>
      </c>
    </row>
    <row r="1280" spans="1:8">
      <c r="A1280" s="3">
        <v>1279</v>
      </c>
      <c r="B1280" s="4">
        <v>45936.610682870371</v>
      </c>
      <c r="C1280" s="5" t="str">
        <v>DAIHATSU GRANMAX PU AC PS 1.5 M/T</v>
      </c>
      <c r="D1280" s="5" t="str">
        <v>B1466XX</v>
      </c>
      <c r="E1280" s="10">
        <v>10</v>
      </c>
      <c r="F1280" s="3" t="str">
        <v>Iya</v>
      </c>
      <c r="G1280" s="4">
        <v>45937</v>
      </c>
      <c r="H1280" s="10">
        <v>10</v>
      </c>
    </row>
    <row r="1281" spans="1:8">
      <c r="A1281" s="3">
        <v>1280</v>
      </c>
      <c r="B1281" s="4">
        <v>45936.611921296288</v>
      </c>
      <c r="C1281" s="5" t="str">
        <v>DAIHATSU GRANMAX PU AC PS 1.5 M/T</v>
      </c>
      <c r="D1281" s="5" t="str">
        <v>B7960GK</v>
      </c>
      <c r="E1281" s="10">
        <v>18355</v>
      </c>
      <c r="F1281" s="3" t="str">
        <v>Iya</v>
      </c>
      <c r="G1281" s="4">
        <v>45668</v>
      </c>
      <c r="H1281" s="10">
        <v>18355</v>
      </c>
    </row>
    <row r="1282" spans="1:8">
      <c r="A1282" s="3">
        <v>1281</v>
      </c>
      <c r="B1282" s="4">
        <v>45936.615347222221</v>
      </c>
      <c r="C1282" s="5" t="str">
        <v>PICK UP TRAGA 2.5 4X2 MT D M/T</v>
      </c>
      <c r="D1282" s="5" t="str">
        <v>B1901ZW</v>
      </c>
      <c r="E1282" s="10">
        <v>11780</v>
      </c>
      <c r="F1282" s="3" t="str">
        <v>Iya</v>
      </c>
      <c r="G1282" s="4">
        <v>45926</v>
      </c>
      <c r="H1282" s="10">
        <v>11780</v>
      </c>
    </row>
    <row r="1283" spans="1:8">
      <c r="A1283" s="3">
        <v>1282</v>
      </c>
      <c r="B1283" s="4">
        <v>45936.621620370373</v>
      </c>
      <c r="C1283" s="5" t="str">
        <v>PICK UP TRAGA 2.5 4X2 MT D M/T</v>
      </c>
      <c r="D1283" s="5" t="str">
        <v>B3007PX</v>
      </c>
      <c r="E1283" s="10">
        <v>1364</v>
      </c>
      <c r="F1283" s="3" t="str">
        <v>Iya</v>
      </c>
      <c r="G1283" s="4">
        <v>45936</v>
      </c>
      <c r="H1283" s="10">
        <v>1364</v>
      </c>
    </row>
    <row r="1284" spans="1:8">
      <c r="A1284" s="3">
        <v>1283</v>
      </c>
      <c r="B1284" s="4">
        <v>45936.622361111113</v>
      </c>
      <c r="C1284" s="5" t="str">
        <v>DAIHATSU GRANMAX PU AC PS 1.5 M/T</v>
      </c>
      <c r="D1284" s="5" t="str">
        <v>B6483WV</v>
      </c>
      <c r="E1284" s="10">
        <v>5677</v>
      </c>
      <c r="F1284" s="3" t="str">
        <v>Iya</v>
      </c>
      <c r="G1284" s="4">
        <v>45923</v>
      </c>
      <c r="H1284" s="10">
        <v>5677</v>
      </c>
    </row>
    <row r="1285" spans="1:8">
      <c r="A1285" s="3">
        <v>1284</v>
      </c>
      <c r="B1285" s="4">
        <v>45936.62903935185</v>
      </c>
      <c r="C1285" s="5" t="str">
        <v>DAIHATSU GRANMAX PU AC PS 1.5 M/T</v>
      </c>
      <c r="D1285" s="5" t="str">
        <v>B1444CKJ</v>
      </c>
      <c r="E1285" s="10">
        <v>91385</v>
      </c>
      <c r="F1285" s="3" t="str">
        <v>Iya</v>
      </c>
      <c r="G1285" s="4">
        <v>45924</v>
      </c>
      <c r="H1285" s="10">
        <v>91385</v>
      </c>
    </row>
    <row r="1286" spans="1:8">
      <c r="A1286" s="3">
        <v>1285</v>
      </c>
      <c r="B1286" s="4">
        <v>45936.638333333343</v>
      </c>
      <c r="C1286" s="5" t="str">
        <v>Daihatsu Xenia (Badan)</v>
      </c>
      <c r="D1286" s="5" t="str">
        <v>B5705IPL</v>
      </c>
      <c r="E1286" s="10">
        <v>53681</v>
      </c>
      <c r="F1286" s="3" t="str">
        <v>Iya</v>
      </c>
      <c r="G1286" s="4">
        <v>45850</v>
      </c>
      <c r="H1286" s="10">
        <v>53681</v>
      </c>
    </row>
    <row r="1287" spans="1:8">
      <c r="A1287" s="3">
        <v>1286</v>
      </c>
      <c r="B1287" s="4">
        <v>45936.654513888891</v>
      </c>
      <c r="C1287" s="5" t="str">
        <v>DAIHATSU GRANMAX PU AC PS 1.5 M/T</v>
      </c>
      <c r="D1287" s="5" t="str">
        <v>B8613WYE</v>
      </c>
      <c r="E1287" s="10">
        <v>54173</v>
      </c>
      <c r="F1287" s="3" t="str">
        <v>Iya</v>
      </c>
      <c r="G1287" s="4">
        <v>45934</v>
      </c>
      <c r="H1287" s="10">
        <v>54173</v>
      </c>
    </row>
    <row r="1288" spans="1:8">
      <c r="A1288" s="3">
        <v>1287</v>
      </c>
      <c r="B1288" s="4">
        <v>45936.670798611107</v>
      </c>
      <c r="C1288" s="5" t="str">
        <v>DAIHATSU GRANMAX PU AC PS 1.5 M/T</v>
      </c>
      <c r="D1288" s="5" t="str">
        <v>B5592QL</v>
      </c>
      <c r="E1288" s="10">
        <v>56261</v>
      </c>
      <c r="F1288" s="3" t="str">
        <v>Iya</v>
      </c>
      <c r="G1288" s="4">
        <v>45883</v>
      </c>
      <c r="H1288" s="10">
        <v>56261</v>
      </c>
    </row>
    <row r="1289" spans="1:8">
      <c r="A1289" s="3">
        <v>1288</v>
      </c>
      <c r="B1289" s="4">
        <v>45936.677893518521</v>
      </c>
      <c r="C1289" s="5" t="str">
        <v>DAIHATSU GRANMAX PU AC PS 1.5 M/T</v>
      </c>
      <c r="D1289" s="5" t="str">
        <v>B4411YL</v>
      </c>
      <c r="E1289" s="10">
        <v>92363</v>
      </c>
      <c r="F1289" s="3" t="str">
        <v>Iya</v>
      </c>
      <c r="G1289" s="4">
        <v>45793</v>
      </c>
      <c r="H1289" s="10">
        <v>92363</v>
      </c>
    </row>
    <row r="1290" spans="1:8">
      <c r="A1290" s="3">
        <v>1289</v>
      </c>
      <c r="B1290" s="4">
        <v>45936.818252314813</v>
      </c>
      <c r="C1290" s="5" t="str">
        <v>PICK UP TRAGA 2.5 4X2 MT D M/T</v>
      </c>
      <c r="D1290" s="5" t="str">
        <v>B2357HT</v>
      </c>
      <c r="E1290" s="10">
        <v>71741</v>
      </c>
      <c r="F1290" s="3" t="str">
        <v>Iya</v>
      </c>
      <c r="G1290" s="4">
        <v>45811</v>
      </c>
      <c r="H1290" s="10">
        <v>71741</v>
      </c>
    </row>
    <row r="1291" spans="1:8">
      <c r="A1291" s="3">
        <v>1290</v>
      </c>
      <c r="B1291" s="4">
        <v>45937.481238425928</v>
      </c>
      <c r="C1291" s="5" t="str">
        <v>DAIHATSU GRANMAX PU AC PS 1.5 M/T</v>
      </c>
      <c r="D1291" s="5" t="str">
        <v>B6076VM</v>
      </c>
      <c r="E1291" s="10">
        <v>3767</v>
      </c>
      <c r="F1291" s="3" t="str">
        <v>Iya</v>
      </c>
      <c r="G1291" s="4">
        <v>45937</v>
      </c>
      <c r="H1291" s="10">
        <v>3767</v>
      </c>
    </row>
    <row r="1292" spans="1:8">
      <c r="A1292" s="3">
        <v>1291</v>
      </c>
      <c r="B1292" s="4">
        <v>45938.413657407407</v>
      </c>
      <c r="C1292" s="5" t="str">
        <v>PICK UP TRAGA 2.5 4X2 MT D M/T</v>
      </c>
      <c r="D1292" s="5" t="str">
        <v>B7915GBS</v>
      </c>
      <c r="E1292" s="10">
        <v>50784</v>
      </c>
      <c r="F1292" s="3" t="str">
        <v>Iya</v>
      </c>
      <c r="G1292" s="4">
        <v>45876</v>
      </c>
      <c r="H1292" s="10">
        <v>50784</v>
      </c>
    </row>
    <row r="1293" spans="1:8">
      <c r="A1293" s="3">
        <v>1292</v>
      </c>
      <c r="B1293" s="4">
        <v>45938.705347222232</v>
      </c>
      <c r="C1293" s="5" t="str">
        <v>PICK UP TRAGA 2.5 4X2 MT D M/T</v>
      </c>
      <c r="D1293" s="5" t="str">
        <v>B2556XDV</v>
      </c>
      <c r="E1293" s="10">
        <v>57766</v>
      </c>
      <c r="F1293" s="3" t="str">
        <v>Iya</v>
      </c>
      <c r="G1293" s="4">
        <v>45799</v>
      </c>
      <c r="H1293" s="10">
        <v>57766</v>
      </c>
    </row>
    <row r="1294" spans="1:8">
      <c r="A1294" s="3">
        <v>1293</v>
      </c>
      <c r="B1294" s="4">
        <v>45940.357048611113</v>
      </c>
      <c r="C1294" s="5" t="str">
        <v>DAIHATSU GRANMAX PU AC PS 1.5 M/T</v>
      </c>
      <c r="D1294" s="5" t="str">
        <v>B6505HTV</v>
      </c>
      <c r="E1294" s="10">
        <v>54103</v>
      </c>
      <c r="F1294" s="3" t="str">
        <v>Iya</v>
      </c>
      <c r="G1294" s="4">
        <v>45714</v>
      </c>
      <c r="H1294" s="10">
        <v>54103</v>
      </c>
    </row>
    <row r="1295" spans="1:8">
      <c r="A1295" s="3">
        <v>1294</v>
      </c>
      <c r="B1295" s="4">
        <v>45933.363703703697</v>
      </c>
      <c r="C1295" s="5" t="str">
        <v>DAIHATSU GRANMAX PU AC PS 1.5 M/T</v>
      </c>
      <c r="D1295" s="5" t="str">
        <v>B6999PZ</v>
      </c>
      <c r="E1295" s="10">
        <v>19677</v>
      </c>
      <c r="F1295" s="3" t="str">
        <v>Iya</v>
      </c>
      <c r="G1295" s="4">
        <v>45861</v>
      </c>
      <c r="H1295" s="10">
        <v>19677</v>
      </c>
    </row>
    <row r="1296" spans="1:8">
      <c r="A1296" s="3">
        <v>1295</v>
      </c>
      <c r="B1296" s="4">
        <v>45933.368020833332</v>
      </c>
      <c r="C1296" s="5" t="str">
        <v>DAIHATSU GRANMAX PU AC PS 1.5 M/T</v>
      </c>
      <c r="D1296" s="5" t="str">
        <v>B2491RA</v>
      </c>
      <c r="E1296" s="10">
        <v>64279</v>
      </c>
      <c r="F1296" s="3" t="str">
        <v>Iya</v>
      </c>
      <c r="G1296" s="4">
        <v>45926</v>
      </c>
      <c r="H1296" s="10">
        <v>64279</v>
      </c>
    </row>
    <row r="1297" spans="1:8">
      <c r="A1297" s="3">
        <v>1296</v>
      </c>
      <c r="B1297" s="4">
        <v>45933.423043981478</v>
      </c>
      <c r="C1297" s="5" t="str">
        <v>DAIHATSU GRANMAX PU AC PS 1.5 M/T</v>
      </c>
      <c r="D1297" s="5" t="str">
        <v>B8645QN</v>
      </c>
      <c r="E1297" s="10">
        <v>45607</v>
      </c>
      <c r="F1297" s="3" t="str">
        <v>Iya</v>
      </c>
      <c r="G1297" s="4">
        <v>45771</v>
      </c>
      <c r="H1297" s="10">
        <v>45607</v>
      </c>
    </row>
    <row r="1298" spans="1:8">
      <c r="A1298" s="3">
        <v>1297</v>
      </c>
      <c r="B1298" s="4">
        <v>45933.463240740741</v>
      </c>
      <c r="C1298" s="5" t="str">
        <v>DAIHATSU GRANMAX PU AC PS 1.5 M/T</v>
      </c>
      <c r="D1298" s="5" t="str">
        <v>KT4620NQ</v>
      </c>
      <c r="E1298" s="10">
        <v>1672</v>
      </c>
      <c r="F1298" s="3" t="str">
        <v>Iya</v>
      </c>
      <c r="G1298" s="4">
        <v>45916</v>
      </c>
      <c r="H1298" s="10">
        <v>1672</v>
      </c>
    </row>
    <row r="1299" spans="1:8">
      <c r="A1299" s="3">
        <v>1298</v>
      </c>
      <c r="B1299" s="4">
        <v>45933.676041666673</v>
      </c>
      <c r="C1299" s="5" t="str">
        <v>PICK UP TRAGA 2.5 4X2 MT D M/T</v>
      </c>
      <c r="D1299" s="5" t="str">
        <v>B7983KQ</v>
      </c>
      <c r="E1299" s="10">
        <v>32515</v>
      </c>
      <c r="F1299" s="3" t="str">
        <v>Iya</v>
      </c>
      <c r="G1299" s="4">
        <v>45888</v>
      </c>
      <c r="H1299" s="10">
        <v>32515</v>
      </c>
    </row>
    <row r="1300" spans="1:8">
      <c r="A1300" s="3">
        <v>1299</v>
      </c>
      <c r="B1300" s="4">
        <v>45934.3</v>
      </c>
      <c r="C1300" s="5" t="str">
        <v>PICK UP TRAGA 2.5 4X2 MT D M/T</v>
      </c>
      <c r="D1300" s="5" t="str">
        <v>B7875XVS</v>
      </c>
      <c r="E1300" s="10">
        <v>19665</v>
      </c>
      <c r="F1300" s="3" t="str">
        <v>Iya</v>
      </c>
      <c r="G1300" s="4">
        <v>45812</v>
      </c>
      <c r="H1300" s="10">
        <v>19665</v>
      </c>
    </row>
    <row r="1301" spans="1:8">
      <c r="A1301" s="3">
        <v>1300</v>
      </c>
      <c r="B1301" s="4">
        <v>45946.584120370368</v>
      </c>
      <c r="C1301" s="5" t="str">
        <v>DAIHATSU GRANMAX PU AC PS 1.5 M/T</v>
      </c>
      <c r="D1301" s="5" t="str">
        <v>B1377MKN</v>
      </c>
      <c r="E1301" s="10">
        <v>61082</v>
      </c>
      <c r="F1301" s="3" t="str">
        <v>Iya</v>
      </c>
      <c r="G1301" s="4">
        <v>45946</v>
      </c>
      <c r="H1301" s="10">
        <v>61082</v>
      </c>
    </row>
    <row r="1302" spans="1:8">
      <c r="A1302" s="3">
        <v>1301</v>
      </c>
      <c r="B1302" s="4">
        <v>45951.510324074072</v>
      </c>
      <c r="C1302" s="5" t="str">
        <v>PICK UP TRAGA 2.5 4X2 MT D M/T</v>
      </c>
      <c r="D1302" s="5" t="str">
        <v>B7482LG</v>
      </c>
      <c r="E1302" s="10">
        <v>64231</v>
      </c>
      <c r="F1302" s="3" t="str">
        <v>Iya</v>
      </c>
      <c r="G1302" s="4">
        <v>45786</v>
      </c>
      <c r="H1302" s="10">
        <v>64231</v>
      </c>
    </row>
    <row r="1303" spans="1:8">
      <c r="A1303" s="3">
        <v>1302</v>
      </c>
      <c r="B1303" s="4">
        <v>45951.522430555553</v>
      </c>
      <c r="C1303" s="5" t="str">
        <v>PICK UP TRAGA 2.5 4X2 MT D M/T</v>
      </c>
      <c r="D1303" s="5" t="str">
        <v>B3007PX</v>
      </c>
      <c r="E1303" s="10">
        <v>1993</v>
      </c>
      <c r="F1303" s="3" t="str">
        <v>Iya</v>
      </c>
      <c r="G1303" s="4">
        <v>45951</v>
      </c>
      <c r="H1303" s="10">
        <v>1993</v>
      </c>
    </row>
    <row r="1304" spans="1:8">
      <c r="A1304" s="3">
        <v>1303</v>
      </c>
      <c r="B1304" s="4">
        <v>45951.541921296302</v>
      </c>
      <c r="C1304" s="5" t="str">
        <v>DAIHATSU GRANMAX PU AC PS 1.5 M/T</v>
      </c>
      <c r="D1304" s="5" t="str">
        <v>B8144GH</v>
      </c>
      <c r="E1304" s="10">
        <v>8174</v>
      </c>
      <c r="F1304" s="3" t="str">
        <v>Iya</v>
      </c>
      <c r="G1304" s="4">
        <v>45867</v>
      </c>
      <c r="H1304" s="10">
        <v>8174</v>
      </c>
    </row>
    <row r="1305" spans="1:8">
      <c r="A1305" s="3">
        <v>1304</v>
      </c>
      <c r="B1305" s="4">
        <v>45951.547222222223</v>
      </c>
      <c r="C1305" s="5" t="str">
        <v>PICK UP TRAGA 2.5 4X2 MT D M/T</v>
      </c>
      <c r="D1305" s="5" t="str">
        <v>B8491EZ</v>
      </c>
      <c r="E1305" s="10">
        <v>16649</v>
      </c>
      <c r="F1305" s="3" t="str">
        <v>Iya</v>
      </c>
      <c r="G1305" s="4">
        <v>45812</v>
      </c>
      <c r="H1305" s="10">
        <v>16649</v>
      </c>
    </row>
    <row r="1306" spans="1:8">
      <c r="A1306" s="3">
        <v>1305</v>
      </c>
      <c r="B1306" s="4">
        <v>45951.54996527778</v>
      </c>
      <c r="C1306" s="5" t="str">
        <v>DAIHATSU GRANMAX PU AC PS 1.5 M/T</v>
      </c>
      <c r="D1306" s="5" t="str">
        <v>H3815DXD</v>
      </c>
      <c r="E1306" s="10">
        <v>10488</v>
      </c>
      <c r="F1306" s="3" t="str">
        <v>Iya</v>
      </c>
      <c r="G1306" s="4">
        <v>45904</v>
      </c>
      <c r="H1306" s="10">
        <v>10488</v>
      </c>
    </row>
    <row r="1307" spans="1:8">
      <c r="A1307" s="3">
        <v>1306</v>
      </c>
      <c r="B1307" s="4">
        <v>45951.557719907411</v>
      </c>
      <c r="C1307" s="5" t="str">
        <v>DAIHATSU GRANMAX PU AC PS 1.5 M/T</v>
      </c>
      <c r="D1307" s="5" t="str">
        <v>B7069IU</v>
      </c>
      <c r="E1307" s="10">
        <v>8745</v>
      </c>
      <c r="F1307" s="3" t="str">
        <v>Iya</v>
      </c>
      <c r="G1307" s="4">
        <v>45846</v>
      </c>
      <c r="H1307" s="10">
        <v>8745</v>
      </c>
    </row>
    <row r="1308" spans="1:8">
      <c r="A1308" s="3">
        <v>1307</v>
      </c>
      <c r="B1308" s="4">
        <v>45951.587800925918</v>
      </c>
      <c r="C1308" s="5" t="str">
        <v>PICK UP TRAGA 2.5 4X2 MT D M/T</v>
      </c>
      <c r="D1308" s="5" t="str">
        <v>B7591HAI</v>
      </c>
      <c r="E1308" s="10">
        <v>98311</v>
      </c>
      <c r="F1308" s="3" t="str">
        <v>Iya</v>
      </c>
      <c r="G1308" s="4">
        <v>45931</v>
      </c>
      <c r="H1308" s="10">
        <v>98311</v>
      </c>
    </row>
    <row r="1309" spans="1:8">
      <c r="A1309" s="3">
        <v>1308</v>
      </c>
      <c r="B1309" s="4">
        <v>45951.594571759262</v>
      </c>
      <c r="C1309" s="5" t="str">
        <v>PICK UP TRAGA 2.5 4X2 MT D M/T</v>
      </c>
      <c r="D1309" s="5" t="str">
        <v>KB3403JE</v>
      </c>
      <c r="E1309" s="10">
        <v>70357</v>
      </c>
      <c r="F1309" s="3" t="str">
        <v>Iya</v>
      </c>
      <c r="G1309" s="4">
        <v>45875</v>
      </c>
      <c r="H1309" s="10">
        <v>70357</v>
      </c>
    </row>
    <row r="1310" spans="1:8">
      <c r="A1310" s="3">
        <v>1309</v>
      </c>
      <c r="B1310" s="4">
        <v>45951.597962962973</v>
      </c>
      <c r="C1310" s="5" t="str">
        <v>DAIHATSU GRANMAX PU AC PS 1.5 M/T</v>
      </c>
      <c r="D1310" s="5" t="str">
        <v>B8457UZ</v>
      </c>
      <c r="E1310" s="10">
        <v>12487</v>
      </c>
      <c r="F1310" s="3" t="str">
        <v>Iya</v>
      </c>
      <c r="G1310" s="4">
        <v>45919</v>
      </c>
      <c r="H1310" s="10">
        <v>12487</v>
      </c>
    </row>
    <row r="1311" spans="1:8">
      <c r="A1311" s="3">
        <v>1310</v>
      </c>
      <c r="B1311" s="4">
        <v>45951.603252314817</v>
      </c>
      <c r="C1311" s="5" t="str">
        <v>DAIHATSU GRANMAX PU AC PS 1.5 M/T</v>
      </c>
      <c r="D1311" s="5" t="str">
        <v>B6871DFH</v>
      </c>
      <c r="E1311" s="10">
        <v>11183</v>
      </c>
      <c r="F1311" s="3" t="str">
        <v>Iya</v>
      </c>
      <c r="G1311" s="4">
        <v>45923</v>
      </c>
      <c r="H1311" s="10">
        <v>11183</v>
      </c>
    </row>
    <row r="1312" spans="1:8">
      <c r="A1312" s="3">
        <v>1311</v>
      </c>
      <c r="B1312" s="4">
        <v>45951.612245370372</v>
      </c>
      <c r="C1312" s="5" t="str">
        <v>DAIHATSU GRANMAX PU AC PS 1.5 M/T</v>
      </c>
      <c r="D1312" s="5" t="str">
        <v>KB6393GN</v>
      </c>
      <c r="E1312" s="10">
        <v>5204</v>
      </c>
      <c r="F1312" s="3" t="str">
        <v>Iya</v>
      </c>
      <c r="G1312" s="4">
        <v>45724</v>
      </c>
      <c r="H1312" s="10">
        <v>5204</v>
      </c>
    </row>
    <row r="1313" spans="1:8">
      <c r="A1313" s="3">
        <v>1312</v>
      </c>
      <c r="B1313" s="4">
        <v>45951.619432870371</v>
      </c>
      <c r="C1313" s="5" t="str">
        <v>PICK UP TRAGA 2.5 4X2 MT D M/T</v>
      </c>
      <c r="D1313" s="5" t="str">
        <v>KT2370AGQ</v>
      </c>
      <c r="E1313" s="10">
        <v>21180</v>
      </c>
      <c r="F1313" s="3" t="str">
        <v>Iya</v>
      </c>
      <c r="G1313" s="4">
        <v>45889</v>
      </c>
      <c r="H1313" s="10">
        <v>21180</v>
      </c>
    </row>
    <row r="1314" spans="1:8">
      <c r="A1314" s="3">
        <v>1313</v>
      </c>
      <c r="B1314" s="4">
        <v>45951.623761574083</v>
      </c>
      <c r="C1314" s="5" t="str">
        <v>PICK UP TRAGA 2.5 4X2 MT D M/T</v>
      </c>
      <c r="D1314" s="5" t="str">
        <v>B6986NB</v>
      </c>
      <c r="E1314" s="10">
        <v>39428</v>
      </c>
      <c r="F1314" s="3" t="str">
        <v>Iya</v>
      </c>
      <c r="G1314" s="4">
        <v>45922</v>
      </c>
      <c r="H1314" s="10">
        <v>39428</v>
      </c>
    </row>
    <row r="1315" spans="1:8">
      <c r="A1315" s="3">
        <v>1314</v>
      </c>
      <c r="B1315" s="4">
        <v>45951.62703703704</v>
      </c>
      <c r="C1315" s="5" t="str">
        <v>Daihatsu Xenia (Badan)</v>
      </c>
      <c r="D1315" s="5" t="str">
        <v>D9393MC</v>
      </c>
      <c r="E1315" s="10">
        <v>54319</v>
      </c>
      <c r="F1315" s="3" t="str">
        <v>Iya</v>
      </c>
      <c r="G1315" s="4">
        <v>45924</v>
      </c>
      <c r="H1315" s="10">
        <v>54319</v>
      </c>
    </row>
    <row r="1316" spans="1:8">
      <c r="A1316" s="3">
        <v>1315</v>
      </c>
      <c r="B1316" s="4">
        <v>45951.627453703702</v>
      </c>
      <c r="C1316" s="5" t="str">
        <v>PICK UP TRAGA 2.5 4X2 MT D M/T</v>
      </c>
      <c r="D1316" s="5" t="str">
        <v>B3406ZUA</v>
      </c>
      <c r="E1316" s="10">
        <v>56696</v>
      </c>
      <c r="F1316" s="3" t="str">
        <v>Iya</v>
      </c>
      <c r="G1316" s="4">
        <v>45938</v>
      </c>
      <c r="H1316" s="10">
        <v>56696</v>
      </c>
    </row>
    <row r="1317" spans="1:8">
      <c r="A1317" s="3">
        <v>1316</v>
      </c>
      <c r="B1317" s="4">
        <v>45951.632245370369</v>
      </c>
      <c r="C1317" s="5" t="str">
        <v>PICK UP TRAGA 2.5 4X2 MT D M/T</v>
      </c>
      <c r="D1317" s="5" t="str">
        <v>B6905PX</v>
      </c>
      <c r="E1317" s="10">
        <v>3151</v>
      </c>
      <c r="F1317" s="3" t="str">
        <v>Iya</v>
      </c>
      <c r="G1317" s="4">
        <v>45849</v>
      </c>
      <c r="H1317" s="10">
        <v>3151</v>
      </c>
    </row>
    <row r="1318" spans="1:8">
      <c r="A1318" s="3">
        <v>1317</v>
      </c>
      <c r="B1318" s="4">
        <v>45951.637662037043</v>
      </c>
      <c r="C1318" s="5" t="str">
        <v>DAIHATSU GRANMAX PU AC PS 1.5 M/T</v>
      </c>
      <c r="D1318" s="5" t="str">
        <v>DD1071FI</v>
      </c>
      <c r="E1318" s="10">
        <v>29813</v>
      </c>
      <c r="F1318" s="3" t="str">
        <v>Iya</v>
      </c>
      <c r="G1318" s="4">
        <v>45911</v>
      </c>
      <c r="H1318" s="10">
        <v>29813</v>
      </c>
    </row>
    <row r="1319" spans="1:8">
      <c r="A1319" s="3">
        <v>1318</v>
      </c>
      <c r="B1319" s="4">
        <v>45951.644085648149</v>
      </c>
      <c r="C1319" s="5" t="str">
        <v>DAIHATSU GRANMAX PU AC PS 1.5 M/T</v>
      </c>
      <c r="D1319" s="5" t="str">
        <v>B3306HX</v>
      </c>
      <c r="E1319" s="10">
        <v>15895</v>
      </c>
      <c r="F1319" s="3" t="str">
        <v>Iya</v>
      </c>
      <c r="G1319" s="4">
        <v>45827</v>
      </c>
      <c r="H1319" s="10">
        <v>15895</v>
      </c>
    </row>
    <row r="1320" spans="1:8">
      <c r="A1320" s="3">
        <v>1319</v>
      </c>
      <c r="B1320" s="4">
        <v>45951.655555555553</v>
      </c>
      <c r="C1320" s="5" t="str">
        <v>PICK UP TRAGA 2.5 4X2 MT D M/T</v>
      </c>
      <c r="D1320" s="5" t="str">
        <v>B9936AP</v>
      </c>
      <c r="E1320" s="10">
        <v>45490</v>
      </c>
      <c r="F1320" s="3" t="str">
        <v>Iya</v>
      </c>
      <c r="G1320" s="4">
        <v>45931</v>
      </c>
      <c r="H1320" s="10">
        <v>45490</v>
      </c>
    </row>
    <row r="1321" spans="1:8">
      <c r="A1321" s="3">
        <v>1320</v>
      </c>
      <c r="B1321" s="4">
        <v>45951.657557870371</v>
      </c>
      <c r="C1321" s="5" t="str">
        <v>DAIHATSU GRANMAX PU AC PS 1.5 M/T</v>
      </c>
      <c r="D1321" s="5" t="str">
        <v>B3540VF</v>
      </c>
      <c r="E1321" s="10">
        <v>16352</v>
      </c>
      <c r="F1321" s="3" t="str">
        <v>Iya</v>
      </c>
      <c r="G1321" s="4">
        <v>45911</v>
      </c>
      <c r="H1321" s="10">
        <v>16352</v>
      </c>
    </row>
    <row r="1322" spans="1:8">
      <c r="A1322" s="3">
        <v>1321</v>
      </c>
      <c r="B1322" s="4">
        <v>45951.662210648137</v>
      </c>
      <c r="C1322" s="5" t="str">
        <v>DAIHATSU GRANMAX PU AC PS 1.5 M/T</v>
      </c>
      <c r="D1322" s="5" t="str">
        <v>B1827DA</v>
      </c>
      <c r="E1322" s="10">
        <v>22290</v>
      </c>
      <c r="F1322" s="3" t="str">
        <v>Iya</v>
      </c>
      <c r="G1322" s="4">
        <v>45947</v>
      </c>
      <c r="H1322" s="10">
        <v>22290</v>
      </c>
    </row>
    <row r="1323" spans="1:8">
      <c r="A1323" s="3">
        <v>1322</v>
      </c>
      <c r="B1323" s="4">
        <v>45951.662569444437</v>
      </c>
      <c r="C1323" s="5" t="str">
        <v>PICK UP TRAGA 2.5 4X2 MT D M/T</v>
      </c>
      <c r="D1323" s="5" t="str">
        <v>B3050XRL</v>
      </c>
      <c r="E1323" s="10">
        <v>73662</v>
      </c>
      <c r="F1323" s="3" t="str">
        <v>Iya</v>
      </c>
      <c r="G1323" s="4">
        <v>45912</v>
      </c>
      <c r="H1323" s="10">
        <v>73662</v>
      </c>
    </row>
    <row r="1324" spans="1:8">
      <c r="A1324" s="3">
        <v>1323</v>
      </c>
      <c r="B1324" s="4">
        <v>45951.664236111108</v>
      </c>
      <c r="C1324" s="5" t="str">
        <v>DAIHATSU GRANMAX PU AC PS 1.5 M/T</v>
      </c>
      <c r="D1324" s="5" t="str">
        <v>B3144SJ</v>
      </c>
      <c r="E1324" s="10">
        <v>47242</v>
      </c>
      <c r="F1324" s="3" t="str">
        <v>Iya</v>
      </c>
      <c r="G1324" s="4">
        <v>45915</v>
      </c>
      <c r="H1324" s="10">
        <v>47242</v>
      </c>
    </row>
    <row r="1325" spans="1:8">
      <c r="A1325" s="3">
        <v>1324</v>
      </c>
      <c r="B1325" s="4">
        <v>45951.665694444448</v>
      </c>
      <c r="C1325" s="5" t="str">
        <v>Daihatsu Xenia (Badan)</v>
      </c>
      <c r="D1325" s="5" t="str">
        <v>B8659RLN</v>
      </c>
      <c r="E1325" s="10">
        <v>55011</v>
      </c>
      <c r="F1325" s="3" t="str">
        <v>Iya</v>
      </c>
      <c r="G1325" s="4">
        <v>45810</v>
      </c>
      <c r="H1325" s="10">
        <v>55011</v>
      </c>
    </row>
    <row r="1326" spans="1:8">
      <c r="A1326" s="3">
        <v>1325</v>
      </c>
      <c r="B1326" s="4">
        <v>45951.666527777779</v>
      </c>
      <c r="C1326" s="5" t="str">
        <v>DAIHATSU GRANMAX PU AC PS 1.5 M/T</v>
      </c>
      <c r="D1326" s="5" t="str">
        <v>B5948HU</v>
      </c>
      <c r="E1326" s="10">
        <v>6288</v>
      </c>
      <c r="F1326" s="3" t="str">
        <v>Iya</v>
      </c>
      <c r="G1326" s="4">
        <v>45915</v>
      </c>
      <c r="H1326" s="10">
        <v>6288</v>
      </c>
    </row>
    <row r="1327" spans="1:8">
      <c r="A1327" s="3">
        <v>1326</v>
      </c>
      <c r="B1327" s="4">
        <v>45951.666597222233</v>
      </c>
      <c r="C1327" s="5" t="str">
        <v>DAIHATSU GRANMAX PU AC PS 1.5 M/T</v>
      </c>
      <c r="D1327" s="5" t="str">
        <v>B7135IN</v>
      </c>
      <c r="E1327" s="10">
        <v>18962</v>
      </c>
      <c r="F1327" s="3" t="str">
        <v>Iya</v>
      </c>
      <c r="G1327" s="4">
        <v>45910</v>
      </c>
      <c r="H1327" s="10">
        <v>18962</v>
      </c>
    </row>
    <row r="1328" spans="1:8">
      <c r="A1328" s="3">
        <v>1327</v>
      </c>
      <c r="B1328" s="4">
        <v>45951.672164351847</v>
      </c>
      <c r="C1328" s="5" t="str">
        <v>DAIHATSU GRANMAX PU AC PS 1.5 M/T</v>
      </c>
      <c r="D1328" s="5" t="str">
        <v>B8740PD</v>
      </c>
      <c r="E1328" s="10">
        <v>51762</v>
      </c>
      <c r="F1328" s="3" t="str">
        <v>Iya</v>
      </c>
      <c r="G1328" s="4">
        <v>45825</v>
      </c>
      <c r="H1328" s="10">
        <v>51762</v>
      </c>
    </row>
    <row r="1329" spans="1:8">
      <c r="A1329" s="3">
        <v>1328</v>
      </c>
      <c r="B1329" s="4">
        <v>45951.683055555557</v>
      </c>
      <c r="C1329" s="5" t="str">
        <v>PICK UP TRAGA 2.5 4X2 MT D M/T</v>
      </c>
      <c r="D1329" s="5" t="str">
        <v>B5623MA</v>
      </c>
      <c r="E1329" s="10">
        <v>2967</v>
      </c>
      <c r="F1329" s="3" t="str">
        <v>Iya</v>
      </c>
      <c r="G1329" s="4">
        <v>45951</v>
      </c>
      <c r="H1329" s="10">
        <v>2967</v>
      </c>
    </row>
    <row r="1330" spans="1:8">
      <c r="A1330" s="3">
        <v>1329</v>
      </c>
      <c r="B1330" s="4">
        <v>45951.683530092603</v>
      </c>
      <c r="C1330" s="5" t="str">
        <v>PICK UP TRAGA 2.5 4X2 MT D M/T</v>
      </c>
      <c r="D1330" s="5" t="str">
        <v>B4162QMK</v>
      </c>
      <c r="E1330" s="10">
        <v>1783</v>
      </c>
      <c r="F1330" s="3" t="str">
        <v>Iya</v>
      </c>
      <c r="G1330" s="4">
        <v>45938</v>
      </c>
      <c r="H1330" s="10">
        <v>1783</v>
      </c>
    </row>
    <row r="1331" spans="1:8">
      <c r="A1331" s="3">
        <v>1330</v>
      </c>
      <c r="B1331" s="4">
        <v>45951.687314814822</v>
      </c>
      <c r="C1331" s="5" t="str">
        <v>PICK UP TRAGA 2.5 4X2 MT D M/T</v>
      </c>
      <c r="D1331" s="5" t="str">
        <v>B6912CV</v>
      </c>
      <c r="E1331" s="10">
        <v>4954</v>
      </c>
      <c r="F1331" s="3" t="str">
        <v>Iya</v>
      </c>
      <c r="G1331" s="4">
        <v>45918</v>
      </c>
      <c r="H1331" s="10">
        <v>4954</v>
      </c>
    </row>
    <row r="1332" spans="1:8">
      <c r="A1332" s="3">
        <v>1331</v>
      </c>
      <c r="B1332" s="4">
        <v>45951.690335648149</v>
      </c>
      <c r="C1332" s="5" t="str">
        <v>DAIHATSU GRANMAX PU AC PS 1.5 M/T</v>
      </c>
      <c r="D1332" s="5" t="str">
        <v>B5277IQ</v>
      </c>
      <c r="E1332" s="10">
        <v>40789</v>
      </c>
      <c r="F1332" s="3" t="str">
        <v>Iya</v>
      </c>
      <c r="G1332" s="4">
        <v>45810</v>
      </c>
      <c r="H1332" s="10">
        <v>40789</v>
      </c>
    </row>
    <row r="1333" spans="1:8">
      <c r="A1333" s="3">
        <v>1332</v>
      </c>
      <c r="B1333" s="4">
        <v>45951.692465277767</v>
      </c>
      <c r="C1333" s="5" t="str">
        <v>DAIHATSU GRANMAX PU AC PS 1.5 M/T</v>
      </c>
      <c r="D1333" s="5" t="str">
        <v>B3553ILD</v>
      </c>
      <c r="E1333" s="10">
        <v>9543</v>
      </c>
      <c r="F1333" s="3" t="str">
        <v>Iya</v>
      </c>
      <c r="G1333" s="4">
        <v>45884</v>
      </c>
      <c r="H1333" s="10">
        <v>9543</v>
      </c>
    </row>
    <row r="1334" spans="1:8">
      <c r="A1334" s="3">
        <v>1333</v>
      </c>
      <c r="B1334" s="4">
        <v>45951.693009259259</v>
      </c>
      <c r="C1334" s="5" t="str">
        <v>DAIHATSU GRANMAX PU AC PS 1.5 M/T</v>
      </c>
      <c r="D1334" s="5" t="str">
        <v>B7692UCT</v>
      </c>
      <c r="E1334" s="10">
        <v>8847</v>
      </c>
      <c r="F1334" s="3" t="str">
        <v>Iya</v>
      </c>
      <c r="G1334" s="4">
        <v>45827</v>
      </c>
      <c r="H1334" s="10">
        <v>8847</v>
      </c>
    </row>
    <row r="1335" spans="1:8">
      <c r="A1335" s="3">
        <v>1334</v>
      </c>
      <c r="B1335" s="4">
        <v>45951.693310185183</v>
      </c>
      <c r="C1335" s="5" t="str">
        <v>PICK UP TRAGA 2.5 4X2 MT D M/T</v>
      </c>
      <c r="D1335" s="5" t="str">
        <v>B6874UZA</v>
      </c>
      <c r="E1335" s="10">
        <v>53828</v>
      </c>
      <c r="F1335" s="3" t="str">
        <v>Iya</v>
      </c>
      <c r="G1335" s="4">
        <v>45937</v>
      </c>
      <c r="H1335" s="10">
        <v>53828</v>
      </c>
    </row>
    <row r="1336" spans="1:8">
      <c r="A1336" s="3">
        <v>1335</v>
      </c>
      <c r="B1336" s="4">
        <v>45951.695844907408</v>
      </c>
      <c r="C1336" s="5" t="str">
        <v>DAIHATSU GRANMAX PU AC PS 1.5 M/T</v>
      </c>
      <c r="D1336" s="5" t="str">
        <v>B9912VG</v>
      </c>
      <c r="E1336" s="10">
        <v>109868</v>
      </c>
      <c r="F1336" s="3" t="str">
        <v>Iya</v>
      </c>
      <c r="G1336" s="4">
        <v>45918</v>
      </c>
      <c r="H1336" s="10">
        <v>109868</v>
      </c>
    </row>
    <row r="1337" spans="1:8">
      <c r="A1337" s="3">
        <v>1336</v>
      </c>
      <c r="B1337" s="4">
        <v>45951.699618055558</v>
      </c>
      <c r="C1337" s="5" t="str">
        <v>DAIHATSU GRANMAX PU AC PS 1.5 M/T</v>
      </c>
      <c r="D1337" s="5" t="str">
        <v>B1693MX</v>
      </c>
      <c r="E1337" s="10">
        <v>50673</v>
      </c>
      <c r="F1337" s="3" t="str">
        <v>Iya</v>
      </c>
      <c r="G1337" s="4">
        <v>45877</v>
      </c>
      <c r="H1337" s="10">
        <v>50673</v>
      </c>
    </row>
    <row r="1338" spans="1:8">
      <c r="A1338" s="3">
        <v>1337</v>
      </c>
      <c r="B1338" s="4">
        <v>45951.72142361111</v>
      </c>
      <c r="C1338" s="5" t="str">
        <v>DAIHATSU GRANMAX PU AC PS 1.5 M/T</v>
      </c>
      <c r="D1338" s="5" t="str">
        <v>B1190TVJ</v>
      </c>
      <c r="E1338" s="10">
        <v>50410</v>
      </c>
      <c r="F1338" s="3" t="str">
        <v>Iya</v>
      </c>
      <c r="G1338" s="4">
        <v>45833</v>
      </c>
      <c r="H1338" s="10">
        <v>50410</v>
      </c>
    </row>
    <row r="1339" spans="1:8">
      <c r="A1339" s="3">
        <v>1338</v>
      </c>
      <c r="B1339" s="4">
        <v>45951.754826388889</v>
      </c>
      <c r="C1339" s="5" t="str">
        <v>DAIHATSU GRANMAX PU AC PS 1.5 M/T</v>
      </c>
      <c r="D1339" s="5" t="str">
        <v>B1578YGJ</v>
      </c>
      <c r="E1339" s="10">
        <v>1539</v>
      </c>
      <c r="F1339" s="3" t="str">
        <v>Iya</v>
      </c>
      <c r="G1339" s="4">
        <v>45911</v>
      </c>
      <c r="H1339" s="10">
        <v>1539</v>
      </c>
    </row>
    <row r="1340" spans="1:8">
      <c r="A1340" s="3">
        <v>1339</v>
      </c>
      <c r="B1340" s="4">
        <v>45951.846655092602</v>
      </c>
      <c r="C1340" s="5" t="str">
        <v>DAIHATSU GRANMAX PU AC PS 1.5 M/T</v>
      </c>
      <c r="D1340" s="5" t="str">
        <v>B3545GSF</v>
      </c>
      <c r="E1340" s="10">
        <v>2606</v>
      </c>
      <c r="F1340" s="3" t="str">
        <v>Iya</v>
      </c>
      <c r="G1340" s="4">
        <v>45890</v>
      </c>
      <c r="H1340" s="10">
        <v>2606</v>
      </c>
    </row>
    <row r="1341" spans="1:8">
      <c r="A1341" s="3">
        <v>1340</v>
      </c>
      <c r="B1341" s="4">
        <v>45952.314398148148</v>
      </c>
      <c r="C1341" s="5" t="str">
        <v>PICK UP TRAGA 2.5 4X2 MT D M/T</v>
      </c>
      <c r="D1341" s="5" t="str">
        <v>B5280HWW</v>
      </c>
      <c r="E1341" s="10">
        <v>56343</v>
      </c>
      <c r="F1341" s="3" t="str">
        <v>Iya</v>
      </c>
      <c r="G1341" s="4">
        <v>45918</v>
      </c>
      <c r="H1341" s="10">
        <v>56343</v>
      </c>
    </row>
    <row r="1342" spans="1:8">
      <c r="A1342" s="3">
        <v>1341</v>
      </c>
      <c r="B1342" s="4">
        <v>45952.321967592587</v>
      </c>
      <c r="C1342" s="5" t="str">
        <v>DAIHATSU GRANMAX PU AC PS 1.5 M/T</v>
      </c>
      <c r="D1342" s="5" t="str">
        <v>B6193SD</v>
      </c>
      <c r="E1342" s="10">
        <v>12078</v>
      </c>
      <c r="F1342" s="3" t="str">
        <v>Iya</v>
      </c>
      <c r="G1342" s="4">
        <v>45896</v>
      </c>
      <c r="H1342" s="10">
        <v>12078</v>
      </c>
    </row>
    <row r="1343" spans="1:8">
      <c r="A1343" s="3">
        <v>1342</v>
      </c>
      <c r="B1343" s="4">
        <v>45952.323020833333</v>
      </c>
      <c r="C1343" s="5" t="str">
        <v>DAIHATSU GRANMAX PU AC PS 1.5 M/T</v>
      </c>
      <c r="D1343" s="5" t="str">
        <v>B3806AFA</v>
      </c>
      <c r="E1343" s="10">
        <v>66048</v>
      </c>
      <c r="F1343" s="3" t="str">
        <v>Iya</v>
      </c>
      <c r="G1343" s="4">
        <v>45895</v>
      </c>
      <c r="H1343" s="10">
        <v>66048</v>
      </c>
    </row>
    <row r="1344" spans="1:8">
      <c r="A1344" s="3">
        <v>1343</v>
      </c>
      <c r="B1344" s="4">
        <v>45952.335798611108</v>
      </c>
      <c r="C1344" s="5" t="str">
        <v>DAIHATSU GRANMAX PU AC PS 1.5 M/T</v>
      </c>
      <c r="D1344" s="5" t="str">
        <v>DD9729YV</v>
      </c>
      <c r="E1344" s="10">
        <v>49233</v>
      </c>
      <c r="F1344" s="3" t="str">
        <v>Iya</v>
      </c>
      <c r="G1344" s="4">
        <v>45862</v>
      </c>
      <c r="H1344" s="10">
        <v>49233</v>
      </c>
    </row>
    <row r="1345" spans="1:8">
      <c r="A1345" s="3">
        <v>1344</v>
      </c>
      <c r="B1345" s="4">
        <v>45952.339606481481</v>
      </c>
      <c r="C1345" s="5" t="str">
        <v>DAIHATSU GRANMAX PU AC PS 1.5 M/T</v>
      </c>
      <c r="D1345" s="5" t="str">
        <v>B3699EI</v>
      </c>
      <c r="E1345" s="10">
        <v>3792</v>
      </c>
      <c r="F1345" s="3" t="str">
        <v>Iya</v>
      </c>
      <c r="G1345" s="4">
        <v>45842</v>
      </c>
      <c r="H1345" s="10">
        <v>3792</v>
      </c>
    </row>
    <row r="1346" spans="1:8">
      <c r="A1346" s="3">
        <v>1345</v>
      </c>
      <c r="B1346" s="4">
        <v>45952.342557870368</v>
      </c>
      <c r="C1346" s="5" t="str">
        <v>PICK UP TRAGA 2.5 4X2 MT D M/T</v>
      </c>
      <c r="D1346" s="5" t="str">
        <v>B6013WGR</v>
      </c>
      <c r="E1346" s="10">
        <v>35981</v>
      </c>
      <c r="F1346" s="3" t="str">
        <v>Iya</v>
      </c>
      <c r="G1346" s="4">
        <v>45923</v>
      </c>
      <c r="H1346" s="10">
        <v>35981</v>
      </c>
    </row>
    <row r="1347" spans="1:8">
      <c r="A1347" s="3">
        <v>1346</v>
      </c>
      <c r="B1347" s="4">
        <v>45952.344328703701</v>
      </c>
      <c r="C1347" s="5" t="str">
        <v>Daihatsu Xenia (Badan)</v>
      </c>
      <c r="D1347" s="5" t="str">
        <v>B2503BE</v>
      </c>
      <c r="E1347" s="10">
        <v>60576</v>
      </c>
      <c r="F1347" s="3" t="str">
        <v>Iya</v>
      </c>
      <c r="G1347" s="4">
        <v>45875</v>
      </c>
      <c r="H1347" s="10">
        <v>60576</v>
      </c>
    </row>
    <row r="1348" spans="1:8">
      <c r="A1348" s="3">
        <v>1347</v>
      </c>
      <c r="B1348" s="4">
        <v>45952.349259259259</v>
      </c>
      <c r="C1348" s="5" t="str">
        <v>DAIHATSU GRANMAX PU AC PS 1.5 M/T</v>
      </c>
      <c r="D1348" s="5" t="str">
        <v>H2369DDQ</v>
      </c>
      <c r="E1348" s="10">
        <v>57723</v>
      </c>
      <c r="F1348" s="3" t="str">
        <v>Iya</v>
      </c>
      <c r="G1348" s="4">
        <v>45762</v>
      </c>
      <c r="H1348" s="10">
        <v>57723</v>
      </c>
    </row>
    <row r="1349" spans="1:8">
      <c r="A1349" s="3">
        <v>1348</v>
      </c>
      <c r="B1349" s="4">
        <v>45952.351747685178</v>
      </c>
      <c r="C1349" s="5" t="str">
        <v>PICK UP TRAGA 2.5 4X2 MT D M/T</v>
      </c>
      <c r="D1349" s="5" t="str">
        <v>B1884ZSB</v>
      </c>
      <c r="E1349" s="10">
        <v>48332</v>
      </c>
      <c r="F1349" s="3" t="str">
        <v>Iya</v>
      </c>
      <c r="G1349" s="4">
        <v>45922</v>
      </c>
      <c r="H1349" s="10">
        <v>48332</v>
      </c>
    </row>
    <row r="1350" spans="1:8">
      <c r="A1350" s="3">
        <v>1349</v>
      </c>
      <c r="B1350" s="4">
        <v>45952.364525462966</v>
      </c>
      <c r="C1350" s="5" t="str">
        <v>DAIHATSU GRANMAX PU AC PS 1.5 M/T</v>
      </c>
      <c r="D1350" s="5" t="str">
        <v>KB9985GGA</v>
      </c>
      <c r="E1350" s="10">
        <v>10746</v>
      </c>
      <c r="F1350" s="3" t="str">
        <v>Iya</v>
      </c>
      <c r="G1350" s="4">
        <v>45937</v>
      </c>
      <c r="H1350" s="10">
        <v>10746</v>
      </c>
    </row>
    <row r="1351" spans="1:8">
      <c r="A1351" s="3">
        <v>1350</v>
      </c>
      <c r="B1351" s="4">
        <v>45952.364976851852</v>
      </c>
      <c r="C1351" s="5" t="str">
        <v>PICK UP TRAGA 2.5 4X2 MT D M/T</v>
      </c>
      <c r="D1351" s="5" t="str">
        <v>D3684CE</v>
      </c>
      <c r="E1351" s="10">
        <v>91341</v>
      </c>
      <c r="F1351" s="3" t="str">
        <v>Iya</v>
      </c>
      <c r="G1351" s="4">
        <v>45952</v>
      </c>
      <c r="H1351" s="10">
        <v>91341</v>
      </c>
    </row>
    <row r="1352" spans="1:8">
      <c r="A1352" s="3">
        <v>1351</v>
      </c>
      <c r="B1352" s="4">
        <v>45952.382928240739</v>
      </c>
      <c r="C1352" s="5" t="str">
        <v>DAIHATSU GRANMAX PU AC PS 1.5 M/T</v>
      </c>
      <c r="D1352" s="5" t="str">
        <v>B4036RJ</v>
      </c>
      <c r="E1352" s="10">
        <v>7164</v>
      </c>
      <c r="F1352" s="3" t="str">
        <v>Iya</v>
      </c>
      <c r="G1352" s="4">
        <v>45871</v>
      </c>
      <c r="H1352" s="10">
        <v>7164</v>
      </c>
    </row>
    <row r="1353" spans="1:8">
      <c r="A1353" s="3">
        <v>1352</v>
      </c>
      <c r="B1353" s="4">
        <v>45952.384062500001</v>
      </c>
      <c r="C1353" s="5" t="str">
        <v>DAIHATSU GRANMAX PU AC PS 1.5 M/T</v>
      </c>
      <c r="D1353" s="5" t="str">
        <v>B5790CM</v>
      </c>
      <c r="E1353" s="10">
        <v>18001</v>
      </c>
      <c r="F1353" s="3" t="str">
        <v>Iya</v>
      </c>
      <c r="G1353" s="4">
        <v>45784</v>
      </c>
      <c r="H1353" s="10">
        <v>18001</v>
      </c>
    </row>
    <row r="1354" spans="1:8">
      <c r="A1354" s="3">
        <v>1353</v>
      </c>
      <c r="B1354" s="4">
        <v>45952.391215277778</v>
      </c>
      <c r="C1354" s="5" t="str">
        <v>DAIHATSU GRANMAX PU AC PS 1.5 M/T</v>
      </c>
      <c r="D1354" s="5" t="str">
        <v>B4786BT</v>
      </c>
      <c r="E1354" s="10">
        <v>25463</v>
      </c>
      <c r="F1354" s="3" t="str">
        <v>Iya</v>
      </c>
      <c r="G1354" s="4">
        <v>45890</v>
      </c>
      <c r="H1354" s="10">
        <v>25463</v>
      </c>
    </row>
    <row r="1355" spans="1:8">
      <c r="A1355" s="3">
        <v>1354</v>
      </c>
      <c r="B1355" s="4">
        <v>45952.408900462957</v>
      </c>
      <c r="C1355" s="5" t="str">
        <v>DAIHATSU GRANMAX PU AC PS 1.5 M/T</v>
      </c>
      <c r="D1355" s="5" t="str">
        <v>B3556KY</v>
      </c>
      <c r="E1355" s="10">
        <v>4854</v>
      </c>
      <c r="F1355" s="3" t="str">
        <v>Iya</v>
      </c>
      <c r="G1355" s="4">
        <v>45930</v>
      </c>
      <c r="H1355" s="10">
        <v>4854</v>
      </c>
    </row>
    <row r="1356" spans="1:8">
      <c r="A1356" s="3">
        <v>1355</v>
      </c>
      <c r="B1356" s="4">
        <v>45952.420798611107</v>
      </c>
      <c r="C1356" s="5" t="str">
        <v>DAIHATSU GRANMAX PU AC PS 1.5 M/T</v>
      </c>
      <c r="D1356" s="5" t="str">
        <v>B6999PZ</v>
      </c>
      <c r="E1356" s="10">
        <v>20314</v>
      </c>
      <c r="F1356" s="3" t="str">
        <v>Iya</v>
      </c>
      <c r="G1356" s="4">
        <v>45861</v>
      </c>
      <c r="H1356" s="10">
        <v>20314</v>
      </c>
    </row>
    <row r="1357" spans="1:8">
      <c r="A1357" s="3">
        <v>1356</v>
      </c>
      <c r="B1357" s="4">
        <v>45952.441944444443</v>
      </c>
      <c r="C1357" s="5" t="str">
        <v>DAIHATSU GRANMAX PU AC PS 1.5 M/T</v>
      </c>
      <c r="D1357" s="5" t="str">
        <v>B1204ZZ</v>
      </c>
      <c r="E1357" s="10">
        <v>19701</v>
      </c>
      <c r="F1357" s="3" t="str">
        <v>Iya</v>
      </c>
      <c r="G1357" s="4">
        <v>45841</v>
      </c>
      <c r="H1357" s="10">
        <v>19701</v>
      </c>
    </row>
    <row r="1358" spans="1:8">
      <c r="A1358" s="3">
        <v>1357</v>
      </c>
      <c r="B1358" s="4">
        <v>45952.45113425926</v>
      </c>
      <c r="C1358" s="5" t="str">
        <v>DAIHATSU GRANMAX PU AC PS 1.5 M/T</v>
      </c>
      <c r="D1358" s="5" t="str">
        <v>B8385EAN</v>
      </c>
      <c r="E1358" s="10">
        <v>15890</v>
      </c>
      <c r="F1358" s="3" t="str">
        <v>Iya</v>
      </c>
      <c r="G1358" s="4">
        <v>45783</v>
      </c>
      <c r="H1358" s="10">
        <v>15890</v>
      </c>
    </row>
    <row r="1359" spans="1:8">
      <c r="A1359" s="3">
        <v>1358</v>
      </c>
      <c r="B1359" s="4">
        <v>45952.506666666668</v>
      </c>
      <c r="C1359" s="5" t="str">
        <v>DAIHATSU GRANMAX PU AC PS 1.5 M/T</v>
      </c>
      <c r="D1359" s="5" t="str">
        <v>B6936PI</v>
      </c>
      <c r="E1359" s="10">
        <v>863</v>
      </c>
      <c r="F1359" s="3" t="str">
        <v>Iya</v>
      </c>
      <c r="G1359" s="4">
        <v>45731</v>
      </c>
      <c r="H1359" s="10">
        <v>863</v>
      </c>
    </row>
    <row r="1360" spans="1:8">
      <c r="A1360" s="3">
        <v>1359</v>
      </c>
      <c r="B1360" s="4">
        <v>45952.564421296287</v>
      </c>
      <c r="C1360" s="5" t="str">
        <v>DAIHATSU GRANMAX PU AC PS 1.5 M/T</v>
      </c>
      <c r="D1360" s="5" t="str">
        <v>B2960MA</v>
      </c>
      <c r="E1360" s="10">
        <v>54860</v>
      </c>
      <c r="F1360" s="3" t="str">
        <v>Iya</v>
      </c>
      <c r="G1360" s="4">
        <v>45944</v>
      </c>
      <c r="H1360" s="10">
        <v>54860</v>
      </c>
    </row>
    <row r="1361" spans="1:8">
      <c r="A1361" s="3">
        <v>1360</v>
      </c>
      <c r="B1361" s="4">
        <v>45952.584826388891</v>
      </c>
      <c r="C1361" s="5" t="str">
        <v>DAIHATSU GRANMAX PU AC PS 1.5 M/T</v>
      </c>
      <c r="D1361" s="5" t="str">
        <v>B9442MAL</v>
      </c>
      <c r="E1361" s="10">
        <v>19149</v>
      </c>
      <c r="F1361" s="3" t="str">
        <v>Iya</v>
      </c>
      <c r="G1361" s="4">
        <v>45825</v>
      </c>
      <c r="H1361" s="10">
        <v>19149</v>
      </c>
    </row>
    <row r="1362" spans="1:8">
      <c r="A1362" s="3">
        <v>1361</v>
      </c>
      <c r="B1362" s="4">
        <v>45952.61078703704</v>
      </c>
      <c r="C1362" s="5" t="str">
        <v>PICK UP TRAGA 2.5 4X2 MT D M/T</v>
      </c>
      <c r="D1362" s="5" t="str">
        <v>BE6556LIU</v>
      </c>
      <c r="E1362" s="10">
        <v>22689</v>
      </c>
      <c r="F1362" s="3" t="str">
        <v>Iya</v>
      </c>
      <c r="G1362" s="4">
        <v>45945</v>
      </c>
      <c r="H1362" s="10">
        <v>22689</v>
      </c>
    </row>
    <row r="1363" spans="1:8">
      <c r="A1363" s="3">
        <v>1362</v>
      </c>
      <c r="B1363" s="4">
        <v>45952.621192129627</v>
      </c>
      <c r="C1363" s="5" t="str">
        <v>DAIHATSU GRANMAX PU AC PS 1.5 M/T</v>
      </c>
      <c r="D1363" s="5" t="str">
        <v>KB9990JIF</v>
      </c>
      <c r="E1363" s="10">
        <v>8735</v>
      </c>
      <c r="F1363" s="3" t="str">
        <v>Iya</v>
      </c>
      <c r="G1363" s="4">
        <v>45831</v>
      </c>
      <c r="H1363" s="10">
        <v>8735</v>
      </c>
    </row>
    <row r="1364" spans="1:8">
      <c r="A1364" s="3">
        <v>1363</v>
      </c>
      <c r="B1364" s="4">
        <v>45952.630590277768</v>
      </c>
      <c r="C1364" s="5" t="str">
        <v>DAIHATSU GRANMAX PU AC PS 1.5 M/T</v>
      </c>
      <c r="D1364" s="5" t="str">
        <v>B2639ZDE</v>
      </c>
      <c r="E1364" s="10">
        <v>8802</v>
      </c>
      <c r="F1364" s="3" t="str">
        <v>Iya</v>
      </c>
      <c r="G1364" s="4">
        <v>45916</v>
      </c>
      <c r="H1364" s="10">
        <v>8802</v>
      </c>
    </row>
    <row r="1365" spans="1:8">
      <c r="A1365" s="3">
        <v>1364</v>
      </c>
      <c r="B1365" s="4">
        <v>45952.643634259257</v>
      </c>
      <c r="C1365" s="5" t="str">
        <v>PICK UP TRAGA 2.5 4X2 MT D M/T</v>
      </c>
      <c r="D1365" s="5" t="str">
        <v>H6818GV</v>
      </c>
      <c r="E1365" s="10">
        <v>33699</v>
      </c>
      <c r="F1365" s="3" t="str">
        <v>Iya</v>
      </c>
      <c r="G1365" s="4">
        <v>45910</v>
      </c>
      <c r="H1365" s="10">
        <v>33699</v>
      </c>
    </row>
    <row r="1366" spans="1:8">
      <c r="A1366" s="3">
        <v>1365</v>
      </c>
      <c r="B1366" s="4">
        <v>45952.724027777767</v>
      </c>
      <c r="C1366" s="5" t="str">
        <v>DAIHATSU GRANMAX PU AC PS 1.5 M/T</v>
      </c>
      <c r="D1366" s="5" t="str">
        <v>B9274GSS</v>
      </c>
      <c r="E1366" s="10">
        <v>39464</v>
      </c>
      <c r="F1366" s="3" t="str">
        <v>Iya</v>
      </c>
      <c r="G1366" s="4">
        <v>45820</v>
      </c>
      <c r="H1366" s="10">
        <v>39464</v>
      </c>
    </row>
    <row r="1367" spans="1:8">
      <c r="A1367" s="3">
        <v>1366</v>
      </c>
      <c r="B1367" s="4">
        <v>45953.352951388893</v>
      </c>
      <c r="C1367" s="5" t="str">
        <v>DAIHATSU GRANMAX PU AC PS 1.5 M/T</v>
      </c>
      <c r="D1367" s="5" t="str">
        <v>B7390TQ</v>
      </c>
      <c r="E1367" s="10">
        <v>39875</v>
      </c>
      <c r="F1367" s="3" t="str">
        <v>Iya</v>
      </c>
      <c r="G1367" s="4">
        <v>45820</v>
      </c>
      <c r="H1367" s="10">
        <v>39875</v>
      </c>
    </row>
    <row r="1368" spans="1:8">
      <c r="A1368" s="3">
        <v>1367</v>
      </c>
      <c r="B1368" s="4">
        <v>45953.359930555547</v>
      </c>
      <c r="C1368" s="5" t="str">
        <v>DAIHATSU GRANMAX PU AC PS 1.5 M/T</v>
      </c>
      <c r="D1368" s="5" t="str">
        <v>B6551IKH</v>
      </c>
      <c r="E1368" s="10">
        <v>27879</v>
      </c>
      <c r="F1368" s="3" t="str">
        <v>Iya</v>
      </c>
      <c r="G1368" s="4">
        <v>45831</v>
      </c>
      <c r="H1368" s="10">
        <v>27879</v>
      </c>
    </row>
    <row r="1369" spans="1:8">
      <c r="A1369" s="3">
        <v>1368</v>
      </c>
      <c r="B1369" s="4">
        <v>45953.397974537038</v>
      </c>
      <c r="C1369" s="5" t="str">
        <v>DAIHATSU GRANMAX PU AC PS 1.5 M/T</v>
      </c>
      <c r="D1369" s="5" t="str">
        <v>B6512QGG</v>
      </c>
      <c r="E1369" s="10">
        <v>56137</v>
      </c>
      <c r="F1369" s="3" t="str">
        <v>Iya</v>
      </c>
      <c r="G1369" s="4">
        <v>45875</v>
      </c>
      <c r="H1369" s="10">
        <v>56137</v>
      </c>
    </row>
    <row r="1370" spans="1:8">
      <c r="A1370" s="3">
        <v>1369</v>
      </c>
      <c r="B1370" s="4">
        <v>45953.403634259259</v>
      </c>
      <c r="C1370" s="5" t="str">
        <v>PICK UP TRAGA 2.5 4X2 MT D M/T</v>
      </c>
      <c r="D1370" s="5" t="str">
        <v>B4068JNS</v>
      </c>
      <c r="E1370" s="10">
        <v>58642</v>
      </c>
      <c r="F1370" s="3" t="str">
        <v>Iya</v>
      </c>
      <c r="G1370" s="4">
        <v>45793</v>
      </c>
      <c r="H1370" s="10">
        <v>58642</v>
      </c>
    </row>
    <row r="1371" spans="1:8">
      <c r="A1371" s="3">
        <v>1370</v>
      </c>
      <c r="B1371" s="4">
        <v>45953.405648148153</v>
      </c>
      <c r="C1371" s="5" t="str">
        <v>DAIHATSU GRANMAX PU AC PS 1.5 M/T</v>
      </c>
      <c r="D1371" s="5" t="str">
        <v>B7351RH</v>
      </c>
      <c r="E1371" s="10">
        <v>57051</v>
      </c>
      <c r="F1371" s="3" t="str">
        <v>Iya</v>
      </c>
      <c r="G1371" s="4">
        <v>45885</v>
      </c>
      <c r="H1371" s="10">
        <v>57051</v>
      </c>
    </row>
    <row r="1372" spans="1:8">
      <c r="A1372" s="3">
        <v>1371</v>
      </c>
      <c r="B1372" s="4">
        <v>45953.407569444447</v>
      </c>
      <c r="C1372" s="5" t="str">
        <v>PICK UP TRAGA 2.5 4X2 MT D M/T</v>
      </c>
      <c r="D1372" s="5" t="str">
        <v>B6598EX</v>
      </c>
      <c r="E1372" s="10">
        <v>25394</v>
      </c>
      <c r="F1372" s="3" t="str">
        <v>Iya</v>
      </c>
      <c r="G1372" s="4">
        <v>45939</v>
      </c>
      <c r="H1372" s="10">
        <v>25394</v>
      </c>
    </row>
    <row r="1373" spans="1:8">
      <c r="A1373" s="3">
        <v>1372</v>
      </c>
      <c r="B1373" s="4">
        <v>45953.486018518517</v>
      </c>
      <c r="C1373" s="5" t="str">
        <v>PICK UP TRAGA 2.5 4X2 MT D M/T</v>
      </c>
      <c r="D1373" s="5" t="str">
        <v>B2118PQK</v>
      </c>
      <c r="E1373" s="10">
        <v>47637</v>
      </c>
      <c r="F1373" s="3" t="str">
        <v>Iya</v>
      </c>
      <c r="G1373" s="4">
        <v>45904</v>
      </c>
      <c r="H1373" s="10">
        <v>47637</v>
      </c>
    </row>
    <row r="1374" spans="1:8">
      <c r="A1374" s="3">
        <v>1373</v>
      </c>
      <c r="B1374" s="4">
        <v>45953.560335648152</v>
      </c>
      <c r="C1374" s="5" t="str">
        <v>DAIHATSU GRANMAX PU AC PS 1.5 M/T</v>
      </c>
      <c r="D1374" s="5" t="str">
        <v>B8613WYE</v>
      </c>
      <c r="E1374" s="10">
        <v>55408</v>
      </c>
      <c r="F1374" s="3" t="str">
        <v>Iya</v>
      </c>
      <c r="G1374" s="4">
        <v>45934</v>
      </c>
      <c r="H1374" s="10">
        <v>55408</v>
      </c>
    </row>
    <row r="1375" spans="1:8">
      <c r="A1375" s="3">
        <v>1374</v>
      </c>
      <c r="B1375" s="4">
        <v>45953.564953703702</v>
      </c>
      <c r="C1375" s="5" t="str">
        <v>DAIHATSU GRANMAX PU AC PS 1.5 M/T</v>
      </c>
      <c r="D1375" s="5" t="str">
        <v>B6483WV</v>
      </c>
      <c r="E1375" s="10">
        <v>7468</v>
      </c>
      <c r="F1375" s="3" t="str">
        <v>Iya</v>
      </c>
      <c r="G1375" s="4">
        <v>45952</v>
      </c>
      <c r="H1375" s="10">
        <v>7468</v>
      </c>
    </row>
    <row r="1376" spans="1:8">
      <c r="A1376" s="3">
        <v>1375</v>
      </c>
      <c r="B1376" s="4">
        <v>45953.565578703703</v>
      </c>
      <c r="C1376" s="5" t="str">
        <v>DAIHATSU GRANMAX PU AC PS 1.5 M/T</v>
      </c>
      <c r="D1376" s="5" t="str">
        <v>B9946LF</v>
      </c>
      <c r="E1376" s="10">
        <v>31866</v>
      </c>
      <c r="F1376" s="3" t="str">
        <v>Iya</v>
      </c>
      <c r="G1376" s="4">
        <v>45845</v>
      </c>
      <c r="H1376" s="10">
        <v>31866</v>
      </c>
    </row>
    <row r="1377" spans="1:8">
      <c r="A1377" s="3">
        <v>1376</v>
      </c>
      <c r="B1377" s="4">
        <v>45953.583379629628</v>
      </c>
      <c r="C1377" s="5" t="str">
        <v>PICK UP TRAGA 2.5 4X2 MT D M/T</v>
      </c>
      <c r="D1377" s="5" t="str">
        <v>B2542RG</v>
      </c>
      <c r="E1377" s="10">
        <v>32191</v>
      </c>
      <c r="F1377" s="3" t="str">
        <v>Iya</v>
      </c>
      <c r="G1377" s="4">
        <v>45861</v>
      </c>
      <c r="H1377" s="10">
        <v>32191</v>
      </c>
    </row>
    <row r="1378" spans="1:8">
      <c r="A1378" s="3">
        <v>1377</v>
      </c>
      <c r="B1378" s="4">
        <v>45953.586886574078</v>
      </c>
      <c r="C1378" s="5" t="str">
        <v>PICK UP TRAGA 2.5 4X2 MT D M/T</v>
      </c>
      <c r="D1378" s="5" t="str">
        <v>B6441NR</v>
      </c>
      <c r="E1378" s="10">
        <v>16880</v>
      </c>
      <c r="F1378" s="3" t="str">
        <v>Iya</v>
      </c>
      <c r="G1378" s="4">
        <v>45847</v>
      </c>
      <c r="H1378" s="10">
        <v>16880</v>
      </c>
    </row>
    <row r="1379" spans="1:8">
      <c r="A1379" s="3">
        <v>1378</v>
      </c>
      <c r="B1379" s="4">
        <v>45953.588703703703</v>
      </c>
      <c r="C1379" s="5" t="str">
        <v>DAIHATSU GRANMAX PU AC PS 1.5 M/T</v>
      </c>
      <c r="D1379" s="5" t="str">
        <v>B8753SMF</v>
      </c>
      <c r="E1379" s="10">
        <v>47767</v>
      </c>
      <c r="F1379" s="3" t="str">
        <v>Iya</v>
      </c>
      <c r="G1379" s="4">
        <v>45912</v>
      </c>
      <c r="H1379" s="10">
        <v>47767</v>
      </c>
    </row>
    <row r="1380" spans="1:8">
      <c r="A1380" s="3">
        <v>1379</v>
      </c>
      <c r="B1380" s="4">
        <v>45953.594224537039</v>
      </c>
      <c r="C1380" s="5" t="str">
        <v>DAIHATSU GRANMAX PU AC PS 1.5 M/T</v>
      </c>
      <c r="D1380" s="5" t="str">
        <v>B8857PYD</v>
      </c>
      <c r="E1380" s="10">
        <v>6633</v>
      </c>
      <c r="F1380" s="3" t="str">
        <v>Iya</v>
      </c>
      <c r="G1380" s="4">
        <v>45838</v>
      </c>
      <c r="H1380" s="10">
        <v>6633</v>
      </c>
    </row>
    <row r="1381" spans="1:8">
      <c r="A1381" s="3">
        <v>1380</v>
      </c>
      <c r="B1381" s="4">
        <v>45953.596064814818</v>
      </c>
      <c r="C1381" s="5" t="str">
        <v>DAIHATSU GRANMAX PU AC PS 1.5 M/T</v>
      </c>
      <c r="D1381" s="5" t="str">
        <v>AB5434PRX</v>
      </c>
      <c r="E1381" s="10">
        <v>39377</v>
      </c>
      <c r="F1381" s="3" t="str">
        <v>Iya</v>
      </c>
      <c r="G1381" s="4">
        <v>45953</v>
      </c>
      <c r="H1381" s="10">
        <v>39377</v>
      </c>
    </row>
    <row r="1382" spans="1:8">
      <c r="A1382" s="3">
        <v>1381</v>
      </c>
      <c r="B1382" s="4">
        <v>45953.603703703702</v>
      </c>
      <c r="C1382" s="5" t="str">
        <v>DAIHATSU GRANMAX PU AC PS 1.5 M/T</v>
      </c>
      <c r="D1382" s="5" t="str">
        <v>B4175FW</v>
      </c>
      <c r="E1382" s="10">
        <v>50425</v>
      </c>
      <c r="F1382" s="3" t="str">
        <v>Iya</v>
      </c>
      <c r="G1382" s="4">
        <v>45951</v>
      </c>
      <c r="H1382" s="10">
        <v>50425</v>
      </c>
    </row>
    <row r="1383" spans="1:8">
      <c r="A1383" s="3">
        <v>1382</v>
      </c>
      <c r="B1383" s="4">
        <v>45953.60396990741</v>
      </c>
      <c r="C1383" s="5" t="str">
        <v>PICK UP TRAGA 2.5 4X2 MT D M/T</v>
      </c>
      <c r="D1383" s="5" t="str">
        <v>B3431HDZ</v>
      </c>
      <c r="E1383" s="10">
        <v>25927</v>
      </c>
      <c r="F1383" s="3" t="str">
        <v>Iya</v>
      </c>
      <c r="G1383" s="4">
        <v>45946</v>
      </c>
      <c r="H1383" s="10">
        <v>25927</v>
      </c>
    </row>
    <row r="1384" spans="1:8">
      <c r="A1384" s="3">
        <v>1383</v>
      </c>
      <c r="B1384" s="4">
        <v>45953.60701388889</v>
      </c>
      <c r="C1384" s="5" t="str">
        <v>PICK UP TRAGA 2.5 4X2 MT D M/T</v>
      </c>
      <c r="D1384" s="5" t="str">
        <v>B6449IA</v>
      </c>
      <c r="E1384" s="10">
        <v>282</v>
      </c>
      <c r="F1384" s="3" t="str">
        <v>Iya</v>
      </c>
      <c r="G1384" s="4">
        <v>45950</v>
      </c>
      <c r="H1384" s="10">
        <v>282</v>
      </c>
    </row>
    <row r="1385" spans="1:8">
      <c r="A1385" s="3">
        <v>1384</v>
      </c>
      <c r="B1385" s="4">
        <v>45953.62604166667</v>
      </c>
      <c r="C1385" s="5" t="str">
        <v>DAIHATSU GRANMAX PU AC PS 1.5 M/T</v>
      </c>
      <c r="D1385" s="5" t="str">
        <v>B5750IQ</v>
      </c>
      <c r="E1385" s="10">
        <v>53468</v>
      </c>
      <c r="F1385" s="3" t="str">
        <v>Iya</v>
      </c>
      <c r="G1385" s="4">
        <v>45913</v>
      </c>
      <c r="H1385" s="10">
        <v>53468</v>
      </c>
    </row>
    <row r="1386" spans="1:8">
      <c r="A1386" s="3">
        <v>1385</v>
      </c>
      <c r="B1386" s="4">
        <v>45953.63480324074</v>
      </c>
      <c r="C1386" s="5" t="str">
        <v>PICK UP TRAGA 2.5 4X2 MT D M/T</v>
      </c>
      <c r="D1386" s="5" t="str">
        <v>B2514HCV</v>
      </c>
      <c r="E1386" s="10">
        <v>9934</v>
      </c>
      <c r="F1386" s="3" t="str">
        <v>Iya</v>
      </c>
      <c r="G1386" s="4">
        <v>45840</v>
      </c>
      <c r="H1386" s="10">
        <v>9934</v>
      </c>
    </row>
    <row r="1387" spans="1:8">
      <c r="A1387" s="3">
        <v>1386</v>
      </c>
      <c r="B1387" s="4">
        <v>45953.677222222221</v>
      </c>
      <c r="C1387" s="5" t="str">
        <v>DAIHATSU GRANMAX PU AC PS 1.5 M/T</v>
      </c>
      <c r="D1387" s="5" t="str">
        <v>B1080SUL</v>
      </c>
      <c r="E1387" s="10">
        <v>11140</v>
      </c>
      <c r="F1387" s="3" t="str">
        <v>Iya</v>
      </c>
      <c r="G1387" s="4">
        <v>45881</v>
      </c>
      <c r="H1387" s="10">
        <v>11140</v>
      </c>
    </row>
    <row r="1388" spans="1:8">
      <c r="A1388" s="3">
        <v>1387</v>
      </c>
      <c r="B1388" s="4">
        <v>45953.683692129627</v>
      </c>
      <c r="C1388" s="5" t="str">
        <v>Daihatsu Xenia (Badan)</v>
      </c>
      <c r="D1388" s="5" t="str">
        <v>B6851IH</v>
      </c>
      <c r="E1388" s="10">
        <v>3621</v>
      </c>
      <c r="F1388" s="3" t="str">
        <v>Iya</v>
      </c>
      <c r="G1388" s="4">
        <v>45919</v>
      </c>
      <c r="H1388" s="10">
        <v>3621</v>
      </c>
    </row>
    <row r="1389" spans="1:8">
      <c r="A1389" s="3">
        <v>1388</v>
      </c>
      <c r="B1389" s="4">
        <v>45953.703252314823</v>
      </c>
      <c r="C1389" s="5" t="str">
        <v>DAIHATSU GRANMAX PU AC PS 1.5 M/T</v>
      </c>
      <c r="D1389" s="5" t="str">
        <v>B8132XW</v>
      </c>
      <c r="E1389" s="10">
        <v>37125</v>
      </c>
      <c r="F1389" s="3" t="str">
        <v>Iya</v>
      </c>
      <c r="G1389" s="4">
        <v>45927</v>
      </c>
      <c r="H1389" s="10">
        <v>37125</v>
      </c>
    </row>
    <row r="1390" spans="1:8">
      <c r="A1390" s="3">
        <v>1389</v>
      </c>
      <c r="B1390" s="4">
        <v>45953.752141203702</v>
      </c>
      <c r="C1390" s="5" t="str">
        <v>DAIHATSU GRANMAX PU AC PS 1.5 M/T</v>
      </c>
      <c r="D1390" s="5" t="str">
        <v>B4166CNA</v>
      </c>
      <c r="E1390" s="10">
        <v>25894</v>
      </c>
      <c r="F1390" s="3" t="str">
        <v>Iya</v>
      </c>
      <c r="G1390" s="4">
        <v>45917</v>
      </c>
      <c r="H1390" s="10">
        <v>25894</v>
      </c>
    </row>
    <row r="1391" spans="1:8">
      <c r="A1391" s="3">
        <v>1390</v>
      </c>
      <c r="B1391" s="4">
        <v>45954.311805555553</v>
      </c>
      <c r="C1391" s="5" t="str">
        <v>PICK UP TRAGA 2.5 4X2 MT D M/T</v>
      </c>
      <c r="D1391" s="5" t="str">
        <v>B1292DPE</v>
      </c>
      <c r="E1391" s="10">
        <v>6841</v>
      </c>
      <c r="F1391" s="3" t="str">
        <v>Iya</v>
      </c>
      <c r="G1391" s="4">
        <v>45873</v>
      </c>
      <c r="H1391" s="10">
        <v>6841</v>
      </c>
    </row>
    <row r="1392" spans="1:8">
      <c r="A1392" s="3">
        <v>1391</v>
      </c>
      <c r="B1392" s="4">
        <v>45954.416365740741</v>
      </c>
      <c r="C1392" s="5" t="str">
        <v>PICK UP TRAGA 2.5 4X2 MT D M/T</v>
      </c>
      <c r="D1392" s="5" t="str">
        <v>B1833GF</v>
      </c>
      <c r="E1392" s="10">
        <v>24868</v>
      </c>
      <c r="F1392" s="3" t="str">
        <v>Iya</v>
      </c>
      <c r="G1392" s="4">
        <v>45882</v>
      </c>
      <c r="H1392" s="10">
        <v>24868</v>
      </c>
    </row>
    <row r="1393" spans="1:8">
      <c r="A1393" s="3">
        <v>1392</v>
      </c>
      <c r="B1393" s="4">
        <v>45954.41810185185</v>
      </c>
      <c r="C1393" s="5" t="str">
        <v>DAIHATSU GRANMAX PU AC PS 1.5 M/T</v>
      </c>
      <c r="D1393" s="5" t="str">
        <v>B9712CQ</v>
      </c>
      <c r="E1393" s="10">
        <v>30508</v>
      </c>
      <c r="F1393" s="3" t="str">
        <v>Iya</v>
      </c>
      <c r="G1393" s="4">
        <v>45903</v>
      </c>
      <c r="H1393" s="10">
        <v>30508</v>
      </c>
    </row>
    <row r="1394" spans="1:8">
      <c r="A1394" s="3">
        <v>1393</v>
      </c>
      <c r="B1394" s="4">
        <v>45954.427175925928</v>
      </c>
      <c r="C1394" s="5" t="str">
        <v>DAIHATSU GRANMAX PU AC PS 1.5 M/T</v>
      </c>
      <c r="D1394" s="5" t="str">
        <v>B6065WA</v>
      </c>
      <c r="E1394" s="10">
        <v>27874</v>
      </c>
      <c r="F1394" s="3" t="str">
        <v>Iya</v>
      </c>
      <c r="G1394" s="4">
        <v>45903</v>
      </c>
      <c r="H1394" s="10">
        <v>27874</v>
      </c>
    </row>
    <row r="1395" spans="1:8">
      <c r="A1395" s="3">
        <v>1394</v>
      </c>
      <c r="B1395" s="4">
        <v>45954.452141203707</v>
      </c>
      <c r="C1395" s="5" t="str">
        <v>PICK UP TRAGA 2.5 4X2 MT D M/T</v>
      </c>
      <c r="D1395" s="5" t="str">
        <v>H6476BKH</v>
      </c>
      <c r="E1395" s="10">
        <v>29246</v>
      </c>
      <c r="F1395" s="3" t="str">
        <v>Iya</v>
      </c>
      <c r="G1395" s="4">
        <v>45826</v>
      </c>
      <c r="H1395" s="10">
        <v>29246</v>
      </c>
    </row>
    <row r="1396" spans="1:8">
      <c r="A1396" s="3">
        <v>1395</v>
      </c>
      <c r="B1396" s="4">
        <v>45954.452893518523</v>
      </c>
      <c r="C1396" s="5" t="str">
        <v>DAIHATSU GRANMAX PU AC PS 1.5 M/T</v>
      </c>
      <c r="D1396" s="5" t="str">
        <v>B5918LZ</v>
      </c>
      <c r="E1396" s="10">
        <v>94771</v>
      </c>
      <c r="F1396" s="3" t="str">
        <v>Iya</v>
      </c>
      <c r="G1396" s="4">
        <v>45861</v>
      </c>
      <c r="H1396" s="10">
        <v>94771</v>
      </c>
    </row>
    <row r="1397" spans="1:8">
      <c r="A1397" s="3">
        <v>1396</v>
      </c>
      <c r="B1397" s="4">
        <v>45954.497199074067</v>
      </c>
      <c r="C1397" s="5" t="str">
        <v>PICK UP TRAGA 2.5 4X2 MT D M/T</v>
      </c>
      <c r="D1397" s="5" t="str">
        <v>B3111BU</v>
      </c>
      <c r="E1397" s="10">
        <v>63456</v>
      </c>
      <c r="F1397" s="3" t="str">
        <v>Iya</v>
      </c>
      <c r="G1397" s="4">
        <v>45799</v>
      </c>
      <c r="H1397" s="10">
        <v>63456</v>
      </c>
    </row>
    <row r="1398" spans="1:8">
      <c r="A1398" s="3">
        <v>1397</v>
      </c>
      <c r="B1398" s="4">
        <v>45954.545740740738</v>
      </c>
      <c r="C1398" s="5" t="str">
        <v>DAIHATSU GRANMAX PU AC PS 1.5 M/T</v>
      </c>
      <c r="D1398" s="5" t="str">
        <v>B6224AT</v>
      </c>
      <c r="E1398" s="10">
        <v>17496</v>
      </c>
      <c r="F1398" s="3" t="str">
        <v>Iya</v>
      </c>
      <c r="G1398" s="4">
        <v>45854</v>
      </c>
      <c r="H1398" s="10">
        <v>17496</v>
      </c>
    </row>
    <row r="1399" spans="1:8">
      <c r="A1399" s="3">
        <v>1398</v>
      </c>
      <c r="B1399" s="4">
        <v>45954.608090277783</v>
      </c>
      <c r="C1399" s="5" t="str">
        <v>DAIHATSU GRANMAX PU AC PS 1.5 M/T</v>
      </c>
      <c r="D1399" s="5" t="str">
        <v>B8389IA</v>
      </c>
      <c r="E1399" s="10">
        <v>13084</v>
      </c>
      <c r="F1399" s="3" t="str">
        <v>Iya</v>
      </c>
      <c r="G1399" s="4">
        <v>45820</v>
      </c>
      <c r="H1399" s="10">
        <v>13084</v>
      </c>
    </row>
    <row r="1400" spans="1:8">
      <c r="A1400" s="3">
        <v>1399</v>
      </c>
      <c r="B1400" s="4">
        <v>45954.613530092603</v>
      </c>
      <c r="C1400" s="5" t="str">
        <v>DAIHATSU GRANMAX PU AC PS 1.5 M/T</v>
      </c>
      <c r="D1400" s="5" t="str">
        <v>H6446RTB</v>
      </c>
      <c r="E1400" s="10">
        <v>12547</v>
      </c>
      <c r="F1400" s="3" t="str">
        <v>Iya</v>
      </c>
      <c r="G1400" s="4">
        <v>45826</v>
      </c>
      <c r="H1400" s="10">
        <v>12547</v>
      </c>
    </row>
    <row r="1401" spans="1:8">
      <c r="A1401" s="3">
        <v>1400</v>
      </c>
      <c r="B1401" s="4">
        <v>45954.620486111111</v>
      </c>
      <c r="C1401" s="5" t="str">
        <v>PICK UP TRAGA 2.5 4X2 MT D M/T</v>
      </c>
      <c r="D1401" s="5" t="str">
        <v>B1177MX</v>
      </c>
      <c r="E1401" s="10">
        <v>126008</v>
      </c>
      <c r="F1401" s="3" t="str">
        <v>Iya</v>
      </c>
      <c r="G1401" s="4">
        <v>45755</v>
      </c>
      <c r="H1401" s="10">
        <v>126008</v>
      </c>
    </row>
    <row r="1402" spans="1:8">
      <c r="A1402" s="3">
        <v>1401</v>
      </c>
      <c r="B1402" s="4">
        <v>45954.710868055547</v>
      </c>
      <c r="C1402" s="5" t="str">
        <v>Daihatsu Xenia (Badan)</v>
      </c>
      <c r="D1402" s="5" t="str">
        <v>B5066SRV</v>
      </c>
      <c r="E1402" s="10">
        <v>16220</v>
      </c>
      <c r="F1402" s="3" t="str">
        <v>Iya</v>
      </c>
      <c r="G1402" s="4">
        <v>45866</v>
      </c>
      <c r="H1402" s="10">
        <v>16220</v>
      </c>
    </row>
    <row r="1403" spans="1:8">
      <c r="A1403" s="3">
        <v>1402</v>
      </c>
      <c r="B1403" s="4">
        <v>45955.341631944437</v>
      </c>
      <c r="C1403" s="5" t="str">
        <v>DAIHATSU GRANMAX PU AC PS 1.5 M/T</v>
      </c>
      <c r="D1403" s="5" t="str">
        <v>B4001FJ</v>
      </c>
      <c r="E1403" s="10">
        <v>11160</v>
      </c>
      <c r="F1403" s="3" t="str">
        <v>Iya</v>
      </c>
      <c r="G1403" s="4">
        <v>45953</v>
      </c>
      <c r="H1403" s="10">
        <v>11160</v>
      </c>
    </row>
    <row r="1404" spans="1:8">
      <c r="A1404" s="3">
        <v>1403</v>
      </c>
      <c r="B1404" s="4">
        <v>45955.40697916667</v>
      </c>
      <c r="C1404" s="5" t="str">
        <v>PICK UP TRAGA 2.5 4X2 MT D M/T</v>
      </c>
      <c r="D1404" s="5" t="str">
        <v>B4900WYS</v>
      </c>
      <c r="E1404" s="10">
        <v>39127</v>
      </c>
      <c r="F1404" s="3" t="str">
        <v>Iya</v>
      </c>
      <c r="G1404" s="4">
        <v>45954</v>
      </c>
      <c r="H1404" s="10">
        <v>39127</v>
      </c>
    </row>
    <row r="1405" spans="1:8">
      <c r="A1405" s="3">
        <v>1404</v>
      </c>
      <c r="B1405" s="4">
        <v>45955.439166666663</v>
      </c>
      <c r="C1405" s="5" t="str">
        <v>DAIHATSU GRANMAX PU AC PS 1.5 M/T</v>
      </c>
      <c r="D1405" s="5" t="str">
        <v>B1960LKY</v>
      </c>
      <c r="E1405" s="10">
        <v>47474</v>
      </c>
      <c r="F1405" s="3" t="str">
        <v>Iya</v>
      </c>
      <c r="G1405" s="4">
        <v>45931</v>
      </c>
      <c r="H1405" s="10">
        <v>47474</v>
      </c>
    </row>
    <row r="1406" spans="1:8">
      <c r="A1406" s="3">
        <v>1405</v>
      </c>
      <c r="B1406" s="4">
        <v>45955.454942129632</v>
      </c>
      <c r="C1406" s="5" t="str">
        <v>PICK UP TRAGA 2.5 4X2 MT D M/T</v>
      </c>
      <c r="D1406" s="5" t="str">
        <v>B7707TH</v>
      </c>
      <c r="E1406" s="10">
        <v>58892</v>
      </c>
      <c r="F1406" s="3" t="str">
        <v>Iya</v>
      </c>
      <c r="G1406" s="4">
        <v>45917</v>
      </c>
      <c r="H1406" s="10">
        <v>58892</v>
      </c>
    </row>
    <row r="1407" spans="1:8">
      <c r="A1407" s="3">
        <v>1406</v>
      </c>
      <c r="B1407" s="4">
        <v>45955.456307870372</v>
      </c>
      <c r="C1407" s="5" t="str">
        <v>DAIHATSU GRANMAX PU AC PS 1.5 M/T</v>
      </c>
      <c r="D1407" s="5" t="str">
        <v>B4034IWU</v>
      </c>
      <c r="E1407" s="10">
        <v>28608</v>
      </c>
      <c r="F1407" s="3" t="str">
        <v>Iya</v>
      </c>
      <c r="G1407" s="4">
        <v>45885</v>
      </c>
      <c r="H1407" s="10">
        <v>28608</v>
      </c>
    </row>
    <row r="1408" spans="1:8">
      <c r="A1408" s="3">
        <v>1407</v>
      </c>
      <c r="B1408" s="4">
        <v>45955.511342592603</v>
      </c>
      <c r="C1408" s="5" t="str">
        <v>DAIHATSU GRANMAX PU AC PS 1.5 M/T</v>
      </c>
      <c r="D1408" s="5" t="str">
        <v>B3271BYK</v>
      </c>
      <c r="E1408" s="10">
        <v>34222</v>
      </c>
      <c r="F1408" s="3" t="str">
        <v>Iya</v>
      </c>
      <c r="G1408" s="4">
        <v>45936</v>
      </c>
      <c r="H1408" s="10">
        <v>34222</v>
      </c>
    </row>
    <row r="1409" spans="1:8">
      <c r="A1409" s="3">
        <v>1408</v>
      </c>
      <c r="B1409" s="4">
        <v>45955.584351851852</v>
      </c>
      <c r="C1409" s="5" t="str">
        <v>Daihatsu Xenia (Badan)</v>
      </c>
      <c r="D1409" s="5" t="str">
        <v>B2834CX</v>
      </c>
      <c r="E1409" s="10">
        <v>56318</v>
      </c>
      <c r="F1409" s="3" t="str">
        <v>Iya</v>
      </c>
      <c r="G1409" s="4">
        <v>45876</v>
      </c>
      <c r="H1409" s="10">
        <v>56318</v>
      </c>
    </row>
    <row r="1410" spans="1:8">
      <c r="A1410" s="3">
        <v>1409</v>
      </c>
      <c r="B1410" s="4">
        <v>45955.614976851852</v>
      </c>
      <c r="C1410" s="5" t="str">
        <v>PICK UP TRAGA 2.5 4X2 MT D M/T</v>
      </c>
      <c r="D1410" s="5" t="str">
        <v>B5067LZ</v>
      </c>
      <c r="E1410" s="10">
        <v>34566</v>
      </c>
      <c r="F1410" s="3" t="str">
        <v>Iya</v>
      </c>
      <c r="G1410" s="4">
        <v>45880</v>
      </c>
      <c r="H1410" s="10">
        <v>34566</v>
      </c>
    </row>
    <row r="1411" spans="1:8">
      <c r="A1411" s="3">
        <v>1410</v>
      </c>
      <c r="B1411" s="4">
        <v>45955.641921296286</v>
      </c>
      <c r="C1411" s="5" t="str">
        <v>DAIHATSU GRANMAX PU AC PS 1.5 M/T</v>
      </c>
      <c r="D1411" s="5" t="str">
        <v>B8269XJ</v>
      </c>
      <c r="E1411" s="10">
        <v>28336</v>
      </c>
      <c r="F1411" s="3" t="str">
        <v>Iya</v>
      </c>
      <c r="G1411" s="4">
        <v>45810</v>
      </c>
      <c r="H1411" s="10">
        <v>28336</v>
      </c>
    </row>
    <row r="1412" spans="1:8">
      <c r="A1412" s="3">
        <v>1411</v>
      </c>
      <c r="B1412" s="4">
        <v>45955.693009259259</v>
      </c>
      <c r="C1412" s="5" t="str">
        <v>DAIHATSU GRANMAX PU AC PS 1.5 M/T</v>
      </c>
      <c r="D1412" s="5" t="str">
        <v>B5472JN</v>
      </c>
      <c r="E1412" s="10">
        <v>52251</v>
      </c>
      <c r="F1412" s="3" t="str">
        <v>Iya</v>
      </c>
      <c r="G1412" s="4">
        <v>45794</v>
      </c>
      <c r="H1412" s="10">
        <v>52251</v>
      </c>
    </row>
    <row r="1413" spans="1:8">
      <c r="A1413" s="3">
        <v>1412</v>
      </c>
      <c r="B1413" s="4">
        <v>45955.810081018521</v>
      </c>
      <c r="C1413" s="5" t="str">
        <v>DAIHATSU GRANMAX PU AC PS 1.5 M/T</v>
      </c>
      <c r="D1413" s="5" t="str">
        <v>B9587WL</v>
      </c>
      <c r="E1413" s="10">
        <v>3676</v>
      </c>
      <c r="F1413" s="3" t="str">
        <v>Iya</v>
      </c>
      <c r="G1413" s="4">
        <v>45909</v>
      </c>
      <c r="H1413" s="10">
        <v>3676</v>
      </c>
    </row>
    <row r="1414" spans="1:8">
      <c r="A1414" s="3">
        <v>1413</v>
      </c>
      <c r="B1414" s="4">
        <v>45956.432442129633</v>
      </c>
      <c r="C1414" s="5" t="str">
        <v>DAIHATSU GRANMAX PU AC PS 1.5 M/T</v>
      </c>
      <c r="D1414" s="5" t="str">
        <v>B8230YP</v>
      </c>
      <c r="E1414" s="10">
        <v>28646</v>
      </c>
      <c r="F1414" s="3" t="str">
        <v>Iya</v>
      </c>
      <c r="G1414" s="4">
        <v>45898</v>
      </c>
      <c r="H1414" s="10">
        <v>28646</v>
      </c>
    </row>
    <row r="1415" spans="1:8">
      <c r="A1415" s="3">
        <v>1414</v>
      </c>
      <c r="B1415" s="4">
        <v>45957.33252314815</v>
      </c>
      <c r="C1415" s="5" t="str">
        <v>PICK UP TRAGA 2.5 4X2 MT D M/T</v>
      </c>
      <c r="D1415" s="5" t="str">
        <v>B1167YL</v>
      </c>
      <c r="E1415" s="10">
        <v>28293</v>
      </c>
      <c r="F1415" s="3" t="str">
        <v>Iya</v>
      </c>
      <c r="G1415" s="4">
        <v>45953</v>
      </c>
      <c r="H1415" s="10">
        <v>28293</v>
      </c>
    </row>
    <row r="1416" spans="1:8">
      <c r="A1416" s="3">
        <v>1415</v>
      </c>
      <c r="B1416" s="4">
        <v>45957.388171296298</v>
      </c>
      <c r="C1416" s="5" t="str">
        <v>DAIHATSU GRANMAX PU AC PS 1.5 M/T</v>
      </c>
      <c r="D1416" s="5" t="str">
        <v>B7713QE</v>
      </c>
      <c r="E1416" s="10">
        <v>24690</v>
      </c>
      <c r="F1416" s="3" t="str">
        <v>Iya</v>
      </c>
      <c r="G1416" s="4">
        <v>45875</v>
      </c>
      <c r="H1416" s="10">
        <v>24690</v>
      </c>
    </row>
    <row r="1417" spans="1:8">
      <c r="A1417" s="3">
        <v>1416</v>
      </c>
      <c r="B1417" s="4">
        <v>45957.487569444442</v>
      </c>
      <c r="C1417" s="5" t="str">
        <v>DAIHATSU GRANMAX PU AC PS 1.5 M/T</v>
      </c>
      <c r="D1417" s="5" t="str">
        <v>B9409VZ</v>
      </c>
      <c r="E1417" s="10">
        <v>21749</v>
      </c>
      <c r="F1417" s="3" t="str">
        <v>Iya</v>
      </c>
      <c r="G1417" s="4">
        <v>45903</v>
      </c>
      <c r="H1417" s="10">
        <v>21749</v>
      </c>
    </row>
    <row r="1418" spans="1:8">
      <c r="A1418" s="3">
        <v>1417</v>
      </c>
      <c r="B1418" s="4">
        <v>45957.524409722217</v>
      </c>
      <c r="C1418" s="5" t="str">
        <v>Daihatsu Xenia (Badan)</v>
      </c>
      <c r="D1418" s="5" t="str">
        <v>DA9877GL</v>
      </c>
      <c r="E1418" s="10">
        <v>31230</v>
      </c>
      <c r="F1418" s="3" t="str">
        <v>Iya</v>
      </c>
      <c r="G1418" s="4">
        <v>45875</v>
      </c>
      <c r="H1418" s="10">
        <v>31230</v>
      </c>
    </row>
    <row r="1419" spans="1:8">
      <c r="A1419" s="3">
        <v>1418</v>
      </c>
      <c r="B1419" s="4">
        <v>45957.529756944437</v>
      </c>
      <c r="C1419" s="5" t="str">
        <v>DAIHATSU GRANMAX PU AC PS 1.5 M/T</v>
      </c>
      <c r="D1419" s="5" t="str">
        <v>D8603EG</v>
      </c>
      <c r="E1419" s="10">
        <v>17622</v>
      </c>
      <c r="F1419" s="3" t="str">
        <v>Iya</v>
      </c>
      <c r="G1419" s="4">
        <v>45878</v>
      </c>
      <c r="H1419" s="10">
        <v>17622</v>
      </c>
    </row>
    <row r="1420" spans="1:8">
      <c r="A1420" s="3">
        <v>1419</v>
      </c>
      <c r="B1420" s="4">
        <v>45957.54828703704</v>
      </c>
      <c r="C1420" s="5" t="str">
        <v>DAIHATSU GRANMAX PU AC PS 1.5 M/T</v>
      </c>
      <c r="D1420" s="5" t="str">
        <v>KT8120IVX</v>
      </c>
      <c r="E1420" s="10">
        <v>7227</v>
      </c>
      <c r="F1420" s="3" t="str">
        <v>Iya</v>
      </c>
      <c r="G1420" s="4">
        <v>45957</v>
      </c>
      <c r="H1420" s="10">
        <v>7227</v>
      </c>
    </row>
    <row r="1421" spans="1:8">
      <c r="A1421" s="3">
        <v>1420</v>
      </c>
      <c r="B1421" s="4">
        <v>45957.571805555563</v>
      </c>
      <c r="C1421" s="5" t="str">
        <v>PICK UP TRAGA 2.5 4X2 MT D M/T</v>
      </c>
      <c r="D1421" s="5" t="str">
        <v>B7102CW</v>
      </c>
      <c r="E1421" s="10">
        <v>48100</v>
      </c>
      <c r="F1421" s="3" t="str">
        <v>Iya</v>
      </c>
      <c r="G1421" s="4">
        <v>45843</v>
      </c>
      <c r="H1421" s="10">
        <v>48100</v>
      </c>
    </row>
    <row r="1422" spans="1:8">
      <c r="A1422" s="3">
        <v>1421</v>
      </c>
      <c r="B1422" s="4">
        <v>45957.575312499997</v>
      </c>
      <c r="C1422" s="5" t="str">
        <v>DAIHATSU GRANMAX PU AC PS 1.5 M/T</v>
      </c>
      <c r="D1422" s="5" t="str">
        <v>B1513KJ</v>
      </c>
      <c r="E1422" s="10">
        <v>7404</v>
      </c>
      <c r="F1422" s="3" t="str">
        <v>Iya</v>
      </c>
      <c r="G1422" s="4">
        <v>45936</v>
      </c>
      <c r="H1422" s="10">
        <v>7404</v>
      </c>
    </row>
    <row r="1423" spans="1:8">
      <c r="A1423" s="3">
        <v>1422</v>
      </c>
      <c r="B1423" s="4">
        <v>45957.596087962957</v>
      </c>
      <c r="C1423" s="5" t="str">
        <v>PICK UP TRAGA 2.5 4X2 MT D M/T</v>
      </c>
      <c r="D1423" s="5" t="str">
        <v>DA2223FX</v>
      </c>
      <c r="E1423" s="10">
        <v>54383</v>
      </c>
      <c r="F1423" s="3" t="str">
        <v>Iya</v>
      </c>
      <c r="G1423" s="4">
        <v>45951</v>
      </c>
      <c r="H1423" s="10">
        <v>54383</v>
      </c>
    </row>
    <row r="1424" spans="1:8">
      <c r="A1424" s="3">
        <v>1423</v>
      </c>
      <c r="B1424" s="4">
        <v>45957.780428240738</v>
      </c>
      <c r="C1424" s="5" t="str">
        <v>DAIHATSU GRANMAX PU AC PS 1.5 M/T</v>
      </c>
      <c r="D1424" s="5" t="str">
        <v>B4952MY</v>
      </c>
      <c r="E1424" s="10">
        <v>28039</v>
      </c>
      <c r="F1424" s="3" t="str">
        <v>Iya</v>
      </c>
      <c r="G1424" s="4">
        <v>45861</v>
      </c>
      <c r="H1424" s="10">
        <v>28039</v>
      </c>
    </row>
    <row r="1425" spans="1:8">
      <c r="A1425" s="3">
        <v>1424</v>
      </c>
      <c r="B1425" s="4">
        <v>45957.809050925927</v>
      </c>
      <c r="C1425" s="5" t="str">
        <v>PICK UP TRAGA 2.5 4X2 MT D M/T</v>
      </c>
      <c r="D1425" s="5" t="str">
        <v>B3079BPJ</v>
      </c>
      <c r="E1425" s="10">
        <v>49566</v>
      </c>
      <c r="F1425" s="3" t="str">
        <v>Iya</v>
      </c>
      <c r="G1425" s="4">
        <v>45889</v>
      </c>
      <c r="H1425" s="10">
        <v>49566</v>
      </c>
    </row>
    <row r="1426" spans="1:8">
      <c r="A1426" s="3">
        <v>1425</v>
      </c>
      <c r="B1426" s="4">
        <v>45957.839803240742</v>
      </c>
      <c r="C1426" s="5" t="str">
        <v>PICK UP TRAGA 2.5 4X2 MT D M/T</v>
      </c>
      <c r="D1426" s="5" t="str">
        <v>B5879BX</v>
      </c>
      <c r="E1426" s="10">
        <v>65890</v>
      </c>
      <c r="F1426" s="3" t="str">
        <v>Iya</v>
      </c>
      <c r="G1426" s="4">
        <v>45954</v>
      </c>
      <c r="H1426" s="10">
        <v>65890</v>
      </c>
    </row>
    <row r="1427" spans="1:8">
      <c r="A1427" s="3">
        <v>1426</v>
      </c>
      <c r="B1427" s="4">
        <v>45958.405405092592</v>
      </c>
      <c r="C1427" s="5" t="str">
        <v>DAIHATSU GRANMAX PU AC PS 1.5 M/T</v>
      </c>
      <c r="D1427" s="5" t="str">
        <v>B4547RRN</v>
      </c>
      <c r="E1427" s="10">
        <v>69285</v>
      </c>
      <c r="F1427" s="3" t="str">
        <v>Iya</v>
      </c>
      <c r="G1427" s="4">
        <v>45939</v>
      </c>
      <c r="H1427" s="10">
        <v>69285</v>
      </c>
    </row>
    <row r="1428" spans="1:8">
      <c r="A1428" s="3">
        <v>1427</v>
      </c>
      <c r="B1428" s="4">
        <v>45958.411412037043</v>
      </c>
      <c r="C1428" s="5" t="str">
        <v>DAIHATSU GRANMAX PU AC PS 1.5 M/T</v>
      </c>
      <c r="D1428" s="5" t="str">
        <v>B5612UFW</v>
      </c>
      <c r="E1428" s="10">
        <v>21747</v>
      </c>
      <c r="F1428" s="3" t="str">
        <v>Iya</v>
      </c>
      <c r="G1428" s="4">
        <v>45854</v>
      </c>
      <c r="H1428" s="10">
        <v>21747</v>
      </c>
    </row>
    <row r="1429" spans="1:8">
      <c r="A1429" s="3">
        <v>1428</v>
      </c>
      <c r="B1429" s="4">
        <v>45958.575787037043</v>
      </c>
      <c r="C1429" s="5" t="str">
        <v>PICK UP TRAGA 2.5 4X2 MT D M/T</v>
      </c>
      <c r="D1429" s="5" t="str">
        <v>B5912QZ</v>
      </c>
      <c r="E1429" s="10">
        <v>56471</v>
      </c>
      <c r="F1429" s="3" t="str">
        <v>Iya</v>
      </c>
      <c r="G1429" s="4">
        <v>45941</v>
      </c>
      <c r="H1429" s="10">
        <v>56471</v>
      </c>
    </row>
    <row r="1430" spans="1:8">
      <c r="A1430" s="3">
        <v>1429</v>
      </c>
      <c r="B1430" s="4">
        <v>45958.632245370369</v>
      </c>
      <c r="C1430" s="5" t="str">
        <v>PICK UP TRAGA 2.5 4X2 MT D M/T</v>
      </c>
      <c r="D1430" s="5" t="str">
        <v>B4784VXS</v>
      </c>
      <c r="E1430" s="10">
        <v>69909</v>
      </c>
      <c r="F1430" s="3" t="str">
        <v>Iya</v>
      </c>
      <c r="G1430" s="4">
        <v>45909</v>
      </c>
      <c r="H1430" s="10">
        <v>69909</v>
      </c>
    </row>
    <row r="1431" spans="1:8">
      <c r="A1431" s="3">
        <v>1430</v>
      </c>
      <c r="B1431" s="4">
        <v>45958.650636574072</v>
      </c>
      <c r="C1431" s="5" t="str">
        <v>PICK UP TRAGA 2.5 4X2 MT D M/T</v>
      </c>
      <c r="D1431" s="5" t="str">
        <v>B7187TX</v>
      </c>
      <c r="E1431" s="10">
        <v>4509</v>
      </c>
      <c r="F1431" s="3" t="str">
        <v>Iya</v>
      </c>
      <c r="G1431" s="4">
        <v>45870</v>
      </c>
      <c r="H1431" s="10">
        <v>4509</v>
      </c>
    </row>
    <row r="1432" spans="1:8">
      <c r="A1432" s="3">
        <v>1431</v>
      </c>
      <c r="B1432" s="4">
        <v>45958.666087962964</v>
      </c>
      <c r="C1432" s="5" t="str">
        <v>PICK UP TRAGA 2.5 4X2 MT D M/T</v>
      </c>
      <c r="D1432" s="5" t="str">
        <v>B2886XC</v>
      </c>
      <c r="E1432" s="10">
        <v>14953</v>
      </c>
      <c r="F1432" s="3" t="str">
        <v>Iya</v>
      </c>
      <c r="G1432" s="4">
        <v>45874</v>
      </c>
      <c r="H1432" s="10">
        <v>14953</v>
      </c>
    </row>
    <row r="1433" spans="1:8">
      <c r="A1433" s="3">
        <v>1432</v>
      </c>
      <c r="B1433" s="4">
        <v>45958.763611111113</v>
      </c>
      <c r="C1433" s="5" t="str">
        <v>PICK UP TRAGA 2.5 4X2 MT D M/T</v>
      </c>
      <c r="D1433" s="5" t="str">
        <v>KT4398VSY</v>
      </c>
      <c r="E1433" s="10">
        <v>49443</v>
      </c>
      <c r="F1433" s="3" t="str">
        <v>Iya</v>
      </c>
      <c r="G1433" s="4">
        <v>45955</v>
      </c>
      <c r="H1433" s="10">
        <v>49443</v>
      </c>
    </row>
    <row r="1434" spans="1:8">
      <c r="A1434" s="3">
        <v>1433</v>
      </c>
      <c r="B1434" s="4">
        <v>45959.317997685182</v>
      </c>
      <c r="C1434" s="5" t="str">
        <v>DAIHATSU GRANMAX PU AC PS 1.5 M/T</v>
      </c>
      <c r="D1434" s="5" t="str">
        <v>B5572LYP</v>
      </c>
      <c r="E1434" s="10">
        <v>19668</v>
      </c>
      <c r="F1434" s="3" t="str">
        <v>Iya</v>
      </c>
      <c r="G1434" s="4">
        <v>45934</v>
      </c>
      <c r="H1434" s="10">
        <v>19668</v>
      </c>
    </row>
    <row r="1435" spans="1:8">
      <c r="A1435" s="3">
        <v>1434</v>
      </c>
      <c r="B1435" s="4">
        <v>45959.36959490741</v>
      </c>
      <c r="C1435" s="5" t="str">
        <v>DAIHATSU GRANMAX PU AC PS 1.5 M/T</v>
      </c>
      <c r="D1435" s="5" t="str">
        <v>B2198SM</v>
      </c>
      <c r="E1435" s="10">
        <v>2395</v>
      </c>
      <c r="F1435" s="3" t="str">
        <v>Iya</v>
      </c>
      <c r="G1435" s="4">
        <v>45794</v>
      </c>
      <c r="H1435" s="10">
        <v>2395</v>
      </c>
    </row>
    <row r="1436" spans="1:8">
      <c r="A1436" s="3">
        <v>1435</v>
      </c>
      <c r="B1436" s="4">
        <v>45959.47252314815</v>
      </c>
      <c r="C1436" s="5" t="str">
        <v>DAIHATSU GRANMAX PU AC PS 1.5 M/T</v>
      </c>
      <c r="D1436" s="5" t="str">
        <v>B7035JK</v>
      </c>
      <c r="E1436" s="10">
        <v>35976</v>
      </c>
      <c r="F1436" s="3" t="str">
        <v>Iya</v>
      </c>
      <c r="G1436" s="4">
        <v>45926</v>
      </c>
      <c r="H1436" s="10">
        <v>35976</v>
      </c>
    </row>
    <row r="1437" spans="1:8">
      <c r="A1437" s="3">
        <v>1436</v>
      </c>
      <c r="B1437" s="4">
        <v>45959.504687499997</v>
      </c>
      <c r="C1437" s="5" t="str">
        <v>DAIHATSU GRANMAX PU AC PS 1.5 M/T</v>
      </c>
      <c r="D1437" s="5" t="str">
        <v>B9244VW</v>
      </c>
      <c r="E1437" s="10">
        <v>16152</v>
      </c>
      <c r="F1437" s="3" t="str">
        <v>Iya</v>
      </c>
      <c r="G1437" s="4">
        <v>45833</v>
      </c>
      <c r="H1437" s="10">
        <v>16152</v>
      </c>
    </row>
    <row r="1438" spans="1:8">
      <c r="A1438" s="3">
        <v>1437</v>
      </c>
      <c r="B1438" s="4">
        <v>45959.572326388887</v>
      </c>
      <c r="C1438" s="5" t="str">
        <v>DAIHATSU GRANMAX PU AC PS 1.5 M/T</v>
      </c>
      <c r="D1438" s="5" t="str">
        <v>D9140HC</v>
      </c>
      <c r="E1438" s="10">
        <v>1006</v>
      </c>
      <c r="F1438" s="3" t="str">
        <v>Iya</v>
      </c>
      <c r="G1438" s="4">
        <v>45842</v>
      </c>
      <c r="H1438" s="10">
        <v>1006</v>
      </c>
    </row>
    <row r="1439" spans="1:8">
      <c r="A1439" s="3">
        <v>1438</v>
      </c>
      <c r="B1439" s="4">
        <v>45959.574178240742</v>
      </c>
      <c r="C1439" s="5" t="str">
        <v>DAIHATSU GRANMAX PU AC PS 1.5 M/T</v>
      </c>
      <c r="D1439" s="5" t="str">
        <v>B9877USW</v>
      </c>
      <c r="E1439" s="10">
        <v>8772</v>
      </c>
      <c r="F1439" s="3" t="str">
        <v>Iya</v>
      </c>
      <c r="G1439" s="4">
        <v>45737</v>
      </c>
      <c r="H1439" s="10">
        <v>8772</v>
      </c>
    </row>
    <row r="1440" spans="1:8">
      <c r="A1440" s="3">
        <v>1439</v>
      </c>
      <c r="B1440" s="4">
        <v>45959.645949074067</v>
      </c>
      <c r="C1440" s="5" t="str">
        <v>DAIHATSU GRANMAX PU AC PS 1.5 M/T</v>
      </c>
      <c r="D1440" s="5" t="str">
        <v>B1265LKJ</v>
      </c>
      <c r="E1440" s="10">
        <v>3386</v>
      </c>
      <c r="F1440" s="3" t="str">
        <v>Iya</v>
      </c>
      <c r="G1440" s="4">
        <v>45945</v>
      </c>
      <c r="H1440" s="10">
        <v>3386</v>
      </c>
    </row>
    <row r="1441" spans="1:8">
      <c r="A1441" s="3">
        <v>1440</v>
      </c>
      <c r="B1441" s="4">
        <v>45959.696516203701</v>
      </c>
      <c r="C1441" s="5" t="str">
        <v>PICK UP TRAGA 2.5 4X2 MT D M/T</v>
      </c>
      <c r="D1441" s="5" t="str">
        <v>H9293ZLM</v>
      </c>
      <c r="E1441" s="10">
        <v>11038</v>
      </c>
      <c r="F1441" s="3" t="str">
        <v>Iya</v>
      </c>
      <c r="G1441" s="4">
        <v>45917</v>
      </c>
      <c r="H1441" s="10">
        <v>11038</v>
      </c>
    </row>
    <row r="1442" spans="1:8">
      <c r="A1442" s="3">
        <v>1441</v>
      </c>
      <c r="B1442" s="4">
        <v>45959.712777777779</v>
      </c>
      <c r="C1442" s="5" t="str">
        <v>PICK UP TRAGA 2.5 4X2 MT D M/T</v>
      </c>
      <c r="D1442" s="5" t="str">
        <v>B5009UN</v>
      </c>
      <c r="E1442" s="10">
        <v>71917</v>
      </c>
      <c r="F1442" s="3" t="str">
        <v>Iya</v>
      </c>
      <c r="G1442" s="4">
        <v>45957</v>
      </c>
      <c r="H1442" s="10">
        <v>71917</v>
      </c>
    </row>
    <row r="1443" spans="1:8">
      <c r="A1443" s="3">
        <v>1442</v>
      </c>
      <c r="B1443" s="4">
        <v>45959.755104166667</v>
      </c>
      <c r="C1443" s="5" t="str">
        <v>DAIHATSU GRANMAX PU AC PS 1.5 M/T</v>
      </c>
      <c r="D1443" s="5" t="str">
        <v>B6642GE</v>
      </c>
      <c r="E1443" s="10">
        <v>14619</v>
      </c>
      <c r="F1443" s="3" t="str">
        <v>Iya</v>
      </c>
      <c r="G1443" s="4">
        <v>45918</v>
      </c>
      <c r="H1443" s="10">
        <v>14619</v>
      </c>
    </row>
    <row r="1444" spans="1:8">
      <c r="A1444" s="3">
        <v>1443</v>
      </c>
      <c r="B1444" s="4">
        <v>45959.771504629629</v>
      </c>
      <c r="C1444" s="5" t="str">
        <v>DAIHATSU GRANMAX PU AC PS 1.5 M/T</v>
      </c>
      <c r="D1444" s="5" t="str">
        <v>B5541LZ</v>
      </c>
      <c r="E1444" s="10">
        <v>24628</v>
      </c>
      <c r="F1444" s="3" t="str">
        <v>Iya</v>
      </c>
      <c r="G1444" s="4">
        <v>45223</v>
      </c>
      <c r="H1444" s="10">
        <v>24628</v>
      </c>
    </row>
    <row r="1445" spans="1:8">
      <c r="A1445" s="3">
        <v>1444</v>
      </c>
      <c r="B1445" s="4">
        <v>45959.782789351862</v>
      </c>
      <c r="C1445" s="5" t="str">
        <v>PICK UP TRAGA 2.5 4X2 MT D M/T</v>
      </c>
      <c r="D1445" s="5" t="str">
        <v>DM5212DL</v>
      </c>
      <c r="E1445" s="10">
        <v>3349</v>
      </c>
      <c r="F1445" s="3" t="str">
        <v>Iya</v>
      </c>
      <c r="G1445" s="4">
        <v>45839</v>
      </c>
      <c r="H1445" s="10">
        <v>3349</v>
      </c>
    </row>
    <row r="1446" spans="1:8">
      <c r="A1446" s="3">
        <v>1445</v>
      </c>
      <c r="B1446" s="4">
        <v>45960.382453703707</v>
      </c>
      <c r="C1446" s="5" t="str">
        <v>DAIHATSU GRANMAX PU AC PS 1.5 M/T</v>
      </c>
      <c r="D1446" s="5" t="str">
        <v>B8878HRL</v>
      </c>
      <c r="E1446" s="10">
        <v>1232</v>
      </c>
      <c r="F1446" s="3" t="str">
        <v>Iya</v>
      </c>
      <c r="G1446" s="4">
        <v>45952</v>
      </c>
      <c r="H1446" s="10">
        <v>1232</v>
      </c>
    </row>
    <row r="1447" spans="1:8">
      <c r="A1447" s="3">
        <v>1446</v>
      </c>
      <c r="B1447" s="4">
        <v>45960.391018518523</v>
      </c>
      <c r="C1447" s="5" t="str">
        <v>DAIHATSU GRANMAX PU AC PS 1.5 M/T</v>
      </c>
      <c r="D1447" s="5" t="str">
        <v>D9851QY</v>
      </c>
      <c r="E1447" s="10">
        <v>6324</v>
      </c>
      <c r="F1447" s="3" t="str">
        <v>Iya</v>
      </c>
      <c r="G1447" s="4">
        <v>45827</v>
      </c>
      <c r="H1447" s="10">
        <v>6324</v>
      </c>
    </row>
    <row r="1448" spans="1:8">
      <c r="A1448" s="3">
        <v>1447</v>
      </c>
      <c r="B1448" s="4">
        <v>45960.423946759263</v>
      </c>
      <c r="C1448" s="5" t="str">
        <v>PICK UP TRAGA 2.5 4X2 MT D M/T</v>
      </c>
      <c r="D1448" s="5" t="str">
        <v>B1181GU</v>
      </c>
      <c r="E1448" s="10">
        <v>12656</v>
      </c>
      <c r="F1448" s="3" t="str">
        <v>Iya</v>
      </c>
      <c r="G1448" s="4">
        <v>45941</v>
      </c>
      <c r="H1448" s="10">
        <v>12656</v>
      </c>
    </row>
    <row r="1449" spans="1:8">
      <c r="A1449" s="3">
        <v>1448</v>
      </c>
      <c r="B1449" s="4">
        <v>45960.853541666656</v>
      </c>
      <c r="C1449" s="5" t="str">
        <v>DAIHATSU GRANMAX PU AC PS 1.5 M/T</v>
      </c>
      <c r="D1449" s="5" t="str">
        <v>B3355VB</v>
      </c>
      <c r="E1449" s="10">
        <v>2969</v>
      </c>
      <c r="F1449" s="3" t="str">
        <v>Iya</v>
      </c>
      <c r="G1449" s="4">
        <v>45720</v>
      </c>
      <c r="H1449" s="10">
        <v>2969</v>
      </c>
    </row>
    <row r="1450" spans="1:8">
      <c r="A1450" s="3">
        <v>1449</v>
      </c>
      <c r="B1450" s="4">
        <v>45961.40121527778</v>
      </c>
      <c r="C1450" s="5" t="str">
        <v>Daihatsu Xenia (Badan)</v>
      </c>
      <c r="D1450" s="5" t="str">
        <v>KB8049QJT</v>
      </c>
      <c r="E1450" s="10">
        <v>2511</v>
      </c>
      <c r="F1450" s="3" t="str">
        <v>Iya</v>
      </c>
      <c r="G1450" s="4">
        <v>45870</v>
      </c>
      <c r="H1450" s="10">
        <v>2511</v>
      </c>
    </row>
    <row r="1451" spans="1:8">
      <c r="A1451" s="3">
        <v>1450</v>
      </c>
      <c r="B1451" s="4">
        <v>45961.632939814823</v>
      </c>
      <c r="C1451" s="5" t="str">
        <v>PICK UP TRAGA 2.5 4X2 MT D M/T</v>
      </c>
      <c r="D1451" s="5" t="str">
        <v>AB1071BW</v>
      </c>
      <c r="E1451" s="10">
        <v>2595</v>
      </c>
      <c r="F1451" s="3" t="str">
        <v>Iya</v>
      </c>
      <c r="G1451" s="4">
        <v>45946</v>
      </c>
      <c r="H1451" s="10">
        <v>2595</v>
      </c>
    </row>
    <row r="1452" spans="1:8">
      <c r="A1452" s="3">
        <v>1451</v>
      </c>
      <c r="B1452" s="4">
        <v>45961.862326388888</v>
      </c>
      <c r="C1452" s="5" t="str">
        <v>DAIHATSU GRANMAX PU AC PS 1.5 M/T</v>
      </c>
      <c r="D1452" s="5" t="str">
        <v>B7832GQD</v>
      </c>
      <c r="E1452" s="10">
        <v>29841</v>
      </c>
      <c r="F1452" s="3" t="str">
        <v>Iya</v>
      </c>
      <c r="G1452" s="4">
        <v>45917</v>
      </c>
      <c r="H1452" s="10">
        <v>29841</v>
      </c>
    </row>
    <row r="1453" spans="1:8">
      <c r="A1453" s="3">
        <v>1452</v>
      </c>
      <c r="B1453" s="4">
        <v>45961.866446759261</v>
      </c>
      <c r="C1453" s="5" t="str">
        <v>DAIHATSU GRANMAX PU AC PS 1.5 M/T</v>
      </c>
      <c r="D1453" s="5" t="str">
        <v>B2772EK</v>
      </c>
      <c r="E1453" s="10">
        <v>15563</v>
      </c>
      <c r="F1453" s="3" t="str">
        <v>Iya</v>
      </c>
      <c r="G1453" s="4">
        <v>45874</v>
      </c>
      <c r="H1453" s="10">
        <v>15563</v>
      </c>
    </row>
    <row r="1454" spans="1:8">
      <c r="A1454" s="3">
        <v>1453</v>
      </c>
      <c r="B1454" s="4">
        <v>45962.455289351848</v>
      </c>
      <c r="C1454" s="5" t="str">
        <v>DAIHATSU GRANMAX PU AC PS 1.5 M/T</v>
      </c>
      <c r="D1454" s="5" t="str">
        <v>KT4675WB</v>
      </c>
      <c r="E1454" s="10">
        <v>52471</v>
      </c>
      <c r="F1454" s="3" t="str">
        <v>Iya</v>
      </c>
      <c r="G1454" s="4">
        <v>45983</v>
      </c>
      <c r="H1454" s="10">
        <v>52471</v>
      </c>
    </row>
    <row r="1455" spans="1:8">
      <c r="A1455" s="3">
        <v>1454</v>
      </c>
      <c r="B1455" s="4">
        <v>45962.477222222216</v>
      </c>
      <c r="C1455" s="5" t="str">
        <v>DAIHATSU GRANMAX PU AC PS 1.5 M/T</v>
      </c>
      <c r="D1455" s="5" t="str">
        <v>DD2694FT</v>
      </c>
      <c r="E1455" s="10">
        <v>22335</v>
      </c>
      <c r="F1455" s="3" t="str">
        <v>Iya</v>
      </c>
      <c r="G1455" s="4">
        <v>45885</v>
      </c>
      <c r="H1455" s="10">
        <v>22335</v>
      </c>
    </row>
    <row r="1456" spans="1:8">
      <c r="A1456" s="3">
        <v>1455</v>
      </c>
      <c r="B1456" s="4">
        <v>45962.510023148148</v>
      </c>
      <c r="C1456" s="5" t="str">
        <v>DAIHATSU GRANMAX PU AC PS 1.5 M/T</v>
      </c>
      <c r="D1456" s="5" t="str">
        <v>D3219FF</v>
      </c>
      <c r="E1456" s="10">
        <v>33518</v>
      </c>
      <c r="F1456" s="3" t="str">
        <v>Iya</v>
      </c>
      <c r="G1456" s="4">
        <v>45960</v>
      </c>
      <c r="H1456" s="10">
        <v>33518</v>
      </c>
    </row>
    <row r="1457" spans="1:8">
      <c r="A1457" s="3">
        <v>1456</v>
      </c>
      <c r="B1457" s="4">
        <v>45964.347233796303</v>
      </c>
      <c r="C1457" s="5" t="str">
        <v>DAIHATSU GRANMAX PU AC PS 1.5 M/T</v>
      </c>
      <c r="D1457" s="5" t="str">
        <v>BP6297BR</v>
      </c>
      <c r="E1457" s="10">
        <v>35990</v>
      </c>
      <c r="F1457" s="3" t="str">
        <v>Iya</v>
      </c>
      <c r="G1457" s="4">
        <v>45797</v>
      </c>
      <c r="H1457" s="10">
        <v>35990</v>
      </c>
    </row>
    <row r="1458" spans="1:8">
      <c r="A1458" s="3">
        <v>1457</v>
      </c>
      <c r="B1458" s="4">
        <v>45964.372557870367</v>
      </c>
      <c r="C1458" s="5" t="str">
        <v>DAIHATSU GRANMAX PU AC PS 1.5 M/T</v>
      </c>
      <c r="D1458" s="5" t="str">
        <v>B4755HT</v>
      </c>
      <c r="E1458" s="10">
        <v>11997</v>
      </c>
      <c r="F1458" s="3" t="str">
        <v>Iya</v>
      </c>
      <c r="G1458" s="4">
        <v>45720</v>
      </c>
      <c r="H1458" s="10">
        <v>11997</v>
      </c>
    </row>
    <row r="1459" spans="1:8">
      <c r="A1459" s="3">
        <v>1458</v>
      </c>
      <c r="B1459" s="4">
        <v>45964.372916666667</v>
      </c>
      <c r="C1459" s="5" t="str">
        <v>Daihatsu Xenia (Badan)</v>
      </c>
      <c r="D1459" s="5" t="str">
        <v>B1923MMD</v>
      </c>
      <c r="E1459" s="10">
        <v>27401</v>
      </c>
      <c r="F1459" s="3" t="str">
        <v>Iya</v>
      </c>
      <c r="G1459" s="4">
        <v>45763</v>
      </c>
      <c r="H1459" s="10">
        <v>27401</v>
      </c>
    </row>
    <row r="1460" spans="1:8">
      <c r="A1460" s="3">
        <v>1459</v>
      </c>
      <c r="B1460" s="4">
        <v>45964.380729166667</v>
      </c>
      <c r="C1460" s="5" t="str">
        <v>DAIHATSU GRANMAX PU AC PS 1.5 M/T</v>
      </c>
      <c r="D1460" s="5" t="str">
        <v>B4242KSP</v>
      </c>
      <c r="E1460" s="10">
        <v>35226</v>
      </c>
      <c r="F1460" s="3" t="str">
        <v>Iya</v>
      </c>
      <c r="G1460" s="4">
        <v>45813</v>
      </c>
      <c r="H1460" s="10">
        <v>35226</v>
      </c>
    </row>
    <row r="1461" spans="1:8">
      <c r="A1461" s="3">
        <v>1460</v>
      </c>
      <c r="B1461" s="4">
        <v>45964.384699074071</v>
      </c>
      <c r="C1461" s="5" t="str">
        <v>DAIHATSU GRANMAX PU AC PS 1.5 M/T</v>
      </c>
      <c r="D1461" s="5" t="str">
        <v>B9303TI</v>
      </c>
      <c r="E1461" s="10">
        <v>82263</v>
      </c>
      <c r="F1461" s="3" t="str">
        <v>Iya</v>
      </c>
      <c r="G1461" s="4">
        <v>45849</v>
      </c>
      <c r="H1461" s="10">
        <v>82263</v>
      </c>
    </row>
    <row r="1462" spans="1:8">
      <c r="A1462" s="3">
        <v>1461</v>
      </c>
      <c r="B1462" s="4">
        <v>45964.401886574073</v>
      </c>
      <c r="C1462" s="5" t="str">
        <v>DAIHATSU GRANMAX PU AC PS 1.5 M/T</v>
      </c>
      <c r="D1462" s="5" t="str">
        <v>B4790UR</v>
      </c>
      <c r="E1462" s="10">
        <v>38278</v>
      </c>
      <c r="F1462" s="3" t="str">
        <v>Iya</v>
      </c>
      <c r="G1462" s="4">
        <v>45811</v>
      </c>
      <c r="H1462" s="10">
        <v>38278</v>
      </c>
    </row>
    <row r="1463" spans="1:8">
      <c r="A1463" s="3">
        <v>1462</v>
      </c>
      <c r="B1463" s="4">
        <v>45964.407592592594</v>
      </c>
      <c r="C1463" s="5" t="str">
        <v>DAIHATSU GRANMAX PU AC PS 1.5 M/T</v>
      </c>
      <c r="D1463" s="5" t="str">
        <v>B4293EW</v>
      </c>
      <c r="E1463" s="10">
        <v>99279</v>
      </c>
      <c r="F1463" s="3" t="str">
        <v>Iya</v>
      </c>
      <c r="G1463" s="4">
        <v>45895</v>
      </c>
      <c r="H1463" s="10">
        <v>99279</v>
      </c>
    </row>
    <row r="1464" spans="1:8">
      <c r="A1464" s="3">
        <v>1463</v>
      </c>
      <c r="B1464" s="4">
        <v>45964.409675925926</v>
      </c>
      <c r="C1464" s="5" t="str">
        <v>DAIHATSU GRANMAX PU AC PS 1.5 M/T</v>
      </c>
      <c r="D1464" s="5" t="str">
        <v>B2997NJ</v>
      </c>
      <c r="E1464" s="10">
        <v>64392</v>
      </c>
      <c r="F1464" s="3" t="str">
        <v>Iya</v>
      </c>
      <c r="G1464" s="4">
        <v>45904</v>
      </c>
      <c r="H1464" s="10">
        <v>64392</v>
      </c>
    </row>
    <row r="1465" spans="1:8">
      <c r="A1465" s="3">
        <v>1464</v>
      </c>
      <c r="B1465" s="4">
        <v>45964.442800925928</v>
      </c>
      <c r="C1465" s="5" t="str">
        <v>DAIHATSU GRANMAX PU AC PS 1.5 M/T</v>
      </c>
      <c r="D1465" s="5" t="str">
        <v>B6341YY</v>
      </c>
      <c r="E1465" s="10">
        <v>29581</v>
      </c>
      <c r="F1465" s="3" t="str">
        <v>Iya</v>
      </c>
      <c r="G1465" s="4">
        <v>45962</v>
      </c>
      <c r="H1465" s="10">
        <v>29581</v>
      </c>
    </row>
    <row r="1466" spans="1:8">
      <c r="A1466" s="3">
        <v>1465</v>
      </c>
      <c r="B1466" s="4">
        <v>45964.455995370372</v>
      </c>
      <c r="C1466" s="5" t="str">
        <v>PICK UP TRAGA 2.5 4X2 MT D M/T</v>
      </c>
      <c r="D1466" s="5" t="str">
        <v>B7915GBS</v>
      </c>
      <c r="E1466" s="10">
        <v>49280</v>
      </c>
      <c r="F1466" s="3" t="str">
        <v>Iya</v>
      </c>
      <c r="G1466" s="4">
        <v>45876</v>
      </c>
      <c r="H1466" s="10">
        <v>49280</v>
      </c>
    </row>
    <row r="1467" spans="1:8">
      <c r="A1467" s="3">
        <v>1466</v>
      </c>
      <c r="B1467" s="4">
        <v>45964.497824074067</v>
      </c>
      <c r="C1467" s="5" t="str">
        <v>DAIHATSU GRANMAX PU AC PS 1.5 M/T</v>
      </c>
      <c r="D1467" s="5" t="str">
        <v>B1356KE</v>
      </c>
      <c r="E1467" s="10">
        <v>34319</v>
      </c>
      <c r="F1467" s="3" t="str">
        <v>Iya</v>
      </c>
      <c r="G1467" s="4">
        <v>45895</v>
      </c>
      <c r="H1467" s="10">
        <v>34319</v>
      </c>
    </row>
    <row r="1468" spans="1:8">
      <c r="A1468" s="3">
        <v>1467</v>
      </c>
      <c r="B1468" s="4">
        <v>45964.556296296287</v>
      </c>
      <c r="C1468" s="5" t="str">
        <v>PICK UP TRAGA 2.5 4X2 MT D M/T</v>
      </c>
      <c r="D1468" s="5" t="str">
        <v>B3561NJ</v>
      </c>
      <c r="E1468" s="10">
        <v>20151</v>
      </c>
      <c r="F1468" s="3" t="str">
        <v>Iya</v>
      </c>
      <c r="G1468" s="4">
        <v>45955</v>
      </c>
      <c r="H1468" s="10">
        <v>20151</v>
      </c>
    </row>
    <row r="1469" spans="1:8">
      <c r="A1469" s="3">
        <v>1468</v>
      </c>
      <c r="B1469" s="4">
        <v>45964.578587962962</v>
      </c>
      <c r="C1469" s="5" t="str">
        <v>DAIHATSU GRANMAX PU AC PS 1.5 M/T</v>
      </c>
      <c r="D1469" s="5" t="str">
        <v>B2342QW</v>
      </c>
      <c r="E1469" s="10">
        <v>10455</v>
      </c>
      <c r="F1469" s="3" t="str">
        <v>Iya</v>
      </c>
      <c r="G1469" s="4">
        <v>45855</v>
      </c>
      <c r="H1469" s="10">
        <v>10455</v>
      </c>
    </row>
    <row r="1470" spans="1:8">
      <c r="A1470" s="3">
        <v>1469</v>
      </c>
      <c r="B1470" s="4">
        <v>45964.678564814807</v>
      </c>
      <c r="C1470" s="5" t="str">
        <v>PICK UP TRAGA 2.5 4X2 MT D M/T</v>
      </c>
      <c r="D1470" s="5" t="str">
        <v>B5818SHZ</v>
      </c>
      <c r="E1470" s="10">
        <v>101906</v>
      </c>
      <c r="F1470" s="3" t="str">
        <v>Iya</v>
      </c>
      <c r="G1470" s="4">
        <v>45909</v>
      </c>
      <c r="H1470" s="10">
        <v>101906</v>
      </c>
    </row>
    <row r="1471" spans="1:8">
      <c r="A1471" s="3">
        <v>1470</v>
      </c>
      <c r="B1471" s="4">
        <v>45966.474560185183</v>
      </c>
      <c r="C1471" s="5" t="str">
        <v>PICK UP TRAGA 2.5 4X2 MT D M/T</v>
      </c>
      <c r="D1471" s="5" t="str">
        <v>B4656ZVZ</v>
      </c>
      <c r="E1471" s="10">
        <v>39604</v>
      </c>
      <c r="F1471" s="3" t="str">
        <v>Iya</v>
      </c>
      <c r="G1471" s="4">
        <v>45728</v>
      </c>
      <c r="H1471" s="10">
        <v>39604</v>
      </c>
    </row>
    <row r="1472" spans="1:8">
      <c r="A1472" s="3">
        <v>1471</v>
      </c>
      <c r="B1472" s="4">
        <v>45974.503263888888</v>
      </c>
      <c r="C1472" s="5" t="str">
        <v>DAIHATSU GRANMAX PU AC PS 1.5 M/T</v>
      </c>
      <c r="D1472" s="5" t="str">
        <v>B8857PYD</v>
      </c>
      <c r="E1472" s="10">
        <v>8642</v>
      </c>
      <c r="F1472" s="3" t="str">
        <v>Iya</v>
      </c>
      <c r="G1472" s="4">
        <v>45838</v>
      </c>
      <c r="H1472" s="10">
        <v>8642</v>
      </c>
    </row>
    <row r="1473" spans="1:8">
      <c r="A1473" s="3">
        <v>1472</v>
      </c>
      <c r="B1473" s="4">
        <v>45981.47011574074</v>
      </c>
      <c r="C1473" s="5" t="str">
        <v>DAIHATSU GRANMAX PU AC PS 1.5 M/T</v>
      </c>
      <c r="D1473" s="5" t="str">
        <v>D8668TS</v>
      </c>
      <c r="E1473" s="10">
        <v>30317</v>
      </c>
      <c r="F1473" s="3" t="str">
        <v>Iya</v>
      </c>
      <c r="G1473" s="4">
        <v>45980</v>
      </c>
      <c r="H1473" s="10">
        <v>30317</v>
      </c>
    </row>
    <row r="1474" spans="1:8">
      <c r="A1474" s="3">
        <v>1473</v>
      </c>
      <c r="B1474" s="4">
        <v>45985.452847222223</v>
      </c>
      <c r="C1474" s="5" t="str">
        <v>DAIHATSU GRANMAX PU AC PS 1.5 M/T</v>
      </c>
      <c r="D1474" s="5" t="str">
        <v>B3540VF</v>
      </c>
      <c r="E1474" s="10">
        <v>19277</v>
      </c>
      <c r="F1474" s="3" t="str">
        <v>Iya</v>
      </c>
      <c r="G1474" s="4">
        <v>45911</v>
      </c>
      <c r="H1474" s="10">
        <v>19277</v>
      </c>
    </row>
    <row r="1475" spans="1:8">
      <c r="A1475" s="3">
        <v>1474</v>
      </c>
      <c r="B1475" s="4">
        <v>45985.457800925928</v>
      </c>
      <c r="C1475" s="5" t="str">
        <v>PICK UP TRAGA 2.5 4X2 MT D M/T</v>
      </c>
      <c r="D1475" s="5" t="str">
        <v>B6986NB</v>
      </c>
      <c r="E1475" s="10">
        <v>38923</v>
      </c>
      <c r="F1475" s="3" t="str">
        <v>Iya</v>
      </c>
      <c r="G1475" s="4">
        <v>45979</v>
      </c>
      <c r="H1475" s="10">
        <v>38923</v>
      </c>
    </row>
    <row r="1476" spans="1:8">
      <c r="A1476" s="3">
        <v>1475</v>
      </c>
      <c r="B1476" s="4">
        <v>45985.458414351851</v>
      </c>
      <c r="C1476" s="5" t="str">
        <v>DAIHATSU GRANMAX PU AC PS 1.5 M/T</v>
      </c>
      <c r="D1476" s="5" t="str">
        <v>AB5434PRX</v>
      </c>
      <c r="E1476" s="10">
        <v>42424</v>
      </c>
      <c r="F1476" s="3" t="str">
        <v>Iya</v>
      </c>
      <c r="G1476" s="4">
        <v>45953</v>
      </c>
      <c r="H1476" s="10">
        <v>42424</v>
      </c>
    </row>
    <row r="1477" spans="1:8">
      <c r="A1477" s="3">
        <v>1476</v>
      </c>
      <c r="B1477" s="4">
        <v>45985.461967592593</v>
      </c>
      <c r="C1477" s="5" t="str">
        <v>DAIHATSU GRANMAX PU AC PS 1.5 M/T</v>
      </c>
      <c r="D1477" s="5" t="str">
        <v>B6999PZ</v>
      </c>
      <c r="E1477" s="10">
        <v>24332</v>
      </c>
      <c r="F1477" s="3" t="str">
        <v>Iya</v>
      </c>
      <c r="G1477" s="4">
        <v>45861</v>
      </c>
      <c r="H1477" s="10">
        <v>24332</v>
      </c>
    </row>
    <row r="1478" spans="1:8">
      <c r="A1478" s="3">
        <v>1477</v>
      </c>
      <c r="B1478" s="4">
        <v>45985.462129629632</v>
      </c>
      <c r="C1478" s="5" t="str">
        <v>DAIHATSU GRANMAX PU AC PS 1.5 M/T</v>
      </c>
      <c r="D1478" s="5" t="str">
        <v>D9140HC</v>
      </c>
      <c r="E1478" s="10">
        <v>1248</v>
      </c>
      <c r="F1478" s="3" t="str">
        <v>Iya</v>
      </c>
      <c r="G1478" s="4">
        <v>45813</v>
      </c>
      <c r="H1478" s="10">
        <v>1248</v>
      </c>
    </row>
    <row r="1479" spans="1:8">
      <c r="A1479" s="3">
        <v>1478</v>
      </c>
      <c r="B1479" s="4">
        <v>45985.462951388887</v>
      </c>
      <c r="C1479" s="5" t="str">
        <v>PICK UP TRAGA 2.5 4X2 MT D M/T</v>
      </c>
      <c r="D1479" s="5" t="str">
        <v>B2293BCX</v>
      </c>
      <c r="E1479" s="10">
        <v>8681</v>
      </c>
      <c r="F1479" s="3" t="str">
        <v>Iya</v>
      </c>
      <c r="G1479" s="4">
        <v>45915</v>
      </c>
      <c r="H1479" s="10">
        <v>8681</v>
      </c>
    </row>
    <row r="1480" spans="1:8">
      <c r="A1480" s="3">
        <v>1479</v>
      </c>
      <c r="B1480" s="4">
        <v>45985.46298611111</v>
      </c>
      <c r="C1480" s="5" t="str">
        <v>DAIHATSU GRANMAX PU AC PS 1.5 M/T</v>
      </c>
      <c r="D1480" s="5" t="str">
        <v>B8385EAN</v>
      </c>
      <c r="E1480" s="10">
        <v>18109</v>
      </c>
      <c r="F1480" s="3" t="str">
        <v>Iya</v>
      </c>
      <c r="G1480" s="4">
        <v>45783</v>
      </c>
      <c r="H1480" s="10">
        <v>18109</v>
      </c>
    </row>
    <row r="1481" spans="1:8">
      <c r="A1481" s="3">
        <v>1480</v>
      </c>
      <c r="B1481" s="4">
        <v>45985.465219907397</v>
      </c>
      <c r="C1481" s="5" t="str">
        <v>DAIHATSU GRANMAX PU AC PS 1.5 M/T</v>
      </c>
      <c r="D1481" s="5" t="str">
        <v>B8589XJW</v>
      </c>
      <c r="E1481" s="10">
        <v>28073</v>
      </c>
      <c r="F1481" s="3" t="str">
        <v>Iya</v>
      </c>
      <c r="G1481" s="4">
        <v>45953</v>
      </c>
      <c r="H1481" s="10">
        <v>28073</v>
      </c>
    </row>
    <row r="1482" spans="1:8">
      <c r="A1482" s="3">
        <v>1481</v>
      </c>
      <c r="B1482" s="4">
        <v>45985.470289351862</v>
      </c>
      <c r="C1482" s="5" t="str">
        <v>DAIHATSU GRANMAX PU AC PS 1.5 M/T</v>
      </c>
      <c r="D1482" s="5" t="str">
        <v>B8069JR</v>
      </c>
      <c r="E1482" s="10">
        <v>108130</v>
      </c>
      <c r="F1482" s="3" t="str">
        <v>Iya</v>
      </c>
      <c r="G1482" s="4">
        <v>45911</v>
      </c>
      <c r="H1482" s="10">
        <v>108130</v>
      </c>
    </row>
    <row r="1483" spans="1:8">
      <c r="A1483" s="3">
        <v>1482</v>
      </c>
      <c r="B1483" s="4">
        <v>45985.471226851849</v>
      </c>
      <c r="C1483" s="5" t="str">
        <v>PICK UP TRAGA 2.5 4X2 MT D M/T</v>
      </c>
      <c r="D1483" s="5" t="str">
        <v>B6449IA</v>
      </c>
      <c r="E1483" s="10">
        <v>3182</v>
      </c>
      <c r="F1483" s="3" t="str">
        <v>Iya</v>
      </c>
      <c r="G1483" s="4">
        <v>45950</v>
      </c>
      <c r="H1483" s="10">
        <v>3182</v>
      </c>
    </row>
    <row r="1484" spans="1:8">
      <c r="A1484" s="3">
        <v>1483</v>
      </c>
      <c r="B1484" s="4">
        <v>45985.473368055558</v>
      </c>
      <c r="C1484" s="5" t="str">
        <v>DAIHATSU GRANMAX PU AC PS 1.5 M/T</v>
      </c>
      <c r="D1484" s="5" t="str">
        <v>H3815DXD</v>
      </c>
      <c r="E1484" s="10">
        <v>11899</v>
      </c>
      <c r="F1484" s="3" t="str">
        <v>Iya</v>
      </c>
      <c r="G1484" s="4">
        <v>45904</v>
      </c>
      <c r="H1484" s="10">
        <v>11899</v>
      </c>
    </row>
    <row r="1485" spans="1:8">
      <c r="A1485" s="3">
        <v>1484</v>
      </c>
      <c r="B1485" s="4">
        <v>45985.473611111112</v>
      </c>
      <c r="C1485" s="5" t="str">
        <v>DAIHATSU GRANMAX PU AC PS 1.5 M/T</v>
      </c>
      <c r="D1485" s="5" t="str">
        <v>B3473LI</v>
      </c>
      <c r="E1485" s="10">
        <v>21793</v>
      </c>
      <c r="F1485" s="3" t="str">
        <v>Iya</v>
      </c>
      <c r="G1485" s="4">
        <v>45982</v>
      </c>
      <c r="H1485" s="10">
        <v>21793</v>
      </c>
    </row>
    <row r="1486" spans="1:8">
      <c r="A1486" s="3">
        <v>1485</v>
      </c>
      <c r="B1486" s="4">
        <v>45985.473761574067</v>
      </c>
      <c r="C1486" s="5" t="str">
        <v>PICK UP TRAGA 2.5 4X2 MT D M/T</v>
      </c>
      <c r="D1486" s="5" t="str">
        <v>B2784YG</v>
      </c>
      <c r="E1486" s="10">
        <v>82329</v>
      </c>
      <c r="F1486" s="3" t="str">
        <v>Iya</v>
      </c>
      <c r="G1486" s="4">
        <v>45951</v>
      </c>
      <c r="H1486" s="10">
        <v>82329</v>
      </c>
    </row>
    <row r="1487" spans="1:8">
      <c r="A1487" s="3">
        <v>1486</v>
      </c>
      <c r="B1487" s="4">
        <v>45985.474548611113</v>
      </c>
      <c r="C1487" s="5" t="str">
        <v>DAIHATSU GRANMAX PU AC PS 1.5 M/T</v>
      </c>
      <c r="D1487" s="5" t="str">
        <v>B6341YY</v>
      </c>
      <c r="E1487" s="10">
        <v>32882</v>
      </c>
      <c r="F1487" s="3" t="str">
        <v>Iya</v>
      </c>
      <c r="G1487" s="4">
        <v>45962</v>
      </c>
      <c r="H1487" s="10">
        <v>32882</v>
      </c>
    </row>
    <row r="1488" spans="1:8">
      <c r="A1488" s="3">
        <v>1487</v>
      </c>
      <c r="B1488" s="4">
        <v>45985.475370370368</v>
      </c>
      <c r="C1488" s="5" t="str">
        <v>PICK UP TRAGA 2.5 4X2 MT D M/T</v>
      </c>
      <c r="D1488" s="5" t="str">
        <v>B2118PQK</v>
      </c>
      <c r="E1488" s="10">
        <v>52882</v>
      </c>
      <c r="F1488" s="3" t="str">
        <v>Iya</v>
      </c>
      <c r="G1488" s="4">
        <v>45915</v>
      </c>
      <c r="H1488" s="10">
        <v>52882</v>
      </c>
    </row>
    <row r="1489" spans="1:8">
      <c r="A1489" s="3">
        <v>1488</v>
      </c>
      <c r="B1489" s="4">
        <v>45985.475844907407</v>
      </c>
      <c r="C1489" s="5" t="str">
        <v>PICK UP TRAGA 2.5 4X2 MT D M/T</v>
      </c>
      <c r="D1489" s="5" t="str">
        <v>B6013WGR</v>
      </c>
      <c r="E1489" s="10">
        <v>36852</v>
      </c>
      <c r="F1489" s="3" t="str">
        <v>Iya</v>
      </c>
      <c r="G1489" s="4">
        <v>45923</v>
      </c>
      <c r="H1489" s="10">
        <v>36852</v>
      </c>
    </row>
    <row r="1490" spans="1:8">
      <c r="A1490" s="3">
        <v>1489</v>
      </c>
      <c r="B1490" s="4">
        <v>45985.476736111108</v>
      </c>
      <c r="C1490" s="5" t="str">
        <v>DAIHATSU GRANMAX PU AC PS 1.5 M/T</v>
      </c>
      <c r="D1490" s="5" t="str">
        <v>KT8120IVX</v>
      </c>
      <c r="E1490" s="10">
        <v>8286</v>
      </c>
      <c r="F1490" s="3" t="str">
        <v>Iya</v>
      </c>
      <c r="G1490" s="4">
        <v>45972</v>
      </c>
      <c r="H1490" s="10">
        <v>8286</v>
      </c>
    </row>
    <row r="1491" spans="1:8">
      <c r="A1491" s="3">
        <v>1490</v>
      </c>
      <c r="B1491" s="4">
        <v>45985.480451388888</v>
      </c>
      <c r="C1491" s="5" t="str">
        <v>PICK UP TRAGA 2.5 4X2 MT D M/T</v>
      </c>
      <c r="D1491" s="5" t="str">
        <v>B6557JW</v>
      </c>
      <c r="E1491" s="10">
        <v>90994</v>
      </c>
      <c r="F1491" s="3" t="str">
        <v>Iya</v>
      </c>
      <c r="G1491" s="4">
        <v>45908</v>
      </c>
      <c r="H1491" s="10">
        <v>90994</v>
      </c>
    </row>
    <row r="1492" spans="1:8">
      <c r="A1492" s="3">
        <v>1491</v>
      </c>
      <c r="B1492" s="4">
        <v>45985.480868055558</v>
      </c>
      <c r="C1492" s="5" t="str">
        <v>DAIHATSU GRANMAX PU AC PS 1.5 M/T</v>
      </c>
      <c r="D1492" s="5" t="str">
        <v>B8389IA</v>
      </c>
      <c r="E1492" s="10">
        <v>15</v>
      </c>
      <c r="F1492" s="3" t="str">
        <v>Iya</v>
      </c>
      <c r="G1492" s="4">
        <v>45820</v>
      </c>
      <c r="H1492" s="10">
        <v>15</v>
      </c>
    </row>
    <row r="1493" spans="1:8">
      <c r="A1493" s="3">
        <v>1492</v>
      </c>
      <c r="B1493" s="4">
        <v>45985.492858796293</v>
      </c>
      <c r="C1493" s="5" t="str">
        <v>DAIHATSU GRANMAX PU AC PS 1.5 M/T</v>
      </c>
      <c r="D1493" s="5" t="str">
        <v>B8457UZ</v>
      </c>
      <c r="E1493" s="10">
        <v>13634</v>
      </c>
      <c r="F1493" s="3" t="str">
        <v>Iya</v>
      </c>
      <c r="G1493" s="4">
        <v>45919</v>
      </c>
      <c r="H1493" s="10">
        <v>13634</v>
      </c>
    </row>
    <row r="1494" spans="1:8">
      <c r="A1494" s="3">
        <v>1493</v>
      </c>
      <c r="B1494" s="4">
        <v>45985.494895833333</v>
      </c>
      <c r="C1494" s="5" t="str">
        <v>DAIHATSU GRANMAX PU AC PS 1.5 M/T</v>
      </c>
      <c r="D1494" s="5" t="str">
        <v>B7713QE</v>
      </c>
      <c r="E1494" s="10">
        <v>23401</v>
      </c>
      <c r="F1494" s="3" t="str">
        <v>Iya</v>
      </c>
      <c r="G1494" s="4">
        <v>45875</v>
      </c>
      <c r="H1494" s="10">
        <v>23401</v>
      </c>
    </row>
    <row r="1495" spans="1:8">
      <c r="A1495" s="3">
        <v>1494</v>
      </c>
      <c r="B1495" s="4">
        <v>45985.495439814818</v>
      </c>
      <c r="C1495" s="5" t="str">
        <v>DAIHATSU GRANMAX PU AC PS 1.5 M/T</v>
      </c>
      <c r="D1495" s="5" t="str">
        <v>B4021PX</v>
      </c>
      <c r="E1495" s="10">
        <v>4307</v>
      </c>
      <c r="F1495" s="3" t="str">
        <v>Iya</v>
      </c>
      <c r="G1495" s="4">
        <v>45883</v>
      </c>
      <c r="H1495" s="10">
        <v>4307</v>
      </c>
    </row>
    <row r="1496" spans="1:8">
      <c r="A1496" s="3">
        <v>1495</v>
      </c>
      <c r="B1496" s="4">
        <v>45985.496967592589</v>
      </c>
      <c r="C1496" s="5" t="str">
        <v>DAIHATSU GRANMAX PU AC PS 1.5 M/T</v>
      </c>
      <c r="D1496" s="5" t="str">
        <v>B5895NM</v>
      </c>
      <c r="E1496" s="10">
        <v>65087</v>
      </c>
      <c r="F1496" s="3" t="str">
        <v>Iya</v>
      </c>
      <c r="G1496" s="4">
        <v>45839</v>
      </c>
      <c r="H1496" s="10">
        <v>65087</v>
      </c>
    </row>
    <row r="1497" spans="1:8">
      <c r="A1497" s="3">
        <v>1496</v>
      </c>
      <c r="B1497" s="4">
        <v>45985.499236111107</v>
      </c>
      <c r="C1497" s="5" t="str">
        <v>PICK UP TRAGA 2.5 4X2 MT D M/T</v>
      </c>
      <c r="D1497" s="5" t="str">
        <v>B3050XRL</v>
      </c>
      <c r="E1497" s="10">
        <v>77472</v>
      </c>
      <c r="F1497" s="3" t="str">
        <v>Iya</v>
      </c>
      <c r="G1497" s="4">
        <v>45912</v>
      </c>
      <c r="H1497" s="10">
        <v>77472</v>
      </c>
    </row>
    <row r="1498" spans="1:8">
      <c r="A1498" s="3">
        <v>1497</v>
      </c>
      <c r="B1498" s="4">
        <v>45985.502372685187</v>
      </c>
      <c r="C1498" s="5" t="str">
        <v>DAIHATSU GRANMAX PU AC PS 1.5 M/T</v>
      </c>
      <c r="D1498" s="5" t="str">
        <v>B7692UCT</v>
      </c>
      <c r="E1498" s="10">
        <v>9182</v>
      </c>
      <c r="F1498" s="3" t="str">
        <v>Iya</v>
      </c>
      <c r="G1498" s="4">
        <v>45827</v>
      </c>
      <c r="H1498" s="10">
        <v>9182</v>
      </c>
    </row>
    <row r="1499" spans="1:8">
      <c r="A1499" s="3">
        <v>1498</v>
      </c>
      <c r="B1499" s="4">
        <v>45985.522175925929</v>
      </c>
      <c r="C1499" s="5" t="str">
        <v>Daihatsu Xenia (Badan)</v>
      </c>
      <c r="D1499" s="5" t="str">
        <v>KB8049QJT</v>
      </c>
      <c r="E1499" s="10">
        <v>3766</v>
      </c>
      <c r="F1499" s="3" t="str">
        <v>Iya</v>
      </c>
      <c r="G1499" s="4">
        <v>45985</v>
      </c>
      <c r="H1499" s="10">
        <v>3766</v>
      </c>
    </row>
    <row r="1500" spans="1:8">
      <c r="A1500" s="3">
        <v>1499</v>
      </c>
      <c r="B1500" s="4">
        <v>45985.539525462962</v>
      </c>
      <c r="C1500" s="5" t="str">
        <v>PICK UP TRAGA 2.5 4X2 MT D M/T</v>
      </c>
      <c r="D1500" s="5" t="str">
        <v>B1292DPE</v>
      </c>
      <c r="E1500" s="10">
        <v>8505</v>
      </c>
      <c r="F1500" s="3" t="str">
        <v>Iya</v>
      </c>
      <c r="G1500" s="4">
        <v>45873</v>
      </c>
      <c r="H1500" s="10">
        <v>8505</v>
      </c>
    </row>
    <row r="1501" spans="1:8">
      <c r="A1501" s="3">
        <v>1500</v>
      </c>
      <c r="B1501" s="4">
        <v>45985.540613425917</v>
      </c>
      <c r="C1501" s="5" t="str">
        <v>DAIHATSU GRANMAX PU AC PS 1.5 M/T</v>
      </c>
      <c r="D1501" s="5" t="str">
        <v>B9244VW</v>
      </c>
      <c r="E1501" s="10">
        <v>15655</v>
      </c>
      <c r="F1501" s="3" t="str">
        <v>Iya</v>
      </c>
      <c r="G1501" s="4">
        <v>45833</v>
      </c>
      <c r="H1501" s="10">
        <v>15655</v>
      </c>
    </row>
    <row r="1502" spans="1:8">
      <c r="A1502" s="3">
        <v>1501</v>
      </c>
      <c r="B1502" s="4">
        <v>45985.542974537027</v>
      </c>
      <c r="C1502" s="5" t="str">
        <v>DAIHATSU GRANMAX PU AC PS 1.5 M/T</v>
      </c>
      <c r="D1502" s="5" t="str">
        <v>B5277IQ</v>
      </c>
      <c r="E1502" s="10">
        <v>41945</v>
      </c>
      <c r="F1502" s="3" t="str">
        <v>Iya</v>
      </c>
      <c r="G1502" s="4">
        <v>45964</v>
      </c>
      <c r="H1502" s="10">
        <v>41945</v>
      </c>
    </row>
    <row r="1503" spans="1:8">
      <c r="A1503" s="3">
        <v>1502</v>
      </c>
      <c r="B1503" s="4">
        <v>45985.544039351851</v>
      </c>
      <c r="C1503" s="5" t="str">
        <v>DAIHATSU GRANMAX PU AC PS 1.5 M/T</v>
      </c>
      <c r="D1503" s="5" t="str">
        <v>B7154RP</v>
      </c>
      <c r="E1503" s="10">
        <v>55443</v>
      </c>
      <c r="F1503" s="3" t="str">
        <v>Iya</v>
      </c>
      <c r="G1503" s="4">
        <v>45909</v>
      </c>
      <c r="H1503" s="10">
        <v>55443</v>
      </c>
    </row>
    <row r="1504" spans="1:8">
      <c r="A1504" s="3">
        <v>1503</v>
      </c>
      <c r="B1504" s="4">
        <v>45985.54886574074</v>
      </c>
      <c r="C1504" s="5" t="str">
        <v>PICK UP TRAGA 2.5 4X2 MT D M/T</v>
      </c>
      <c r="D1504" s="5" t="str">
        <v>B2705EA</v>
      </c>
      <c r="E1504" s="10">
        <v>39949</v>
      </c>
      <c r="F1504" s="3" t="str">
        <v>Iya</v>
      </c>
      <c r="G1504" s="4">
        <v>45824</v>
      </c>
      <c r="H1504" s="10">
        <v>39949</v>
      </c>
    </row>
    <row r="1505" spans="1:8">
      <c r="A1505" s="3">
        <v>1504</v>
      </c>
      <c r="B1505" s="4">
        <v>45985.551851851851</v>
      </c>
      <c r="C1505" s="5" t="str">
        <v>DAIHATSU GRANMAX PU AC PS 1.5 M/T</v>
      </c>
      <c r="D1505" s="5" t="str">
        <v>B1960LKY</v>
      </c>
      <c r="E1505" s="10">
        <v>50341</v>
      </c>
      <c r="F1505" s="3" t="str">
        <v>Iya</v>
      </c>
      <c r="G1505" s="4">
        <v>45931</v>
      </c>
      <c r="H1505" s="10">
        <v>50341</v>
      </c>
    </row>
    <row r="1506" spans="1:8">
      <c r="A1506" s="3">
        <v>1505</v>
      </c>
      <c r="B1506" s="4">
        <v>45985.561284722222</v>
      </c>
      <c r="C1506" s="5" t="str">
        <v>DAIHATSU GRANMAX PU AC PS 1.5 M/T</v>
      </c>
      <c r="D1506" s="5" t="str">
        <v>B7351RH</v>
      </c>
      <c r="E1506" s="10">
        <v>60373</v>
      </c>
      <c r="F1506" s="3" t="str">
        <v>Iya</v>
      </c>
      <c r="G1506" s="4">
        <v>45885</v>
      </c>
      <c r="H1506" s="10">
        <v>60373</v>
      </c>
    </row>
    <row r="1507" spans="1:8">
      <c r="A1507" s="3">
        <v>1506</v>
      </c>
      <c r="B1507" s="4">
        <v>45985.562048611107</v>
      </c>
      <c r="C1507" s="5" t="str">
        <v>PICK UP TRAGA 2.5 4X2 MT D M/T</v>
      </c>
      <c r="D1507" s="5" t="str">
        <v>B8491EZ</v>
      </c>
      <c r="E1507" s="10">
        <v>15978</v>
      </c>
      <c r="F1507" s="3" t="str">
        <v>Iya</v>
      </c>
      <c r="G1507" s="4">
        <v>45812</v>
      </c>
      <c r="H1507" s="10">
        <v>15978</v>
      </c>
    </row>
    <row r="1508" spans="1:8">
      <c r="A1508" s="3">
        <v>1507</v>
      </c>
      <c r="B1508" s="4">
        <v>45985.569780092592</v>
      </c>
      <c r="C1508" s="5" t="str">
        <v>DAIHATSU GRANMAX PU AC PS 1.5 M/T</v>
      </c>
      <c r="D1508" s="5" t="str">
        <v>B6936PI</v>
      </c>
      <c r="E1508" s="10">
        <v>920</v>
      </c>
      <c r="F1508" s="3" t="str">
        <v>Iya</v>
      </c>
      <c r="G1508" s="4">
        <v>45741</v>
      </c>
      <c r="H1508" s="10">
        <v>920</v>
      </c>
    </row>
    <row r="1509" spans="1:8">
      <c r="A1509" s="3">
        <v>1508</v>
      </c>
      <c r="B1509" s="4">
        <v>45985.576724537037</v>
      </c>
      <c r="C1509" s="5" t="str">
        <v>PICK UP TRAGA 2.5 4X2 MT D M/T</v>
      </c>
      <c r="D1509" s="5" t="str">
        <v>B6874UZA</v>
      </c>
      <c r="E1509" s="10">
        <v>53682</v>
      </c>
      <c r="F1509" s="3" t="str">
        <v>Iya</v>
      </c>
      <c r="G1509" s="4">
        <v>45924</v>
      </c>
      <c r="H1509" s="10">
        <v>53682</v>
      </c>
    </row>
    <row r="1510" spans="1:8">
      <c r="A1510" s="3">
        <v>1509</v>
      </c>
      <c r="B1510" s="4">
        <v>45985.576874999999</v>
      </c>
      <c r="C1510" s="5" t="str">
        <v>DAIHATSU GRANMAX PU AC PS 1.5 M/T</v>
      </c>
      <c r="D1510" s="5" t="str">
        <v>B1356KE</v>
      </c>
      <c r="E1510" s="10">
        <v>37793</v>
      </c>
      <c r="F1510" s="3" t="str">
        <v>Iya</v>
      </c>
      <c r="G1510" s="4">
        <v>45895</v>
      </c>
      <c r="H1510" s="10">
        <v>37793</v>
      </c>
    </row>
    <row r="1511" spans="1:8">
      <c r="A1511" s="3">
        <v>1510</v>
      </c>
      <c r="B1511" s="4">
        <v>45985.578738425917</v>
      </c>
      <c r="C1511" s="5" t="str">
        <v>PICK UP TRAGA 2.5 4X2 MT D M/T</v>
      </c>
      <c r="D1511" s="5" t="str">
        <v>B7983KQ</v>
      </c>
      <c r="E1511" s="10">
        <v>37180</v>
      </c>
      <c r="F1511" s="3" t="str">
        <v>Iya</v>
      </c>
      <c r="G1511" s="4">
        <v>45888</v>
      </c>
      <c r="H1511" s="10">
        <v>37180</v>
      </c>
    </row>
    <row r="1512" spans="1:8">
      <c r="A1512" s="3">
        <v>1511</v>
      </c>
      <c r="B1512" s="4">
        <v>45985.581354166658</v>
      </c>
      <c r="C1512" s="5" t="str">
        <v>DAIHATSU GRANMAX PU AC PS 1.5 M/T</v>
      </c>
      <c r="D1512" s="5" t="str">
        <v>B7035JK</v>
      </c>
      <c r="E1512" s="10">
        <v>42535</v>
      </c>
      <c r="F1512" s="3" t="str">
        <v>Iya</v>
      </c>
      <c r="G1512" s="4">
        <v>45926</v>
      </c>
      <c r="H1512" s="10">
        <v>42535</v>
      </c>
    </row>
    <row r="1513" spans="1:8">
      <c r="A1513" s="3">
        <v>1512</v>
      </c>
      <c r="B1513" s="4">
        <v>45985.582592592589</v>
      </c>
      <c r="C1513" s="5" t="str">
        <v>DAIHATSU GRANMAX PU AC PS 1.5 M/T</v>
      </c>
      <c r="D1513" s="5" t="str">
        <v>B1799MW</v>
      </c>
      <c r="E1513" s="10">
        <v>415</v>
      </c>
      <c r="F1513" s="3" t="str">
        <v>Iya</v>
      </c>
      <c r="G1513" s="4">
        <v>45974</v>
      </c>
      <c r="H1513" s="10">
        <v>415</v>
      </c>
    </row>
    <row r="1514" spans="1:8">
      <c r="A1514" s="3">
        <v>1513</v>
      </c>
      <c r="B1514" s="4">
        <v>45985.583472222221</v>
      </c>
      <c r="C1514" s="5" t="str">
        <v>PICK UP TRAGA 2.5 4X2 MT D M/T</v>
      </c>
      <c r="D1514" s="5" t="str">
        <v>B7591HAI</v>
      </c>
      <c r="E1514" s="10">
        <v>87353</v>
      </c>
      <c r="F1514" s="3" t="str">
        <v>Iya</v>
      </c>
      <c r="G1514" s="4">
        <v>45931</v>
      </c>
      <c r="H1514" s="10">
        <v>87353</v>
      </c>
    </row>
    <row r="1515" spans="1:8">
      <c r="A1515" s="3">
        <v>1514</v>
      </c>
      <c r="B1515" s="4">
        <v>45985.586967592593</v>
      </c>
      <c r="C1515" s="5" t="str">
        <v>DAIHATSU GRANMAX PU AC PS 1.5 M/T</v>
      </c>
      <c r="D1515" s="5" t="str">
        <v>B4755HT</v>
      </c>
      <c r="E1515" s="10">
        <v>11618</v>
      </c>
      <c r="F1515" s="3" t="str">
        <v>Iya</v>
      </c>
      <c r="G1515" s="4">
        <v>45720</v>
      </c>
      <c r="H1515" s="10">
        <v>11618</v>
      </c>
    </row>
    <row r="1516" spans="1:8">
      <c r="A1516" s="3">
        <v>1515</v>
      </c>
      <c r="B1516" s="4">
        <v>45985.587488425917</v>
      </c>
      <c r="C1516" s="5" t="str">
        <v>DAIHATSU GRANMAX PU AC PS 1.5 M/T</v>
      </c>
      <c r="D1516" s="5" t="str">
        <v>B1204ZZ</v>
      </c>
      <c r="E1516" s="10">
        <v>21206</v>
      </c>
      <c r="F1516" s="3" t="str">
        <v>Iya</v>
      </c>
      <c r="G1516" s="4">
        <v>45841</v>
      </c>
      <c r="H1516" s="10">
        <v>21206</v>
      </c>
    </row>
    <row r="1517" spans="1:8">
      <c r="A1517" s="3">
        <v>1516</v>
      </c>
      <c r="B1517" s="4">
        <v>45985.58761574074</v>
      </c>
      <c r="C1517" s="5" t="str">
        <v>Daihatsu Xenia (Badan)</v>
      </c>
      <c r="D1517" s="5" t="str">
        <v>B9619FMM</v>
      </c>
      <c r="E1517" s="10">
        <v>89704</v>
      </c>
      <c r="F1517" s="3" t="str">
        <v>Iya</v>
      </c>
      <c r="G1517" s="4">
        <v>45772</v>
      </c>
      <c r="H1517" s="10">
        <v>89704</v>
      </c>
    </row>
    <row r="1518" spans="1:8">
      <c r="A1518" s="3">
        <v>1517</v>
      </c>
      <c r="B1518" s="4">
        <v>45985.588472222233</v>
      </c>
      <c r="C1518" s="5" t="str">
        <v>PICK UP TRAGA 2.5 4X2 MT D M/T</v>
      </c>
      <c r="D1518" s="5" t="str">
        <v>KT2370AGQ</v>
      </c>
      <c r="E1518" s="10">
        <v>23330</v>
      </c>
      <c r="F1518" s="3" t="str">
        <v>Iya</v>
      </c>
      <c r="G1518" s="4">
        <v>45889</v>
      </c>
      <c r="H1518" s="10">
        <v>23330</v>
      </c>
    </row>
    <row r="1519" spans="1:8">
      <c r="A1519" s="3">
        <v>1518</v>
      </c>
      <c r="B1519" s="4">
        <v>45985.611481481479</v>
      </c>
      <c r="C1519" s="5" t="str">
        <v>DAIHATSU GRANMAX PU AC PS 1.5 M/T</v>
      </c>
      <c r="D1519" s="5" t="str">
        <v>B6964WP</v>
      </c>
      <c r="E1519" s="10">
        <v>893</v>
      </c>
      <c r="F1519" s="3" t="str">
        <v>Iya</v>
      </c>
      <c r="G1519" s="4">
        <v>45961</v>
      </c>
      <c r="H1519" s="10">
        <v>893</v>
      </c>
    </row>
    <row r="1520" spans="1:8">
      <c r="A1520" s="3">
        <v>1519</v>
      </c>
      <c r="B1520" s="4">
        <v>45985.613703703697</v>
      </c>
      <c r="C1520" s="5" t="str">
        <v>DAIHATSU GRANMAX PU AC PS 1.5 M/T</v>
      </c>
      <c r="D1520" s="5" t="str">
        <v>D8668TS</v>
      </c>
      <c r="E1520" s="10">
        <v>28491</v>
      </c>
      <c r="F1520" s="3" t="str">
        <v>Iya</v>
      </c>
      <c r="G1520" s="4">
        <v>45980</v>
      </c>
      <c r="H1520" s="10">
        <v>28491</v>
      </c>
    </row>
    <row r="1521" spans="1:8">
      <c r="A1521" s="3">
        <v>1520</v>
      </c>
      <c r="B1521" s="4">
        <v>45985.61378472222</v>
      </c>
      <c r="C1521" s="5" t="str">
        <v>DAIHATSU GRANMAX PU AC PS 1.5 M/T</v>
      </c>
      <c r="D1521" s="5" t="str">
        <v>B6876VS</v>
      </c>
      <c r="E1521" s="10">
        <v>23940</v>
      </c>
      <c r="F1521" s="3" t="str">
        <v>Iya</v>
      </c>
      <c r="G1521" s="4">
        <v>45888</v>
      </c>
      <c r="H1521" s="10">
        <v>23940</v>
      </c>
    </row>
    <row r="1522" spans="1:8">
      <c r="A1522" s="3">
        <v>1521</v>
      </c>
      <c r="B1522" s="4">
        <v>45985.614745370367</v>
      </c>
      <c r="C1522" s="5" t="str">
        <v>DAIHATSU GRANMAX PU AC PS 1.5 M/T</v>
      </c>
      <c r="D1522" s="5" t="str">
        <v>B2997NJ</v>
      </c>
      <c r="E1522" s="10">
        <v>70397</v>
      </c>
      <c r="F1522" s="3" t="str">
        <v>Iya</v>
      </c>
      <c r="G1522" s="4">
        <v>45904</v>
      </c>
      <c r="H1522" s="10">
        <v>70397</v>
      </c>
    </row>
    <row r="1523" spans="1:8">
      <c r="A1523" s="3">
        <v>1522</v>
      </c>
      <c r="B1523" s="4">
        <v>45985.615856481483</v>
      </c>
      <c r="C1523" s="5" t="str">
        <v>DAIHATSU GRANMAX PU AC PS 1.5 M/T</v>
      </c>
      <c r="D1523" s="5" t="str">
        <v>B9272ZF</v>
      </c>
      <c r="E1523" s="10">
        <v>71918</v>
      </c>
      <c r="F1523" s="3" t="str">
        <v>Iya</v>
      </c>
      <c r="G1523" s="4">
        <v>45799</v>
      </c>
      <c r="H1523" s="10">
        <v>71918</v>
      </c>
    </row>
    <row r="1524" spans="1:8">
      <c r="A1524" s="3">
        <v>1523</v>
      </c>
      <c r="B1524" s="4">
        <v>45985.629675925928</v>
      </c>
      <c r="C1524" s="5" t="str">
        <v>PICK UP TRAGA 2.5 4X2 MT D M/T</v>
      </c>
      <c r="D1524" s="5" t="str">
        <v>H6818GV</v>
      </c>
      <c r="E1524" s="10">
        <v>41410</v>
      </c>
      <c r="F1524" s="3" t="str">
        <v>Iya</v>
      </c>
      <c r="G1524" s="4">
        <v>45910</v>
      </c>
      <c r="H1524" s="10">
        <v>41410</v>
      </c>
    </row>
    <row r="1525" spans="1:8">
      <c r="A1525" s="3">
        <v>1524</v>
      </c>
      <c r="B1525" s="4">
        <v>45985.632395833331</v>
      </c>
      <c r="C1525" s="5" t="str">
        <v>PICK UP TRAGA 2.5 4X2 MT D M/T</v>
      </c>
      <c r="D1525" s="5" t="str">
        <v>KB3403JE</v>
      </c>
      <c r="E1525" s="10">
        <v>70064</v>
      </c>
      <c r="F1525" s="3" t="str">
        <v>Iya</v>
      </c>
      <c r="G1525" s="4">
        <v>45972</v>
      </c>
      <c r="H1525" s="10">
        <v>70064</v>
      </c>
    </row>
    <row r="1526" spans="1:8">
      <c r="A1526" s="3">
        <v>1525</v>
      </c>
      <c r="B1526" s="4">
        <v>45985.6403125</v>
      </c>
      <c r="C1526" s="5" t="str">
        <v>DAIHATSU GRANMAX PU AC PS 1.5 M/T</v>
      </c>
      <c r="D1526" s="5" t="str">
        <v>B8740PD</v>
      </c>
      <c r="E1526" s="10">
        <v>48930</v>
      </c>
      <c r="F1526" s="3" t="str">
        <v>Iya</v>
      </c>
      <c r="G1526" s="4">
        <v>45825</v>
      </c>
      <c r="H1526" s="10">
        <v>48930</v>
      </c>
    </row>
    <row r="1527" spans="1:8">
      <c r="A1527" s="3">
        <v>1526</v>
      </c>
      <c r="B1527" s="4">
        <v>45985.646747685183</v>
      </c>
      <c r="C1527" s="5" t="str">
        <v>Daihatsu Xenia (Badan)</v>
      </c>
      <c r="D1527" s="5" t="str">
        <v>DD1053PKN</v>
      </c>
      <c r="E1527" s="10">
        <v>35224</v>
      </c>
      <c r="F1527" s="3" t="str">
        <v>Iya</v>
      </c>
      <c r="G1527" s="4">
        <v>45920</v>
      </c>
      <c r="H1527" s="10">
        <v>35224</v>
      </c>
    </row>
    <row r="1528" spans="1:8">
      <c r="A1528" s="3">
        <v>1527</v>
      </c>
      <c r="B1528" s="4">
        <v>45985.651250000003</v>
      </c>
      <c r="C1528" s="5" t="str">
        <v>Daihatsu Xenia (Badan)</v>
      </c>
      <c r="D1528" s="5" t="str">
        <v>DD1053PKN</v>
      </c>
      <c r="E1528" s="10">
        <v>37203</v>
      </c>
      <c r="F1528" s="3" t="str">
        <v>Iya</v>
      </c>
      <c r="G1528" s="4">
        <v>45920</v>
      </c>
      <c r="H1528" s="10">
        <v>37203</v>
      </c>
    </row>
    <row r="1529" spans="1:8">
      <c r="A1529" s="3">
        <v>1528</v>
      </c>
      <c r="B1529" s="4">
        <v>45985.656238425923</v>
      </c>
      <c r="C1529" s="5" t="str">
        <v>DAIHATSU GRANMAX PU AC PS 1.5 M/T</v>
      </c>
      <c r="D1529" s="5" t="str">
        <v>B3553ILD</v>
      </c>
      <c r="E1529" s="10">
        <v>10119</v>
      </c>
      <c r="F1529" s="3" t="str">
        <v>Iya</v>
      </c>
      <c r="G1529" s="4">
        <v>45884</v>
      </c>
      <c r="H1529" s="10">
        <v>10119</v>
      </c>
    </row>
    <row r="1530" spans="1:8">
      <c r="A1530" s="3">
        <v>1529</v>
      </c>
      <c r="B1530" s="4">
        <v>45985.662048611113</v>
      </c>
      <c r="C1530" s="5" t="str">
        <v>DAIHATSU GRANMAX PU AC PS 1.5 M/T</v>
      </c>
      <c r="D1530" s="5" t="str">
        <v>B4034IWU</v>
      </c>
      <c r="E1530" s="10">
        <v>28405</v>
      </c>
      <c r="F1530" s="3" t="str">
        <v>Iya</v>
      </c>
      <c r="G1530" s="4">
        <v>45885</v>
      </c>
      <c r="H1530" s="10">
        <v>28405</v>
      </c>
    </row>
    <row r="1531" spans="1:8">
      <c r="A1531" s="3">
        <v>1530</v>
      </c>
      <c r="B1531" s="4">
        <v>45985.685474537036</v>
      </c>
      <c r="C1531" s="5" t="str">
        <v>PICK UP TRAGA 2.5 4X2 MT D M/T</v>
      </c>
      <c r="D1531" s="5" t="str">
        <v>B4900WYS</v>
      </c>
      <c r="E1531" s="10">
        <v>40232</v>
      </c>
      <c r="F1531" s="3" t="str">
        <v>Iya</v>
      </c>
      <c r="G1531" s="4">
        <v>45953</v>
      </c>
      <c r="H1531" s="10">
        <v>40232</v>
      </c>
    </row>
    <row r="1532" spans="1:8">
      <c r="A1532" s="3">
        <v>1531</v>
      </c>
      <c r="B1532" s="4">
        <v>45985.694895833331</v>
      </c>
      <c r="C1532" s="5" t="str">
        <v>PICK UP TRAGA 2.5 4X2 MT D M/T</v>
      </c>
      <c r="D1532" s="5" t="str">
        <v>B2514HCV</v>
      </c>
      <c r="E1532" s="10">
        <v>10647</v>
      </c>
      <c r="F1532" s="3" t="str">
        <v>Iya</v>
      </c>
      <c r="G1532" s="4">
        <v>45840</v>
      </c>
      <c r="H1532" s="10">
        <v>10647</v>
      </c>
    </row>
    <row r="1533" spans="1:8">
      <c r="A1533" s="3">
        <v>1532</v>
      </c>
      <c r="B1533" s="4">
        <v>45985.694907407407</v>
      </c>
      <c r="C1533" s="5" t="str">
        <v>DAIHATSU GRANMAX PU AC PS 1.5 M/T</v>
      </c>
      <c r="D1533" s="5" t="str">
        <v>B4786BT</v>
      </c>
      <c r="E1533" s="10">
        <v>25651</v>
      </c>
      <c r="F1533" s="3" t="str">
        <v>Iya</v>
      </c>
      <c r="G1533" s="4">
        <v>45890</v>
      </c>
      <c r="H1533" s="10">
        <v>25651</v>
      </c>
    </row>
    <row r="1534" spans="1:8">
      <c r="A1534" s="3">
        <v>1533</v>
      </c>
      <c r="B1534" s="4">
        <v>45985.710115740738</v>
      </c>
      <c r="C1534" s="5" t="str">
        <v>DAIHATSU GRANMAX PU AC PS 1.5 M/T</v>
      </c>
      <c r="D1534" s="5" t="str">
        <v>B4036RJ</v>
      </c>
      <c r="E1534" s="10">
        <v>9878</v>
      </c>
      <c r="F1534" s="3" t="str">
        <v>Iya</v>
      </c>
      <c r="G1534" s="4">
        <v>45871</v>
      </c>
      <c r="H1534" s="10">
        <v>9878</v>
      </c>
    </row>
    <row r="1535" spans="1:8">
      <c r="A1535" s="3">
        <v>1534</v>
      </c>
      <c r="B1535" s="4">
        <v>45985.710810185177</v>
      </c>
      <c r="C1535" s="5" t="str">
        <v>PICK UP TRAGA 2.5 4X2 MT D M/T</v>
      </c>
      <c r="D1535" s="5" t="str">
        <v>B6598EX</v>
      </c>
      <c r="E1535" s="10">
        <v>26996</v>
      </c>
      <c r="F1535" s="3" t="str">
        <v>Iya</v>
      </c>
      <c r="G1535" s="4">
        <v>45939</v>
      </c>
      <c r="H1535" s="10">
        <v>26996</v>
      </c>
    </row>
    <row r="1536" spans="1:8">
      <c r="A1536" s="3">
        <v>1535</v>
      </c>
      <c r="B1536" s="4">
        <v>45985.722048611111</v>
      </c>
      <c r="C1536" s="5" t="str">
        <v>DAIHATSU GRANMAX PU AC PS 1.5 M/T</v>
      </c>
      <c r="D1536" s="5" t="str">
        <v>B3561NJ</v>
      </c>
      <c r="E1536" s="10">
        <v>23748</v>
      </c>
      <c r="F1536" s="3" t="str">
        <v>Iya</v>
      </c>
      <c r="G1536" s="4">
        <v>45955</v>
      </c>
      <c r="H1536" s="10">
        <v>23748</v>
      </c>
    </row>
    <row r="1537" spans="1:8">
      <c r="A1537" s="3">
        <v>1536</v>
      </c>
      <c r="B1537" s="4">
        <v>45985.722141203703</v>
      </c>
      <c r="C1537" s="5" t="str">
        <v>DAIHATSU GRANMAX PU AC PS 1.5 M/T</v>
      </c>
      <c r="D1537" s="5" t="str">
        <v>B2960MA</v>
      </c>
      <c r="E1537" s="10">
        <v>60325</v>
      </c>
      <c r="F1537" s="3" t="str">
        <v>Iya</v>
      </c>
      <c r="G1537" s="4">
        <v>45944</v>
      </c>
      <c r="H1537" s="10">
        <v>60325</v>
      </c>
    </row>
    <row r="1538" spans="1:8">
      <c r="A1538" s="3">
        <v>1537</v>
      </c>
      <c r="B1538" s="4">
        <v>45985.741886574076</v>
      </c>
      <c r="C1538" s="5" t="str">
        <v>DAIHATSU GRANMAX PU AC PS 1.5 M/T</v>
      </c>
      <c r="D1538" s="5" t="str">
        <v>B6871DFH</v>
      </c>
      <c r="E1538" s="10">
        <v>13198</v>
      </c>
      <c r="F1538" s="3" t="str">
        <v>Iya</v>
      </c>
      <c r="G1538" s="4">
        <v>45923</v>
      </c>
      <c r="H1538" s="10">
        <v>13198</v>
      </c>
    </row>
    <row r="1539" spans="1:8">
      <c r="A1539" s="3">
        <v>1538</v>
      </c>
      <c r="B1539" s="4">
        <v>45985.750787037039</v>
      </c>
      <c r="C1539" s="5" t="str">
        <v>PICK UP TRAGA 2.5 4X2 MT D M/T</v>
      </c>
      <c r="D1539" s="5" t="str">
        <v>B6905PX</v>
      </c>
      <c r="E1539" s="10">
        <v>5114</v>
      </c>
      <c r="F1539" s="3" t="str">
        <v>Iya</v>
      </c>
      <c r="G1539" s="4">
        <v>45849</v>
      </c>
      <c r="H1539" s="10">
        <v>5114</v>
      </c>
    </row>
    <row r="1540" spans="1:8">
      <c r="A1540" s="3">
        <v>1539</v>
      </c>
      <c r="B1540" s="4">
        <v>45985.787303240737</v>
      </c>
      <c r="C1540" s="5" t="str">
        <v>DAIHATSU GRANMAX PU AC PS 1.5 M/T</v>
      </c>
      <c r="D1540" s="5" t="str">
        <v>B8803CF</v>
      </c>
      <c r="E1540" s="10">
        <v>2142</v>
      </c>
      <c r="F1540" s="3" t="str">
        <v>Iya</v>
      </c>
      <c r="G1540" s="4">
        <v>45952</v>
      </c>
      <c r="H1540" s="10">
        <v>2142</v>
      </c>
    </row>
    <row r="1541" spans="1:8">
      <c r="A1541" s="3">
        <v>1540</v>
      </c>
      <c r="B1541" s="4">
        <v>45985.829722222217</v>
      </c>
      <c r="C1541" s="5" t="str">
        <v>PICK UP TRAGA 2.5 4X2 MT D M/T</v>
      </c>
      <c r="D1541" s="5" t="str">
        <v>DA2223FX</v>
      </c>
      <c r="E1541" s="10">
        <v>55116</v>
      </c>
      <c r="F1541" s="3" t="str">
        <v>Iya</v>
      </c>
      <c r="G1541" s="4">
        <v>45873</v>
      </c>
      <c r="H1541" s="10">
        <v>55116</v>
      </c>
    </row>
    <row r="1542" spans="1:8">
      <c r="A1542" s="3">
        <v>1541</v>
      </c>
      <c r="B1542" s="4">
        <v>45986.329456018517</v>
      </c>
      <c r="C1542" s="5" t="str">
        <v>DAIHATSU GRANMAX PU AC PS 1.5 M/T</v>
      </c>
      <c r="D1542" s="5" t="str">
        <v>B2047SQ</v>
      </c>
      <c r="E1542" s="10">
        <v>36027</v>
      </c>
      <c r="F1542" s="3" t="str">
        <v>Iya</v>
      </c>
      <c r="G1542" s="4">
        <v>45981</v>
      </c>
      <c r="H1542" s="10">
        <v>36027</v>
      </c>
    </row>
    <row r="1543" spans="1:8">
      <c r="A1543" s="3">
        <v>1542</v>
      </c>
      <c r="B1543" s="4">
        <v>45986.342789351853</v>
      </c>
      <c r="C1543" s="5" t="str">
        <v>DAIHATSU GRANMAX PU AC PS 1.5 M/T</v>
      </c>
      <c r="D1543" s="5" t="str">
        <v>B4694LW</v>
      </c>
      <c r="E1543" s="10">
        <v>29432</v>
      </c>
      <c r="F1543" s="3" t="str">
        <v>Iya</v>
      </c>
      <c r="G1543" s="4">
        <v>45845</v>
      </c>
      <c r="H1543" s="10">
        <v>29432</v>
      </c>
    </row>
    <row r="1544" spans="1:8">
      <c r="A1544" s="3">
        <v>1543</v>
      </c>
      <c r="B1544" s="4">
        <v>45986.3437037037</v>
      </c>
      <c r="C1544" s="5" t="str">
        <v>DAIHATSU GRANMAX PU AC PS 1.5 M/T</v>
      </c>
      <c r="D1544" s="5" t="str">
        <v>B8474IXR</v>
      </c>
      <c r="E1544" s="10">
        <v>17518</v>
      </c>
      <c r="F1544" s="3" t="str">
        <v>Iya</v>
      </c>
      <c r="G1544" s="4">
        <v>45943</v>
      </c>
      <c r="H1544" s="10">
        <v>17518</v>
      </c>
    </row>
    <row r="1545" spans="1:8">
      <c r="A1545" s="3">
        <v>1544</v>
      </c>
      <c r="B1545" s="4">
        <v>45986.355046296303</v>
      </c>
      <c r="C1545" s="5" t="str">
        <v>PICK UP TRAGA 2.5 4X2 MT D M/T</v>
      </c>
      <c r="D1545" s="5" t="str">
        <v>B4361MD</v>
      </c>
      <c r="E1545" s="10">
        <v>58515</v>
      </c>
      <c r="F1545" s="3" t="str">
        <v>Iya</v>
      </c>
      <c r="G1545" s="4">
        <v>45941</v>
      </c>
      <c r="H1545" s="10">
        <v>58515</v>
      </c>
    </row>
    <row r="1546" spans="1:8">
      <c r="A1546" s="3">
        <v>1545</v>
      </c>
      <c r="B1546" s="4">
        <v>45986.384502314817</v>
      </c>
      <c r="C1546" s="5" t="str">
        <v>DAIHATSU GRANMAX PU AC PS 1.5 M/T</v>
      </c>
      <c r="D1546" s="5" t="str">
        <v>B7162IV</v>
      </c>
      <c r="E1546" s="10">
        <v>12333</v>
      </c>
      <c r="F1546" s="3" t="str">
        <v>Iya</v>
      </c>
      <c r="G1546" s="4">
        <v>45915</v>
      </c>
      <c r="H1546" s="10">
        <v>12333</v>
      </c>
    </row>
    <row r="1547" spans="1:8">
      <c r="A1547" s="3">
        <v>1546</v>
      </c>
      <c r="B1547" s="4">
        <v>45986.390520833331</v>
      </c>
      <c r="C1547" s="5" t="str">
        <v>DAIHATSU GRANMAX PU AC PS 1.5 M/T</v>
      </c>
      <c r="D1547" s="5" t="str">
        <v>B6551IKH</v>
      </c>
      <c r="E1547" s="10">
        <v>29443</v>
      </c>
      <c r="F1547" s="3" t="str">
        <v>Iya</v>
      </c>
      <c r="G1547" s="4">
        <v>45831</v>
      </c>
      <c r="H1547" s="10">
        <v>29443</v>
      </c>
    </row>
    <row r="1548" spans="1:8">
      <c r="A1548" s="3">
        <v>1547</v>
      </c>
      <c r="B1548" s="4">
        <v>45986.398993055547</v>
      </c>
      <c r="C1548" s="5" t="str">
        <v>DAIHATSU GRANMAX PU AC PS 1.5 M/T</v>
      </c>
      <c r="D1548" s="5" t="str">
        <v>B3556KY</v>
      </c>
      <c r="E1548" s="10">
        <v>5167</v>
      </c>
      <c r="F1548" s="3" t="str">
        <v>Iya</v>
      </c>
      <c r="G1548" s="4">
        <v>45930</v>
      </c>
      <c r="H1548" s="10">
        <v>5167</v>
      </c>
    </row>
    <row r="1549" spans="1:8">
      <c r="A1549" s="3">
        <v>1548</v>
      </c>
      <c r="B1549" s="4">
        <v>45986.407210648147</v>
      </c>
      <c r="C1549" s="5" t="str">
        <v>PICK UP TRAGA 2.5 4X2 MT D M/T</v>
      </c>
      <c r="D1549" s="5" t="str">
        <v>BE6556LIU</v>
      </c>
      <c r="E1549" s="10">
        <v>23560</v>
      </c>
      <c r="F1549" s="3" t="str">
        <v>Iya</v>
      </c>
      <c r="G1549" s="4">
        <v>45966</v>
      </c>
      <c r="H1549" s="10">
        <v>23560</v>
      </c>
    </row>
    <row r="1550" spans="1:8">
      <c r="A1550" s="3">
        <v>1549</v>
      </c>
      <c r="B1550" s="4">
        <v>45986.445081018523</v>
      </c>
      <c r="C1550" s="5" t="str">
        <v>PICK UP TRAGA 2.5 4X2 MT D M/T</v>
      </c>
      <c r="D1550" s="5" t="str">
        <v>B3507YER</v>
      </c>
      <c r="E1550" s="10">
        <v>41971</v>
      </c>
      <c r="F1550" s="3" t="str">
        <v>Iya</v>
      </c>
      <c r="G1550" s="4">
        <v>45903</v>
      </c>
      <c r="H1550" s="10">
        <v>41971</v>
      </c>
    </row>
    <row r="1551" spans="1:8">
      <c r="A1551" s="3">
        <v>1550</v>
      </c>
      <c r="B1551" s="4">
        <v>45986.465381944443</v>
      </c>
      <c r="C1551" s="5" t="str">
        <v>PICK UP TRAGA 2.5 4X2 MT D M/T</v>
      </c>
      <c r="D1551" s="5" t="str">
        <v>B3545GSF</v>
      </c>
      <c r="E1551" s="10">
        <v>3389</v>
      </c>
      <c r="F1551" s="3" t="str">
        <v>Iya</v>
      </c>
      <c r="G1551" s="4">
        <v>45890</v>
      </c>
      <c r="H1551" s="10">
        <v>3389</v>
      </c>
    </row>
    <row r="1552" spans="1:8">
      <c r="A1552" s="3">
        <v>1551</v>
      </c>
      <c r="B1552" s="4">
        <v>45986.467430555553</v>
      </c>
      <c r="C1552" s="5" t="str">
        <v>PICK UP TRAGA 2.5 4X2 MT D M/T</v>
      </c>
      <c r="D1552" s="5" t="str">
        <v>B3079BPJ</v>
      </c>
      <c r="E1552" s="10">
        <v>53445</v>
      </c>
      <c r="F1552" s="3" t="str">
        <v>Iya</v>
      </c>
      <c r="G1552" s="4">
        <v>45889</v>
      </c>
      <c r="H1552" s="10">
        <v>53445</v>
      </c>
    </row>
    <row r="1553" spans="1:8">
      <c r="A1553" s="3">
        <v>1552</v>
      </c>
      <c r="B1553" s="4">
        <v>45986.55364583333</v>
      </c>
      <c r="C1553" s="5" t="str">
        <v>DAIHATSU GRANMAX PU AC PS 1.5 M/T</v>
      </c>
      <c r="D1553" s="5" t="str">
        <v>KB7221ZEE</v>
      </c>
      <c r="E1553" s="10">
        <v>57648</v>
      </c>
      <c r="F1553" s="3" t="str">
        <v>Iya</v>
      </c>
      <c r="G1553" s="4">
        <v>45825</v>
      </c>
      <c r="H1553" s="10">
        <v>57648</v>
      </c>
    </row>
    <row r="1554" spans="1:8">
      <c r="A1554" s="3">
        <v>1553</v>
      </c>
      <c r="B1554" s="4">
        <v>45986.555914351848</v>
      </c>
      <c r="C1554" s="5" t="str">
        <v>DAIHATSU GRANMAX PU AC PS 1.5 M/T</v>
      </c>
      <c r="D1554" s="5" t="str">
        <v>B9877USW</v>
      </c>
      <c r="E1554" s="10">
        <v>8536</v>
      </c>
      <c r="F1554" s="3" t="str">
        <v>Iya</v>
      </c>
      <c r="G1554" s="4">
        <v>45902</v>
      </c>
      <c r="H1554" s="10">
        <v>8536</v>
      </c>
    </row>
    <row r="1555" spans="1:8">
      <c r="A1555" s="3">
        <v>1554</v>
      </c>
      <c r="B1555" s="4">
        <v>45986.55908564815</v>
      </c>
      <c r="C1555" s="5" t="str">
        <v>PICK UP TRAGA 2.5 4X2 MT D M/T</v>
      </c>
      <c r="D1555" s="5" t="str">
        <v>B3406ZUA</v>
      </c>
      <c r="E1555" s="10">
        <v>60074</v>
      </c>
      <c r="F1555" s="3" t="str">
        <v>Iya</v>
      </c>
      <c r="G1555" s="4">
        <v>45938</v>
      </c>
      <c r="H1555" s="10">
        <v>60074</v>
      </c>
    </row>
    <row r="1556" spans="1:8">
      <c r="A1556" s="3">
        <v>1555</v>
      </c>
      <c r="B1556" s="4">
        <v>45986.569756944453</v>
      </c>
      <c r="C1556" s="5" t="str">
        <v>DAIHATSU GRANMAX PU AC PS 1.5 M/T</v>
      </c>
      <c r="D1556" s="5" t="str">
        <v>B2325IRM</v>
      </c>
      <c r="E1556" s="10">
        <v>7446</v>
      </c>
      <c r="F1556" s="3" t="str">
        <v>Iya</v>
      </c>
      <c r="G1556" s="4">
        <v>45859</v>
      </c>
      <c r="H1556" s="10">
        <v>7446</v>
      </c>
    </row>
    <row r="1557" spans="1:8">
      <c r="A1557" s="3">
        <v>1556</v>
      </c>
      <c r="B1557" s="4">
        <v>45986.603587962964</v>
      </c>
      <c r="C1557" s="5" t="str">
        <v>PICK UP TRAGA 2.5 4X2 MT D M/T</v>
      </c>
      <c r="D1557" s="5" t="str">
        <v>B1177MX</v>
      </c>
      <c r="E1557" s="10">
        <v>125526</v>
      </c>
      <c r="F1557" s="3" t="str">
        <v>Iya</v>
      </c>
      <c r="G1557" s="4">
        <v>45785</v>
      </c>
      <c r="H1557" s="10">
        <v>125526</v>
      </c>
    </row>
    <row r="1558" spans="1:8">
      <c r="A1558" s="3">
        <v>1557</v>
      </c>
      <c r="B1558" s="4">
        <v>45986.610717592594</v>
      </c>
      <c r="C1558" s="5" t="str">
        <v>PICK UP TRAGA 2.5 4X2 MT D M/T</v>
      </c>
      <c r="D1558" s="5" t="str">
        <v>D3684CE</v>
      </c>
      <c r="E1558" s="10">
        <v>96276</v>
      </c>
      <c r="F1558" s="3" t="str">
        <v>Iya</v>
      </c>
      <c r="G1558" s="4">
        <v>45952</v>
      </c>
      <c r="H1558" s="10">
        <v>96276</v>
      </c>
    </row>
    <row r="1559" spans="1:8">
      <c r="A1559" s="3">
        <v>1558</v>
      </c>
      <c r="B1559" s="4">
        <v>45986.617731481478</v>
      </c>
      <c r="C1559" s="5" t="str">
        <v>DAIHATSU GRANMAX PU AC PS 1.5 M/T</v>
      </c>
      <c r="D1559" s="5" t="str">
        <v>B9409VZ</v>
      </c>
      <c r="E1559" s="10">
        <v>20685</v>
      </c>
      <c r="F1559" s="3" t="str">
        <v>Iya</v>
      </c>
      <c r="G1559" s="4">
        <v>45903</v>
      </c>
      <c r="H1559" s="10">
        <v>20685</v>
      </c>
    </row>
    <row r="1560" spans="1:8">
      <c r="A1560" s="3">
        <v>1559</v>
      </c>
      <c r="B1560" s="4">
        <v>45986.621828703697</v>
      </c>
      <c r="C1560" s="5" t="str">
        <v>Daihatsu Xenia (Badan)</v>
      </c>
      <c r="D1560" s="5" t="str">
        <v>B8054VY</v>
      </c>
      <c r="E1560" s="10">
        <v>20917</v>
      </c>
      <c r="F1560" s="3" t="str">
        <v>Iya</v>
      </c>
      <c r="G1560" s="4">
        <v>45923</v>
      </c>
      <c r="H1560" s="10">
        <v>20917</v>
      </c>
    </row>
    <row r="1561" spans="1:8">
      <c r="A1561" s="3">
        <v>1560</v>
      </c>
      <c r="B1561" s="4">
        <v>45986.622685185182</v>
      </c>
      <c r="C1561" s="5" t="str">
        <v>DAIHATSU GRANMAX PU AC PS 1.5 M/T</v>
      </c>
      <c r="D1561" s="5" t="str">
        <v>B7223XEX</v>
      </c>
      <c r="E1561" s="10">
        <v>51169</v>
      </c>
      <c r="F1561" s="3" t="str">
        <v>Iya</v>
      </c>
      <c r="G1561" s="4">
        <v>45870</v>
      </c>
      <c r="H1561" s="10">
        <v>51169</v>
      </c>
    </row>
    <row r="1562" spans="1:8">
      <c r="A1562" s="3">
        <v>1561</v>
      </c>
      <c r="B1562" s="4">
        <v>45986.630740740737</v>
      </c>
      <c r="C1562" s="5" t="str">
        <v>DAIHATSU GRANMAX PU AC PS 1.5 M/T</v>
      </c>
      <c r="D1562" s="5" t="str">
        <v>D9851QY</v>
      </c>
      <c r="E1562" s="10">
        <v>7559</v>
      </c>
      <c r="F1562" s="3" t="str">
        <v>Iya</v>
      </c>
      <c r="G1562" s="4">
        <v>45827</v>
      </c>
      <c r="H1562" s="10">
        <v>7559</v>
      </c>
    </row>
    <row r="1563" spans="1:8">
      <c r="A1563" s="3">
        <v>1562</v>
      </c>
      <c r="B1563" s="4">
        <v>45986.630925925929</v>
      </c>
      <c r="C1563" s="5" t="str">
        <v>DAIHATSU GRANMAX PU AC PS 1.5 M/T</v>
      </c>
      <c r="D1563" s="5" t="str">
        <v>B7135IN</v>
      </c>
      <c r="E1563" s="10">
        <v>21806</v>
      </c>
      <c r="F1563" s="3" t="str">
        <v>Iya</v>
      </c>
      <c r="G1563" s="4">
        <v>45910</v>
      </c>
      <c r="H1563" s="10">
        <v>21806</v>
      </c>
    </row>
    <row r="1564" spans="1:8">
      <c r="A1564" s="3">
        <v>1563</v>
      </c>
      <c r="B1564" s="4">
        <v>45986.633391203701</v>
      </c>
      <c r="C1564" s="5" t="str">
        <v>DAIHATSU GRANMAX PU AC PS 1.5 M/T</v>
      </c>
      <c r="D1564" s="5" t="str">
        <v>B1455JPZ</v>
      </c>
      <c r="E1564" s="10">
        <v>9707</v>
      </c>
      <c r="F1564" s="3" t="str">
        <v>Iya</v>
      </c>
      <c r="G1564" s="4">
        <v>45964</v>
      </c>
      <c r="H1564" s="10">
        <v>9707</v>
      </c>
    </row>
    <row r="1565" spans="1:8">
      <c r="A1565" s="3">
        <v>1564</v>
      </c>
      <c r="B1565" s="4">
        <v>45986.671909722223</v>
      </c>
      <c r="C1565" s="5" t="str">
        <v>DAIHATSU GRANMAX PU AC PS 1.5 M/T</v>
      </c>
      <c r="D1565" s="5" t="str">
        <v>B5790CM</v>
      </c>
      <c r="E1565" s="10">
        <v>17793</v>
      </c>
      <c r="F1565" s="3" t="str">
        <v>Iya</v>
      </c>
      <c r="G1565" s="4">
        <v>45960</v>
      </c>
      <c r="H1565" s="10">
        <v>17793</v>
      </c>
    </row>
    <row r="1566" spans="1:8">
      <c r="A1566" s="3">
        <v>1565</v>
      </c>
      <c r="B1566" s="4">
        <v>45986.716863425929</v>
      </c>
      <c r="C1566" s="5" t="str">
        <v>PICK UP TRAGA 2.5 4X2 MT D M/T</v>
      </c>
      <c r="D1566" s="5" t="str">
        <v>B8659VBE</v>
      </c>
      <c r="E1566" s="10">
        <v>80766</v>
      </c>
      <c r="F1566" s="3" t="str">
        <v>Iya</v>
      </c>
      <c r="G1566" s="4">
        <v>45933</v>
      </c>
      <c r="H1566" s="10">
        <v>80766</v>
      </c>
    </row>
    <row r="1567" spans="1:8">
      <c r="A1567" s="3">
        <v>1566</v>
      </c>
      <c r="B1567" s="4">
        <v>45986.723414351851</v>
      </c>
      <c r="C1567" s="5" t="str">
        <v>DAIHATSU GRANMAX PU AC PS 1.5 M/T</v>
      </c>
      <c r="D1567" s="5" t="str">
        <v>B4952MY</v>
      </c>
      <c r="E1567" s="10">
        <v>30572</v>
      </c>
      <c r="F1567" s="3" t="str">
        <v>Iya</v>
      </c>
      <c r="G1567" s="4">
        <v>45861</v>
      </c>
      <c r="H1567" s="10">
        <v>30572</v>
      </c>
    </row>
    <row r="1568" spans="1:8">
      <c r="A1568" s="3">
        <v>1567</v>
      </c>
      <c r="B1568" s="4">
        <v>45986.75273148148</v>
      </c>
      <c r="C1568" s="5" t="str">
        <v>PICK UP TRAGA 2.5 4X2 MT D M/T</v>
      </c>
      <c r="D1568" s="5" t="str">
        <v>B6912CV</v>
      </c>
      <c r="E1568" s="10">
        <v>8682</v>
      </c>
      <c r="F1568" s="3" t="str">
        <v>Iya</v>
      </c>
      <c r="G1568" s="4">
        <v>45918</v>
      </c>
      <c r="H1568" s="10">
        <v>8682</v>
      </c>
    </row>
    <row r="1569" spans="1:8">
      <c r="A1569" s="3">
        <v>1568</v>
      </c>
      <c r="B1569" s="4">
        <v>45986.761793981481</v>
      </c>
      <c r="C1569" s="5" t="str">
        <v>PICK UP TRAGA 2.5 4X2 MT D M/T</v>
      </c>
      <c r="D1569" s="5" t="str">
        <v>B3007PX</v>
      </c>
      <c r="E1569" s="10">
        <v>2692</v>
      </c>
      <c r="F1569" s="3" t="str">
        <v>Iya</v>
      </c>
      <c r="G1569" s="4">
        <v>45986</v>
      </c>
      <c r="H1569" s="10">
        <v>2692</v>
      </c>
    </row>
    <row r="1570" spans="1:8">
      <c r="A1570" s="3">
        <v>1569</v>
      </c>
      <c r="B1570" s="4">
        <v>45986.785729166673</v>
      </c>
      <c r="C1570" s="5" t="str">
        <v>DAIHATSU GRANMAX PU AC PS 1.5 M/T</v>
      </c>
      <c r="D1570" s="5" t="str">
        <v>B8144GH</v>
      </c>
      <c r="E1570" s="10">
        <v>9453</v>
      </c>
      <c r="F1570" s="3" t="str">
        <v>Iya</v>
      </c>
      <c r="G1570" s="4">
        <v>45867</v>
      </c>
      <c r="H1570" s="10">
        <v>9453</v>
      </c>
    </row>
    <row r="1571" spans="1:8">
      <c r="A1571" s="3">
        <v>1570</v>
      </c>
      <c r="B1571" s="4">
        <v>45987.27851851852</v>
      </c>
      <c r="C1571" s="5" t="str">
        <v>DAIHATSU GRANMAX PU AC PS 1.5 M/T</v>
      </c>
      <c r="D1571" s="5" t="str">
        <v>KB9985GGA</v>
      </c>
      <c r="E1571" s="10">
        <v>12568</v>
      </c>
      <c r="F1571" s="3" t="str">
        <v>Iya</v>
      </c>
      <c r="G1571" s="4">
        <v>45937</v>
      </c>
      <c r="H1571" s="10">
        <v>12568</v>
      </c>
    </row>
    <row r="1572" spans="1:8">
      <c r="A1572" s="3">
        <v>1571</v>
      </c>
      <c r="B1572" s="4">
        <v>45987.322962962957</v>
      </c>
      <c r="C1572" s="5" t="str">
        <v>DAIHATSU GRANMAX PU AC PS 1.5 M/T</v>
      </c>
      <c r="D1572" s="5" t="str">
        <v>DD9729YV</v>
      </c>
      <c r="E1572" s="10">
        <v>54691</v>
      </c>
      <c r="F1572" s="3" t="str">
        <v>Iya</v>
      </c>
      <c r="G1572" s="4">
        <v>45862</v>
      </c>
      <c r="H1572" s="10">
        <v>54691</v>
      </c>
    </row>
    <row r="1573" spans="1:8">
      <c r="A1573" s="3">
        <v>1572</v>
      </c>
      <c r="B1573" s="4">
        <v>45987.351145833331</v>
      </c>
      <c r="C1573" s="5" t="str">
        <v>DAIHATSU GRANMAX PU AC PS 1.5 M/T</v>
      </c>
      <c r="D1573" s="5" t="str">
        <v>BP6297BR</v>
      </c>
      <c r="E1573" s="10">
        <v>34832</v>
      </c>
      <c r="F1573" s="3" t="str">
        <v>Iya</v>
      </c>
      <c r="G1573" s="4">
        <v>45982</v>
      </c>
      <c r="H1573" s="10">
        <v>34832</v>
      </c>
    </row>
    <row r="1574" spans="1:8">
      <c r="A1574" s="3">
        <v>1573</v>
      </c>
      <c r="B1574" s="4">
        <v>45987.361932870372</v>
      </c>
      <c r="C1574" s="5" t="str">
        <v>PICK UP TRAGA 2.5 4X2 MT D M/T</v>
      </c>
      <c r="D1574" s="5" t="str">
        <v>H9293ZLM</v>
      </c>
      <c r="E1574" s="10">
        <v>12925</v>
      </c>
      <c r="F1574" s="3" t="str">
        <v>Iya</v>
      </c>
      <c r="G1574" s="4">
        <v>45917</v>
      </c>
      <c r="H1574" s="10">
        <v>12925</v>
      </c>
    </row>
    <row r="1575" spans="1:8">
      <c r="A1575" s="3">
        <v>1574</v>
      </c>
      <c r="B1575" s="4">
        <v>45987.39502314815</v>
      </c>
      <c r="C1575" s="5" t="str">
        <v>DAIHATSU GRANMAX PU AC PS 1.5 M/T</v>
      </c>
      <c r="D1575" s="5" t="str">
        <v>B6193SD</v>
      </c>
      <c r="E1575" s="10">
        <v>13884</v>
      </c>
      <c r="F1575" s="3" t="str">
        <v>Iya</v>
      </c>
      <c r="G1575" s="4">
        <v>45896</v>
      </c>
      <c r="H1575" s="10">
        <v>13884</v>
      </c>
    </row>
    <row r="1576" spans="1:8">
      <c r="A1576" s="3">
        <v>1575</v>
      </c>
      <c r="B1576" s="4">
        <v>45987.454004629632</v>
      </c>
      <c r="C1576" s="5" t="str">
        <v>PICK UP TRAGA 2.5 4X2 MT D M/T</v>
      </c>
      <c r="D1576" s="5" t="str">
        <v>B3431HDZ</v>
      </c>
      <c r="E1576" s="10">
        <v>28552</v>
      </c>
      <c r="F1576" s="3" t="str">
        <v>Iya</v>
      </c>
      <c r="G1576" s="4">
        <v>45946</v>
      </c>
      <c r="H1576" s="10">
        <v>28552</v>
      </c>
    </row>
    <row r="1577" spans="1:8">
      <c r="A1577" s="3">
        <v>1576</v>
      </c>
      <c r="B1577" s="4">
        <v>45987.490636574083</v>
      </c>
      <c r="C1577" s="5" t="str">
        <v>DAIHATSU GRANMAX PU AC PS 1.5 M/T</v>
      </c>
      <c r="D1577" s="5" t="str">
        <v>B5918LZ</v>
      </c>
      <c r="E1577" s="10">
        <v>97455</v>
      </c>
      <c r="F1577" s="3" t="str">
        <v>Iya</v>
      </c>
      <c r="G1577" s="4">
        <v>45985</v>
      </c>
      <c r="H1577" s="10">
        <v>97455</v>
      </c>
    </row>
    <row r="1578" spans="1:8">
      <c r="A1578" s="3">
        <v>1577</v>
      </c>
      <c r="B1578" s="4">
        <v>45987.498460648138</v>
      </c>
      <c r="C1578" s="5" t="str">
        <v>DAIHATSU GRANMAX PU AC PS 1.5 M/T</v>
      </c>
      <c r="D1578" s="5" t="str">
        <v>B8132XW</v>
      </c>
      <c r="E1578" s="10">
        <v>34683</v>
      </c>
      <c r="F1578" s="3" t="str">
        <v>Iya</v>
      </c>
      <c r="G1578" s="4">
        <v>45927</v>
      </c>
      <c r="H1578" s="10">
        <v>34683</v>
      </c>
    </row>
    <row r="1579" spans="1:8">
      <c r="A1579" s="3">
        <v>1578</v>
      </c>
      <c r="B1579" s="4">
        <v>45987.510034722232</v>
      </c>
      <c r="C1579" s="5" t="str">
        <v>PICK UP TRAGA 2.5 4X2 MT D M/T</v>
      </c>
      <c r="D1579" s="5" t="str">
        <v>B5623MA</v>
      </c>
      <c r="E1579" s="10">
        <v>4003</v>
      </c>
      <c r="F1579" s="3" t="str">
        <v>Iya</v>
      </c>
      <c r="G1579" s="4">
        <v>45987</v>
      </c>
      <c r="H1579" s="10">
        <v>4003</v>
      </c>
    </row>
    <row r="1580" spans="1:8">
      <c r="A1580" s="3">
        <v>1579</v>
      </c>
      <c r="B1580" s="4">
        <v>45987.518009259264</v>
      </c>
      <c r="C1580" s="5" t="str">
        <v>DAIHATSU GRANMAX PU AC PS 1.5 M/T</v>
      </c>
      <c r="D1580" s="5" t="str">
        <v>KT3681HUC</v>
      </c>
      <c r="E1580" s="10">
        <v>21387</v>
      </c>
      <c r="F1580" s="3" t="str">
        <v>Iya</v>
      </c>
      <c r="G1580" s="4">
        <v>45953</v>
      </c>
      <c r="H1580" s="10">
        <v>21387</v>
      </c>
    </row>
    <row r="1581" spans="1:8">
      <c r="A1581" s="3">
        <v>1580</v>
      </c>
      <c r="B1581" s="4">
        <v>45987.538842592592</v>
      </c>
      <c r="C1581" s="5" t="str">
        <v>DAIHATSU GRANMAX PU AC PS 1.5 M/T</v>
      </c>
      <c r="D1581" s="5" t="str">
        <v>B7655IV</v>
      </c>
      <c r="E1581" s="10">
        <v>13021</v>
      </c>
      <c r="F1581" s="3" t="str">
        <v>Iya</v>
      </c>
      <c r="G1581" s="4">
        <v>45985</v>
      </c>
      <c r="H1581" s="10">
        <v>13021</v>
      </c>
    </row>
    <row r="1582" spans="1:8">
      <c r="A1582" s="3">
        <v>1581</v>
      </c>
      <c r="B1582" s="4">
        <v>45987.575231481482</v>
      </c>
      <c r="C1582" s="5" t="str">
        <v>DAIHATSU GRANMAX PU AC PS 1.5 M/T</v>
      </c>
      <c r="D1582" s="5" t="str">
        <v>B7390TQ</v>
      </c>
      <c r="E1582" s="10">
        <v>41954</v>
      </c>
      <c r="F1582" s="3" t="str">
        <v>Iya</v>
      </c>
      <c r="G1582" s="4">
        <v>45820</v>
      </c>
      <c r="H1582" s="10">
        <v>41954</v>
      </c>
    </row>
    <row r="1583" spans="1:8">
      <c r="A1583" s="3">
        <v>1582</v>
      </c>
      <c r="B1583" s="4">
        <v>45987.597905092603</v>
      </c>
      <c r="C1583" s="5" t="str">
        <v>DAIHATSU GRANMAX PU AC PS 1.5 M/T</v>
      </c>
      <c r="D1583" s="5" t="str">
        <v>B5795ED</v>
      </c>
      <c r="E1583" s="10">
        <v>54374</v>
      </c>
      <c r="F1583" s="3" t="str">
        <v>Iya</v>
      </c>
      <c r="G1583" s="4">
        <v>45985</v>
      </c>
      <c r="H1583" s="10">
        <v>54374</v>
      </c>
    </row>
    <row r="1584" spans="1:8">
      <c r="A1584" s="3">
        <v>1583</v>
      </c>
      <c r="B1584" s="4">
        <v>45987.654363425929</v>
      </c>
      <c r="C1584" s="5" t="str">
        <v>DAIHATSU GRANMAX PU AC PS 1.5 M/T</v>
      </c>
      <c r="D1584" s="5" t="str">
        <v>B6704WT</v>
      </c>
      <c r="E1584" s="10">
        <v>39246</v>
      </c>
      <c r="F1584" s="3" t="str">
        <v>Iya</v>
      </c>
      <c r="G1584" s="4">
        <v>45849</v>
      </c>
      <c r="H1584" s="10">
        <v>39246</v>
      </c>
    </row>
    <row r="1585" spans="1:8">
      <c r="A1585" s="3">
        <v>1584</v>
      </c>
      <c r="B1585" s="4">
        <v>45987.654756944437</v>
      </c>
      <c r="C1585" s="5" t="str">
        <v>Daihatsu Xenia (Badan)</v>
      </c>
      <c r="D1585" s="5" t="str">
        <v>H8376YB</v>
      </c>
      <c r="E1585" s="10">
        <v>49572</v>
      </c>
      <c r="F1585" s="3" t="str">
        <v>Iya</v>
      </c>
      <c r="G1585" s="4">
        <v>45923</v>
      </c>
      <c r="H1585" s="10">
        <v>49572</v>
      </c>
    </row>
    <row r="1586" spans="1:8">
      <c r="A1586" s="3">
        <v>1585</v>
      </c>
      <c r="B1586" s="4">
        <v>45987.726504629631</v>
      </c>
      <c r="C1586" s="5" t="str">
        <v>DAIHATSU GRANMAX PU AC PS 1.5 M/T</v>
      </c>
      <c r="D1586" s="5" t="str">
        <v>B8878HRL</v>
      </c>
      <c r="E1586" s="10">
        <v>3069</v>
      </c>
      <c r="F1586" s="3" t="str">
        <v>Iya</v>
      </c>
      <c r="G1586" s="4">
        <v>45957</v>
      </c>
      <c r="H1586" s="10">
        <v>3069</v>
      </c>
    </row>
    <row r="1587" spans="1:8">
      <c r="A1587" s="3">
        <v>1586</v>
      </c>
      <c r="B1587" s="4">
        <v>45987.762094907397</v>
      </c>
      <c r="C1587" s="5" t="str">
        <v>DAIHATSU GRANMAX PU AC PS 1.5 M/T</v>
      </c>
      <c r="D1587" s="5" t="str">
        <v>B3355VB</v>
      </c>
      <c r="E1587" s="10">
        <v>3513</v>
      </c>
      <c r="F1587" s="3" t="str">
        <v>Iya</v>
      </c>
      <c r="G1587" s="4">
        <v>45719</v>
      </c>
      <c r="H1587" s="10">
        <v>3513</v>
      </c>
    </row>
    <row r="1588" spans="1:8">
      <c r="A1588" s="3">
        <v>1587</v>
      </c>
      <c r="B1588" s="4">
        <v>45987.772129629629</v>
      </c>
      <c r="C1588" s="5" t="str">
        <v>DAIHATSU GRANMAX PU AC PS 1.5 M/T</v>
      </c>
      <c r="D1588" s="5" t="str">
        <v>H6446RTB</v>
      </c>
      <c r="E1588" s="10">
        <v>14302</v>
      </c>
      <c r="F1588" s="3" t="str">
        <v>Iya</v>
      </c>
      <c r="G1588" s="4">
        <v>45962</v>
      </c>
      <c r="H1588" s="10">
        <v>14302</v>
      </c>
    </row>
    <row r="1589" spans="1:8">
      <c r="A1589" s="3">
        <v>1588</v>
      </c>
      <c r="B1589" s="4">
        <v>45988.369432870371</v>
      </c>
      <c r="C1589" s="5" t="str">
        <v>PICK UP TRAGA 2.5 4X2 MT D M/T</v>
      </c>
      <c r="D1589" s="5" t="str">
        <v>B6882KT</v>
      </c>
      <c r="E1589" s="10">
        <v>63754</v>
      </c>
      <c r="F1589" s="3" t="str">
        <v>Iya</v>
      </c>
      <c r="G1589" s="4">
        <v>45965</v>
      </c>
      <c r="H1589" s="10">
        <v>63754</v>
      </c>
    </row>
    <row r="1590" spans="1:8">
      <c r="A1590" s="3">
        <v>1589</v>
      </c>
      <c r="B1590" s="4">
        <v>45988.407604166663</v>
      </c>
      <c r="C1590" s="5" t="str">
        <v>DAIHATSU GRANMAX PU AC PS 1.5 M/T</v>
      </c>
      <c r="D1590" s="5" t="str">
        <v>B7326IW</v>
      </c>
      <c r="E1590" s="10">
        <v>24758</v>
      </c>
      <c r="F1590" s="3" t="str">
        <v>Iya</v>
      </c>
      <c r="G1590" s="4">
        <v>45920</v>
      </c>
      <c r="H1590" s="10">
        <v>24758</v>
      </c>
    </row>
    <row r="1591" spans="1:8">
      <c r="A1591" s="3">
        <v>1590</v>
      </c>
      <c r="B1591" s="4">
        <v>45988.464444444442</v>
      </c>
      <c r="C1591" s="5" t="str">
        <v>DAIHATSU GRANMAX PU AC PS 1.5 M/T</v>
      </c>
      <c r="D1591" s="5" t="str">
        <v>KB5129KHN</v>
      </c>
      <c r="E1591" s="10">
        <v>57979</v>
      </c>
      <c r="F1591" s="3" t="str">
        <v>Iya</v>
      </c>
      <c r="G1591" s="4">
        <v>45846</v>
      </c>
      <c r="H1591" s="10">
        <v>57979</v>
      </c>
    </row>
    <row r="1592" spans="1:8">
      <c r="A1592" s="3">
        <v>1591</v>
      </c>
      <c r="B1592" s="4">
        <v>45988.486608796287</v>
      </c>
      <c r="C1592" s="5" t="str">
        <v>Daihatsu Xenia (Badan)</v>
      </c>
      <c r="D1592" s="5" t="str">
        <v>B4474RVI</v>
      </c>
      <c r="E1592" s="10">
        <v>68652</v>
      </c>
      <c r="F1592" s="3" t="str">
        <v>Iya</v>
      </c>
      <c r="G1592" s="4">
        <v>45897</v>
      </c>
      <c r="H1592" s="10">
        <v>68652</v>
      </c>
    </row>
    <row r="1593" spans="1:8">
      <c r="A1593" s="3">
        <v>1592</v>
      </c>
      <c r="B1593" s="4">
        <v>45988.495300925933</v>
      </c>
      <c r="C1593" s="5" t="str">
        <v>DAIHATSU GRANMAX PU AC PS 1.5 M/T</v>
      </c>
      <c r="D1593" s="5" t="str">
        <v>B8230YP</v>
      </c>
      <c r="E1593" s="10">
        <v>29012</v>
      </c>
      <c r="F1593" s="3" t="str">
        <v>Iya</v>
      </c>
      <c r="G1593" s="4">
        <v>45898</v>
      </c>
      <c r="H1593" s="10">
        <v>29012</v>
      </c>
    </row>
    <row r="1594" spans="1:8">
      <c r="A1594" s="3">
        <v>1593</v>
      </c>
      <c r="B1594" s="4">
        <v>45988.496018518519</v>
      </c>
      <c r="C1594" s="5" t="str">
        <v>DAIHATSU GRANMAX PU AC PS 1.5 M/T</v>
      </c>
      <c r="D1594" s="5" t="str">
        <v>B5572LYP</v>
      </c>
      <c r="E1594" s="10">
        <v>20580</v>
      </c>
      <c r="F1594" s="3" t="str">
        <v>Iya</v>
      </c>
      <c r="G1594" s="4">
        <v>45941</v>
      </c>
      <c r="H1594" s="10">
        <v>20580</v>
      </c>
    </row>
    <row r="1595" spans="1:8">
      <c r="A1595" s="3">
        <v>1594</v>
      </c>
      <c r="B1595" s="4">
        <v>45988.528796296298</v>
      </c>
      <c r="C1595" s="5" t="str">
        <v>DAIHATSU GRANMAX PU AC PS 1.5 M/T</v>
      </c>
      <c r="D1595" s="5" t="str">
        <v>B1578YGJ</v>
      </c>
      <c r="E1595" s="10">
        <v>2633</v>
      </c>
      <c r="F1595" s="3" t="str">
        <v>Iya</v>
      </c>
      <c r="G1595" s="4">
        <v>45911</v>
      </c>
      <c r="H1595" s="10">
        <v>2633</v>
      </c>
    </row>
    <row r="1596" spans="1:8">
      <c r="A1596" s="3">
        <v>1595</v>
      </c>
      <c r="B1596" s="4">
        <v>45988.541712962957</v>
      </c>
      <c r="C1596" s="5" t="str">
        <v>DAIHATSU GRANMAX PU AC PS 1.5 M/T</v>
      </c>
      <c r="D1596" s="5" t="str">
        <v>B1229TQ</v>
      </c>
      <c r="E1596" s="10">
        <v>20282</v>
      </c>
      <c r="F1596" s="3" t="str">
        <v>Iya</v>
      </c>
      <c r="G1596" s="4">
        <v>45768</v>
      </c>
      <c r="H1596" s="10">
        <v>20282</v>
      </c>
    </row>
    <row r="1597" spans="1:8">
      <c r="A1597" s="3">
        <v>1596</v>
      </c>
      <c r="B1597" s="4">
        <v>45988.676817129628</v>
      </c>
      <c r="C1597" s="5" t="str">
        <v>DAIHATSU GRANMAX PU AC PS 1.5 M/T</v>
      </c>
      <c r="D1597" s="5" t="str">
        <v>B1827DA</v>
      </c>
      <c r="E1597" s="10">
        <v>25060</v>
      </c>
      <c r="F1597" s="3" t="str">
        <v>Iya</v>
      </c>
      <c r="G1597" s="4">
        <v>45947</v>
      </c>
      <c r="H1597" s="10">
        <v>25060</v>
      </c>
    </row>
    <row r="1598" spans="1:8">
      <c r="A1598" s="3">
        <v>1597</v>
      </c>
      <c r="B1598" s="4">
        <v>45988.737673611111</v>
      </c>
      <c r="C1598" s="5" t="str">
        <v>DAIHATSU GRANMAX PU AC PS 1.5 M/T</v>
      </c>
      <c r="D1598" s="5" t="str">
        <v>H3059ZKJ</v>
      </c>
      <c r="E1598" s="10">
        <v>5600</v>
      </c>
      <c r="F1598" s="3" t="str">
        <v>Iya</v>
      </c>
      <c r="G1598" s="4">
        <v>45917</v>
      </c>
      <c r="H1598" s="10">
        <v>5600</v>
      </c>
    </row>
    <row r="1599" spans="1:8">
      <c r="A1599" s="3">
        <v>1598</v>
      </c>
      <c r="B1599" s="4">
        <v>45988.761145833327</v>
      </c>
      <c r="C1599" s="5" t="str">
        <v>DAIHATSU GRANMAX PU AC PS 1.5 M/T</v>
      </c>
      <c r="D1599" s="5" t="str">
        <v>D8044XW</v>
      </c>
      <c r="E1599" s="10">
        <v>239</v>
      </c>
      <c r="F1599" s="3" t="str">
        <v>Iya</v>
      </c>
      <c r="G1599" s="4">
        <v>45987</v>
      </c>
      <c r="H1599" s="10">
        <v>239</v>
      </c>
    </row>
    <row r="1600" spans="1:8">
      <c r="A1600" s="3">
        <v>1599</v>
      </c>
      <c r="B1600" s="4">
        <v>45988.862939814811</v>
      </c>
      <c r="C1600" s="5" t="str">
        <v>DAIHATSU GRANMAX PU AC PS 1.5 M/T</v>
      </c>
      <c r="D1600" s="5" t="str">
        <v>B3271BYK</v>
      </c>
      <c r="E1600" s="10">
        <v>35457</v>
      </c>
      <c r="F1600" s="3" t="str">
        <v>Iya</v>
      </c>
      <c r="G1600" s="4">
        <v>45936</v>
      </c>
      <c r="H1600" s="10">
        <v>35457</v>
      </c>
    </row>
    <row r="1601" spans="1:8">
      <c r="A1601" s="3">
        <v>1600</v>
      </c>
      <c r="B1601" s="4">
        <v>45989.358171296299</v>
      </c>
      <c r="C1601" s="5" t="str">
        <v>DAIHATSU GRANMAX PU AC PS 1.5 M/T</v>
      </c>
      <c r="D1601" s="5" t="str">
        <v>B5612UFW</v>
      </c>
      <c r="E1601" s="10">
        <v>20826</v>
      </c>
      <c r="F1601" s="3" t="str">
        <v>Iya</v>
      </c>
      <c r="G1601" s="4">
        <v>45854</v>
      </c>
      <c r="H1601" s="10">
        <v>20826</v>
      </c>
    </row>
    <row r="1602" spans="1:8">
      <c r="A1602" s="3">
        <v>1601</v>
      </c>
      <c r="B1602" s="4">
        <v>45989.360208333332</v>
      </c>
      <c r="C1602" s="5" t="str">
        <v>PICK UP TRAGA 2.5 4X2 MT D M/T</v>
      </c>
      <c r="D1602" s="5" t="str">
        <v>DM5212DL</v>
      </c>
      <c r="E1602" s="10">
        <v>8435</v>
      </c>
      <c r="F1602" s="3" t="str">
        <v>Iya</v>
      </c>
      <c r="G1602" s="4">
        <v>45989</v>
      </c>
      <c r="H1602" s="10">
        <v>8435</v>
      </c>
    </row>
    <row r="1603" spans="1:8">
      <c r="A1603" s="3">
        <v>1602</v>
      </c>
      <c r="B1603" s="4">
        <v>45989.468715277777</v>
      </c>
      <c r="C1603" s="5" t="str">
        <v>DAIHATSU GRANMAX PU AC PS 1.5 M/T</v>
      </c>
      <c r="D1603" s="5" t="str">
        <v>B1377MKN</v>
      </c>
      <c r="E1603" s="10">
        <v>60540</v>
      </c>
      <c r="F1603" s="3" t="str">
        <v>Iya</v>
      </c>
      <c r="G1603" s="4">
        <v>45946</v>
      </c>
      <c r="H1603" s="10">
        <v>60540</v>
      </c>
    </row>
    <row r="1604" spans="1:8">
      <c r="A1604" s="3">
        <v>1603</v>
      </c>
      <c r="B1604" s="4">
        <v>45989.610312500001</v>
      </c>
      <c r="C1604" s="5" t="str">
        <v>DAIHATSU GRANMAX PU AC PS 1.5 M/T</v>
      </c>
      <c r="D1604" s="5" t="str">
        <v>B2491RA</v>
      </c>
      <c r="E1604" s="10">
        <v>61860</v>
      </c>
      <c r="F1604" s="3" t="str">
        <v>Iya</v>
      </c>
      <c r="G1604" s="4">
        <v>45926</v>
      </c>
      <c r="H1604" s="10">
        <v>61860</v>
      </c>
    </row>
    <row r="1605" spans="1:8">
      <c r="A1605" s="3">
        <v>1604</v>
      </c>
      <c r="B1605" s="4">
        <v>45989.631388888891</v>
      </c>
      <c r="C1605" s="5" t="str">
        <v>PICK UP TRAGA 2.5 4X2 MT D M/T</v>
      </c>
      <c r="D1605" s="5" t="str">
        <v>B4162QMK</v>
      </c>
      <c r="E1605" s="10">
        <v>4223</v>
      </c>
      <c r="F1605" s="3" t="str">
        <v>Iya</v>
      </c>
      <c r="G1605" s="4">
        <v>45965</v>
      </c>
      <c r="H1605" s="10">
        <v>4223</v>
      </c>
    </row>
    <row r="1606" spans="1:8">
      <c r="A1606" s="3">
        <v>1605</v>
      </c>
      <c r="B1606" s="4">
        <v>45989.657939814817</v>
      </c>
      <c r="C1606" s="5" t="str">
        <v>DAIHATSU GRANMAX PU AC PS 1.5 M/T</v>
      </c>
      <c r="D1606" s="5" t="str">
        <v>D8603EG</v>
      </c>
      <c r="E1606" s="10">
        <v>18587</v>
      </c>
      <c r="F1606" s="3" t="str">
        <v>Iya</v>
      </c>
      <c r="G1606" s="4">
        <v>45878</v>
      </c>
      <c r="H1606" s="10">
        <v>18587</v>
      </c>
    </row>
    <row r="1607" spans="1:8">
      <c r="A1607" s="3">
        <v>1606</v>
      </c>
      <c r="B1607" s="4">
        <v>45989.678923611107</v>
      </c>
      <c r="C1607" s="5" t="str">
        <v>PICK UP TRAGA 2.5 4X2 MT D M/T</v>
      </c>
      <c r="D1607" s="5" t="str">
        <v>B3245IGH</v>
      </c>
      <c r="E1607" s="10">
        <v>45225</v>
      </c>
      <c r="F1607" s="3" t="str">
        <v>Iya</v>
      </c>
      <c r="G1607" s="4">
        <v>45966</v>
      </c>
      <c r="H1607" s="10">
        <v>45225</v>
      </c>
    </row>
    <row r="1608" spans="1:8">
      <c r="A1608" s="3">
        <v>1607</v>
      </c>
      <c r="B1608" s="4">
        <v>45989.683541666673</v>
      </c>
      <c r="C1608" s="5" t="str">
        <v>DAIHATSU GRANMAX PU AC PS 1.5 M/T</v>
      </c>
      <c r="D1608" s="5" t="str">
        <v>DD1709SU</v>
      </c>
      <c r="E1608" s="10">
        <v>37103</v>
      </c>
      <c r="F1608" s="3" t="str">
        <v>Iya</v>
      </c>
      <c r="G1608" s="4">
        <v>45986</v>
      </c>
      <c r="H1608" s="10">
        <v>37103</v>
      </c>
    </row>
    <row r="1609" spans="1:8">
      <c r="A1609" s="3">
        <v>1608</v>
      </c>
      <c r="B1609" s="4">
        <v>45989.684664351851</v>
      </c>
      <c r="C1609" s="5" t="str">
        <v>DAIHATSU GRANMAX PU AC PS 1.5 M/T</v>
      </c>
      <c r="D1609" s="5" t="str">
        <v>B9488RA</v>
      </c>
      <c r="E1609" s="10">
        <v>2092</v>
      </c>
      <c r="F1609" s="3" t="str">
        <v>Iya</v>
      </c>
      <c r="G1609" s="4">
        <v>45974</v>
      </c>
      <c r="H1609" s="10">
        <v>2092</v>
      </c>
    </row>
    <row r="1610" spans="1:8">
      <c r="A1610" s="3">
        <v>1609</v>
      </c>
      <c r="B1610" s="4">
        <v>45989.72996527778</v>
      </c>
      <c r="C1610" s="5" t="str">
        <v>DAIHATSU GRANMAX PU AC PS 1.5 M/T</v>
      </c>
      <c r="D1610" s="5" t="str">
        <v>B8753SMF</v>
      </c>
      <c r="E1610" s="10">
        <v>47166</v>
      </c>
      <c r="F1610" s="3" t="str">
        <v>Iya</v>
      </c>
      <c r="G1610" s="4">
        <v>45912</v>
      </c>
      <c r="H1610" s="10">
        <v>47166</v>
      </c>
    </row>
    <row r="1611" spans="1:8">
      <c r="A1611" s="3">
        <v>1610</v>
      </c>
      <c r="B1611" s="4">
        <v>45989.755335648151</v>
      </c>
      <c r="C1611" s="5" t="str">
        <v>PICK UP TRAGA 2.5 4X2 MT D M/T</v>
      </c>
      <c r="D1611" s="5" t="str">
        <v>B1901ZW</v>
      </c>
      <c r="E1611" s="10">
        <v>18327</v>
      </c>
      <c r="F1611" s="3" t="str">
        <v>Iya</v>
      </c>
      <c r="G1611" s="4">
        <v>45987</v>
      </c>
      <c r="H1611" s="10">
        <v>18327</v>
      </c>
    </row>
    <row r="1612" spans="1:8">
      <c r="A1612" s="3">
        <v>1611</v>
      </c>
      <c r="B1612" s="4">
        <v>45990.368541666663</v>
      </c>
      <c r="C1612" s="5" t="str">
        <v>PICK UP TRAGA 2.5 4X2 MT D M/T</v>
      </c>
      <c r="D1612" s="5" t="str">
        <v>B9936AP</v>
      </c>
      <c r="E1612" s="10">
        <v>52319</v>
      </c>
      <c r="F1612" s="3" t="str">
        <v>Iya</v>
      </c>
      <c r="G1612" s="4">
        <v>45931</v>
      </c>
      <c r="H1612" s="10">
        <v>52319</v>
      </c>
    </row>
    <row r="1613" spans="1:8">
      <c r="A1613" s="3">
        <v>1612</v>
      </c>
      <c r="B1613" s="4">
        <v>45990.468043981477</v>
      </c>
      <c r="C1613" s="5" t="str">
        <v>DAIHATSU GRANMAX PU AC PS 1.5 M/T</v>
      </c>
      <c r="D1613" s="5" t="str">
        <v>B6441NR</v>
      </c>
      <c r="E1613" s="10">
        <v>18324</v>
      </c>
      <c r="F1613" s="3" t="str">
        <v>Iya</v>
      </c>
      <c r="G1613" s="4">
        <v>45847</v>
      </c>
      <c r="H1613" s="10">
        <v>18324</v>
      </c>
    </row>
    <row r="1614" spans="1:8">
      <c r="A1614" s="3">
        <v>1613</v>
      </c>
      <c r="B1614" s="4">
        <v>45990.476388888892</v>
      </c>
      <c r="C1614" s="5" t="str">
        <v>DAIHATSU GRANMAX PU AC PS 1.5 M/T</v>
      </c>
      <c r="D1614" s="5" t="str">
        <v>KB9990JIF</v>
      </c>
      <c r="E1614" s="10">
        <v>9024</v>
      </c>
      <c r="F1614" s="3" t="str">
        <v>Iya</v>
      </c>
      <c r="G1614" s="4">
        <v>45989</v>
      </c>
      <c r="H1614" s="10">
        <v>9024</v>
      </c>
    </row>
    <row r="1615" spans="1:8">
      <c r="A1615" s="3">
        <v>1614</v>
      </c>
      <c r="B1615" s="4">
        <v>45990.521006944437</v>
      </c>
      <c r="C1615" s="5" t="str">
        <v>Daihatsu Xenia (Badan)</v>
      </c>
      <c r="D1615" s="5" t="str">
        <v>L1356IF</v>
      </c>
      <c r="E1615" s="10">
        <v>17003</v>
      </c>
      <c r="F1615" s="3" t="str">
        <v>Iya</v>
      </c>
      <c r="G1615" s="4">
        <v>45957</v>
      </c>
      <c r="H1615" s="10">
        <v>17003</v>
      </c>
    </row>
    <row r="1616" spans="1:8">
      <c r="A1616" s="3">
        <v>1615</v>
      </c>
      <c r="B1616" s="4">
        <v>45990.568287037036</v>
      </c>
      <c r="C1616" s="5" t="str">
        <v>Daihatsu Xenia (Badan)</v>
      </c>
      <c r="D1616" s="5" t="str">
        <v>B3472IIU</v>
      </c>
      <c r="E1616" s="10">
        <v>85289</v>
      </c>
      <c r="F1616" s="3" t="str">
        <v>Iya</v>
      </c>
      <c r="G1616" s="4">
        <v>45902</v>
      </c>
      <c r="H1616" s="10">
        <v>85289</v>
      </c>
    </row>
    <row r="1617" spans="1:8">
      <c r="A1617" s="3">
        <v>1616</v>
      </c>
      <c r="B1617" s="4">
        <v>45990.861770833333</v>
      </c>
      <c r="C1617" s="5" t="str">
        <v>DAIHATSU GRANMAX PU AC PS 1.5 M/T</v>
      </c>
      <c r="D1617" s="5" t="str">
        <v>B8269XJ</v>
      </c>
      <c r="E1617" s="10">
        <v>26697</v>
      </c>
      <c r="F1617" s="3" t="str">
        <v>Iya</v>
      </c>
      <c r="G1617" s="4">
        <v>45810</v>
      </c>
      <c r="H1617" s="10">
        <v>26697</v>
      </c>
    </row>
    <row r="1618" spans="1:8">
      <c r="A1618" s="3">
        <v>1617</v>
      </c>
      <c r="B1618" s="4">
        <v>45991.397997685177</v>
      </c>
      <c r="C1618" s="5" t="str">
        <v>PICK UP TRAGA 2.5 4X2 MT D M/T</v>
      </c>
      <c r="D1618" s="5" t="str">
        <v>B8699GN</v>
      </c>
      <c r="E1618" s="10">
        <v>74787</v>
      </c>
      <c r="F1618" s="3" t="str">
        <v>Iya</v>
      </c>
      <c r="G1618" s="4">
        <v>45911</v>
      </c>
      <c r="H1618" s="10">
        <v>74787</v>
      </c>
    </row>
    <row r="1619" spans="1:8">
      <c r="A1619" s="3">
        <v>1618</v>
      </c>
      <c r="B1619" s="4">
        <v>45991.482094907413</v>
      </c>
      <c r="C1619" s="5" t="str">
        <v>DAIHATSU GRANMAX PU AC PS 1.5 M/T</v>
      </c>
      <c r="D1619" s="5" t="str">
        <v>KT1997VYG</v>
      </c>
      <c r="E1619" s="10">
        <v>1237</v>
      </c>
      <c r="F1619" s="3" t="str">
        <v>Iya</v>
      </c>
      <c r="G1619" s="4">
        <v>45959</v>
      </c>
      <c r="H1619" s="10">
        <v>1237</v>
      </c>
    </row>
    <row r="1620" spans="1:8">
      <c r="A1620" s="3">
        <v>1619</v>
      </c>
      <c r="B1620" s="4">
        <v>45991.587743055563</v>
      </c>
      <c r="C1620" s="5" t="str">
        <v>DAIHATSU GRANMAX PU AC PS 1.5 M/T</v>
      </c>
      <c r="D1620" s="5" t="str">
        <v>B9587WL</v>
      </c>
      <c r="E1620" s="10">
        <v>4658</v>
      </c>
      <c r="F1620" s="3" t="str">
        <v>Iya</v>
      </c>
      <c r="G1620" s="4">
        <v>45909</v>
      </c>
      <c r="H1620" s="10">
        <v>4658</v>
      </c>
    </row>
    <row r="1621" spans="1:8">
      <c r="A1621" s="3">
        <v>1620</v>
      </c>
      <c r="B1621" s="4">
        <v>45991.625416666669</v>
      </c>
      <c r="C1621" s="5" t="str">
        <v>Daihatsu Xenia (Badan)</v>
      </c>
      <c r="D1621" s="5" t="str">
        <v>B2503BE</v>
      </c>
      <c r="E1621" s="10">
        <v>63400</v>
      </c>
      <c r="F1621" s="3" t="str">
        <v>Iya</v>
      </c>
      <c r="G1621" s="4">
        <v>45875</v>
      </c>
      <c r="H1621" s="10">
        <v>63400</v>
      </c>
    </row>
    <row r="1622" spans="1:8">
      <c r="A1622" s="3">
        <v>1621</v>
      </c>
      <c r="B1622" s="4">
        <v>45992.370069444441</v>
      </c>
      <c r="C1622" s="5" t="str">
        <v>PICK UP TRAGA 2.5 4X2 MT D M/T</v>
      </c>
      <c r="D1622" s="5" t="str">
        <v>B7915GBS</v>
      </c>
      <c r="E1622" s="10">
        <v>55359</v>
      </c>
      <c r="F1622" s="3" t="str">
        <v>Iya</v>
      </c>
      <c r="G1622" s="4">
        <v>45876</v>
      </c>
      <c r="H1622" s="10">
        <v>55359</v>
      </c>
    </row>
    <row r="1623" spans="1:8">
      <c r="A1623" s="3">
        <v>1622</v>
      </c>
      <c r="B1623" s="4">
        <v>45992.371504629627</v>
      </c>
      <c r="C1623" s="5" t="str">
        <v>DAIHATSU GRANMAX PU AC PS 1.5 M/T</v>
      </c>
      <c r="D1623" s="5" t="str">
        <v>B7165PWG</v>
      </c>
      <c r="E1623" s="10">
        <v>1520</v>
      </c>
      <c r="F1623" s="3" t="str">
        <v>Iya</v>
      </c>
      <c r="G1623" s="4">
        <v>45953</v>
      </c>
      <c r="H1623" s="10">
        <v>1520</v>
      </c>
    </row>
    <row r="1624" spans="1:8">
      <c r="A1624" s="3">
        <v>1623</v>
      </c>
      <c r="B1624" s="4">
        <v>45992.661365740743</v>
      </c>
      <c r="C1624" s="5" t="str">
        <v>DAIHATSU GRANMAX PU AC PS 1.5 M/T</v>
      </c>
      <c r="D1624" s="5" t="str">
        <v>B1080SUL</v>
      </c>
      <c r="E1624" s="10">
        <v>12826</v>
      </c>
      <c r="F1624" s="3" t="str">
        <v>Iya</v>
      </c>
      <c r="G1624" s="4">
        <v>45881</v>
      </c>
      <c r="H1624" s="10">
        <v>12826</v>
      </c>
    </row>
    <row r="1625" spans="1:8">
      <c r="A1625" s="3">
        <v>1624</v>
      </c>
      <c r="B1625" s="4">
        <v>45992.664895833332</v>
      </c>
      <c r="C1625" s="5" t="str">
        <v>PICK UP TRAGA 2.5 4X2 MT D M/T</v>
      </c>
      <c r="D1625" s="5" t="str">
        <v>B2886XC</v>
      </c>
      <c r="E1625" s="10">
        <v>11538</v>
      </c>
      <c r="F1625" s="3" t="str">
        <v>Iya</v>
      </c>
      <c r="G1625" s="4">
        <v>45874</v>
      </c>
      <c r="H1625" s="10">
        <v>11538</v>
      </c>
    </row>
    <row r="1626" spans="1:8">
      <c r="A1626" s="3">
        <v>1625</v>
      </c>
      <c r="B1626" s="4">
        <v>45993.467094907413</v>
      </c>
      <c r="C1626" s="5" t="str">
        <v>PICK UP TRAGA 2.5 4X2 MT D M/T</v>
      </c>
      <c r="D1626" s="5" t="str">
        <v>B5798XLR</v>
      </c>
      <c r="E1626" s="10">
        <v>2875</v>
      </c>
      <c r="F1626" s="3" t="str">
        <v>Iya</v>
      </c>
      <c r="G1626" s="4">
        <v>45899</v>
      </c>
      <c r="H1626" s="10">
        <v>2875</v>
      </c>
    </row>
    <row r="1627" spans="1:8">
      <c r="A1627" s="3">
        <v>1626</v>
      </c>
      <c r="B1627" s="4">
        <v>45993.468946759262</v>
      </c>
      <c r="C1627" s="5" t="str">
        <v>DAIHATSU GRANMAX PU AC PS 1.5 M/T</v>
      </c>
      <c r="D1627" s="5" t="str">
        <v>B4884HS</v>
      </c>
      <c r="E1627" s="10">
        <v>753</v>
      </c>
      <c r="F1627" s="3" t="str">
        <v>Iya</v>
      </c>
      <c r="G1627" s="4">
        <v>45992</v>
      </c>
      <c r="H1627" s="10">
        <v>753</v>
      </c>
    </row>
    <row r="1628" spans="1:8">
      <c r="A1628" s="3">
        <v>1627</v>
      </c>
      <c r="B1628" s="4">
        <v>45993.49559027778</v>
      </c>
      <c r="C1628" s="5" t="str">
        <v>PICK UP TRAGA 2.5 4X2 MT D M/T</v>
      </c>
      <c r="D1628" s="5" t="str">
        <v>B4196MS</v>
      </c>
      <c r="E1628" s="10">
        <v>21996</v>
      </c>
      <c r="F1628" s="3" t="str">
        <v>Iya</v>
      </c>
      <c r="G1628" s="4">
        <v>45887</v>
      </c>
      <c r="H1628" s="10">
        <v>21996</v>
      </c>
    </row>
    <row r="1629" spans="1:8">
      <c r="A1629" s="3">
        <v>1628</v>
      </c>
      <c r="B1629" s="4">
        <v>45993.658958333333</v>
      </c>
      <c r="C1629" s="5" t="str">
        <v>DAIHATSU GRANMAX PU AC PS 1.5 M/T</v>
      </c>
      <c r="D1629" s="5" t="str">
        <v>B5472JN</v>
      </c>
      <c r="E1629" s="10">
        <v>57843</v>
      </c>
      <c r="F1629" s="3" t="str">
        <v>Iya</v>
      </c>
      <c r="G1629" s="4">
        <v>45982</v>
      </c>
      <c r="H1629" s="10">
        <v>57843</v>
      </c>
    </row>
    <row r="1630" spans="1:8">
      <c r="A1630" s="3">
        <v>1629</v>
      </c>
      <c r="B1630" s="4">
        <v>45993.6872337963</v>
      </c>
      <c r="C1630" s="5" t="str">
        <v>PICK UP TRAGA 2.5 4X2 MT D M/T</v>
      </c>
      <c r="D1630" s="5" t="str">
        <v>B9187TB</v>
      </c>
      <c r="E1630" s="10">
        <v>24791</v>
      </c>
      <c r="F1630" s="3" t="str">
        <v>Iya</v>
      </c>
      <c r="G1630" s="4">
        <v>45982</v>
      </c>
      <c r="H1630" s="10">
        <v>24791</v>
      </c>
    </row>
    <row r="1631" spans="1:8">
      <c r="A1631" s="3">
        <v>1630</v>
      </c>
      <c r="B1631" s="4">
        <v>45994.346377314818</v>
      </c>
      <c r="C1631" s="5" t="str">
        <v>DAIHATSU GRANMAX PU AC PS 1.5 M/T</v>
      </c>
      <c r="D1631" s="5" t="str">
        <v>B4124TR</v>
      </c>
      <c r="E1631" s="10">
        <v>6393</v>
      </c>
      <c r="F1631" s="3" t="str">
        <v>Iya</v>
      </c>
      <c r="G1631" s="4">
        <v>45832</v>
      </c>
      <c r="H1631" s="10">
        <v>6393</v>
      </c>
    </row>
    <row r="1632" spans="1:8">
      <c r="A1632" s="3">
        <v>1631</v>
      </c>
      <c r="B1632" s="4">
        <v>45994.441099537027</v>
      </c>
      <c r="C1632" s="5" t="str">
        <v>DAIHATSU GRANMAX PU AC PS 1.5 M/T</v>
      </c>
      <c r="D1632" s="5" t="str">
        <v>b2342qw</v>
      </c>
      <c r="E1632" s="10">
        <v>8949</v>
      </c>
      <c r="F1632" s="3" t="str">
        <v>Iya</v>
      </c>
      <c r="G1632" s="4">
        <v>45854</v>
      </c>
      <c r="H1632" s="10">
        <v>8949</v>
      </c>
    </row>
    <row r="1633" spans="1:8">
      <c r="A1633" s="3">
        <v>1632</v>
      </c>
      <c r="B1633" s="4">
        <v>45994.442835648151</v>
      </c>
      <c r="C1633" s="5" t="str">
        <v>PICK UP TRAGA 2.5 4X2 MT D M/T</v>
      </c>
      <c r="D1633" s="5" t="str">
        <v>B2687VC</v>
      </c>
      <c r="E1633" s="10">
        <v>4574</v>
      </c>
      <c r="F1633" s="3" t="str">
        <v>Iya</v>
      </c>
      <c r="G1633" s="4">
        <v>45929</v>
      </c>
      <c r="H1633" s="10">
        <v>4574</v>
      </c>
    </row>
    <row r="1634" spans="1:8">
      <c r="A1634" s="3">
        <v>1633</v>
      </c>
      <c r="B1634" s="4">
        <v>45994.44390046296</v>
      </c>
      <c r="C1634" s="5" t="str">
        <v>DAIHATSU GRANMAX PU AC PS 1.5 M/T</v>
      </c>
      <c r="D1634" s="5" t="str">
        <v>AB8116PCJ</v>
      </c>
      <c r="E1634" s="10">
        <v>12817</v>
      </c>
      <c r="F1634" s="3" t="str">
        <v>Iya</v>
      </c>
      <c r="G1634" s="4">
        <v>45912</v>
      </c>
      <c r="H1634" s="10">
        <v>12817</v>
      </c>
    </row>
    <row r="1635" spans="1:8">
      <c r="A1635" s="3">
        <v>1634</v>
      </c>
      <c r="B1635" s="4">
        <v>45994.450185185182</v>
      </c>
      <c r="C1635" s="5" t="str">
        <v>PICK UP TRAGA 2.5 4X2 MT D M/T</v>
      </c>
      <c r="D1635" s="5" t="str">
        <v>B3889CE</v>
      </c>
      <c r="E1635" s="10">
        <v>19602</v>
      </c>
      <c r="F1635" s="3" t="str">
        <v>Iya</v>
      </c>
      <c r="G1635" s="4">
        <v>45960</v>
      </c>
      <c r="H1635" s="10">
        <v>19602</v>
      </c>
    </row>
    <row r="1636" spans="1:8">
      <c r="A1636" s="3">
        <v>1635</v>
      </c>
      <c r="B1636" s="4">
        <v>45994.455358796287</v>
      </c>
      <c r="C1636" s="5" t="str">
        <v>PICK UP TRAGA 2.5 4X2 MT D M/T</v>
      </c>
      <c r="D1636" s="5" t="str">
        <v>B4001FJ</v>
      </c>
      <c r="E1636" s="10">
        <v>12996</v>
      </c>
      <c r="F1636" s="3" t="str">
        <v>Iya</v>
      </c>
      <c r="G1636" s="4">
        <v>45953</v>
      </c>
      <c r="H1636" s="10">
        <v>12996</v>
      </c>
    </row>
    <row r="1637" spans="1:8">
      <c r="A1637" s="3">
        <v>1636</v>
      </c>
      <c r="B1637" s="4">
        <v>45994.457916666674</v>
      </c>
      <c r="C1637" s="5" t="str">
        <v>DAIHATSU GRANMAX PU AC PS 1.5 M/T</v>
      </c>
      <c r="D1637" s="5" t="str">
        <v>B2092CXG</v>
      </c>
      <c r="E1637" s="10">
        <v>7057</v>
      </c>
      <c r="F1637" s="3" t="str">
        <v>Iya</v>
      </c>
      <c r="G1637" s="4">
        <v>45985</v>
      </c>
      <c r="H1637" s="10">
        <v>7057</v>
      </c>
    </row>
    <row r="1638" spans="1:8">
      <c r="A1638" s="3">
        <v>1637</v>
      </c>
      <c r="B1638" s="4">
        <v>45994.458715277768</v>
      </c>
      <c r="C1638" s="5" t="str">
        <v>PICK UP TRAGA 2.5 4X2 MT D M/T</v>
      </c>
      <c r="D1638" s="5" t="str">
        <v>DD5905FD</v>
      </c>
      <c r="E1638" s="10">
        <v>44870</v>
      </c>
      <c r="F1638" s="3" t="str">
        <v>Iya</v>
      </c>
      <c r="G1638" s="4">
        <v>45911</v>
      </c>
      <c r="H1638" s="10">
        <v>44870</v>
      </c>
    </row>
    <row r="1639" spans="1:8">
      <c r="A1639" s="3">
        <v>1638</v>
      </c>
      <c r="B1639" s="4">
        <v>45994.46365740741</v>
      </c>
      <c r="C1639" s="5" t="str">
        <v>DAIHATSU GRANMAX PU AC PS 1.5 M/T</v>
      </c>
      <c r="D1639" s="5" t="str">
        <v>B8857PYD</v>
      </c>
      <c r="E1639" s="10">
        <v>9451</v>
      </c>
      <c r="F1639" s="3" t="str">
        <v>Iya</v>
      </c>
      <c r="G1639" s="4">
        <v>45834</v>
      </c>
      <c r="H1639" s="10">
        <v>9451</v>
      </c>
    </row>
    <row r="1640" spans="1:8">
      <c r="A1640" s="3">
        <v>1639</v>
      </c>
      <c r="B1640" s="4">
        <v>45994.467997685177</v>
      </c>
      <c r="C1640" s="5" t="str">
        <v>DAIHATSU GRANMAX PU AC PS 1.5 M/T</v>
      </c>
      <c r="D1640" s="5" t="str">
        <v>B5592QL</v>
      </c>
      <c r="E1640" s="10">
        <v>57556</v>
      </c>
      <c r="F1640" s="3" t="str">
        <v>Iya</v>
      </c>
      <c r="G1640" s="4">
        <v>45914</v>
      </c>
      <c r="H1640" s="10">
        <v>57556</v>
      </c>
    </row>
    <row r="1641" spans="1:8">
      <c r="A1641" s="3">
        <v>1640</v>
      </c>
      <c r="B1641" s="4">
        <v>45994.482361111113</v>
      </c>
      <c r="C1641" s="5" t="str">
        <v>PICK UP TRAGA 2.5 4X2 MT D M/T</v>
      </c>
      <c r="D1641" s="5" t="str">
        <v>B4784VXS</v>
      </c>
      <c r="E1641" s="10">
        <v>74313</v>
      </c>
      <c r="F1641" s="3" t="str">
        <v>Iya</v>
      </c>
      <c r="G1641" s="4">
        <v>45909</v>
      </c>
      <c r="H1641" s="10">
        <v>74313</v>
      </c>
    </row>
    <row r="1642" spans="1:8">
      <c r="A1642" s="3">
        <v>1641</v>
      </c>
      <c r="B1642" s="4">
        <v>45994.507638888892</v>
      </c>
      <c r="C1642" s="5" t="str">
        <v>DAIHATSU GRANMAX PU AC PS 1.5 M/T</v>
      </c>
      <c r="D1642" s="5" t="str">
        <v>B8385EAN</v>
      </c>
      <c r="E1642" s="10">
        <v>18855</v>
      </c>
      <c r="F1642" s="3" t="str">
        <v>Iya</v>
      </c>
      <c r="G1642" s="4">
        <v>45992</v>
      </c>
      <c r="H1642" s="10">
        <v>18855</v>
      </c>
    </row>
    <row r="1643" spans="1:8">
      <c r="A1643" s="3">
        <v>1642</v>
      </c>
      <c r="B1643" s="4">
        <v>45994.509884259263</v>
      </c>
      <c r="C1643" s="5" t="str">
        <v>Daihatsu Xenia (Badan)</v>
      </c>
      <c r="D1643" s="5" t="str">
        <v>B4790UR</v>
      </c>
      <c r="E1643" s="10">
        <v>35829</v>
      </c>
      <c r="F1643" s="3" t="str">
        <v>Iya</v>
      </c>
      <c r="G1643" s="4">
        <v>45608</v>
      </c>
      <c r="H1643" s="10">
        <v>35829</v>
      </c>
    </row>
    <row r="1644" spans="1:8">
      <c r="A1644" s="3">
        <v>1643</v>
      </c>
      <c r="B1644" s="4">
        <v>45994.62296296296</v>
      </c>
      <c r="C1644" s="5" t="str">
        <v>DAIHATSU GRANMAX PU AC PS 1.5 M/T</v>
      </c>
      <c r="D1644" s="5" t="str">
        <v>B2020TJ</v>
      </c>
      <c r="E1644" s="10">
        <v>1673</v>
      </c>
      <c r="F1644" s="3" t="str">
        <v>Iya</v>
      </c>
      <c r="G1644" s="4">
        <v>45967</v>
      </c>
      <c r="H1644" s="10">
        <v>1673</v>
      </c>
    </row>
    <row r="1645" spans="1:8">
      <c r="A1645" s="3">
        <v>1644</v>
      </c>
      <c r="B1645" s="4">
        <v>45994.62736111111</v>
      </c>
      <c r="C1645" s="5" t="str">
        <v>DAIHATSU GRANMAX PU AC PS 1.5 M/T</v>
      </c>
      <c r="D1645" s="5" t="str">
        <v>B9580AP</v>
      </c>
      <c r="E1645" s="10">
        <v>414</v>
      </c>
      <c r="F1645" s="3" t="str">
        <v>Iya</v>
      </c>
      <c r="G1645" s="4">
        <v>45994</v>
      </c>
      <c r="H1645" s="10">
        <v>414</v>
      </c>
    </row>
    <row r="1646" spans="1:8">
      <c r="A1646" s="3">
        <v>1645</v>
      </c>
      <c r="B1646" s="4">
        <v>45994.645636574067</v>
      </c>
      <c r="C1646" s="5" t="str">
        <v>DAIHATSU GRANMAX PU AC PS 1.5 M/T</v>
      </c>
      <c r="D1646" s="5" t="str">
        <v>B5948HU</v>
      </c>
      <c r="E1646" s="10">
        <v>7527</v>
      </c>
      <c r="F1646" s="3" t="str">
        <v>Iya</v>
      </c>
      <c r="G1646" s="4">
        <v>45915</v>
      </c>
      <c r="H1646" s="10">
        <v>7527</v>
      </c>
    </row>
    <row r="1647" spans="1:8">
      <c r="A1647" s="3">
        <v>1646</v>
      </c>
      <c r="B1647" s="4">
        <v>45994.651550925933</v>
      </c>
      <c r="C1647" s="5" t="str">
        <v>DAIHATSU GRANMAX PU AC PS 1.5 M/T</v>
      </c>
      <c r="D1647" s="5" t="str">
        <v>B8160PCQ</v>
      </c>
      <c r="E1647" s="10">
        <v>33318</v>
      </c>
      <c r="F1647" s="3" t="str">
        <v>Iya</v>
      </c>
      <c r="G1647" s="4">
        <v>45915</v>
      </c>
      <c r="H1647" s="10">
        <v>33318</v>
      </c>
    </row>
    <row r="1648" spans="1:8">
      <c r="A1648" s="3">
        <v>1647</v>
      </c>
      <c r="B1648" s="4">
        <v>45994.66300925926</v>
      </c>
      <c r="C1648" s="5" t="str">
        <v>PICK UP TRAGA 2.5 4X2 MT D M/T</v>
      </c>
      <c r="D1648" s="5" t="str">
        <v>B7707TH</v>
      </c>
      <c r="E1648" s="10">
        <v>57586</v>
      </c>
      <c r="F1648" s="3" t="str">
        <v>Iya</v>
      </c>
      <c r="G1648" s="4">
        <v>45912</v>
      </c>
      <c r="H1648" s="10">
        <v>57586</v>
      </c>
    </row>
    <row r="1649" spans="1:8">
      <c r="A1649" s="3">
        <v>1648</v>
      </c>
      <c r="B1649" s="4">
        <v>45994.663634259261</v>
      </c>
      <c r="C1649" s="5" t="str">
        <v>DAIHATSU GRANMAX PU AC PS 1.5 M/T</v>
      </c>
      <c r="D1649" s="5" t="str">
        <v>B6806LA</v>
      </c>
      <c r="E1649" s="10">
        <v>13303</v>
      </c>
      <c r="F1649" s="3" t="str">
        <v>Iya</v>
      </c>
      <c r="G1649" s="4">
        <v>45923</v>
      </c>
      <c r="H1649" s="10">
        <v>13303</v>
      </c>
    </row>
    <row r="1650" spans="1:8">
      <c r="A1650" s="3">
        <v>1649</v>
      </c>
      <c r="B1650" s="4">
        <v>45994.67119212963</v>
      </c>
      <c r="C1650" s="5" t="str">
        <v>Daihatsu Xenia (Badan)</v>
      </c>
      <c r="D1650" s="5" t="str">
        <v>B4665UI</v>
      </c>
      <c r="E1650" s="10">
        <v>14669</v>
      </c>
      <c r="F1650" s="3" t="str">
        <v>Iya</v>
      </c>
      <c r="G1650" s="4">
        <v>45972</v>
      </c>
      <c r="H1650" s="10">
        <v>14669</v>
      </c>
    </row>
    <row r="1651" spans="1:8">
      <c r="A1651" s="3">
        <v>1650</v>
      </c>
      <c r="B1651" s="4">
        <v>45994.686574074083</v>
      </c>
      <c r="C1651" s="5" t="str">
        <v>DAIHATSU GRANMAX PU AC PS 1.5 M/T</v>
      </c>
      <c r="D1651" s="5" t="str">
        <v>AB1281PCR</v>
      </c>
      <c r="E1651" s="10">
        <v>2741</v>
      </c>
      <c r="F1651" s="3" t="str">
        <v>Iya</v>
      </c>
      <c r="G1651" s="4">
        <v>45902</v>
      </c>
      <c r="H1651" s="10">
        <v>2741</v>
      </c>
    </row>
    <row r="1652" spans="1:8">
      <c r="A1652" s="3">
        <v>1651</v>
      </c>
      <c r="B1652" s="4">
        <v>45994.701018518521</v>
      </c>
      <c r="C1652" s="5" t="str">
        <v>DAIHATSU GRANMAX PU AC PS 1.5 M/T</v>
      </c>
      <c r="D1652" s="5" t="str">
        <v>B8599SQ</v>
      </c>
      <c r="E1652" s="10">
        <v>7370</v>
      </c>
      <c r="F1652" s="3" t="str">
        <v>Iya</v>
      </c>
      <c r="G1652" s="4">
        <v>45908</v>
      </c>
      <c r="H1652" s="10">
        <v>7370</v>
      </c>
    </row>
    <row r="1653" spans="1:8">
      <c r="A1653" s="3">
        <v>1652</v>
      </c>
      <c r="B1653" s="4">
        <v>45994.860277777778</v>
      </c>
      <c r="C1653" s="5" t="str">
        <v>PICK UP TRAGA 2.5 4X2 MT D M/T</v>
      </c>
      <c r="D1653" s="5" t="str">
        <v>B7759RV</v>
      </c>
      <c r="E1653" s="10">
        <v>4827</v>
      </c>
      <c r="F1653" s="3" t="str">
        <v>Iya</v>
      </c>
      <c r="G1653" s="4">
        <v>45855</v>
      </c>
      <c r="H1653" s="10">
        <v>4827</v>
      </c>
    </row>
    <row r="1654" spans="1:8">
      <c r="A1654" s="3">
        <v>1653</v>
      </c>
      <c r="B1654" s="4">
        <v>45995.337569444448</v>
      </c>
      <c r="C1654" s="5" t="str">
        <v>PICK UP TRAGA 2.5 4X2 MT D M/T</v>
      </c>
      <c r="D1654" s="5" t="str">
        <v>B2742DP</v>
      </c>
      <c r="E1654" s="10">
        <v>53534</v>
      </c>
      <c r="F1654" s="3" t="str">
        <v>Iya</v>
      </c>
      <c r="G1654" s="4">
        <v>45936</v>
      </c>
      <c r="H1654" s="10">
        <v>53534</v>
      </c>
    </row>
    <row r="1655" spans="1:8">
      <c r="A1655" s="3">
        <v>1654</v>
      </c>
      <c r="B1655" s="4">
        <v>45995.380243055559</v>
      </c>
      <c r="C1655" s="5" t="str">
        <v>DAIHATSU GRANMAX PU AC PS 1.5 M/T</v>
      </c>
      <c r="D1655" s="5" t="str">
        <v>B2639ZDE</v>
      </c>
      <c r="E1655" s="10">
        <v>1302389</v>
      </c>
      <c r="F1655" s="3" t="str">
        <v>Iya</v>
      </c>
      <c r="G1655" s="4">
        <v>45916</v>
      </c>
      <c r="H1655" s="10">
        <v>1302389</v>
      </c>
    </row>
    <row r="1656" spans="1:8">
      <c r="A1656" s="3">
        <v>1655</v>
      </c>
      <c r="B1656" s="4">
        <v>45995.459421296298</v>
      </c>
      <c r="C1656" s="5" t="str">
        <v>DAIHATSU GRANMAX PU AC PS 1.5 M/T</v>
      </c>
      <c r="D1656" s="5" t="str">
        <v>B6224AT</v>
      </c>
      <c r="E1656" s="10">
        <v>18016</v>
      </c>
      <c r="F1656" s="3" t="str">
        <v>Iya</v>
      </c>
      <c r="G1656" s="4">
        <v>45854</v>
      </c>
      <c r="H1656" s="10">
        <v>18016</v>
      </c>
    </row>
    <row r="1657" spans="1:8">
      <c r="A1657" s="3">
        <v>1656</v>
      </c>
      <c r="B1657" s="4">
        <v>45995.487638888888</v>
      </c>
      <c r="C1657" s="5" t="str">
        <v>DAIHATSU GRANMAX PU AC PS 1.5 M/T</v>
      </c>
      <c r="D1657" s="5" t="str">
        <v>B1733TDE</v>
      </c>
      <c r="E1657" s="10">
        <v>8597</v>
      </c>
      <c r="F1657" s="3" t="str">
        <v>Iya</v>
      </c>
      <c r="G1657" s="4">
        <v>45995</v>
      </c>
      <c r="H1657" s="10">
        <v>8597</v>
      </c>
    </row>
    <row r="1658" spans="1:8">
      <c r="A1658" s="3">
        <v>1657</v>
      </c>
      <c r="B1658" s="4">
        <v>45996.360092592593</v>
      </c>
      <c r="C1658" s="5" t="str">
        <v>DAIHATSU GRANMAX PU AC PS 1.5 M/T</v>
      </c>
      <c r="D1658" s="5" t="str">
        <v>B7960GK</v>
      </c>
      <c r="E1658" s="10">
        <v>19655</v>
      </c>
      <c r="F1658" s="3" t="str">
        <v>Iya</v>
      </c>
      <c r="G1658" s="4">
        <v>45668</v>
      </c>
      <c r="H1658" s="10">
        <v>19655</v>
      </c>
    </row>
    <row r="1659" spans="1:8">
      <c r="A1659" s="3">
        <v>1658</v>
      </c>
      <c r="B1659" s="4">
        <v>45996.388055555559</v>
      </c>
      <c r="C1659" s="5" t="str">
        <v>DAIHATSU GRANMAX PU AC PS 1.5 M/T</v>
      </c>
      <c r="D1659" s="5" t="str">
        <v>DD1071FI</v>
      </c>
      <c r="E1659" s="10">
        <v>32789</v>
      </c>
      <c r="F1659" s="3" t="str">
        <v>Iya</v>
      </c>
      <c r="G1659" s="4">
        <v>45911</v>
      </c>
      <c r="H1659" s="10">
        <v>32789</v>
      </c>
    </row>
    <row r="1660" spans="1:8">
      <c r="A1660" s="3">
        <v>1659</v>
      </c>
      <c r="B1660" s="4">
        <v>45996.406493055547</v>
      </c>
      <c r="C1660" s="5" t="str">
        <v>DAIHATSU GRANMAX PU AC PS 1.5 M/T</v>
      </c>
      <c r="D1660" s="5" t="str">
        <v>B9442MAL</v>
      </c>
      <c r="E1660" s="10">
        <v>19995</v>
      </c>
      <c r="F1660" s="3" t="str">
        <v>Iya</v>
      </c>
      <c r="G1660" s="4">
        <v>45825</v>
      </c>
      <c r="H1660" s="10">
        <v>19995</v>
      </c>
    </row>
    <row r="1661" spans="1:8">
      <c r="A1661" s="3">
        <v>1660</v>
      </c>
      <c r="B1661" s="4">
        <v>45996.652349537027</v>
      </c>
      <c r="C1661" s="5" t="str">
        <v>DAIHATSU GRANMAX PU AC PS 1.5 M/T</v>
      </c>
      <c r="D1661" s="5" t="str">
        <v>B6512QGG</v>
      </c>
      <c r="E1661" s="10">
        <v>60652</v>
      </c>
      <c r="F1661" s="3" t="str">
        <v>Iya</v>
      </c>
      <c r="G1661" s="4">
        <v>45875</v>
      </c>
      <c r="H1661" s="10">
        <v>60652</v>
      </c>
    </row>
    <row r="1662" spans="1:8">
      <c r="A1662" s="3">
        <v>1661</v>
      </c>
      <c r="B1662" s="4">
        <v>45996.812905092593</v>
      </c>
      <c r="C1662" s="5" t="str">
        <v>DAIHATSU GRANMAX PU AC PS 1.5 M/T</v>
      </c>
      <c r="D1662" s="5" t="str">
        <v>B4242KSP</v>
      </c>
      <c r="E1662" s="10">
        <v>34123</v>
      </c>
      <c r="F1662" s="3" t="str">
        <v>Iya</v>
      </c>
      <c r="G1662" s="4">
        <v>45996</v>
      </c>
      <c r="H1662" s="10">
        <v>34123</v>
      </c>
    </row>
    <row r="1663" spans="1:8">
      <c r="A1663" s="3">
        <v>1662</v>
      </c>
      <c r="B1663" s="4">
        <v>45997.338472222233</v>
      </c>
      <c r="C1663" s="5" t="str">
        <v>DAIHATSU GRANMAX PU AC PS 1.5 M/T</v>
      </c>
      <c r="D1663" s="5" t="str">
        <v>B5750IQ</v>
      </c>
      <c r="E1663" s="10">
        <v>54293</v>
      </c>
      <c r="F1663" s="3" t="str">
        <v>Iya</v>
      </c>
      <c r="G1663" s="4">
        <v>45913</v>
      </c>
      <c r="H1663" s="10">
        <v>54293</v>
      </c>
    </row>
    <row r="1664" spans="1:8">
      <c r="A1664" s="3">
        <v>1663</v>
      </c>
      <c r="B1664" s="4">
        <v>45999.409131944441</v>
      </c>
      <c r="C1664" s="5" t="str">
        <v>PICK UP TRAGA 2.5 4X2 MT D M/T</v>
      </c>
      <c r="D1664" s="5" t="str">
        <v>L9051XTF</v>
      </c>
      <c r="E1664" s="10">
        <v>5490</v>
      </c>
      <c r="F1664" s="3" t="str">
        <v>Iya</v>
      </c>
      <c r="G1664" s="4">
        <v>45946</v>
      </c>
      <c r="H1664" s="10">
        <v>5490</v>
      </c>
    </row>
    <row r="1665" spans="1:8">
      <c r="A1665" s="3">
        <v>1664</v>
      </c>
      <c r="B1665" s="4">
        <v>45999.409583333327</v>
      </c>
      <c r="C1665" s="5" t="str">
        <v>DAIHATSU GRANMAX PU AC PS 1.5 M/T</v>
      </c>
      <c r="D1665" s="5" t="str">
        <v>B9912VG</v>
      </c>
      <c r="E1665" s="10">
        <v>115845</v>
      </c>
      <c r="F1665" s="3" t="str">
        <v>Iya</v>
      </c>
      <c r="G1665" s="4">
        <v>45918</v>
      </c>
      <c r="H1665" s="10">
        <v>115845</v>
      </c>
    </row>
    <row r="1666" spans="1:8">
      <c r="A1666" s="3">
        <v>1665</v>
      </c>
      <c r="B1666" s="4">
        <v>45999.409733796303</v>
      </c>
      <c r="C1666" s="5" t="str">
        <v>DAIHATSU GRANMAX PU AC PS 1.5 M/T</v>
      </c>
      <c r="D1666" s="5" t="str">
        <v>B4764SNX</v>
      </c>
      <c r="E1666" s="10">
        <v>21708</v>
      </c>
      <c r="F1666" s="3" t="str">
        <v>Iya</v>
      </c>
      <c r="G1666" s="4">
        <v>45889</v>
      </c>
      <c r="H1666" s="10">
        <v>21708</v>
      </c>
    </row>
    <row r="1667" spans="1:8">
      <c r="A1667" s="3">
        <v>1666</v>
      </c>
      <c r="B1667" s="4">
        <v>45999.411863425928</v>
      </c>
      <c r="C1667" s="5" t="str">
        <v>DAIHATSU GRANMAX PU AC PS 1.5 M/T</v>
      </c>
      <c r="D1667" s="5" t="str">
        <v>DD2694FT</v>
      </c>
      <c r="E1667" s="10">
        <v>25441</v>
      </c>
      <c r="F1667" s="3" t="str">
        <v>Iya</v>
      </c>
      <c r="G1667" s="4">
        <v>45885</v>
      </c>
      <c r="H1667" s="10">
        <v>25441</v>
      </c>
    </row>
    <row r="1668" spans="1:8">
      <c r="A1668" s="3">
        <v>1667</v>
      </c>
      <c r="B1668" s="4">
        <v>45999.41333333333</v>
      </c>
      <c r="C1668" s="5" t="str">
        <v>DAIHATSU GRANMAX PU AC PS 1.5 M/T</v>
      </c>
      <c r="D1668" s="5" t="str">
        <v>B4658KI</v>
      </c>
      <c r="E1668" s="10">
        <v>3652</v>
      </c>
      <c r="F1668" s="3" t="str">
        <v>Iya</v>
      </c>
      <c r="G1668" s="4">
        <v>45947</v>
      </c>
      <c r="H1668" s="10">
        <v>3652</v>
      </c>
    </row>
    <row r="1669" spans="1:8">
      <c r="A1669" s="3">
        <v>1668</v>
      </c>
      <c r="B1669" s="4">
        <v>45999.413564814808</v>
      </c>
      <c r="C1669" s="5" t="str">
        <v>DAIHATSU GRANMAX PU AC PS 1.5 M/T</v>
      </c>
      <c r="D1669" s="5" t="str">
        <v>B9910CL</v>
      </c>
      <c r="E1669" s="10">
        <v>5384</v>
      </c>
      <c r="F1669" s="3" t="str">
        <v>Iya</v>
      </c>
      <c r="G1669" s="4">
        <v>45934</v>
      </c>
      <c r="H1669" s="10">
        <v>5384</v>
      </c>
    </row>
    <row r="1670" spans="1:8">
      <c r="A1670" s="3">
        <v>1669</v>
      </c>
      <c r="B1670" s="4">
        <v>45999.418009259258</v>
      </c>
      <c r="C1670" s="5" t="str">
        <v>PICK UP TRAGA 2.5 4X2 MT D M/T</v>
      </c>
      <c r="D1670" s="5" t="str">
        <v>B1181GU</v>
      </c>
      <c r="E1670" s="10">
        <v>15066</v>
      </c>
      <c r="F1670" s="3" t="str">
        <v>Iya</v>
      </c>
      <c r="G1670" s="4">
        <v>45941</v>
      </c>
      <c r="H1670" s="10">
        <v>15066</v>
      </c>
    </row>
    <row r="1671" spans="1:8">
      <c r="A1671" s="3">
        <v>1670</v>
      </c>
      <c r="B1671" s="4">
        <v>45999.425729166673</v>
      </c>
      <c r="C1671" s="5" t="str">
        <v>DAIHATSU GRANMAX PU AC PS 1.5 M/T</v>
      </c>
      <c r="D1671" s="5" t="str">
        <v>B5518KS</v>
      </c>
      <c r="E1671" s="10">
        <v>1275</v>
      </c>
      <c r="F1671" s="3" t="str">
        <v>Iya</v>
      </c>
      <c r="G1671" s="4">
        <v>45967</v>
      </c>
      <c r="H1671" s="10">
        <v>1275</v>
      </c>
    </row>
    <row r="1672" spans="1:8">
      <c r="A1672" s="3">
        <v>1671</v>
      </c>
      <c r="B1672" s="4">
        <v>45999.42827546296</v>
      </c>
      <c r="C1672" s="5" t="str">
        <v>DAIHATSU GRANMAX PU AC PS 1.5 M/T</v>
      </c>
      <c r="D1672" s="5" t="str">
        <v>KB6393GN</v>
      </c>
      <c r="E1672" s="10">
        <v>5227</v>
      </c>
      <c r="F1672" s="3" t="str">
        <v>Iya</v>
      </c>
      <c r="G1672" s="4">
        <v>45721</v>
      </c>
      <c r="H1672" s="10">
        <v>5227</v>
      </c>
    </row>
    <row r="1673" spans="1:8">
      <c r="A1673" s="3">
        <v>1672</v>
      </c>
      <c r="B1673" s="4">
        <v>45999.428842592592</v>
      </c>
      <c r="C1673" s="5" t="str">
        <v>DAIHATSU GRANMAX PU AC PS 1.5 M/T</v>
      </c>
      <c r="D1673" s="5" t="str">
        <v>B5388UQ</v>
      </c>
      <c r="E1673" s="10">
        <v>47346</v>
      </c>
      <c r="F1673" s="3" t="str">
        <v>Iya</v>
      </c>
      <c r="G1673" s="4">
        <v>45992</v>
      </c>
      <c r="H1673" s="10">
        <v>47346</v>
      </c>
    </row>
    <row r="1674" spans="1:8">
      <c r="A1674" s="3">
        <v>1673</v>
      </c>
      <c r="B1674" s="4">
        <v>45999.446840277778</v>
      </c>
      <c r="C1674" s="5" t="str">
        <v>PICK UP TRAGA 2.5 4X2 MT D M/T</v>
      </c>
      <c r="D1674" s="5" t="str">
        <v>B5659TK</v>
      </c>
      <c r="E1674" s="10">
        <v>100063</v>
      </c>
      <c r="F1674" s="3" t="str">
        <v>Iya</v>
      </c>
      <c r="G1674" s="4">
        <v>45934</v>
      </c>
      <c r="H1674" s="10">
        <v>100063</v>
      </c>
    </row>
    <row r="1675" spans="1:8">
      <c r="A1675" s="3">
        <v>1674</v>
      </c>
      <c r="B1675" s="4">
        <v>45999.450682870367</v>
      </c>
      <c r="C1675" s="5" t="str">
        <v>DAIHATSU GRANMAX PU AC PS 1.5 M/T</v>
      </c>
      <c r="D1675" s="5" t="str">
        <v>B7069IU</v>
      </c>
      <c r="E1675" s="10">
        <v>10627</v>
      </c>
      <c r="F1675" s="3" t="str">
        <v>Iya</v>
      </c>
      <c r="G1675" s="4">
        <v>45845</v>
      </c>
      <c r="H1675" s="10">
        <v>10627</v>
      </c>
    </row>
    <row r="1676" spans="1:8">
      <c r="A1676" s="3">
        <v>1675</v>
      </c>
      <c r="B1676" s="4">
        <v>45999.457268518519</v>
      </c>
      <c r="C1676" s="5" t="str">
        <v>PICK UP TRAGA 2.5 4X2 MT D M/T</v>
      </c>
      <c r="D1676" s="5" t="str">
        <v>B6592JN</v>
      </c>
      <c r="E1676" s="10">
        <v>19186</v>
      </c>
      <c r="F1676" s="3" t="str">
        <v>Iya</v>
      </c>
      <c r="G1676" s="4">
        <v>45825</v>
      </c>
      <c r="H1676" s="10">
        <v>19186</v>
      </c>
    </row>
    <row r="1677" spans="1:8">
      <c r="A1677" s="3">
        <v>1676</v>
      </c>
      <c r="B1677" s="4">
        <v>45999.460416666669</v>
      </c>
      <c r="C1677" s="5" t="str">
        <v>DAIHATSU GRANMAX PU AC PS 1.5 M/T</v>
      </c>
      <c r="D1677" s="5" t="str">
        <v>B1827XS</v>
      </c>
      <c r="E1677" s="10">
        <v>1314</v>
      </c>
      <c r="F1677" s="3" t="str">
        <v>Iya</v>
      </c>
      <c r="G1677" s="4">
        <v>45947</v>
      </c>
      <c r="H1677" s="10">
        <v>1314</v>
      </c>
    </row>
    <row r="1678" spans="1:8">
      <c r="A1678" s="3">
        <v>1677</v>
      </c>
      <c r="B1678" s="4">
        <v>45999.490347222221</v>
      </c>
      <c r="C1678" s="5" t="str">
        <v>PICK UP TRAGA 2.5 4X2 MT D M/T</v>
      </c>
      <c r="D1678" s="5" t="str">
        <v>B7752SX</v>
      </c>
      <c r="E1678" s="10">
        <v>10246</v>
      </c>
      <c r="F1678" s="3" t="str">
        <v>Iya</v>
      </c>
      <c r="G1678" s="4">
        <v>45919</v>
      </c>
      <c r="H1678" s="10">
        <v>10246</v>
      </c>
    </row>
    <row r="1679" spans="1:8">
      <c r="A1679" s="3">
        <v>1678</v>
      </c>
      <c r="B1679" s="4">
        <v>45999.513796296298</v>
      </c>
      <c r="C1679" s="5" t="str">
        <v>DAIHATSU GRANMAX PU AC PS 1.5 M/T</v>
      </c>
      <c r="D1679" s="5" t="str">
        <v>B5541LZ</v>
      </c>
      <c r="E1679" s="10">
        <v>24689</v>
      </c>
      <c r="F1679" s="3" t="str">
        <v>Iya</v>
      </c>
      <c r="G1679" s="4">
        <v>45985</v>
      </c>
      <c r="H1679" s="10">
        <v>24689</v>
      </c>
    </row>
    <row r="1680" spans="1:8">
      <c r="A1680" s="3">
        <v>1679</v>
      </c>
      <c r="B1680" s="4">
        <v>45999.566030092603</v>
      </c>
      <c r="C1680" s="5" t="str">
        <v>DAIHATSU GRANMAX PU AC PS 1.5 M/T</v>
      </c>
      <c r="D1680" s="5" t="str">
        <v>B5566BY</v>
      </c>
      <c r="E1680" s="10">
        <v>323</v>
      </c>
      <c r="F1680" s="3" t="str">
        <v>Iya</v>
      </c>
      <c r="G1680" s="4">
        <v>45990</v>
      </c>
      <c r="H1680" s="10">
        <v>323</v>
      </c>
    </row>
    <row r="1681" spans="1:8">
      <c r="A1681" s="3">
        <v>1680</v>
      </c>
      <c r="B1681" s="4">
        <v>45999.566053240742</v>
      </c>
      <c r="C1681" s="5" t="str">
        <v>Daihatsu Xenia (Badan)</v>
      </c>
      <c r="D1681" s="5" t="str">
        <v>DA9877GL</v>
      </c>
      <c r="E1681" s="10">
        <v>37764</v>
      </c>
      <c r="F1681" s="3" t="str">
        <v>Iya</v>
      </c>
      <c r="G1681" s="4">
        <v>45875</v>
      </c>
      <c r="H1681" s="10">
        <v>37764</v>
      </c>
    </row>
    <row r="1682" spans="1:8">
      <c r="A1682" s="3">
        <v>1681</v>
      </c>
      <c r="B1682" s="4">
        <v>45999.569768518522</v>
      </c>
      <c r="C1682" s="5" t="str">
        <v>Daihatsu Xenia (Badan)</v>
      </c>
      <c r="D1682" s="5" t="str">
        <v>AB6497MM</v>
      </c>
      <c r="E1682" s="10">
        <v>24377</v>
      </c>
      <c r="F1682" s="3" t="str">
        <v>Iya</v>
      </c>
      <c r="G1682" s="4">
        <v>45953</v>
      </c>
      <c r="H1682" s="10">
        <v>24377</v>
      </c>
    </row>
    <row r="1683" spans="1:8">
      <c r="A1683" s="3">
        <v>1682</v>
      </c>
      <c r="B1683" s="4">
        <v>45999.592824074083</v>
      </c>
      <c r="C1683" s="5" t="str">
        <v>PICK UP TRAGA 2.5 4X2 MT D M/T</v>
      </c>
      <c r="D1683" s="5" t="str">
        <v>B2823MF</v>
      </c>
      <c r="E1683" s="10">
        <v>26536</v>
      </c>
      <c r="F1683" s="3" t="str">
        <v>Iya</v>
      </c>
      <c r="G1683" s="4">
        <v>45993</v>
      </c>
      <c r="H1683" s="10">
        <v>26536</v>
      </c>
    </row>
    <row r="1684" spans="1:8">
      <c r="A1684" s="3">
        <v>1683</v>
      </c>
      <c r="B1684" s="4">
        <v>45999.64340277778</v>
      </c>
      <c r="C1684" s="5" t="str">
        <v>DAIHATSU GRANMAX PU AC PS 1.5 M/T</v>
      </c>
      <c r="D1684" s="5" t="str">
        <v>B1265LKJ</v>
      </c>
      <c r="E1684" s="10">
        <v>6291</v>
      </c>
      <c r="F1684" s="3" t="str">
        <v>Iya</v>
      </c>
      <c r="G1684" s="4">
        <v>45884</v>
      </c>
      <c r="H1684" s="10">
        <v>6291</v>
      </c>
    </row>
    <row r="1685" spans="1:8">
      <c r="A1685" s="3">
        <v>1684</v>
      </c>
      <c r="B1685" s="4">
        <v>45999.665567129632</v>
      </c>
      <c r="C1685" s="5" t="str">
        <v>DAIHATSU GRANMAX PU AC PS 1.5 M/T</v>
      </c>
      <c r="D1685" s="5" t="str">
        <v>B5628US</v>
      </c>
      <c r="E1685" s="10">
        <v>1613</v>
      </c>
      <c r="F1685" s="3" t="str">
        <v>Iya</v>
      </c>
      <c r="G1685" s="4">
        <v>45883</v>
      </c>
      <c r="H1685" s="10">
        <v>1613</v>
      </c>
    </row>
    <row r="1686" spans="1:8">
      <c r="A1686" s="3">
        <v>1685</v>
      </c>
      <c r="B1686" s="4">
        <v>45999.707002314812</v>
      </c>
      <c r="C1686" s="5" t="str">
        <v>Daihatsu Xenia (Badan)</v>
      </c>
      <c r="D1686" s="5" t="str">
        <v>KT4675WB</v>
      </c>
      <c r="E1686" s="10">
        <v>54357</v>
      </c>
      <c r="F1686" s="3" t="str">
        <v>Iya</v>
      </c>
      <c r="G1686" s="4">
        <v>45927</v>
      </c>
      <c r="H1686" s="10">
        <v>54357</v>
      </c>
    </row>
    <row r="1687" spans="1:8">
      <c r="A1687" s="3">
        <v>1686</v>
      </c>
      <c r="B1687" s="4">
        <v>45999.751863425918</v>
      </c>
      <c r="C1687" s="5" t="str">
        <v>DAIHATSU GRANMAX PU AC PS 1.5 M/T</v>
      </c>
      <c r="D1687" s="5" t="str">
        <v>KT4620NQ</v>
      </c>
      <c r="E1687" s="10">
        <v>7978</v>
      </c>
      <c r="F1687" s="3" t="str">
        <v>Iya</v>
      </c>
      <c r="G1687" s="4">
        <v>45962</v>
      </c>
      <c r="H1687" s="10">
        <v>7978</v>
      </c>
    </row>
    <row r="1688" spans="1:8">
      <c r="A1688" s="3">
        <v>1687</v>
      </c>
      <c r="B1688" s="4">
        <v>46000.320081018523</v>
      </c>
      <c r="C1688" s="5" t="str">
        <v>PICK UP TRAGA 2.5 4X2 MT D M/T</v>
      </c>
      <c r="D1688" s="5" t="str">
        <v>B9897TAZ</v>
      </c>
      <c r="E1688" s="10">
        <v>34814</v>
      </c>
      <c r="F1688" s="3" t="str">
        <v>Iya</v>
      </c>
      <c r="G1688" s="4">
        <v>45953</v>
      </c>
      <c r="H1688" s="10">
        <v>34814</v>
      </c>
    </row>
    <row r="1689" spans="1:8">
      <c r="A1689" s="3">
        <v>1688</v>
      </c>
      <c r="B1689" s="4">
        <v>46001.389409722222</v>
      </c>
      <c r="C1689" s="5" t="str">
        <v>DAIHATSU GRANMAX PU AC PS 1.5 M/T</v>
      </c>
      <c r="D1689" s="5" t="str">
        <v>B7162IV</v>
      </c>
      <c r="E1689" s="10">
        <v>13790</v>
      </c>
      <c r="F1689" s="3" t="str">
        <v>Iya</v>
      </c>
      <c r="G1689" s="4">
        <v>45916</v>
      </c>
      <c r="H1689" s="10">
        <v>13790</v>
      </c>
    </row>
    <row r="1690" spans="1:8">
      <c r="A1690" s="3">
        <v>1689</v>
      </c>
      <c r="B1690" s="4">
        <v>46001.501643518517</v>
      </c>
      <c r="C1690" s="5" t="str">
        <v>PICK UP TRAGA 2.5 4X2 MT D M/T</v>
      </c>
      <c r="D1690" s="5" t="str">
        <v>B2357HT</v>
      </c>
      <c r="E1690" s="10">
        <v>69310</v>
      </c>
      <c r="F1690" s="3" t="str">
        <v>Iya</v>
      </c>
      <c r="G1690" s="4">
        <v>45811</v>
      </c>
      <c r="H1690" s="10">
        <v>69310</v>
      </c>
    </row>
    <row r="1691" spans="1:8">
      <c r="A1691" s="3">
        <v>1690</v>
      </c>
      <c r="B1691" s="4">
        <v>46013.413275462961</v>
      </c>
      <c r="C1691" s="5" t="str">
        <v>PICK UP TRAGA 2.5 4X2 MT D M/T</v>
      </c>
      <c r="D1691" s="5" t="str">
        <v>B6557JW</v>
      </c>
      <c r="E1691" s="10">
        <v>87009</v>
      </c>
      <c r="F1691" s="3" t="str">
        <v>Iya</v>
      </c>
      <c r="G1691" s="4">
        <v>45999</v>
      </c>
      <c r="H1691" s="10">
        <v>87009</v>
      </c>
    </row>
    <row r="1692" spans="1:8">
      <c r="A1692" s="3">
        <v>1691</v>
      </c>
      <c r="B1692" s="4">
        <v>46013.41609953704</v>
      </c>
      <c r="C1692" s="5" t="str">
        <v>DAIHATSU GRANMAX PU AC PS 1.5 M/T</v>
      </c>
      <c r="D1692" s="5" t="str">
        <v>B7351RH</v>
      </c>
      <c r="E1692" s="10">
        <v>65735</v>
      </c>
      <c r="F1692" s="3" t="str">
        <v>Iya</v>
      </c>
      <c r="G1692" s="4">
        <v>45885</v>
      </c>
      <c r="H1692" s="10">
        <v>65735</v>
      </c>
    </row>
    <row r="1693" spans="1:8">
      <c r="A1693" s="3">
        <v>1692</v>
      </c>
      <c r="B1693" s="4">
        <v>46013.416215277779</v>
      </c>
      <c r="C1693" s="5" t="str">
        <v>PICK UP TRAGA 2.5 4X2 MT D M/T</v>
      </c>
      <c r="D1693" s="5" t="str">
        <v>B6557JW</v>
      </c>
      <c r="E1693" s="10">
        <v>86755</v>
      </c>
      <c r="F1693" s="3" t="str">
        <v>Iya</v>
      </c>
      <c r="G1693" s="4">
        <v>45999</v>
      </c>
      <c r="H1693" s="10">
        <v>86755</v>
      </c>
    </row>
    <row r="1694" spans="1:8">
      <c r="A1694" s="3">
        <v>1693</v>
      </c>
      <c r="B1694" s="4">
        <v>46013.416678240741</v>
      </c>
      <c r="C1694" s="5" t="str">
        <v>PICK UP TRAGA 2.5 4X2 MT D M/T</v>
      </c>
      <c r="D1694" s="5" t="str">
        <v>B6449IA</v>
      </c>
      <c r="E1694" s="10">
        <v>6375</v>
      </c>
      <c r="F1694" s="3" t="str">
        <v>Iya</v>
      </c>
      <c r="G1694" s="4">
        <v>45950</v>
      </c>
      <c r="H1694" s="10">
        <v>6375</v>
      </c>
    </row>
    <row r="1695" spans="1:8">
      <c r="A1695" s="3">
        <v>1694</v>
      </c>
      <c r="B1695" s="4">
        <v>46013.420173611114</v>
      </c>
      <c r="C1695" s="5" t="str">
        <v>DAIHATSU GRANMAX PU AC PS 1.5 M/T</v>
      </c>
      <c r="D1695" s="5" t="str">
        <v>B1513KJ</v>
      </c>
      <c r="E1695" s="10">
        <v>9802</v>
      </c>
      <c r="F1695" s="3" t="str">
        <v>Iya</v>
      </c>
      <c r="G1695" s="4">
        <v>45936</v>
      </c>
      <c r="H1695" s="10">
        <v>9802</v>
      </c>
    </row>
    <row r="1696" spans="1:8">
      <c r="A1696" s="3">
        <v>1695</v>
      </c>
      <c r="B1696" s="4">
        <v>46013.420300925929</v>
      </c>
      <c r="C1696" s="5" t="str">
        <v>Daihatsu Xenia (Badan)</v>
      </c>
      <c r="D1696" s="5" t="str">
        <v>D1569YP</v>
      </c>
      <c r="E1696" s="10">
        <v>26654</v>
      </c>
      <c r="F1696" s="3" t="str">
        <v>Iya</v>
      </c>
      <c r="G1696" s="4">
        <v>46009</v>
      </c>
      <c r="H1696" s="10">
        <v>26654</v>
      </c>
    </row>
    <row r="1697" spans="1:8">
      <c r="A1697" s="3">
        <v>1696</v>
      </c>
      <c r="B1697" s="4">
        <v>46013.420358796298</v>
      </c>
      <c r="C1697" s="5" t="str">
        <v>PICK UP TRAGA 2.5 4X2 MT D M/T</v>
      </c>
      <c r="D1697" s="5" t="str">
        <v>B2118PQK</v>
      </c>
      <c r="E1697" s="10">
        <v>50653</v>
      </c>
      <c r="F1697" s="3" t="str">
        <v>Iya</v>
      </c>
      <c r="G1697" s="4">
        <v>46096</v>
      </c>
      <c r="H1697" s="10">
        <v>50653</v>
      </c>
    </row>
    <row r="1698" spans="1:8">
      <c r="A1698" s="3">
        <v>1697</v>
      </c>
      <c r="B1698" s="4">
        <v>46013.420659722222</v>
      </c>
      <c r="C1698" s="5" t="str">
        <v>PICK UP TRAGA 2.5 4X2 MT D M/T</v>
      </c>
      <c r="D1698" s="5" t="str">
        <v>B7135IN</v>
      </c>
      <c r="E1698" s="10">
        <v>21154</v>
      </c>
      <c r="F1698" s="3" t="str">
        <v>Iya</v>
      </c>
      <c r="G1698" s="4">
        <v>45911</v>
      </c>
      <c r="H1698" s="10">
        <v>21154</v>
      </c>
    </row>
    <row r="1699" spans="1:8">
      <c r="A1699" s="3">
        <v>1698</v>
      </c>
      <c r="B1699" s="4">
        <v>46013.421111111107</v>
      </c>
      <c r="C1699" s="5" t="str">
        <v>PICK UP TRAGA 2.5 4X2 MT D M/T</v>
      </c>
      <c r="D1699" s="5" t="str">
        <v>DD5905FD</v>
      </c>
      <c r="E1699" s="10">
        <v>47099</v>
      </c>
      <c r="F1699" s="3" t="str">
        <v>Iya</v>
      </c>
      <c r="G1699" s="4">
        <v>46003</v>
      </c>
      <c r="H1699" s="10">
        <v>47099</v>
      </c>
    </row>
    <row r="1700" spans="1:8">
      <c r="A1700" s="3">
        <v>1699</v>
      </c>
      <c r="B1700" s="4">
        <v>46013.424560185187</v>
      </c>
      <c r="C1700" s="5" t="str">
        <v>DAIHATSU GRANMAX PU AC PS 1.5 M/T</v>
      </c>
      <c r="D1700" s="5" t="str">
        <v>AB5434PRX</v>
      </c>
      <c r="E1700" s="10">
        <v>44002</v>
      </c>
      <c r="F1700" s="3" t="str">
        <v>Iya</v>
      </c>
      <c r="G1700" s="4">
        <v>45953</v>
      </c>
      <c r="H1700" s="10">
        <v>44002</v>
      </c>
    </row>
    <row r="1701" spans="1:8">
      <c r="A1701" s="3">
        <v>1700</v>
      </c>
      <c r="B1701" s="4">
        <v>46013.424733796302</v>
      </c>
      <c r="C1701" s="5" t="str">
        <v>DAIHATSU GRANMAX PU AC PS 1.5 M/T</v>
      </c>
      <c r="D1701" s="5" t="str">
        <v>B8803CF</v>
      </c>
      <c r="E1701" s="10">
        <v>2927</v>
      </c>
      <c r="F1701" s="3" t="str">
        <v>Iya</v>
      </c>
      <c r="G1701" s="4">
        <v>45952</v>
      </c>
      <c r="H1701" s="10">
        <v>2927</v>
      </c>
    </row>
    <row r="1702" spans="1:8">
      <c r="A1702" s="3">
        <v>1701</v>
      </c>
      <c r="B1702" s="4">
        <v>46013.424988425933</v>
      </c>
      <c r="C1702" s="5" t="str">
        <v>PICK UP TRAGA 2.5 4X2 MT D M/T</v>
      </c>
      <c r="D1702" s="5" t="str">
        <v>B4900WYS</v>
      </c>
      <c r="E1702" s="10">
        <v>38705</v>
      </c>
      <c r="F1702" s="3" t="str">
        <v>Iya</v>
      </c>
      <c r="G1702" s="4">
        <v>45945</v>
      </c>
      <c r="H1702" s="10">
        <v>38705</v>
      </c>
    </row>
    <row r="1703" spans="1:8">
      <c r="A1703" s="3">
        <v>1702</v>
      </c>
      <c r="B1703" s="4">
        <v>46013.427141203712</v>
      </c>
      <c r="C1703" s="5" t="str">
        <v>DAIHATSU GRANMAX PU AC PS 1.5 M/T</v>
      </c>
      <c r="D1703" s="5" t="str">
        <v>B3540VF</v>
      </c>
      <c r="E1703" s="10">
        <v>19128</v>
      </c>
      <c r="F1703" s="3" t="str">
        <v>Iya</v>
      </c>
      <c r="G1703" s="4">
        <v>45911</v>
      </c>
      <c r="H1703" s="10">
        <v>19128</v>
      </c>
    </row>
    <row r="1704" spans="1:8">
      <c r="A1704" s="3">
        <v>1703</v>
      </c>
      <c r="B1704" s="4">
        <v>46013.435763888891</v>
      </c>
      <c r="C1704" s="5" t="str">
        <v>PICK UP TRAGA 2.5 4X2 MT D M/T</v>
      </c>
      <c r="D1704" s="5" t="str">
        <v>B2784YG</v>
      </c>
      <c r="E1704" s="10">
        <v>81930</v>
      </c>
      <c r="F1704" s="3" t="str">
        <v>Iya</v>
      </c>
      <c r="G1704" s="4">
        <v>45951</v>
      </c>
      <c r="H1704" s="10">
        <v>81930</v>
      </c>
    </row>
    <row r="1705" spans="1:8">
      <c r="A1705" s="3">
        <v>1704</v>
      </c>
      <c r="B1705" s="4">
        <v>46013.436701388891</v>
      </c>
      <c r="C1705" s="5" t="str">
        <v>DAIHATSU GRANMAX PU AC PS 1.5 M/T</v>
      </c>
      <c r="D1705" s="5" t="str">
        <v>B9580AP</v>
      </c>
      <c r="E1705" s="10">
        <v>512</v>
      </c>
      <c r="F1705" s="3" t="str">
        <v>Iya</v>
      </c>
      <c r="G1705" s="4">
        <v>45992</v>
      </c>
      <c r="H1705" s="10">
        <v>512</v>
      </c>
    </row>
    <row r="1706" spans="1:8">
      <c r="A1706" s="3">
        <v>1705</v>
      </c>
      <c r="B1706" s="4">
        <v>46013.439768518518</v>
      </c>
      <c r="C1706" s="5" t="str">
        <v>DAIHATSU GRANMAX PU AC PS 1.5 M/T</v>
      </c>
      <c r="D1706" s="5" t="str">
        <v>B3473LI</v>
      </c>
      <c r="E1706" s="10">
        <v>23309</v>
      </c>
      <c r="F1706" s="3" t="str">
        <v>Iya</v>
      </c>
      <c r="G1706" s="4">
        <v>45982</v>
      </c>
      <c r="H1706" s="10">
        <v>23309</v>
      </c>
    </row>
    <row r="1707" spans="1:8">
      <c r="A1707" s="3">
        <v>1706</v>
      </c>
      <c r="B1707" s="4">
        <v>46013.44059027778</v>
      </c>
      <c r="C1707" s="5" t="str">
        <v>PICK UP TRAGA 2.5 4X2 MT D M/T</v>
      </c>
      <c r="D1707" s="5" t="str">
        <v>H8789UP</v>
      </c>
      <c r="E1707" s="10">
        <v>39673</v>
      </c>
      <c r="F1707" s="3" t="str">
        <v>Iya</v>
      </c>
      <c r="G1707" s="4">
        <v>46001</v>
      </c>
      <c r="H1707" s="10">
        <v>39673</v>
      </c>
    </row>
    <row r="1708" spans="1:8">
      <c r="A1708" s="3">
        <v>1707</v>
      </c>
      <c r="B1708" s="4">
        <v>46013.442997685182</v>
      </c>
      <c r="C1708" s="5" t="str">
        <v>DAIHATSU GRANMAX PU AC PS 1.5 M/T</v>
      </c>
      <c r="D1708" s="5" t="str">
        <v>B6551IKH</v>
      </c>
      <c r="E1708" s="10">
        <v>31508</v>
      </c>
      <c r="F1708" s="3" t="str">
        <v>Iya</v>
      </c>
      <c r="G1708" s="4">
        <v>45831</v>
      </c>
      <c r="H1708" s="10">
        <v>31508</v>
      </c>
    </row>
    <row r="1709" spans="1:8">
      <c r="A1709" s="3">
        <v>1708</v>
      </c>
      <c r="B1709" s="4">
        <v>46013.443229166667</v>
      </c>
      <c r="C1709" s="5" t="str">
        <v>DAIHATSU GRANMAX PU AC PS 1.5 M/T</v>
      </c>
      <c r="D1709" s="5" t="str">
        <v>B6936PI</v>
      </c>
      <c r="E1709" s="10">
        <v>1025</v>
      </c>
      <c r="F1709" s="3" t="str">
        <v>Iya</v>
      </c>
      <c r="G1709" s="4">
        <v>45996</v>
      </c>
      <c r="H1709" s="10">
        <v>1025</v>
      </c>
    </row>
    <row r="1710" spans="1:8">
      <c r="A1710" s="3">
        <v>1709</v>
      </c>
      <c r="B1710" s="4">
        <v>46013.443773148138</v>
      </c>
      <c r="C1710" s="5" t="str">
        <v>DAIHATSU GRANMAX PU AC PS 1.5 M/T</v>
      </c>
      <c r="D1710" s="5" t="str">
        <v>B6936PI</v>
      </c>
      <c r="E1710" s="10">
        <v>1072</v>
      </c>
      <c r="F1710" s="3" t="str">
        <v>Iya</v>
      </c>
      <c r="G1710" s="4">
        <v>45996</v>
      </c>
      <c r="H1710" s="10">
        <v>1072</v>
      </c>
    </row>
    <row r="1711" spans="1:8">
      <c r="A1711" s="3">
        <v>1710</v>
      </c>
      <c r="B1711" s="4">
        <v>46013.444837962961</v>
      </c>
      <c r="C1711" s="5" t="str">
        <v>DAIHATSU GRANMAX PU AC PS 1.5 M/T</v>
      </c>
      <c r="D1711" s="5" t="str">
        <v>B8457UZ</v>
      </c>
      <c r="E1711" s="10">
        <v>14397</v>
      </c>
      <c r="F1711" s="3" t="str">
        <v>Iya</v>
      </c>
      <c r="G1711" s="4">
        <v>45919</v>
      </c>
      <c r="H1711" s="10">
        <v>14397</v>
      </c>
    </row>
    <row r="1712" spans="1:8">
      <c r="A1712" s="3">
        <v>1711</v>
      </c>
      <c r="B1712" s="4">
        <v>46013.445462962962</v>
      </c>
      <c r="C1712" s="5" t="str">
        <v>DAIHATSU GRANMAX PU AC PS 1.5 M/T</v>
      </c>
      <c r="D1712" s="5" t="str">
        <v>B7710PP</v>
      </c>
      <c r="E1712" s="10">
        <v>71400</v>
      </c>
      <c r="F1712" s="3" t="str">
        <v>Iya</v>
      </c>
      <c r="G1712" s="4">
        <v>45994</v>
      </c>
      <c r="H1712" s="10">
        <v>71400</v>
      </c>
    </row>
    <row r="1713" spans="1:8">
      <c r="A1713" s="3">
        <v>1712</v>
      </c>
      <c r="B1713" s="4">
        <v>46013.447939814818</v>
      </c>
      <c r="C1713" s="5" t="str">
        <v>PICK UP TRAGA 2.5 4X2 MT D M/T</v>
      </c>
      <c r="D1713" s="5" t="str">
        <v>D3684CE</v>
      </c>
      <c r="E1713" s="10">
        <v>94758</v>
      </c>
      <c r="F1713" s="3" t="str">
        <v>Iya</v>
      </c>
      <c r="G1713" s="4">
        <v>46013</v>
      </c>
      <c r="H1713" s="10">
        <v>94758</v>
      </c>
    </row>
    <row r="1714" spans="1:8">
      <c r="A1714" s="3">
        <v>1713</v>
      </c>
      <c r="B1714" s="4">
        <v>46013.448113425933</v>
      </c>
      <c r="C1714" s="5" t="str">
        <v>DAIHATSU GRANMAX PU AC PS 1.5 M/T</v>
      </c>
      <c r="D1714" s="5" t="str">
        <v>B8857PYD</v>
      </c>
      <c r="E1714" s="10">
        <v>11646</v>
      </c>
      <c r="F1714" s="3" t="str">
        <v>Iya</v>
      </c>
      <c r="G1714" s="4">
        <v>45994</v>
      </c>
      <c r="H1714" s="10">
        <v>11646</v>
      </c>
    </row>
    <row r="1715" spans="1:8">
      <c r="A1715" s="3">
        <v>1714</v>
      </c>
      <c r="B1715" s="4">
        <v>46013.451354166667</v>
      </c>
      <c r="C1715" s="5" t="str">
        <v>DAIHATSU GRANMAX PU AC PS 1.5 M/T</v>
      </c>
      <c r="D1715" s="5" t="str">
        <v>B9912VG</v>
      </c>
      <c r="E1715" s="10">
        <v>110519</v>
      </c>
      <c r="F1715" s="3" t="str">
        <v>Iya</v>
      </c>
      <c r="G1715" s="4">
        <v>45918</v>
      </c>
      <c r="H1715" s="10">
        <v>110519</v>
      </c>
    </row>
    <row r="1716" spans="1:8">
      <c r="A1716" s="3">
        <v>1715</v>
      </c>
      <c r="B1716" s="4">
        <v>46013.451990740738</v>
      </c>
      <c r="C1716" s="5" t="str">
        <v>PICK UP TRAGA 2.5 4X2 MT D M/T</v>
      </c>
      <c r="D1716" s="5" t="str">
        <v>KT2370AGQ</v>
      </c>
      <c r="E1716" s="10">
        <v>26999</v>
      </c>
      <c r="F1716" s="3" t="str">
        <v>Iya</v>
      </c>
      <c r="G1716" s="4">
        <v>45889</v>
      </c>
      <c r="H1716" s="10">
        <v>26999</v>
      </c>
    </row>
    <row r="1717" spans="1:8">
      <c r="A1717" s="3">
        <v>1716</v>
      </c>
      <c r="B1717" s="4">
        <v>46013.453125</v>
      </c>
      <c r="C1717" s="5" t="str">
        <v>DAIHATSU GRANMAX PU AC PS 1.5 M/T</v>
      </c>
      <c r="D1717" s="5" t="str">
        <v>B1799MW</v>
      </c>
      <c r="E1717" s="10">
        <v>794</v>
      </c>
      <c r="F1717" s="3" t="str">
        <v>Iya</v>
      </c>
      <c r="G1717" s="4">
        <v>45974</v>
      </c>
      <c r="H1717" s="10">
        <v>794</v>
      </c>
    </row>
    <row r="1718" spans="1:8">
      <c r="A1718" s="3">
        <v>1717</v>
      </c>
      <c r="B1718" s="4">
        <v>46013.455092592587</v>
      </c>
      <c r="C1718" s="5" t="str">
        <v>Daihatsu Xenia (Badan)</v>
      </c>
      <c r="D1718" s="5" t="str">
        <v>B4474RVI</v>
      </c>
      <c r="E1718" s="10">
        <v>61625</v>
      </c>
      <c r="F1718" s="3" t="str">
        <v>Iya</v>
      </c>
      <c r="G1718" s="4">
        <v>45897</v>
      </c>
      <c r="H1718" s="10">
        <v>61625</v>
      </c>
    </row>
    <row r="1719" spans="1:8">
      <c r="A1719" s="3">
        <v>1718</v>
      </c>
      <c r="B1719" s="4">
        <v>46013.455312500002</v>
      </c>
      <c r="C1719" s="5" t="str">
        <v>PICK UP TRAGA 2.5 4X2 MT D M/T</v>
      </c>
      <c r="D1719" s="5" t="str">
        <v>B3553JC</v>
      </c>
      <c r="E1719" s="10">
        <v>27720</v>
      </c>
      <c r="F1719" s="3" t="str">
        <v>Iya</v>
      </c>
      <c r="G1719" s="4">
        <v>45995</v>
      </c>
      <c r="H1719" s="10">
        <v>27720</v>
      </c>
    </row>
    <row r="1720" spans="1:8">
      <c r="A1720" s="3">
        <v>1719</v>
      </c>
      <c r="B1720" s="4">
        <v>46013.461921296293</v>
      </c>
      <c r="C1720" s="5" t="str">
        <v>DAIHATSU GRANMAX PU AC PS 1.5 M/T</v>
      </c>
      <c r="D1720" s="5" t="str">
        <v>B7154RP</v>
      </c>
      <c r="E1720" s="10">
        <v>52799</v>
      </c>
      <c r="F1720" s="3" t="str">
        <v>Iya</v>
      </c>
      <c r="G1720" s="4">
        <v>45909</v>
      </c>
      <c r="H1720" s="10">
        <v>52799</v>
      </c>
    </row>
    <row r="1721" spans="1:8">
      <c r="A1721" s="3">
        <v>1720</v>
      </c>
      <c r="B1721" s="4">
        <v>46013.466273148151</v>
      </c>
      <c r="C1721" s="5" t="str">
        <v>DAIHATSU GRANMAX PU AC PS 1.5 M/T</v>
      </c>
      <c r="D1721" s="5" t="str">
        <v>B3553ILD</v>
      </c>
      <c r="E1721" s="10">
        <v>10443</v>
      </c>
      <c r="F1721" s="3" t="str">
        <v>Iya</v>
      </c>
      <c r="G1721" s="4">
        <v>45884</v>
      </c>
      <c r="H1721" s="10">
        <v>10443</v>
      </c>
    </row>
    <row r="1722" spans="1:8">
      <c r="A1722" s="3">
        <v>1721</v>
      </c>
      <c r="B1722" s="4">
        <v>46013.47488425926</v>
      </c>
      <c r="C1722" s="5" t="str">
        <v>DAIHATSU GRANMAX PU AC PS 1.5 M/T</v>
      </c>
      <c r="D1722" s="5" t="str">
        <v>D8044XW</v>
      </c>
      <c r="E1722" s="10">
        <v>558</v>
      </c>
      <c r="F1722" s="3" t="str">
        <v>Iya</v>
      </c>
      <c r="G1722" s="4">
        <v>45931</v>
      </c>
      <c r="H1722" s="10">
        <v>558</v>
      </c>
    </row>
    <row r="1723" spans="1:8">
      <c r="A1723" s="3">
        <v>1722</v>
      </c>
      <c r="B1723" s="4">
        <v>46013.47519675926</v>
      </c>
      <c r="C1723" s="5" t="str">
        <v>DAIHATSU GRANMAX PU AC PS 1.5 M/T</v>
      </c>
      <c r="D1723" s="5" t="str">
        <v>H6446RTB</v>
      </c>
      <c r="E1723" s="10">
        <v>17045</v>
      </c>
      <c r="F1723" s="3" t="str">
        <v>Iya</v>
      </c>
      <c r="G1723" s="4">
        <v>45962</v>
      </c>
      <c r="H1723" s="10">
        <v>17045</v>
      </c>
    </row>
    <row r="1724" spans="1:8">
      <c r="A1724" s="3">
        <v>1723</v>
      </c>
      <c r="B1724" s="4">
        <v>46013.479849537027</v>
      </c>
      <c r="C1724" s="5" t="str">
        <v>PICK UP TRAGA 2.5 4X2 MT D M/T</v>
      </c>
      <c r="D1724" s="5" t="str">
        <v>B4196MS</v>
      </c>
      <c r="E1724" s="10">
        <v>23880</v>
      </c>
      <c r="F1724" s="3" t="str">
        <v>Iya</v>
      </c>
      <c r="G1724" s="4">
        <v>45785</v>
      </c>
      <c r="H1724" s="10">
        <v>23880</v>
      </c>
    </row>
    <row r="1725" spans="1:8">
      <c r="A1725" s="3">
        <v>1724</v>
      </c>
      <c r="B1725" s="4">
        <v>46013.482557870368</v>
      </c>
      <c r="C1725" s="5" t="str">
        <v>PICK UP TRAGA 2.5 4X2 MT D M/T</v>
      </c>
      <c r="D1725" s="5" t="str">
        <v>B7759RV</v>
      </c>
      <c r="E1725" s="10">
        <v>6024</v>
      </c>
      <c r="F1725" s="3" t="str">
        <v>Iya</v>
      </c>
      <c r="G1725" s="4">
        <v>46002</v>
      </c>
      <c r="H1725" s="10">
        <v>6024</v>
      </c>
    </row>
    <row r="1726" spans="1:8">
      <c r="A1726" s="3">
        <v>1725</v>
      </c>
      <c r="B1726" s="4">
        <v>46013.487129629633</v>
      </c>
      <c r="C1726" s="5" t="str">
        <v>DAIHATSU GRANMAX PU AC PS 1.5 M/T</v>
      </c>
      <c r="D1726" s="5" t="str">
        <v>B5628US</v>
      </c>
      <c r="E1726" s="10">
        <v>1820</v>
      </c>
      <c r="F1726" s="3" t="str">
        <v>Iya</v>
      </c>
      <c r="G1726" s="4">
        <v>46006</v>
      </c>
      <c r="H1726" s="10">
        <v>1820</v>
      </c>
    </row>
    <row r="1727" spans="1:8">
      <c r="A1727" s="3">
        <v>1726</v>
      </c>
      <c r="B1727" s="4">
        <v>46013.48814814815</v>
      </c>
      <c r="C1727" s="5" t="str">
        <v>DAIHATSU GRANMAX PU AC PS 1.5 M/T</v>
      </c>
      <c r="D1727" s="5" t="str">
        <v>B7792TX</v>
      </c>
      <c r="E1727" s="10">
        <v>52391</v>
      </c>
      <c r="F1727" s="3" t="str">
        <v>Iya</v>
      </c>
      <c r="G1727" s="4">
        <v>45825</v>
      </c>
      <c r="H1727" s="10">
        <v>52391</v>
      </c>
    </row>
    <row r="1728" spans="1:8">
      <c r="A1728" s="3">
        <v>1727</v>
      </c>
      <c r="B1728" s="4">
        <v>46013.490856481483</v>
      </c>
      <c r="C1728" s="5" t="str">
        <v>DAIHATSU GRANMAX PU AC PS 1.5 M/T</v>
      </c>
      <c r="D1728" s="5" t="str">
        <v>B6193SD</v>
      </c>
      <c r="E1728" s="10">
        <v>14557</v>
      </c>
      <c r="F1728" s="3" t="str">
        <v>Iya</v>
      </c>
      <c r="G1728" s="4">
        <v>45896</v>
      </c>
      <c r="H1728" s="10">
        <v>14557</v>
      </c>
    </row>
    <row r="1729" spans="1:8">
      <c r="A1729" s="3">
        <v>1728</v>
      </c>
      <c r="B1729" s="4">
        <v>46013.495775462958</v>
      </c>
      <c r="C1729" s="5" t="str">
        <v>DAIHATSU GRANMAX PU AC PS 1.5 M/T</v>
      </c>
      <c r="D1729" s="5" t="str">
        <v>B7129LP</v>
      </c>
      <c r="E1729" s="10">
        <v>903</v>
      </c>
      <c r="F1729" s="3" t="str">
        <v>Iya</v>
      </c>
      <c r="G1729" s="4">
        <v>46013</v>
      </c>
      <c r="H1729" s="10">
        <v>903</v>
      </c>
    </row>
    <row r="1730" spans="1:8">
      <c r="A1730" s="3">
        <v>1729</v>
      </c>
      <c r="B1730" s="4">
        <v>46013.498738425929</v>
      </c>
      <c r="C1730" s="5" t="str">
        <v>DAIHATSU GRANMAX PU AC PS 1.5 M/T</v>
      </c>
      <c r="D1730" s="5" t="str">
        <v>DD8835VA</v>
      </c>
      <c r="E1730" s="10">
        <v>8268</v>
      </c>
      <c r="F1730" s="3" t="str">
        <v>Iya</v>
      </c>
      <c r="G1730" s="4">
        <v>45973</v>
      </c>
      <c r="H1730" s="10">
        <v>8268</v>
      </c>
    </row>
    <row r="1731" spans="1:8">
      <c r="A1731" s="3">
        <v>1730</v>
      </c>
      <c r="B1731" s="4">
        <v>46013.499513888892</v>
      </c>
      <c r="C1731" s="5" t="str">
        <v>PICK UP TRAGA 2.5 4X2 MT D M/T</v>
      </c>
      <c r="D1731" s="5" t="str">
        <v>B5623MA</v>
      </c>
      <c r="E1731" s="10">
        <v>4010</v>
      </c>
      <c r="F1731" s="3" t="str">
        <v>Iya</v>
      </c>
      <c r="G1731" s="4">
        <v>46002</v>
      </c>
      <c r="H1731" s="10">
        <v>4010</v>
      </c>
    </row>
    <row r="1732" spans="1:8">
      <c r="A1732" s="3">
        <v>1731</v>
      </c>
      <c r="B1732" s="4">
        <v>46013.503206018519</v>
      </c>
      <c r="C1732" s="5" t="str">
        <v>Daihatsu Xenia (Badan)</v>
      </c>
      <c r="D1732" s="5" t="str">
        <v>B9679AL</v>
      </c>
      <c r="E1732" s="10">
        <v>61431</v>
      </c>
      <c r="F1732" s="3" t="str">
        <v>Iya</v>
      </c>
      <c r="G1732" s="4">
        <v>45944</v>
      </c>
      <c r="H1732" s="10">
        <v>61431</v>
      </c>
    </row>
    <row r="1733" spans="1:8">
      <c r="A1733" s="3">
        <v>1732</v>
      </c>
      <c r="B1733" s="4">
        <v>46013.505613425928</v>
      </c>
      <c r="C1733" s="5" t="str">
        <v>DAIHATSU GRANMAX PU AC PS 1.5 M/T</v>
      </c>
      <c r="D1733" s="5" t="str">
        <v>B6341YY</v>
      </c>
      <c r="E1733" s="10">
        <v>36122</v>
      </c>
      <c r="F1733" s="3" t="str">
        <v>Iya</v>
      </c>
      <c r="G1733" s="4">
        <v>45962</v>
      </c>
      <c r="H1733" s="10">
        <v>36122</v>
      </c>
    </row>
    <row r="1734" spans="1:8">
      <c r="A1734" s="3">
        <v>1733</v>
      </c>
      <c r="B1734" s="4">
        <v>46013.509166666663</v>
      </c>
      <c r="C1734" s="5" t="str">
        <v>DAIHATSU GRANMAX PU AC PS 1.5 M/T</v>
      </c>
      <c r="D1734" s="5" t="str">
        <v>B8269XJ</v>
      </c>
      <c r="E1734" s="10">
        <v>27354</v>
      </c>
      <c r="F1734" s="3" t="str">
        <v>Iya</v>
      </c>
      <c r="G1734" s="4">
        <v>45810</v>
      </c>
      <c r="H1734" s="10">
        <v>27354</v>
      </c>
    </row>
    <row r="1735" spans="1:8">
      <c r="A1735" s="3">
        <v>1734</v>
      </c>
      <c r="B1735" s="4">
        <v>46013.511979166673</v>
      </c>
      <c r="C1735" s="5" t="str">
        <v>PICK UP TRAGA 2.5 4X2 MT D M/T</v>
      </c>
      <c r="D1735" s="5" t="str">
        <v>B3406ZUA</v>
      </c>
      <c r="E1735" s="10">
        <v>61465</v>
      </c>
      <c r="F1735" s="3" t="str">
        <v>Iya</v>
      </c>
      <c r="G1735" s="4">
        <v>45938</v>
      </c>
      <c r="H1735" s="10">
        <v>61465</v>
      </c>
    </row>
    <row r="1736" spans="1:8">
      <c r="A1736" s="3">
        <v>1735</v>
      </c>
      <c r="B1736" s="4">
        <v>46013.513078703712</v>
      </c>
      <c r="C1736" s="5" t="str">
        <v>PICK UP TRAGA 2.5 4X2 MT D M/T</v>
      </c>
      <c r="D1736" s="5" t="str">
        <v>B3507YER</v>
      </c>
      <c r="E1736" s="10">
        <v>41163</v>
      </c>
      <c r="F1736" s="3" t="str">
        <v>Iya</v>
      </c>
      <c r="G1736" s="4">
        <v>46008</v>
      </c>
      <c r="H1736" s="10">
        <v>41163</v>
      </c>
    </row>
    <row r="1737" spans="1:8">
      <c r="A1737" s="3">
        <v>1736</v>
      </c>
      <c r="B1737" s="4">
        <v>46013.526342592602</v>
      </c>
      <c r="C1737" s="5" t="str">
        <v>DAIHATSU GRANMAX PU AC PS 1.5 M/T</v>
      </c>
      <c r="D1737" s="5" t="str">
        <v>B9712CQ</v>
      </c>
      <c r="E1737" s="10">
        <v>27624</v>
      </c>
      <c r="F1737" s="3" t="str">
        <v>Iya</v>
      </c>
      <c r="G1737" s="4">
        <v>45903</v>
      </c>
      <c r="H1737" s="10">
        <v>27624</v>
      </c>
    </row>
    <row r="1738" spans="1:8">
      <c r="A1738" s="3">
        <v>1737</v>
      </c>
      <c r="B1738" s="4">
        <v>46013.530601851853</v>
      </c>
      <c r="C1738" s="5" t="str">
        <v>DAIHATSU GRANMAX PU AC PS 1.5 M/T</v>
      </c>
      <c r="D1738" s="5" t="str">
        <v>B8474IXR</v>
      </c>
      <c r="E1738" s="10">
        <v>19365</v>
      </c>
      <c r="F1738" s="3" t="str">
        <v>Iya</v>
      </c>
      <c r="G1738" s="4">
        <v>45943</v>
      </c>
      <c r="H1738" s="10">
        <v>19365</v>
      </c>
    </row>
    <row r="1739" spans="1:8">
      <c r="A1739" s="3">
        <v>1738</v>
      </c>
      <c r="B1739" s="4">
        <v>46013.538217592592</v>
      </c>
      <c r="C1739" s="5" t="str">
        <v>DAIHATSU GRANMAX PU AC PS 1.5 M/T</v>
      </c>
      <c r="D1739" s="5" t="str">
        <v>B8132XW</v>
      </c>
      <c r="E1739" s="10">
        <v>38500</v>
      </c>
      <c r="F1739" s="3" t="str">
        <v>Iya</v>
      </c>
      <c r="G1739" s="4">
        <v>45927</v>
      </c>
      <c r="H1739" s="10">
        <v>38500</v>
      </c>
    </row>
    <row r="1740" spans="1:8">
      <c r="A1740" s="3">
        <v>1739</v>
      </c>
      <c r="B1740" s="4">
        <v>46013.54859953704</v>
      </c>
      <c r="C1740" s="5" t="str">
        <v>PICK UP TRAGA 2.5 4X2 MT D M/T</v>
      </c>
      <c r="D1740" s="5" t="str">
        <v>B8491EZ</v>
      </c>
      <c r="E1740" s="10">
        <v>17174</v>
      </c>
      <c r="F1740" s="3" t="str">
        <v>Iya</v>
      </c>
      <c r="G1740" s="4">
        <v>45812</v>
      </c>
      <c r="H1740" s="10">
        <v>17174</v>
      </c>
    </row>
    <row r="1741" spans="1:8">
      <c r="A1741" s="3">
        <v>1740</v>
      </c>
      <c r="B1741" s="4">
        <v>46013.552361111113</v>
      </c>
      <c r="C1741" s="5" t="str">
        <v>DAIHATSU GRANMAX PU AC PS 1.5 M/T</v>
      </c>
      <c r="D1741" s="5" t="str">
        <v>KT8120IVX</v>
      </c>
      <c r="E1741" s="10">
        <v>9759</v>
      </c>
      <c r="F1741" s="3" t="str">
        <v>Iya</v>
      </c>
      <c r="G1741" s="4">
        <v>45972</v>
      </c>
      <c r="H1741" s="10">
        <v>9759</v>
      </c>
    </row>
    <row r="1742" spans="1:8">
      <c r="A1742" s="3">
        <v>1741</v>
      </c>
      <c r="B1742" s="4">
        <v>46013.557951388888</v>
      </c>
      <c r="C1742" s="5" t="str">
        <v>PICK UP TRAGA 2.5 4X2 MT D M/T</v>
      </c>
      <c r="D1742" s="5" t="str">
        <v>B6191JQ</v>
      </c>
      <c r="E1742" s="10">
        <v>85805</v>
      </c>
      <c r="F1742" s="3" t="str">
        <v>Iya</v>
      </c>
      <c r="G1742" s="4">
        <v>46004</v>
      </c>
      <c r="H1742" s="10">
        <v>85805</v>
      </c>
    </row>
    <row r="1743" spans="1:8">
      <c r="A1743" s="3">
        <v>1742</v>
      </c>
      <c r="B1743" s="4">
        <v>46013.565798611111</v>
      </c>
      <c r="C1743" s="5" t="str">
        <v>DAIHATSU GRANMAX PU AC PS 1.5 M/T</v>
      </c>
      <c r="D1743" s="5" t="str">
        <v>D9140HC</v>
      </c>
      <c r="E1743" s="10">
        <v>2016</v>
      </c>
      <c r="F1743" s="3" t="str">
        <v>Iya</v>
      </c>
      <c r="G1743" s="4">
        <v>45814</v>
      </c>
      <c r="H1743" s="10">
        <v>2016</v>
      </c>
    </row>
    <row r="1744" spans="1:8">
      <c r="A1744" s="3">
        <v>1743</v>
      </c>
      <c r="B1744" s="4">
        <v>46013.584537037037</v>
      </c>
      <c r="C1744" s="5" t="str">
        <v>PICK UP TRAGA 2.5 4X2 MT D M/T</v>
      </c>
      <c r="D1744" s="5" t="str">
        <v>B7915GBS</v>
      </c>
      <c r="E1744" s="10">
        <v>51044</v>
      </c>
      <c r="F1744" s="3" t="str">
        <v>Iya</v>
      </c>
      <c r="G1744" s="4">
        <v>45876</v>
      </c>
      <c r="H1744" s="10">
        <v>51044</v>
      </c>
    </row>
    <row r="1745" spans="1:8">
      <c r="A1745" s="3">
        <v>1744</v>
      </c>
      <c r="B1745" s="4">
        <v>46013.589178240742</v>
      </c>
      <c r="C1745" s="5" t="str">
        <v>PICK UP TRAGA 2.5 4X2 MT D M/T</v>
      </c>
      <c r="D1745" s="5" t="str">
        <v>B2293BCX</v>
      </c>
      <c r="E1745" s="10">
        <v>11109</v>
      </c>
      <c r="F1745" s="3" t="str">
        <v>Iya</v>
      </c>
      <c r="G1745" s="4">
        <v>46013</v>
      </c>
      <c r="H1745" s="10">
        <v>11109</v>
      </c>
    </row>
    <row r="1746" spans="1:8">
      <c r="A1746" s="3">
        <v>1745</v>
      </c>
      <c r="B1746" s="4">
        <v>46013.59107638889</v>
      </c>
      <c r="C1746" s="5" t="str">
        <v>DAIHATSU GRANMAX PU AC PS 1.5 M/T</v>
      </c>
      <c r="D1746" s="5" t="str">
        <v>B2047SQ</v>
      </c>
      <c r="E1746" s="10">
        <v>43808</v>
      </c>
      <c r="F1746" s="3" t="str">
        <v>Iya</v>
      </c>
      <c r="G1746" s="4">
        <v>45981</v>
      </c>
      <c r="H1746" s="10">
        <v>43808</v>
      </c>
    </row>
    <row r="1747" spans="1:8">
      <c r="A1747" s="3">
        <v>1746</v>
      </c>
      <c r="B1747" s="4">
        <v>46013.594050925924</v>
      </c>
      <c r="C1747" s="5" t="str">
        <v>PICK UP TRAGA 2.5 4X2 MT D M/T</v>
      </c>
      <c r="D1747" s="5" t="str">
        <v>B2705EA</v>
      </c>
      <c r="E1747" s="10">
        <v>46523</v>
      </c>
      <c r="F1747" s="3" t="str">
        <v>Iya</v>
      </c>
      <c r="G1747" s="4">
        <v>45995</v>
      </c>
      <c r="H1747" s="10">
        <v>46523</v>
      </c>
    </row>
    <row r="1748" spans="1:8">
      <c r="A1748" s="3">
        <v>1747</v>
      </c>
      <c r="B1748" s="4">
        <v>46013.599710648137</v>
      </c>
      <c r="C1748" s="5" t="str">
        <v>DAIHATSU GRANMAX PU AC PS 1.5 M/T</v>
      </c>
      <c r="D1748" s="5" t="str">
        <v>B8613WYE</v>
      </c>
      <c r="E1748" s="10">
        <v>51666</v>
      </c>
      <c r="F1748" s="3" t="str">
        <v>Iya</v>
      </c>
      <c r="G1748" s="4">
        <v>45934</v>
      </c>
      <c r="H1748" s="10">
        <v>51666</v>
      </c>
    </row>
    <row r="1749" spans="1:8">
      <c r="A1749" s="3">
        <v>1748</v>
      </c>
      <c r="B1749" s="4">
        <v>46013.599733796298</v>
      </c>
      <c r="C1749" s="5" t="str">
        <v>DAIHATSU GRANMAX PU AC PS 1.5 M/T</v>
      </c>
      <c r="D1749" s="5" t="str">
        <v>H3059ZKJ</v>
      </c>
      <c r="E1749" s="10">
        <v>7392</v>
      </c>
      <c r="F1749" s="3" t="str">
        <v>Iya</v>
      </c>
      <c r="G1749" s="4">
        <v>45917</v>
      </c>
      <c r="H1749" s="10">
        <v>7392</v>
      </c>
    </row>
    <row r="1750" spans="1:8">
      <c r="A1750" s="3">
        <v>1749</v>
      </c>
      <c r="B1750" s="4">
        <v>46013.603344907409</v>
      </c>
      <c r="C1750" s="5" t="str">
        <v>Daihatsu Xenia (Badan)</v>
      </c>
      <c r="D1750" s="5" t="str">
        <v>B9619FMM</v>
      </c>
      <c r="E1750" s="10">
        <v>70086</v>
      </c>
      <c r="F1750" s="3" t="str">
        <v>Iya</v>
      </c>
      <c r="G1750" s="4">
        <v>45937</v>
      </c>
      <c r="H1750" s="10">
        <v>70086</v>
      </c>
    </row>
    <row r="1751" spans="1:8">
      <c r="A1751" s="3">
        <v>1750</v>
      </c>
      <c r="B1751" s="4">
        <v>46013.604039351849</v>
      </c>
      <c r="C1751" s="5" t="str">
        <v>PICK UP TRAGA 2.5 4X2 MT D M/T</v>
      </c>
      <c r="D1751" s="5" t="str">
        <v>B6882KT</v>
      </c>
      <c r="E1751" s="10">
        <v>66002</v>
      </c>
      <c r="F1751" s="3" t="str">
        <v>Iya</v>
      </c>
      <c r="G1751" s="4">
        <v>45982</v>
      </c>
      <c r="H1751" s="10">
        <v>66002</v>
      </c>
    </row>
    <row r="1752" spans="1:8">
      <c r="A1752" s="3">
        <v>1751</v>
      </c>
      <c r="B1752" s="4">
        <v>46013.619351851848</v>
      </c>
      <c r="C1752" s="5" t="str">
        <v>PICK UP TRAGA 2.5 4X2 MT D M/T</v>
      </c>
      <c r="D1752" s="5" t="str">
        <v>BE6556LIU</v>
      </c>
      <c r="E1752" s="10">
        <v>23800</v>
      </c>
      <c r="F1752" s="3" t="str">
        <v>Iya</v>
      </c>
      <c r="G1752" s="4">
        <v>45999</v>
      </c>
      <c r="H1752" s="10">
        <v>23800</v>
      </c>
    </row>
    <row r="1753" spans="1:8">
      <c r="A1753" s="3">
        <v>1752</v>
      </c>
      <c r="B1753" s="4">
        <v>46013.620486111111</v>
      </c>
      <c r="C1753" s="5" t="str">
        <v>DAIHATSU GRANMAX PU AC PS 1.5 M/T</v>
      </c>
      <c r="D1753" s="5" t="str">
        <v>B5592QL</v>
      </c>
      <c r="E1753" s="10">
        <v>54291</v>
      </c>
      <c r="F1753" s="3" t="str">
        <v>Iya</v>
      </c>
      <c r="G1753" s="4">
        <v>45883</v>
      </c>
      <c r="H1753" s="10">
        <v>54291</v>
      </c>
    </row>
    <row r="1754" spans="1:8">
      <c r="A1754" s="3">
        <v>1753</v>
      </c>
      <c r="B1754" s="4">
        <v>46013.623182870368</v>
      </c>
      <c r="C1754" s="5" t="str">
        <v>DAIHATSU GRANMAX PU AC PS 1.5 M/T</v>
      </c>
      <c r="D1754" s="5" t="str">
        <v>B3556KY</v>
      </c>
      <c r="E1754" s="10">
        <v>5372</v>
      </c>
      <c r="F1754" s="3" t="str">
        <v>Iya</v>
      </c>
      <c r="G1754" s="4">
        <v>45930</v>
      </c>
      <c r="H1754" s="10">
        <v>5372</v>
      </c>
    </row>
    <row r="1755" spans="1:8">
      <c r="A1755" s="3">
        <v>1754</v>
      </c>
      <c r="B1755" s="4">
        <v>46013.64</v>
      </c>
      <c r="C1755" s="5" t="str">
        <v>DAIHATSU GRANMAX PU AC PS 1.5 M/T</v>
      </c>
      <c r="D1755" s="5" t="str">
        <v>B7655IV</v>
      </c>
      <c r="E1755" s="10">
        <v>2247</v>
      </c>
      <c r="F1755" s="3" t="str">
        <v>Iya</v>
      </c>
      <c r="G1755" s="4">
        <v>46013</v>
      </c>
      <c r="H1755" s="10">
        <v>2247</v>
      </c>
    </row>
    <row r="1756" spans="1:8">
      <c r="A1756" s="3">
        <v>1755</v>
      </c>
      <c r="B1756" s="4">
        <v>46013.655069444438</v>
      </c>
      <c r="C1756" s="5" t="str">
        <v>DAIHATSU GRANMAX PU AC PS 1.5 M/T</v>
      </c>
      <c r="D1756" s="5" t="str">
        <v>B8069JR</v>
      </c>
      <c r="E1756" s="10">
        <v>96665</v>
      </c>
      <c r="F1756" s="3" t="str">
        <v>Iya</v>
      </c>
      <c r="G1756" s="4">
        <v>46008</v>
      </c>
      <c r="H1756" s="10">
        <v>96665</v>
      </c>
    </row>
    <row r="1757" spans="1:8">
      <c r="A1757" s="3">
        <v>1756</v>
      </c>
      <c r="B1757" s="4">
        <v>46013.661770833343</v>
      </c>
      <c r="C1757" s="5" t="str">
        <v>DAIHATSU GRANMAX PU AC PS 1.5 M/T</v>
      </c>
      <c r="D1757" s="5" t="str">
        <v>B7162IV</v>
      </c>
      <c r="E1757" s="10">
        <v>14</v>
      </c>
      <c r="F1757" s="3" t="str">
        <v>Iya</v>
      </c>
      <c r="G1757" s="4">
        <v>45915</v>
      </c>
      <c r="H1757" s="10">
        <v>14</v>
      </c>
    </row>
    <row r="1758" spans="1:8">
      <c r="A1758" s="3">
        <v>1757</v>
      </c>
      <c r="B1758" s="4">
        <v>46013.663553240738</v>
      </c>
      <c r="C1758" s="5" t="str">
        <v>DAIHATSU GRANMAX PU AC PS 1.5 M/T</v>
      </c>
      <c r="D1758" s="5" t="str">
        <v>B1827DA</v>
      </c>
      <c r="E1758" s="10">
        <v>28853</v>
      </c>
      <c r="F1758" s="3" t="str">
        <v>Iya</v>
      </c>
      <c r="G1758" s="4">
        <v>45947</v>
      </c>
      <c r="H1758" s="10">
        <v>28853</v>
      </c>
    </row>
    <row r="1759" spans="1:8">
      <c r="A1759" s="3">
        <v>1758</v>
      </c>
      <c r="B1759" s="4">
        <v>46013.666354166657</v>
      </c>
      <c r="C1759" s="5" t="str">
        <v>DAIHATSU GRANMAX PU AC PS 1.5 M/T</v>
      </c>
      <c r="D1759" s="5" t="str">
        <v>B2401EI</v>
      </c>
      <c r="E1759" s="10">
        <v>63171</v>
      </c>
      <c r="F1759" s="3" t="str">
        <v>Iya</v>
      </c>
      <c r="G1759" s="4">
        <v>46008</v>
      </c>
      <c r="H1759" s="10">
        <v>63171</v>
      </c>
    </row>
    <row r="1760" spans="1:8">
      <c r="A1760" s="3">
        <v>1759</v>
      </c>
      <c r="B1760" s="4">
        <v>46013.668530092589</v>
      </c>
      <c r="C1760" s="5" t="str">
        <v>DAIHATSU GRANMAX PU AC PS 1.5 M/T</v>
      </c>
      <c r="D1760" s="5" t="str">
        <v>B9244VW</v>
      </c>
      <c r="E1760" s="10">
        <v>16618</v>
      </c>
      <c r="F1760" s="3" t="str">
        <v>Iya</v>
      </c>
      <c r="G1760" s="4">
        <v>45823</v>
      </c>
      <c r="H1760" s="10">
        <v>16618</v>
      </c>
    </row>
    <row r="1761" spans="1:8">
      <c r="A1761" s="3">
        <v>1760</v>
      </c>
      <c r="B1761" s="4">
        <v>46013.680636574078</v>
      </c>
      <c r="C1761" s="5" t="str">
        <v>PICK UP TRAGA 2.5 4X2 MT D M/T</v>
      </c>
      <c r="D1761" s="5" t="str">
        <v>KT5059PV</v>
      </c>
      <c r="E1761" s="10">
        <v>8188</v>
      </c>
      <c r="F1761" s="3" t="str">
        <v>Iya</v>
      </c>
      <c r="G1761" s="4">
        <v>45993</v>
      </c>
      <c r="H1761" s="10">
        <v>8188</v>
      </c>
    </row>
    <row r="1762" spans="1:8">
      <c r="A1762" s="3">
        <v>1761</v>
      </c>
      <c r="B1762" s="4">
        <v>46013.693912037037</v>
      </c>
      <c r="C1762" s="5" t="str">
        <v>DAIHATSU GRANMAX PU AC PS 1.5 M/T</v>
      </c>
      <c r="D1762" s="5" t="str">
        <v>DD1709SU</v>
      </c>
      <c r="E1762" s="10">
        <v>33618</v>
      </c>
      <c r="F1762" s="3" t="str">
        <v>Iya</v>
      </c>
      <c r="G1762" s="4">
        <v>45986</v>
      </c>
      <c r="H1762" s="10">
        <v>33618</v>
      </c>
    </row>
    <row r="1763" spans="1:8">
      <c r="A1763" s="3">
        <v>1762</v>
      </c>
      <c r="B1763" s="4">
        <v>46013.699953703697</v>
      </c>
      <c r="C1763" s="5" t="str">
        <v>DAIHATSU GRANMAX PU AC PS 1.5 M/T</v>
      </c>
      <c r="D1763" s="5" t="str">
        <v>B1356KE</v>
      </c>
      <c r="E1763" s="10">
        <v>34034</v>
      </c>
      <c r="F1763" s="3" t="str">
        <v>Iya</v>
      </c>
      <c r="G1763" s="4">
        <v>45895</v>
      </c>
      <c r="H1763" s="10">
        <v>34034</v>
      </c>
    </row>
    <row r="1764" spans="1:8">
      <c r="A1764" s="3">
        <v>1763</v>
      </c>
      <c r="B1764" s="4">
        <v>46013.700694444437</v>
      </c>
      <c r="C1764" s="5" t="str">
        <v>PICK UP TRAGA 2.5 4X2 MT D M/T</v>
      </c>
      <c r="D1764" s="5" t="str">
        <v>B1075RA</v>
      </c>
      <c r="E1764" s="10">
        <v>49356</v>
      </c>
      <c r="F1764" s="3" t="str">
        <v>Iya</v>
      </c>
      <c r="G1764" s="4">
        <v>46013</v>
      </c>
      <c r="H1764" s="10">
        <v>49356</v>
      </c>
    </row>
    <row r="1765" spans="1:8">
      <c r="A1765" s="3">
        <v>1764</v>
      </c>
      <c r="B1765" s="4">
        <v>46013.723854166667</v>
      </c>
      <c r="C1765" s="5" t="str">
        <v>PICK UP TRAGA 2.5 4X2 MT D M/T</v>
      </c>
      <c r="D1765" s="5" t="str">
        <v>B6905PX</v>
      </c>
      <c r="E1765" s="10">
        <v>5860</v>
      </c>
      <c r="F1765" s="3" t="str">
        <v>Iya</v>
      </c>
      <c r="G1765" s="4">
        <v>45849</v>
      </c>
      <c r="H1765" s="10">
        <v>5860</v>
      </c>
    </row>
    <row r="1766" spans="1:8">
      <c r="A1766" s="3">
        <v>1765</v>
      </c>
      <c r="B1766" s="4">
        <v>46013.727581018517</v>
      </c>
      <c r="C1766" s="5" t="str">
        <v>DAIHATSU GRANMAX PU AC PS 1.5 M/T</v>
      </c>
      <c r="D1766" s="5" t="str">
        <v>B2325IRM</v>
      </c>
      <c r="E1766" s="10">
        <v>8116</v>
      </c>
      <c r="F1766" s="3" t="str">
        <v>Iya</v>
      </c>
      <c r="G1766" s="4">
        <v>45859</v>
      </c>
      <c r="H1766" s="10">
        <v>8116</v>
      </c>
    </row>
    <row r="1767" spans="1:8">
      <c r="A1767" s="3">
        <v>1766</v>
      </c>
      <c r="B1767" s="4">
        <v>46013.730254629627</v>
      </c>
      <c r="C1767" s="5" t="str">
        <v>PICK UP TRAGA 2.5 4X2 MT D M/T</v>
      </c>
      <c r="D1767" s="5" t="str">
        <v>B3079BPJ</v>
      </c>
      <c r="E1767" s="10">
        <v>50402</v>
      </c>
      <c r="F1767" s="3" t="str">
        <v>Iya</v>
      </c>
      <c r="G1767" s="4">
        <v>45889</v>
      </c>
      <c r="H1767" s="10">
        <v>50402</v>
      </c>
    </row>
    <row r="1768" spans="1:8">
      <c r="A1768" s="3">
        <v>1767</v>
      </c>
      <c r="B1768" s="4">
        <v>46013.731064814812</v>
      </c>
      <c r="C1768" s="5" t="str">
        <v>DAIHATSU GRANMAX PU AC PS 1.5 M/T</v>
      </c>
      <c r="D1768" s="5" t="str">
        <v>B3294MFT</v>
      </c>
      <c r="E1768" s="10">
        <v>1220</v>
      </c>
      <c r="F1768" s="3" t="str">
        <v>Iya</v>
      </c>
      <c r="G1768" s="4">
        <v>45995</v>
      </c>
      <c r="H1768" s="10">
        <v>1220</v>
      </c>
    </row>
    <row r="1769" spans="1:8">
      <c r="A1769" s="3">
        <v>1768</v>
      </c>
      <c r="B1769" s="4">
        <v>46013.73474537037</v>
      </c>
      <c r="C1769" s="5" t="str">
        <v>DAIHATSU GRANMAX PU AC PS 1.5 M/T</v>
      </c>
      <c r="D1769" s="5" t="str">
        <v>B4034IWU</v>
      </c>
      <c r="E1769" s="10">
        <v>30410</v>
      </c>
      <c r="F1769" s="3" t="str">
        <v>Iya</v>
      </c>
      <c r="G1769" s="4">
        <v>45885</v>
      </c>
      <c r="H1769" s="10">
        <v>30410</v>
      </c>
    </row>
    <row r="1770" spans="1:8">
      <c r="A1770" s="3">
        <v>1769</v>
      </c>
      <c r="B1770" s="4">
        <v>46013.744988425933</v>
      </c>
      <c r="C1770" s="5" t="str">
        <v>Daihatsu Xenia (Badan)</v>
      </c>
      <c r="D1770" s="5" t="str">
        <v>B9091PM</v>
      </c>
      <c r="E1770" s="10">
        <v>33759</v>
      </c>
      <c r="F1770" s="3" t="str">
        <v>Iya</v>
      </c>
      <c r="G1770" s="4">
        <v>45953</v>
      </c>
      <c r="H1770" s="10">
        <v>33759</v>
      </c>
    </row>
    <row r="1771" spans="1:8">
      <c r="A1771" s="3">
        <v>1770</v>
      </c>
      <c r="B1771" s="4">
        <v>46013.864560185182</v>
      </c>
      <c r="C1771" s="5" t="str">
        <v>DAIHATSU GRANMAX PU AC PS 1.5 M/T</v>
      </c>
      <c r="D1771" s="5" t="str">
        <v>B3345RM</v>
      </c>
      <c r="E1771" s="10">
        <v>108848</v>
      </c>
      <c r="F1771" s="3" t="str">
        <v>Iya</v>
      </c>
      <c r="G1771" s="4">
        <v>46004</v>
      </c>
      <c r="H1771" s="10">
        <v>108848</v>
      </c>
    </row>
    <row r="1772" spans="1:8">
      <c r="A1772" s="3">
        <v>1771</v>
      </c>
      <c r="B1772" s="4">
        <v>46014.355069444442</v>
      </c>
      <c r="C1772" s="5" t="str">
        <v>DAIHATSU GRANMAX PU AC PS 1.5 M/T</v>
      </c>
      <c r="D1772" s="5" t="str">
        <v>B9442MAL</v>
      </c>
      <c r="E1772" s="10">
        <v>19333</v>
      </c>
      <c r="F1772" s="3" t="str">
        <v>Iya</v>
      </c>
      <c r="G1772" s="4">
        <v>45825</v>
      </c>
      <c r="H1772" s="10">
        <v>19333</v>
      </c>
    </row>
    <row r="1773" spans="1:8">
      <c r="A1773" s="3">
        <v>1772</v>
      </c>
      <c r="B1773" s="4">
        <v>46014.357037037043</v>
      </c>
      <c r="C1773" s="5" t="str">
        <v>DAIHATSU GRANMAX PU AC PS 1.5 M/T</v>
      </c>
      <c r="D1773" s="5" t="str">
        <v>B7170IN</v>
      </c>
      <c r="E1773" s="10">
        <v>2848</v>
      </c>
      <c r="F1773" s="3" t="str">
        <v>Iya</v>
      </c>
      <c r="G1773" s="4">
        <v>45918</v>
      </c>
      <c r="H1773" s="10">
        <v>2848</v>
      </c>
    </row>
    <row r="1774" spans="1:8">
      <c r="A1774" s="3">
        <v>1773</v>
      </c>
      <c r="B1774" s="4">
        <v>46014.361944444441</v>
      </c>
      <c r="C1774" s="5" t="str">
        <v>DAIHATSU GRANMAX PU AC PS 1.5 M/T</v>
      </c>
      <c r="D1774" s="5" t="str">
        <v>B5918LZ</v>
      </c>
      <c r="E1774" s="10">
        <v>106558</v>
      </c>
      <c r="F1774" s="3" t="str">
        <v>Iya</v>
      </c>
      <c r="G1774" s="4">
        <v>45985</v>
      </c>
      <c r="H1774" s="10">
        <v>106558</v>
      </c>
    </row>
    <row r="1775" spans="1:8">
      <c r="A1775" s="3">
        <v>1774</v>
      </c>
      <c r="B1775" s="4">
        <v>46014.364571759259</v>
      </c>
      <c r="C1775" s="5" t="str">
        <v>PICK UP TRAGA 2.5 4X2 MT D M/T</v>
      </c>
      <c r="D1775" s="5" t="str">
        <v>DD9517BA</v>
      </c>
      <c r="E1775" s="10">
        <v>11274</v>
      </c>
      <c r="F1775" s="3" t="str">
        <v>Iya</v>
      </c>
      <c r="G1775" s="4">
        <v>46010</v>
      </c>
      <c r="H1775" s="10">
        <v>11274</v>
      </c>
    </row>
    <row r="1776" spans="1:8">
      <c r="A1776" s="3">
        <v>1775</v>
      </c>
      <c r="B1776" s="4">
        <v>46014.380196759259</v>
      </c>
      <c r="C1776" s="5" t="str">
        <v>DAIHATSU GRANMAX PU AC PS 1.5 M/T</v>
      </c>
      <c r="D1776" s="5" t="str">
        <v>B4786BT</v>
      </c>
      <c r="E1776" s="10">
        <v>26792</v>
      </c>
      <c r="F1776" s="3" t="str">
        <v>Iya</v>
      </c>
      <c r="G1776" s="4">
        <v>46012</v>
      </c>
      <c r="H1776" s="10">
        <v>26792</v>
      </c>
    </row>
    <row r="1777" spans="1:8">
      <c r="A1777" s="3">
        <v>1776</v>
      </c>
      <c r="B1777" s="4">
        <v>46014.390243055554</v>
      </c>
      <c r="C1777" s="5" t="str">
        <v>DAIHATSU GRANMAX PU AC PS 1.5 M/T</v>
      </c>
      <c r="D1777" s="5" t="str">
        <v>B1204ZZ</v>
      </c>
      <c r="E1777" s="10">
        <v>22867</v>
      </c>
      <c r="F1777" s="3" t="str">
        <v>Iya</v>
      </c>
      <c r="G1777" s="4">
        <v>45841</v>
      </c>
      <c r="H1777" s="10">
        <v>22867</v>
      </c>
    </row>
    <row r="1778" spans="1:8">
      <c r="A1778" s="3">
        <v>1777</v>
      </c>
      <c r="B1778" s="4">
        <v>46014.402499999997</v>
      </c>
      <c r="C1778" s="5" t="str">
        <v>DAIHATSU GRANMAX PU AC PS 1.5 M/T</v>
      </c>
      <c r="D1778" s="5" t="str">
        <v>B6871DFH</v>
      </c>
      <c r="E1778" s="10">
        <v>16771</v>
      </c>
      <c r="F1778" s="3" t="str">
        <v>Iya</v>
      </c>
      <c r="G1778" s="4">
        <v>45923</v>
      </c>
      <c r="H1778" s="10">
        <v>16771</v>
      </c>
    </row>
    <row r="1779" spans="1:8">
      <c r="A1779" s="3">
        <v>1778</v>
      </c>
      <c r="B1779" s="4">
        <v>46014.409236111111</v>
      </c>
      <c r="C1779" s="5" t="str">
        <v>PICK UP TRAGA 2.5 4X2 MT D M/T</v>
      </c>
      <c r="D1779" s="5" t="str">
        <v>B8311EZ</v>
      </c>
      <c r="E1779" s="10">
        <v>626</v>
      </c>
      <c r="F1779" s="3" t="str">
        <v>Iya</v>
      </c>
      <c r="G1779" s="4">
        <v>45992</v>
      </c>
      <c r="H1779" s="10">
        <v>626</v>
      </c>
    </row>
    <row r="1780" spans="1:8">
      <c r="A1780" s="3">
        <v>1779</v>
      </c>
      <c r="B1780" s="4">
        <v>46014.411689814813</v>
      </c>
      <c r="C1780" s="5" t="str">
        <v>DAIHATSU GRANMAX PU AC PS 1.5 M/T</v>
      </c>
      <c r="D1780" s="5" t="str">
        <v>B3566PD</v>
      </c>
      <c r="E1780" s="10">
        <v>11300</v>
      </c>
      <c r="F1780" s="3" t="str">
        <v>Iya</v>
      </c>
      <c r="G1780" s="4">
        <v>45995</v>
      </c>
      <c r="H1780" s="10">
        <v>11300</v>
      </c>
    </row>
    <row r="1781" spans="1:8">
      <c r="A1781" s="3">
        <v>1780</v>
      </c>
      <c r="B1781" s="4">
        <v>46014.414386574077</v>
      </c>
      <c r="C1781" s="5" t="str">
        <v>DAIHATSU GRANMAX PU AC PS 1.5 M/T</v>
      </c>
      <c r="D1781" s="5" t="str">
        <v>B5277IQ</v>
      </c>
      <c r="E1781" s="10">
        <v>47931</v>
      </c>
      <c r="F1781" s="3" t="str">
        <v>Iya</v>
      </c>
      <c r="G1781" s="4">
        <v>45964</v>
      </c>
      <c r="H1781" s="10">
        <v>47931</v>
      </c>
    </row>
    <row r="1782" spans="1:8">
      <c r="A1782" s="3">
        <v>1781</v>
      </c>
      <c r="B1782" s="4">
        <v>46014.4377662037</v>
      </c>
      <c r="C1782" s="5" t="str">
        <v>DAIHATSU GRANMAX PU AC PS 1.5 M/T</v>
      </c>
      <c r="D1782" s="5" t="str">
        <v>B5750IQ</v>
      </c>
      <c r="E1782" s="10">
        <v>49317</v>
      </c>
      <c r="F1782" s="3" t="str">
        <v>Iya</v>
      </c>
      <c r="G1782" s="4">
        <v>45913</v>
      </c>
      <c r="H1782" s="10">
        <v>49317</v>
      </c>
    </row>
    <row r="1783" spans="1:8">
      <c r="A1783" s="3">
        <v>1782</v>
      </c>
      <c r="B1783" s="4">
        <v>46014.59783564815</v>
      </c>
      <c r="C1783" s="5" t="str">
        <v>DAIHATSU GRANMAX PU AC PS 1.5 M/T</v>
      </c>
      <c r="D1783" s="5" t="str">
        <v>B6999PZ</v>
      </c>
      <c r="E1783" s="10">
        <v>22837</v>
      </c>
      <c r="F1783" s="3" t="str">
        <v>Iya</v>
      </c>
      <c r="G1783" s="4">
        <v>45861</v>
      </c>
      <c r="H1783" s="10">
        <v>22837</v>
      </c>
    </row>
    <row r="1784" spans="1:8">
      <c r="A1784" s="3">
        <v>1783</v>
      </c>
      <c r="B1784" s="4">
        <v>46014.623541666668</v>
      </c>
      <c r="C1784" s="5" t="str">
        <v>PICK UP TRAGA 2.5 4X2 MT D M/T</v>
      </c>
      <c r="D1784" s="5" t="str">
        <v>B4784VXS</v>
      </c>
      <c r="E1784" s="10">
        <v>76846</v>
      </c>
      <c r="F1784" s="3" t="str">
        <v>Iya</v>
      </c>
      <c r="G1784" s="4">
        <v>46000</v>
      </c>
      <c r="H1784" s="10">
        <v>76846</v>
      </c>
    </row>
    <row r="1785" spans="1:8">
      <c r="A1785" s="3">
        <v>1784</v>
      </c>
      <c r="B1785" s="4">
        <v>46014.625219907408</v>
      </c>
      <c r="C1785" s="5" t="str">
        <v>PICK UP TRAGA 2.5 4X2 MT D M/T</v>
      </c>
      <c r="D1785" s="5" t="str">
        <v>B8342NSJ</v>
      </c>
      <c r="E1785" s="10">
        <v>48354</v>
      </c>
      <c r="F1785" s="3" t="str">
        <v>Iya</v>
      </c>
      <c r="G1785" s="4">
        <v>45936</v>
      </c>
      <c r="H1785" s="10">
        <v>48354</v>
      </c>
    </row>
    <row r="1786" spans="1:8">
      <c r="A1786" s="3">
        <v>1785</v>
      </c>
      <c r="B1786" s="4">
        <v>46014.626574074071</v>
      </c>
      <c r="C1786" s="5" t="str">
        <v>DAIHATSU GRANMAX PU AC PS 1.5 M/T</v>
      </c>
      <c r="D1786" s="5" t="str">
        <v>KB9985GGA</v>
      </c>
      <c r="E1786" s="10">
        <v>14413</v>
      </c>
      <c r="F1786" s="3" t="str">
        <v>Iya</v>
      </c>
      <c r="G1786" s="4">
        <v>45937</v>
      </c>
      <c r="H1786" s="10">
        <v>14413</v>
      </c>
    </row>
    <row r="1787" spans="1:8">
      <c r="A1787" s="3">
        <v>1786</v>
      </c>
      <c r="B1787" s="4">
        <v>46014.632199074083</v>
      </c>
      <c r="C1787" s="5" t="str">
        <v>PICK UP TRAGA 2.5 4X2 MT D M/T</v>
      </c>
      <c r="D1787" s="5" t="str">
        <v>B4950DFS</v>
      </c>
      <c r="E1787" s="10">
        <v>339</v>
      </c>
      <c r="F1787" s="3" t="str">
        <v>Iya</v>
      </c>
      <c r="G1787" s="4">
        <v>45999</v>
      </c>
      <c r="H1787" s="10">
        <v>339</v>
      </c>
    </row>
    <row r="1788" spans="1:8">
      <c r="A1788" s="3">
        <v>1787</v>
      </c>
      <c r="B1788" s="4">
        <v>46014.65384259259</v>
      </c>
      <c r="C1788" s="5" t="str">
        <v>DAIHATSU GRANMAX PU AC PS 1.5 M/T</v>
      </c>
      <c r="D1788" s="5" t="str">
        <v>B9587WL</v>
      </c>
      <c r="E1788" s="10">
        <v>5254</v>
      </c>
      <c r="F1788" s="3" t="str">
        <v>Iya</v>
      </c>
      <c r="G1788" s="4">
        <v>45909</v>
      </c>
      <c r="H1788" s="10">
        <v>5254</v>
      </c>
    </row>
    <row r="1789" spans="1:8">
      <c r="A1789" s="3">
        <v>1788</v>
      </c>
      <c r="B1789" s="4">
        <v>46014.687349537038</v>
      </c>
      <c r="C1789" s="5" t="str">
        <v>PICK UP TRAGA 2.5 4X2 MT D M/T</v>
      </c>
      <c r="D1789" s="5" t="str">
        <v>B6013WGR</v>
      </c>
      <c r="E1789" s="10">
        <v>37296</v>
      </c>
      <c r="F1789" s="3" t="str">
        <v>Iya</v>
      </c>
      <c r="G1789" s="4">
        <v>45923</v>
      </c>
      <c r="H1789" s="10">
        <v>37296</v>
      </c>
    </row>
    <row r="1790" spans="1:8">
      <c r="A1790" s="3">
        <v>1789</v>
      </c>
      <c r="B1790" s="4">
        <v>46014.698101851849</v>
      </c>
      <c r="C1790" s="5" t="str">
        <v>PICK UP TRAGA 2.5 4X2 MT D M/T</v>
      </c>
      <c r="D1790" s="5" t="str">
        <v>B4162QMK</v>
      </c>
      <c r="E1790" s="10">
        <v>5979</v>
      </c>
      <c r="F1790" s="3" t="str">
        <v>Iya</v>
      </c>
      <c r="G1790" s="4">
        <v>45943</v>
      </c>
      <c r="H1790" s="10">
        <v>5979</v>
      </c>
    </row>
    <row r="1791" spans="1:8">
      <c r="A1791" s="3">
        <v>1790</v>
      </c>
      <c r="B1791" s="4">
        <v>46014.727372685193</v>
      </c>
      <c r="C1791" s="5" t="str">
        <v>PICK UP TRAGA 2.5 4X2 MT D M/T</v>
      </c>
      <c r="D1791" s="5" t="str">
        <v>B9187TB</v>
      </c>
      <c r="E1791" s="10">
        <v>25212</v>
      </c>
      <c r="F1791" s="3" t="str">
        <v>Iya</v>
      </c>
      <c r="G1791" s="4">
        <v>45982</v>
      </c>
      <c r="H1791" s="10">
        <v>25212</v>
      </c>
    </row>
    <row r="1792" spans="1:8">
      <c r="A1792" s="3">
        <v>1791</v>
      </c>
      <c r="B1792" s="4">
        <v>46014.769791666673</v>
      </c>
      <c r="C1792" s="5" t="str">
        <v>DAIHATSU GRANMAX PU AC PS 1.5 M/T</v>
      </c>
      <c r="D1792" s="5" t="str">
        <v>KB9990JIF</v>
      </c>
      <c r="E1792" s="10">
        <v>10259</v>
      </c>
      <c r="F1792" s="3" t="str">
        <v>Iya</v>
      </c>
      <c r="G1792" s="4">
        <v>45989</v>
      </c>
      <c r="H1792" s="10">
        <v>10259</v>
      </c>
    </row>
    <row r="1793" spans="1:8">
      <c r="A1793" s="3">
        <v>1792</v>
      </c>
      <c r="B1793" s="4">
        <v>46015.339988425927</v>
      </c>
      <c r="C1793" s="5" t="str">
        <v>DAIHATSU GRANMAX PU AC PS 1.5 M/T</v>
      </c>
      <c r="D1793" s="5" t="str">
        <v>B1960LKY</v>
      </c>
      <c r="E1793" s="10">
        <v>46540</v>
      </c>
      <c r="F1793" s="3" t="str">
        <v>Iya</v>
      </c>
      <c r="G1793" s="4">
        <v>45931</v>
      </c>
      <c r="H1793" s="10">
        <v>46540</v>
      </c>
    </row>
    <row r="1794" spans="1:8">
      <c r="A1794" s="3">
        <v>1793</v>
      </c>
      <c r="B1794" s="4">
        <v>46015.347314814811</v>
      </c>
      <c r="C1794" s="5" t="str">
        <v>DAIHATSU GRANMAX PU AC PS 1.5 M/T</v>
      </c>
      <c r="D1794" s="5" t="str">
        <v>H3815DXD</v>
      </c>
      <c r="E1794" s="10">
        <v>14209</v>
      </c>
      <c r="F1794" s="3" t="str">
        <v>Iya</v>
      </c>
      <c r="G1794" s="4">
        <v>45904</v>
      </c>
      <c r="H1794" s="10">
        <v>14209</v>
      </c>
    </row>
    <row r="1795" spans="1:8">
      <c r="A1795" s="3">
        <v>1794</v>
      </c>
      <c r="B1795" s="4">
        <v>46015.358356481483</v>
      </c>
      <c r="C1795" s="5" t="str">
        <v>DAIHATSU GRANMAX PU AC PS 1.5 M/T</v>
      </c>
      <c r="D1795" s="5" t="str">
        <v>B1455JPZ</v>
      </c>
      <c r="E1795" s="10">
        <v>9011</v>
      </c>
      <c r="F1795" s="3" t="str">
        <v>Iya</v>
      </c>
      <c r="G1795" s="4">
        <v>46014</v>
      </c>
      <c r="H1795" s="10">
        <v>9011</v>
      </c>
    </row>
    <row r="1796" spans="1:8">
      <c r="A1796" s="3">
        <v>1795</v>
      </c>
      <c r="B1796" s="4">
        <v>46015.372696759259</v>
      </c>
      <c r="C1796" s="5" t="str">
        <v>DAIHATSU GRANMAX PU AC PS 1.5 M/T</v>
      </c>
      <c r="D1796" s="5" t="str">
        <v>B7326IW</v>
      </c>
      <c r="E1796" s="10">
        <v>25231</v>
      </c>
      <c r="F1796" s="3" t="str">
        <v>Iya</v>
      </c>
      <c r="G1796" s="4">
        <v>45920</v>
      </c>
      <c r="H1796" s="10">
        <v>25231</v>
      </c>
    </row>
    <row r="1797" spans="1:8">
      <c r="A1797" s="3">
        <v>1796</v>
      </c>
      <c r="B1797" s="4">
        <v>46015.402453703697</v>
      </c>
      <c r="C1797" s="5" t="str">
        <v>DAIHATSU GRANMAX PU AC PS 1.5 M/T</v>
      </c>
      <c r="D1797" s="5" t="str">
        <v>B8385EAN</v>
      </c>
      <c r="E1797" s="10">
        <v>22513</v>
      </c>
      <c r="F1797" s="3" t="str">
        <v>Iya</v>
      </c>
      <c r="G1797" s="4">
        <v>45992</v>
      </c>
      <c r="H1797" s="10">
        <v>22513</v>
      </c>
    </row>
    <row r="1798" spans="1:8">
      <c r="A1798" s="3">
        <v>1797</v>
      </c>
      <c r="B1798" s="4">
        <v>46015.403460648151</v>
      </c>
      <c r="C1798" s="5" t="str">
        <v>PICK UP TRAGA 2.5 4X2 MT D M/T</v>
      </c>
      <c r="D1798" s="5" t="str">
        <v>B3431HDZ</v>
      </c>
      <c r="E1798" s="10">
        <v>27557</v>
      </c>
      <c r="F1798" s="3" t="str">
        <v>Iya</v>
      </c>
      <c r="G1798" s="4">
        <v>45946</v>
      </c>
      <c r="H1798" s="10">
        <v>27557</v>
      </c>
    </row>
    <row r="1799" spans="1:8">
      <c r="A1799" s="3">
        <v>1798</v>
      </c>
      <c r="B1799" s="4">
        <v>46015.430543981478</v>
      </c>
      <c r="C1799" s="5" t="str">
        <v>DAIHATSU GRANMAX PU AC PS 1.5 M/T</v>
      </c>
      <c r="D1799" s="5" t="str">
        <v>B7692UCT</v>
      </c>
      <c r="E1799" s="10">
        <v>10355</v>
      </c>
      <c r="F1799" s="3" t="str">
        <v>Iya</v>
      </c>
      <c r="G1799" s="4">
        <v>45827</v>
      </c>
      <c r="H1799" s="10">
        <v>10355</v>
      </c>
    </row>
    <row r="1800" spans="1:8">
      <c r="A1800" s="3">
        <v>1799</v>
      </c>
      <c r="B1800" s="4">
        <v>46015.440370370372</v>
      </c>
      <c r="C1800" s="5" t="str">
        <v>PICK UP TRAGA 2.5 4X2 MT D M/T</v>
      </c>
      <c r="D1800" s="5" t="str">
        <v>B2886XC</v>
      </c>
      <c r="E1800" s="10">
        <v>17051</v>
      </c>
      <c r="F1800" s="3" t="str">
        <v>Iya</v>
      </c>
      <c r="G1800" s="4">
        <v>45874</v>
      </c>
      <c r="H1800" s="10">
        <v>17051</v>
      </c>
    </row>
    <row r="1801" spans="1:8">
      <c r="A1801" s="3">
        <v>1800</v>
      </c>
      <c r="B1801" s="4">
        <v>46015.443148148152</v>
      </c>
      <c r="C1801" s="5" t="str">
        <v>PICK UP TRAGA 2.5 4X2 MT D M/T</v>
      </c>
      <c r="D1801" s="5" t="str">
        <v>DM4592XT</v>
      </c>
      <c r="E1801" s="10">
        <v>73056</v>
      </c>
      <c r="F1801" s="3" t="str">
        <v>Iya</v>
      </c>
      <c r="G1801" s="4">
        <v>45974</v>
      </c>
      <c r="H1801" s="10">
        <v>73056</v>
      </c>
    </row>
    <row r="1802" spans="1:8">
      <c r="A1802" s="3">
        <v>1801</v>
      </c>
      <c r="B1802" s="4">
        <v>46015.471319444441</v>
      </c>
      <c r="C1802" s="5" t="str">
        <v>DAIHATSU GRANMAX PU AC PS 1.5 M/T</v>
      </c>
      <c r="D1802" s="5" t="str">
        <v>B5948HU</v>
      </c>
      <c r="E1802" s="10">
        <v>8172</v>
      </c>
      <c r="F1802" s="3" t="str">
        <v>Iya</v>
      </c>
      <c r="G1802" s="4">
        <v>45915</v>
      </c>
      <c r="H1802" s="10">
        <v>8172</v>
      </c>
    </row>
    <row r="1803" spans="1:8">
      <c r="A1803" s="3">
        <v>1802</v>
      </c>
      <c r="B1803" s="4">
        <v>46015.482361111113</v>
      </c>
      <c r="C1803" s="5" t="str">
        <v>DAIHATSU GRANMAX PU AC PS 1.5 M/T</v>
      </c>
      <c r="D1803" s="5" t="str">
        <v>B6704WT</v>
      </c>
      <c r="E1803" s="10">
        <v>39228</v>
      </c>
      <c r="F1803" s="3" t="str">
        <v>Iya</v>
      </c>
      <c r="G1803" s="4">
        <v>45849</v>
      </c>
      <c r="H1803" s="10">
        <v>39228</v>
      </c>
    </row>
    <row r="1804" spans="1:8">
      <c r="A1804" s="3">
        <v>1803</v>
      </c>
      <c r="B1804" s="4">
        <v>46015.545578703714</v>
      </c>
      <c r="C1804" s="5" t="str">
        <v>DAIHATSU GRANMAX PU AC PS 1.5 M/T</v>
      </c>
      <c r="D1804" s="5" t="str">
        <v>B9409VZ</v>
      </c>
      <c r="E1804" s="10">
        <v>22546</v>
      </c>
      <c r="F1804" s="3" t="str">
        <v>Iya</v>
      </c>
      <c r="G1804" s="4">
        <v>45903</v>
      </c>
      <c r="H1804" s="10">
        <v>22546</v>
      </c>
    </row>
    <row r="1805" spans="1:8">
      <c r="A1805" s="3">
        <v>1804</v>
      </c>
      <c r="B1805" s="4">
        <v>46015.601412037038</v>
      </c>
      <c r="C1805" s="5" t="str">
        <v>DAIHATSU GRANMAX PU AC PS 1.5 M/T</v>
      </c>
      <c r="D1805" s="5" t="str">
        <v>B8144GH</v>
      </c>
      <c r="E1805" s="10">
        <v>10093</v>
      </c>
      <c r="F1805" s="3" t="str">
        <v>Iya</v>
      </c>
      <c r="G1805" s="4">
        <v>45867</v>
      </c>
      <c r="H1805" s="10">
        <v>10093</v>
      </c>
    </row>
    <row r="1806" spans="1:8">
      <c r="A1806" s="3">
        <v>1805</v>
      </c>
      <c r="B1806" s="4">
        <v>46015.607604166667</v>
      </c>
      <c r="C1806" s="5" t="str">
        <v>DAIHATSU GRANMAX PU AC PS 1.5 M/T</v>
      </c>
      <c r="D1806" s="5" t="str">
        <v>B1229TQ</v>
      </c>
      <c r="E1806" s="10">
        <v>22163</v>
      </c>
      <c r="F1806" s="3" t="str">
        <v>Iya</v>
      </c>
      <c r="G1806" s="4">
        <v>45988</v>
      </c>
      <c r="H1806" s="10">
        <v>22163</v>
      </c>
    </row>
    <row r="1807" spans="1:8">
      <c r="A1807" s="3">
        <v>1806</v>
      </c>
      <c r="B1807" s="4">
        <v>46015.610937500001</v>
      </c>
      <c r="C1807" s="5" t="str">
        <v>PICK UP TRAGA 2.5 4X2 MT D M/T</v>
      </c>
      <c r="D1807" s="5" t="str">
        <v>B5032XGL</v>
      </c>
      <c r="E1807" s="10">
        <v>125</v>
      </c>
      <c r="F1807" s="3" t="str">
        <v>Iya</v>
      </c>
      <c r="G1807" s="4">
        <v>46010</v>
      </c>
      <c r="H1807" s="10">
        <v>125</v>
      </c>
    </row>
    <row r="1808" spans="1:8">
      <c r="A1808" s="3">
        <v>1807</v>
      </c>
      <c r="B1808" s="4">
        <v>46015.611863425933</v>
      </c>
      <c r="C1808" s="5" t="str">
        <v>DAIHATSU GRANMAX PU AC PS 1.5 M/T</v>
      </c>
      <c r="D1808" s="5" t="str">
        <v>B3271BYK</v>
      </c>
      <c r="E1808" s="10">
        <v>35094</v>
      </c>
      <c r="F1808" s="3" t="str">
        <v>Iya</v>
      </c>
      <c r="G1808" s="4">
        <v>45936</v>
      </c>
      <c r="H1808" s="10">
        <v>35094</v>
      </c>
    </row>
    <row r="1809" spans="1:8">
      <c r="A1809" s="3">
        <v>1808</v>
      </c>
      <c r="B1809" s="4">
        <v>46015.678472222222</v>
      </c>
      <c r="C1809" s="5" t="str">
        <v>DAIHATSU GRANMAX PU AC PS 1.5 M/T</v>
      </c>
      <c r="D1809" s="5" t="str">
        <v>B7390TQ</v>
      </c>
      <c r="E1809" s="10">
        <v>45401</v>
      </c>
      <c r="F1809" s="3" t="str">
        <v>Iya</v>
      </c>
      <c r="G1809" s="4">
        <v>45820</v>
      </c>
      <c r="H1809" s="10">
        <v>45401</v>
      </c>
    </row>
    <row r="1810" spans="1:8">
      <c r="A1810" s="3">
        <v>1809</v>
      </c>
      <c r="B1810" s="4">
        <v>46017.393495370372</v>
      </c>
      <c r="C1810" s="5" t="str">
        <v>DAIHATSU GRANMAX PU AC PS 1.5 M/T</v>
      </c>
      <c r="D1810" s="5" t="str">
        <v>B9877USW</v>
      </c>
      <c r="E1810" s="10">
        <v>10318</v>
      </c>
      <c r="F1810" s="3" t="str">
        <v>Iya</v>
      </c>
      <c r="G1810" s="4">
        <v>45902</v>
      </c>
      <c r="H1810" s="10">
        <v>10318</v>
      </c>
    </row>
    <row r="1811" spans="1:8">
      <c r="A1811" s="3">
        <v>1810</v>
      </c>
      <c r="B1811" s="4">
        <v>46017.600902777784</v>
      </c>
      <c r="C1811" s="5" t="str">
        <v>DAIHATSU GRANMAX PU AC PS 1.5 M/T</v>
      </c>
      <c r="D1811" s="5" t="str">
        <v>B7223XEX</v>
      </c>
      <c r="E1811" s="10">
        <v>58787</v>
      </c>
      <c r="F1811" s="3" t="str">
        <v>Iya</v>
      </c>
      <c r="G1811" s="4">
        <v>45870</v>
      </c>
      <c r="H1811" s="10">
        <v>58787</v>
      </c>
    </row>
    <row r="1812" spans="1:8">
      <c r="A1812" s="3">
        <v>1811</v>
      </c>
      <c r="B1812" s="4">
        <v>46017.602754629632</v>
      </c>
      <c r="C1812" s="5" t="str">
        <v>DAIHATSU GRANMAX PU AC PS 1.5 M/T</v>
      </c>
      <c r="D1812" s="5" t="str">
        <v>KB7221ZEE</v>
      </c>
      <c r="E1812" s="10">
        <v>62843</v>
      </c>
      <c r="F1812" s="3" t="str">
        <v>Iya</v>
      </c>
      <c r="G1812" s="4">
        <v>45960</v>
      </c>
      <c r="H1812" s="10">
        <v>62843</v>
      </c>
    </row>
    <row r="1813" spans="1:8">
      <c r="A1813" s="3">
        <v>1812</v>
      </c>
      <c r="B1813" s="4">
        <v>46017.609884259262</v>
      </c>
      <c r="C1813" s="5" t="str">
        <v>DAIHATSU GRANMAX PU AC PS 1.5 M/T</v>
      </c>
      <c r="D1813" s="5" t="str">
        <v>B3306HX</v>
      </c>
      <c r="E1813" s="10">
        <v>17299</v>
      </c>
      <c r="F1813" s="3" t="str">
        <v>Iya</v>
      </c>
      <c r="G1813" s="4">
        <v>45827</v>
      </c>
      <c r="H1813" s="10">
        <v>17299</v>
      </c>
    </row>
    <row r="1814" spans="1:8">
      <c r="A1814" s="3">
        <v>1813</v>
      </c>
      <c r="B1814" s="4">
        <v>46018.303067129629</v>
      </c>
      <c r="C1814" s="5" t="str">
        <v>DAIHATSU GRANMAX PU AC PS 1.5 M/T</v>
      </c>
      <c r="D1814" s="5" t="str">
        <v>KT2986WG</v>
      </c>
      <c r="E1814" s="10">
        <v>53512</v>
      </c>
      <c r="F1814" s="3" t="str">
        <v>Iya</v>
      </c>
      <c r="G1814" s="4">
        <v>45958</v>
      </c>
      <c r="H1814" s="10">
        <v>53512</v>
      </c>
    </row>
    <row r="1815" spans="1:8">
      <c r="A1815" s="3">
        <v>1814</v>
      </c>
      <c r="B1815" s="4">
        <v>46018.383645833332</v>
      </c>
      <c r="C1815" s="5" t="str">
        <v>PICK UP TRAGA 2.5 4X2 MT D M/T</v>
      </c>
      <c r="D1815" s="5" t="str">
        <v>B9936AP</v>
      </c>
      <c r="E1815" s="10">
        <v>48350</v>
      </c>
      <c r="F1815" s="3" t="str">
        <v>Iya</v>
      </c>
      <c r="G1815" s="4">
        <v>45931</v>
      </c>
      <c r="H1815" s="10">
        <v>48350</v>
      </c>
    </row>
    <row r="1816" spans="1:8">
      <c r="A1816" s="3">
        <v>1815</v>
      </c>
      <c r="B1816" s="4">
        <v>46018.405347222222</v>
      </c>
      <c r="C1816" s="5" t="str">
        <v>Daihatsu Xenia (Badan)</v>
      </c>
      <c r="D1816" s="5" t="str">
        <v>B2823MF</v>
      </c>
      <c r="E1816" s="10">
        <v>26610</v>
      </c>
      <c r="F1816" s="3" t="str">
        <v>Iya</v>
      </c>
      <c r="G1816" s="4">
        <v>45978</v>
      </c>
      <c r="H1816" s="10">
        <v>26610</v>
      </c>
    </row>
    <row r="1817" spans="1:8">
      <c r="A1817" s="3">
        <v>1816</v>
      </c>
      <c r="B1817" s="4">
        <v>46018.418865740743</v>
      </c>
      <c r="C1817" s="5" t="str">
        <v>DAIHATSU GRANMAX PU AC PS 1.5 M/T</v>
      </c>
      <c r="D1817" s="5" t="str">
        <v>B6964WP</v>
      </c>
      <c r="E1817" s="10">
        <v>2166</v>
      </c>
      <c r="F1817" s="3" t="str">
        <v>Iya</v>
      </c>
      <c r="G1817" s="4">
        <v>45961</v>
      </c>
      <c r="H1817" s="10">
        <v>2166</v>
      </c>
    </row>
    <row r="1818" spans="1:8">
      <c r="A1818" s="3">
        <v>1817</v>
      </c>
      <c r="B1818" s="4">
        <v>46019.482430555552</v>
      </c>
      <c r="C1818" s="5" t="str">
        <v>DAIHATSU GRANMAX PU AC PS 1.5 M/T</v>
      </c>
      <c r="D1818" s="5" t="str">
        <v>B7165PWG</v>
      </c>
      <c r="E1818" s="10">
        <v>2919</v>
      </c>
      <c r="F1818" s="3" t="str">
        <v>Iya</v>
      </c>
      <c r="G1818" s="4">
        <v>45953</v>
      </c>
      <c r="H1818" s="10">
        <v>2919</v>
      </c>
    </row>
    <row r="1819" spans="1:8">
      <c r="A1819" s="3">
        <v>1818</v>
      </c>
      <c r="B1819" s="4">
        <v>46019.663761574076</v>
      </c>
      <c r="C1819" s="5" t="str">
        <v>DAIHATSU GRANMAX PU AC PS 1.5 M/T</v>
      </c>
      <c r="D1819" s="5" t="str">
        <v>B7035JK</v>
      </c>
      <c r="E1819" s="10">
        <v>42203</v>
      </c>
      <c r="F1819" s="3" t="str">
        <v>Iya</v>
      </c>
      <c r="G1819" s="4">
        <v>45926</v>
      </c>
      <c r="H1819" s="10">
        <v>42203</v>
      </c>
    </row>
    <row r="1820" spans="1:8">
      <c r="A1820" s="3">
        <v>1819</v>
      </c>
      <c r="B1820" s="4">
        <v>46020.348993055559</v>
      </c>
      <c r="C1820" s="5" t="str">
        <v>DAIHATSU GRANMAX PU AC PS 1.5 M/T</v>
      </c>
      <c r="D1820" s="5" t="str">
        <v>KB9985GGA</v>
      </c>
      <c r="E1820" s="10">
        <v>13789</v>
      </c>
      <c r="F1820" s="3" t="str">
        <v>Iya</v>
      </c>
      <c r="G1820" s="4">
        <v>45937</v>
      </c>
      <c r="H1820" s="10">
        <v>13789</v>
      </c>
    </row>
    <row r="1821" spans="1:8">
      <c r="A1821" s="3">
        <v>1820</v>
      </c>
      <c r="B1821" s="4">
        <v>46020.350717592592</v>
      </c>
      <c r="C1821" s="5" t="str">
        <v>PICK UP TRAGA 2.5 4X2 MT D M/T</v>
      </c>
      <c r="D1821" s="5" t="str">
        <v>B7591HAI</v>
      </c>
      <c r="E1821" s="10">
        <v>97170</v>
      </c>
      <c r="F1821" s="3" t="str">
        <v>Iya</v>
      </c>
      <c r="G1821" s="4">
        <v>46015</v>
      </c>
      <c r="H1821" s="10">
        <v>97170</v>
      </c>
    </row>
    <row r="1822" spans="1:8">
      <c r="A1822" s="3">
        <v>1821</v>
      </c>
      <c r="B1822" s="4">
        <v>46020.438125000001</v>
      </c>
      <c r="C1822" s="5" t="str">
        <v>PICK UP TRAGA 2.5 4X2 MT D M/T</v>
      </c>
      <c r="D1822" s="5" t="str">
        <v>B3889CE</v>
      </c>
      <c r="E1822" s="10">
        <v>21914</v>
      </c>
      <c r="F1822" s="3" t="str">
        <v>Iya</v>
      </c>
      <c r="G1822" s="4">
        <v>45960</v>
      </c>
      <c r="H1822" s="10">
        <v>21914</v>
      </c>
    </row>
    <row r="1823" spans="1:8">
      <c r="A1823" s="3">
        <v>1822</v>
      </c>
      <c r="B1823" s="4">
        <v>46020.469305555547</v>
      </c>
      <c r="C1823" s="5" t="str">
        <v>DAIHATSU GRANMAX PU AC PS 1.5 M/T</v>
      </c>
      <c r="D1823" s="5" t="str">
        <v>B5895NM</v>
      </c>
      <c r="E1823" s="10">
        <v>66659</v>
      </c>
      <c r="F1823" s="3" t="str">
        <v>Iya</v>
      </c>
      <c r="G1823" s="4">
        <v>46020</v>
      </c>
      <c r="H1823" s="10">
        <v>66659</v>
      </c>
    </row>
    <row r="1824" spans="1:8">
      <c r="A1824" s="3">
        <v>1823</v>
      </c>
      <c r="B1824" s="4">
        <v>46020.483622685177</v>
      </c>
      <c r="C1824" s="5" t="str">
        <v>PICK UP TRAGA 2.5 4X2 MT D M/T</v>
      </c>
      <c r="D1824" s="5" t="str">
        <v>B3007PX</v>
      </c>
      <c r="E1824" s="10">
        <v>2856</v>
      </c>
      <c r="F1824" s="3" t="str">
        <v>Iya</v>
      </c>
      <c r="G1824" s="4">
        <v>46001</v>
      </c>
      <c r="H1824" s="10">
        <v>2856</v>
      </c>
    </row>
    <row r="1825" spans="1:8">
      <c r="A1825" s="3">
        <v>1824</v>
      </c>
      <c r="B1825" s="4">
        <v>46020.59</v>
      </c>
      <c r="C1825" s="5" t="str">
        <v>DAIHATSU GRANMAX PU AC PS 1.5 M/T</v>
      </c>
      <c r="D1825" s="5" t="str">
        <v>D8668TS</v>
      </c>
      <c r="E1825" s="10">
        <v>3068</v>
      </c>
      <c r="F1825" s="3" t="str">
        <v>Iya</v>
      </c>
      <c r="G1825" s="4">
        <v>45980</v>
      </c>
      <c r="H1825" s="10">
        <v>3068</v>
      </c>
    </row>
    <row r="1826" spans="1:8">
      <c r="A1826" s="3">
        <v>1825</v>
      </c>
      <c r="B1826" s="4">
        <v>46020.652199074073</v>
      </c>
      <c r="C1826" s="5" t="str">
        <v>DAIHATSU GRANMAX PU AC PS 1.5 M/T</v>
      </c>
      <c r="D1826" s="5" t="str">
        <v>B7069IU</v>
      </c>
      <c r="E1826" s="10">
        <v>10767</v>
      </c>
      <c r="F1826" s="3" t="str">
        <v>Iya</v>
      </c>
      <c r="G1826" s="4">
        <v>45848</v>
      </c>
      <c r="H1826" s="10">
        <v>10767</v>
      </c>
    </row>
    <row r="1827" spans="1:8">
      <c r="A1827" s="3">
        <v>1826</v>
      </c>
      <c r="B1827" s="4">
        <v>46020.658437500002</v>
      </c>
      <c r="C1827" s="5" t="str">
        <v>DAIHATSU GRANMAX PU AC PS 1.5 M/T</v>
      </c>
      <c r="D1827" s="5" t="str">
        <v>B9052XK</v>
      </c>
      <c r="E1827" s="10">
        <v>2243</v>
      </c>
      <c r="F1827" s="3" t="str">
        <v>Iya</v>
      </c>
      <c r="G1827" s="4">
        <v>45992</v>
      </c>
      <c r="H1827" s="10">
        <v>2243</v>
      </c>
    </row>
    <row r="1828" spans="1:8">
      <c r="A1828" s="3">
        <v>1827</v>
      </c>
      <c r="B1828" s="4">
        <v>46020.70890046296</v>
      </c>
      <c r="C1828" s="5" t="str">
        <v>PICK UP TRAGA 2.5 4X2 MT D M/T</v>
      </c>
      <c r="D1828" s="5" t="str">
        <v>B4361MD</v>
      </c>
      <c r="E1828" s="10">
        <v>56093</v>
      </c>
      <c r="F1828" s="3" t="str">
        <v>Iya</v>
      </c>
      <c r="G1828" s="4">
        <v>45941</v>
      </c>
      <c r="H1828" s="10">
        <v>56093</v>
      </c>
    </row>
    <row r="1829" spans="1:8">
      <c r="A1829" s="3">
        <v>1828</v>
      </c>
      <c r="B1829" s="4">
        <v>46020.754513888889</v>
      </c>
      <c r="C1829" s="5" t="str">
        <v>DAIHATSU GRANMAX PU AC PS 1.5 M/T</v>
      </c>
      <c r="D1829" s="5" t="str">
        <v>B4036RJ</v>
      </c>
      <c r="E1829" s="10">
        <v>10654</v>
      </c>
      <c r="F1829" s="3" t="str">
        <v>Iya</v>
      </c>
      <c r="G1829" s="4">
        <v>45871</v>
      </c>
      <c r="H1829" s="10">
        <v>10654</v>
      </c>
    </row>
    <row r="1830" spans="1:8">
      <c r="A1830" s="3">
        <v>1829</v>
      </c>
      <c r="B1830" s="4">
        <v>46021.420891203707</v>
      </c>
      <c r="C1830" s="5" t="str">
        <v>DAIHATSU GRANMAX PU AC PS 1.5 M/T</v>
      </c>
      <c r="D1830" s="5" t="str">
        <v>KT5909WFN</v>
      </c>
      <c r="E1830" s="10">
        <v>364</v>
      </c>
      <c r="F1830" s="3" t="str">
        <v>Iya</v>
      </c>
      <c r="G1830" s="4">
        <v>45980</v>
      </c>
      <c r="H1830" s="10">
        <v>364</v>
      </c>
    </row>
    <row r="1831" spans="1:8">
      <c r="A1831" s="3">
        <v>1830</v>
      </c>
      <c r="B1831" s="4">
        <v>46021.520439814813</v>
      </c>
      <c r="C1831" s="5" t="str">
        <v>PICK UP TRAGA 2.5 4X2 MT D M/T</v>
      </c>
      <c r="D1831" s="5" t="str">
        <v>L6517DP</v>
      </c>
      <c r="E1831" s="10">
        <v>44065</v>
      </c>
      <c r="F1831" s="3" t="str">
        <v>Iya</v>
      </c>
      <c r="G1831" s="4">
        <v>45917</v>
      </c>
      <c r="H1831" s="10">
        <v>44065</v>
      </c>
    </row>
    <row r="1832" spans="1:8">
      <c r="A1832" s="3">
        <v>1831</v>
      </c>
      <c r="B1832" s="4">
        <v>46021.562118055554</v>
      </c>
      <c r="C1832" s="5" t="str">
        <v>DAIHATSU GRANMAX PU AC PS 1.5 M/T</v>
      </c>
      <c r="D1832" s="5" t="str">
        <v>B3355VB</v>
      </c>
      <c r="E1832" s="10">
        <v>3241</v>
      </c>
      <c r="F1832" s="3" t="str">
        <v>Iya</v>
      </c>
      <c r="G1832" s="4">
        <v>45720</v>
      </c>
      <c r="H1832" s="10">
        <v>3241</v>
      </c>
    </row>
    <row r="1833" spans="1:8">
      <c r="A1833" s="3">
        <v>1832</v>
      </c>
      <c r="B1833" s="4">
        <v>46021.623692129629</v>
      </c>
      <c r="C1833" s="5" t="str">
        <v>PICK UP TRAGA 2.5 4X2 MT D M/T</v>
      </c>
      <c r="D1833" s="5" t="str">
        <v>B9289IA</v>
      </c>
      <c r="E1833" s="10">
        <v>2573</v>
      </c>
      <c r="F1833" s="3" t="str">
        <v>Iya</v>
      </c>
      <c r="G1833" s="4">
        <v>46015</v>
      </c>
      <c r="H1833" s="10">
        <v>2573</v>
      </c>
    </row>
    <row r="1834" spans="1:8">
      <c r="A1834" s="3">
        <v>1833</v>
      </c>
      <c r="B1834" s="4">
        <v>46021.645509259259</v>
      </c>
      <c r="C1834" s="5" t="str">
        <v>Daihatsu Xenia (Badan)</v>
      </c>
      <c r="D1834" s="5" t="str">
        <v>B8528UFK</v>
      </c>
      <c r="E1834" s="10">
        <v>29823</v>
      </c>
      <c r="F1834" s="3" t="str">
        <v>Iya</v>
      </c>
      <c r="G1834" s="4">
        <v>45982</v>
      </c>
      <c r="H1834" s="10">
        <v>29823</v>
      </c>
    </row>
    <row r="1835" spans="1:8">
      <c r="A1835" s="3">
        <v>1834</v>
      </c>
      <c r="B1835" s="4">
        <v>46022.571226851847</v>
      </c>
      <c r="C1835" s="5" t="str">
        <v>DAIHATSU GRANMAX PU AC PS 1.5 M/T</v>
      </c>
      <c r="D1835" s="5" t="str">
        <v>B5612UFW</v>
      </c>
      <c r="E1835" s="10">
        <v>23776</v>
      </c>
      <c r="F1835" s="3" t="str">
        <v>Iya</v>
      </c>
      <c r="G1835" s="4">
        <v>45854</v>
      </c>
      <c r="H1835" s="10">
        <v>23776</v>
      </c>
    </row>
    <row r="1836" spans="1:8">
      <c r="A1836" s="3">
        <v>1835</v>
      </c>
      <c r="B1836" s="4">
        <v>46022.607673611114</v>
      </c>
      <c r="C1836" s="5" t="str">
        <v>DAIHATSU GRANMAX PU AC PS 1.5 M/T</v>
      </c>
      <c r="D1836" s="5" t="str">
        <v>B5790CM</v>
      </c>
      <c r="E1836" s="10">
        <v>18629</v>
      </c>
      <c r="F1836" s="3" t="str">
        <v>Iya</v>
      </c>
      <c r="G1836" s="4">
        <v>45960</v>
      </c>
      <c r="H1836" s="10">
        <v>18629</v>
      </c>
    </row>
    <row r="1837" spans="1:8">
      <c r="A1837" s="3">
        <v>1836</v>
      </c>
      <c r="B1837" s="4">
        <v>46022.633692129632</v>
      </c>
      <c r="C1837" s="5" t="str">
        <v>DAIHATSU GRANMAX PU AC PS 1.5 M/T</v>
      </c>
      <c r="D1837" s="5" t="str">
        <v>B7692UCT</v>
      </c>
      <c r="E1837" s="10">
        <v>10065</v>
      </c>
      <c r="F1837" s="3" t="str">
        <v>Iya</v>
      </c>
      <c r="G1837" s="4">
        <v>46022</v>
      </c>
      <c r="H1837" s="10">
        <v>10065</v>
      </c>
    </row>
    <row r="1838" spans="1:8">
      <c r="A1838" s="3">
        <v>1837</v>
      </c>
      <c r="B1838" s="4">
        <v>46022.829629629632</v>
      </c>
      <c r="C1838" s="5" t="str">
        <v>PICK UP TRAGA 2.5 4X2 MT D M/T</v>
      </c>
      <c r="D1838" s="5" t="str">
        <v>B6598EX</v>
      </c>
      <c r="E1838" s="10">
        <v>25569</v>
      </c>
      <c r="F1838" s="3" t="str">
        <v>Iya</v>
      </c>
      <c r="G1838" s="4">
        <v>45939</v>
      </c>
      <c r="H1838" s="10">
        <v>25569</v>
      </c>
    </row>
    <row r="1839" spans="1:8">
      <c r="A1839" s="3">
        <v>1838</v>
      </c>
      <c r="B1839" s="4">
        <v>46024.380416666667</v>
      </c>
      <c r="C1839" s="5" t="str">
        <v>DAIHATSU GRANMAX PU AC PS 1.5 M/T</v>
      </c>
      <c r="D1839" s="5" t="str">
        <v>B2960MA</v>
      </c>
      <c r="E1839" s="10">
        <v>59796</v>
      </c>
      <c r="F1839" s="3" t="str">
        <v>Iya</v>
      </c>
      <c r="G1839" s="4">
        <v>45944</v>
      </c>
      <c r="H1839" s="10">
        <v>59796</v>
      </c>
    </row>
    <row r="1840" spans="1:8">
      <c r="A1840" s="3">
        <v>1839</v>
      </c>
      <c r="B1840" s="4">
        <v>46024.6562037037</v>
      </c>
      <c r="C1840" s="5" t="str">
        <v>PICK UP TRAGA 2.5 4X2 MT D M/T</v>
      </c>
      <c r="D1840" s="5" t="str">
        <v>B6757PSW</v>
      </c>
      <c r="E1840" s="10">
        <v>133499</v>
      </c>
      <c r="F1840" s="3" t="str">
        <v>Iya</v>
      </c>
      <c r="G1840" s="4">
        <v>45906</v>
      </c>
      <c r="H1840" s="10">
        <v>133499</v>
      </c>
    </row>
    <row r="1841" spans="1:8">
      <c r="A1841" s="3">
        <v>1840</v>
      </c>
      <c r="B1841" s="4">
        <v>46025.444444444453</v>
      </c>
      <c r="C1841" s="5" t="str">
        <v>DAIHATSU GRANMAX PU AC PS 1.5 M/T</v>
      </c>
      <c r="D1841" s="5" t="str">
        <v>B1578YGJ</v>
      </c>
      <c r="E1841" s="10">
        <v>3107</v>
      </c>
      <c r="F1841" s="3" t="str">
        <v>Iya</v>
      </c>
      <c r="G1841" s="4">
        <v>45911</v>
      </c>
      <c r="H1841" s="10">
        <v>3107</v>
      </c>
    </row>
    <row r="1842" spans="1:8">
      <c r="A1842" s="3">
        <v>1841</v>
      </c>
      <c r="B1842" s="4">
        <v>46025.781712962962</v>
      </c>
      <c r="C1842" s="5" t="str">
        <v>DAIHATSU GRANMAX PU AC PS 1.5 M/T</v>
      </c>
      <c r="D1842" s="5" t="str">
        <v>B6642GE</v>
      </c>
      <c r="E1842" s="10">
        <v>20516</v>
      </c>
      <c r="F1842" s="3" t="str">
        <v>Iya</v>
      </c>
      <c r="G1842" s="4">
        <v>45916</v>
      </c>
      <c r="H1842" s="10">
        <v>20516</v>
      </c>
    </row>
    <row r="1843" spans="1:8">
      <c r="A1843" s="3">
        <v>1842</v>
      </c>
      <c r="B1843" s="4">
        <v>46027.34715277778</v>
      </c>
      <c r="C1843" s="5" t="str">
        <v>PICK UP TRAGA 2.5 4X2 MT D M/T</v>
      </c>
      <c r="D1843" s="5" t="str">
        <v>B8891JP</v>
      </c>
      <c r="E1843" s="10">
        <v>62498</v>
      </c>
      <c r="F1843" s="3" t="str">
        <v>Iya</v>
      </c>
      <c r="G1843" s="4">
        <v>45983</v>
      </c>
      <c r="H1843" s="10">
        <v>62498</v>
      </c>
    </row>
    <row r="1844" spans="1:8">
      <c r="A1844" s="3">
        <v>1843</v>
      </c>
      <c r="B1844" s="4">
        <v>46027.383703703701</v>
      </c>
      <c r="C1844" s="5" t="str">
        <v>DAIHATSU GRANMAX PU AC PS 1.5 M/T</v>
      </c>
      <c r="D1844" s="5" t="str">
        <v>B8753SMF</v>
      </c>
      <c r="E1844" s="10">
        <v>52506</v>
      </c>
      <c r="F1844" s="3" t="str">
        <v>Iya</v>
      </c>
      <c r="G1844" s="4">
        <v>45912</v>
      </c>
      <c r="H1844" s="10">
        <v>52506</v>
      </c>
    </row>
    <row r="1845" spans="1:8">
      <c r="A1845" s="3">
        <v>1844</v>
      </c>
      <c r="B1845" s="4">
        <v>46027.425300925926</v>
      </c>
      <c r="C1845" s="5" t="str">
        <v>DAIHATSU GRANMAX PU AC PS 1.5 M/T</v>
      </c>
      <c r="D1845" s="5" t="str">
        <v>B4490BIH</v>
      </c>
      <c r="E1845" s="10">
        <v>43042</v>
      </c>
      <c r="F1845" s="3" t="str">
        <v>Iya</v>
      </c>
      <c r="G1845" s="4">
        <v>45811</v>
      </c>
      <c r="H1845" s="10">
        <v>43042</v>
      </c>
    </row>
    <row r="1846" spans="1:8">
      <c r="A1846" s="3">
        <v>1845</v>
      </c>
      <c r="B1846" s="4">
        <v>46027.434155092589</v>
      </c>
      <c r="C1846" s="5" t="str">
        <v>DAIHATSU GRANMAX PU AC PS 1.5 M/T</v>
      </c>
      <c r="D1846" s="5" t="str">
        <v>B6441NR</v>
      </c>
      <c r="E1846" s="10">
        <v>21379</v>
      </c>
      <c r="F1846" s="3" t="str">
        <v>Iya</v>
      </c>
      <c r="G1846" s="4">
        <v>45997</v>
      </c>
      <c r="H1846" s="10">
        <v>21379</v>
      </c>
    </row>
    <row r="1847" spans="1:8">
      <c r="A1847" s="3">
        <v>1846</v>
      </c>
      <c r="B1847" s="4">
        <v>46027.435011574067</v>
      </c>
      <c r="C1847" s="5" t="str">
        <v>DAIHATSU GRANMAX PU AC PS 1.5 M/T</v>
      </c>
      <c r="D1847" s="5" t="str">
        <v>B1377MKN</v>
      </c>
      <c r="E1847" s="10">
        <v>65780</v>
      </c>
      <c r="F1847" s="3" t="str">
        <v>Iya</v>
      </c>
      <c r="G1847" s="4">
        <v>45831</v>
      </c>
      <c r="H1847" s="10">
        <v>65780</v>
      </c>
    </row>
    <row r="1848" spans="1:8">
      <c r="A1848" s="3">
        <v>1847</v>
      </c>
      <c r="B1848" s="4">
        <v>46027.439409722218</v>
      </c>
      <c r="C1848" s="5" t="str">
        <v>DAIHATSU GRANMAX PU AC PS 1.5 M/T</v>
      </c>
      <c r="D1848" s="5" t="str">
        <v>DD1071FI</v>
      </c>
      <c r="E1848" s="10">
        <v>31782</v>
      </c>
      <c r="F1848" s="3" t="str">
        <v>Iya</v>
      </c>
      <c r="G1848" s="4">
        <v>45911</v>
      </c>
      <c r="H1848" s="10">
        <v>31782</v>
      </c>
    </row>
    <row r="1849" spans="1:8">
      <c r="A1849" s="3">
        <v>1848</v>
      </c>
      <c r="B1849" s="4">
        <v>46027.448773148149</v>
      </c>
      <c r="C1849" s="5" t="str">
        <v>PICK UP TRAGA 2.5 4X2 MT D M/T</v>
      </c>
      <c r="D1849" s="5" t="str">
        <v>B2396IX</v>
      </c>
      <c r="E1849" s="10">
        <v>27710</v>
      </c>
      <c r="F1849" s="3" t="str">
        <v>Iya</v>
      </c>
      <c r="G1849" s="4">
        <v>45964</v>
      </c>
      <c r="H1849" s="10">
        <v>27710</v>
      </c>
    </row>
    <row r="1850" spans="1:8">
      <c r="A1850" s="3">
        <v>1849</v>
      </c>
      <c r="B1850" s="4">
        <v>46027.470092592594</v>
      </c>
      <c r="C1850" s="5" t="str">
        <v>DAIHATSU GRANMAX PU AC PS 1.5 M/T</v>
      </c>
      <c r="D1850" s="5" t="str">
        <v>BP6297BR</v>
      </c>
      <c r="E1850" s="10">
        <v>38247</v>
      </c>
      <c r="F1850" s="3" t="str">
        <v>Iya</v>
      </c>
      <c r="G1850" s="4">
        <v>45982</v>
      </c>
      <c r="H1850" s="10">
        <v>38247</v>
      </c>
    </row>
    <row r="1851" spans="1:8">
      <c r="A1851" s="3">
        <v>1850</v>
      </c>
      <c r="B1851" s="4">
        <v>46027.470231481479</v>
      </c>
      <c r="C1851" s="5" t="str">
        <v>DAIHATSU GRANMAX PU AC PS 1.5 M/T</v>
      </c>
      <c r="D1851" s="5" t="str">
        <v>B8740PD</v>
      </c>
      <c r="E1851" s="10">
        <v>55518</v>
      </c>
      <c r="F1851" s="3" t="str">
        <v>Iya</v>
      </c>
      <c r="G1851" s="4">
        <v>45825</v>
      </c>
      <c r="H1851" s="10">
        <v>55518</v>
      </c>
    </row>
    <row r="1852" spans="1:8">
      <c r="A1852" s="3">
        <v>1851</v>
      </c>
      <c r="B1852" s="4">
        <v>46027.584444444437</v>
      </c>
      <c r="C1852" s="5" t="str">
        <v>DAIHATSU GRANMAX PU AC PS 1.5 M/T</v>
      </c>
      <c r="D1852" s="5" t="str">
        <v>DD9729YV</v>
      </c>
      <c r="E1852" s="10">
        <v>57753</v>
      </c>
      <c r="F1852" s="3" t="str">
        <v>Iya</v>
      </c>
      <c r="G1852" s="4">
        <v>45862</v>
      </c>
      <c r="H1852" s="10">
        <v>57753</v>
      </c>
    </row>
    <row r="1853" spans="1:8">
      <c r="A1853" s="3">
        <v>1852</v>
      </c>
      <c r="B1853" s="4">
        <v>46027.647476851853</v>
      </c>
      <c r="C1853" s="5" t="str">
        <v>DAIHATSU GRANMAX PU AC PS 1.5 M/T</v>
      </c>
      <c r="D1853" s="5" t="str">
        <v>B6551IKH</v>
      </c>
      <c r="E1853" s="10">
        <v>32674</v>
      </c>
      <c r="F1853" s="3" t="str">
        <v>Iya</v>
      </c>
      <c r="G1853" s="4">
        <v>45831</v>
      </c>
      <c r="H1853" s="10">
        <v>32674</v>
      </c>
    </row>
    <row r="1854" spans="1:8">
      <c r="A1854" s="3">
        <v>1853</v>
      </c>
      <c r="B1854" s="4">
        <v>46028.369143518517</v>
      </c>
      <c r="C1854" s="5" t="str">
        <v>PICK UP TRAGA 2.5 4X2 MT D M/T</v>
      </c>
      <c r="D1854" s="5" t="str">
        <v>H9293ZLM</v>
      </c>
      <c r="E1854" s="10">
        <v>13503</v>
      </c>
      <c r="F1854" s="3" t="str">
        <v>Iya</v>
      </c>
      <c r="G1854" s="4">
        <v>45917</v>
      </c>
      <c r="H1854" s="10">
        <v>13503</v>
      </c>
    </row>
    <row r="1855" spans="1:8">
      <c r="A1855" s="3">
        <v>1854</v>
      </c>
      <c r="B1855" s="4">
        <v>46028.447731481479</v>
      </c>
      <c r="C1855" s="5" t="str">
        <v>DAIHATSU GRANMAX PU AC PS 1.5 M/T</v>
      </c>
      <c r="D1855" s="5" t="str">
        <v>B7154RP</v>
      </c>
      <c r="E1855" s="10">
        <v>58190</v>
      </c>
      <c r="F1855" s="3" t="str">
        <v>Iya</v>
      </c>
      <c r="G1855" s="4">
        <v>45909</v>
      </c>
      <c r="H1855" s="10">
        <v>58190</v>
      </c>
    </row>
    <row r="1856" spans="1:8">
      <c r="A1856" s="3">
        <v>1855</v>
      </c>
      <c r="B1856" s="4">
        <v>46028.472824074073</v>
      </c>
      <c r="C1856" s="5" t="str">
        <v>PICK UP TRAGA 2.5 4X2 MT D M/T</v>
      </c>
      <c r="D1856" s="5" t="str">
        <v>B6874UZA</v>
      </c>
      <c r="E1856" s="10">
        <v>51758</v>
      </c>
      <c r="F1856" s="3" t="str">
        <v>Iya</v>
      </c>
      <c r="G1856" s="4">
        <v>45943</v>
      </c>
      <c r="H1856" s="10">
        <v>51758</v>
      </c>
    </row>
    <row r="1857" spans="1:8">
      <c r="A1857" s="3">
        <v>1856</v>
      </c>
      <c r="B1857" s="4">
        <v>46028.626793981479</v>
      </c>
      <c r="C1857" s="5" t="str">
        <v>PICK UP TRAGA 2.5 4X2 MT D M/T</v>
      </c>
      <c r="D1857" s="5" t="str">
        <v>B4784VXS</v>
      </c>
      <c r="E1857" s="10">
        <v>85936</v>
      </c>
      <c r="F1857" s="3" t="str">
        <v>Iya</v>
      </c>
      <c r="G1857" s="4">
        <v>46000</v>
      </c>
      <c r="H1857" s="10">
        <v>85936</v>
      </c>
    </row>
    <row r="1858" spans="1:8">
      <c r="A1858" s="3">
        <v>1857</v>
      </c>
      <c r="B1858" s="4">
        <v>46028.674837962957</v>
      </c>
      <c r="C1858" s="5" t="str">
        <v>DAIHATSU GRANMAX PU AC PS 1.5 M/T</v>
      </c>
      <c r="D1858" s="5" t="str">
        <v>B8144GH</v>
      </c>
      <c r="E1858" s="10">
        <v>10283</v>
      </c>
      <c r="F1858" s="3" t="str">
        <v>Iya</v>
      </c>
      <c r="G1858" s="4">
        <v>45867</v>
      </c>
      <c r="H1858" s="10">
        <v>10283</v>
      </c>
    </row>
    <row r="1859" spans="1:8">
      <c r="A1859" s="3">
        <v>1858</v>
      </c>
      <c r="B1859" s="4">
        <v>46028.776469907411</v>
      </c>
      <c r="C1859" s="5" t="str">
        <v>Daihatsu Xenia (Badan)</v>
      </c>
      <c r="D1859" s="5" t="str">
        <v>DD1053PKN</v>
      </c>
      <c r="E1859" s="10">
        <v>38659</v>
      </c>
      <c r="F1859" s="3" t="str">
        <v>Iya</v>
      </c>
      <c r="G1859" s="4">
        <v>45850</v>
      </c>
      <c r="H1859" s="10">
        <v>38659</v>
      </c>
    </row>
    <row r="1860" spans="1:8">
      <c r="A1860" s="3">
        <v>1859</v>
      </c>
      <c r="B1860" s="4">
        <v>46028.815497685187</v>
      </c>
      <c r="C1860" s="5" t="str">
        <v>DAIHATSU GRANMAX PU AC PS 1.5 M/T</v>
      </c>
      <c r="D1860" s="5" t="str">
        <v>B3345RM</v>
      </c>
      <c r="E1860" s="10">
        <v>119071</v>
      </c>
      <c r="F1860" s="3" t="str">
        <v>Iya</v>
      </c>
      <c r="G1860" s="4">
        <v>46004</v>
      </c>
      <c r="H1860" s="10">
        <v>119071</v>
      </c>
    </row>
    <row r="1861" spans="1:8">
      <c r="A1861" s="3">
        <v>1860</v>
      </c>
      <c r="B1861" s="4">
        <v>46029.346319444441</v>
      </c>
      <c r="C1861" s="5" t="str">
        <v>DAIHATSU GRANMAX PU AC PS 1.5 M/T</v>
      </c>
      <c r="D1861" s="5" t="str">
        <v>H3059ZKJ</v>
      </c>
      <c r="E1861" s="10">
        <v>7713</v>
      </c>
      <c r="F1861" s="3" t="str">
        <v>Iya</v>
      </c>
      <c r="G1861" s="4">
        <v>45880</v>
      </c>
      <c r="H1861" s="10">
        <v>7713</v>
      </c>
    </row>
    <row r="1862" spans="1:8">
      <c r="A1862" s="3">
        <v>1861</v>
      </c>
      <c r="B1862" s="4">
        <v>46029.498611111107</v>
      </c>
      <c r="C1862" s="5" t="str">
        <v>DAIHATSU GRANMAX PU AC PS 1.5 M/T</v>
      </c>
      <c r="D1862" s="5" t="str">
        <v>B1080SUL</v>
      </c>
      <c r="E1862" s="10">
        <v>14894</v>
      </c>
      <c r="F1862" s="3" t="str">
        <v>Iya</v>
      </c>
      <c r="G1862" s="4">
        <v>45710</v>
      </c>
      <c r="H1862" s="10">
        <v>14894</v>
      </c>
    </row>
    <row r="1863" spans="1:8">
      <c r="A1863" s="3">
        <v>1862</v>
      </c>
      <c r="B1863" s="4">
        <v>46029.622569444437</v>
      </c>
      <c r="C1863" s="5" t="str">
        <v>DAIHATSU GRANMAX PU AC PS 1.5 M/T</v>
      </c>
      <c r="D1863" s="5" t="str">
        <v>B9910CL</v>
      </c>
      <c r="E1863" s="10">
        <v>9053</v>
      </c>
      <c r="F1863" s="3" t="str">
        <v>Iya</v>
      </c>
      <c r="G1863" s="4">
        <v>45934</v>
      </c>
      <c r="H1863" s="10">
        <v>9053</v>
      </c>
    </row>
    <row r="1864" spans="1:8">
      <c r="A1864" s="3">
        <v>1863</v>
      </c>
      <c r="B1864" s="4">
        <v>46029.623078703713</v>
      </c>
      <c r="C1864" s="5" t="str">
        <v>PICK UP TRAGA 2.5 4X2 MT D M/T</v>
      </c>
      <c r="D1864" s="5" t="str">
        <v>B5798XLR</v>
      </c>
      <c r="E1864" s="10">
        <v>3086</v>
      </c>
      <c r="F1864" s="3" t="str">
        <v>Iya</v>
      </c>
      <c r="G1864" s="4">
        <v>45899</v>
      </c>
      <c r="H1864" s="10">
        <v>3086</v>
      </c>
    </row>
    <row r="1865" spans="1:8">
      <c r="A1865" s="3">
        <v>1864</v>
      </c>
      <c r="B1865" s="4">
        <v>46029.624120370368</v>
      </c>
      <c r="C1865" s="5" t="str">
        <v>DAIHATSU GRANMAX PU AC PS 1.5 M/T</v>
      </c>
      <c r="D1865" s="5" t="str">
        <v>D9140HC</v>
      </c>
      <c r="E1865" s="10">
        <v>1967</v>
      </c>
      <c r="F1865" s="3" t="str">
        <v>Iya</v>
      </c>
      <c r="G1865" s="4">
        <v>45814</v>
      </c>
      <c r="H1865" s="10">
        <v>1967</v>
      </c>
    </row>
    <row r="1866" spans="1:8">
      <c r="A1866" s="3">
        <v>1865</v>
      </c>
      <c r="B1866" s="4">
        <v>46029.627326388887</v>
      </c>
      <c r="C1866" s="5" t="str">
        <v>DAIHATSU GRANMAX PU AC PS 1.5 M/T</v>
      </c>
      <c r="D1866" s="5" t="str">
        <v>DD2694FT</v>
      </c>
      <c r="E1866" s="10">
        <v>27146</v>
      </c>
      <c r="F1866" s="3" t="str">
        <v>Iya</v>
      </c>
      <c r="G1866" s="4">
        <v>45885</v>
      </c>
      <c r="H1866" s="10">
        <v>27146</v>
      </c>
    </row>
    <row r="1867" spans="1:8">
      <c r="A1867" s="3">
        <v>1866</v>
      </c>
      <c r="B1867" s="4">
        <v>46029.627928240741</v>
      </c>
      <c r="C1867" s="5" t="str">
        <v>PICK UP TRAGA 2.5 4X2 MT D M/T</v>
      </c>
      <c r="D1867" s="5" t="str">
        <v>B7983KQ</v>
      </c>
      <c r="E1867" s="10">
        <v>39740</v>
      </c>
      <c r="F1867" s="3" t="str">
        <v>Iya</v>
      </c>
      <c r="G1867" s="4">
        <v>45888</v>
      </c>
      <c r="H1867" s="10">
        <v>39740</v>
      </c>
    </row>
    <row r="1868" spans="1:8">
      <c r="A1868" s="3">
        <v>1867</v>
      </c>
      <c r="B1868" s="4">
        <v>46029.628368055557</v>
      </c>
      <c r="C1868" s="5" t="str">
        <v>DAIHATSU GRANMAX PU AC PS 1.5 M/T</v>
      </c>
      <c r="D1868" s="5" t="str">
        <v>B8467CLJ</v>
      </c>
      <c r="E1868" s="10">
        <v>2524</v>
      </c>
      <c r="F1868" s="3" t="str">
        <v>Iya</v>
      </c>
      <c r="G1868" s="4">
        <v>45957</v>
      </c>
      <c r="H1868" s="10">
        <v>2524</v>
      </c>
    </row>
    <row r="1869" spans="1:8">
      <c r="A1869" s="3">
        <v>1868</v>
      </c>
      <c r="B1869" s="4">
        <v>46029.630266203712</v>
      </c>
      <c r="C1869" s="5" t="str">
        <v>DAIHATSU GRANMAX PU AC PS 1.5 M/T</v>
      </c>
      <c r="D1869" s="5" t="str">
        <v>B4175FW</v>
      </c>
      <c r="E1869" s="10">
        <v>17825</v>
      </c>
      <c r="F1869" s="3" t="str">
        <v>Iya</v>
      </c>
      <c r="G1869" s="4">
        <v>45989</v>
      </c>
      <c r="H1869" s="10">
        <v>17825</v>
      </c>
    </row>
    <row r="1870" spans="1:8">
      <c r="A1870" s="3">
        <v>1869</v>
      </c>
      <c r="B1870" s="4">
        <v>46029.631909722222</v>
      </c>
      <c r="C1870" s="5" t="str">
        <v>DAIHATSU GRANMAX PU AC PS 1.5 M/T</v>
      </c>
      <c r="D1870" s="5" t="str">
        <v>KT1997VYG</v>
      </c>
      <c r="E1870" s="10">
        <v>2158</v>
      </c>
      <c r="F1870" s="3" t="str">
        <v>Iya</v>
      </c>
      <c r="G1870" s="4">
        <v>46002</v>
      </c>
      <c r="H1870" s="10">
        <v>2158</v>
      </c>
    </row>
    <row r="1871" spans="1:8">
      <c r="A1871" s="3">
        <v>1870</v>
      </c>
      <c r="B1871" s="4">
        <v>46029.632743055547</v>
      </c>
      <c r="C1871" s="5" t="str">
        <v>DAIHATSU GRANMAX PU AC PS 1.5 M/T</v>
      </c>
      <c r="D1871" s="5" t="str">
        <v>B6483WV</v>
      </c>
      <c r="E1871" s="10">
        <v>16045</v>
      </c>
      <c r="F1871" s="3" t="str">
        <v>Iya</v>
      </c>
      <c r="G1871" s="4">
        <v>46028</v>
      </c>
      <c r="H1871" s="10">
        <v>16045</v>
      </c>
    </row>
    <row r="1872" spans="1:8">
      <c r="A1872" s="3">
        <v>1871</v>
      </c>
      <c r="B1872" s="4">
        <v>46029.638020833343</v>
      </c>
      <c r="C1872" s="5" t="str">
        <v>DAIHATSU GRANMAX PU AC PS 1.5 M/T</v>
      </c>
      <c r="D1872" s="5" t="str">
        <v>B7723FZ</v>
      </c>
      <c r="E1872" s="10">
        <v>5225</v>
      </c>
      <c r="F1872" s="3" t="str">
        <v>Iya</v>
      </c>
      <c r="G1872" s="4">
        <v>45883</v>
      </c>
      <c r="H1872" s="10">
        <v>5225</v>
      </c>
    </row>
    <row r="1873" spans="1:8">
      <c r="A1873" s="3">
        <v>1872</v>
      </c>
      <c r="B1873" s="4">
        <v>46029.642581018517</v>
      </c>
      <c r="C1873" s="5" t="str">
        <v>PICK UP TRAGA 2.5 4X2 MT D M/T</v>
      </c>
      <c r="D1873" s="5" t="str">
        <v>B5067LZ</v>
      </c>
      <c r="E1873" s="10">
        <v>38552</v>
      </c>
      <c r="F1873" s="3" t="str">
        <v>Iya</v>
      </c>
      <c r="G1873" s="4">
        <v>45849</v>
      </c>
      <c r="H1873" s="10">
        <v>38552</v>
      </c>
    </row>
    <row r="1874" spans="1:8">
      <c r="A1874" s="3">
        <v>1873</v>
      </c>
      <c r="B1874" s="4">
        <v>46029.650949074072</v>
      </c>
      <c r="C1874" s="5" t="str">
        <v>DAIHATSU GRANMAX PU AC PS 1.5 M/T</v>
      </c>
      <c r="D1874" s="5" t="str">
        <v>B3561NJ</v>
      </c>
      <c r="E1874" s="10">
        <v>27214</v>
      </c>
      <c r="F1874" s="3" t="str">
        <v>Iya</v>
      </c>
      <c r="G1874" s="4">
        <v>45955</v>
      </c>
      <c r="H1874" s="10">
        <v>27214</v>
      </c>
    </row>
    <row r="1875" spans="1:8">
      <c r="A1875" s="3">
        <v>1874</v>
      </c>
      <c r="B1875" s="4">
        <v>46029.658842592587</v>
      </c>
      <c r="C1875" s="5" t="str">
        <v>DAIHATSU GRANMAX PU AC PS 1.5 M/T</v>
      </c>
      <c r="D1875" s="5" t="str">
        <v>B4884HS</v>
      </c>
      <c r="E1875" s="10">
        <v>3122</v>
      </c>
      <c r="F1875" s="3" t="str">
        <v>Iya</v>
      </c>
      <c r="G1875" s="4">
        <v>45962</v>
      </c>
      <c r="H1875" s="10">
        <v>3122</v>
      </c>
    </row>
    <row r="1876" spans="1:8">
      <c r="A1876" s="3">
        <v>1875</v>
      </c>
      <c r="B1876" s="4">
        <v>46029.661979166667</v>
      </c>
      <c r="C1876" s="5" t="str">
        <v>DAIHATSU GRANMAX PU AC PS 1.5 M/T</v>
      </c>
      <c r="D1876" s="5" t="str">
        <v>B5388UQ</v>
      </c>
      <c r="E1876" s="10">
        <v>52136</v>
      </c>
      <c r="F1876" s="3" t="str">
        <v>Iya</v>
      </c>
      <c r="G1876" s="4">
        <v>45992</v>
      </c>
      <c r="H1876" s="10">
        <v>52136</v>
      </c>
    </row>
    <row r="1877" spans="1:8">
      <c r="A1877" s="3">
        <v>1876</v>
      </c>
      <c r="B1877" s="4">
        <v>46029.684351851851</v>
      </c>
      <c r="C1877" s="5" t="str">
        <v>PICK UP TRAGA 2.5 4X2 MT D M/T</v>
      </c>
      <c r="D1877" s="5" t="str">
        <v>B2514HCV</v>
      </c>
      <c r="E1877" s="10">
        <v>11579</v>
      </c>
      <c r="F1877" s="3" t="str">
        <v>Iya</v>
      </c>
      <c r="G1877" s="4">
        <v>45840</v>
      </c>
      <c r="H1877" s="10">
        <v>11579</v>
      </c>
    </row>
    <row r="1878" spans="1:8">
      <c r="A1878" s="3">
        <v>1877</v>
      </c>
      <c r="B1878" s="4">
        <v>46029.693680555552</v>
      </c>
      <c r="C1878" s="5" t="str">
        <v>DAIHATSU GRANMAX PU AC PS 1.5 M/T</v>
      </c>
      <c r="D1878" s="5" t="str">
        <v>B9946LF</v>
      </c>
      <c r="E1878" s="10">
        <v>33698</v>
      </c>
      <c r="F1878" s="3" t="str">
        <v>Iya</v>
      </c>
      <c r="G1878" s="4">
        <v>45845</v>
      </c>
      <c r="H1878" s="10">
        <v>33698</v>
      </c>
    </row>
    <row r="1879" spans="1:8">
      <c r="A1879" s="3">
        <v>1878</v>
      </c>
      <c r="B1879" s="4">
        <v>46029.717569444438</v>
      </c>
      <c r="C1879" s="5" t="str">
        <v>DAIHATSU GRANMAX PU AC PS 1.5 M/T</v>
      </c>
      <c r="D1879" s="5" t="str">
        <v>AB8116PCJ</v>
      </c>
      <c r="E1879" s="10">
        <v>12647</v>
      </c>
      <c r="F1879" s="3" t="str">
        <v>Iya</v>
      </c>
      <c r="G1879" s="4">
        <v>45912</v>
      </c>
      <c r="H1879" s="10">
        <v>12647</v>
      </c>
    </row>
    <row r="1880" spans="1:8">
      <c r="A1880" s="3">
        <v>1879</v>
      </c>
      <c r="B1880" s="4">
        <v>46030.340798611112</v>
      </c>
      <c r="C1880" s="5" t="str">
        <v>DAIHATSU GRANMAX PU AC PS 1.5 M/T</v>
      </c>
      <c r="D1880" s="5" t="str">
        <v>B4001FJ</v>
      </c>
      <c r="E1880" s="10">
        <v>16297</v>
      </c>
      <c r="F1880" s="3" t="str">
        <v>Iya</v>
      </c>
      <c r="G1880" s="4">
        <v>45953</v>
      </c>
      <c r="H1880" s="10">
        <v>16297</v>
      </c>
    </row>
    <row r="1881" spans="1:8">
      <c r="A1881" s="3">
        <v>1880</v>
      </c>
      <c r="B1881" s="4">
        <v>46030.35428240741</v>
      </c>
      <c r="C1881" s="5" t="str">
        <v>PICK UP TRAGA 2.5 4X2 MT D M/T</v>
      </c>
      <c r="D1881" s="5" t="str">
        <v>B7707TH</v>
      </c>
      <c r="E1881" s="10">
        <v>67411</v>
      </c>
      <c r="F1881" s="3" t="str">
        <v>Iya</v>
      </c>
      <c r="G1881" s="4">
        <v>46027</v>
      </c>
      <c r="H1881" s="10">
        <v>67411</v>
      </c>
    </row>
    <row r="1882" spans="1:8">
      <c r="A1882" s="3">
        <v>1881</v>
      </c>
      <c r="B1882" s="4">
        <v>46030.423379629632</v>
      </c>
      <c r="C1882" s="5" t="str">
        <v>Daihatsu Xenia (Badan)</v>
      </c>
      <c r="D1882" s="5" t="str">
        <v>B8324WSJ</v>
      </c>
      <c r="E1882" s="10">
        <v>15162</v>
      </c>
      <c r="F1882" s="3" t="str">
        <v>Iya</v>
      </c>
      <c r="G1882" s="4">
        <v>45980</v>
      </c>
      <c r="H1882" s="10">
        <v>15162</v>
      </c>
    </row>
    <row r="1883" spans="1:8">
      <c r="A1883" s="3">
        <v>1882</v>
      </c>
      <c r="B1883" s="4">
        <v>46030.454201388893</v>
      </c>
      <c r="C1883" s="5" t="str">
        <v>DAIHATSU GRANMAX PU AC PS 1.5 M/T</v>
      </c>
      <c r="D1883" s="5" t="str">
        <v>B7832GQD</v>
      </c>
      <c r="E1883" s="10">
        <v>32265</v>
      </c>
      <c r="F1883" s="3" t="str">
        <v>Iya</v>
      </c>
      <c r="G1883" s="4">
        <v>45917</v>
      </c>
      <c r="H1883" s="10">
        <v>32265</v>
      </c>
    </row>
    <row r="1884" spans="1:8">
      <c r="A1884" s="3">
        <v>1883</v>
      </c>
      <c r="B1884" s="4">
        <v>46030.454456018517</v>
      </c>
      <c r="C1884" s="5" t="str">
        <v>DAIHATSU GRANMAX PU AC PS 1.5 M/T</v>
      </c>
      <c r="D1884" s="5" t="str">
        <v>B2772EK</v>
      </c>
      <c r="E1884" s="10">
        <v>18372</v>
      </c>
      <c r="F1884" s="3" t="str">
        <v>Iya</v>
      </c>
      <c r="G1884" s="4">
        <v>45874</v>
      </c>
      <c r="H1884" s="10">
        <v>18372</v>
      </c>
    </row>
    <row r="1885" spans="1:8">
      <c r="A1885" s="3">
        <v>1884</v>
      </c>
      <c r="B1885" s="4">
        <v>46030.458680555559</v>
      </c>
      <c r="C1885" s="5" t="str">
        <v>Daihatsu Xenia (Badan)</v>
      </c>
      <c r="D1885" s="5" t="str">
        <v>B2503BE</v>
      </c>
      <c r="E1885" s="10">
        <v>65545</v>
      </c>
      <c r="F1885" s="3" t="str">
        <v>Iya</v>
      </c>
      <c r="G1885" s="4">
        <v>45875</v>
      </c>
      <c r="H1885" s="10">
        <v>65545</v>
      </c>
    </row>
    <row r="1886" spans="1:8">
      <c r="A1886" s="3">
        <v>1885</v>
      </c>
      <c r="B1886" s="4">
        <v>46030.464120370372</v>
      </c>
      <c r="C1886" s="5" t="str">
        <v>DAIHATSU GRANMAX PU AC PS 1.5 M/T</v>
      </c>
      <c r="D1886" s="5" t="str">
        <v>B2342QW</v>
      </c>
      <c r="E1886" s="10">
        <v>12104</v>
      </c>
      <c r="F1886" s="3" t="str">
        <v>Iya</v>
      </c>
      <c r="G1886" s="4">
        <v>46029</v>
      </c>
      <c r="H1886" s="10">
        <v>12104</v>
      </c>
    </row>
    <row r="1887" spans="1:8">
      <c r="A1887" s="3">
        <v>1886</v>
      </c>
      <c r="B1887" s="4">
        <v>46030.581122685187</v>
      </c>
      <c r="C1887" s="5" t="str">
        <v>DAIHATSU GRANMAX PU AC PS 1.5 M/T</v>
      </c>
      <c r="D1887" s="5" t="str">
        <v>B1960LKY</v>
      </c>
      <c r="E1887" s="10">
        <v>49014</v>
      </c>
      <c r="F1887" s="3" t="str">
        <v>Iya</v>
      </c>
      <c r="G1887" s="4">
        <v>45931</v>
      </c>
      <c r="H1887" s="10">
        <v>49014</v>
      </c>
    </row>
    <row r="1888" spans="1:8">
      <c r="A1888" s="3">
        <v>1887</v>
      </c>
      <c r="B1888" s="4">
        <v>46030.640613425923</v>
      </c>
      <c r="C1888" s="5" t="str">
        <v>PICK UP TRAGA 2.5 4X2 MT D M/T</v>
      </c>
      <c r="D1888" s="5" t="str">
        <v>B9006FL</v>
      </c>
      <c r="E1888" s="10">
        <v>25668</v>
      </c>
      <c r="F1888" s="3" t="str">
        <v>Iya</v>
      </c>
      <c r="G1888" s="4">
        <v>45918</v>
      </c>
      <c r="H1888" s="10">
        <v>25668</v>
      </c>
    </row>
    <row r="1889" spans="1:8">
      <c r="A1889" s="3">
        <v>1888</v>
      </c>
      <c r="B1889" s="4">
        <v>46030.642812500002</v>
      </c>
      <c r="C1889" s="5" t="str">
        <v>DAIHATSU GRANMAX PU AC PS 1.5 M/T</v>
      </c>
      <c r="D1889" s="5" t="str">
        <v>B8249PLF</v>
      </c>
      <c r="E1889" s="10">
        <v>9694</v>
      </c>
      <c r="F1889" s="3" t="str">
        <v>Iya</v>
      </c>
      <c r="G1889" s="4">
        <v>46030</v>
      </c>
      <c r="H1889" s="10">
        <v>9694</v>
      </c>
    </row>
    <row r="1890" spans="1:8">
      <c r="A1890" s="3">
        <v>1889</v>
      </c>
      <c r="B1890" s="4">
        <v>46030.660069444442</v>
      </c>
      <c r="C1890" s="5" t="str">
        <v>PICK UP TRAGA 2.5 4X2 MT D M/T</v>
      </c>
      <c r="D1890" s="5" t="str">
        <v>B2965LW</v>
      </c>
      <c r="E1890" s="10">
        <v>17476</v>
      </c>
      <c r="F1890" s="3" t="str">
        <v>Iya</v>
      </c>
      <c r="G1890" s="4">
        <v>46030</v>
      </c>
      <c r="H1890" s="10">
        <v>17476</v>
      </c>
    </row>
    <row r="1891" spans="1:8">
      <c r="A1891" s="3">
        <v>1890</v>
      </c>
      <c r="B1891" s="4">
        <v>46030.689201388886</v>
      </c>
      <c r="C1891" s="5" t="str">
        <v>PICK UP TRAGA 2.5 4X2 MT D M/T</v>
      </c>
      <c r="D1891" s="5" t="str">
        <v>B3245IGH</v>
      </c>
      <c r="E1891" s="10">
        <v>44001</v>
      </c>
      <c r="F1891" s="3" t="str">
        <v>Iya</v>
      </c>
      <c r="G1891" s="4">
        <v>46028</v>
      </c>
      <c r="H1891" s="10">
        <v>44001</v>
      </c>
    </row>
    <row r="1892" spans="1:8">
      <c r="A1892" s="3">
        <v>1891</v>
      </c>
      <c r="B1892" s="4">
        <v>46030.754027777781</v>
      </c>
      <c r="C1892" s="5" t="str">
        <v>DAIHATSU GRANMAX PU AC PS 1.5 M/T</v>
      </c>
      <c r="D1892" s="5" t="str">
        <v>B6224AT</v>
      </c>
      <c r="E1892" s="10">
        <v>19610</v>
      </c>
      <c r="F1892" s="3" t="str">
        <v>Iya</v>
      </c>
      <c r="G1892" s="4">
        <v>46008</v>
      </c>
      <c r="H1892" s="10">
        <v>19610</v>
      </c>
    </row>
    <row r="1893" spans="1:8">
      <c r="A1893" s="3">
        <v>1892</v>
      </c>
      <c r="B1893" s="4">
        <v>46031.385497685187</v>
      </c>
      <c r="C1893" s="5" t="str">
        <v>PICK UP TRAGA 2.5 4X2 MT D M/T</v>
      </c>
      <c r="D1893" s="5" t="str">
        <v>DM5212DL</v>
      </c>
      <c r="E1893" s="10">
        <v>10086</v>
      </c>
      <c r="F1893" s="3" t="str">
        <v>Iya</v>
      </c>
      <c r="G1893" s="4">
        <v>46031</v>
      </c>
      <c r="H1893" s="10">
        <v>10086</v>
      </c>
    </row>
    <row r="1894" spans="1:8">
      <c r="A1894" s="3">
        <v>1893</v>
      </c>
      <c r="B1894" s="4">
        <v>46031.466793981483</v>
      </c>
      <c r="C1894" s="5" t="str">
        <v>DAIHATSU GRANMAX PU AC PS 1.5 M/T</v>
      </c>
      <c r="D1894" s="5" t="str">
        <v>B4124TR</v>
      </c>
      <c r="E1894" s="10">
        <v>7032</v>
      </c>
      <c r="F1894" s="3" t="str">
        <v>Iya</v>
      </c>
      <c r="G1894" s="4">
        <v>45832</v>
      </c>
      <c r="H1894" s="10">
        <v>7032</v>
      </c>
    </row>
    <row r="1895" spans="1:8">
      <c r="A1895" s="3">
        <v>1894</v>
      </c>
      <c r="B1895" s="4">
        <v>46031.468182870369</v>
      </c>
      <c r="C1895" s="5" t="str">
        <v>DAIHATSU GRANMAX PU AC PS 1.5 M/T</v>
      </c>
      <c r="D1895" s="5" t="str">
        <v>B7274AH</v>
      </c>
      <c r="E1895" s="10">
        <v>14483</v>
      </c>
      <c r="F1895" s="3" t="str">
        <v>Iya</v>
      </c>
      <c r="G1895" s="4">
        <v>45863</v>
      </c>
      <c r="H1895" s="10">
        <v>14483</v>
      </c>
    </row>
    <row r="1896" spans="1:8">
      <c r="A1896" s="3">
        <v>1895</v>
      </c>
      <c r="B1896" s="4">
        <v>46031.477418981478</v>
      </c>
      <c r="C1896" s="5" t="str">
        <v>DAIHATSU GRANMAX PU AC PS 1.5 M/T</v>
      </c>
      <c r="D1896" s="5" t="str">
        <v>B5541LZ</v>
      </c>
      <c r="E1896" s="10">
        <v>23428</v>
      </c>
      <c r="F1896" s="3" t="str">
        <v>Iya</v>
      </c>
      <c r="G1896" s="4">
        <v>45985</v>
      </c>
      <c r="H1896" s="10">
        <v>23428</v>
      </c>
    </row>
    <row r="1897" spans="1:8">
      <c r="A1897" s="3">
        <v>1896</v>
      </c>
      <c r="B1897" s="4">
        <v>46031.565196759257</v>
      </c>
      <c r="C1897" s="5" t="str">
        <v>DAIHATSU GRANMAX PU AC PS 1.5 M/T</v>
      </c>
      <c r="D1897" s="5" t="str">
        <v>B8878HRL</v>
      </c>
      <c r="E1897" s="10">
        <v>4899</v>
      </c>
      <c r="F1897" s="3" t="str">
        <v>Iya</v>
      </c>
      <c r="G1897" s="4">
        <v>45952</v>
      </c>
      <c r="H1897" s="10">
        <v>4899</v>
      </c>
    </row>
    <row r="1898" spans="1:8">
      <c r="A1898" s="3">
        <v>1897</v>
      </c>
      <c r="B1898" s="4">
        <v>46031.642268518517</v>
      </c>
      <c r="C1898" s="5" t="str">
        <v>PICK UP TRAGA 2.5 4X2 MT D M/T</v>
      </c>
      <c r="D1898" s="5" t="str">
        <v>B2404HI</v>
      </c>
      <c r="E1898" s="10">
        <v>34695</v>
      </c>
      <c r="F1898" s="3" t="str">
        <v>Iya</v>
      </c>
      <c r="G1898" s="4">
        <v>45848</v>
      </c>
      <c r="H1898" s="10">
        <v>34695</v>
      </c>
    </row>
    <row r="1899" spans="1:8">
      <c r="A1899" s="3">
        <v>1898</v>
      </c>
      <c r="B1899" s="4">
        <v>46031.685879629629</v>
      </c>
      <c r="C1899" s="5" t="str">
        <v>DAIHATSU GRANMAX PU AC PS 1.5 M/T</v>
      </c>
      <c r="D1899" s="5" t="str">
        <v>KT2986WG</v>
      </c>
      <c r="E1899" s="10">
        <v>42134</v>
      </c>
      <c r="F1899" s="3" t="str">
        <v>Iya</v>
      </c>
      <c r="G1899" s="4">
        <v>45958</v>
      </c>
      <c r="H1899" s="10">
        <v>42134</v>
      </c>
    </row>
    <row r="1900" spans="1:8">
      <c r="A1900" s="3">
        <v>1899</v>
      </c>
      <c r="B1900" s="4">
        <v>46031.686990740738</v>
      </c>
      <c r="C1900" s="5" t="str">
        <v>PICK UP TRAGA 2.5 4X2 MT D M/T</v>
      </c>
      <c r="D1900" s="5" t="str">
        <v>B8659VBE</v>
      </c>
      <c r="E1900" s="10">
        <v>85294</v>
      </c>
      <c r="F1900" s="3" t="str">
        <v>Iya</v>
      </c>
      <c r="G1900" s="4">
        <v>45933</v>
      </c>
      <c r="H1900" s="10">
        <v>85294</v>
      </c>
    </row>
    <row r="1901" spans="1:8">
      <c r="A1901" s="3">
        <v>1900</v>
      </c>
      <c r="B1901" s="4">
        <v>46031.704895833333</v>
      </c>
      <c r="C1901" s="5" t="str">
        <v>Daihatsu Xenia (Badan)</v>
      </c>
      <c r="D1901" s="5" t="str">
        <v>DA9877GL</v>
      </c>
      <c r="E1901" s="10">
        <v>41587</v>
      </c>
      <c r="F1901" s="3" t="str">
        <v>Iya</v>
      </c>
      <c r="G1901" s="4">
        <v>46002</v>
      </c>
      <c r="H1901" s="10">
        <v>41587</v>
      </c>
    </row>
    <row r="1902" spans="1:8">
      <c r="A1902" s="3">
        <v>1901</v>
      </c>
      <c r="B1902" s="4">
        <v>46031.746053240742</v>
      </c>
      <c r="C1902" s="5" t="str">
        <v>Daihatsu Xenia (Badan)</v>
      </c>
      <c r="D1902" s="5" t="str">
        <v>B6257GSZ</v>
      </c>
      <c r="E1902" s="10">
        <v>18202</v>
      </c>
      <c r="F1902" s="3" t="str">
        <v>Iya</v>
      </c>
      <c r="G1902" s="4">
        <v>45944</v>
      </c>
      <c r="H1902" s="10">
        <v>18202</v>
      </c>
    </row>
    <row r="1903" spans="1:8">
      <c r="A1903" s="3">
        <v>1902</v>
      </c>
      <c r="B1903" s="4">
        <v>46031.766817129632</v>
      </c>
      <c r="C1903" s="5" t="str">
        <v>PICK UP TRAGA 2.5 4X2 MT D M/T</v>
      </c>
      <c r="D1903" s="5" t="str">
        <v>B5879BX</v>
      </c>
      <c r="E1903" s="10">
        <v>67396</v>
      </c>
      <c r="F1903" s="3" t="str">
        <v>Iya</v>
      </c>
      <c r="G1903" s="4">
        <v>45954</v>
      </c>
      <c r="H1903" s="10">
        <v>67396</v>
      </c>
    </row>
    <row r="1904" spans="1:8">
      <c r="A1904" s="3">
        <v>1903</v>
      </c>
      <c r="B1904" s="4">
        <v>46031.839479166672</v>
      </c>
      <c r="C1904" s="5" t="str">
        <v>DAIHATSU GRANMAX PU AC PS 1.5 M/T</v>
      </c>
      <c r="D1904" s="5" t="str">
        <v>B8230YP</v>
      </c>
      <c r="E1904" s="10">
        <v>32515</v>
      </c>
      <c r="F1904" s="3" t="str">
        <v>Iya</v>
      </c>
      <c r="G1904" s="4">
        <v>45898</v>
      </c>
      <c r="H1904" s="10">
        <v>32515</v>
      </c>
    </row>
    <row r="1905" spans="1:8">
      <c r="A1905" s="3">
        <v>1904</v>
      </c>
      <c r="B1905" s="4">
        <v>46032.380567129629</v>
      </c>
      <c r="C1905" s="5" t="str">
        <v>PICK UP TRAGA 2.5 4X2 MT D M/T</v>
      </c>
      <c r="D1905" s="5" t="str">
        <v>B9170TN</v>
      </c>
      <c r="E1905" s="10">
        <v>48565</v>
      </c>
      <c r="F1905" s="3" t="str">
        <v>Iya</v>
      </c>
      <c r="G1905" s="4">
        <v>45936</v>
      </c>
      <c r="H1905" s="10">
        <v>48565</v>
      </c>
    </row>
    <row r="1906" spans="1:8">
      <c r="A1906" s="3">
        <v>1905</v>
      </c>
      <c r="B1906" s="4">
        <v>46032.407372685193</v>
      </c>
      <c r="C1906" s="5" t="str">
        <v>DAIHATSU GRANMAX PU AC PS 1.5 M/T</v>
      </c>
      <c r="D1906" s="5" t="str">
        <v>B7960GK</v>
      </c>
      <c r="E1906" s="10">
        <v>22754</v>
      </c>
      <c r="F1906" s="3" t="str">
        <v>Iya</v>
      </c>
      <c r="G1906" s="4">
        <v>45668</v>
      </c>
      <c r="H1906" s="10">
        <v>22754</v>
      </c>
    </row>
    <row r="1907" spans="1:8">
      <c r="A1907" s="3">
        <v>1906</v>
      </c>
      <c r="B1907" s="4">
        <v>46032.424444444441</v>
      </c>
      <c r="C1907" s="5" t="str">
        <v>DAIHATSU GRANMAX PU AC PS 1.5 M/T</v>
      </c>
      <c r="D1907" s="5" t="str">
        <v>B2491RA</v>
      </c>
      <c r="E1907" s="10">
        <v>66159</v>
      </c>
      <c r="F1907" s="3" t="str">
        <v>Iya</v>
      </c>
      <c r="G1907" s="4">
        <v>45926</v>
      </c>
      <c r="H1907" s="10">
        <v>66159</v>
      </c>
    </row>
    <row r="1908" spans="1:8">
      <c r="A1908" s="3">
        <v>1907</v>
      </c>
      <c r="B1908" s="4">
        <v>46032.43613425926</v>
      </c>
      <c r="C1908" s="5" t="str">
        <v>DAIHATSU GRANMAX PU AC PS 1.5 M/T</v>
      </c>
      <c r="D1908" s="5" t="str">
        <v>D8603EG</v>
      </c>
      <c r="E1908" s="10">
        <v>20782</v>
      </c>
      <c r="F1908" s="3" t="str">
        <v>Iya</v>
      </c>
      <c r="G1908" s="4">
        <v>45878</v>
      </c>
      <c r="H1908" s="10">
        <v>20782</v>
      </c>
    </row>
    <row r="1909" spans="1:8">
      <c r="A1909" s="3">
        <v>1908</v>
      </c>
      <c r="B1909" s="4">
        <v>46032.527442129627</v>
      </c>
      <c r="C1909" s="5" t="str">
        <v>Daihatsu Xenia (Badan)</v>
      </c>
      <c r="D1909" s="5" t="str">
        <v>B7690JA</v>
      </c>
      <c r="E1909" s="10">
        <v>20678</v>
      </c>
      <c r="F1909" s="3" t="str">
        <v>Iya</v>
      </c>
      <c r="G1909" s="4">
        <v>46021</v>
      </c>
      <c r="H1909" s="10">
        <v>20678</v>
      </c>
    </row>
    <row r="1910" spans="1:8">
      <c r="A1910" s="3">
        <v>1909</v>
      </c>
      <c r="B1910" s="4">
        <v>46032.799525462957</v>
      </c>
      <c r="C1910" s="5" t="str">
        <v>PICK UP TRAGA 2.5 4X2 MT D M/T</v>
      </c>
      <c r="D1910" s="5" t="str">
        <v>B9624HE</v>
      </c>
      <c r="E1910" s="10">
        <v>122170</v>
      </c>
      <c r="F1910" s="3" t="str">
        <v>Iya</v>
      </c>
      <c r="G1910" s="4">
        <v>45972</v>
      </c>
      <c r="H1910" s="10">
        <v>122170</v>
      </c>
    </row>
    <row r="1911" spans="1:8">
      <c r="A1911" s="3">
        <v>1910</v>
      </c>
      <c r="B1911" s="4">
        <v>46034.433969907397</v>
      </c>
      <c r="C1911" s="5" t="str">
        <v>DAIHATSU GRANMAX PU AC PS 1.5 M/T</v>
      </c>
      <c r="D1911" s="5" t="str">
        <v>B9274GSS</v>
      </c>
      <c r="E1911" s="10">
        <v>45544</v>
      </c>
      <c r="F1911" s="3" t="str">
        <v>Iya</v>
      </c>
      <c r="G1911" s="4">
        <v>45988</v>
      </c>
      <c r="H1911" s="10">
        <v>45544</v>
      </c>
    </row>
    <row r="1912" spans="1:8">
      <c r="A1912" s="3">
        <v>1911</v>
      </c>
      <c r="B1912" s="4">
        <v>46034.448946759258</v>
      </c>
      <c r="C1912" s="5" t="str">
        <v>DAIHATSU GRANMAX PU AC PS 1.5 M/T</v>
      </c>
      <c r="D1912" s="5" t="str">
        <v>B5205ZM</v>
      </c>
      <c r="E1912" s="10">
        <v>26477</v>
      </c>
      <c r="F1912" s="3" t="str">
        <v>Iya</v>
      </c>
      <c r="G1912" s="4">
        <v>45889</v>
      </c>
      <c r="H1912" s="10">
        <v>26477</v>
      </c>
    </row>
    <row r="1913" spans="1:8">
      <c r="A1913" s="3">
        <v>1912</v>
      </c>
      <c r="B1913" s="4">
        <v>46034.511122685188</v>
      </c>
      <c r="C1913" s="5" t="str">
        <v>DAIHATSU GRANMAX PU AC PS 1.5 M/T</v>
      </c>
      <c r="D1913" s="5" t="str">
        <v>B3545GSF</v>
      </c>
      <c r="E1913" s="10">
        <v>3679</v>
      </c>
      <c r="F1913" s="3" t="str">
        <v>Iya</v>
      </c>
      <c r="G1913" s="4">
        <v>45890</v>
      </c>
      <c r="H1913" s="10">
        <v>3679</v>
      </c>
    </row>
    <row r="1914" spans="1:8">
      <c r="A1914" s="3">
        <v>1913</v>
      </c>
      <c r="B1914" s="4">
        <v>46034.525219907409</v>
      </c>
      <c r="C1914" s="5" t="str">
        <v>PICK UP TRAGA 2.5 4X2 MT D M/T</v>
      </c>
      <c r="D1914" s="5" t="str">
        <v>B4950DFS</v>
      </c>
      <c r="E1914" s="10">
        <v>682</v>
      </c>
      <c r="F1914" s="3" t="str">
        <v>Iya</v>
      </c>
      <c r="G1914" s="4">
        <v>45999</v>
      </c>
      <c r="H1914" s="10">
        <v>682</v>
      </c>
    </row>
    <row r="1915" spans="1:8">
      <c r="A1915" s="3">
        <v>1914</v>
      </c>
      <c r="B1915" s="4">
        <v>46035.663923611108</v>
      </c>
      <c r="C1915" s="5" t="str">
        <v>DAIHATSU GRANMAX PU AC PS 1.5 M/T</v>
      </c>
      <c r="D1915" s="5" t="str">
        <v>B7390TQ</v>
      </c>
      <c r="E1915" s="10">
        <v>45375</v>
      </c>
      <c r="F1915" s="3" t="str">
        <v>Iya</v>
      </c>
      <c r="G1915" s="4">
        <v>46029</v>
      </c>
      <c r="H1915" s="10">
        <v>45375</v>
      </c>
    </row>
    <row r="1916" spans="1:8">
      <c r="A1916" s="3">
        <v>1915</v>
      </c>
      <c r="B1916" s="4">
        <v>46043.374814814822</v>
      </c>
      <c r="C1916" s="5" t="str">
        <v>PICK UP TRAGA 2.5 4X2 MT D M/T</v>
      </c>
      <c r="D1916" s="5" t="str">
        <v>DD5905FD</v>
      </c>
      <c r="E1916" s="10">
        <v>44351</v>
      </c>
      <c r="F1916" s="3" t="str">
        <v>Iya</v>
      </c>
      <c r="G1916" s="4">
        <v>46003</v>
      </c>
      <c r="H1916" s="10">
        <v>44351</v>
      </c>
    </row>
    <row r="1917" spans="1:8">
      <c r="A1917" s="3">
        <v>1916</v>
      </c>
      <c r="B1917" s="4">
        <v>46043.377916666657</v>
      </c>
      <c r="C1917" s="5" t="str">
        <v>PICK UP TRAGA 2.5 4X2 MT D M/T</v>
      </c>
      <c r="D1917" s="5" t="str">
        <v>B3406ZUA</v>
      </c>
      <c r="E1917" s="10">
        <v>68390</v>
      </c>
      <c r="F1917" s="3" t="str">
        <v>Iya</v>
      </c>
      <c r="G1917" s="4">
        <v>45938</v>
      </c>
      <c r="H1917" s="10">
        <v>68390</v>
      </c>
    </row>
    <row r="1918" spans="1:8">
      <c r="A1918" s="3">
        <v>1917</v>
      </c>
      <c r="B1918" s="4">
        <v>46043.381585648152</v>
      </c>
      <c r="C1918" s="5" t="str">
        <v>PICK UP TRAGA 2.5 4X2 MT D M/T</v>
      </c>
      <c r="D1918" s="5" t="str">
        <v>B8491EZ</v>
      </c>
      <c r="E1918" s="10">
        <v>16291</v>
      </c>
      <c r="F1918" s="3" t="str">
        <v>Iya</v>
      </c>
      <c r="G1918" s="4">
        <v>46027</v>
      </c>
      <c r="H1918" s="10">
        <v>16291</v>
      </c>
    </row>
    <row r="1919" spans="1:8">
      <c r="A1919" s="3">
        <v>1918</v>
      </c>
      <c r="B1919" s="4">
        <v>46043.384398148148</v>
      </c>
      <c r="C1919" s="5" t="str">
        <v>DAIHATSU GRANMAX PU AC PS 1.5 M/T</v>
      </c>
      <c r="D1919" s="5" t="str">
        <v>B3294MFT</v>
      </c>
      <c r="E1919" s="10">
        <v>3932</v>
      </c>
      <c r="F1919" s="3" t="str">
        <v>Iya</v>
      </c>
      <c r="G1919" s="4">
        <v>45994</v>
      </c>
      <c r="H1919" s="10">
        <v>3932</v>
      </c>
    </row>
    <row r="1920" spans="1:8">
      <c r="A1920" s="3">
        <v>1919</v>
      </c>
      <c r="B1920" s="4">
        <v>46043.385462962957</v>
      </c>
      <c r="C1920" s="5" t="str">
        <v>PICK UP TRAGA 2.5 4X2 MT D M/T</v>
      </c>
      <c r="D1920" s="5" t="str">
        <v>B6598EX</v>
      </c>
      <c r="E1920" s="10">
        <v>25355</v>
      </c>
      <c r="F1920" s="3" t="str">
        <v>Iya</v>
      </c>
      <c r="G1920" s="4">
        <v>46035</v>
      </c>
      <c r="H1920" s="10">
        <v>25355</v>
      </c>
    </row>
    <row r="1921" spans="1:8">
      <c r="A1921" s="3">
        <v>1920</v>
      </c>
      <c r="B1921" s="4">
        <v>46043.398344907408</v>
      </c>
      <c r="C1921" s="5" t="str">
        <v>DAIHATSU GRANMAX PU AC PS 1.5 M/T</v>
      </c>
      <c r="D1921" s="5" t="str">
        <v>B7692UCT</v>
      </c>
      <c r="E1921" s="10">
        <v>11307</v>
      </c>
      <c r="F1921" s="3" t="str">
        <v>Iya</v>
      </c>
      <c r="G1921" s="4">
        <v>46022</v>
      </c>
      <c r="H1921" s="10">
        <v>11307</v>
      </c>
    </row>
    <row r="1922" spans="1:8">
      <c r="A1922" s="3">
        <v>1921</v>
      </c>
      <c r="B1922" s="4">
        <v>46043.401006944441</v>
      </c>
      <c r="C1922" s="5" t="str">
        <v>DAIHATSU GRANMAX PU AC PS 1.5 M/T</v>
      </c>
      <c r="D1922" s="5" t="str">
        <v>B5918LZ</v>
      </c>
      <c r="E1922" s="10">
        <v>99276</v>
      </c>
      <c r="F1922" s="3" t="str">
        <v>Iya</v>
      </c>
      <c r="G1922" s="4">
        <v>45985</v>
      </c>
      <c r="H1922" s="10">
        <v>99276</v>
      </c>
    </row>
    <row r="1923" spans="1:8">
      <c r="A1923" s="3">
        <v>1922</v>
      </c>
      <c r="B1923" s="4">
        <v>46043.405972222223</v>
      </c>
      <c r="C1923" s="5" t="str">
        <v>DAIHATSU GRANMAX PU AC PS 1.5 M/T</v>
      </c>
      <c r="D1923" s="5" t="str">
        <v>B8385EAN</v>
      </c>
      <c r="E1923" s="10">
        <v>24363</v>
      </c>
      <c r="F1923" s="3" t="str">
        <v>Iya</v>
      </c>
      <c r="G1923" s="4">
        <v>45992</v>
      </c>
      <c r="H1923" s="10">
        <v>24363</v>
      </c>
    </row>
    <row r="1924" spans="1:8">
      <c r="A1924" s="3">
        <v>1923</v>
      </c>
      <c r="B1924" s="4">
        <v>46043.408506944441</v>
      </c>
      <c r="C1924" s="5" t="str">
        <v>DAIHATSU GRANMAX PU AC PS 1.5 M/T</v>
      </c>
      <c r="D1924" s="5" t="str">
        <v>KT1997VYG</v>
      </c>
      <c r="E1924" s="10">
        <v>3159</v>
      </c>
      <c r="F1924" s="3" t="str">
        <v>Iya</v>
      </c>
      <c r="G1924" s="4">
        <v>46003</v>
      </c>
      <c r="H1924" s="10">
        <v>3159</v>
      </c>
    </row>
    <row r="1925" spans="1:8">
      <c r="A1925" s="3">
        <v>1924</v>
      </c>
      <c r="B1925" s="4">
        <v>46043.410995370366</v>
      </c>
      <c r="C1925" s="5" t="str">
        <v>DAIHATSU GRANMAX PU AC PS 1.5 M/T</v>
      </c>
      <c r="D1925" s="5" t="str">
        <v>B2755MF</v>
      </c>
      <c r="E1925" s="10">
        <v>279</v>
      </c>
      <c r="F1925" s="3" t="str">
        <v>Iya</v>
      </c>
      <c r="G1925" s="4">
        <v>46010</v>
      </c>
      <c r="H1925" s="10">
        <v>279</v>
      </c>
    </row>
    <row r="1926" spans="1:8">
      <c r="A1926" s="3">
        <v>1925</v>
      </c>
      <c r="B1926" s="4">
        <v>46043.412314814806</v>
      </c>
      <c r="C1926" s="5" t="str">
        <v>DAIHATSU GRANMAX PU AC PS 1.5 M/T</v>
      </c>
      <c r="D1926" s="5" t="str">
        <v>B5628US</v>
      </c>
      <c r="E1926" s="10">
        <v>1839</v>
      </c>
      <c r="F1926" s="3" t="str">
        <v>Iya</v>
      </c>
      <c r="G1926" s="4">
        <v>46006</v>
      </c>
      <c r="H1926" s="10">
        <v>1839</v>
      </c>
    </row>
    <row r="1927" spans="1:8">
      <c r="A1927" s="3">
        <v>1926</v>
      </c>
      <c r="B1927" s="4">
        <v>46043.418136574073</v>
      </c>
      <c r="C1927" s="5" t="str">
        <v>DAIHATSU GRANMAX PU AC PS 1.5 M/T</v>
      </c>
      <c r="D1927" s="5" t="str">
        <v>AB8116PCJ</v>
      </c>
      <c r="E1927" s="10">
        <v>12577</v>
      </c>
      <c r="F1927" s="3" t="str">
        <v>Iya</v>
      </c>
      <c r="G1927" s="4">
        <v>46042</v>
      </c>
      <c r="H1927" s="10">
        <v>12577</v>
      </c>
    </row>
    <row r="1928" spans="1:8">
      <c r="A1928" s="3">
        <v>1927</v>
      </c>
      <c r="B1928" s="4">
        <v>46043.418900462973</v>
      </c>
      <c r="C1928" s="5" t="str">
        <v>DAIHATSU GRANMAX PU AC PS 1.5 M/T</v>
      </c>
      <c r="D1928" s="5" t="str">
        <v>B9877USW</v>
      </c>
      <c r="E1928" s="10">
        <v>10236</v>
      </c>
      <c r="F1928" s="3" t="str">
        <v>Iya</v>
      </c>
      <c r="G1928" s="4">
        <v>46034</v>
      </c>
      <c r="H1928" s="10">
        <v>10236</v>
      </c>
    </row>
    <row r="1929" spans="1:8">
      <c r="A1929" s="3">
        <v>1928</v>
      </c>
      <c r="B1929" s="4">
        <v>46043.421481481477</v>
      </c>
      <c r="C1929" s="5" t="str">
        <v>PICK UP TRAGA 2.5 4X2 MT D M/T</v>
      </c>
      <c r="D1929" s="5" t="str">
        <v>B2118PQK</v>
      </c>
      <c r="E1929" s="10">
        <v>55474</v>
      </c>
      <c r="F1929" s="3" t="str">
        <v>Iya</v>
      </c>
      <c r="G1929" s="4">
        <v>46038</v>
      </c>
      <c r="H1929" s="10">
        <v>55474</v>
      </c>
    </row>
    <row r="1930" spans="1:8">
      <c r="A1930" s="3">
        <v>1929</v>
      </c>
      <c r="B1930" s="4">
        <v>46043.42359953704</v>
      </c>
      <c r="C1930" s="5" t="str">
        <v>DAIHATSU GRANMAX PU AC PS 1.5 M/T</v>
      </c>
      <c r="D1930" s="5" t="str">
        <v>B6341YY</v>
      </c>
      <c r="E1930" s="10">
        <v>32031</v>
      </c>
      <c r="F1930" s="3" t="str">
        <v>Iya</v>
      </c>
      <c r="G1930" s="4">
        <v>45962</v>
      </c>
      <c r="H1930" s="10">
        <v>32031</v>
      </c>
    </row>
    <row r="1931" spans="1:8">
      <c r="A1931" s="3">
        <v>1930</v>
      </c>
      <c r="B1931" s="4">
        <v>46043.425798611112</v>
      </c>
      <c r="C1931" s="5" t="str">
        <v>DAIHATSU GRANMAX PU AC PS 1.5 M/T</v>
      </c>
      <c r="D1931" s="5" t="str">
        <v>b5038csc</v>
      </c>
      <c r="E1931" s="10">
        <v>15858</v>
      </c>
      <c r="F1931" s="3" t="str">
        <v>Iya</v>
      </c>
      <c r="G1931" s="4">
        <v>45911</v>
      </c>
      <c r="H1931" s="10">
        <v>15858</v>
      </c>
    </row>
    <row r="1932" spans="1:8">
      <c r="A1932" s="3">
        <v>1931</v>
      </c>
      <c r="B1932" s="4">
        <v>46043.427418981482</v>
      </c>
      <c r="C1932" s="5" t="str">
        <v>PICK UP TRAGA 2.5 4X2 MT D M/T</v>
      </c>
      <c r="D1932" s="5" t="str">
        <v>B3431HDZ</v>
      </c>
      <c r="E1932" s="10">
        <v>34269</v>
      </c>
      <c r="F1932" s="3" t="str">
        <v>Iya</v>
      </c>
      <c r="G1932" s="4">
        <v>46035</v>
      </c>
      <c r="H1932" s="10">
        <v>34269</v>
      </c>
    </row>
    <row r="1933" spans="1:8">
      <c r="A1933" s="3">
        <v>1932</v>
      </c>
      <c r="B1933" s="4">
        <v>46043.427465277768</v>
      </c>
      <c r="C1933" s="5" t="str">
        <v>DAIHATSU GRANMAX PU AC PS 1.5 M/T</v>
      </c>
      <c r="D1933" s="5" t="str">
        <v>B7135IN</v>
      </c>
      <c r="E1933" s="10">
        <v>23148</v>
      </c>
      <c r="F1933" s="3" t="str">
        <v>Iya</v>
      </c>
      <c r="G1933" s="4">
        <v>45910</v>
      </c>
      <c r="H1933" s="10">
        <v>23148</v>
      </c>
    </row>
    <row r="1934" spans="1:8">
      <c r="A1934" s="3">
        <v>1933</v>
      </c>
      <c r="B1934" s="4">
        <v>46043.432129629633</v>
      </c>
      <c r="C1934" s="5" t="str">
        <v>DAIHATSU GRANMAX PU AC PS 1.5 M/T</v>
      </c>
      <c r="D1934" s="5" t="str">
        <v>D8044XW</v>
      </c>
      <c r="E1934" s="10">
        <v>1466</v>
      </c>
      <c r="F1934" s="3" t="str">
        <v>Iya</v>
      </c>
      <c r="G1934" s="4">
        <v>45931</v>
      </c>
      <c r="H1934" s="10">
        <v>1466</v>
      </c>
    </row>
    <row r="1935" spans="1:8">
      <c r="A1935" s="3">
        <v>1934</v>
      </c>
      <c r="B1935" s="4">
        <v>46043.442013888889</v>
      </c>
      <c r="C1935" s="5" t="str">
        <v>DAIHATSU GRANMAX PU AC PS 1.5 M/T</v>
      </c>
      <c r="D1935" s="5" t="str">
        <v>B8753SMF</v>
      </c>
      <c r="E1935" s="10">
        <v>50002</v>
      </c>
      <c r="F1935" s="3" t="str">
        <v>Iya</v>
      </c>
      <c r="G1935" s="4">
        <v>46027</v>
      </c>
      <c r="H1935" s="10">
        <v>50002</v>
      </c>
    </row>
    <row r="1936" spans="1:8">
      <c r="A1936" s="3">
        <v>1935</v>
      </c>
      <c r="B1936" s="4">
        <v>46043.460381944453</v>
      </c>
      <c r="C1936" s="5" t="str">
        <v>PICK UP TRAGA 2.5 4X2 MT D M/T</v>
      </c>
      <c r="D1936" s="5" t="str">
        <v>B6912CV</v>
      </c>
      <c r="E1936" s="10">
        <v>12615</v>
      </c>
      <c r="F1936" s="3" t="str">
        <v>Iya</v>
      </c>
      <c r="G1936" s="4">
        <v>46037</v>
      </c>
      <c r="H1936" s="10">
        <v>12615</v>
      </c>
    </row>
    <row r="1937" spans="1:8">
      <c r="A1937" s="3">
        <v>1936</v>
      </c>
      <c r="B1937" s="4">
        <v>46043.46570601852</v>
      </c>
      <c r="C1937" s="5" t="str">
        <v>PICK UP TRAGA 2.5 4X2 MT D M/T</v>
      </c>
      <c r="D1937" s="5" t="str">
        <v>B8803CF</v>
      </c>
      <c r="E1937" s="10">
        <v>4034</v>
      </c>
      <c r="F1937" s="3" t="str">
        <v>Iya</v>
      </c>
      <c r="G1937" s="4">
        <v>45952</v>
      </c>
      <c r="H1937" s="10">
        <v>4034</v>
      </c>
    </row>
    <row r="1938" spans="1:8">
      <c r="A1938" s="3">
        <v>1937</v>
      </c>
      <c r="B1938" s="4">
        <v>46043.468530092592</v>
      </c>
      <c r="C1938" s="5" t="str">
        <v>PICK UP TRAGA 2.5 4X2 MT D M/T</v>
      </c>
      <c r="D1938" s="5" t="str">
        <v>B2293BCX</v>
      </c>
      <c r="E1938" s="10">
        <v>12366</v>
      </c>
      <c r="F1938" s="3" t="str">
        <v>Iya</v>
      </c>
      <c r="G1938" s="4">
        <v>46013</v>
      </c>
      <c r="H1938" s="10">
        <v>12366</v>
      </c>
    </row>
    <row r="1939" spans="1:8">
      <c r="A1939" s="3">
        <v>1938</v>
      </c>
      <c r="B1939" s="4">
        <v>46043.475115740737</v>
      </c>
      <c r="C1939" s="5" t="str">
        <v>DAIHATSU GRANMAX PU AC PS 1.5 M/T</v>
      </c>
      <c r="D1939" s="5" t="str">
        <v>DA1719BR</v>
      </c>
      <c r="E1939" s="10">
        <v>252</v>
      </c>
      <c r="F1939" s="3" t="str">
        <v>Iya</v>
      </c>
      <c r="G1939" s="4">
        <v>46031</v>
      </c>
      <c r="H1939" s="10">
        <v>252</v>
      </c>
    </row>
    <row r="1940" spans="1:8">
      <c r="A1940" s="3">
        <v>1939</v>
      </c>
      <c r="B1940" s="4">
        <v>46043.481817129628</v>
      </c>
      <c r="C1940" s="5" t="str">
        <v>PICK UP TRAGA 2.5 4X2 MT D M/T</v>
      </c>
      <c r="D1940" s="5" t="str">
        <v>B7759RV</v>
      </c>
      <c r="E1940" s="10">
        <v>7646</v>
      </c>
      <c r="F1940" s="3" t="str">
        <v>Iya</v>
      </c>
      <c r="G1940" s="4">
        <v>46002</v>
      </c>
      <c r="H1940" s="10">
        <v>7646</v>
      </c>
    </row>
    <row r="1941" spans="1:8">
      <c r="A1941" s="3">
        <v>1940</v>
      </c>
      <c r="B1941" s="4">
        <v>46043.491331018522</v>
      </c>
      <c r="C1941" s="5" t="str">
        <v>DAIHATSU GRANMAX PU AC PS 1.5 M/T</v>
      </c>
      <c r="D1941" s="5" t="str">
        <v>B9409VZ</v>
      </c>
      <c r="E1941" s="10">
        <v>21729</v>
      </c>
      <c r="F1941" s="3" t="str">
        <v>Iya</v>
      </c>
      <c r="G1941" s="4">
        <v>45903</v>
      </c>
      <c r="H1941" s="10">
        <v>21729</v>
      </c>
    </row>
    <row r="1942" spans="1:8">
      <c r="A1942" s="3">
        <v>1941</v>
      </c>
      <c r="B1942" s="4">
        <v>46043.494606481479</v>
      </c>
      <c r="C1942" s="5" t="str">
        <v>DAIHATSU GRANMAX PU AC PS 1.5 M/T</v>
      </c>
      <c r="D1942" s="5" t="str">
        <v>B1229TQ</v>
      </c>
      <c r="E1942" s="10">
        <v>22330</v>
      </c>
      <c r="F1942" s="3" t="str">
        <v>Iya</v>
      </c>
      <c r="G1942" s="4">
        <v>45988</v>
      </c>
      <c r="H1942" s="10">
        <v>22330</v>
      </c>
    </row>
    <row r="1943" spans="1:8">
      <c r="A1943" s="3">
        <v>1942</v>
      </c>
      <c r="B1943" s="4">
        <v>46043.50980324074</v>
      </c>
      <c r="C1943" s="5" t="str">
        <v>PICK UP TRAGA 2.5 4X2 MT D M/T</v>
      </c>
      <c r="D1943" s="5" t="str">
        <v>B4162QMK</v>
      </c>
      <c r="E1943" s="10">
        <v>8972</v>
      </c>
      <c r="F1943" s="3" t="str">
        <v>Iya</v>
      </c>
      <c r="G1943" s="4">
        <v>46034</v>
      </c>
      <c r="H1943" s="10">
        <v>8972</v>
      </c>
    </row>
    <row r="1944" spans="1:8">
      <c r="A1944" s="3">
        <v>1943</v>
      </c>
      <c r="B1944" s="4">
        <v>46043.528541666667</v>
      </c>
      <c r="C1944" s="5" t="str">
        <v>DAIHATSU GRANMAX PU AC PS 1.5 M/T</v>
      </c>
      <c r="D1944" s="5" t="str">
        <v>B4175FW</v>
      </c>
      <c r="E1944" s="10">
        <v>59735</v>
      </c>
      <c r="F1944" s="3" t="str">
        <v>Iya</v>
      </c>
      <c r="G1944" s="4">
        <v>45969</v>
      </c>
      <c r="H1944" s="10">
        <v>59735</v>
      </c>
    </row>
    <row r="1945" spans="1:8">
      <c r="A1945" s="3">
        <v>1944</v>
      </c>
      <c r="B1945" s="4">
        <v>46043.53324074074</v>
      </c>
      <c r="C1945" s="5" t="str">
        <v>DAIHATSU GRANMAX PU AC PS 1.5 M/T</v>
      </c>
      <c r="D1945" s="5" t="str">
        <v>B8613WYE</v>
      </c>
      <c r="E1945" s="10">
        <v>60356</v>
      </c>
      <c r="F1945" s="3" t="str">
        <v>Iya</v>
      </c>
      <c r="G1945" s="4">
        <v>45934</v>
      </c>
      <c r="H1945" s="10">
        <v>60356</v>
      </c>
    </row>
    <row r="1946" spans="1:8">
      <c r="A1946" s="3">
        <v>1945</v>
      </c>
      <c r="B1946" s="4">
        <v>46043.534618055557</v>
      </c>
      <c r="C1946" s="5" t="str">
        <v>DAIHATSU GRANMAX PU AC PS 1.5 M/T</v>
      </c>
      <c r="D1946" s="5" t="str">
        <v>B6407IG</v>
      </c>
      <c r="E1946" s="10">
        <v>1428</v>
      </c>
      <c r="F1946" s="3" t="str">
        <v>Iya</v>
      </c>
      <c r="G1946" s="4">
        <v>45986</v>
      </c>
      <c r="H1946" s="10">
        <v>1428</v>
      </c>
    </row>
    <row r="1947" spans="1:8">
      <c r="A1947" s="3">
        <v>1946</v>
      </c>
      <c r="B1947" s="4">
        <v>46043.554340277777</v>
      </c>
      <c r="C1947" s="5" t="str">
        <v>DAIHATSU GRANMAX PU AC PS 1.5 M/T</v>
      </c>
      <c r="D1947" s="5" t="str">
        <v>B4034IWU</v>
      </c>
      <c r="E1947" s="10">
        <v>32568</v>
      </c>
      <c r="F1947" s="3" t="str">
        <v>Iya</v>
      </c>
      <c r="G1947" s="4">
        <v>45885</v>
      </c>
      <c r="H1947" s="10">
        <v>32568</v>
      </c>
    </row>
    <row r="1948" spans="1:8">
      <c r="A1948" s="3">
        <v>1947</v>
      </c>
      <c r="B1948" s="4">
        <v>46043.563703703701</v>
      </c>
      <c r="C1948" s="5" t="str">
        <v>DAIHATSU GRANMAX PU AC PS 1.5 M/T</v>
      </c>
      <c r="D1948" s="5" t="str">
        <v>B3540VF</v>
      </c>
      <c r="E1948" s="10">
        <v>19951</v>
      </c>
      <c r="F1948" s="3" t="str">
        <v>Iya</v>
      </c>
      <c r="G1948" s="4">
        <v>45911</v>
      </c>
      <c r="H1948" s="10">
        <v>19951</v>
      </c>
    </row>
    <row r="1949" spans="1:8">
      <c r="A1949" s="3">
        <v>1948</v>
      </c>
      <c r="B1949" s="4">
        <v>46043.577337962961</v>
      </c>
      <c r="C1949" s="5" t="str">
        <v>DAIHATSU GRANMAX PU AC PS 1.5 M/T</v>
      </c>
      <c r="D1949" s="5" t="str">
        <v>B7069IU</v>
      </c>
      <c r="E1949" s="10">
        <v>11900</v>
      </c>
      <c r="F1949" s="3" t="str">
        <v>Iya</v>
      </c>
      <c r="G1949" s="4">
        <v>46025</v>
      </c>
      <c r="H1949" s="10">
        <v>11900</v>
      </c>
    </row>
    <row r="1950" spans="1:8">
      <c r="A1950" s="3">
        <v>1949</v>
      </c>
      <c r="B1950" s="4">
        <v>46043.590694444443</v>
      </c>
      <c r="C1950" s="5" t="str">
        <v>PICK UP TRAGA 2.5 4X2 MT D M/T</v>
      </c>
      <c r="D1950" s="5" t="str">
        <v>B1167YL</v>
      </c>
      <c r="E1950" s="10">
        <v>38184</v>
      </c>
      <c r="F1950" s="3" t="str">
        <v>Iya</v>
      </c>
      <c r="G1950" s="4">
        <v>45953</v>
      </c>
      <c r="H1950" s="10">
        <v>38184</v>
      </c>
    </row>
    <row r="1951" spans="1:8">
      <c r="A1951" s="3">
        <v>1950</v>
      </c>
      <c r="B1951" s="4">
        <v>46043.608275462961</v>
      </c>
      <c r="C1951" s="5" t="str">
        <v>DAIHATSU GRANMAX PU AC PS 1.5 M/T</v>
      </c>
      <c r="D1951" s="5" t="str">
        <v>B1960LKY</v>
      </c>
      <c r="E1951" s="10">
        <v>51528</v>
      </c>
      <c r="F1951" s="3" t="str">
        <v>Iya</v>
      </c>
      <c r="G1951" s="4">
        <v>45931</v>
      </c>
      <c r="H1951" s="10">
        <v>51528</v>
      </c>
    </row>
    <row r="1952" spans="1:8">
      <c r="A1952" s="3">
        <v>1951</v>
      </c>
      <c r="B1952" s="4">
        <v>46043.61042824074</v>
      </c>
      <c r="C1952" s="5" t="str">
        <v>DAIHATSU GRANMAX PU AC PS 1.5 M/T</v>
      </c>
      <c r="D1952" s="5" t="str">
        <v>B9409VZ</v>
      </c>
      <c r="E1952" s="10">
        <v>22151</v>
      </c>
      <c r="F1952" s="3" t="str">
        <v>Iya</v>
      </c>
      <c r="G1952" s="4">
        <v>45903</v>
      </c>
      <c r="H1952" s="10">
        <v>22151</v>
      </c>
    </row>
    <row r="1953" spans="1:8">
      <c r="A1953" s="3">
        <v>1952</v>
      </c>
      <c r="B1953" s="4">
        <v>46043.622685185182</v>
      </c>
      <c r="C1953" s="5" t="str">
        <v>PICK UP TRAGA 2.5 4X2 MT D M/T</v>
      </c>
      <c r="D1953" s="5" t="str">
        <v>B7591HAI</v>
      </c>
      <c r="E1953" s="10">
        <v>105745</v>
      </c>
      <c r="F1953" s="3" t="str">
        <v>Iya</v>
      </c>
      <c r="G1953" s="4">
        <v>46015</v>
      </c>
      <c r="H1953" s="10">
        <v>105745</v>
      </c>
    </row>
    <row r="1954" spans="1:8">
      <c r="A1954" s="3">
        <v>1953</v>
      </c>
      <c r="B1954" s="4">
        <v>46043.623379629629</v>
      </c>
      <c r="C1954" s="5" t="str">
        <v>DAIHATSU GRANMAX PU AC PS 1.5 M/T</v>
      </c>
      <c r="D1954" s="5" t="str">
        <v>B8160PCQ</v>
      </c>
      <c r="E1954" s="10">
        <v>36968</v>
      </c>
      <c r="F1954" s="3" t="str">
        <v>Iya</v>
      </c>
      <c r="G1954" s="4">
        <v>46034</v>
      </c>
      <c r="H1954" s="10">
        <v>36968</v>
      </c>
    </row>
    <row r="1955" spans="1:8">
      <c r="A1955" s="3">
        <v>1954</v>
      </c>
      <c r="B1955" s="4">
        <v>46043.623819444438</v>
      </c>
      <c r="C1955" s="5" t="str">
        <v>DAIHATSU GRANMAX PU AC PS 1.5 M/T</v>
      </c>
      <c r="D1955" s="5" t="str">
        <v>B3553ILD</v>
      </c>
      <c r="E1955" s="10">
        <v>10907</v>
      </c>
      <c r="F1955" s="3" t="str">
        <v>Iya</v>
      </c>
      <c r="G1955" s="4">
        <v>45884</v>
      </c>
      <c r="H1955" s="10">
        <v>10907</v>
      </c>
    </row>
    <row r="1956" spans="1:8">
      <c r="A1956" s="3">
        <v>1955</v>
      </c>
      <c r="B1956" s="4">
        <v>46043.630844907413</v>
      </c>
      <c r="C1956" s="5" t="str">
        <v>DAIHATSU GRANMAX PU AC PS 1.5 M/T</v>
      </c>
      <c r="D1956" s="5" t="str">
        <v>DD2694FT</v>
      </c>
      <c r="E1956" s="10">
        <v>26597</v>
      </c>
      <c r="F1956" s="3" t="str">
        <v>Iya</v>
      </c>
      <c r="G1956" s="4">
        <v>45885</v>
      </c>
      <c r="H1956" s="10">
        <v>26597</v>
      </c>
    </row>
    <row r="1957" spans="1:8">
      <c r="A1957" s="3">
        <v>1956</v>
      </c>
      <c r="B1957" s="4">
        <v>46043.650509259263</v>
      </c>
      <c r="C1957" s="5" t="str">
        <v>PICK UP TRAGA 2.5 4X2 MT D M/T</v>
      </c>
      <c r="D1957" s="5" t="str">
        <v>B5623MA</v>
      </c>
      <c r="E1957" s="10">
        <v>5589</v>
      </c>
      <c r="F1957" s="3" t="str">
        <v>Iya</v>
      </c>
      <c r="G1957" s="4">
        <v>45973</v>
      </c>
      <c r="H1957" s="10">
        <v>5589</v>
      </c>
    </row>
    <row r="1958" spans="1:8">
      <c r="A1958" s="3">
        <v>1957</v>
      </c>
      <c r="B1958" s="4">
        <v>46043.657129629632</v>
      </c>
      <c r="C1958" s="5" t="str">
        <v>DAIHATSU GRANMAX PU AC PS 1.5 M/T</v>
      </c>
      <c r="D1958" s="5" t="str">
        <v>AB9418SNR</v>
      </c>
      <c r="E1958" s="10">
        <v>11936</v>
      </c>
      <c r="F1958" s="3" t="str">
        <v>Iya</v>
      </c>
      <c r="G1958" s="4">
        <v>45995</v>
      </c>
      <c r="H1958" s="10">
        <v>11936</v>
      </c>
    </row>
    <row r="1959" spans="1:8">
      <c r="A1959" s="3">
        <v>1958</v>
      </c>
      <c r="B1959" s="4">
        <v>46043.683587962973</v>
      </c>
      <c r="C1959" s="5" t="str">
        <v>DAIHATSU GRANMAX PU AC PS 1.5 M/T</v>
      </c>
      <c r="D1959" s="5" t="str">
        <v>B6633GLS</v>
      </c>
      <c r="E1959" s="10">
        <v>15915</v>
      </c>
      <c r="F1959" s="3" t="str">
        <v>Iya</v>
      </c>
      <c r="G1959" s="4">
        <v>45861</v>
      </c>
      <c r="H1959" s="10">
        <v>15915</v>
      </c>
    </row>
    <row r="1960" spans="1:8">
      <c r="A1960" s="3">
        <v>1959</v>
      </c>
      <c r="B1960" s="4">
        <v>46043.688969907409</v>
      </c>
      <c r="C1960" s="5" t="str">
        <v>DAIHATSU GRANMAX PU AC PS 1.5 M/T</v>
      </c>
      <c r="D1960" s="5" t="str">
        <v>B8740PD</v>
      </c>
      <c r="E1960" s="10">
        <v>54416</v>
      </c>
      <c r="F1960" s="3" t="str">
        <v>Iya</v>
      </c>
      <c r="G1960" s="4">
        <v>45825</v>
      </c>
      <c r="H1960" s="10">
        <v>54416</v>
      </c>
    </row>
    <row r="1961" spans="1:8">
      <c r="A1961" s="3">
        <v>1960</v>
      </c>
      <c r="B1961" s="4">
        <v>46043.714097222219</v>
      </c>
      <c r="C1961" s="5" t="str">
        <v>DAIHATSU GRANMAX PU AC PS 1.5 M/T</v>
      </c>
      <c r="D1961" s="5" t="str">
        <v>B5032XGL</v>
      </c>
      <c r="E1961" s="10">
        <v>740</v>
      </c>
      <c r="F1961" s="3" t="str">
        <v>Iya</v>
      </c>
      <c r="G1961" s="4">
        <v>46008</v>
      </c>
      <c r="H1961" s="10">
        <v>740</v>
      </c>
    </row>
    <row r="1962" spans="1:8">
      <c r="A1962" s="3">
        <v>1961</v>
      </c>
      <c r="B1962" s="4">
        <v>46043.720439814817</v>
      </c>
      <c r="C1962" s="5" t="str">
        <v>DAIHATSU GRANMAX PU AC PS 1.5 M/T</v>
      </c>
      <c r="D1962" s="5" t="str">
        <v>B8474IXR</v>
      </c>
      <c r="E1962" s="10">
        <v>21384</v>
      </c>
      <c r="F1962" s="3" t="str">
        <v>Iya</v>
      </c>
      <c r="G1962" s="4">
        <v>45943</v>
      </c>
      <c r="H1962" s="10">
        <v>21384</v>
      </c>
    </row>
    <row r="1963" spans="1:8">
      <c r="A1963" s="3">
        <v>1962</v>
      </c>
      <c r="B1963" s="4">
        <v>46043.735555555562</v>
      </c>
      <c r="C1963" s="5" t="str">
        <v>PICK UP TRAGA 2.5 4X2 MT D M/T</v>
      </c>
      <c r="D1963" s="5" t="str">
        <v>B3007PX</v>
      </c>
      <c r="E1963" s="10">
        <v>3001</v>
      </c>
      <c r="F1963" s="3" t="str">
        <v>Iya</v>
      </c>
      <c r="G1963" s="4">
        <v>46001</v>
      </c>
      <c r="H1963" s="10">
        <v>3001</v>
      </c>
    </row>
    <row r="1964" spans="1:8">
      <c r="A1964" s="3">
        <v>1963</v>
      </c>
      <c r="B1964" s="4">
        <v>46043.764560185176</v>
      </c>
      <c r="C1964" s="5" t="str">
        <v>DAIHATSU GRANMAX PU AC PS 1.5 M/T</v>
      </c>
      <c r="D1964" s="5" t="str">
        <v>B8269XJ</v>
      </c>
      <c r="E1964" s="10">
        <v>31963</v>
      </c>
      <c r="F1964" s="3" t="str">
        <v>Iya</v>
      </c>
      <c r="G1964" s="4">
        <v>46036</v>
      </c>
      <c r="H1964" s="10">
        <v>31963</v>
      </c>
    </row>
    <row r="1965" spans="1:8">
      <c r="A1965" s="3">
        <v>1964</v>
      </c>
      <c r="B1965" s="4">
        <v>46043.879537037043</v>
      </c>
      <c r="C1965" s="5" t="str">
        <v>DAIHATSU GRANMAX PU AC PS 1.5 M/T</v>
      </c>
      <c r="D1965" s="5" t="str">
        <v>B9587WL</v>
      </c>
      <c r="E1965" s="10">
        <v>6363</v>
      </c>
      <c r="F1965" s="3" t="str">
        <v>Iya</v>
      </c>
      <c r="G1965" s="4">
        <v>45909</v>
      </c>
      <c r="H1965" s="10">
        <v>6363</v>
      </c>
    </row>
    <row r="1966" spans="1:8">
      <c r="A1966" s="3">
        <v>1965</v>
      </c>
      <c r="B1966" s="4">
        <v>46043.883738425917</v>
      </c>
      <c r="C1966" s="5" t="str">
        <v>DAIHATSU GRANMAX PU AC PS 1.5 M/T</v>
      </c>
      <c r="D1966" s="5" t="str">
        <v>B9587WL</v>
      </c>
      <c r="E1966" s="10">
        <v>5873</v>
      </c>
      <c r="F1966" s="3" t="str">
        <v>Iya</v>
      </c>
      <c r="G1966" s="4">
        <v>45909</v>
      </c>
      <c r="H1966" s="10">
        <v>5873</v>
      </c>
    </row>
    <row r="1967" spans="1:8">
      <c r="A1967" s="3">
        <v>1966</v>
      </c>
      <c r="B1967" s="4">
        <v>46044.333055555559</v>
      </c>
      <c r="C1967" s="5" t="str">
        <v>PICK UP TRAGA 2.5 4X2 MT D M/T</v>
      </c>
      <c r="D1967" s="5" t="str">
        <v>B6013WGR</v>
      </c>
      <c r="E1967" s="10">
        <v>41377</v>
      </c>
      <c r="F1967" s="3" t="str">
        <v>Iya</v>
      </c>
      <c r="G1967" s="4">
        <v>46068</v>
      </c>
      <c r="H1967" s="10">
        <v>41377</v>
      </c>
    </row>
    <row r="1968" spans="1:8">
      <c r="A1968" s="3">
        <v>1967</v>
      </c>
      <c r="B1968" s="4">
        <v>46044.383032407408</v>
      </c>
      <c r="C1968" s="5" t="str">
        <v>DAIHATSU GRANMAX PU AC PS 1.5 M/T</v>
      </c>
      <c r="D1968" s="5" t="str">
        <v>B2639ZDE</v>
      </c>
      <c r="E1968" s="10">
        <v>1372</v>
      </c>
      <c r="F1968" s="3" t="str">
        <v>Iya</v>
      </c>
      <c r="G1968" s="4">
        <v>45916</v>
      </c>
      <c r="H1968" s="10">
        <v>1372</v>
      </c>
    </row>
    <row r="1969" spans="1:8">
      <c r="A1969" s="3">
        <v>1968</v>
      </c>
      <c r="B1969" s="4">
        <v>46044.396365740737</v>
      </c>
      <c r="C1969" s="5" t="str">
        <v>DAIHATSU GRANMAX PU AC PS 1.5 M/T</v>
      </c>
      <c r="D1969" s="5" t="str">
        <v>B5277IQ</v>
      </c>
      <c r="E1969" s="10">
        <v>47055</v>
      </c>
      <c r="F1969" s="3" t="str">
        <v>Iya</v>
      </c>
      <c r="G1969" s="4">
        <v>45903</v>
      </c>
      <c r="H1969" s="10">
        <v>47055</v>
      </c>
    </row>
    <row r="1970" spans="1:8">
      <c r="A1970" s="3">
        <v>1969</v>
      </c>
      <c r="B1970" s="4">
        <v>46044.408622685187</v>
      </c>
      <c r="C1970" s="5" t="str">
        <v>Daihatsu Xenia (Badan)</v>
      </c>
      <c r="D1970" s="5" t="str">
        <v>B6483WV</v>
      </c>
      <c r="E1970" s="10">
        <v>15924</v>
      </c>
      <c r="F1970" s="3" t="str">
        <v>Iya</v>
      </c>
      <c r="G1970" s="4">
        <v>45998</v>
      </c>
      <c r="H1970" s="10">
        <v>15924</v>
      </c>
    </row>
    <row r="1971" spans="1:8">
      <c r="A1971" s="3">
        <v>1970</v>
      </c>
      <c r="B1971" s="4">
        <v>46044.409074074072</v>
      </c>
      <c r="C1971" s="5" t="str">
        <v>DAIHATSU GRANMAX PU AC PS 1.5 M/T</v>
      </c>
      <c r="D1971" s="5" t="str">
        <v>B2325IRM</v>
      </c>
      <c r="E1971" s="10">
        <v>27251</v>
      </c>
      <c r="F1971" s="3" t="str">
        <v>Iya</v>
      </c>
      <c r="G1971" s="4">
        <v>46041</v>
      </c>
      <c r="H1971" s="10">
        <v>27251</v>
      </c>
    </row>
    <row r="1972" spans="1:8">
      <c r="A1972" s="3">
        <v>1971</v>
      </c>
      <c r="B1972" s="4">
        <v>46044.4143287037</v>
      </c>
      <c r="C1972" s="5" t="str">
        <v>DAIHATSU GRANMAX PU AC PS 1.5 M/T</v>
      </c>
      <c r="D1972" s="5" t="str">
        <v>B7390TQ</v>
      </c>
      <c r="E1972" s="10">
        <v>42010</v>
      </c>
      <c r="F1972" s="3" t="str">
        <v>Iya</v>
      </c>
      <c r="G1972" s="4">
        <v>46031</v>
      </c>
      <c r="H1972" s="10">
        <v>42010</v>
      </c>
    </row>
    <row r="1973" spans="1:8">
      <c r="A1973" s="3">
        <v>1972</v>
      </c>
      <c r="B1973" s="4">
        <v>46044.419768518521</v>
      </c>
      <c r="C1973" s="5" t="str">
        <v>DAIHATSU GRANMAX PU AC PS 1.5 M/T</v>
      </c>
      <c r="D1973" s="5" t="str">
        <v>DA7945LMG</v>
      </c>
      <c r="E1973" s="10">
        <v>43539</v>
      </c>
      <c r="F1973" s="3" t="str">
        <v>Iya</v>
      </c>
      <c r="G1973" s="4">
        <v>45981</v>
      </c>
      <c r="H1973" s="10">
        <v>43539</v>
      </c>
    </row>
    <row r="1974" spans="1:8">
      <c r="A1974" s="3">
        <v>1973</v>
      </c>
      <c r="B1974" s="4">
        <v>46044.421273148153</v>
      </c>
      <c r="C1974" s="5" t="str">
        <v>DAIHATSU GRANMAX PU AC PS 1.5 M/T</v>
      </c>
      <c r="D1974" s="5" t="str">
        <v>KT5909WFN</v>
      </c>
      <c r="E1974" s="10">
        <v>888</v>
      </c>
      <c r="F1974" s="3" t="str">
        <v>Iya</v>
      </c>
      <c r="G1974" s="4">
        <v>45980</v>
      </c>
      <c r="H1974" s="10">
        <v>888</v>
      </c>
    </row>
    <row r="1975" spans="1:8">
      <c r="A1975" s="3">
        <v>1974</v>
      </c>
      <c r="B1975" s="4">
        <v>46044.448657407411</v>
      </c>
      <c r="C1975" s="5" t="str">
        <v>DAIHATSU GRANMAX PU AC PS 1.5 M/T</v>
      </c>
      <c r="D1975" s="5" t="str">
        <v>B8132XW</v>
      </c>
      <c r="E1975" s="10">
        <v>39011</v>
      </c>
      <c r="F1975" s="3" t="str">
        <v>Iya</v>
      </c>
      <c r="G1975" s="4">
        <v>45927</v>
      </c>
      <c r="H1975" s="10">
        <v>39011</v>
      </c>
    </row>
    <row r="1976" spans="1:8">
      <c r="A1976" s="3">
        <v>1975</v>
      </c>
      <c r="B1976" s="4">
        <v>46044.449953703697</v>
      </c>
      <c r="C1976" s="5" t="str">
        <v>DAIHATSU GRANMAX PU AC PS 1.5 M/T</v>
      </c>
      <c r="D1976" s="5" t="str">
        <v>B6871DFH</v>
      </c>
      <c r="E1976" s="10">
        <v>18529</v>
      </c>
      <c r="F1976" s="3" t="str">
        <v>Iya</v>
      </c>
      <c r="G1976" s="4">
        <v>45923</v>
      </c>
      <c r="H1976" s="10">
        <v>18529</v>
      </c>
    </row>
    <row r="1977" spans="1:8">
      <c r="A1977" s="3">
        <v>1976</v>
      </c>
      <c r="B1977" s="4">
        <v>46044.469155092593</v>
      </c>
      <c r="C1977" s="5" t="str">
        <v>PICK UP TRAGA 2.5 4X2 MT D M/T</v>
      </c>
      <c r="D1977" s="5" t="str">
        <v>DM5212DL</v>
      </c>
      <c r="E1977" s="10">
        <v>12010</v>
      </c>
      <c r="F1977" s="3" t="str">
        <v>Iya</v>
      </c>
      <c r="G1977" s="4">
        <v>46044</v>
      </c>
      <c r="H1977" s="10">
        <v>12010</v>
      </c>
    </row>
    <row r="1978" spans="1:8">
      <c r="A1978" s="3">
        <v>1977</v>
      </c>
      <c r="B1978" s="4">
        <v>46044.557164351849</v>
      </c>
      <c r="C1978" s="5" t="str">
        <v>DAIHATSU GRANMAX PU AC PS 1.5 M/T</v>
      </c>
      <c r="D1978" s="5" t="str">
        <v>B1513KJ</v>
      </c>
      <c r="E1978" s="10">
        <v>10224</v>
      </c>
      <c r="F1978" s="3" t="str">
        <v>Iya</v>
      </c>
      <c r="G1978" s="4">
        <v>45936</v>
      </c>
      <c r="H1978" s="10">
        <v>10224</v>
      </c>
    </row>
    <row r="1979" spans="1:8">
      <c r="A1979" s="3">
        <v>1978</v>
      </c>
      <c r="B1979" s="4">
        <v>46044.598124999997</v>
      </c>
      <c r="C1979" s="5" t="str">
        <v>PICK UP TRAGA 2.5 4X2 MT D M/T</v>
      </c>
      <c r="D1979" s="5" t="str">
        <v>B6882KT</v>
      </c>
      <c r="E1979" s="10">
        <v>70682</v>
      </c>
      <c r="F1979" s="3" t="str">
        <v>Iya</v>
      </c>
      <c r="G1979" s="4">
        <v>45965</v>
      </c>
      <c r="H1979" s="10">
        <v>70682</v>
      </c>
    </row>
    <row r="1980" spans="1:8">
      <c r="A1980" s="3">
        <v>1979</v>
      </c>
      <c r="B1980" s="4">
        <v>46044.607268518521</v>
      </c>
      <c r="C1980" s="5" t="str">
        <v>DAIHATSU GRANMAX PU AC PS 1.5 M/T</v>
      </c>
      <c r="D1980" s="5" t="str">
        <v>B6704WT</v>
      </c>
      <c r="E1980" s="10">
        <v>37761</v>
      </c>
      <c r="F1980" s="3" t="str">
        <v>Iya</v>
      </c>
      <c r="G1980" s="4">
        <v>45849</v>
      </c>
      <c r="H1980" s="10">
        <v>37761</v>
      </c>
    </row>
    <row r="1981" spans="1:8">
      <c r="A1981" s="3">
        <v>1980</v>
      </c>
      <c r="B1981" s="4">
        <v>46044.648240740738</v>
      </c>
      <c r="C1981" s="5" t="str">
        <v>PICK UP TRAGA 2.5 4X2 MT D M/T</v>
      </c>
      <c r="D1981" s="5" t="str">
        <v>B9442AC</v>
      </c>
      <c r="E1981" s="10">
        <v>28325</v>
      </c>
      <c r="F1981" s="3" t="str">
        <v>Iya</v>
      </c>
      <c r="G1981" s="4">
        <v>46037</v>
      </c>
      <c r="H1981" s="10">
        <v>28325</v>
      </c>
    </row>
    <row r="1982" spans="1:8">
      <c r="A1982" s="3">
        <v>1981</v>
      </c>
      <c r="B1982" s="4">
        <v>46044.655138888891</v>
      </c>
      <c r="C1982" s="5" t="str">
        <v>DAIHATSU GRANMAX PU AC PS 1.5 M/T</v>
      </c>
      <c r="D1982" s="5" t="str">
        <v>B5948HU</v>
      </c>
      <c r="E1982" s="10">
        <v>9305</v>
      </c>
      <c r="F1982" s="3" t="str">
        <v>Iya</v>
      </c>
      <c r="G1982" s="4">
        <v>45915</v>
      </c>
      <c r="H1982" s="10">
        <v>9305</v>
      </c>
    </row>
    <row r="1983" spans="1:8">
      <c r="A1983" s="3">
        <v>1982</v>
      </c>
      <c r="B1983" s="4">
        <v>46044.660208333327</v>
      </c>
      <c r="C1983" s="5" t="str">
        <v>DAIHATSU GRANMAX PU AC PS 1.5 M/T</v>
      </c>
      <c r="D1983" s="5" t="str">
        <v>B1204ZZ</v>
      </c>
      <c r="E1983" s="10">
        <v>22038</v>
      </c>
      <c r="F1983" s="3" t="str">
        <v>Iya</v>
      </c>
      <c r="G1983" s="4">
        <v>46029</v>
      </c>
      <c r="H1983" s="10">
        <v>22038</v>
      </c>
    </row>
    <row r="1984" spans="1:8">
      <c r="A1984" s="3">
        <v>1983</v>
      </c>
      <c r="B1984" s="4">
        <v>46044.667175925933</v>
      </c>
      <c r="C1984" s="5" t="str">
        <v>DAIHATSU GRANMAX PU AC PS 1.5 M/T</v>
      </c>
      <c r="D1984" s="5" t="str">
        <v>B1827DA</v>
      </c>
      <c r="E1984" s="10">
        <v>28304</v>
      </c>
      <c r="F1984" s="3" t="str">
        <v>Iya</v>
      </c>
      <c r="G1984" s="4">
        <v>45947</v>
      </c>
      <c r="H1984" s="10">
        <v>28304</v>
      </c>
    </row>
    <row r="1985" spans="1:8">
      <c r="A1985" s="3">
        <v>1984</v>
      </c>
      <c r="B1985" s="4">
        <v>46045.463055555563</v>
      </c>
      <c r="C1985" s="5" t="str">
        <v>DAIHATSU GRANMAX PU AC PS 1.5 M/T</v>
      </c>
      <c r="D1985" s="5" t="str">
        <v>B5750IQ</v>
      </c>
      <c r="E1985" s="10">
        <v>49083</v>
      </c>
      <c r="F1985" s="3" t="str">
        <v>Iya</v>
      </c>
      <c r="G1985" s="4">
        <v>45913</v>
      </c>
      <c r="H1985" s="10">
        <v>49083</v>
      </c>
    </row>
    <row r="1986" spans="1:8">
      <c r="A1986" s="3">
        <v>1985</v>
      </c>
      <c r="B1986" s="4">
        <v>46045.482766203713</v>
      </c>
      <c r="C1986" s="5" t="str">
        <v>DAIHATSU GRANMAX PU AC PS 1.5 M/T</v>
      </c>
      <c r="D1986" s="5" t="str">
        <v>B4036RJ</v>
      </c>
      <c r="E1986" s="10">
        <v>12790</v>
      </c>
      <c r="F1986" s="3" t="str">
        <v>Iya</v>
      </c>
      <c r="G1986" s="4">
        <v>46031</v>
      </c>
      <c r="H1986" s="10">
        <v>12790</v>
      </c>
    </row>
    <row r="1987" spans="1:8">
      <c r="A1987" s="3">
        <v>1986</v>
      </c>
      <c r="B1987" s="4">
        <v>46045.615787037037</v>
      </c>
      <c r="C1987" s="5" t="str">
        <v>PICK UP TRAGA 2.5 4X2 MT D M/T</v>
      </c>
      <c r="D1987" s="5" t="str">
        <v>B1292DPE</v>
      </c>
      <c r="E1987" s="10">
        <v>11943</v>
      </c>
      <c r="F1987" s="3" t="str">
        <v>Iya</v>
      </c>
      <c r="G1987" s="4">
        <v>46010</v>
      </c>
      <c r="H1987" s="10">
        <v>11943</v>
      </c>
    </row>
    <row r="1988" spans="1:8">
      <c r="A1988" s="3">
        <v>1987</v>
      </c>
      <c r="B1988" s="4">
        <v>46045.672326388893</v>
      </c>
      <c r="C1988" s="5" t="str">
        <v>PICK UP TRAGA 2.5 4X2 MT D M/T</v>
      </c>
      <c r="D1988" s="5" t="str">
        <v>B3079BPJ</v>
      </c>
      <c r="E1988" s="10">
        <v>53824</v>
      </c>
      <c r="F1988" s="3" t="str">
        <v>Iya</v>
      </c>
      <c r="G1988" s="4">
        <v>46028</v>
      </c>
      <c r="H1988" s="10">
        <v>53824</v>
      </c>
    </row>
    <row r="1989" spans="1:8">
      <c r="A1989" s="3">
        <v>1988</v>
      </c>
      <c r="B1989" s="4">
        <v>46046.511296296303</v>
      </c>
      <c r="C1989" s="5" t="str">
        <v>PICK UP TRAGA 2.5 4X2 MT D M/T</v>
      </c>
      <c r="D1989" s="5" t="str">
        <v>BE6556LIU</v>
      </c>
      <c r="E1989" s="10">
        <v>22203</v>
      </c>
      <c r="F1989" s="3" t="str">
        <v>Iya</v>
      </c>
      <c r="G1989" s="4">
        <v>45980</v>
      </c>
      <c r="H1989" s="10">
        <v>22203</v>
      </c>
    </row>
    <row r="1990" spans="1:8">
      <c r="A1990" s="3">
        <v>1989</v>
      </c>
      <c r="B1990" s="4">
        <v>46046.559675925928</v>
      </c>
      <c r="C1990" s="5" t="str">
        <v>DAIHATSU GRANMAX PU AC PS 1.5 M/T</v>
      </c>
      <c r="D1990" s="5" t="str">
        <v>B8393NG</v>
      </c>
      <c r="E1990" s="10">
        <v>2211</v>
      </c>
      <c r="F1990" s="3" t="str">
        <v>Iya</v>
      </c>
      <c r="G1990" s="4">
        <v>46010</v>
      </c>
      <c r="H1990" s="10">
        <v>2211</v>
      </c>
    </row>
    <row r="1991" spans="1:8">
      <c r="A1991" s="3">
        <v>1990</v>
      </c>
      <c r="B1991" s="4">
        <v>46046.651504629634</v>
      </c>
      <c r="C1991" s="5" t="str">
        <v>DAIHATSU GRANMAX PU AC PS 1.5 M/T</v>
      </c>
      <c r="D1991" s="5" t="str">
        <v>B3294INW</v>
      </c>
      <c r="E1991" s="10">
        <v>427</v>
      </c>
      <c r="F1991" s="3" t="str">
        <v>Iya</v>
      </c>
      <c r="G1991" s="4">
        <v>45986</v>
      </c>
      <c r="H1991" s="10">
        <v>427</v>
      </c>
    </row>
    <row r="1992" spans="1:8">
      <c r="A1992" s="3">
        <v>1991</v>
      </c>
      <c r="B1992" s="4">
        <v>46047.429490740738</v>
      </c>
      <c r="C1992" s="5" t="str">
        <v>PICK UP TRAGA 2.5 4X2 MT D M/T</v>
      </c>
      <c r="D1992" s="5" t="str">
        <v>B6905PX</v>
      </c>
      <c r="E1992" s="10">
        <v>7490</v>
      </c>
      <c r="F1992" s="3" t="str">
        <v>Iya</v>
      </c>
      <c r="G1992" s="4">
        <v>46046</v>
      </c>
      <c r="H1992" s="10">
        <v>7490</v>
      </c>
    </row>
    <row r="1993" spans="1:8">
      <c r="A1993" s="3">
        <v>1992</v>
      </c>
      <c r="B1993" s="4">
        <v>46047.670115740737</v>
      </c>
      <c r="C1993" s="5" t="str">
        <v>PICK UP TRAGA 2.5 4X2 MT D M/T</v>
      </c>
      <c r="D1993" s="5" t="str">
        <v>B9936AP</v>
      </c>
      <c r="E1993" s="10">
        <v>52125</v>
      </c>
      <c r="F1993" s="3" t="str">
        <v>Iya</v>
      </c>
      <c r="G1993" s="4">
        <v>45931</v>
      </c>
      <c r="H1993" s="10">
        <v>52125</v>
      </c>
    </row>
    <row r="1994" spans="1:8">
      <c r="A1994" s="3">
        <v>1993</v>
      </c>
      <c r="B1994" s="4">
        <v>46048.349965277783</v>
      </c>
      <c r="C1994" s="5" t="str">
        <v>DAIHATSU GRANMAX PU AC PS 1.5 M/T</v>
      </c>
      <c r="D1994" s="5" t="str">
        <v>B6441NR</v>
      </c>
      <c r="E1994" s="10">
        <v>21830</v>
      </c>
      <c r="F1994" s="3" t="str">
        <v>Iya</v>
      </c>
      <c r="G1994" s="4">
        <v>45997</v>
      </c>
      <c r="H1994" s="10">
        <v>21830</v>
      </c>
    </row>
    <row r="1995" spans="1:8">
      <c r="A1995" s="3">
        <v>1994</v>
      </c>
      <c r="B1995" s="4">
        <v>46048.368136574078</v>
      </c>
      <c r="C1995" s="5" t="str">
        <v>DAIHATSU GRANMAX PU AC PS 1.5 M/T</v>
      </c>
      <c r="D1995" s="5" t="str">
        <v>B9912VG</v>
      </c>
      <c r="E1995" s="10">
        <v>107336</v>
      </c>
      <c r="F1995" s="3" t="str">
        <v>Iya</v>
      </c>
      <c r="G1995" s="4">
        <v>46035</v>
      </c>
      <c r="H1995" s="10">
        <v>107336</v>
      </c>
    </row>
    <row r="1996" spans="1:8">
      <c r="A1996" s="3">
        <v>1995</v>
      </c>
      <c r="B1996" s="4">
        <v>46048.378912037027</v>
      </c>
      <c r="C1996" s="5" t="str">
        <v>DAIHATSU GRANMAX PU AC PS 1.5 M/T</v>
      </c>
      <c r="D1996" s="5" t="str">
        <v>KB9985GGA</v>
      </c>
      <c r="E1996" s="10">
        <v>16135</v>
      </c>
      <c r="F1996" s="3" t="str">
        <v>Iya</v>
      </c>
      <c r="G1996" s="4">
        <v>45937</v>
      </c>
      <c r="H1996" s="10">
        <v>16135</v>
      </c>
    </row>
    <row r="1997" spans="1:8">
      <c r="A1997" s="3">
        <v>1996</v>
      </c>
      <c r="B1997" s="4">
        <v>46048.416886574072</v>
      </c>
      <c r="C1997" s="5" t="str">
        <v>DAIHATSU GRANMAX PU AC PS 1.5 M/T</v>
      </c>
      <c r="D1997" s="5" t="str">
        <v>B9244VW</v>
      </c>
      <c r="E1997" s="10">
        <v>19836</v>
      </c>
      <c r="F1997" s="3" t="str">
        <v>Iya</v>
      </c>
      <c r="G1997" s="4">
        <v>46037</v>
      </c>
      <c r="H1997" s="10">
        <v>19836</v>
      </c>
    </row>
    <row r="1998" spans="1:8">
      <c r="A1998" s="3">
        <v>1997</v>
      </c>
      <c r="B1998" s="4">
        <v>46048.473645833343</v>
      </c>
      <c r="C1998" s="5" t="str">
        <v>PICK UP TRAGA 2.5 4X2 MT D M/T</v>
      </c>
      <c r="D1998" s="5" t="str">
        <v>H9293ZLM</v>
      </c>
      <c r="E1998" s="10">
        <v>15429</v>
      </c>
      <c r="F1998" s="3" t="str">
        <v>Iya</v>
      </c>
      <c r="G1998" s="4">
        <v>45917</v>
      </c>
      <c r="H1998" s="10">
        <v>15429</v>
      </c>
    </row>
    <row r="1999" spans="1:8">
      <c r="A1999" s="3">
        <v>1998</v>
      </c>
      <c r="B1999" s="4">
        <v>46048.487511574072</v>
      </c>
      <c r="C1999" s="5" t="str">
        <v>DAIHATSU GRANMAX PU AC PS 1.5 M/T</v>
      </c>
      <c r="D1999" s="5" t="str">
        <v>B6224AT</v>
      </c>
      <c r="E1999" s="10">
        <v>22064</v>
      </c>
      <c r="F1999" s="3" t="str">
        <v>Iya</v>
      </c>
      <c r="G1999" s="4">
        <v>46008</v>
      </c>
      <c r="H1999" s="10">
        <v>22064</v>
      </c>
    </row>
    <row r="2000" spans="1:8">
      <c r="A2000" s="3">
        <v>1999</v>
      </c>
      <c r="B2000" s="4">
        <v>46048.573263888888</v>
      </c>
      <c r="C2000" s="5" t="str">
        <v>DAIHATSU GRANMAX PU AC PS 1.5 M/T</v>
      </c>
      <c r="D2000" s="5" t="str">
        <v>KB6393GN</v>
      </c>
      <c r="E2000" s="10">
        <v>6315</v>
      </c>
      <c r="F2000" s="3" t="str">
        <v>Iya</v>
      </c>
      <c r="G2000" s="4">
        <v>46044</v>
      </c>
      <c r="H2000" s="10">
        <v>6315</v>
      </c>
    </row>
    <row r="2001" spans="1:8">
      <c r="A2001" s="3">
        <v>2000</v>
      </c>
      <c r="B2001" s="4">
        <v>46048.643865740742</v>
      </c>
      <c r="C2001" s="5" t="str">
        <v>PICK UP TRAGA 2.5 4X2 MT D M/T</v>
      </c>
      <c r="D2001" s="5" t="str">
        <v>H6818GV</v>
      </c>
      <c r="E2001" s="10">
        <v>43014</v>
      </c>
      <c r="F2001" s="3" t="str">
        <v>Iya</v>
      </c>
      <c r="G2001" s="4">
        <v>46001</v>
      </c>
      <c r="H2001" s="10">
        <v>43014</v>
      </c>
    </row>
    <row r="2002" spans="1:8">
      <c r="A2002" s="3">
        <v>2001</v>
      </c>
      <c r="B2002" s="4">
        <v>46048.701319444437</v>
      </c>
      <c r="C2002" s="5" t="str">
        <v>PICK UP TRAGA 2.5 4X2 MT D M/T</v>
      </c>
      <c r="D2002" s="5" t="str">
        <v>B3545GSF</v>
      </c>
      <c r="E2002" s="10">
        <v>3947</v>
      </c>
      <c r="F2002" s="3" t="str">
        <v>Iya</v>
      </c>
      <c r="G2002" s="4">
        <v>45890</v>
      </c>
      <c r="H2002" s="10">
        <v>3947</v>
      </c>
    </row>
    <row r="2003" spans="1:8">
      <c r="A2003" s="3">
        <v>2002</v>
      </c>
      <c r="B2003" s="4">
        <v>46049.391585648147</v>
      </c>
      <c r="C2003" s="5" t="str">
        <v>DAIHATSU GRANMAX PU AC PS 1.5 M/T</v>
      </c>
      <c r="D2003" s="5" t="str">
        <v>B7326IW</v>
      </c>
      <c r="E2003" s="10">
        <v>26226</v>
      </c>
      <c r="F2003" s="3" t="str">
        <v>Iya</v>
      </c>
      <c r="G2003" s="4">
        <v>45920</v>
      </c>
      <c r="H2003" s="10">
        <v>26226</v>
      </c>
    </row>
    <row r="2004" spans="1:8">
      <c r="A2004" s="3">
        <v>2003</v>
      </c>
      <c r="B2004" s="4">
        <v>46049.394814814812</v>
      </c>
      <c r="C2004" s="5" t="str">
        <v>PICK UP TRAGA 2.5 4X2 MT D M/T</v>
      </c>
      <c r="D2004" s="5" t="str">
        <v>B4001FJ</v>
      </c>
      <c r="E2004" s="10">
        <v>15710</v>
      </c>
      <c r="F2004" s="3" t="str">
        <v>Iya</v>
      </c>
      <c r="G2004" s="4">
        <v>45953</v>
      </c>
      <c r="H2004" s="10">
        <v>15710</v>
      </c>
    </row>
    <row r="2005" spans="1:8">
      <c r="A2005" s="3">
        <v>2004</v>
      </c>
      <c r="B2005" s="4">
        <v>46049.471180555563</v>
      </c>
      <c r="C2005" s="5" t="str">
        <v>DAIHATSU GRANMAX PU AC PS 1.5 M/T</v>
      </c>
      <c r="D2005" s="5" t="str">
        <v>B3556KY</v>
      </c>
      <c r="E2005" s="10">
        <v>6585</v>
      </c>
      <c r="F2005" s="3" t="str">
        <v>Iya</v>
      </c>
      <c r="G2005" s="4">
        <v>45930</v>
      </c>
      <c r="H2005" s="10">
        <v>6585</v>
      </c>
    </row>
    <row r="2006" spans="1:8">
      <c r="A2006" s="3">
        <v>2005</v>
      </c>
      <c r="B2006" s="4">
        <v>46049.796770833331</v>
      </c>
      <c r="C2006" s="5" t="str">
        <v>PICK UP TRAGA 2.5 4X2 MT D M/T</v>
      </c>
      <c r="D2006" s="5" t="str">
        <v>B3271BYK</v>
      </c>
      <c r="E2006" s="10">
        <v>37071</v>
      </c>
      <c r="F2006" s="3" t="str">
        <v>Iya</v>
      </c>
      <c r="G2006" s="4">
        <v>45936</v>
      </c>
      <c r="H2006" s="10">
        <v>37071</v>
      </c>
    </row>
    <row r="2007" spans="1:8">
      <c r="A2007" s="3">
        <v>2006</v>
      </c>
      <c r="B2007" s="4">
        <v>46050.49560185185</v>
      </c>
      <c r="C2007" s="5" t="str">
        <v>DAIHATSU GRANMAX PU AC PS 1.5 M/T</v>
      </c>
      <c r="D2007" s="5" t="str">
        <v>B7129LP</v>
      </c>
      <c r="E2007" s="10">
        <v>2024</v>
      </c>
      <c r="F2007" s="3" t="str">
        <v>Iya</v>
      </c>
      <c r="G2007" s="4">
        <v>46050</v>
      </c>
      <c r="H2007" s="10">
        <v>2024</v>
      </c>
    </row>
    <row r="2008" spans="1:8">
      <c r="A2008" s="3">
        <v>2007</v>
      </c>
      <c r="B2008" s="4">
        <v>46050.59175925926</v>
      </c>
      <c r="C2008" s="5" t="str">
        <v>PICK UP TRAGA 2.5 4X2 MT D M/T</v>
      </c>
      <c r="D2008" s="5" t="str">
        <v>B2784YG</v>
      </c>
      <c r="E2008" s="10">
        <v>89343</v>
      </c>
      <c r="F2008" s="3" t="str">
        <v>Iya</v>
      </c>
      <c r="G2008" s="4">
        <v>45952</v>
      </c>
      <c r="H2008" s="10">
        <v>89343</v>
      </c>
    </row>
    <row r="2009" spans="1:8">
      <c r="A2009" s="3">
        <v>2008</v>
      </c>
      <c r="B2009" s="4">
        <v>46050.636377314811</v>
      </c>
      <c r="C2009" s="5" t="str">
        <v>DAIHATSU GRANMAX PU AC PS 1.5 M/T</v>
      </c>
      <c r="D2009" s="5" t="str">
        <v>B1799MW</v>
      </c>
      <c r="E2009" s="10">
        <v>1290</v>
      </c>
      <c r="F2009" s="3" t="str">
        <v>Iya</v>
      </c>
      <c r="G2009" s="4">
        <v>45974</v>
      </c>
      <c r="H2009" s="10">
        <v>1290</v>
      </c>
    </row>
    <row r="2010" spans="1:8">
      <c r="A2010" s="3">
        <v>2009</v>
      </c>
      <c r="B2010" s="4">
        <v>46050.744340277779</v>
      </c>
      <c r="C2010" s="5" t="str">
        <v>PICK UP TRAGA 2.5 4X2 MT D M/T</v>
      </c>
      <c r="D2010" s="5" t="str">
        <v>B2710QMZ</v>
      </c>
      <c r="E2010" s="10">
        <v>53954</v>
      </c>
      <c r="F2010" s="3" t="str">
        <v>Iya</v>
      </c>
      <c r="G2010" s="4">
        <v>46048</v>
      </c>
      <c r="H2010" s="10">
        <v>53954</v>
      </c>
    </row>
    <row r="2011" spans="1:8">
      <c r="A2011" s="3">
        <v>2010</v>
      </c>
      <c r="B2011" s="4">
        <v>46050.845497685194</v>
      </c>
      <c r="C2011" s="5" t="str">
        <v>DAIHATSU GRANMAX PU AC PS 1.5 M/T</v>
      </c>
      <c r="D2011" s="5" t="str">
        <v>B1578YGJ</v>
      </c>
      <c r="E2011" s="10">
        <v>3458</v>
      </c>
      <c r="F2011" s="3" t="str">
        <v>Iya</v>
      </c>
      <c r="G2011" s="4">
        <v>45911</v>
      </c>
      <c r="H2011" s="10">
        <v>3458</v>
      </c>
    </row>
    <row r="2012" spans="1:8">
      <c r="A2012" s="3">
        <v>2011</v>
      </c>
      <c r="B2012" s="4">
        <v>46051.406759259262</v>
      </c>
      <c r="C2012" s="5" t="str">
        <v>DAIHATSU GRANMAX PU AC PS 1.5 M/T</v>
      </c>
      <c r="D2012" s="5" t="str">
        <v>DD8835VA</v>
      </c>
      <c r="E2012" s="10">
        <v>8587</v>
      </c>
      <c r="F2012" s="3" t="str">
        <v>Iya</v>
      </c>
      <c r="G2012" s="4">
        <v>45973</v>
      </c>
      <c r="H2012" s="10">
        <v>8587</v>
      </c>
    </row>
    <row r="2013" spans="1:8">
      <c r="A2013" s="3">
        <v>2012</v>
      </c>
      <c r="B2013" s="4">
        <v>46051.583043981482</v>
      </c>
      <c r="C2013" s="5" t="str">
        <v>PICK UP TRAGA 2.5 4X2 MT D M/T</v>
      </c>
      <c r="D2013" s="5" t="str">
        <v>L6517DP</v>
      </c>
      <c r="E2013" s="10">
        <v>45464</v>
      </c>
      <c r="F2013" s="3" t="str">
        <v>Iya</v>
      </c>
      <c r="G2013" s="4">
        <v>45917</v>
      </c>
      <c r="H2013" s="10">
        <v>45464</v>
      </c>
    </row>
    <row r="2014" spans="1:8">
      <c r="A2014" s="3">
        <v>2013</v>
      </c>
      <c r="B2014" s="4">
        <v>46052.646423611113</v>
      </c>
      <c r="C2014" s="5" t="str">
        <v>DAIHATSU GRANMAX PU AC PS 1.5 M/T</v>
      </c>
      <c r="D2014" s="5" t="str">
        <v>D8668TS</v>
      </c>
      <c r="E2014" s="10">
        <v>29782</v>
      </c>
      <c r="F2014" s="3" t="str">
        <v>Iya</v>
      </c>
      <c r="G2014" s="4">
        <v>45980</v>
      </c>
      <c r="H2014" s="10">
        <v>29782</v>
      </c>
    </row>
    <row r="2015" spans="1:8">
      <c r="A2015" s="3">
        <v>2014</v>
      </c>
      <c r="B2015" s="4">
        <v>46052.70484953704</v>
      </c>
      <c r="C2015" s="5" t="str">
        <v>PICK UP TRAGA 2.5 4X2 MT D M/T</v>
      </c>
      <c r="D2015" s="5" t="str">
        <v>B2514HCV</v>
      </c>
      <c r="E2015" s="10">
        <v>12682</v>
      </c>
      <c r="F2015" s="3" t="str">
        <v>Iya</v>
      </c>
      <c r="G2015" s="4">
        <v>46051</v>
      </c>
      <c r="H2015" s="10">
        <v>12682</v>
      </c>
    </row>
    <row r="2016" spans="1:8">
      <c r="A2016" s="3">
        <v>2015</v>
      </c>
      <c r="B2016" s="4">
        <v>46053.879479166673</v>
      </c>
      <c r="C2016" s="5" t="str">
        <v>DAIHATSU GRANMAX PU AC PS 1.5 M/T</v>
      </c>
      <c r="D2016" s="5" t="str">
        <v>B5790CM</v>
      </c>
      <c r="E2016" s="10">
        <v>16924</v>
      </c>
      <c r="F2016" s="3" t="str">
        <v>Iya</v>
      </c>
      <c r="G2016" s="4">
        <v>45960</v>
      </c>
      <c r="H2016" s="10">
        <v>16924</v>
      </c>
    </row>
    <row r="2017" spans="1:8">
      <c r="A2017" s="3">
        <v>2016</v>
      </c>
      <c r="B2017" s="4">
        <v>46059.56689814815</v>
      </c>
      <c r="C2017" s="5" t="str">
        <v>DAIHATSU GRANMAX PU AC PS 1.5 M/T</v>
      </c>
      <c r="D2017" s="5" t="str">
        <v>B5612UFW</v>
      </c>
      <c r="E2017" s="10">
        <v>0</v>
      </c>
      <c r="F2017" s="3" t="str">
        <v>Iya</v>
      </c>
      <c r="G2017" s="4">
        <v>45854</v>
      </c>
      <c r="H2017" s="10">
        <v>0</v>
      </c>
    </row>
    <row r="2018" spans="1:8">
      <c r="A2018" s="3">
        <v>2017</v>
      </c>
      <c r="B2018" s="4">
        <v>46062.61377314815</v>
      </c>
      <c r="C2018" s="5" t="str">
        <v>DAIHATSU GRANMAX PU AC PS 1.5 M/T</v>
      </c>
      <c r="D2018" s="5" t="str">
        <v>B1513KJ</v>
      </c>
      <c r="E2018" s="10">
        <v>9778</v>
      </c>
      <c r="F2018" s="3" t="str">
        <v>Iya</v>
      </c>
      <c r="G2018" s="4">
        <v>45936</v>
      </c>
      <c r="H2018" s="10">
        <v>9778</v>
      </c>
    </row>
    <row r="2019" spans="1:8">
      <c r="A2019" s="3">
        <v>2018</v>
      </c>
      <c r="B2019" s="4">
        <v>46063.367280092592</v>
      </c>
      <c r="C2019" s="5" t="str">
        <v>DAIHATSU GRANMAX PU AC PS 1.5 M/T</v>
      </c>
      <c r="D2019" s="5" t="str">
        <v>B6193SD</v>
      </c>
      <c r="E2019" s="10">
        <v>17089</v>
      </c>
      <c r="F2019" s="3" t="str">
        <v>Iya</v>
      </c>
      <c r="G2019" s="4">
        <v>46066</v>
      </c>
      <c r="H2019" s="10">
        <v>17089</v>
      </c>
    </row>
    <row r="2020" spans="1:8">
      <c r="A2020" s="3">
        <v>2019</v>
      </c>
      <c r="B2020" s="4">
        <v>46063.368715277778</v>
      </c>
      <c r="C2020" s="5" t="str">
        <v>Daihatsu Xenia (Badan)</v>
      </c>
      <c r="D2020" s="5" t="str">
        <v>B9619FMM</v>
      </c>
      <c r="E2020" s="10">
        <v>73424</v>
      </c>
      <c r="F2020" s="3" t="str">
        <v>Iya</v>
      </c>
      <c r="G2020" s="4">
        <v>45937</v>
      </c>
      <c r="H2020" s="10">
        <v>73424</v>
      </c>
    </row>
    <row r="2021" spans="1:8">
      <c r="A2021" s="3">
        <v>2020</v>
      </c>
      <c r="B2021" s="4">
        <v>46063.66915509259</v>
      </c>
      <c r="C2021" s="5" t="str">
        <v>Daihatsu Xenia (Badan)</v>
      </c>
      <c r="D2021" s="5" t="str">
        <v>B2758UU</v>
      </c>
      <c r="E2021" s="10">
        <v>23264</v>
      </c>
      <c r="F2021" s="3" t="str">
        <v>Iya</v>
      </c>
      <c r="G2021" s="4">
        <v>46036</v>
      </c>
      <c r="H2021" s="10">
        <v>23264</v>
      </c>
    </row>
    <row r="2022" spans="1:8">
      <c r="A2022" s="3">
        <v>2021</v>
      </c>
      <c r="B2022" s="4">
        <v>46084.474143518521</v>
      </c>
      <c r="C2022" s="5" t="str">
        <v>DAIHATSU GRANMAX PU AC PS 1.5 M/T</v>
      </c>
      <c r="D2022" s="5" t="str">
        <v>B2755MF</v>
      </c>
      <c r="E2022" s="10">
        <v>1499</v>
      </c>
      <c r="F2022" s="3" t="str">
        <v>Iya</v>
      </c>
      <c r="G2022" s="4">
        <v>46010</v>
      </c>
      <c r="H2022" s="10">
        <v>1499</v>
      </c>
    </row>
    <row r="2023" spans="1:8">
      <c r="A2023" s="3">
        <v>2022</v>
      </c>
      <c r="B2023" s="4">
        <v>46084.476053240738</v>
      </c>
      <c r="C2023" s="5" t="str">
        <v>DAIHATSU GRANMAX PU AC PS 1.5 M/T</v>
      </c>
      <c r="D2023" s="5" t="str">
        <v>B6483WV</v>
      </c>
      <c r="E2023" s="10">
        <v>18553</v>
      </c>
      <c r="F2023" s="3" t="str">
        <v>Iya</v>
      </c>
      <c r="G2023" s="4">
        <v>45995</v>
      </c>
      <c r="H2023" s="10">
        <v>18553</v>
      </c>
    </row>
    <row r="2024" spans="1:8">
      <c r="A2024" s="3">
        <v>2023</v>
      </c>
      <c r="B2024" s="4">
        <v>46084.478391203702</v>
      </c>
      <c r="C2024" s="5" t="str">
        <v>DAIHATSU GRANMAX PU AC PS 1.5 M/T</v>
      </c>
      <c r="D2024" s="5" t="str">
        <v>B8589XJW</v>
      </c>
      <c r="E2024" s="10">
        <v>29882</v>
      </c>
      <c r="F2024" s="3" t="str">
        <v>Iya</v>
      </c>
      <c r="G2024" s="4">
        <v>45953</v>
      </c>
      <c r="H2024" s="10">
        <v>29882</v>
      </c>
    </row>
    <row r="2025" spans="1:8">
      <c r="A2025" s="3">
        <v>2024</v>
      </c>
      <c r="B2025" s="4">
        <v>46084.48537037037</v>
      </c>
      <c r="C2025" s="5" t="str">
        <v>DAIHATSU GRANMAX PU AC PS 1.5 M/T</v>
      </c>
      <c r="D2025" s="5" t="str">
        <v>B6193SD</v>
      </c>
      <c r="E2025" s="10">
        <v>17282</v>
      </c>
      <c r="F2025" s="3" t="str">
        <v>Iya</v>
      </c>
      <c r="G2025" s="4">
        <v>46035</v>
      </c>
      <c r="H2025" s="10">
        <v>17282</v>
      </c>
    </row>
    <row r="2026" spans="1:8">
      <c r="A2026" s="3">
        <v>2025</v>
      </c>
      <c r="B2026" s="4">
        <v>46084.49082175926</v>
      </c>
      <c r="C2026" s="5" t="str">
        <v>DAIHATSU GRANMAX PU AC PS 1.5 M/T</v>
      </c>
      <c r="D2026" s="5" t="str">
        <v>B1733TDE</v>
      </c>
      <c r="E2026" s="10">
        <v>12072</v>
      </c>
      <c r="F2026" s="3" t="str">
        <v>Iya</v>
      </c>
      <c r="G2026" s="4">
        <v>45797</v>
      </c>
      <c r="H2026" s="10">
        <v>12072</v>
      </c>
    </row>
    <row r="2027" spans="1:8">
      <c r="A2027" s="3">
        <v>2026</v>
      </c>
      <c r="B2027" s="4">
        <v>46084.509120370371</v>
      </c>
      <c r="C2027" s="5" t="str">
        <v>DAIHATSU GRANMAX PU AC PS 1.5 M/T</v>
      </c>
      <c r="D2027" s="5" t="str">
        <v>B7832GQD</v>
      </c>
      <c r="E2027" s="10">
        <v>324788</v>
      </c>
      <c r="F2027" s="3" t="str">
        <v>Iya</v>
      </c>
      <c r="G2027" s="4">
        <v>45909</v>
      </c>
      <c r="H2027" s="10">
        <v>324788</v>
      </c>
    </row>
    <row r="2028" spans="1:8">
      <c r="A2028" s="3">
        <v>2027</v>
      </c>
      <c r="B2028" s="4">
        <v>46084.514062499999</v>
      </c>
      <c r="C2028" s="5" t="str">
        <v>PICK UP TRAGA 2.5 4X2 MT D M/T</v>
      </c>
      <c r="D2028" s="5" t="str">
        <v>B6449IA</v>
      </c>
      <c r="E2028" s="10">
        <v>10997</v>
      </c>
      <c r="F2028" s="3" t="str">
        <v>Iya</v>
      </c>
      <c r="G2028" s="4">
        <v>46074</v>
      </c>
      <c r="H2028" s="10">
        <v>10997</v>
      </c>
    </row>
    <row r="2029" spans="1:8">
      <c r="A2029" s="3">
        <v>2028</v>
      </c>
      <c r="B2029" s="4">
        <v>46084.515775462962</v>
      </c>
      <c r="C2029" s="5" t="str">
        <v>DAIHATSU GRANMAX PU AC PS 1.5 M/T</v>
      </c>
      <c r="D2029" s="5" t="str">
        <v>B3553ILD</v>
      </c>
      <c r="E2029" s="10">
        <v>12454</v>
      </c>
      <c r="F2029" s="3" t="str">
        <v>Iya</v>
      </c>
      <c r="G2029" s="4">
        <v>46056</v>
      </c>
      <c r="H2029" s="10">
        <v>12454</v>
      </c>
    </row>
    <row r="2030" spans="1:8">
      <c r="A2030" s="3">
        <v>2029</v>
      </c>
      <c r="B2030" s="4">
        <v>46084.52375</v>
      </c>
      <c r="C2030" s="5" t="str">
        <v>PICK UP TRAGA 2.5 4X2 MT D M/T</v>
      </c>
      <c r="D2030" s="5" t="str">
        <v>B4162QMK</v>
      </c>
      <c r="E2030" s="10">
        <v>12193</v>
      </c>
      <c r="F2030" s="3" t="str">
        <v>Iya</v>
      </c>
      <c r="G2030" s="4">
        <v>46034</v>
      </c>
      <c r="H2030" s="10">
        <v>12193</v>
      </c>
    </row>
    <row r="2031" spans="1:8">
      <c r="A2031" s="3">
        <v>2030</v>
      </c>
      <c r="B2031" s="4">
        <v>46084.524895833332</v>
      </c>
      <c r="C2031" s="5" t="str">
        <v>DAIHATSU GRANMAX PU AC PS 1.5 M/T</v>
      </c>
      <c r="D2031" s="5" t="str">
        <v>B7692UCT</v>
      </c>
      <c r="E2031" s="10">
        <v>11693</v>
      </c>
      <c r="F2031" s="3" t="str">
        <v>Iya</v>
      </c>
      <c r="G2031" s="4">
        <v>46022</v>
      </c>
      <c r="H2031" s="10">
        <v>11693</v>
      </c>
    </row>
    <row r="2032" spans="1:8">
      <c r="A2032" s="3">
        <v>2031</v>
      </c>
      <c r="B2032" s="4">
        <v>46084.525590277779</v>
      </c>
      <c r="C2032" s="5" t="str">
        <v>PICK UP TRAGA 2.5 4X2 MT D M/T</v>
      </c>
      <c r="D2032" s="5" t="str">
        <v>DD5905FD</v>
      </c>
      <c r="E2032" s="10">
        <v>47363</v>
      </c>
      <c r="F2032" s="3" t="str">
        <v>Iya</v>
      </c>
      <c r="G2032" s="4">
        <v>46003</v>
      </c>
      <c r="H2032" s="10">
        <v>47363</v>
      </c>
    </row>
    <row r="2033" spans="1:8">
      <c r="A2033" s="3">
        <v>2032</v>
      </c>
      <c r="B2033" s="4">
        <v>46084.544722222221</v>
      </c>
      <c r="C2033" s="5" t="str">
        <v>DAIHATSU GRANMAX PU AC PS 1.5 M/T</v>
      </c>
      <c r="D2033" s="5" t="str">
        <v>B1960LKY</v>
      </c>
      <c r="E2033" s="10">
        <v>49627</v>
      </c>
      <c r="F2033" s="3" t="str">
        <v>Iya</v>
      </c>
      <c r="G2033" s="4">
        <v>46296</v>
      </c>
      <c r="H2033" s="10">
        <v>49627</v>
      </c>
    </row>
    <row r="2034" spans="1:8">
      <c r="A2034" s="3">
        <v>2033</v>
      </c>
      <c r="B2034" s="4">
        <v>46084.549409722233</v>
      </c>
      <c r="C2034" s="5" t="str">
        <v>DAIHATSU GRANMAX PU AC PS 1.5 M/T</v>
      </c>
      <c r="D2034" s="5" t="str">
        <v>B7465WU</v>
      </c>
      <c r="E2034" s="10">
        <v>1721</v>
      </c>
      <c r="F2034" s="3" t="str">
        <v>Iya</v>
      </c>
      <c r="G2034" s="4">
        <v>46029</v>
      </c>
      <c r="H2034" s="10">
        <v>1721</v>
      </c>
    </row>
    <row r="2035" spans="1:8">
      <c r="A2035" s="3">
        <v>2034</v>
      </c>
      <c r="B2035" s="4">
        <v>46084.556076388893</v>
      </c>
      <c r="C2035" s="5" t="str">
        <v>DAIHATSU GRANMAX PU AC PS 1.5 M/T</v>
      </c>
      <c r="D2035" s="5" t="str">
        <v>B3540VF</v>
      </c>
      <c r="E2035" s="10">
        <v>20214</v>
      </c>
      <c r="F2035" s="3" t="str">
        <v>Iya</v>
      </c>
      <c r="G2035" s="4">
        <v>45911</v>
      </c>
      <c r="H2035" s="10">
        <v>20214</v>
      </c>
    </row>
    <row r="2036" spans="1:8">
      <c r="A2036" s="3">
        <v>2035</v>
      </c>
      <c r="B2036" s="4">
        <v>46084.566018518519</v>
      </c>
      <c r="C2036" s="5" t="str">
        <v>DAIHATSU GRANMAX PU AC PS 1.5 M/T</v>
      </c>
      <c r="D2036" s="5" t="str">
        <v>B7154RP</v>
      </c>
      <c r="E2036" s="10">
        <v>60055</v>
      </c>
      <c r="F2036" s="3" t="str">
        <v>Iya</v>
      </c>
      <c r="G2036" s="4">
        <v>46064</v>
      </c>
      <c r="H2036" s="10">
        <v>60055</v>
      </c>
    </row>
    <row r="2037" spans="1:8">
      <c r="A2037" s="3">
        <v>2036</v>
      </c>
      <c r="B2037" s="4">
        <v>46084.587106481478</v>
      </c>
      <c r="C2037" s="5" t="str">
        <v>PICK UP TRAGA 2.5 4X2 MT D M/T</v>
      </c>
      <c r="D2037" s="5" t="str">
        <v>B6137XG</v>
      </c>
      <c r="E2037" s="10">
        <v>72161</v>
      </c>
      <c r="F2037" s="3" t="str">
        <v>Iya</v>
      </c>
      <c r="G2037" s="4">
        <v>46064</v>
      </c>
      <c r="H2037" s="10">
        <v>72161</v>
      </c>
    </row>
    <row r="2038" spans="1:8">
      <c r="A2038" s="3">
        <v>2037</v>
      </c>
      <c r="B2038" s="4">
        <v>46084.594849537039</v>
      </c>
      <c r="C2038" s="5" t="str">
        <v>PICK UP TRAGA 2.5 4X2 MT D M/T</v>
      </c>
      <c r="D2038" s="5" t="str">
        <v>B8342NSJ</v>
      </c>
      <c r="E2038" s="10">
        <v>50335</v>
      </c>
      <c r="F2038" s="3" t="str">
        <v>Iya</v>
      </c>
      <c r="G2038" s="4">
        <v>45956</v>
      </c>
      <c r="H2038" s="10">
        <v>50335</v>
      </c>
    </row>
    <row r="2039" spans="1:8">
      <c r="A2039" s="3">
        <v>2038</v>
      </c>
      <c r="B2039" s="4">
        <v>46084.609918981478</v>
      </c>
      <c r="C2039" s="5" t="str">
        <v>DAIHATSU GRANMAX PU AC PS 1.5 M/T</v>
      </c>
      <c r="D2039" s="5" t="str">
        <v>B1827DA</v>
      </c>
      <c r="E2039" s="10">
        <v>32198</v>
      </c>
      <c r="F2039" s="3" t="str">
        <v>Iya</v>
      </c>
      <c r="G2039" s="4">
        <v>45947</v>
      </c>
      <c r="H2039" s="10">
        <v>32198</v>
      </c>
    </row>
    <row r="2040" spans="1:8">
      <c r="A2040" s="3">
        <v>2039</v>
      </c>
      <c r="B2040" s="4">
        <v>46084.623935185176</v>
      </c>
      <c r="C2040" s="5" t="str">
        <v>PICK UP TRAGA 2.5 4X2 MT D M/T</v>
      </c>
      <c r="D2040" s="5" t="str">
        <v>B1167YL</v>
      </c>
      <c r="E2040" s="10">
        <v>41775</v>
      </c>
      <c r="F2040" s="3" t="str">
        <v>Iya</v>
      </c>
      <c r="G2040" s="4">
        <v>46065</v>
      </c>
      <c r="H2040" s="10">
        <v>41775</v>
      </c>
    </row>
    <row r="2041" spans="1:8">
      <c r="A2041" s="3">
        <v>2040</v>
      </c>
      <c r="B2041" s="4">
        <v>46084.626064814824</v>
      </c>
      <c r="C2041" s="5" t="str">
        <v>DAIHATSU GRANMAX PU AC PS 1.5 M/T</v>
      </c>
      <c r="D2041" s="5" t="str">
        <v>B9525TPH</v>
      </c>
      <c r="E2041" s="10">
        <v>11984</v>
      </c>
      <c r="F2041" s="3" t="str">
        <v>Iya</v>
      </c>
      <c r="G2041" s="4">
        <v>46073</v>
      </c>
      <c r="H2041" s="10">
        <v>11984</v>
      </c>
    </row>
    <row r="2042" spans="1:8">
      <c r="A2042" s="3">
        <v>2041</v>
      </c>
      <c r="B2042" s="4">
        <v>46084.631643518522</v>
      </c>
      <c r="C2042" s="5" t="str">
        <v>DAIHATSU GRANMAX PU AC PS 1.5 M/T</v>
      </c>
      <c r="D2042" s="5" t="str">
        <v>B1809LPG</v>
      </c>
      <c r="E2042" s="10">
        <v>6409</v>
      </c>
      <c r="F2042" s="3" t="str">
        <v>Iya</v>
      </c>
      <c r="G2042" s="4">
        <v>46023</v>
      </c>
      <c r="H2042" s="10">
        <v>6409</v>
      </c>
    </row>
    <row r="2043" spans="1:8">
      <c r="A2043" s="3">
        <v>2042</v>
      </c>
      <c r="B2043" s="4">
        <v>46084.650787037041</v>
      </c>
      <c r="C2043" s="5" t="str">
        <v>PICK UP TRAGA 2.5 4X2 MT D M/T</v>
      </c>
      <c r="D2043" s="5" t="str">
        <v>B8311EZ</v>
      </c>
      <c r="E2043" s="10">
        <v>975</v>
      </c>
      <c r="F2043" s="3" t="str">
        <v>Iya</v>
      </c>
      <c r="G2043" s="4">
        <v>45992</v>
      </c>
      <c r="H2043" s="10">
        <v>975</v>
      </c>
    </row>
    <row r="2044" spans="1:8">
      <c r="A2044" s="3">
        <v>2043</v>
      </c>
      <c r="B2044" s="4">
        <v>46084.653946759259</v>
      </c>
      <c r="C2044" s="5" t="str">
        <v>DAIHATSU GRANMAX PU AC PS 1.5 M/T</v>
      </c>
      <c r="D2044" s="5" t="str">
        <v>B2325IRM</v>
      </c>
      <c r="E2044" s="10">
        <v>28881</v>
      </c>
      <c r="F2044" s="3" t="str">
        <v>Iya</v>
      </c>
      <c r="G2044" s="4">
        <v>46041</v>
      </c>
      <c r="H2044" s="10">
        <v>28881</v>
      </c>
    </row>
    <row r="2045" spans="1:8">
      <c r="A2045" s="3">
        <v>2044</v>
      </c>
      <c r="B2045" s="4">
        <v>46084.661817129629</v>
      </c>
      <c r="C2045" s="5" t="str">
        <v>DAIHATSU GRANMAX PU AC PS 1.5 M/T</v>
      </c>
      <c r="D2045" s="5" t="str">
        <v>B1799MW</v>
      </c>
      <c r="E2045" s="10">
        <v>1802</v>
      </c>
      <c r="F2045" s="3" t="str">
        <v>Iya</v>
      </c>
      <c r="G2045" s="4">
        <v>45974</v>
      </c>
      <c r="H2045" s="10">
        <v>1802</v>
      </c>
    </row>
    <row r="2046" spans="1:8">
      <c r="A2046" s="3">
        <v>2045</v>
      </c>
      <c r="B2046" s="4">
        <v>46084.662546296298</v>
      </c>
      <c r="C2046" s="5" t="str">
        <v>PICK UP TRAGA 2.5 4X2 MT D M/T</v>
      </c>
      <c r="D2046" s="5" t="str">
        <v>B3431HDZ</v>
      </c>
      <c r="E2046" s="10">
        <v>38390</v>
      </c>
      <c r="F2046" s="3" t="str">
        <v>Iya</v>
      </c>
      <c r="G2046" s="4">
        <v>46077</v>
      </c>
      <c r="H2046" s="10">
        <v>38390</v>
      </c>
    </row>
    <row r="2047" spans="1:8">
      <c r="A2047" s="3">
        <v>2046</v>
      </c>
      <c r="B2047" s="4">
        <v>46084.66920138889</v>
      </c>
      <c r="C2047" s="5" t="str">
        <v>Daihatsu Xenia (Badan)</v>
      </c>
      <c r="D2047" s="5" t="str">
        <v>KB4153HK</v>
      </c>
      <c r="E2047" s="10">
        <v>48052</v>
      </c>
      <c r="F2047" s="3" t="str">
        <v>Iya</v>
      </c>
      <c r="G2047" s="4">
        <v>46080</v>
      </c>
      <c r="H2047" s="10">
        <v>48052</v>
      </c>
    </row>
    <row r="2048" spans="1:8">
      <c r="A2048" s="3">
        <v>2047</v>
      </c>
      <c r="B2048" s="4">
        <v>46084.674108796287</v>
      </c>
      <c r="C2048" s="5" t="str">
        <v>Daihatsu Xenia (Badan)</v>
      </c>
      <c r="D2048" s="5" t="str">
        <v>B4950DFS</v>
      </c>
      <c r="E2048" s="10">
        <v>1632</v>
      </c>
      <c r="F2048" s="3" t="str">
        <v>Iya</v>
      </c>
      <c r="G2048" s="4">
        <v>45999</v>
      </c>
      <c r="H2048" s="10">
        <v>1632</v>
      </c>
    </row>
    <row r="2049" spans="1:8">
      <c r="A2049" s="3">
        <v>2048</v>
      </c>
      <c r="B2049" s="4">
        <v>46084.676041666673</v>
      </c>
      <c r="C2049" s="5" t="str">
        <v>DAIHATSU GRANMAX PU AC PS 1.5 M/T</v>
      </c>
      <c r="D2049" s="5" t="str">
        <v>B8753SMF</v>
      </c>
      <c r="E2049" s="10">
        <v>55973</v>
      </c>
      <c r="F2049" s="3" t="str">
        <v>Iya</v>
      </c>
      <c r="G2049" s="4">
        <v>46027</v>
      </c>
      <c r="H2049" s="10">
        <v>55973</v>
      </c>
    </row>
    <row r="2050" spans="1:8">
      <c r="A2050" s="3">
        <v>2049</v>
      </c>
      <c r="B2050" s="4">
        <v>46084.677476851852</v>
      </c>
      <c r="C2050" s="5" t="str">
        <v>PICK UP TRAGA 2.5 4X2 MT D M/T</v>
      </c>
      <c r="D2050" s="5" t="str">
        <v>B5067LZ</v>
      </c>
      <c r="E2050" s="10">
        <v>38590</v>
      </c>
      <c r="F2050" s="3" t="str">
        <v>Iya</v>
      </c>
      <c r="G2050" s="4">
        <v>46076</v>
      </c>
      <c r="H2050" s="10">
        <v>38590</v>
      </c>
    </row>
    <row r="2051" spans="1:8">
      <c r="A2051" s="3">
        <v>2050</v>
      </c>
      <c r="B2051" s="4">
        <v>46084.679039351853</v>
      </c>
      <c r="C2051" s="5" t="str">
        <v>DAIHATSU GRANMAX PU AC PS 1.5 M/T</v>
      </c>
      <c r="D2051" s="5" t="str">
        <v>B6871DFH</v>
      </c>
      <c r="E2051" s="10">
        <v>18624</v>
      </c>
      <c r="F2051" s="3" t="str">
        <v>Iya</v>
      </c>
      <c r="G2051" s="4">
        <v>45923</v>
      </c>
      <c r="H2051" s="10">
        <v>18624</v>
      </c>
    </row>
    <row r="2052" spans="1:8">
      <c r="A2052" s="3">
        <v>2051</v>
      </c>
      <c r="B2052" s="4">
        <v>46084.679907407408</v>
      </c>
      <c r="C2052" s="5" t="str">
        <v>Daihatsu Xenia (Badan)</v>
      </c>
      <c r="D2052" s="5" t="str">
        <v>DA3899XS</v>
      </c>
      <c r="E2052" s="10">
        <v>23249</v>
      </c>
      <c r="F2052" s="3" t="str">
        <v>Iya</v>
      </c>
      <c r="G2052" s="4">
        <v>46063</v>
      </c>
      <c r="H2052" s="10">
        <v>23249</v>
      </c>
    </row>
    <row r="2053" spans="1:8">
      <c r="A2053" s="3">
        <v>2052</v>
      </c>
      <c r="B2053" s="4">
        <v>46084.681122685193</v>
      </c>
      <c r="C2053" s="5" t="str">
        <v>DAIHATSU GRANMAX PU AC PS 1.5 M/T</v>
      </c>
      <c r="D2053" s="5" t="str">
        <v>B4952MY</v>
      </c>
      <c r="E2053" s="10">
        <v>30158</v>
      </c>
      <c r="F2053" s="3" t="str">
        <v>Iya</v>
      </c>
      <c r="G2053" s="4">
        <v>46030</v>
      </c>
      <c r="H2053" s="10">
        <v>30158</v>
      </c>
    </row>
    <row r="2054" spans="1:8">
      <c r="A2054" s="3">
        <v>2053</v>
      </c>
      <c r="B2054" s="4">
        <v>46084.686296296299</v>
      </c>
      <c r="C2054" s="5" t="str">
        <v>DAIHATSU GRANMAX PU AC PS 1.5 M/T</v>
      </c>
      <c r="D2054" s="5" t="str">
        <v>B9409VZ</v>
      </c>
      <c r="E2054" s="10">
        <v>24606</v>
      </c>
      <c r="F2054" s="3" t="str">
        <v>Iya</v>
      </c>
      <c r="G2054" s="4">
        <v>45903</v>
      </c>
      <c r="H2054" s="10">
        <v>24606</v>
      </c>
    </row>
    <row r="2055" spans="1:8">
      <c r="A2055" s="3">
        <v>2054</v>
      </c>
      <c r="B2055" s="4">
        <v>46084.693541666667</v>
      </c>
      <c r="C2055" s="5" t="str">
        <v>DAIHATSU GRANMAX PU AC PS 1.5 M/T</v>
      </c>
      <c r="D2055" s="5" t="str">
        <v>B6999PZ</v>
      </c>
      <c r="E2055" s="10">
        <v>26004</v>
      </c>
      <c r="F2055" s="3" t="str">
        <v>Iya</v>
      </c>
      <c r="G2055" s="4">
        <v>46064</v>
      </c>
      <c r="H2055" s="10">
        <v>26004</v>
      </c>
    </row>
    <row r="2056" spans="1:8">
      <c r="A2056" s="3">
        <v>2055</v>
      </c>
      <c r="B2056" s="4">
        <v>46084.698599537027</v>
      </c>
      <c r="C2056" s="5" t="str">
        <v>PICK UP TRAGA 2.5 4X2 MT D M/T</v>
      </c>
      <c r="D2056" s="5" t="str">
        <v>B2118PQK</v>
      </c>
      <c r="E2056" s="10">
        <v>55176</v>
      </c>
      <c r="F2056" s="3" t="str">
        <v>Iya</v>
      </c>
      <c r="G2056" s="4">
        <v>46038</v>
      </c>
      <c r="H2056" s="10">
        <v>55176</v>
      </c>
    </row>
    <row r="2057" spans="1:8">
      <c r="A2057" s="3">
        <v>2056</v>
      </c>
      <c r="B2057" s="4">
        <v>46084.716817129629</v>
      </c>
      <c r="C2057" s="5" t="str">
        <v>DAIHATSU GRANMAX PU AC PS 1.5 M/T</v>
      </c>
      <c r="D2057" s="5" t="str">
        <v>B5277IQ</v>
      </c>
      <c r="E2057" s="10">
        <v>52066</v>
      </c>
      <c r="F2057" s="3" t="str">
        <v>Iya</v>
      </c>
      <c r="G2057" s="4">
        <v>45964</v>
      </c>
      <c r="H2057" s="10">
        <v>52066</v>
      </c>
    </row>
    <row r="2058" spans="1:8">
      <c r="A2058" s="3">
        <v>2057</v>
      </c>
      <c r="B2058" s="4">
        <v>46084.741678240738</v>
      </c>
      <c r="C2058" s="5" t="str">
        <v>PICK UP TRAGA 2.5 4X2 MT D M/T</v>
      </c>
      <c r="D2058" s="5" t="str">
        <v>B2293BCX</v>
      </c>
      <c r="E2058" s="10">
        <v>14461</v>
      </c>
      <c r="F2058" s="3" t="str">
        <v>Iya</v>
      </c>
      <c r="G2058" s="4">
        <v>46013</v>
      </c>
      <c r="H2058" s="10">
        <v>14461</v>
      </c>
    </row>
    <row r="2059" spans="1:8">
      <c r="A2059" s="3">
        <v>2058</v>
      </c>
      <c r="B2059" s="4">
        <v>46085.327048611107</v>
      </c>
      <c r="C2059" s="5" t="str">
        <v>DAIHATSU GRANMAX PU AC PS 1.5 M/T</v>
      </c>
      <c r="D2059" s="5" t="str">
        <v>KT8120IVX</v>
      </c>
      <c r="E2059" s="10">
        <v>10649</v>
      </c>
      <c r="F2059" s="3" t="str">
        <v>Iya</v>
      </c>
      <c r="G2059" s="4">
        <v>45972</v>
      </c>
      <c r="H2059" s="10">
        <v>10649</v>
      </c>
    </row>
    <row r="2060" spans="1:8">
      <c r="A2060" s="3">
        <v>2059</v>
      </c>
      <c r="B2060" s="4">
        <v>46085.333819444437</v>
      </c>
      <c r="C2060" s="5" t="str">
        <v>DAIHATSU GRANMAX PU AC PS 1.5 M/T</v>
      </c>
      <c r="D2060" s="5" t="str">
        <v>B4786BT</v>
      </c>
      <c r="E2060" s="10">
        <v>32123</v>
      </c>
      <c r="F2060" s="3" t="str">
        <v>Iya</v>
      </c>
      <c r="G2060" s="4">
        <v>46044</v>
      </c>
      <c r="H2060" s="10">
        <v>32123</v>
      </c>
    </row>
    <row r="2061" spans="1:8">
      <c r="A2061" s="3">
        <v>2060</v>
      </c>
      <c r="B2061" s="4">
        <v>46085.336400462962</v>
      </c>
      <c r="C2061" s="5" t="str">
        <v>DAIHATSU GRANMAX PU AC PS 1.5 M/T</v>
      </c>
      <c r="D2061" s="5" t="str">
        <v>B5918LZ</v>
      </c>
      <c r="E2061" s="10">
        <v>114331</v>
      </c>
      <c r="F2061" s="3" t="str">
        <v>Iya</v>
      </c>
      <c r="G2061" s="4">
        <v>45985</v>
      </c>
      <c r="H2061" s="10">
        <v>114331</v>
      </c>
    </row>
    <row r="2062" spans="1:8">
      <c r="A2062" s="3">
        <v>2061</v>
      </c>
      <c r="B2062" s="4">
        <v>46085.340300925927</v>
      </c>
      <c r="C2062" s="5" t="str">
        <v>DAIHATSU GRANMAX PU AC PS 1.5 M/T</v>
      </c>
      <c r="D2062" s="5" t="str">
        <v>B5790CM</v>
      </c>
      <c r="E2062" s="10">
        <v>17344</v>
      </c>
      <c r="F2062" s="3" t="str">
        <v>Iya</v>
      </c>
      <c r="G2062" s="4">
        <v>45960</v>
      </c>
      <c r="H2062" s="10">
        <v>17344</v>
      </c>
    </row>
    <row r="2063" spans="1:8">
      <c r="A2063" s="3">
        <v>2062</v>
      </c>
      <c r="B2063" s="4">
        <v>46085.357835648138</v>
      </c>
      <c r="C2063" s="5" t="str">
        <v>PICK UP TRAGA 2.5 4X2 MT D M/T</v>
      </c>
      <c r="D2063" s="5" t="str">
        <v>B9936AP</v>
      </c>
      <c r="E2063" s="10">
        <v>53836</v>
      </c>
      <c r="F2063" s="3" t="str">
        <v>Iya</v>
      </c>
      <c r="G2063" s="4">
        <v>45931</v>
      </c>
      <c r="H2063" s="10">
        <v>53836</v>
      </c>
    </row>
    <row r="2064" spans="1:8">
      <c r="A2064" s="3">
        <v>2063</v>
      </c>
      <c r="B2064" s="4">
        <v>46085.358344907407</v>
      </c>
      <c r="C2064" s="5" t="str">
        <v>DAIHATSU GRANMAX PU AC PS 1.5 M/T</v>
      </c>
      <c r="D2064" s="5" t="str">
        <v>H6446RTB</v>
      </c>
      <c r="E2064" s="10">
        <v>20518</v>
      </c>
      <c r="F2064" s="3" t="str">
        <v>Iya</v>
      </c>
      <c r="G2064" s="4">
        <v>45962</v>
      </c>
      <c r="H2064" s="10">
        <v>20518</v>
      </c>
    </row>
    <row r="2065" spans="1:8">
      <c r="A2065" s="3">
        <v>2064</v>
      </c>
      <c r="B2065" s="4">
        <v>46085.360231481478</v>
      </c>
      <c r="C2065" s="5" t="str">
        <v>PICK UP TRAGA 2.5 4X2 MT D M/T</v>
      </c>
      <c r="D2065" s="5" t="str">
        <v>B7915GBS</v>
      </c>
      <c r="E2065" s="10">
        <v>58962</v>
      </c>
      <c r="F2065" s="3" t="str">
        <v>Iya</v>
      </c>
      <c r="G2065" s="4">
        <v>46044</v>
      </c>
      <c r="H2065" s="10">
        <v>58962</v>
      </c>
    </row>
    <row r="2066" spans="1:8">
      <c r="A2066" s="3">
        <v>2065</v>
      </c>
      <c r="B2066" s="4">
        <v>46085.36515046296</v>
      </c>
      <c r="C2066" s="5" t="str">
        <v>PICK UP TRAGA 2.5 4X2 MT D M/T</v>
      </c>
      <c r="D2066" s="5" t="str">
        <v>B6905PX</v>
      </c>
      <c r="E2066" s="10">
        <v>8658</v>
      </c>
      <c r="F2066" s="3" t="str">
        <v>Iya</v>
      </c>
      <c r="G2066" s="4">
        <v>46041</v>
      </c>
      <c r="H2066" s="10">
        <v>8658</v>
      </c>
    </row>
    <row r="2067" spans="1:8">
      <c r="A2067" s="3">
        <v>2066</v>
      </c>
      <c r="B2067" s="4">
        <v>46085.366886574076</v>
      </c>
      <c r="C2067" s="5" t="str">
        <v>DAIHATSU GRANMAX PU AC PS 1.5 M/T</v>
      </c>
      <c r="D2067" s="5" t="str">
        <v>B1455JPZ</v>
      </c>
      <c r="E2067" s="10">
        <v>13104</v>
      </c>
      <c r="F2067" s="3" t="str">
        <v>Iya</v>
      </c>
      <c r="G2067" s="4">
        <v>46014</v>
      </c>
      <c r="H2067" s="10">
        <v>13104</v>
      </c>
    </row>
    <row r="2068" spans="1:8">
      <c r="A2068" s="3">
        <v>2067</v>
      </c>
      <c r="B2068" s="4">
        <v>46085.367685185192</v>
      </c>
      <c r="C2068" s="5" t="str">
        <v>DAIHATSU GRANMAX PU AC PS 1.5 M/T</v>
      </c>
      <c r="D2068" s="5" t="str">
        <v>B7135IN</v>
      </c>
      <c r="E2068" s="10">
        <v>25495</v>
      </c>
      <c r="F2068" s="3" t="str">
        <v>Iya</v>
      </c>
      <c r="G2068" s="4">
        <v>45911</v>
      </c>
      <c r="H2068" s="10">
        <v>25495</v>
      </c>
    </row>
    <row r="2069" spans="1:8">
      <c r="A2069" s="3">
        <v>2068</v>
      </c>
      <c r="B2069" s="4">
        <v>46085.374351851853</v>
      </c>
      <c r="C2069" s="5" t="str">
        <v>DAIHATSU GRANMAX PU AC PS 1.5 M/T</v>
      </c>
      <c r="D2069" s="5" t="str">
        <v>B2047SQ</v>
      </c>
      <c r="E2069" s="10">
        <v>50936</v>
      </c>
      <c r="F2069" s="3" t="str">
        <v>Iya</v>
      </c>
      <c r="G2069" s="4">
        <v>45981</v>
      </c>
      <c r="H2069" s="10">
        <v>50936</v>
      </c>
    </row>
    <row r="2070" spans="1:8">
      <c r="A2070" s="3">
        <v>2069</v>
      </c>
      <c r="B2070" s="4">
        <v>46085.390787037039</v>
      </c>
      <c r="C2070" s="5" t="str">
        <v>DAIHATSU GRANMAX PU AC PS 1.5 M/T</v>
      </c>
      <c r="D2070" s="5" t="str">
        <v>H3059ZKJ</v>
      </c>
      <c r="E2070" s="10">
        <v>11185</v>
      </c>
      <c r="F2070" s="3" t="str">
        <v>Iya</v>
      </c>
      <c r="G2070" s="4">
        <v>46062</v>
      </c>
      <c r="H2070" s="10">
        <v>11185</v>
      </c>
    </row>
    <row r="2071" spans="1:8">
      <c r="A2071" s="3">
        <v>2070</v>
      </c>
      <c r="B2071" s="4">
        <v>46085.404664351852</v>
      </c>
      <c r="C2071" s="5" t="str">
        <v>DAIHATSU GRANMAX PU AC PS 1.5 M/T</v>
      </c>
      <c r="D2071" s="5" t="str">
        <v>B8474IXR</v>
      </c>
      <c r="E2071" s="10">
        <v>22746</v>
      </c>
      <c r="F2071" s="3" t="str">
        <v>Iya</v>
      </c>
      <c r="G2071" s="4">
        <v>45943</v>
      </c>
      <c r="H2071" s="10">
        <v>22746</v>
      </c>
    </row>
    <row r="2072" spans="1:8">
      <c r="A2072" s="3">
        <v>2071</v>
      </c>
      <c r="B2072" s="4">
        <v>46085.408067129632</v>
      </c>
      <c r="C2072" s="5" t="str">
        <v>DAIHATSU GRANMAX PU AC PS 1.5 M/T</v>
      </c>
      <c r="D2072" s="5" t="str">
        <v>B6441NR</v>
      </c>
      <c r="E2072" s="10">
        <v>26220</v>
      </c>
      <c r="F2072" s="3" t="str">
        <v>Iya</v>
      </c>
      <c r="G2072" s="4">
        <v>45997</v>
      </c>
      <c r="H2072" s="10">
        <v>26220</v>
      </c>
    </row>
    <row r="2073" spans="1:8">
      <c r="A2073" s="3">
        <v>2072</v>
      </c>
      <c r="B2073" s="4">
        <v>46085.425243055557</v>
      </c>
      <c r="C2073" s="5" t="str">
        <v>DAIHATSU GRANMAX PU AC PS 1.5 M/T</v>
      </c>
      <c r="D2073" s="5" t="str">
        <v>B7165PWG</v>
      </c>
      <c r="E2073" s="10">
        <v>5774</v>
      </c>
      <c r="F2073" s="3" t="str">
        <v>Iya</v>
      </c>
      <c r="G2073" s="4">
        <v>45953</v>
      </c>
      <c r="H2073" s="10">
        <v>5774</v>
      </c>
    </row>
    <row r="2074" spans="1:8">
      <c r="A2074" s="3">
        <v>2073</v>
      </c>
      <c r="B2074" s="4">
        <v>46085.425312500003</v>
      </c>
      <c r="C2074" s="5" t="str">
        <v>PICK UP TRAGA 2.5 4X2 MT D M/T</v>
      </c>
      <c r="D2074" s="5" t="str">
        <v>B7759RV</v>
      </c>
      <c r="E2074" s="10">
        <v>8620</v>
      </c>
      <c r="F2074" s="3" t="str">
        <v>Iya</v>
      </c>
      <c r="G2074" s="4">
        <v>46002</v>
      </c>
      <c r="H2074" s="10">
        <v>8620</v>
      </c>
    </row>
    <row r="2075" spans="1:8">
      <c r="A2075" s="3">
        <v>2074</v>
      </c>
      <c r="B2075" s="4">
        <v>46085.44971064815</v>
      </c>
      <c r="C2075" s="5" t="str">
        <v>PICK UP TRAGA 2.5 4X2 MT D M/T</v>
      </c>
      <c r="D2075" s="5" t="str">
        <v>B7591HAI</v>
      </c>
      <c r="E2075" s="10">
        <v>112724</v>
      </c>
      <c r="F2075" s="3" t="str">
        <v>Iya</v>
      </c>
      <c r="G2075" s="4">
        <v>46015</v>
      </c>
      <c r="H2075" s="10">
        <v>112724</v>
      </c>
    </row>
    <row r="2076" spans="1:8">
      <c r="A2076" s="3">
        <v>2075</v>
      </c>
      <c r="B2076" s="4">
        <v>46085.450949074067</v>
      </c>
      <c r="C2076" s="5" t="str">
        <v>DAIHATSU GRANMAX PU AC PS 1.5 M/T</v>
      </c>
      <c r="D2076" s="5" t="str">
        <v>DD2694FT</v>
      </c>
      <c r="E2076" s="10">
        <v>27880</v>
      </c>
      <c r="F2076" s="3" t="str">
        <v>Iya</v>
      </c>
      <c r="G2076" s="4">
        <v>46058</v>
      </c>
      <c r="H2076" s="10">
        <v>27880</v>
      </c>
    </row>
    <row r="2077" spans="1:8">
      <c r="A2077" s="3">
        <v>2076</v>
      </c>
      <c r="B2077" s="4">
        <v>46085.459930555553</v>
      </c>
      <c r="C2077" s="5" t="str">
        <v>DAIHATSU GRANMAX PU AC PS 1.5 M/T</v>
      </c>
      <c r="D2077" s="5" t="str">
        <v>B3545GSF</v>
      </c>
      <c r="E2077" s="10">
        <v>4113</v>
      </c>
      <c r="F2077" s="3" t="str">
        <v>Iya</v>
      </c>
      <c r="G2077" s="4">
        <v>45890</v>
      </c>
      <c r="H2077" s="10">
        <v>4113</v>
      </c>
    </row>
    <row r="2078" spans="1:8">
      <c r="A2078" s="3">
        <v>2077</v>
      </c>
      <c r="B2078" s="4">
        <v>46085.47420138889</v>
      </c>
      <c r="C2078" s="5" t="str">
        <v>DAIHATSU GRANMAX PU AC PS 1.5 M/T</v>
      </c>
      <c r="D2078" s="5" t="str">
        <v>DA1719BR</v>
      </c>
      <c r="E2078" s="10">
        <v>1165</v>
      </c>
      <c r="F2078" s="3" t="str">
        <v>Iya</v>
      </c>
      <c r="G2078" s="4">
        <v>46031</v>
      </c>
      <c r="H2078" s="10">
        <v>1165</v>
      </c>
    </row>
    <row r="2079" spans="1:8">
      <c r="A2079" s="3">
        <v>2078</v>
      </c>
      <c r="B2079" s="4">
        <v>46085.475162037037</v>
      </c>
      <c r="C2079" s="5" t="str">
        <v>PICK UP TRAGA 2.5 4X2 MT D M/T</v>
      </c>
      <c r="D2079" s="5" t="str">
        <v>B6874UZA</v>
      </c>
      <c r="E2079" s="10">
        <v>61600</v>
      </c>
      <c r="F2079" s="3" t="str">
        <v>Iya</v>
      </c>
      <c r="G2079" s="4">
        <v>46048</v>
      </c>
      <c r="H2079" s="10">
        <v>61600</v>
      </c>
    </row>
    <row r="2080" spans="1:8">
      <c r="A2080" s="3">
        <v>2079</v>
      </c>
      <c r="B2080" s="4">
        <v>46085.475694444453</v>
      </c>
      <c r="C2080" s="5" t="str">
        <v>DAIHATSU GRANMAX PU AC PS 1.5 M/T</v>
      </c>
      <c r="D2080" s="5" t="str">
        <v>B3294INW</v>
      </c>
      <c r="E2080" s="10">
        <v>1308</v>
      </c>
      <c r="F2080" s="3" t="str">
        <v>Iya</v>
      </c>
      <c r="G2080" s="4">
        <v>45986</v>
      </c>
      <c r="H2080" s="10">
        <v>1308</v>
      </c>
    </row>
    <row r="2081" spans="1:8">
      <c r="A2081" s="3">
        <v>2080</v>
      </c>
      <c r="B2081" s="4">
        <v>46085.581157407411</v>
      </c>
      <c r="C2081" s="5" t="str">
        <v>DAIHATSU GRANMAX PU AC PS 1.5 M/T</v>
      </c>
      <c r="D2081" s="5" t="str">
        <v>B3294MFT</v>
      </c>
      <c r="E2081" s="10">
        <v>8290</v>
      </c>
      <c r="F2081" s="3" t="str">
        <v>Iya</v>
      </c>
      <c r="G2081" s="4">
        <v>45994</v>
      </c>
      <c r="H2081" s="10">
        <v>8290</v>
      </c>
    </row>
    <row r="2082" spans="1:8">
      <c r="A2082" s="3">
        <v>2081</v>
      </c>
      <c r="B2082" s="4">
        <v>46085.608969907407</v>
      </c>
      <c r="C2082" s="5" t="str">
        <v>PICK UP TRAGA 2.5 4X2 MT D M/T</v>
      </c>
      <c r="D2082" s="5" t="str">
        <v>B8491EZ</v>
      </c>
      <c r="E2082" s="10">
        <v>15640</v>
      </c>
      <c r="F2082" s="3" t="str">
        <v>Iya</v>
      </c>
      <c r="G2082" s="4">
        <v>46027</v>
      </c>
      <c r="H2082" s="10">
        <v>15640</v>
      </c>
    </row>
    <row r="2083" spans="1:8">
      <c r="A2083" s="3">
        <v>2082</v>
      </c>
      <c r="B2083" s="4">
        <v>46085.632025462961</v>
      </c>
      <c r="C2083" s="5" t="str">
        <v>DAIHATSU GRANMAX PU AC PS 1.5 M/T</v>
      </c>
      <c r="D2083" s="5" t="str">
        <v>B9877USW</v>
      </c>
      <c r="E2083" s="10">
        <v>11456</v>
      </c>
      <c r="F2083" s="3" t="str">
        <v>Iya</v>
      </c>
      <c r="G2083" s="4">
        <v>46034</v>
      </c>
      <c r="H2083" s="10">
        <v>11456</v>
      </c>
    </row>
    <row r="2084" spans="1:8">
      <c r="A2084" s="3">
        <v>2083</v>
      </c>
      <c r="B2084" s="4">
        <v>46085.659849537027</v>
      </c>
      <c r="C2084" s="5" t="str">
        <v>PICK UP TRAGA 2.5 4X2 MT D M/T</v>
      </c>
      <c r="D2084" s="5" t="str">
        <v>B5104CT</v>
      </c>
      <c r="E2084" s="10">
        <v>42351</v>
      </c>
      <c r="F2084" s="3" t="str">
        <v>Iya</v>
      </c>
      <c r="G2084" s="4">
        <v>45974</v>
      </c>
      <c r="H2084" s="10">
        <v>42351</v>
      </c>
    </row>
    <row r="2085" spans="1:8">
      <c r="A2085" s="3">
        <v>2084</v>
      </c>
      <c r="B2085" s="4">
        <v>46085.668692129628</v>
      </c>
      <c r="C2085" s="5" t="str">
        <v>DAIHATSU GRANMAX PU AC PS 1.5 M/T</v>
      </c>
      <c r="D2085" s="5" t="str">
        <v>B8895WT</v>
      </c>
      <c r="E2085" s="10">
        <v>9994</v>
      </c>
      <c r="F2085" s="3" t="str">
        <v>Iya</v>
      </c>
      <c r="G2085" s="4">
        <v>46059</v>
      </c>
      <c r="H2085" s="10">
        <v>9994</v>
      </c>
    </row>
    <row r="2086" spans="1:8">
      <c r="A2086" s="3">
        <v>2085</v>
      </c>
      <c r="B2086" s="4">
        <v>46085.672233796293</v>
      </c>
      <c r="C2086" s="5" t="str">
        <v>DAIHATSU GRANMAX PU AC PS 1.5 M/T</v>
      </c>
      <c r="D2086" s="5" t="str">
        <v>B9946LF</v>
      </c>
      <c r="E2086" s="10">
        <v>37891</v>
      </c>
      <c r="F2086" s="3" t="str">
        <v>Iya</v>
      </c>
      <c r="G2086" s="4">
        <v>46058</v>
      </c>
      <c r="H2086" s="10">
        <v>37891</v>
      </c>
    </row>
    <row r="2087" spans="1:8">
      <c r="A2087" s="3">
        <v>2086</v>
      </c>
      <c r="B2087" s="4">
        <v>46085.67396990741</v>
      </c>
      <c r="C2087" s="5" t="str">
        <v>DAIHATSU GRANMAX PU AC PS 1.5 M/T</v>
      </c>
      <c r="D2087" s="5" t="str">
        <v>B1229TQ</v>
      </c>
      <c r="E2087" s="10">
        <v>21109</v>
      </c>
      <c r="F2087" s="3" t="str">
        <v>Iya</v>
      </c>
      <c r="G2087" s="4">
        <v>45988</v>
      </c>
      <c r="H2087" s="10">
        <v>21109</v>
      </c>
    </row>
    <row r="2088" spans="1:8">
      <c r="A2088" s="3">
        <v>2087</v>
      </c>
      <c r="B2088" s="4">
        <v>46085.677430555559</v>
      </c>
      <c r="C2088" s="5" t="str">
        <v>PICK UP TRAGA 2.5 4X2 MT D M/T</v>
      </c>
      <c r="D2088" s="5" t="str">
        <v>KT5059PV</v>
      </c>
      <c r="E2088" s="10">
        <v>8661</v>
      </c>
      <c r="F2088" s="3" t="str">
        <v>Iya</v>
      </c>
      <c r="G2088" s="4">
        <v>45993</v>
      </c>
      <c r="H2088" s="10">
        <v>8661</v>
      </c>
    </row>
    <row r="2089" spans="1:8">
      <c r="A2089" s="3">
        <v>2088</v>
      </c>
      <c r="B2089" s="4">
        <v>46085.682523148149</v>
      </c>
      <c r="C2089" s="5" t="str">
        <v>DAIHATSU GRANMAX PU AC PS 1.5 M/T</v>
      </c>
      <c r="D2089" s="5" t="str">
        <v>H8934YH</v>
      </c>
      <c r="E2089" s="10">
        <v>20871</v>
      </c>
      <c r="F2089" s="3" t="str">
        <v>Iya</v>
      </c>
      <c r="G2089" s="4">
        <v>46037</v>
      </c>
      <c r="H2089" s="10">
        <v>20871</v>
      </c>
    </row>
    <row r="2090" spans="1:8">
      <c r="A2090" s="3">
        <v>2089</v>
      </c>
      <c r="B2090" s="4">
        <v>46085.691400462973</v>
      </c>
      <c r="C2090" s="5" t="str">
        <v>DAIHATSU GRANMAX PU AC PS 1.5 M/T</v>
      </c>
      <c r="D2090" s="5" t="str">
        <v>B5918LZ</v>
      </c>
      <c r="E2090" s="10">
        <v>113750</v>
      </c>
      <c r="F2090" s="3" t="str">
        <v>Iya</v>
      </c>
      <c r="G2090" s="4">
        <v>45985</v>
      </c>
      <c r="H2090" s="10">
        <v>113750</v>
      </c>
    </row>
    <row r="2091" spans="1:8">
      <c r="A2091" s="3">
        <v>2090</v>
      </c>
      <c r="B2091" s="4">
        <v>46085.698009259257</v>
      </c>
      <c r="C2091" s="5" t="str">
        <v>DAIHATSU GRANMAX PU AC PS 1.5 M/T</v>
      </c>
      <c r="D2091" s="5" t="str">
        <v>B3271BYK</v>
      </c>
      <c r="E2091" s="10">
        <v>36105</v>
      </c>
      <c r="F2091" s="3" t="str">
        <v>Iya</v>
      </c>
      <c r="G2091" s="4">
        <v>45936</v>
      </c>
      <c r="H2091" s="10">
        <v>36105</v>
      </c>
    </row>
    <row r="2092" spans="1:8">
      <c r="A2092" s="3">
        <v>2091</v>
      </c>
      <c r="B2092" s="4">
        <v>46085.727662037039</v>
      </c>
      <c r="C2092" s="5" t="str">
        <v>PICK UP TRAGA 2.5 4X2 MT D M/T</v>
      </c>
      <c r="D2092" s="5" t="str">
        <v>B9738SL</v>
      </c>
      <c r="E2092" s="10">
        <v>1671</v>
      </c>
      <c r="F2092" s="3" t="str">
        <v>Iya</v>
      </c>
      <c r="G2092" s="4">
        <v>46037</v>
      </c>
      <c r="H2092" s="10">
        <v>1671</v>
      </c>
    </row>
    <row r="2093" spans="1:8">
      <c r="A2093" s="3">
        <v>2092</v>
      </c>
      <c r="B2093" s="4">
        <v>46086.360752314817</v>
      </c>
      <c r="C2093" s="5" t="str">
        <v>DAIHATSU GRANMAX PU AC PS 1.5 M/T</v>
      </c>
      <c r="D2093" s="5" t="str">
        <v>B4124TR</v>
      </c>
      <c r="E2093" s="10">
        <v>8907</v>
      </c>
      <c r="F2093" s="3" t="str">
        <v>Iya</v>
      </c>
      <c r="G2093" s="4">
        <v>45832</v>
      </c>
      <c r="H2093" s="10">
        <v>8907</v>
      </c>
    </row>
    <row r="2094" spans="1:8">
      <c r="A2094" s="3">
        <v>2093</v>
      </c>
      <c r="B2094" s="4">
        <v>46086.370092592602</v>
      </c>
      <c r="C2094" s="5" t="str">
        <v>DAIHATSU GRANMAX PU AC PS 1.5 M/T</v>
      </c>
      <c r="D2094" s="5" t="str">
        <v>B2960MA</v>
      </c>
      <c r="E2094" s="10">
        <v>61978</v>
      </c>
      <c r="F2094" s="3" t="str">
        <v>Iya</v>
      </c>
      <c r="G2094" s="4">
        <v>45944</v>
      </c>
      <c r="H2094" s="10">
        <v>61978</v>
      </c>
    </row>
    <row r="2095" spans="1:8">
      <c r="A2095" s="3">
        <v>2094</v>
      </c>
      <c r="B2095" s="4">
        <v>46086.376967592587</v>
      </c>
      <c r="C2095" s="5" t="str">
        <v>DAIHATSU GRANMAX PU AC PS 1.5 M/T</v>
      </c>
      <c r="D2095" s="5" t="str">
        <v>B8955IB</v>
      </c>
      <c r="E2095" s="10">
        <v>3553</v>
      </c>
      <c r="F2095" s="3" t="str">
        <v>Iya</v>
      </c>
      <c r="G2095" s="4">
        <v>45980</v>
      </c>
      <c r="H2095" s="10">
        <v>3553</v>
      </c>
    </row>
    <row r="2096" spans="1:8">
      <c r="A2096" s="3">
        <v>2095</v>
      </c>
      <c r="B2096" s="4">
        <v>46086.409212962957</v>
      </c>
      <c r="C2096" s="5" t="str">
        <v>DAIHATSU GRANMAX PU AC PS 1.5 M/T</v>
      </c>
      <c r="D2096" s="5" t="str">
        <v>B6806LA</v>
      </c>
      <c r="E2096" s="10">
        <v>17534</v>
      </c>
      <c r="F2096" s="3" t="str">
        <v>Iya</v>
      </c>
      <c r="G2096" s="4">
        <v>46064</v>
      </c>
      <c r="H2096" s="10">
        <v>17534</v>
      </c>
    </row>
    <row r="2097" spans="1:8">
      <c r="A2097" s="3">
        <v>2096</v>
      </c>
      <c r="B2097" s="4">
        <v>46086.409953703696</v>
      </c>
      <c r="C2097" s="5" t="str">
        <v>PICK UP TRAGA 2.5 4X2 MT D M/T</v>
      </c>
      <c r="D2097" s="5" t="str">
        <v>B3306HX</v>
      </c>
      <c r="E2097" s="10">
        <v>18893</v>
      </c>
      <c r="F2097" s="3" t="str">
        <v>Iya</v>
      </c>
      <c r="G2097" s="4">
        <v>46055</v>
      </c>
      <c r="H2097" s="10">
        <v>18893</v>
      </c>
    </row>
    <row r="2098" spans="1:8">
      <c r="A2098" s="3">
        <v>2097</v>
      </c>
      <c r="B2098" s="4">
        <v>46086.413530092592</v>
      </c>
      <c r="C2098" s="5" t="str">
        <v>DAIHATSU GRANMAX PU AC PS 1.5 M/T</v>
      </c>
      <c r="D2098" s="5" t="str">
        <v>B6871DFH</v>
      </c>
      <c r="E2098" s="10">
        <v>21785</v>
      </c>
      <c r="F2098" s="3" t="str">
        <v>Iya</v>
      </c>
      <c r="G2098" s="4">
        <v>46085</v>
      </c>
      <c r="H2098" s="10">
        <v>21785</v>
      </c>
    </row>
    <row r="2099" spans="1:8">
      <c r="A2099" s="3">
        <v>2098</v>
      </c>
      <c r="B2099" s="4">
        <v>46086.414155092592</v>
      </c>
      <c r="C2099" s="5" t="str">
        <v>PICK UP TRAGA 2.5 4X2 MT D M/T</v>
      </c>
      <c r="D2099" s="5" t="str">
        <v>B3553JC</v>
      </c>
      <c r="E2099" s="10">
        <v>31478</v>
      </c>
      <c r="F2099" s="3" t="str">
        <v>Iya</v>
      </c>
      <c r="G2099" s="4">
        <v>46066</v>
      </c>
      <c r="H2099" s="10">
        <v>31478</v>
      </c>
    </row>
    <row r="2100" spans="1:8">
      <c r="A2100" s="3">
        <v>2099</v>
      </c>
      <c r="B2100" s="4">
        <v>46086.441712962973</v>
      </c>
      <c r="C2100" s="5" t="str">
        <v>DAIHATSU GRANMAX PU AC PS 1.5 M/T</v>
      </c>
      <c r="D2100" s="5" t="str">
        <v>B8385EAN</v>
      </c>
      <c r="E2100" s="10">
        <v>24065</v>
      </c>
      <c r="F2100" s="3" t="str">
        <v>Iya</v>
      </c>
      <c r="G2100" s="4">
        <v>45992</v>
      </c>
      <c r="H2100" s="10">
        <v>24065</v>
      </c>
    </row>
    <row r="2101" spans="1:8">
      <c r="A2101" s="3">
        <v>2100</v>
      </c>
      <c r="B2101" s="4">
        <v>46086.459351851852</v>
      </c>
      <c r="C2101" s="5" t="str">
        <v>DAIHATSU GRANMAX PU AC PS 1.5 M/T</v>
      </c>
      <c r="D2101" s="5" t="str">
        <v>B1073IH</v>
      </c>
      <c r="E2101" s="10">
        <v>5186</v>
      </c>
      <c r="F2101" s="3" t="str">
        <v>Iya</v>
      </c>
      <c r="G2101" s="4">
        <v>45967</v>
      </c>
      <c r="H2101" s="10">
        <v>5186</v>
      </c>
    </row>
    <row r="2102" spans="1:8">
      <c r="A2102" s="3">
        <v>2101</v>
      </c>
      <c r="B2102" s="4">
        <v>46086.477824074071</v>
      </c>
      <c r="C2102" s="5" t="str">
        <v>DAIHATSU GRANMAX PU AC PS 1.5 M/T</v>
      </c>
      <c r="D2102" s="5" t="str">
        <v>B1204ZZ</v>
      </c>
      <c r="E2102" s="10">
        <v>25476</v>
      </c>
      <c r="F2102" s="3" t="str">
        <v>Iya</v>
      </c>
      <c r="G2102" s="4">
        <v>46029</v>
      </c>
      <c r="H2102" s="10">
        <v>25476</v>
      </c>
    </row>
    <row r="2103" spans="1:8">
      <c r="A2103" s="3">
        <v>2102</v>
      </c>
      <c r="B2103" s="4">
        <v>46086.50341435185</v>
      </c>
      <c r="C2103" s="5" t="str">
        <v>Daihatsu Xenia (Badan)</v>
      </c>
      <c r="D2103" s="5" t="str">
        <v>B5066SRV</v>
      </c>
      <c r="E2103" s="10">
        <v>21210</v>
      </c>
      <c r="F2103" s="3" t="str">
        <v>Iya</v>
      </c>
      <c r="G2103" s="4">
        <v>46035</v>
      </c>
      <c r="H2103" s="10">
        <v>21210</v>
      </c>
    </row>
    <row r="2104" spans="1:8">
      <c r="A2104" s="3">
        <v>2103</v>
      </c>
      <c r="B2104" s="4">
        <v>46086.577696759261</v>
      </c>
      <c r="C2104" s="5" t="str">
        <v>DAIHATSU GRANMAX PU AC PS 1.5 M/T</v>
      </c>
      <c r="D2104" s="5" t="str">
        <v>B8144GH</v>
      </c>
      <c r="E2104" s="10">
        <v>10832</v>
      </c>
      <c r="F2104" s="3" t="str">
        <v>Iya</v>
      </c>
      <c r="G2104" s="4">
        <v>46053</v>
      </c>
      <c r="H2104" s="10">
        <v>10832</v>
      </c>
    </row>
    <row r="2105" spans="1:8">
      <c r="A2105" s="3">
        <v>2104</v>
      </c>
      <c r="B2105" s="4">
        <v>46086.588634259257</v>
      </c>
      <c r="C2105" s="5" t="str">
        <v>DAIHATSU GRANMAX PU AC PS 1.5 M/T</v>
      </c>
      <c r="D2105" s="5" t="str">
        <v>KT5836DY</v>
      </c>
      <c r="E2105" s="10">
        <v>20743</v>
      </c>
      <c r="F2105" s="3" t="str">
        <v>Iya</v>
      </c>
      <c r="G2105" s="4">
        <v>45923</v>
      </c>
      <c r="H2105" s="10">
        <v>20743</v>
      </c>
    </row>
    <row r="2106" spans="1:8">
      <c r="A2106" s="3">
        <v>2105</v>
      </c>
      <c r="B2106" s="4">
        <v>46086.647337962961</v>
      </c>
      <c r="C2106" s="5" t="str">
        <v>PICK UP TRAGA 2.5 4X2 MT D M/T</v>
      </c>
      <c r="D2106" s="5" t="str">
        <v>B9442AC</v>
      </c>
      <c r="E2106" s="10">
        <v>30289</v>
      </c>
      <c r="F2106" s="3" t="str">
        <v>Iya</v>
      </c>
      <c r="G2106" s="4">
        <v>46037</v>
      </c>
      <c r="H2106" s="10">
        <v>30289</v>
      </c>
    </row>
    <row r="2107" spans="1:8">
      <c r="A2107" s="3">
        <v>2106</v>
      </c>
      <c r="B2107" s="4">
        <v>46086.664618055547</v>
      </c>
      <c r="C2107" s="5" t="str">
        <v>Daihatsu Xenia (Badan)</v>
      </c>
      <c r="D2107" s="5" t="str">
        <v>B5062PCK</v>
      </c>
      <c r="E2107" s="10">
        <v>97556</v>
      </c>
      <c r="F2107" s="3" t="str">
        <v>Iya</v>
      </c>
      <c r="G2107" s="4">
        <v>46057</v>
      </c>
      <c r="H2107" s="10">
        <v>97556</v>
      </c>
    </row>
    <row r="2108" spans="1:8">
      <c r="A2108" s="3">
        <v>2107</v>
      </c>
      <c r="B2108" s="4">
        <v>46087.339363425926</v>
      </c>
      <c r="C2108" s="5" t="str">
        <v>DAIHATSU GRANMAX PU AC PS 1.5 M/T</v>
      </c>
      <c r="D2108" s="5" t="str">
        <v>B5612UFW</v>
      </c>
      <c r="E2108" s="10">
        <v>26375</v>
      </c>
      <c r="F2108" s="3" t="str">
        <v>Iya</v>
      </c>
      <c r="G2108" s="4">
        <v>45854</v>
      </c>
      <c r="H2108" s="10">
        <v>26375</v>
      </c>
    </row>
    <row r="2109" spans="1:8">
      <c r="A2109" s="3">
        <v>2108</v>
      </c>
      <c r="B2109" s="4">
        <v>46087.376076388893</v>
      </c>
      <c r="C2109" s="5" t="str">
        <v>DAIHATSU GRANMAX PU AC PS 1.5 M/T</v>
      </c>
      <c r="D2109" s="5" t="str">
        <v>B8878HRL</v>
      </c>
      <c r="E2109" s="10">
        <v>8444</v>
      </c>
      <c r="F2109" s="3" t="str">
        <v>Iya</v>
      </c>
      <c r="G2109" s="4">
        <v>45952</v>
      </c>
      <c r="H2109" s="10">
        <v>8444</v>
      </c>
    </row>
    <row r="2110" spans="1:8">
      <c r="A2110" s="3">
        <v>2109</v>
      </c>
      <c r="B2110" s="4">
        <v>46087.401967592603</v>
      </c>
      <c r="C2110" s="5" t="str">
        <v>PICK UP TRAGA 2.5 4X2 MT D M/T</v>
      </c>
      <c r="D2110" s="5" t="str">
        <v>B3079BPJ</v>
      </c>
      <c r="E2110" s="10">
        <v>55586</v>
      </c>
      <c r="F2110" s="3" t="str">
        <v>Iya</v>
      </c>
      <c r="G2110" s="4">
        <v>46028</v>
      </c>
      <c r="H2110" s="10">
        <v>55586</v>
      </c>
    </row>
    <row r="2111" spans="1:8">
      <c r="A2111" s="3">
        <v>2110</v>
      </c>
      <c r="B2111" s="4">
        <v>46087.442361111112</v>
      </c>
      <c r="C2111" s="5" t="str">
        <v>PICK UP TRAGA 2.5 4X2 MT D M/T</v>
      </c>
      <c r="D2111" s="5" t="str">
        <v>B3889CE</v>
      </c>
      <c r="E2111" s="10">
        <v>22149</v>
      </c>
      <c r="F2111" s="3" t="str">
        <v>Iya</v>
      </c>
      <c r="G2111" s="4">
        <v>45932</v>
      </c>
      <c r="H2111" s="10">
        <v>22149</v>
      </c>
    </row>
    <row r="2112" spans="1:8">
      <c r="A2112" s="3">
        <v>2111</v>
      </c>
      <c r="B2112" s="4">
        <v>46087.478784722232</v>
      </c>
      <c r="C2112" s="5" t="str">
        <v>DAIHATSU GRANMAX PU AC PS 1.5 M/T</v>
      </c>
      <c r="D2112" s="5" t="str">
        <v>B8740PD</v>
      </c>
      <c r="E2112" s="10">
        <v>61302</v>
      </c>
      <c r="F2112" s="3" t="str">
        <v>Iya</v>
      </c>
      <c r="G2112" s="4">
        <v>46056</v>
      </c>
      <c r="H2112" s="10">
        <v>61302</v>
      </c>
    </row>
    <row r="2113" spans="1:8">
      <c r="A2113" s="3">
        <v>2112</v>
      </c>
      <c r="B2113" s="4">
        <v>46087.632071759261</v>
      </c>
      <c r="C2113" s="5" t="str">
        <v>DAIHATSU GRANMAX PU AC PS 1.5 M/T</v>
      </c>
      <c r="D2113" s="5" t="str">
        <v>D8603EG</v>
      </c>
      <c r="E2113" s="10">
        <v>22460</v>
      </c>
      <c r="F2113" s="3" t="str">
        <v>Iya</v>
      </c>
      <c r="G2113" s="4">
        <v>45878</v>
      </c>
      <c r="H2113" s="10">
        <v>22460</v>
      </c>
    </row>
    <row r="2114" spans="1:8">
      <c r="A2114" s="3">
        <v>2113</v>
      </c>
      <c r="B2114" s="4">
        <v>46087.66642361111</v>
      </c>
      <c r="C2114" s="5" t="str">
        <v>DAIHATSU GRANMAX PU AC PS 1.5 M/T</v>
      </c>
      <c r="D2114" s="5" t="str">
        <v>B1080SUL</v>
      </c>
      <c r="E2114" s="10">
        <v>17232</v>
      </c>
      <c r="F2114" s="3" t="str">
        <v>Iya</v>
      </c>
      <c r="G2114" s="4">
        <v>46074</v>
      </c>
      <c r="H2114" s="10">
        <v>17232</v>
      </c>
    </row>
    <row r="2115" spans="1:8">
      <c r="A2115" s="3">
        <v>2114</v>
      </c>
      <c r="B2115" s="4">
        <v>46088.293726851851</v>
      </c>
      <c r="C2115" s="5" t="str">
        <v>Daihatsu Xenia (Badan)</v>
      </c>
      <c r="D2115" s="5" t="str">
        <v>B2503BE</v>
      </c>
      <c r="E2115" s="10">
        <v>68695</v>
      </c>
      <c r="F2115" s="3" t="str">
        <v>Iya</v>
      </c>
      <c r="G2115" s="4">
        <v>46053</v>
      </c>
      <c r="H2115" s="10">
        <v>68695</v>
      </c>
    </row>
    <row r="2116" spans="1:8">
      <c r="A2116" s="3">
        <v>2115</v>
      </c>
      <c r="B2116" s="4">
        <v>46088.475173611107</v>
      </c>
      <c r="C2116" s="5" t="str">
        <v>Daihatsu Xenia (Badan)</v>
      </c>
      <c r="D2116" s="5" t="str">
        <v>B2341ZVF</v>
      </c>
      <c r="E2116" s="10">
        <v>6033</v>
      </c>
      <c r="F2116" s="3" t="str">
        <v>Iya</v>
      </c>
      <c r="G2116" s="4">
        <v>45966</v>
      </c>
      <c r="H2116" s="10">
        <v>6033</v>
      </c>
    </row>
    <row r="2117" spans="1:8">
      <c r="A2117" s="3">
        <v>2116</v>
      </c>
      <c r="B2117" s="4">
        <v>46088.53628472222</v>
      </c>
      <c r="C2117" s="5" t="str">
        <v>DAIHATSU GRANMAX PU AC PS 1.5 M/T</v>
      </c>
      <c r="D2117" s="5" t="str">
        <v>B3982DUA</v>
      </c>
      <c r="E2117" s="10">
        <v>108595</v>
      </c>
      <c r="F2117" s="3" t="str">
        <v>Iya</v>
      </c>
      <c r="G2117" s="4">
        <v>46045</v>
      </c>
      <c r="H2117" s="10">
        <v>108595</v>
      </c>
    </row>
    <row r="2118" spans="1:8">
      <c r="A2118" s="3">
        <v>2117</v>
      </c>
      <c r="B2118" s="4">
        <v>46090.39130787037</v>
      </c>
      <c r="C2118" s="5" t="str">
        <v>PICK UP TRAGA 2.5 4X2 MT D M/T</v>
      </c>
      <c r="D2118" s="5" t="str">
        <v>H6818GV</v>
      </c>
      <c r="E2118" s="10">
        <v>49802</v>
      </c>
      <c r="F2118" s="3" t="str">
        <v>Iya</v>
      </c>
      <c r="G2118" s="4">
        <v>46001</v>
      </c>
      <c r="H2118" s="10">
        <v>49802</v>
      </c>
    </row>
    <row r="2119" spans="1:8">
      <c r="A2119" s="3">
        <v>2118</v>
      </c>
      <c r="B2119" s="4">
        <v>46090.422974537039</v>
      </c>
      <c r="C2119" s="5" t="str">
        <v>DAIHATSU GRANMAX PU AC PS 1.5 M/T</v>
      </c>
      <c r="D2119" s="5" t="str">
        <v>B7390TQ</v>
      </c>
      <c r="E2119" s="10">
        <v>47776</v>
      </c>
      <c r="F2119" s="3" t="str">
        <v>Iya</v>
      </c>
      <c r="G2119" s="4">
        <v>46031</v>
      </c>
      <c r="H2119" s="10">
        <v>47776</v>
      </c>
    </row>
    <row r="2120" spans="1:8">
      <c r="A2120" s="3">
        <v>2119</v>
      </c>
      <c r="B2120" s="4">
        <v>46090.464456018519</v>
      </c>
      <c r="C2120" s="5" t="str">
        <v>DAIHATSU GRANMAX PU AC PS 1.5 M/T</v>
      </c>
      <c r="D2120" s="5" t="str">
        <v>B8230YP</v>
      </c>
      <c r="E2120" s="10">
        <v>33220</v>
      </c>
      <c r="F2120" s="3" t="str">
        <v>Iya</v>
      </c>
      <c r="G2120" s="4">
        <v>46087</v>
      </c>
      <c r="H2120" s="10">
        <v>33220</v>
      </c>
    </row>
    <row r="2121" spans="1:8">
      <c r="A2121" s="3">
        <v>2120</v>
      </c>
      <c r="B2121" s="4">
        <v>46090.519166666672</v>
      </c>
      <c r="C2121" s="5" t="str">
        <v>Daihatsu Xenia (Badan)</v>
      </c>
      <c r="D2121" s="5" t="str">
        <v>B2034KCH</v>
      </c>
      <c r="E2121" s="10">
        <v>113898</v>
      </c>
      <c r="F2121" s="3" t="str">
        <v>Iya</v>
      </c>
      <c r="G2121" s="4">
        <v>46088</v>
      </c>
      <c r="H2121" s="10">
        <v>113898</v>
      </c>
    </row>
    <row r="2122" spans="1:8">
      <c r="A2122" s="3">
        <v>2121</v>
      </c>
      <c r="B2122" s="4">
        <v>46090.543402777781</v>
      </c>
      <c r="C2122" s="5" t="str">
        <v>PICK UP TRAGA 2.5 4X2 MT D M/T</v>
      </c>
      <c r="D2122" s="5" t="str">
        <v>B2886XC</v>
      </c>
      <c r="E2122" s="10">
        <v>21609</v>
      </c>
      <c r="F2122" s="3" t="str">
        <v>Iya</v>
      </c>
      <c r="G2122" s="4">
        <v>46087</v>
      </c>
      <c r="H2122" s="10">
        <v>21609</v>
      </c>
    </row>
    <row r="2123" spans="1:8">
      <c r="A2123" s="3">
        <v>2122</v>
      </c>
      <c r="B2123" s="4">
        <v>46091.38071759259</v>
      </c>
      <c r="C2123" s="5" t="str">
        <v>DAIHATSU GRANMAX PU AC PS 1.5 M/T</v>
      </c>
      <c r="D2123" s="5" t="str">
        <v>B2639ZDE</v>
      </c>
      <c r="E2123" s="10">
        <v>16282</v>
      </c>
      <c r="F2123" s="3" t="str">
        <v>Iya</v>
      </c>
      <c r="G2123" s="4">
        <v>46090</v>
      </c>
      <c r="H2123" s="10">
        <v>16282</v>
      </c>
    </row>
    <row r="2124" spans="1:8">
      <c r="A2124" s="3">
        <v>2123</v>
      </c>
      <c r="B2124" s="4">
        <v>46091.660208333327</v>
      </c>
      <c r="C2124" s="5" t="str">
        <v>DAIHATSU GRANMAX PU AC PS 1.5 M/T</v>
      </c>
      <c r="D2124" s="5" t="str">
        <v>B6337MTM</v>
      </c>
      <c r="E2124" s="10">
        <v>3041</v>
      </c>
      <c r="F2124" s="3" t="str">
        <v>Iya</v>
      </c>
      <c r="G2124" s="4">
        <v>46067</v>
      </c>
      <c r="H2124" s="10">
        <v>3041</v>
      </c>
    </row>
    <row r="2125" spans="1:8">
      <c r="A2125" s="3">
        <v>2124</v>
      </c>
      <c r="B2125" s="4">
        <v>46091.693530092591</v>
      </c>
      <c r="C2125" s="5" t="str">
        <v>DAIHATSU GRANMAX PU AC PS 1.5 M/T</v>
      </c>
      <c r="D2125" s="5" t="str">
        <v>KT1997VYG</v>
      </c>
      <c r="E2125" s="10">
        <v>5071</v>
      </c>
      <c r="F2125" s="3" t="str">
        <v>Iya</v>
      </c>
      <c r="G2125" s="4">
        <v>46091</v>
      </c>
      <c r="H2125" s="10">
        <v>5071</v>
      </c>
    </row>
    <row r="2126" spans="1:8">
      <c r="A2126" s="3">
        <v>2125</v>
      </c>
      <c r="B2126" s="4">
        <v>46091.711701388893</v>
      </c>
      <c r="C2126" s="5" t="str">
        <v>DAIHATSU GRANMAX PU AC PS 1.5 M/T</v>
      </c>
      <c r="D2126" s="5" t="str">
        <v>B6407IG</v>
      </c>
      <c r="E2126" s="10">
        <v>2108</v>
      </c>
      <c r="F2126" s="3" t="str">
        <v>Iya</v>
      </c>
      <c r="G2126" s="4">
        <v>46351</v>
      </c>
      <c r="H2126" s="10">
        <v>2108</v>
      </c>
    </row>
    <row r="2127" spans="1:8">
      <c r="A2127" s="3">
        <v>2126</v>
      </c>
      <c r="B2127" s="4">
        <v>46092.591087962966</v>
      </c>
      <c r="C2127" s="5" t="str">
        <v>DAIHATSU GRANMAX PU AC PS 1.5 M/T</v>
      </c>
      <c r="D2127" s="5" t="str">
        <v>B4356XF</v>
      </c>
      <c r="E2127" s="10">
        <v>43635</v>
      </c>
      <c r="F2127" s="3" t="str">
        <v>Iya</v>
      </c>
      <c r="G2127" s="4">
        <v>46042</v>
      </c>
      <c r="H2127" s="10">
        <v>43635</v>
      </c>
    </row>
    <row r="2128" spans="1:8">
      <c r="A2128" s="3">
        <v>2127</v>
      </c>
      <c r="B2128" s="4">
        <v>46092.673356481479</v>
      </c>
      <c r="C2128" s="5" t="str">
        <v>DAIHATSU GRANMAX PU AC PS 1.5 M/T</v>
      </c>
      <c r="D2128" s="5" t="str">
        <v>B7135IN</v>
      </c>
      <c r="E2128" s="10">
        <v>24621</v>
      </c>
      <c r="F2128" s="3" t="str">
        <v>Iya</v>
      </c>
      <c r="G2128" s="4">
        <v>46092</v>
      </c>
      <c r="H2128" s="10">
        <v>24621</v>
      </c>
    </row>
    <row r="2129" spans="1:8">
      <c r="A2129" s="3">
        <v>2128</v>
      </c>
      <c r="B2129" s="4">
        <v>46092.703645833331</v>
      </c>
      <c r="C2129" s="5" t="str">
        <v>Daihatsu Xenia (Badan)</v>
      </c>
      <c r="D2129" s="5" t="str">
        <v>B2652NS</v>
      </c>
      <c r="E2129" s="10">
        <v>50071</v>
      </c>
      <c r="F2129" s="3" t="str">
        <v>Iya</v>
      </c>
      <c r="G2129" s="4">
        <v>46092</v>
      </c>
      <c r="H2129" s="10">
        <v>50071</v>
      </c>
    </row>
    <row r="2130" spans="1:8">
      <c r="A2130" s="3">
        <v>2129</v>
      </c>
      <c r="B2130" s="4">
        <v>46092.719918981478</v>
      </c>
      <c r="C2130" s="5" t="str">
        <v>DAIHATSU GRANMAX PU AC PS 1.5 M/T</v>
      </c>
      <c r="D2130" s="5" t="str">
        <v>b5038csc</v>
      </c>
      <c r="E2130" s="10">
        <v>17656</v>
      </c>
      <c r="F2130" s="3" t="str">
        <v>Iya</v>
      </c>
      <c r="G2130" s="4">
        <v>46092</v>
      </c>
      <c r="H2130" s="10">
        <v>17656</v>
      </c>
    </row>
    <row r="2131" spans="1:8">
      <c r="A2131" s="3">
        <v>2130</v>
      </c>
      <c r="B2131" s="4">
        <v>46092.722094907411</v>
      </c>
      <c r="C2131" s="5" t="str">
        <v>DAIHATSU GRANMAX PU AC PS 1.5 M/T</v>
      </c>
      <c r="D2131" s="5" t="str">
        <v>B1513KJ</v>
      </c>
      <c r="E2131" s="10">
        <v>10479</v>
      </c>
      <c r="F2131" s="3" t="str">
        <v>Iya</v>
      </c>
      <c r="G2131" s="4">
        <v>45936</v>
      </c>
      <c r="H2131" s="10">
        <v>10479</v>
      </c>
    </row>
    <row r="2132" spans="1:8">
      <c r="A2132" s="3">
        <v>2131</v>
      </c>
      <c r="B2132" s="4">
        <v>46093.374675925923</v>
      </c>
      <c r="C2132" s="5" t="str">
        <v>DAIHATSU GRANMAX PU AC PS 1.5 M/T</v>
      </c>
      <c r="D2132" s="5" t="str">
        <v>DD9729YV</v>
      </c>
      <c r="E2132" s="10">
        <v>55044</v>
      </c>
      <c r="F2132" s="3" t="str">
        <v>Iya</v>
      </c>
      <c r="G2132" s="4">
        <v>46051</v>
      </c>
      <c r="H2132" s="10">
        <v>55044</v>
      </c>
    </row>
    <row r="2133" spans="1:8">
      <c r="A2133" s="3">
        <v>2132</v>
      </c>
      <c r="B2133" s="4">
        <v>46093.492592592593</v>
      </c>
      <c r="C2133" s="5" t="str">
        <v>Daihatsu Xenia (Badan)</v>
      </c>
      <c r="D2133" s="5" t="str">
        <v>H8376YB</v>
      </c>
      <c r="E2133" s="10">
        <v>54275</v>
      </c>
      <c r="F2133" s="3" t="str">
        <v>Iya</v>
      </c>
      <c r="G2133" s="4">
        <v>46093</v>
      </c>
      <c r="H2133" s="10">
        <v>54275</v>
      </c>
    </row>
    <row r="2134" spans="1:8">
      <c r="A2134" s="3">
        <v>2133</v>
      </c>
      <c r="B2134" s="4">
        <v>46093.622430555559</v>
      </c>
      <c r="C2134" s="5" t="str">
        <v>PICK UP TRAGA 2.5 4X2 MT D M/T</v>
      </c>
      <c r="D2134" s="5" t="str">
        <v>B4784VXS</v>
      </c>
      <c r="E2134" s="10">
        <v>90157</v>
      </c>
      <c r="F2134" s="3" t="str">
        <v>Iya</v>
      </c>
      <c r="G2134" s="4">
        <v>46093</v>
      </c>
      <c r="H2134" s="10">
        <v>90157</v>
      </c>
    </row>
    <row r="2135" spans="1:8">
      <c r="A2135" s="3">
        <v>2134</v>
      </c>
      <c r="B2135" s="4">
        <v>46093.630335648151</v>
      </c>
      <c r="C2135" s="5" t="str">
        <v>DAIHATSU GRANMAX PU AC PS 1.5 M/T</v>
      </c>
      <c r="D2135" s="5" t="str">
        <v>D8668TS</v>
      </c>
      <c r="E2135" s="10">
        <v>30678</v>
      </c>
      <c r="F2135" s="3" t="str">
        <v>Iya</v>
      </c>
      <c r="G2135" s="4">
        <v>45980</v>
      </c>
      <c r="H2135" s="10">
        <v>30678</v>
      </c>
    </row>
    <row r="2136" spans="1:8">
      <c r="A2136" s="3">
        <v>2135</v>
      </c>
      <c r="B2136" s="4">
        <v>46093.638726851852</v>
      </c>
      <c r="C2136" s="5" t="str">
        <v>Daihatsu Xenia (Badan)</v>
      </c>
      <c r="D2136" s="5" t="str">
        <v>B6257GSZ</v>
      </c>
      <c r="E2136" s="10">
        <v>21020</v>
      </c>
      <c r="F2136" s="3" t="str">
        <v>Iya</v>
      </c>
      <c r="G2136" s="4">
        <v>46090</v>
      </c>
      <c r="H2136" s="10">
        <v>21020</v>
      </c>
    </row>
    <row r="2137" spans="1:8">
      <c r="A2137" s="3">
        <v>2136</v>
      </c>
      <c r="B2137" s="4">
        <v>46093.654062499998</v>
      </c>
      <c r="C2137" s="5" t="str">
        <v>PICK UP TRAGA 2.5 4X2 MT D M/T</v>
      </c>
      <c r="D2137" s="5" t="str">
        <v>DM5212DL</v>
      </c>
      <c r="E2137" s="10">
        <v>14389</v>
      </c>
      <c r="F2137" s="3" t="str">
        <v>Iya</v>
      </c>
      <c r="G2137" s="4">
        <v>46044</v>
      </c>
      <c r="H2137" s="10">
        <v>14389</v>
      </c>
    </row>
    <row r="2138" spans="1:8">
      <c r="A2138" s="3">
        <v>2137</v>
      </c>
      <c r="B2138" s="4">
        <v>46093.806250000001</v>
      </c>
      <c r="C2138" s="5" t="str">
        <v>DAIHATSU GRANMAX PU AC PS 1.5 M/T</v>
      </c>
      <c r="D2138" s="5" t="str">
        <v>B5388UQ</v>
      </c>
      <c r="E2138" s="10">
        <v>53253</v>
      </c>
      <c r="F2138" s="3" t="str">
        <v>Iya</v>
      </c>
      <c r="G2138" s="4">
        <v>45992</v>
      </c>
      <c r="H2138" s="10">
        <v>53253</v>
      </c>
    </row>
    <row r="2139" spans="1:8">
      <c r="A2139" s="3">
        <v>2138</v>
      </c>
      <c r="B2139" s="4">
        <v>46094.46193287037</v>
      </c>
      <c r="C2139" s="5" t="str">
        <v>DAIHATSU GRANMAX PU AC PS 1.5 M/T</v>
      </c>
      <c r="D2139" s="5" t="str">
        <v>B7223XEX</v>
      </c>
      <c r="E2139" s="10">
        <v>61375</v>
      </c>
      <c r="F2139" s="3" t="str">
        <v>Iya</v>
      </c>
      <c r="G2139" s="4">
        <v>46094</v>
      </c>
      <c r="H2139" s="10">
        <v>61375</v>
      </c>
    </row>
    <row r="2140" spans="1:8">
      <c r="A2140" s="3">
        <v>2139</v>
      </c>
      <c r="B2140" s="4">
        <v>46095.370995370373</v>
      </c>
      <c r="C2140" s="5" t="str">
        <v>DAIHATSU GRANMAX PU AC PS 1.5 M/T</v>
      </c>
      <c r="D2140" s="5" t="str">
        <v>B2020TJ</v>
      </c>
      <c r="E2140" s="10">
        <v>2839</v>
      </c>
      <c r="F2140" s="3" t="str">
        <v>Iya</v>
      </c>
      <c r="G2140" s="4">
        <v>45967</v>
      </c>
      <c r="H2140" s="10">
        <v>2839</v>
      </c>
    </row>
    <row r="2141" spans="1:8">
      <c r="A2141" s="3">
        <v>2140</v>
      </c>
      <c r="B2141" s="4">
        <v>46095.484131944453</v>
      </c>
      <c r="C2141" s="5" t="str">
        <v>DAIHATSU GRANMAX PU AC PS 1.5 M/T</v>
      </c>
      <c r="D2141" s="5" t="str">
        <v>B5750IQ</v>
      </c>
      <c r="E2141" s="10">
        <v>55866</v>
      </c>
      <c r="F2141" s="3" t="str">
        <v>Iya</v>
      </c>
      <c r="G2141" s="4">
        <v>45913</v>
      </c>
      <c r="H2141" s="10">
        <v>55866</v>
      </c>
    </row>
    <row r="2142" spans="1:8">
      <c r="A2142" s="3">
        <v>2141</v>
      </c>
      <c r="B2142" s="4">
        <v>46095.518946759257</v>
      </c>
      <c r="C2142" s="5" t="str">
        <v>DAIHATSU GRANMAX PU AC PS 1.5 M/T</v>
      </c>
      <c r="D2142" s="5" t="str">
        <v>B6224AT</v>
      </c>
      <c r="E2142" s="10">
        <v>24109</v>
      </c>
      <c r="F2142" s="3" t="str">
        <v>Iya</v>
      </c>
      <c r="G2142" s="4">
        <v>46008</v>
      </c>
      <c r="H2142" s="10">
        <v>24109</v>
      </c>
    </row>
    <row r="2143" spans="1:8">
      <c r="A2143" s="3">
        <v>2142</v>
      </c>
      <c r="B2143" s="4">
        <v>46097.341909722221</v>
      </c>
      <c r="C2143" s="5" t="str">
        <v>PICK UP TRAGA 2.5 4X2 MT D M/T</v>
      </c>
      <c r="D2143" s="5" t="str">
        <v>B1356KE</v>
      </c>
      <c r="E2143" s="10">
        <v>48511</v>
      </c>
      <c r="F2143" s="3" t="str">
        <v>Iya</v>
      </c>
      <c r="G2143" s="4">
        <v>45895</v>
      </c>
      <c r="H2143" s="10">
        <v>48511</v>
      </c>
    </row>
    <row r="2144" spans="1:8">
      <c r="A2144" s="3">
        <v>2143</v>
      </c>
      <c r="B2144" s="4">
        <v>46097.344050925924</v>
      </c>
      <c r="C2144" s="5" t="str">
        <v>DAIHATSU GRANMAX PU AC PS 1.5 M/T</v>
      </c>
      <c r="D2144" s="5" t="str">
        <v>B3473LI</v>
      </c>
      <c r="E2144" s="10">
        <v>27819</v>
      </c>
      <c r="F2144" s="3" t="str">
        <v>Iya</v>
      </c>
      <c r="G2144" s="4">
        <v>45982</v>
      </c>
      <c r="H2144" s="10">
        <v>27819</v>
      </c>
    </row>
    <row r="2145" spans="1:8">
      <c r="A2145" s="3">
        <v>2144</v>
      </c>
      <c r="B2145" s="4">
        <v>46097.358506944453</v>
      </c>
      <c r="C2145" s="5" t="str">
        <v>DAIHATSU GRANMAX PU AC PS 1.5 M/T</v>
      </c>
      <c r="D2145" s="5" t="str">
        <v>B6876VS</v>
      </c>
      <c r="E2145" s="10">
        <v>30</v>
      </c>
      <c r="F2145" s="3" t="str">
        <v>Iya</v>
      </c>
      <c r="G2145" s="4">
        <v>46088</v>
      </c>
      <c r="H2145" s="10">
        <v>30</v>
      </c>
    </row>
    <row r="2146" spans="1:8">
      <c r="A2146" s="3">
        <v>2145</v>
      </c>
      <c r="B2146" s="4">
        <v>46097.371504629627</v>
      </c>
      <c r="C2146" s="5" t="str">
        <v>DAIHATSU GRANMAX PU AC PS 1.5 M/T</v>
      </c>
      <c r="D2146" s="5" t="str">
        <v>B4034IWU</v>
      </c>
      <c r="E2146" s="10">
        <v>36393</v>
      </c>
      <c r="F2146" s="3" t="str">
        <v>Iya</v>
      </c>
      <c r="G2146" s="4">
        <v>46094</v>
      </c>
      <c r="H2146" s="10">
        <v>36393</v>
      </c>
    </row>
    <row r="2147" spans="1:8">
      <c r="A2147" s="3">
        <v>2146</v>
      </c>
      <c r="B2147" s="4">
        <v>46097.383680555547</v>
      </c>
      <c r="C2147" s="5" t="str">
        <v>PICK UP TRAGA 2.5 4X2 MT D M/T</v>
      </c>
      <c r="D2147" s="5" t="str">
        <v>B4196MS</v>
      </c>
      <c r="E2147" s="10">
        <v>23084</v>
      </c>
      <c r="F2147" s="3" t="str">
        <v>Iya</v>
      </c>
      <c r="G2147" s="4">
        <v>45912</v>
      </c>
      <c r="H2147" s="10">
        <v>23084</v>
      </c>
    </row>
    <row r="2148" spans="1:8">
      <c r="A2148" s="3">
        <v>2147</v>
      </c>
      <c r="B2148" s="4">
        <v>46097.38380787037</v>
      </c>
      <c r="C2148" s="5" t="str">
        <v>PICK UP TRAGA 2.5 4X2 MT D M/T</v>
      </c>
      <c r="D2148" s="5" t="str">
        <v>B2404HI</v>
      </c>
      <c r="E2148" s="10">
        <v>36935</v>
      </c>
      <c r="F2148" s="3" t="str">
        <v>Iya</v>
      </c>
      <c r="G2148" s="4">
        <v>45848</v>
      </c>
      <c r="H2148" s="10">
        <v>36935</v>
      </c>
    </row>
    <row r="2149" spans="1:8">
      <c r="A2149" s="3">
        <v>2148</v>
      </c>
      <c r="B2149" s="4">
        <v>46097.428101851852</v>
      </c>
      <c r="C2149" s="5" t="str">
        <v>Daihatsu Xenia (Badan)</v>
      </c>
      <c r="D2149" s="5" t="str">
        <v>B3472IIU</v>
      </c>
      <c r="E2149" s="10">
        <v>87347</v>
      </c>
      <c r="F2149" s="3" t="str">
        <v>Iya</v>
      </c>
      <c r="G2149" s="4">
        <v>46062</v>
      </c>
      <c r="H2149" s="10">
        <v>87347</v>
      </c>
    </row>
    <row r="2150" spans="1:8">
      <c r="A2150" s="3">
        <v>2149</v>
      </c>
      <c r="B2150" s="4">
        <v>46097.482511574082</v>
      </c>
      <c r="C2150" s="5" t="str">
        <v>DAIHATSU GRANMAX PU AC PS 1.5 M/T</v>
      </c>
      <c r="D2150" s="5" t="str">
        <v>B8132XW</v>
      </c>
      <c r="E2150" s="10">
        <v>41041</v>
      </c>
      <c r="F2150" s="3" t="str">
        <v>Iya</v>
      </c>
      <c r="G2150" s="4">
        <v>45927</v>
      </c>
      <c r="H2150" s="10">
        <v>41041</v>
      </c>
    </row>
    <row r="2151" spans="1:8">
      <c r="A2151" s="3">
        <v>2150</v>
      </c>
      <c r="B2151" s="4">
        <v>46106.673680555563</v>
      </c>
      <c r="C2151" s="5" t="str">
        <v>DAIHATSU GRANMAX PU AC PS 1.5 M/T</v>
      </c>
      <c r="D2151" s="5" t="str">
        <v>B8249PLF</v>
      </c>
      <c r="E2151" s="10">
        <v>20867</v>
      </c>
      <c r="F2151" s="3" t="str">
        <v>Iya</v>
      </c>
      <c r="G2151" s="4">
        <v>46106</v>
      </c>
      <c r="H2151" s="10">
        <v>20867</v>
      </c>
    </row>
    <row r="2152" spans="1:8">
      <c r="A2152" s="3">
        <v>2151</v>
      </c>
      <c r="B2152" s="4">
        <v>46106.67391203704</v>
      </c>
      <c r="C2152" s="5" t="str">
        <v>DAIHATSU GRANMAX PU AC PS 1.5 M/T</v>
      </c>
      <c r="D2152" s="5" t="str">
        <v>B1960LKY</v>
      </c>
      <c r="E2152" s="10">
        <v>57045</v>
      </c>
      <c r="F2152" s="3" t="str">
        <v>Iya</v>
      </c>
      <c r="G2152" s="4">
        <v>46093</v>
      </c>
      <c r="H2152" s="10">
        <v>57045</v>
      </c>
    </row>
    <row r="2153" spans="1:8">
      <c r="A2153" s="3">
        <v>2152</v>
      </c>
      <c r="B2153" s="4">
        <v>46106.675787037027</v>
      </c>
      <c r="C2153" s="5" t="str">
        <v>DAIHATSU GRANMAX PU AC PS 1.5 M/T</v>
      </c>
      <c r="D2153" s="5" t="str">
        <v>B7187UV</v>
      </c>
      <c r="E2153" s="10">
        <v>4401</v>
      </c>
      <c r="F2153" s="3" t="str">
        <v>Iya</v>
      </c>
      <c r="G2153" s="4">
        <v>46053</v>
      </c>
      <c r="H2153" s="10">
        <v>4401</v>
      </c>
    </row>
    <row r="2154" spans="1:8">
      <c r="A2154" s="3">
        <v>2153</v>
      </c>
      <c r="B2154" s="4">
        <v>46106.678240740737</v>
      </c>
      <c r="C2154" s="5" t="str">
        <v>DAIHATSU GRANMAX PU AC PS 1.5 M/T</v>
      </c>
      <c r="D2154" s="5" t="str">
        <v>B4786BT</v>
      </c>
      <c r="E2154" s="10">
        <v>33768</v>
      </c>
      <c r="F2154" s="3" t="str">
        <v>Iya</v>
      </c>
      <c r="G2154" s="4">
        <v>46044</v>
      </c>
      <c r="H2154" s="10">
        <v>33768</v>
      </c>
    </row>
    <row r="2155" spans="1:8">
      <c r="A2155" s="3">
        <v>2154</v>
      </c>
      <c r="B2155" s="4">
        <v>46106.684988425928</v>
      </c>
      <c r="C2155" s="5" t="str">
        <v>PICK UP TRAGA 2.5 4X2 MT D M/T</v>
      </c>
      <c r="D2155" s="5" t="str">
        <v>B2184PF</v>
      </c>
      <c r="E2155" s="10">
        <v>15097</v>
      </c>
      <c r="F2155" s="3" t="str">
        <v>Iya</v>
      </c>
      <c r="G2155" s="4">
        <v>46001</v>
      </c>
      <c r="H2155" s="10">
        <v>15097</v>
      </c>
    </row>
    <row r="2156" spans="1:8">
      <c r="A2156" s="3">
        <v>2155</v>
      </c>
      <c r="B2156" s="4">
        <v>46106.692685185182</v>
      </c>
      <c r="C2156" s="5" t="str">
        <v>PICK UP TRAGA 2.5 4X2 MT D M/T</v>
      </c>
      <c r="D2156" s="5" t="str">
        <v>B6874UZA</v>
      </c>
      <c r="E2156" s="10">
        <v>59352</v>
      </c>
      <c r="F2156" s="3" t="str">
        <v>Iya</v>
      </c>
      <c r="G2156" s="4">
        <v>46048</v>
      </c>
      <c r="H2156" s="10">
        <v>59352</v>
      </c>
    </row>
    <row r="2157" spans="1:8">
      <c r="A2157" s="3">
        <v>2156</v>
      </c>
      <c r="B2157" s="4">
        <v>46106.694085648152</v>
      </c>
      <c r="C2157" s="5" t="str">
        <v>DAIHATSU GRANMAX PU AC PS 1.5 M/T</v>
      </c>
      <c r="D2157" s="5" t="str">
        <v>B5572LYP</v>
      </c>
      <c r="E2157" s="10">
        <v>22555</v>
      </c>
      <c r="F2157" s="3" t="str">
        <v>Iya</v>
      </c>
      <c r="G2157" s="4">
        <v>45941</v>
      </c>
      <c r="H2157" s="10">
        <v>22555</v>
      </c>
    </row>
    <row r="2158" spans="1:8">
      <c r="A2158" s="3">
        <v>2157</v>
      </c>
      <c r="B2158" s="4">
        <v>46106.702280092592</v>
      </c>
      <c r="C2158" s="5" t="str">
        <v>DAIHATSU GRANMAX PU AC PS 1.5 M/T</v>
      </c>
      <c r="D2158" s="5" t="str">
        <v>B6936PI</v>
      </c>
      <c r="E2158" s="10">
        <v>1238</v>
      </c>
      <c r="F2158" s="3" t="str">
        <v>Iya</v>
      </c>
      <c r="G2158" s="4">
        <v>45996</v>
      </c>
      <c r="H2158" s="10">
        <v>1238</v>
      </c>
    </row>
    <row r="2159" spans="1:8">
      <c r="A2159" s="3">
        <v>2158</v>
      </c>
      <c r="B2159" s="4">
        <v>46106.715590277781</v>
      </c>
      <c r="C2159" s="5" t="str">
        <v>DAIHATSU GRANMAX PU AC PS 1.5 M/T</v>
      </c>
      <c r="D2159" s="5" t="str">
        <v>KB7221ZEE</v>
      </c>
      <c r="E2159" s="10">
        <v>63907</v>
      </c>
      <c r="F2159" s="3" t="str">
        <v>Iya</v>
      </c>
      <c r="G2159" s="4">
        <v>45960</v>
      </c>
      <c r="H2159" s="10">
        <v>63907</v>
      </c>
    </row>
    <row r="2160" spans="1:8">
      <c r="A2160" s="3">
        <v>2159</v>
      </c>
      <c r="B2160" s="4">
        <v>46106.717476851853</v>
      </c>
      <c r="C2160" s="5" t="str">
        <v>DAIHATSU GRANMAX PU AC PS 1.5 M/T</v>
      </c>
      <c r="D2160" s="5" t="str">
        <v>H3059ZKJ</v>
      </c>
      <c r="E2160" s="10">
        <v>13137</v>
      </c>
      <c r="F2160" s="3" t="str">
        <v>Iya</v>
      </c>
      <c r="G2160" s="4">
        <v>46062</v>
      </c>
      <c r="H2160" s="10">
        <v>13137</v>
      </c>
    </row>
    <row r="2161" spans="1:8">
      <c r="A2161" s="3">
        <v>2160</v>
      </c>
      <c r="B2161" s="4">
        <v>46106.718101851853</v>
      </c>
      <c r="C2161" s="5" t="str">
        <v>DAIHATSU GRANMAX PU AC PS 1.5 M/T</v>
      </c>
      <c r="D2161" s="5" t="str">
        <v>B6999PZ</v>
      </c>
      <c r="E2161" s="10">
        <v>27042</v>
      </c>
      <c r="F2161" s="3" t="str">
        <v>Iya</v>
      </c>
      <c r="G2161" s="4">
        <v>46064</v>
      </c>
      <c r="H2161" s="10">
        <v>27042</v>
      </c>
    </row>
    <row r="2162" spans="1:8">
      <c r="A2162" s="3">
        <v>2161</v>
      </c>
      <c r="B2162" s="4">
        <v>46106.730057870373</v>
      </c>
      <c r="C2162" s="5" t="str">
        <v>DAIHATSU GRANMAX PU AC PS 1.5 M/T</v>
      </c>
      <c r="D2162" s="5" t="str">
        <v>KT8120IVX</v>
      </c>
      <c r="E2162" s="10">
        <v>12646</v>
      </c>
      <c r="F2162" s="3" t="str">
        <v>Iya</v>
      </c>
      <c r="G2162" s="4">
        <v>45972</v>
      </c>
      <c r="H2162" s="10">
        <v>12646</v>
      </c>
    </row>
    <row r="2163" spans="1:8">
      <c r="A2163" s="3">
        <v>2162</v>
      </c>
      <c r="B2163" s="4">
        <v>46106.809212962973</v>
      </c>
      <c r="C2163" s="5" t="str">
        <v>DAIHATSU GRANMAX PU AC PS 1.5 M/T</v>
      </c>
      <c r="D2163" s="5" t="str">
        <v>B1827XS</v>
      </c>
      <c r="E2163" s="10">
        <v>2840</v>
      </c>
      <c r="F2163" s="3" t="str">
        <v>Iya</v>
      </c>
      <c r="G2163" s="4">
        <v>45947</v>
      </c>
      <c r="H2163" s="10">
        <v>2840</v>
      </c>
    </row>
    <row r="2164" spans="1:8">
      <c r="A2164" s="3">
        <v>2163</v>
      </c>
      <c r="B2164" s="4">
        <v>46107.338368055563</v>
      </c>
      <c r="C2164" s="5" t="str">
        <v>DAIHATSU GRANMAX PU AC PS 1.5 M/T</v>
      </c>
      <c r="D2164" s="5" t="str">
        <v>B2755MF</v>
      </c>
      <c r="E2164" s="10">
        <v>1753</v>
      </c>
      <c r="F2164" s="3" t="str">
        <v>Iya</v>
      </c>
      <c r="G2164" s="4">
        <v>46010</v>
      </c>
      <c r="H2164" s="10">
        <v>1753</v>
      </c>
    </row>
    <row r="2165" spans="1:8">
      <c r="A2165" s="3">
        <v>2164</v>
      </c>
      <c r="B2165" s="4">
        <v>46107.349652777782</v>
      </c>
      <c r="C2165" s="5" t="str">
        <v>PICK UP TRAGA 2.5 4X2 MT D M/T</v>
      </c>
      <c r="D2165" s="5" t="str">
        <v>B4950DFS</v>
      </c>
      <c r="E2165" s="10">
        <v>2015</v>
      </c>
      <c r="F2165" s="3" t="str">
        <v>Iya</v>
      </c>
      <c r="G2165" s="4">
        <v>45999</v>
      </c>
      <c r="H2165" s="10">
        <v>2015</v>
      </c>
    </row>
    <row r="2166" spans="1:8">
      <c r="A2166" s="3">
        <v>2165</v>
      </c>
      <c r="B2166" s="4">
        <v>46107.352395833332</v>
      </c>
      <c r="C2166" s="5" t="str">
        <v>DAIHATSU GRANMAX PU AC PS 1.5 M/T</v>
      </c>
      <c r="D2166" s="5" t="str">
        <v>B1144MW</v>
      </c>
      <c r="E2166" s="10">
        <v>3817</v>
      </c>
      <c r="F2166" s="3" t="str">
        <v>Iya</v>
      </c>
      <c r="G2166" s="4">
        <v>46029</v>
      </c>
      <c r="H2166" s="10">
        <v>3817</v>
      </c>
    </row>
    <row r="2167" spans="1:8">
      <c r="A2167" s="3">
        <v>2166</v>
      </c>
      <c r="B2167" s="4">
        <v>46107.363495370373</v>
      </c>
      <c r="C2167" s="5" t="str">
        <v>PICK UP TRAGA 2.5 4X2 MT D M/T</v>
      </c>
      <c r="D2167" s="5" t="str">
        <v>B1292DPE</v>
      </c>
      <c r="E2167" s="10">
        <v>16807</v>
      </c>
      <c r="F2167" s="3" t="str">
        <v>Iya</v>
      </c>
      <c r="G2167" s="4">
        <v>46010</v>
      </c>
      <c r="H2167" s="10">
        <v>16807</v>
      </c>
    </row>
    <row r="2168" spans="1:8">
      <c r="A2168" s="3">
        <v>2167</v>
      </c>
      <c r="B2168" s="4">
        <v>46107.390011574083</v>
      </c>
      <c r="C2168" s="5" t="str">
        <v>DAIHATSU GRANMAX PU AC PS 1.5 M/T</v>
      </c>
      <c r="D2168" s="5" t="str">
        <v>B1799MW</v>
      </c>
      <c r="E2168" s="10">
        <v>2142</v>
      </c>
      <c r="F2168" s="3" t="str">
        <v>Iya</v>
      </c>
      <c r="G2168" s="4">
        <v>45974</v>
      </c>
      <c r="H2168" s="10">
        <v>2142</v>
      </c>
    </row>
    <row r="2169" spans="1:8">
      <c r="A2169" s="3">
        <v>2168</v>
      </c>
      <c r="B2169" s="4">
        <v>46107.394166666672</v>
      </c>
      <c r="C2169" s="5" t="str">
        <v>DAIHATSU GRANMAX PU AC PS 1.5 M/T</v>
      </c>
      <c r="D2169" s="5" t="str">
        <v>B8857PYD</v>
      </c>
      <c r="E2169" s="10">
        <v>15332</v>
      </c>
      <c r="F2169" s="3" t="str">
        <v>Iya</v>
      </c>
      <c r="G2169" s="4">
        <v>45994</v>
      </c>
      <c r="H2169" s="10">
        <v>15332</v>
      </c>
    </row>
    <row r="2170" spans="1:8">
      <c r="A2170" s="3">
        <v>2169</v>
      </c>
      <c r="B2170" s="4">
        <v>46107.408912037034</v>
      </c>
      <c r="C2170" s="5" t="str">
        <v>DAIHATSU GRANMAX PU AC PS 1.5 M/T</v>
      </c>
      <c r="D2170" s="5" t="str">
        <v>H9293ZLM</v>
      </c>
      <c r="E2170" s="10">
        <v>19731</v>
      </c>
      <c r="F2170" s="3" t="str">
        <v>Iya</v>
      </c>
      <c r="G2170" s="4">
        <v>46097</v>
      </c>
      <c r="H2170" s="10">
        <v>19731</v>
      </c>
    </row>
    <row r="2171" spans="1:8">
      <c r="A2171" s="3">
        <v>2170</v>
      </c>
      <c r="B2171" s="4">
        <v>46107.412175925929</v>
      </c>
      <c r="C2171" s="5" t="str">
        <v>DAIHATSU GRANMAX PU AC PS 1.5 M/T</v>
      </c>
      <c r="D2171" s="5" t="str">
        <v>B8389IA</v>
      </c>
      <c r="E2171" s="10">
        <v>30144</v>
      </c>
      <c r="F2171" s="3" t="str">
        <v>Iya</v>
      </c>
      <c r="G2171" s="4">
        <v>46106</v>
      </c>
      <c r="H2171" s="10">
        <v>30144</v>
      </c>
    </row>
    <row r="2172" spans="1:8">
      <c r="A2172" s="3">
        <v>2171</v>
      </c>
      <c r="B2172" s="4">
        <v>46107.413761574076</v>
      </c>
      <c r="C2172" s="5" t="str">
        <v>DAIHATSU GRANMAX PU AC PS 1.5 M/T</v>
      </c>
      <c r="D2172" s="5" t="str">
        <v>D9851QY</v>
      </c>
      <c r="E2172" s="10">
        <v>11603</v>
      </c>
      <c r="F2172" s="3" t="str">
        <v>Iya</v>
      </c>
      <c r="G2172" s="4">
        <v>45999</v>
      </c>
      <c r="H2172" s="10">
        <v>11603</v>
      </c>
    </row>
    <row r="2173" spans="1:8">
      <c r="A2173" s="3">
        <v>2172</v>
      </c>
      <c r="B2173" s="4">
        <v>46107.457141203697</v>
      </c>
      <c r="C2173" s="5" t="str">
        <v>DAIHATSU GRANMAX PU AC PS 1.5 M/T</v>
      </c>
      <c r="D2173" s="5" t="str">
        <v>B6193SD</v>
      </c>
      <c r="E2173" s="10">
        <v>17371</v>
      </c>
      <c r="F2173" s="3" t="str">
        <v>Iya</v>
      </c>
      <c r="G2173" s="4">
        <v>46035</v>
      </c>
      <c r="H2173" s="10">
        <v>17371</v>
      </c>
    </row>
    <row r="2174" spans="1:8">
      <c r="A2174" s="3">
        <v>2173</v>
      </c>
      <c r="B2174" s="4">
        <v>46107.458634259259</v>
      </c>
      <c r="C2174" s="5" t="str">
        <v>PICK UP TRAGA 2.5 4X2 MT D M/T</v>
      </c>
      <c r="D2174" s="5" t="str">
        <v>B8659VBE</v>
      </c>
      <c r="E2174" s="10">
        <v>92501</v>
      </c>
      <c r="F2174" s="3" t="str">
        <v>Iya</v>
      </c>
      <c r="G2174" s="4">
        <v>46059</v>
      </c>
      <c r="H2174" s="10">
        <v>92501</v>
      </c>
    </row>
    <row r="2175" spans="1:8">
      <c r="A2175" s="3">
        <v>2174</v>
      </c>
      <c r="B2175" s="4">
        <v>46107.462523148148</v>
      </c>
      <c r="C2175" s="5" t="str">
        <v>DAIHATSU GRANMAX PU AC PS 1.5 M/T</v>
      </c>
      <c r="D2175" s="5" t="str">
        <v>B6193SD</v>
      </c>
      <c r="E2175" s="10">
        <v>17771</v>
      </c>
      <c r="F2175" s="3" t="str">
        <v>Iya</v>
      </c>
      <c r="G2175" s="4">
        <v>46035</v>
      </c>
      <c r="H2175" s="10">
        <v>17771</v>
      </c>
    </row>
    <row r="2176" spans="1:8">
      <c r="A2176" s="3">
        <v>2175</v>
      </c>
      <c r="B2176" s="4">
        <v>46107.474027777767</v>
      </c>
      <c r="C2176" s="5" t="str">
        <v>DAIHATSU GRANMAX PU AC PS 1.5 M/T</v>
      </c>
      <c r="D2176" s="5" t="str">
        <v>B1455JPZ</v>
      </c>
      <c r="E2176" s="10">
        <v>13613</v>
      </c>
      <c r="F2176" s="3" t="str">
        <v>Iya</v>
      </c>
      <c r="G2176" s="4">
        <v>46014</v>
      </c>
      <c r="H2176" s="10">
        <v>13613</v>
      </c>
    </row>
    <row r="2177" spans="1:8">
      <c r="A2177" s="3">
        <v>2176</v>
      </c>
      <c r="B2177" s="4">
        <v>46107.486041666663</v>
      </c>
      <c r="C2177" s="5" t="str">
        <v>DAIHATSU GRANMAX PU AC PS 1.5 M/T</v>
      </c>
      <c r="D2177" s="5" t="str">
        <v>B6871DFH</v>
      </c>
      <c r="E2177" s="10">
        <v>22293</v>
      </c>
      <c r="F2177" s="3" t="str">
        <v>Iya</v>
      </c>
      <c r="G2177" s="4">
        <v>46085</v>
      </c>
      <c r="H2177" s="10">
        <v>22293</v>
      </c>
    </row>
    <row r="2178" spans="1:8">
      <c r="A2178" s="3">
        <v>2177</v>
      </c>
      <c r="B2178" s="4">
        <v>46107.491365740738</v>
      </c>
      <c r="C2178" s="5" t="str">
        <v>PICK UP TRAGA 2.5 4X2 MT D M/T</v>
      </c>
      <c r="D2178" s="5" t="str">
        <v>B6905PX</v>
      </c>
      <c r="E2178" s="10">
        <v>9536</v>
      </c>
      <c r="F2178" s="3" t="str">
        <v>Iya</v>
      </c>
      <c r="G2178" s="4">
        <v>46041</v>
      </c>
      <c r="H2178" s="10">
        <v>9536</v>
      </c>
    </row>
    <row r="2179" spans="1:8">
      <c r="A2179" s="3">
        <v>2178</v>
      </c>
      <c r="B2179" s="4">
        <v>46107.522719907407</v>
      </c>
      <c r="C2179" s="5" t="str">
        <v>PICK UP TRAGA 2.5 4X2 MT D M/T</v>
      </c>
      <c r="D2179" s="5" t="str">
        <v>KT2370AGQ</v>
      </c>
      <c r="E2179" s="10">
        <v>30923</v>
      </c>
      <c r="F2179" s="3" t="str">
        <v>Iya</v>
      </c>
      <c r="G2179" s="4">
        <v>46060</v>
      </c>
      <c r="H2179" s="10">
        <v>30923</v>
      </c>
    </row>
    <row r="2180" spans="1:8">
      <c r="A2180" s="3">
        <v>2179</v>
      </c>
      <c r="B2180" s="4">
        <v>46107.577499999999</v>
      </c>
      <c r="C2180" s="5" t="str">
        <v>PICK UP TRAGA 2.5 4X2 MT D M/T</v>
      </c>
      <c r="D2180" s="5" t="str">
        <v>B2118PQK</v>
      </c>
      <c r="E2180" s="10">
        <v>55694</v>
      </c>
      <c r="F2180" s="3" t="str">
        <v>Iya</v>
      </c>
      <c r="G2180" s="4">
        <v>45910</v>
      </c>
      <c r="H2180" s="10">
        <v>55694</v>
      </c>
    </row>
    <row r="2181" spans="1:8">
      <c r="A2181" s="3">
        <v>2180</v>
      </c>
      <c r="B2181" s="4">
        <v>46107.78402777778</v>
      </c>
      <c r="C2181" s="5" t="str">
        <v>DAIHATSU GRANMAX PU AC PS 1.5 M/T</v>
      </c>
      <c r="D2181" s="5" t="str">
        <v>B5277IQ</v>
      </c>
      <c r="E2181" s="10">
        <v>45840</v>
      </c>
      <c r="F2181" s="3" t="str">
        <v>Iya</v>
      </c>
      <c r="G2181" s="4">
        <v>45964</v>
      </c>
      <c r="H2181" s="10">
        <v>45840</v>
      </c>
    </row>
    <row r="2182" spans="1:8">
      <c r="A2182" s="3">
        <v>2181</v>
      </c>
      <c r="B2182" s="4">
        <v>46108.36959490741</v>
      </c>
      <c r="C2182" s="5" t="str">
        <v>DAIHATSU GRANMAX PU AC PS 1.5 M/T</v>
      </c>
      <c r="D2182" s="5" t="str">
        <v>B7129LP</v>
      </c>
      <c r="E2182" s="10">
        <v>2864</v>
      </c>
      <c r="F2182" s="3" t="str">
        <v>Iya</v>
      </c>
      <c r="G2182" s="4">
        <v>46107</v>
      </c>
      <c r="H2182" s="10">
        <v>2864</v>
      </c>
    </row>
    <row r="2183" spans="1:8">
      <c r="A2183" s="3">
        <v>2182</v>
      </c>
      <c r="B2183" s="4">
        <v>46108.453368055547</v>
      </c>
      <c r="C2183" s="5" t="str">
        <v>DAIHATSU GRANMAX PU AC PS 1.5 M/T</v>
      </c>
      <c r="D2183" s="5" t="str">
        <v>B6964WP</v>
      </c>
      <c r="E2183" s="10">
        <v>5078</v>
      </c>
      <c r="F2183" s="3" t="str">
        <v>Iya</v>
      </c>
      <c r="G2183" s="4">
        <v>45948</v>
      </c>
      <c r="H2183" s="10">
        <v>5078</v>
      </c>
    </row>
    <row r="2184" spans="1:8">
      <c r="A2184" s="3">
        <v>2183</v>
      </c>
      <c r="B2184" s="4">
        <v>46108.574849537043</v>
      </c>
      <c r="C2184" s="5" t="str">
        <v>DAIHATSU GRANMAX PU AC PS 1.5 M/T</v>
      </c>
      <c r="D2184" s="5" t="str">
        <v>B1073IH</v>
      </c>
      <c r="E2184" s="10">
        <v>5806</v>
      </c>
      <c r="F2184" s="3" t="str">
        <v>Iya</v>
      </c>
      <c r="G2184" s="4">
        <v>45967</v>
      </c>
      <c r="H2184" s="10">
        <v>5806</v>
      </c>
    </row>
    <row r="2185" spans="1:8">
      <c r="A2185" s="3">
        <v>2184</v>
      </c>
      <c r="B2185" s="4">
        <v>46108.612534722219</v>
      </c>
      <c r="C2185" s="5" t="str">
        <v>PICK UP TRAGA 2.5 4X2 MT D M/T</v>
      </c>
      <c r="D2185" s="5" t="str">
        <v>B3271BYK</v>
      </c>
      <c r="E2185" s="10">
        <v>36595</v>
      </c>
      <c r="F2185" s="3" t="str">
        <v>Iya</v>
      </c>
      <c r="G2185" s="4">
        <v>45936</v>
      </c>
      <c r="H2185" s="10">
        <v>36595</v>
      </c>
    </row>
    <row r="2186" spans="1:8">
      <c r="A2186" s="3">
        <v>2185</v>
      </c>
      <c r="B2186" s="4">
        <v>46108.801759259259</v>
      </c>
      <c r="C2186" s="5" t="str">
        <v>DAIHATSU GRANMAX PU AC PS 1.5 M/T</v>
      </c>
      <c r="D2186" s="5" t="str">
        <v>B7162IV</v>
      </c>
      <c r="E2186" s="10">
        <v>17427</v>
      </c>
      <c r="F2186" s="3" t="str">
        <v>Iya</v>
      </c>
      <c r="G2186" s="4">
        <v>45916</v>
      </c>
      <c r="H2186" s="10">
        <v>17427</v>
      </c>
    </row>
    <row r="2187" spans="1:8">
      <c r="A2187" s="3">
        <v>2186</v>
      </c>
      <c r="B2187" s="4">
        <v>46109.294629629629</v>
      </c>
      <c r="C2187" s="5" t="str">
        <v>PICK UP TRAGA 2.5 4X2 MT D M/T</v>
      </c>
      <c r="D2187" s="5" t="str">
        <v>BE6556LIU</v>
      </c>
      <c r="E2187" s="10">
        <v>24269</v>
      </c>
      <c r="F2187" s="3" t="str">
        <v>Iya</v>
      </c>
      <c r="G2187" s="4">
        <v>46109</v>
      </c>
      <c r="H2187" s="10">
        <v>24269</v>
      </c>
    </row>
    <row r="2188" spans="1:8">
      <c r="A2188" s="3">
        <v>2187</v>
      </c>
      <c r="B2188" s="4">
        <v>46109.376793981479</v>
      </c>
      <c r="C2188" s="5" t="str">
        <v>DAIHATSU GRANMAX PU AC PS 1.5 M/T</v>
      </c>
      <c r="D2188" s="5" t="str">
        <v>H6446RTB</v>
      </c>
      <c r="E2188" s="10">
        <v>20898</v>
      </c>
      <c r="F2188" s="3" t="str">
        <v>Iya</v>
      </c>
      <c r="G2188" s="4">
        <v>45962</v>
      </c>
      <c r="H2188" s="10">
        <v>20898</v>
      </c>
    </row>
    <row r="2189" spans="1:8">
      <c r="A2189" s="3">
        <v>2188</v>
      </c>
      <c r="B2189" s="4">
        <v>46109.776643518519</v>
      </c>
      <c r="C2189" s="5" t="str">
        <v>DAIHATSU GRANMAX PU AC PS 1.5 M/T</v>
      </c>
      <c r="D2189" s="5" t="str">
        <v>B7465WU</v>
      </c>
      <c r="E2189" s="10">
        <v>2573</v>
      </c>
      <c r="F2189" s="3" t="str">
        <v>Iya</v>
      </c>
      <c r="G2189" s="4">
        <v>46029</v>
      </c>
      <c r="H2189" s="10">
        <v>2573</v>
      </c>
    </row>
    <row r="2190" spans="1:8">
      <c r="A2190" s="3">
        <v>2189</v>
      </c>
      <c r="B2190" s="4">
        <v>46109.854027777779</v>
      </c>
      <c r="C2190" s="5" t="str">
        <v>PICK UP TRAGA 2.5 4X2 MT D M/T</v>
      </c>
      <c r="D2190" s="5" t="str">
        <v>B3507YER</v>
      </c>
      <c r="E2190" s="10">
        <v>45382</v>
      </c>
      <c r="F2190" s="3" t="str">
        <v>Iya</v>
      </c>
      <c r="G2190" s="4">
        <v>46008</v>
      </c>
      <c r="H2190" s="10">
        <v>45382</v>
      </c>
    </row>
    <row r="2191" spans="1:8">
      <c r="A2191" s="3">
        <v>2190</v>
      </c>
      <c r="B2191" s="4">
        <v>46111.4453125</v>
      </c>
      <c r="C2191" s="5" t="str">
        <v>PICK UP TRAGA 2.5 4X2 MT D M/T</v>
      </c>
      <c r="D2191" s="5" t="str">
        <v>B9936AP</v>
      </c>
      <c r="E2191" s="10">
        <v>54324</v>
      </c>
      <c r="F2191" s="3" t="str">
        <v>Iya</v>
      </c>
      <c r="G2191" s="4">
        <v>46032</v>
      </c>
      <c r="H2191" s="10">
        <v>54324</v>
      </c>
    </row>
    <row r="2192" spans="1:8">
      <c r="A2192" s="3">
        <v>2191</v>
      </c>
      <c r="B2192" s="4">
        <v>46111.456956018519</v>
      </c>
      <c r="C2192" s="5" t="str">
        <v>DAIHATSU GRANMAX PU AC PS 1.5 M/T</v>
      </c>
      <c r="D2192" s="5" t="str">
        <v>B3556KY</v>
      </c>
      <c r="E2192" s="10">
        <v>6527</v>
      </c>
      <c r="F2192" s="3" t="str">
        <v>Iya</v>
      </c>
      <c r="G2192" s="4">
        <v>45930</v>
      </c>
      <c r="H2192" s="10">
        <v>6527</v>
      </c>
    </row>
    <row r="2193" spans="1:8">
      <c r="A2193" s="3">
        <v>2192</v>
      </c>
      <c r="B2193" s="4">
        <v>46111.463240740741</v>
      </c>
      <c r="C2193" s="5" t="str">
        <v>Daihatsu Xenia (Badan)</v>
      </c>
      <c r="D2193" s="5" t="str">
        <v>B6680XJ</v>
      </c>
      <c r="E2193" s="10">
        <v>31917</v>
      </c>
      <c r="F2193" s="3" t="str">
        <v>Iya</v>
      </c>
      <c r="G2193" s="4">
        <v>45986</v>
      </c>
      <c r="H2193" s="10">
        <v>31917</v>
      </c>
    </row>
    <row r="2194" spans="1:8">
      <c r="A2194" s="3">
        <v>2193</v>
      </c>
      <c r="B2194" s="4">
        <v>46111.479039351849</v>
      </c>
      <c r="C2194" s="5" t="str">
        <v>PICK UP TRAGA 2.5 4X2 MT D M/T</v>
      </c>
      <c r="D2194" s="5" t="str">
        <v>B3431HDZ</v>
      </c>
      <c r="E2194" s="10">
        <v>40167</v>
      </c>
      <c r="F2194" s="3" t="str">
        <v>Iya</v>
      </c>
      <c r="G2194" s="4">
        <v>46077</v>
      </c>
      <c r="H2194" s="10">
        <v>40167</v>
      </c>
    </row>
    <row r="2195" spans="1:8">
      <c r="A2195" s="3">
        <v>2194</v>
      </c>
      <c r="B2195" s="4">
        <v>46111.551736111112</v>
      </c>
      <c r="C2195" s="5" t="str">
        <v>DAIHATSU GRANMAX PU AC PS 1.5 M/T</v>
      </c>
      <c r="D2195" s="5" t="str">
        <v>B3556KY</v>
      </c>
      <c r="E2195" s="10">
        <v>7096</v>
      </c>
      <c r="F2195" s="3" t="str">
        <v>Iya</v>
      </c>
      <c r="G2195" s="4">
        <v>45930</v>
      </c>
      <c r="H2195" s="10">
        <v>7096</v>
      </c>
    </row>
    <row r="2196" spans="1:8">
      <c r="A2196" s="3">
        <v>2195</v>
      </c>
      <c r="B2196" s="4">
        <v>46111.963125000002</v>
      </c>
      <c r="C2196" s="5" t="str">
        <v>Daihatsu Xenia (Badan)</v>
      </c>
      <c r="D2196" s="5" t="str">
        <v>H9434HIK</v>
      </c>
      <c r="E2196" s="10">
        <v>20022</v>
      </c>
      <c r="F2196" s="3" t="str">
        <v>Iya</v>
      </c>
      <c r="G2196" s="4">
        <v>46081</v>
      </c>
      <c r="H2196" s="10">
        <v>20022</v>
      </c>
    </row>
    <row r="2197" spans="1:8">
      <c r="A2197" s="3">
        <v>2196</v>
      </c>
      <c r="B2197" s="4">
        <v>46112.730821759258</v>
      </c>
      <c r="C2197" s="5" t="str">
        <v>DAIHATSU GRANMAX PU AC PS 1.5 M/T</v>
      </c>
      <c r="D2197" s="5" t="str">
        <v>KB9985GGA</v>
      </c>
      <c r="E2197" s="10">
        <v>17887</v>
      </c>
      <c r="F2197" s="3" t="str">
        <v>Iya</v>
      </c>
      <c r="G2197" s="4">
        <v>45937</v>
      </c>
      <c r="H2197" s="10">
        <v>17887</v>
      </c>
    </row>
    <row r="2198" spans="1:8">
      <c r="A2198" s="3">
        <v>2197</v>
      </c>
      <c r="B2198" s="4">
        <v>46113.424699074072</v>
      </c>
      <c r="C2198" s="5" t="str">
        <v>DAIHATSU GRANMAX PU AC PS 1.5 M/T</v>
      </c>
      <c r="D2198" s="5" t="str">
        <v>B6441NR</v>
      </c>
      <c r="E2198" s="10">
        <v>28710</v>
      </c>
      <c r="F2198" s="3" t="str">
        <v>Iya</v>
      </c>
      <c r="G2198" s="4">
        <v>45997</v>
      </c>
      <c r="H2198" s="10">
        <v>28710</v>
      </c>
    </row>
    <row r="2199" spans="1:8">
      <c r="A2199" s="3">
        <v>2198</v>
      </c>
      <c r="B2199" s="4">
        <v>46122.465243055558</v>
      </c>
      <c r="C2199" s="5" t="str">
        <v>DAIHATSU GRANMAX PU AC PS 1.5 M/T</v>
      </c>
      <c r="D2199" s="5" t="str">
        <v>B3545GSF</v>
      </c>
      <c r="E2199" s="10">
        <v>4819</v>
      </c>
      <c r="F2199" s="3" t="str">
        <v>Iya</v>
      </c>
      <c r="G2199" s="4">
        <v>46086</v>
      </c>
      <c r="H2199" s="10">
        <v>4819</v>
      </c>
    </row>
    <row r="2200" spans="1:8">
      <c r="A2200" s="3">
        <v>2199</v>
      </c>
      <c r="B2200" s="4">
        <v>46125.444374999999</v>
      </c>
      <c r="C2200" s="5" t="str">
        <v>DAIHATSU GRANMAX PU AC PS 1.5 M/T</v>
      </c>
      <c r="D2200" s="5" t="str">
        <v>KT4620NQ</v>
      </c>
      <c r="E2200" s="10">
        <v>18603</v>
      </c>
      <c r="F2200" s="3" t="str">
        <v>Iya</v>
      </c>
      <c r="G2200" s="4">
        <v>46093</v>
      </c>
      <c r="H2200" s="10">
        <v>27680</v>
      </c>
    </row>
    <row r="2201" spans="1:8">
      <c r="A2201" s="3">
        <v>2200</v>
      </c>
      <c r="B2201" s="4">
        <v>46125.453541666669</v>
      </c>
      <c r="C2201" s="5" t="str">
        <v>DAIHATSU GRANMAX PU AC PS 1.5 M/T</v>
      </c>
      <c r="D2201" s="5" t="str">
        <v>B6871DFH</v>
      </c>
      <c r="E2201" s="10">
        <v>23154</v>
      </c>
      <c r="F2201" s="3" t="str">
        <v>Iya</v>
      </c>
      <c r="G2201" s="4">
        <v>46085</v>
      </c>
      <c r="H2201" s="10">
        <v>20384</v>
      </c>
    </row>
    <row r="2202" spans="1:8">
      <c r="A2202" s="3">
        <v>2201</v>
      </c>
      <c r="B2202" s="4">
        <v>46125.485439814824</v>
      </c>
      <c r="C2202" s="5" t="str">
        <v>DAIHATSU GRANMAX PU AC PS 1.5 M/T</v>
      </c>
      <c r="D2202" s="5" t="str">
        <v>B6004HW</v>
      </c>
      <c r="E2202" s="10">
        <v>18727</v>
      </c>
      <c r="F2202" s="3" t="str">
        <v>Iya</v>
      </c>
      <c r="G2202" s="4">
        <v>46097</v>
      </c>
      <c r="H2202" s="10">
        <v>17215</v>
      </c>
    </row>
    <row r="2203" spans="1:8">
      <c r="A2203" s="3">
        <v>2202</v>
      </c>
      <c r="B2203" s="4">
        <v>46125.667037037027</v>
      </c>
      <c r="C2203" s="5" t="str">
        <v>DAIHATSU GRANMAX PU AC PS 1.5 M/T</v>
      </c>
      <c r="D2203" s="5" t="str">
        <v>B9587WL</v>
      </c>
      <c r="E2203" s="10">
        <v>6920</v>
      </c>
      <c r="F2203" s="3" t="str">
        <v>Iya</v>
      </c>
      <c r="G2203" s="4">
        <v>46110</v>
      </c>
      <c r="H2203" s="10">
        <v>6751</v>
      </c>
    </row>
    <row r="2204" spans="1:8">
      <c r="A2204" s="3">
        <v>2203</v>
      </c>
      <c r="B2204" s="4">
        <v>46129.430671296293</v>
      </c>
      <c r="C2204" s="5" t="str">
        <v>DAIHATSU GRANMAX PU AC PS 1.5 M/T</v>
      </c>
      <c r="D2204" s="5" t="str">
        <v>B7187UV</v>
      </c>
      <c r="E2204" s="10">
        <v>5636</v>
      </c>
      <c r="F2204" s="3" t="str">
        <v>Tidak</v>
      </c>
      <c r="G2204" s="4">
        <v>0</v>
      </c>
      <c r="H2204" s="10">
        <v>0</v>
      </c>
    </row>
    <row r="2205" spans="1:8">
      <c r="A2205" s="3">
        <v>2204</v>
      </c>
      <c r="B2205" s="4">
        <v>46129.43172453704</v>
      </c>
      <c r="C2205" s="5" t="str">
        <v>DAIHATSU GRANMAX PU AC PS 1.5 M/T</v>
      </c>
      <c r="D2205" s="5" t="str">
        <v>B3294MFT</v>
      </c>
      <c r="E2205" s="10">
        <v>10836</v>
      </c>
      <c r="F2205" s="3" t="str">
        <v>Iya</v>
      </c>
      <c r="G2205" s="4">
        <v>46093</v>
      </c>
      <c r="H2205" s="10">
        <v>8688</v>
      </c>
    </row>
    <row r="2206" spans="1:8">
      <c r="A2206" s="3">
        <v>2205</v>
      </c>
      <c r="B2206" s="4">
        <v>46129.434120370373</v>
      </c>
      <c r="C2206" s="5" t="str">
        <v>DAIHATSU GRANMAX PU AC PS 1.5 M/T</v>
      </c>
      <c r="D2206" s="5" t="str">
        <v>B9912VG</v>
      </c>
      <c r="E2206" s="10">
        <v>112857</v>
      </c>
      <c r="F2206" s="3" t="str">
        <v>Tidak</v>
      </c>
      <c r="G2206" s="4">
        <v>0</v>
      </c>
      <c r="H2206" s="10">
        <v>0</v>
      </c>
    </row>
    <row r="2207" spans="1:8">
      <c r="A2207" s="3">
        <v>2206</v>
      </c>
      <c r="B2207" s="4">
        <v>46129.438136574077</v>
      </c>
      <c r="C2207" s="5" t="str">
        <v>DAIHATSU GRANMAX PU AC PS 1.5 M/T</v>
      </c>
      <c r="D2207" s="5" t="str">
        <v>AB5135TQA</v>
      </c>
      <c r="E2207" s="10">
        <v>305</v>
      </c>
      <c r="F2207" s="3" t="str">
        <v>Tidak</v>
      </c>
      <c r="G2207" s="4">
        <v>0</v>
      </c>
      <c r="H2207" s="10">
        <v>0</v>
      </c>
    </row>
    <row r="2208" spans="1:8">
      <c r="A2208" s="3">
        <v>2207</v>
      </c>
      <c r="B2208" s="4">
        <v>46129.439502314817</v>
      </c>
      <c r="C2208" s="5" t="str">
        <v>PICK UP TRAGA 2.5 4X2 MT D M/T</v>
      </c>
      <c r="D2208" s="5" t="str">
        <v>B4196MS</v>
      </c>
      <c r="E2208" s="10">
        <v>25121</v>
      </c>
      <c r="F2208" s="3" t="str">
        <v>Tidak</v>
      </c>
      <c r="G2208" s="4">
        <v>0</v>
      </c>
      <c r="H2208" s="10">
        <v>0</v>
      </c>
    </row>
    <row r="2209" spans="1:8">
      <c r="A2209" s="3">
        <v>2208</v>
      </c>
      <c r="B2209" s="4">
        <v>46129.441307870373</v>
      </c>
      <c r="C2209" s="5" t="str">
        <v>DAIHATSU GRANMAX PU AC PS 1.5 M/T</v>
      </c>
      <c r="D2209" s="5" t="str">
        <v>B8069JR</v>
      </c>
      <c r="E2209" s="10">
        <v>120429</v>
      </c>
      <c r="F2209" s="3" t="str">
        <v>Iya</v>
      </c>
      <c r="G2209" s="4">
        <v>46118</v>
      </c>
      <c r="H2209" s="10">
        <v>119398</v>
      </c>
    </row>
    <row r="2210" spans="1:8">
      <c r="A2210" s="3">
        <v>2209</v>
      </c>
      <c r="B2210" s="4">
        <v>46129.44363425926</v>
      </c>
      <c r="C2210" s="5" t="str">
        <v>PICK UP TRAGA 2.5 4X2 MT D M/T</v>
      </c>
      <c r="D2210" s="5" t="str">
        <v>B2886XC</v>
      </c>
      <c r="E2210" s="10">
        <v>20499</v>
      </c>
      <c r="F2210" s="3" t="str">
        <v>Iya</v>
      </c>
      <c r="G2210" s="4">
        <v>46087</v>
      </c>
      <c r="H2210" s="10">
        <v>19081</v>
      </c>
    </row>
    <row r="2211" spans="1:8">
      <c r="A2211" s="3">
        <v>2210</v>
      </c>
      <c r="B2211" s="4">
        <v>46129.443969907406</v>
      </c>
      <c r="C2211" s="5" t="str">
        <v>PICK UP TRAGA 2.5 4X2 MT D M/T</v>
      </c>
      <c r="D2211" s="5" t="str">
        <v>KT2370AGQ</v>
      </c>
      <c r="E2211" s="10">
        <v>30972</v>
      </c>
      <c r="F2211" s="3" t="str">
        <v>Tidak</v>
      </c>
      <c r="G2211" s="4">
        <v>0</v>
      </c>
      <c r="H2211" s="10">
        <v>0</v>
      </c>
    </row>
    <row r="2212" spans="1:8">
      <c r="A2212" s="3">
        <v>2211</v>
      </c>
      <c r="B2212" s="4">
        <v>46129.444849537038</v>
      </c>
      <c r="C2212" s="5" t="str">
        <v>PICK UP TRAGA 2.5 4X2 MT D M/T</v>
      </c>
      <c r="D2212" s="5" t="str">
        <v>B4162QMK</v>
      </c>
      <c r="E2212" s="10">
        <v>15976</v>
      </c>
      <c r="F2212" s="3" t="str">
        <v>Iya</v>
      </c>
      <c r="G2212" s="4">
        <v>46126</v>
      </c>
      <c r="H2212" s="10">
        <v>15643</v>
      </c>
    </row>
    <row r="2213" spans="1:8">
      <c r="A2213" s="3">
        <v>2212</v>
      </c>
      <c r="B2213" s="4">
        <v>46129.445879629631</v>
      </c>
      <c r="C2213" s="5" t="str">
        <v>DAIHATSU GRANMAX PU AC PS 1.5 M/T</v>
      </c>
      <c r="D2213" s="5" t="str">
        <v>B7170IN</v>
      </c>
      <c r="E2213" s="10">
        <v>9349</v>
      </c>
      <c r="F2213" s="3" t="str">
        <v>Iya</v>
      </c>
      <c r="G2213" s="4">
        <v>46125</v>
      </c>
      <c r="H2213" s="10">
        <v>9054</v>
      </c>
    </row>
    <row r="2214" spans="1:8">
      <c r="A2214" s="3">
        <v>2213</v>
      </c>
      <c r="B2214" s="4">
        <v>46129.446562500001</v>
      </c>
      <c r="C2214" s="5" t="str">
        <v>DAIHATSU GRANMAX PU AC PS 1.5 M/T</v>
      </c>
      <c r="D2214" s="5" t="str">
        <v>B7692UCT</v>
      </c>
      <c r="E2214" s="10">
        <v>12992</v>
      </c>
      <c r="F2214" s="3" t="str">
        <v>Tidak</v>
      </c>
      <c r="G2214" s="4">
        <v>0</v>
      </c>
      <c r="H2214" s="10">
        <v>0</v>
      </c>
    </row>
    <row r="2215" spans="1:8">
      <c r="A2215" s="3">
        <v>2214</v>
      </c>
      <c r="B2215" s="4">
        <v>46129.446608796286</v>
      </c>
      <c r="C2215" s="5" t="str">
        <v>PICK UP TRAGA 2.5 4X2 MT D M/T</v>
      </c>
      <c r="D2215" s="5" t="str">
        <v>B4950DFS</v>
      </c>
      <c r="E2215" s="10">
        <v>2117</v>
      </c>
      <c r="F2215" s="3" t="str">
        <v>Tidak</v>
      </c>
      <c r="G2215" s="4">
        <v>0</v>
      </c>
      <c r="H2215" s="10">
        <v>0</v>
      </c>
    </row>
    <row r="2216" spans="1:8">
      <c r="A2216" s="3">
        <v>2215</v>
      </c>
      <c r="B2216" s="4">
        <v>46129.447500000002</v>
      </c>
      <c r="C2216" s="5" t="str">
        <v>DAIHATSU GRANMAX PU AC PS 1.5 M/T</v>
      </c>
      <c r="D2216" s="5" t="str">
        <v>KB8488HZN</v>
      </c>
      <c r="E2216" s="10">
        <v>32427</v>
      </c>
      <c r="F2216" s="3" t="str">
        <v>Tidak</v>
      </c>
      <c r="G2216" s="4">
        <v>0</v>
      </c>
      <c r="H2216" s="10">
        <v>0</v>
      </c>
    </row>
    <row r="2217" spans="1:8">
      <c r="A2217" s="3">
        <v>2216</v>
      </c>
      <c r="B2217" s="4">
        <v>46129.448854166672</v>
      </c>
      <c r="C2217" s="5" t="str">
        <v>DAIHATSU GRANMAX PU AC PS 1.5 M/T</v>
      </c>
      <c r="D2217" s="5" t="str">
        <v>B1733TDE</v>
      </c>
      <c r="E2217" s="10">
        <v>13106</v>
      </c>
      <c r="F2217" s="3" t="str">
        <v>Tidak</v>
      </c>
      <c r="G2217" s="4">
        <v>0</v>
      </c>
      <c r="H2217" s="10">
        <v>0</v>
      </c>
    </row>
    <row r="2218" spans="1:8">
      <c r="A2218" s="3">
        <v>2217</v>
      </c>
      <c r="B2218" s="4">
        <v>46129.450949074067</v>
      </c>
      <c r="C2218" s="5" t="str">
        <v>DAIHATSU GRANMAX PU AC PS 1.5 M/T</v>
      </c>
      <c r="D2218" s="5" t="str">
        <v>B2639ZDE</v>
      </c>
      <c r="E2218" s="10">
        <v>2458</v>
      </c>
      <c r="F2218" s="3" t="str">
        <v>Iya</v>
      </c>
      <c r="G2218" s="4">
        <v>46090</v>
      </c>
      <c r="H2218" s="10">
        <v>16109</v>
      </c>
    </row>
    <row r="2219" spans="1:8">
      <c r="A2219" s="3">
        <v>2218</v>
      </c>
      <c r="B2219" s="4">
        <v>46129.457013888888</v>
      </c>
      <c r="C2219" s="5" t="str">
        <v>DAIHATSU GRANMAX PU AC PS 1.5 M/T</v>
      </c>
      <c r="D2219" s="5" t="str">
        <v>B8457UZ</v>
      </c>
      <c r="E2219" s="10">
        <v>20846</v>
      </c>
      <c r="F2219" s="3" t="str">
        <v>Tidak</v>
      </c>
      <c r="G2219" s="4">
        <v>0</v>
      </c>
      <c r="H2219" s="10">
        <v>0</v>
      </c>
    </row>
    <row r="2220" spans="1:8">
      <c r="A2220" s="3">
        <v>2219</v>
      </c>
      <c r="B2220" s="4">
        <v>46129.458506944437</v>
      </c>
      <c r="C2220" s="5" t="str">
        <v>DAIHATSU GRANMAX PU AC PS 1.5 M/T</v>
      </c>
      <c r="D2220" s="5" t="str">
        <v>B9244VW</v>
      </c>
      <c r="E2220" s="10">
        <v>23940</v>
      </c>
      <c r="F2220" s="3" t="str">
        <v>Tidak</v>
      </c>
      <c r="G2220" s="4">
        <v>0</v>
      </c>
      <c r="H2220" s="10">
        <v>0</v>
      </c>
    </row>
    <row r="2221" spans="1:8">
      <c r="A2221" s="3">
        <v>2220</v>
      </c>
      <c r="B2221" s="4">
        <v>46129.459513888891</v>
      </c>
      <c r="C2221" s="5" t="str">
        <v>DAIHATSU GRANMAX PU AC PS 1.5 M/T</v>
      </c>
      <c r="D2221" s="5" t="str">
        <v>B2960MA</v>
      </c>
      <c r="E2221" s="10">
        <v>64698</v>
      </c>
      <c r="F2221" s="3" t="str">
        <v>Iya</v>
      </c>
      <c r="G2221" s="4">
        <v>46116</v>
      </c>
      <c r="H2221" s="10">
        <v>65160</v>
      </c>
    </row>
    <row r="2222" spans="1:8">
      <c r="A2222" s="3">
        <v>2221</v>
      </c>
      <c r="B2222" s="4">
        <v>46129.460393518522</v>
      </c>
      <c r="C2222" s="5" t="str">
        <v>DAIHATSU GRANMAX PU AC PS 1.5 M/T</v>
      </c>
      <c r="D2222" s="5" t="str">
        <v>B7326IW</v>
      </c>
      <c r="E2222" s="10">
        <v>33514</v>
      </c>
      <c r="F2222" s="3" t="str">
        <v>Tidak</v>
      </c>
      <c r="G2222" s="4">
        <v>0</v>
      </c>
      <c r="H2222" s="10">
        <v>0</v>
      </c>
    </row>
    <row r="2223" spans="1:8">
      <c r="A2223" s="3">
        <v>2222</v>
      </c>
      <c r="B2223" s="4">
        <v>46129.48064814815</v>
      </c>
      <c r="C2223" s="5" t="str">
        <v>PICK UP TRAGA 2.5 4X2 MT D M/T</v>
      </c>
      <c r="D2223" s="5" t="str">
        <v>B6013WGR</v>
      </c>
      <c r="E2223" s="10">
        <v>42431</v>
      </c>
      <c r="F2223" s="3" t="str">
        <v>Tidak</v>
      </c>
      <c r="G2223" s="4">
        <v>0</v>
      </c>
      <c r="H2223" s="10">
        <v>0</v>
      </c>
    </row>
    <row r="2224" spans="1:8">
      <c r="A2224" s="3">
        <v>2223</v>
      </c>
      <c r="B2224" s="4">
        <v>46129.481423611112</v>
      </c>
      <c r="C2224" s="5" t="str">
        <v>DAIHATSU GRANMAX PU AC PS 1.5 M/T</v>
      </c>
      <c r="D2224" s="5" t="str">
        <v>B8613WYE</v>
      </c>
      <c r="E2224" s="10">
        <v>59077</v>
      </c>
      <c r="F2224" s="3" t="str">
        <v>Tidak</v>
      </c>
      <c r="G2224" s="4">
        <v>0</v>
      </c>
      <c r="H2224" s="10">
        <v>0</v>
      </c>
    </row>
    <row r="2225" spans="1:8">
      <c r="A2225" s="3">
        <v>2224</v>
      </c>
      <c r="B2225" s="4">
        <v>46129.48537037037</v>
      </c>
      <c r="C2225" s="5" t="str">
        <v>DAIHATSU GRANMAX PU AC PS 1.5 M/T</v>
      </c>
      <c r="D2225" s="5" t="str">
        <v>B4034IWU</v>
      </c>
      <c r="E2225" s="10">
        <v>37637</v>
      </c>
      <c r="F2225" s="3" t="str">
        <v>Iya</v>
      </c>
      <c r="G2225" s="4">
        <v>46094</v>
      </c>
      <c r="H2225" s="10">
        <v>37637</v>
      </c>
    </row>
    <row r="2226" spans="1:8">
      <c r="A2226" s="3">
        <v>2225</v>
      </c>
      <c r="B2226" s="4">
        <v>46129.488425925927</v>
      </c>
      <c r="C2226" s="5" t="str">
        <v>DAIHATSU GRANMAX PU AC PS 1.5 M/T</v>
      </c>
      <c r="D2226" s="5" t="str">
        <v>B6193SD</v>
      </c>
      <c r="E2226" s="10">
        <v>19330</v>
      </c>
      <c r="F2226" s="3" t="str">
        <v>Tidak</v>
      </c>
      <c r="G2226" s="4">
        <v>0</v>
      </c>
      <c r="H2226" s="10">
        <v>0</v>
      </c>
    </row>
    <row r="2227" spans="1:8">
      <c r="A2227" s="3">
        <v>2226</v>
      </c>
      <c r="B2227" s="4">
        <v>46129.489722222221</v>
      </c>
      <c r="C2227" s="5" t="str">
        <v>DAIHATSU GRANMAX PU AC PS 1.5 M/T</v>
      </c>
      <c r="D2227" s="5" t="str">
        <v>B8753SMF</v>
      </c>
      <c r="E2227" s="10">
        <v>55250</v>
      </c>
      <c r="F2227" s="3" t="str">
        <v>Iya</v>
      </c>
      <c r="G2227" s="4">
        <v>46095</v>
      </c>
      <c r="H2227" s="10">
        <v>53309</v>
      </c>
    </row>
    <row r="2228" spans="1:8">
      <c r="A2228" s="3">
        <v>2227</v>
      </c>
      <c r="B2228" s="4">
        <v>46129.490844907406</v>
      </c>
      <c r="C2228" s="5" t="str">
        <v>DAIHATSU GRANMAX PU AC PS 1.5 M/T</v>
      </c>
      <c r="D2228" s="5" t="str">
        <v>B8753SMF</v>
      </c>
      <c r="E2228" s="10">
        <v>60920</v>
      </c>
      <c r="F2228" s="3" t="str">
        <v>Iya</v>
      </c>
      <c r="G2228" s="4">
        <v>46095</v>
      </c>
      <c r="H2228" s="10">
        <v>58780</v>
      </c>
    </row>
    <row r="2229" spans="1:8">
      <c r="A2229" s="3">
        <v>2228</v>
      </c>
      <c r="B2229" s="4">
        <v>46129.491168981483</v>
      </c>
      <c r="C2229" s="5" t="str">
        <v>PICK UP TRAGA 2.5 4X2 MT D M/T</v>
      </c>
      <c r="D2229" s="5" t="str">
        <v>DD5905FD</v>
      </c>
      <c r="E2229" s="10">
        <v>50811</v>
      </c>
      <c r="F2229" s="3" t="str">
        <v>Iya</v>
      </c>
      <c r="G2229" s="4">
        <v>46091</v>
      </c>
      <c r="H2229" s="10">
        <v>50811</v>
      </c>
    </row>
    <row r="2230" spans="1:8">
      <c r="A2230" s="3">
        <v>2229</v>
      </c>
      <c r="B2230" s="4">
        <v>46129.494351851848</v>
      </c>
      <c r="C2230" s="5" t="str">
        <v>PICK UP TRAGA 2.5 4X2 MT D M/T</v>
      </c>
      <c r="D2230" s="5" t="str">
        <v>DD5905FD</v>
      </c>
      <c r="E2230" s="10">
        <v>55379</v>
      </c>
      <c r="F2230" s="3" t="str">
        <v>Iya</v>
      </c>
      <c r="G2230" s="4">
        <v>46091</v>
      </c>
      <c r="H2230" s="10">
        <v>52630</v>
      </c>
    </row>
    <row r="2231" spans="1:8">
      <c r="A2231" s="3">
        <v>2230</v>
      </c>
      <c r="B2231" s="4">
        <v>46129.494814814818</v>
      </c>
      <c r="C2231" s="5" t="str">
        <v>PICK UP TRAGA 2.5 4X2 MT D M/T</v>
      </c>
      <c r="D2231" s="5" t="str">
        <v>B7591HAI</v>
      </c>
      <c r="E2231" s="10">
        <v>102995</v>
      </c>
      <c r="F2231" s="3" t="str">
        <v>Iya</v>
      </c>
      <c r="G2231" s="4">
        <v>46097</v>
      </c>
      <c r="H2231" s="10">
        <v>101040</v>
      </c>
    </row>
    <row r="2232" spans="1:8">
      <c r="A2232" s="3">
        <v>2231</v>
      </c>
      <c r="B2232" s="4">
        <v>46129.533738425933</v>
      </c>
      <c r="C2232" s="5" t="str">
        <v>PICK UP TRAGA 2.5 4X2 MT D M/T</v>
      </c>
      <c r="D2232" s="5" t="str">
        <v>B3406ZUA</v>
      </c>
      <c r="E2232" s="10">
        <v>72375</v>
      </c>
      <c r="F2232" s="3" t="str">
        <v>Iya</v>
      </c>
      <c r="G2232" s="4">
        <v>46097</v>
      </c>
      <c r="H2232" s="10">
        <v>69785</v>
      </c>
    </row>
    <row r="2233" spans="1:8">
      <c r="A2233" s="3">
        <v>2232</v>
      </c>
      <c r="B2233" s="4">
        <v>46129.554409722223</v>
      </c>
      <c r="C2233" s="5" t="str">
        <v>PICK UP TRAGA 2.5 4X2 MT D M/T</v>
      </c>
      <c r="D2233" s="5" t="str">
        <v>B1167YL</v>
      </c>
      <c r="E2233" s="10">
        <v>43442</v>
      </c>
      <c r="F2233" s="3" t="str">
        <v>Iya</v>
      </c>
      <c r="G2233" s="4">
        <v>46065</v>
      </c>
      <c r="H2233" s="10">
        <v>37396</v>
      </c>
    </row>
    <row r="2234" spans="1:8">
      <c r="A2234" s="3">
        <v>2233</v>
      </c>
      <c r="B2234" s="4">
        <v>46129.556180555563</v>
      </c>
      <c r="C2234" s="5" t="str">
        <v>DAIHATSU GRANMAX PU AC PS 1.5 M/T</v>
      </c>
      <c r="D2234" s="5" t="str">
        <v>B2755MF</v>
      </c>
      <c r="E2234" s="10">
        <v>2281</v>
      </c>
      <c r="F2234" s="3" t="str">
        <v>Tidak</v>
      </c>
      <c r="G2234" s="4">
        <v>0</v>
      </c>
      <c r="H2234" s="10">
        <v>0</v>
      </c>
    </row>
    <row r="2235" spans="1:8">
      <c r="A2235" s="3">
        <v>2234</v>
      </c>
      <c r="B2235" s="4">
        <v>46129.556284722217</v>
      </c>
      <c r="C2235" s="5" t="str">
        <v>DAIHATSU GRANMAX PU AC PS 1.5 M/T</v>
      </c>
      <c r="D2235" s="5" t="str">
        <v>B2325IRM</v>
      </c>
      <c r="E2235" s="10">
        <v>30162</v>
      </c>
      <c r="F2235" s="3" t="str">
        <v>Tidak</v>
      </c>
      <c r="G2235" s="4">
        <v>0</v>
      </c>
      <c r="H2235" s="10">
        <v>0</v>
      </c>
    </row>
    <row r="2236" spans="1:8">
      <c r="A2236" s="3">
        <v>2235</v>
      </c>
      <c r="B2236" s="4">
        <v>46129.556990740741</v>
      </c>
      <c r="C2236" s="5" t="str">
        <v>DAIHATSU GRANMAX PU AC PS 1.5 M/T</v>
      </c>
      <c r="D2236" s="5" t="str">
        <v>B6999PZ</v>
      </c>
      <c r="E2236" s="10">
        <v>30426</v>
      </c>
      <c r="F2236" s="3" t="str">
        <v>Tidak</v>
      </c>
      <c r="G2236" s="4">
        <v>0</v>
      </c>
      <c r="H2236" s="10">
        <v>0</v>
      </c>
    </row>
    <row r="2237" spans="1:8">
      <c r="A2237" s="3">
        <v>2236</v>
      </c>
      <c r="B2237" s="4">
        <v>46129.561180555553</v>
      </c>
      <c r="C2237" s="5" t="str">
        <v>Daihatsu Xenia (Badan)</v>
      </c>
      <c r="D2237" s="5" t="str">
        <v>B2758UU</v>
      </c>
      <c r="E2237" s="10">
        <v>27654</v>
      </c>
      <c r="F2237" s="3" t="str">
        <v>Tidak</v>
      </c>
      <c r="G2237" s="4">
        <v>0</v>
      </c>
      <c r="H2237" s="10">
        <v>0</v>
      </c>
    </row>
    <row r="2238" spans="1:8">
      <c r="A2238" s="3">
        <v>2237</v>
      </c>
      <c r="B2238" s="4">
        <v>46129.567777777767</v>
      </c>
      <c r="C2238" s="5" t="str">
        <v>PICK UP TRAGA 2.5 4X2 MT D M/T</v>
      </c>
      <c r="D2238" s="5" t="str">
        <v>B1167YL</v>
      </c>
      <c r="E2238" s="10">
        <v>45913</v>
      </c>
      <c r="F2238" s="3" t="str">
        <v>Tidak</v>
      </c>
      <c r="G2238" s="4">
        <v>0</v>
      </c>
      <c r="H2238" s="10">
        <v>0</v>
      </c>
    </row>
    <row r="2239" spans="1:8">
      <c r="A2239" s="3">
        <v>2238</v>
      </c>
      <c r="B2239" s="4">
        <v>46129.57172453704</v>
      </c>
      <c r="C2239" s="5" t="str">
        <v>DAIHATSU GRANMAX PU AC PS 1.5 M/T</v>
      </c>
      <c r="D2239" s="5" t="str">
        <v>B5388UQ</v>
      </c>
      <c r="E2239" s="10">
        <v>1501</v>
      </c>
      <c r="F2239" s="3" t="str">
        <v>Tidak</v>
      </c>
      <c r="G2239" s="4">
        <v>0</v>
      </c>
      <c r="H2239" s="10">
        <v>0</v>
      </c>
    </row>
    <row r="2240" spans="1:8">
      <c r="A2240" s="3">
        <v>2239</v>
      </c>
      <c r="B2240" s="4">
        <v>46129.583252314813</v>
      </c>
      <c r="C2240" s="5" t="str">
        <v>DAIHATSU GRANMAX PU AC PS 1.5 M/T</v>
      </c>
      <c r="D2240" s="5" t="str">
        <v>B1799MW</v>
      </c>
      <c r="E2240" s="10">
        <v>2366</v>
      </c>
      <c r="F2240" s="3" t="str">
        <v>Tidak</v>
      </c>
      <c r="G2240" s="4">
        <v>0</v>
      </c>
      <c r="H2240" s="10">
        <v>0</v>
      </c>
    </row>
    <row r="2241" spans="1:8">
      <c r="A2241" s="3">
        <v>2240</v>
      </c>
      <c r="B2241" s="4">
        <v>46129.589097222219</v>
      </c>
      <c r="C2241" s="5" t="str">
        <v>DAIHATSU GRANMAX PU AC PS 1.5 M/T</v>
      </c>
      <c r="D2241" s="5" t="str">
        <v>D8044XW</v>
      </c>
      <c r="E2241" s="10">
        <v>3802</v>
      </c>
      <c r="F2241" s="3" t="str">
        <v>Tidak</v>
      </c>
      <c r="G2241" s="4">
        <v>0</v>
      </c>
      <c r="H2241" s="10">
        <v>0</v>
      </c>
    </row>
    <row r="2242" spans="1:8">
      <c r="A2242" s="3">
        <v>2241</v>
      </c>
      <c r="B2242" s="4">
        <v>46129.593530092592</v>
      </c>
      <c r="C2242" s="5" t="str">
        <v>DAIHATSU GRANMAX PU AC PS 1.5 M/T</v>
      </c>
      <c r="D2242" s="5" t="str">
        <v>KT5836DY</v>
      </c>
      <c r="E2242" s="10">
        <v>21120</v>
      </c>
      <c r="F2242" s="3" t="str">
        <v>Tidak</v>
      </c>
      <c r="G2242" s="4">
        <v>0</v>
      </c>
      <c r="H2242" s="10">
        <v>0</v>
      </c>
    </row>
    <row r="2243" spans="1:8">
      <c r="A2243" s="3">
        <v>2242</v>
      </c>
      <c r="B2243" s="4">
        <v>46129.596412037034</v>
      </c>
      <c r="C2243" s="5" t="str">
        <v>DAIHATSU GRANMAX PU AC PS 1.5 M/T</v>
      </c>
      <c r="D2243" s="5" t="str">
        <v>B9877USW</v>
      </c>
      <c r="E2243" s="10">
        <v>13009</v>
      </c>
      <c r="F2243" s="3" t="str">
        <v>Tidak</v>
      </c>
      <c r="G2243" s="4">
        <v>0</v>
      </c>
      <c r="H2243" s="10">
        <v>0</v>
      </c>
    </row>
    <row r="2244" spans="1:8">
      <c r="A2244" s="3">
        <v>2243</v>
      </c>
      <c r="B2244" s="4">
        <v>46129.626388888893</v>
      </c>
      <c r="C2244" s="5" t="str">
        <v>PICK UP TRAGA 2.5 4X2 MT D M/T</v>
      </c>
      <c r="D2244" s="5" t="str">
        <v>B9006FL</v>
      </c>
      <c r="E2244" s="10">
        <v>29868</v>
      </c>
      <c r="F2244" s="3" t="str">
        <v>Iya</v>
      </c>
      <c r="G2244" s="4">
        <v>46097</v>
      </c>
      <c r="H2244" s="10">
        <v>28623</v>
      </c>
    </row>
    <row r="2245" spans="1:8">
      <c r="A2245" s="3">
        <v>2244</v>
      </c>
      <c r="B2245" s="4">
        <v>46129.62699074074</v>
      </c>
      <c r="C2245" s="5" t="str">
        <v>PICK UP TRAGA 2.5 4X2 MT D M/T</v>
      </c>
      <c r="D2245" s="5" t="str">
        <v>KT5059PV</v>
      </c>
      <c r="E2245" s="10">
        <v>7850</v>
      </c>
      <c r="F2245" s="3" t="str">
        <v>Tidak</v>
      </c>
      <c r="G2245" s="4">
        <v>0</v>
      </c>
      <c r="H2245" s="10">
        <v>0</v>
      </c>
    </row>
    <row r="2246" spans="1:8">
      <c r="A2246" s="3">
        <v>2245</v>
      </c>
      <c r="B2246" s="4">
        <v>46129.637141203697</v>
      </c>
      <c r="C2246" s="5" t="str">
        <v>DAIHATSU GRANMAX PU AC PS 1.5 M/T</v>
      </c>
      <c r="D2246" s="5" t="str">
        <v>KT8120IVX</v>
      </c>
      <c r="E2246" s="10">
        <v>11773</v>
      </c>
      <c r="F2246" s="3" t="str">
        <v>Tidak</v>
      </c>
      <c r="G2246" s="4">
        <v>0</v>
      </c>
      <c r="H2246" s="10">
        <v>0</v>
      </c>
    </row>
    <row r="2247" spans="1:8">
      <c r="A2247" s="3">
        <v>2246</v>
      </c>
      <c r="B2247" s="4">
        <v>46129.637395833342</v>
      </c>
      <c r="C2247" s="5" t="str">
        <v>DAIHATSU GRANMAX PU AC PS 1.5 M/T</v>
      </c>
      <c r="D2247" s="5" t="str">
        <v>B6095UP</v>
      </c>
      <c r="E2247" s="10">
        <v>4858</v>
      </c>
      <c r="F2247" s="3" t="str">
        <v>Tidak</v>
      </c>
      <c r="G2247" s="4">
        <v>0</v>
      </c>
      <c r="H2247" s="10">
        <v>0</v>
      </c>
    </row>
    <row r="2248" spans="1:8">
      <c r="A2248" s="3">
        <v>2247</v>
      </c>
      <c r="B2248" s="4">
        <v>46129.644074074073</v>
      </c>
      <c r="C2248" s="5" t="str">
        <v>DAIHATSU GRANMAX PU AC PS 1.5 M/T</v>
      </c>
      <c r="D2248" s="5" t="str">
        <v>BP6297BR</v>
      </c>
      <c r="E2248" s="10">
        <v>39518</v>
      </c>
      <c r="F2248" s="3" t="str">
        <v>Tidak</v>
      </c>
      <c r="G2248" s="4">
        <v>0</v>
      </c>
      <c r="H2248" s="10">
        <v>0</v>
      </c>
    </row>
    <row r="2249" spans="1:8">
      <c r="A2249" s="3">
        <v>2248</v>
      </c>
      <c r="B2249" s="4">
        <v>46129.645486111112</v>
      </c>
      <c r="C2249" s="5" t="str">
        <v>PICK UP TRAGA 2.5 4X2 MT D M/T</v>
      </c>
      <c r="D2249" s="5" t="str">
        <v>B4784VXS</v>
      </c>
      <c r="E2249" s="10">
        <v>88339</v>
      </c>
      <c r="F2249" s="3" t="str">
        <v>Iya</v>
      </c>
      <c r="G2249" s="4">
        <v>46093</v>
      </c>
      <c r="H2249" s="10">
        <v>88339</v>
      </c>
    </row>
    <row r="2250" spans="1:8">
      <c r="A2250" s="3">
        <v>2249</v>
      </c>
      <c r="B2250" s="4">
        <v>46129.665312500001</v>
      </c>
      <c r="C2250" s="5" t="str">
        <v>DAIHATSU GRANMAX PU AC PS 1.5 M/T</v>
      </c>
      <c r="D2250" s="5" t="str">
        <v>B4008GYL</v>
      </c>
      <c r="E2250" s="10">
        <v>59264</v>
      </c>
      <c r="F2250" s="3" t="str">
        <v>Tidak</v>
      </c>
      <c r="G2250" s="4">
        <v>0</v>
      </c>
      <c r="H2250" s="10">
        <v>0</v>
      </c>
    </row>
    <row r="2251" spans="1:8">
      <c r="A2251" s="3">
        <v>2250</v>
      </c>
      <c r="B2251" s="4">
        <v>46129.668263888889</v>
      </c>
      <c r="C2251" s="5" t="str">
        <v>DAIHATSU GRANMAX PU AC PS 1.5 M/T</v>
      </c>
      <c r="D2251" s="5" t="str">
        <v>D5342SJ</v>
      </c>
      <c r="E2251" s="10">
        <v>4433</v>
      </c>
      <c r="F2251" s="3" t="str">
        <v>Tidak</v>
      </c>
      <c r="G2251" s="4">
        <v>0</v>
      </c>
      <c r="H2251" s="10">
        <v>0</v>
      </c>
    </row>
    <row r="2252" spans="1:8">
      <c r="A2252" s="3">
        <v>2251</v>
      </c>
      <c r="B2252" s="4">
        <v>46129.669768518521</v>
      </c>
      <c r="C2252" s="5" t="str">
        <v>DAIHATSU GRANMAX PU AC PS 1.5 M/T</v>
      </c>
      <c r="D2252" s="5" t="str">
        <v>B5918LZ</v>
      </c>
      <c r="E2252" s="10">
        <v>105566</v>
      </c>
      <c r="F2252" s="3" t="str">
        <v>Iya</v>
      </c>
      <c r="G2252" s="4">
        <v>46120</v>
      </c>
      <c r="H2252" s="10">
        <v>104998</v>
      </c>
    </row>
    <row r="2253" spans="1:8">
      <c r="A2253" s="3">
        <v>2252</v>
      </c>
      <c r="B2253" s="4">
        <v>46129.671134259261</v>
      </c>
      <c r="C2253" s="5" t="str">
        <v>PICK UP TRAGA 2.5 4X2 MT D M/T</v>
      </c>
      <c r="D2253" s="5" t="str">
        <v>B1075RA</v>
      </c>
      <c r="E2253" s="10">
        <v>61366</v>
      </c>
      <c r="F2253" s="3" t="str">
        <v>Tidak</v>
      </c>
      <c r="G2253" s="4">
        <v>0</v>
      </c>
      <c r="H2253" s="10">
        <v>0</v>
      </c>
    </row>
    <row r="2254" spans="1:8">
      <c r="A2254" s="3">
        <v>2253</v>
      </c>
      <c r="B2254" s="4">
        <v>46129.673020833332</v>
      </c>
      <c r="C2254" s="5" t="str">
        <v>Daihatsu Xenia (Badan)</v>
      </c>
      <c r="D2254" s="5" t="str">
        <v>B9619FMM</v>
      </c>
      <c r="E2254" s="10">
        <v>73195</v>
      </c>
      <c r="F2254" s="3" t="str">
        <v>Iya</v>
      </c>
      <c r="G2254" s="4">
        <v>46119</v>
      </c>
      <c r="H2254" s="10">
        <v>73195</v>
      </c>
    </row>
    <row r="2255" spans="1:8">
      <c r="A2255" s="3">
        <v>2254</v>
      </c>
      <c r="B2255" s="4">
        <v>46129.684328703697</v>
      </c>
      <c r="C2255" s="5" t="str">
        <v>DAIHATSU GRANMAX PU AC PS 1.5 M/T</v>
      </c>
      <c r="D2255" s="5" t="str">
        <v>B1960LKY</v>
      </c>
      <c r="E2255" s="10">
        <v>57163</v>
      </c>
      <c r="F2255" s="3" t="str">
        <v>Iya</v>
      </c>
      <c r="G2255" s="4">
        <v>46093</v>
      </c>
      <c r="H2255" s="10">
        <v>55010</v>
      </c>
    </row>
    <row r="2256" spans="1:8">
      <c r="A2256" s="3">
        <v>2255</v>
      </c>
      <c r="B2256" s="4">
        <v>46129.687685185178</v>
      </c>
      <c r="C2256" s="5" t="str">
        <v>DAIHATSU GRANMAX PU AC PS 1.5 M/T</v>
      </c>
      <c r="D2256" s="5" t="str">
        <v>B7129LP</v>
      </c>
      <c r="E2256" s="10">
        <v>3288</v>
      </c>
      <c r="F2256" s="3" t="str">
        <v>Tidak</v>
      </c>
      <c r="G2256" s="4">
        <v>0</v>
      </c>
      <c r="H2256" s="10">
        <v>0</v>
      </c>
    </row>
    <row r="2257" spans="1:8">
      <c r="A2257" s="3">
        <v>2256</v>
      </c>
      <c r="B2257" s="4">
        <v>46129.695925925917</v>
      </c>
      <c r="C2257" s="5" t="str">
        <v>PICK UP TRAGA 2.5 4X2 MT D M/T</v>
      </c>
      <c r="D2257" s="5" t="str">
        <v>B9738SL</v>
      </c>
      <c r="E2257" s="10">
        <v>2462</v>
      </c>
      <c r="F2257" s="3" t="str">
        <v>Tidak</v>
      </c>
      <c r="G2257" s="4">
        <v>0</v>
      </c>
      <c r="H2257" s="10">
        <v>0</v>
      </c>
    </row>
    <row r="2258" spans="1:8">
      <c r="A2258" s="3">
        <v>2257</v>
      </c>
      <c r="B2258" s="4">
        <v>46129.705682870372</v>
      </c>
      <c r="C2258" s="5" t="str">
        <v>DAIHATSU GRANMAX PU AC PS 1.5 M/T</v>
      </c>
      <c r="D2258" s="5" t="str">
        <v>B7135IN</v>
      </c>
      <c r="E2258" s="10">
        <v>22859</v>
      </c>
      <c r="F2258" s="3" t="str">
        <v>Iya</v>
      </c>
      <c r="G2258" s="4">
        <v>46092</v>
      </c>
      <c r="H2258" s="10">
        <v>22063</v>
      </c>
    </row>
    <row r="2259" spans="1:8">
      <c r="A2259" s="3">
        <v>2258</v>
      </c>
      <c r="B2259" s="4">
        <v>46129.725648148153</v>
      </c>
      <c r="C2259" s="5" t="str">
        <v>PICK UP TRAGA 2.5 4X2 MT D M/T</v>
      </c>
      <c r="D2259" s="5" t="str">
        <v>B9442AC</v>
      </c>
      <c r="E2259" s="10">
        <v>35090</v>
      </c>
      <c r="F2259" s="3" t="str">
        <v>Iya</v>
      </c>
      <c r="G2259" s="4">
        <v>46129</v>
      </c>
      <c r="H2259" s="10">
        <v>35090</v>
      </c>
    </row>
    <row r="2260" spans="1:8">
      <c r="A2260" s="3">
        <v>2259</v>
      </c>
      <c r="B2260" s="4">
        <v>46129.750902777778</v>
      </c>
      <c r="C2260" s="5" t="str">
        <v>DAIHATSU GRANMAX PU AC PS 1.5 M/T</v>
      </c>
      <c r="D2260" s="5" t="str">
        <v>B8803CF</v>
      </c>
      <c r="E2260" s="10">
        <v>6742</v>
      </c>
      <c r="F2260" s="3" t="str">
        <v>Tidak</v>
      </c>
      <c r="G2260" s="4">
        <v>0</v>
      </c>
      <c r="H2260" s="10">
        <v>0</v>
      </c>
    </row>
    <row r="2261" spans="1:8">
      <c r="A2261" s="3">
        <v>2260</v>
      </c>
      <c r="B2261" s="4">
        <v>46129.844675925917</v>
      </c>
      <c r="C2261" s="5" t="str">
        <v>DAIHATSU GRANMAX PU AC PS 1.5 M/T</v>
      </c>
      <c r="D2261" s="5" t="str">
        <v>B8269XJ</v>
      </c>
      <c r="E2261" s="10">
        <v>33011</v>
      </c>
      <c r="F2261" s="3" t="str">
        <v>Tidak</v>
      </c>
      <c r="G2261" s="4">
        <v>0</v>
      </c>
      <c r="H2261" s="10">
        <v>0</v>
      </c>
    </row>
    <row r="2262" spans="1:8">
      <c r="A2262" s="3">
        <v>2261</v>
      </c>
      <c r="B2262" s="4">
        <v>46130.337337962963</v>
      </c>
      <c r="C2262" s="5" t="str">
        <v>DAIHATSU GRANMAX PU AC PS 1.5 M/T</v>
      </c>
      <c r="D2262" s="5" t="str">
        <v>B8589XJW</v>
      </c>
      <c r="E2262" s="10">
        <v>30994</v>
      </c>
      <c r="F2262" s="3" t="str">
        <v>Tidak</v>
      </c>
      <c r="G2262" s="4">
        <v>0</v>
      </c>
      <c r="H2262" s="10">
        <v>0</v>
      </c>
    </row>
    <row r="2263" spans="1:8">
      <c r="A2263" s="3">
        <v>2262</v>
      </c>
      <c r="B2263" s="4">
        <v>46130.338356481479</v>
      </c>
      <c r="C2263" s="5" t="str">
        <v>PICK UP TRAGA 2.5 4X2 MT D M/T</v>
      </c>
      <c r="D2263" s="5" t="str">
        <v>B7915GBS</v>
      </c>
      <c r="E2263" s="10">
        <v>57090</v>
      </c>
      <c r="F2263" s="3" t="str">
        <v>Iya</v>
      </c>
      <c r="G2263" s="4">
        <v>46121</v>
      </c>
      <c r="H2263" s="10">
        <v>56854</v>
      </c>
    </row>
    <row r="2264" spans="1:8">
      <c r="A2264" s="3">
        <v>2263</v>
      </c>
      <c r="B2264" s="4">
        <v>46130.349791666667</v>
      </c>
      <c r="C2264" s="5" t="str">
        <v>DAIHATSU GRANMAX PU AC PS 1.5 M/T</v>
      </c>
      <c r="D2264" s="5" t="str">
        <v>B6936PI</v>
      </c>
      <c r="E2264" s="10">
        <v>12781</v>
      </c>
      <c r="F2264" s="3" t="str">
        <v>Iya</v>
      </c>
      <c r="G2264" s="4">
        <v>45996</v>
      </c>
      <c r="H2264" s="10">
        <v>9735</v>
      </c>
    </row>
    <row r="2265" spans="1:8">
      <c r="A2265" s="3">
        <v>2264</v>
      </c>
      <c r="B2265" s="4">
        <v>46130.357372685183</v>
      </c>
      <c r="C2265" s="5" t="str">
        <v>PICK UP TRAGA 2.5 4X2 MT D M/T</v>
      </c>
      <c r="D2265" s="5" t="str">
        <v>B3889CE</v>
      </c>
      <c r="E2265" s="10">
        <v>23686</v>
      </c>
      <c r="F2265" s="3" t="str">
        <v>Iya</v>
      </c>
      <c r="G2265" s="4">
        <v>45937</v>
      </c>
      <c r="H2265" s="10">
        <v>31167</v>
      </c>
    </row>
    <row r="2266" spans="1:8">
      <c r="A2266" s="3">
        <v>2265</v>
      </c>
      <c r="B2266" s="4">
        <v>46130.358414351853</v>
      </c>
      <c r="C2266" s="5" t="str">
        <v>DAIHATSU GRANMAX PU AC PS 1.5 M/T</v>
      </c>
      <c r="D2266" s="5" t="str">
        <v>B1319NZ</v>
      </c>
      <c r="E2266" s="10">
        <v>16539</v>
      </c>
      <c r="F2266" s="3" t="str">
        <v>Tidak</v>
      </c>
      <c r="G2266" s="4">
        <v>0</v>
      </c>
      <c r="H2266" s="10">
        <v>0</v>
      </c>
    </row>
    <row r="2267" spans="1:8">
      <c r="A2267" s="3">
        <v>2266</v>
      </c>
      <c r="B2267" s="4">
        <v>46130.366666666669</v>
      </c>
      <c r="C2267" s="5" t="str">
        <v>DAIHATSU GRANMAX PU AC PS 1.5 M/T</v>
      </c>
      <c r="D2267" s="5" t="str">
        <v>B1827DA</v>
      </c>
      <c r="E2267" s="10">
        <v>34546</v>
      </c>
      <c r="F2267" s="3" t="str">
        <v>Iya</v>
      </c>
      <c r="G2267" s="4">
        <v>46122</v>
      </c>
      <c r="H2267" s="10">
        <v>33839</v>
      </c>
    </row>
    <row r="2268" spans="1:8">
      <c r="A2268" s="3">
        <v>2267</v>
      </c>
      <c r="B2268" s="4">
        <v>46130.423310185193</v>
      </c>
      <c r="C2268" s="5" t="str">
        <v>PICK UP TRAGA 2.5 4X2 MT D M/T</v>
      </c>
      <c r="D2268" s="5" t="str">
        <v>H6818GV</v>
      </c>
      <c r="E2268" s="10">
        <v>47909</v>
      </c>
      <c r="F2268" s="3" t="str">
        <v>Iya</v>
      </c>
      <c r="G2268" s="4">
        <v>46092</v>
      </c>
      <c r="H2268" s="10">
        <v>45251</v>
      </c>
    </row>
    <row r="2269" spans="1:8">
      <c r="A2269" s="3">
        <v>2268</v>
      </c>
      <c r="B2269" s="4">
        <v>46130.429236111107</v>
      </c>
      <c r="C2269" s="5" t="str">
        <v>DAIHATSU GRANMAX PU AC PS 1.5 M/T</v>
      </c>
      <c r="D2269" s="5" t="str">
        <v>B8857PYD</v>
      </c>
      <c r="E2269" s="10">
        <v>16146</v>
      </c>
      <c r="F2269" s="3" t="str">
        <v>Tidak</v>
      </c>
      <c r="G2269" s="4">
        <v>0</v>
      </c>
      <c r="H2269" s="10">
        <v>0</v>
      </c>
    </row>
    <row r="2270" spans="1:8">
      <c r="A2270" s="3">
        <v>2269</v>
      </c>
      <c r="B2270" s="4">
        <v>46130.435300925928</v>
      </c>
      <c r="C2270" s="5" t="str">
        <v>PICK UP TRAGA 2.5 4X2 MT D M/T</v>
      </c>
      <c r="D2270" s="5" t="str">
        <v>B6905PX</v>
      </c>
      <c r="E2270" s="10">
        <v>9490</v>
      </c>
      <c r="F2270" s="3" t="str">
        <v>Tidak</v>
      </c>
      <c r="G2270" s="4">
        <v>0</v>
      </c>
      <c r="H2270" s="10">
        <v>0</v>
      </c>
    </row>
    <row r="2271" spans="1:8">
      <c r="A2271" s="3">
        <v>2270</v>
      </c>
      <c r="B2271" s="4">
        <v>46130.463043981479</v>
      </c>
      <c r="C2271" s="5" t="str">
        <v>PICK UP TRAGA 2.5 4X2 MT D M/T</v>
      </c>
      <c r="D2271" s="5" t="str">
        <v>B8891JP</v>
      </c>
      <c r="E2271" s="10">
        <v>75304</v>
      </c>
      <c r="F2271" s="3" t="str">
        <v>Tidak</v>
      </c>
      <c r="G2271" s="4">
        <v>0</v>
      </c>
      <c r="H2271" s="10">
        <v>0</v>
      </c>
    </row>
    <row r="2272" spans="1:8">
      <c r="A2272" s="3">
        <v>2271</v>
      </c>
      <c r="B2272" s="4">
        <v>46130.784097222233</v>
      </c>
      <c r="C2272" s="5" t="str">
        <v>DAIHATSU GRANMAX PU AC PS 1.5 M/T</v>
      </c>
      <c r="D2272" s="5" t="str">
        <v>B8474IXR</v>
      </c>
      <c r="E2272" s="10">
        <v>22322</v>
      </c>
      <c r="F2272" s="3" t="str">
        <v>Iya</v>
      </c>
      <c r="G2272" s="4">
        <v>46123</v>
      </c>
      <c r="H2272" s="10">
        <v>31121</v>
      </c>
    </row>
    <row r="2273" spans="1:8">
      <c r="A2273" s="3">
        <v>2272</v>
      </c>
      <c r="B2273" s="4">
        <v>46132.312442129631</v>
      </c>
      <c r="C2273" s="5" t="str">
        <v>PICK UP TRAGA 2.5 4X2 MT D M/T</v>
      </c>
      <c r="D2273" s="5" t="str">
        <v>BE6556LIU</v>
      </c>
      <c r="E2273" s="10">
        <v>24114</v>
      </c>
      <c r="F2273" s="3" t="str">
        <v>Iya</v>
      </c>
      <c r="G2273" s="4">
        <v>46129</v>
      </c>
      <c r="H2273" s="10">
        <v>24114</v>
      </c>
    </row>
    <row r="2274" spans="1:8">
      <c r="A2274" s="3">
        <v>2273</v>
      </c>
      <c r="B2274" s="4">
        <v>46132.323912037027</v>
      </c>
      <c r="C2274" s="5" t="str">
        <v>DAIHATSU GRANMAX PU AC PS 1.5 M/T</v>
      </c>
      <c r="D2274" s="5" t="str">
        <v>B9946LF</v>
      </c>
      <c r="E2274" s="10">
        <v>38747</v>
      </c>
      <c r="F2274" s="3" t="str">
        <v>Tidak</v>
      </c>
      <c r="G2274" s="4">
        <v>0</v>
      </c>
      <c r="H2274" s="10">
        <v>0</v>
      </c>
    </row>
    <row r="2275" spans="1:8">
      <c r="A2275" s="3">
        <v>2274</v>
      </c>
      <c r="B2275" s="4">
        <v>46132.370312500003</v>
      </c>
      <c r="C2275" s="5" t="str">
        <v>DAIHATSU GRANMAX PU AC PS 1.5 M/T</v>
      </c>
      <c r="D2275" s="5" t="str">
        <v>L6237GJR</v>
      </c>
      <c r="E2275" s="10">
        <v>2783</v>
      </c>
      <c r="F2275" s="3" t="str">
        <v>Tidak</v>
      </c>
      <c r="G2275" s="4">
        <v>0</v>
      </c>
      <c r="H2275" s="10">
        <v>0</v>
      </c>
    </row>
    <row r="2276" spans="1:8">
      <c r="A2276" s="3">
        <v>2275</v>
      </c>
      <c r="B2276" s="4">
        <v>46132.404467592591</v>
      </c>
      <c r="C2276" s="5" t="str">
        <v>PICK UP TRAGA 2.5 4X2 MT D M/T</v>
      </c>
      <c r="D2276" s="5" t="str">
        <v>B3431HDZ</v>
      </c>
      <c r="E2276" s="10">
        <v>42417</v>
      </c>
      <c r="F2276" s="3" t="str">
        <v>Iya</v>
      </c>
      <c r="G2276" s="4">
        <v>46127</v>
      </c>
      <c r="H2276" s="10">
        <v>42366</v>
      </c>
    </row>
    <row r="2277" spans="1:8">
      <c r="A2277" s="3">
        <v>2276</v>
      </c>
      <c r="B2277" s="4">
        <v>46132.43440972222</v>
      </c>
      <c r="C2277" s="5" t="str">
        <v>Daihatsu Xenia (Badan)</v>
      </c>
      <c r="D2277" s="5" t="str">
        <v>B3401BGT</v>
      </c>
      <c r="E2277" s="10">
        <v>7</v>
      </c>
      <c r="F2277" s="3" t="str">
        <v>Tidak</v>
      </c>
      <c r="G2277" s="4">
        <v>0</v>
      </c>
      <c r="H2277" s="10">
        <v>0</v>
      </c>
    </row>
    <row r="2278" spans="1:8">
      <c r="A2278" s="3">
        <v>2277</v>
      </c>
      <c r="B2278" s="4">
        <v>46132.450856481482</v>
      </c>
      <c r="C2278" s="5" t="str">
        <v>DAIHATSU GRANMAX PU AC PS 1.5 M/T</v>
      </c>
      <c r="D2278" s="5" t="str">
        <v>H3815DXD</v>
      </c>
      <c r="E2278" s="10">
        <v>18440</v>
      </c>
      <c r="F2278" s="3" t="str">
        <v>Iya</v>
      </c>
      <c r="G2278" s="4">
        <v>46129</v>
      </c>
      <c r="H2278" s="10">
        <v>18385</v>
      </c>
    </row>
    <row r="2279" spans="1:8">
      <c r="A2279" s="3">
        <v>2278</v>
      </c>
      <c r="B2279" s="4">
        <v>46132.489699074067</v>
      </c>
      <c r="C2279" s="5" t="str">
        <v>PICK UP TRAGA 2.5 4X2 MT D M/T</v>
      </c>
      <c r="D2279" s="5" t="str">
        <v>B2293BCX</v>
      </c>
      <c r="E2279" s="10">
        <v>17624</v>
      </c>
      <c r="F2279" s="3" t="str">
        <v>Iya</v>
      </c>
      <c r="G2279" s="4">
        <v>46090</v>
      </c>
      <c r="H2279" s="10">
        <v>15598</v>
      </c>
    </row>
    <row r="2280" spans="1:8">
      <c r="A2280" s="3">
        <v>2279</v>
      </c>
      <c r="B2280" s="4">
        <v>46132.602708333332</v>
      </c>
      <c r="C2280" s="5" t="str">
        <v>DAIHATSU GRANMAX PU AC PS 1.5 M/T</v>
      </c>
      <c r="D2280" s="5" t="str">
        <v>B7390TQ</v>
      </c>
      <c r="E2280" s="10">
        <v>45827</v>
      </c>
      <c r="F2280" s="3" t="str">
        <v>Tidak</v>
      </c>
      <c r="G2280" s="4">
        <v>0</v>
      </c>
      <c r="H2280" s="10">
        <v>0</v>
      </c>
    </row>
    <row r="2281" spans="1:8">
      <c r="A2281" s="3">
        <v>2280</v>
      </c>
      <c r="B2281" s="4">
        <v>46132.604120370372</v>
      </c>
      <c r="C2281" s="5" t="str">
        <v>PICK UP TRAGA 2.5 4X2 MT D M/T</v>
      </c>
      <c r="D2281" s="5" t="str">
        <v>B3007PX</v>
      </c>
      <c r="E2281" s="10">
        <v>4667</v>
      </c>
      <c r="F2281" s="3" t="str">
        <v>Iya</v>
      </c>
      <c r="G2281" s="4">
        <v>46092</v>
      </c>
      <c r="H2281" s="10">
        <v>4194</v>
      </c>
    </row>
    <row r="2282" spans="1:8">
      <c r="A2282" s="3">
        <v>2281</v>
      </c>
      <c r="B2282" s="4">
        <v>46132.60733796296</v>
      </c>
      <c r="C2282" s="5" t="str">
        <v>PICK UP TRAGA 2.5 4X2 MT D M/T</v>
      </c>
      <c r="D2282" s="5" t="str">
        <v>B1292DPE</v>
      </c>
      <c r="E2282" s="10">
        <v>18408</v>
      </c>
      <c r="F2282" s="3" t="str">
        <v>Iya</v>
      </c>
      <c r="G2282" s="4">
        <v>46125</v>
      </c>
      <c r="H2282" s="10">
        <v>17632</v>
      </c>
    </row>
    <row r="2283" spans="1:8">
      <c r="A2283" s="3">
        <v>2282</v>
      </c>
      <c r="B2283" s="4">
        <v>46132.608032407406</v>
      </c>
      <c r="C2283" s="5" t="str">
        <v>Daihatsu Xenia (Badan)</v>
      </c>
      <c r="D2283" s="5" t="str">
        <v>B9091PM</v>
      </c>
      <c r="E2283" s="10">
        <v>38989</v>
      </c>
      <c r="F2283" s="3" t="str">
        <v>Iya</v>
      </c>
      <c r="G2283" s="4">
        <v>46126</v>
      </c>
      <c r="H2283" s="10">
        <v>38797</v>
      </c>
    </row>
    <row r="2284" spans="1:8">
      <c r="A2284" s="3">
        <v>2283</v>
      </c>
      <c r="B2284" s="4">
        <v>46132.623703703714</v>
      </c>
      <c r="C2284" s="5" t="str">
        <v>DAIHATSU GRANMAX PU AC PS 1.5 M/T</v>
      </c>
      <c r="D2284" s="5" t="str">
        <v>B1513KJ</v>
      </c>
      <c r="E2284" s="10">
        <v>11786</v>
      </c>
      <c r="F2284" s="3" t="str">
        <v>Tidak</v>
      </c>
      <c r="G2284" s="4">
        <v>0</v>
      </c>
      <c r="H2284" s="10">
        <v>0</v>
      </c>
    </row>
    <row r="2285" spans="1:8">
      <c r="A2285" s="3">
        <v>2284</v>
      </c>
      <c r="B2285" s="4">
        <v>46132.668726851851</v>
      </c>
      <c r="C2285" s="5" t="str">
        <v>DAIHATSU GRANMAX PU AC PS 1.5 M/T</v>
      </c>
      <c r="D2285" s="5" t="str">
        <v>B8132XW</v>
      </c>
      <c r="E2285" s="10">
        <v>36641</v>
      </c>
      <c r="F2285" s="3" t="str">
        <v>Iya</v>
      </c>
      <c r="G2285" s="4">
        <v>46132</v>
      </c>
      <c r="H2285" s="10">
        <v>36641</v>
      </c>
    </row>
    <row r="2286" spans="1:8">
      <c r="A2286" s="3">
        <v>2285</v>
      </c>
      <c r="B2286" s="4">
        <v>46132.684120370373</v>
      </c>
      <c r="C2286" s="5" t="str">
        <v>DAIHATSU GRANMAX PU AC PS 1.5 M/T</v>
      </c>
      <c r="D2286" s="5" t="str">
        <v>B3553ILD</v>
      </c>
      <c r="E2286" s="10">
        <v>14161</v>
      </c>
      <c r="F2286" s="3" t="str">
        <v>Tidak</v>
      </c>
      <c r="G2286" s="4">
        <v>0</v>
      </c>
      <c r="H2286" s="10">
        <v>0</v>
      </c>
    </row>
    <row r="2287" spans="1:8">
      <c r="A2287" s="3">
        <v>2286</v>
      </c>
      <c r="B2287" s="4">
        <v>46132.730451388888</v>
      </c>
      <c r="C2287" s="5" t="str">
        <v>Daihatsu Xenia (Badan)</v>
      </c>
      <c r="D2287" s="5" t="str">
        <v>H9434HIK</v>
      </c>
      <c r="E2287" s="10">
        <v>21089</v>
      </c>
      <c r="F2287" s="3" t="str">
        <v>Tidak</v>
      </c>
      <c r="G2287" s="4">
        <v>0</v>
      </c>
      <c r="H2287" s="10">
        <v>0</v>
      </c>
    </row>
    <row r="2288" spans="1:8">
      <c r="A2288" s="3">
        <v>2287</v>
      </c>
      <c r="B2288" s="4">
        <v>46132.795520833337</v>
      </c>
      <c r="C2288" s="5" t="str">
        <v>Daihatsu Xenia (Badan)</v>
      </c>
      <c r="D2288" s="5" t="str">
        <v>B3815GRJ</v>
      </c>
      <c r="E2288" s="10">
        <v>3669</v>
      </c>
      <c r="F2288" s="3" t="str">
        <v>Tidak</v>
      </c>
      <c r="G2288" s="4">
        <v>0</v>
      </c>
      <c r="H2288" s="10">
        <v>0</v>
      </c>
    </row>
    <row r="2289" spans="1:8">
      <c r="A2289" s="3">
        <v>2288</v>
      </c>
      <c r="B2289" s="4">
        <v>46132.875810185193</v>
      </c>
      <c r="C2289" s="5" t="str">
        <v>PICK UP TRAGA 2.5 4X2 MT D M/T</v>
      </c>
      <c r="D2289" s="5" t="str">
        <v>B3507YER</v>
      </c>
      <c r="E2289" s="10">
        <v>46508</v>
      </c>
      <c r="F2289" s="3" t="str">
        <v>Iya</v>
      </c>
      <c r="G2289" s="4">
        <v>46132</v>
      </c>
      <c r="H2289" s="10">
        <v>46488</v>
      </c>
    </row>
    <row r="2290" spans="1:8">
      <c r="A2290" s="3">
        <v>2289</v>
      </c>
      <c r="B2290" s="4">
        <v>46133.444490740738</v>
      </c>
      <c r="C2290" s="5" t="str">
        <v>DAIHATSU GRANMAX PU AC PS 1.5 M/T</v>
      </c>
      <c r="D2290" s="5" t="str">
        <v>DD1709SU</v>
      </c>
      <c r="E2290" s="10">
        <v>39248</v>
      </c>
      <c r="F2290" s="3" t="str">
        <v>Tidak</v>
      </c>
      <c r="G2290" s="4">
        <v>0</v>
      </c>
      <c r="H2290" s="10">
        <v>0</v>
      </c>
    </row>
    <row r="2291" spans="1:8">
      <c r="A2291" s="3">
        <v>2290</v>
      </c>
      <c r="B2291" s="4">
        <v>46134.396122685182</v>
      </c>
      <c r="C2291" s="5" t="str">
        <v>DAIHATSU GRANMAX PU AC PS 1.5 M/T</v>
      </c>
      <c r="D2291" s="5" t="str">
        <v>B8144GH</v>
      </c>
      <c r="E2291" s="10">
        <v>10204</v>
      </c>
      <c r="F2291" s="3" t="str">
        <v>Tidak</v>
      </c>
      <c r="G2291" s="4">
        <v>0</v>
      </c>
      <c r="H2291" s="10">
        <v>0</v>
      </c>
    </row>
    <row r="2292" spans="1:8">
      <c r="A2292" s="3">
        <v>2291</v>
      </c>
      <c r="B2292" s="4">
        <v>46134.480474537027</v>
      </c>
      <c r="C2292" s="5" t="str">
        <v>DAIHATSU GRANMAX PU AC PS 1.5 M/T</v>
      </c>
      <c r="D2292" s="5" t="str">
        <v>B5151RYU</v>
      </c>
      <c r="E2292" s="10">
        <v>7007</v>
      </c>
      <c r="F2292" s="3" t="str">
        <v>Tidak</v>
      </c>
      <c r="G2292" s="4">
        <v>0</v>
      </c>
      <c r="H2292" s="10">
        <v>0</v>
      </c>
    </row>
  </sheetData>
  <autoFilter ref="A1:H2882" xr:uid="{3C88EBE2-32AE-7245-AABE-DC9CEB797E0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7EB9-B6CF-3E49-8875-4A76B863FA1D}">
  <sheetPr>
    <tabColor theme="7" tint="0.59999389629810485"/>
  </sheetPr>
  <dimension ref="A1:N373"/>
  <sheetViews>
    <sheetView workbookViewId="0">
      <selection activeCell="A4" sqref="A4"/>
    </sheetView>
  </sheetViews>
  <sheetFormatPr baseColWidth="10" defaultRowHeight="16"/>
  <cols>
    <col min="1" max="1" width="7.83203125" style="11" bestFit="1" customWidth="1"/>
    <col min="2" max="2" width="12" style="13" bestFit="1" customWidth="1"/>
    <col min="3" max="3" width="32.33203125" style="14" bestFit="1" customWidth="1"/>
    <col min="4" max="4" width="10.1640625" style="14" bestFit="1" customWidth="1"/>
    <col min="5" max="5" width="11" style="15" bestFit="1" customWidth="1"/>
    <col min="6" max="6" width="13.6640625" style="11" bestFit="1" customWidth="1"/>
    <col min="7" max="7" width="12.83203125" style="13" bestFit="1" customWidth="1"/>
    <col min="8" max="8" width="9.1640625" style="16" bestFit="1" customWidth="1"/>
    <col min="9" max="9" width="17" bestFit="1" customWidth="1"/>
  </cols>
  <sheetData>
    <row r="1" spans="1:14" ht="32">
      <c r="A1" s="37" t="s">
        <v>108</v>
      </c>
      <c r="B1" s="37"/>
      <c r="C1" s="37"/>
      <c r="D1" s="37"/>
      <c r="E1" s="37"/>
      <c r="F1" s="37"/>
      <c r="G1" s="37"/>
      <c r="H1" s="37"/>
      <c r="I1" s="37"/>
    </row>
    <row r="2" spans="1:14">
      <c r="A2" s="17" t="s">
        <v>5</v>
      </c>
      <c r="B2" s="17" t="s">
        <v>6</v>
      </c>
      <c r="C2" s="17" t="s">
        <v>76</v>
      </c>
      <c r="D2" s="17" t="s">
        <v>0</v>
      </c>
      <c r="E2" s="17" t="s">
        <v>34</v>
      </c>
      <c r="F2" s="17" t="s">
        <v>63</v>
      </c>
      <c r="G2" s="17" t="s">
        <v>3</v>
      </c>
      <c r="H2" s="17" t="s">
        <v>4</v>
      </c>
      <c r="I2" s="20" t="s">
        <v>90</v>
      </c>
    </row>
    <row r="3" spans="1:14">
      <c r="A3" s="11" cm="1">
        <f t="array" ref="A3:I226">_xlfn._xlws.FILTER(
 _xlfn.HSTACK(
  raw_stack!A2:H100000,
  IF(
   COUNTIF(data_master!G:G, raw_stack!D2:D100000)=0,
   "TIDAK ADA",
   "ADA"
  )
 ),
 (MONTH(raw_stack!B2:B100000)=MATCH(M6,{"Januari";"Februari";"Maret";"April";"Mei";"Juni";"Juli";"Agustus";"September";"Oktober";"November";"Desember"},0))*
 (YEAR(raw_stack!B2:B100000)=M8)
)</f>
        <v>539</v>
      </c>
      <c r="B3" s="13">
        <v>46084.509120370371</v>
      </c>
      <c r="C3" s="14" t="str">
        <v>Daihatsu Xenia (Badan)</v>
      </c>
      <c r="D3" s="14" t="str">
        <v>B6817ZM</v>
      </c>
      <c r="E3" s="15">
        <v>16143</v>
      </c>
      <c r="F3" s="11" t="str">
        <v>Iya</v>
      </c>
      <c r="G3" s="13">
        <v>45972</v>
      </c>
      <c r="H3" s="16">
        <v>16143</v>
      </c>
      <c r="I3" s="3" t="str">
        <v>ADA</v>
      </c>
    </row>
    <row r="4" spans="1:14">
      <c r="A4" s="11">
        <v>540</v>
      </c>
      <c r="B4" s="13">
        <v>46084.609918981478</v>
      </c>
      <c r="C4" s="14" t="str">
        <v>Daihatsu Xenia (Badan)</v>
      </c>
      <c r="D4" s="14" t="str">
        <v>B3797RA</v>
      </c>
      <c r="E4" s="15">
        <v>21361</v>
      </c>
      <c r="F4" s="11" t="str">
        <v>Iya</v>
      </c>
      <c r="G4" s="13">
        <v>46059</v>
      </c>
      <c r="H4" s="16">
        <v>21361</v>
      </c>
      <c r="I4" s="3" t="str">
        <v>ADA</v>
      </c>
    </row>
    <row r="5" spans="1:14">
      <c r="A5" s="11">
        <v>541</v>
      </c>
      <c r="B5" s="13">
        <v>46084.66920138889</v>
      </c>
      <c r="C5" s="14" t="str">
        <v>DAIHATSU GRANMAX PU AC PS 1.5 M/T</v>
      </c>
      <c r="D5" s="14" t="str">
        <v>B8457UZ</v>
      </c>
      <c r="E5" s="15">
        <v>18313</v>
      </c>
      <c r="F5" s="11" t="str">
        <v>Iya</v>
      </c>
      <c r="G5" s="13">
        <v>46056</v>
      </c>
      <c r="H5" s="16">
        <v>18313</v>
      </c>
      <c r="I5" s="3" t="str">
        <v>ADA</v>
      </c>
    </row>
    <row r="6" spans="1:14">
      <c r="A6" s="11">
        <v>542</v>
      </c>
      <c r="B6" s="13">
        <v>46084.674108796287</v>
      </c>
      <c r="C6" s="14" t="str">
        <v>PICK UP TRAGA 2.5 4X2 MT D M/T</v>
      </c>
      <c r="D6" s="14" t="str">
        <v>B1444ZS</v>
      </c>
      <c r="E6" s="15">
        <v>5257</v>
      </c>
      <c r="F6" s="11" t="str">
        <v>Iya</v>
      </c>
      <c r="G6" s="13">
        <v>45999</v>
      </c>
      <c r="H6" s="16">
        <v>5257</v>
      </c>
      <c r="I6" s="3" t="str">
        <v>ADA</v>
      </c>
      <c r="K6" s="38" t="s">
        <v>106</v>
      </c>
      <c r="L6" s="38"/>
      <c r="M6" s="40" t="s">
        <v>94</v>
      </c>
      <c r="N6" s="40"/>
    </row>
    <row r="7" spans="1:14">
      <c r="A7" s="11">
        <v>543</v>
      </c>
      <c r="B7" s="13">
        <v>46084.679907407408</v>
      </c>
      <c r="C7" s="14" t="str">
        <v>PICK UP TRAGA 2.5 4X2 MT D M/T</v>
      </c>
      <c r="D7" s="14" t="str">
        <v>KB3403JE</v>
      </c>
      <c r="E7" s="15">
        <v>79223</v>
      </c>
      <c r="F7" s="11" t="str">
        <v>Iya</v>
      </c>
      <c r="G7" s="13">
        <v>46063</v>
      </c>
      <c r="H7" s="16">
        <v>79223</v>
      </c>
      <c r="I7" s="3" t="str">
        <v>TIDAK ADA</v>
      </c>
      <c r="K7" s="39"/>
      <c r="L7" s="39"/>
      <c r="M7" s="41"/>
      <c r="N7" s="41"/>
    </row>
    <row r="8" spans="1:14">
      <c r="A8" s="11">
        <v>544</v>
      </c>
      <c r="B8" s="13">
        <v>46084.681122685193</v>
      </c>
      <c r="C8" s="14" t="str">
        <v>DAIHATSU GRANMAX PU AC PS 1.5 M/T</v>
      </c>
      <c r="D8" s="14" t="str">
        <v>KT2986WG</v>
      </c>
      <c r="E8" s="15">
        <v>55976</v>
      </c>
      <c r="F8" s="11" t="str">
        <v>Iya</v>
      </c>
      <c r="G8" s="13">
        <v>45958</v>
      </c>
      <c r="H8" s="16">
        <v>55976</v>
      </c>
      <c r="I8" s="3" t="str">
        <v>ADA</v>
      </c>
      <c r="K8" s="38" t="s">
        <v>107</v>
      </c>
      <c r="L8" s="38"/>
      <c r="M8" s="40">
        <v>2026</v>
      </c>
      <c r="N8" s="40"/>
    </row>
    <row r="9" spans="1:14">
      <c r="A9" s="11">
        <v>545</v>
      </c>
      <c r="B9" s="13">
        <v>46085.340300925927</v>
      </c>
      <c r="C9" s="14" t="str">
        <v>Daihatsu Xenia (Badan)</v>
      </c>
      <c r="D9" s="14" t="str">
        <v>B8054VY</v>
      </c>
      <c r="E9" s="15">
        <v>22972</v>
      </c>
      <c r="F9" s="11" t="str">
        <v>Iya</v>
      </c>
      <c r="G9" s="13">
        <v>45923</v>
      </c>
      <c r="H9" s="16">
        <v>22972</v>
      </c>
      <c r="I9" s="3" t="str">
        <v>ADA</v>
      </c>
      <c r="K9" s="38"/>
      <c r="L9" s="38"/>
      <c r="M9" s="40"/>
      <c r="N9" s="40"/>
    </row>
    <row r="10" spans="1:14">
      <c r="A10" s="11">
        <v>546</v>
      </c>
      <c r="B10" s="13">
        <v>46085.36515046296</v>
      </c>
      <c r="C10" s="14" t="str">
        <v>Daihatsu Xenia (Badan)</v>
      </c>
      <c r="D10" s="14" t="str">
        <v>B2306NS</v>
      </c>
      <c r="E10" s="15">
        <v>34381</v>
      </c>
      <c r="F10" s="11" t="str">
        <v>Iya</v>
      </c>
      <c r="G10" s="13">
        <v>45985</v>
      </c>
      <c r="H10" s="16">
        <v>34381</v>
      </c>
      <c r="I10" s="3" t="str">
        <v>ADA</v>
      </c>
    </row>
    <row r="11" spans="1:14">
      <c r="A11" s="11">
        <v>547</v>
      </c>
      <c r="B11" s="13">
        <v>46085.404664351852</v>
      </c>
      <c r="C11" s="14" t="str">
        <v>Daihatsu Xenia (Badan)</v>
      </c>
      <c r="D11" s="14" t="str">
        <v>B6851IH</v>
      </c>
      <c r="E11" s="15">
        <v>14457</v>
      </c>
      <c r="F11" s="11" t="str">
        <v>Iya</v>
      </c>
      <c r="G11" s="13">
        <v>46044</v>
      </c>
      <c r="H11" s="16">
        <v>14457</v>
      </c>
      <c r="I11" s="3" t="str">
        <v>ADA</v>
      </c>
    </row>
    <row r="12" spans="1:14">
      <c r="A12" s="11">
        <v>548</v>
      </c>
      <c r="B12" s="13">
        <v>46085.408067129632</v>
      </c>
      <c r="C12" s="14" t="str">
        <v>Daihatsu Xenia (Badan)</v>
      </c>
      <c r="D12" s="14" t="str">
        <v>B8763MP</v>
      </c>
      <c r="E12" s="15">
        <v>97373</v>
      </c>
      <c r="F12" s="11" t="str">
        <v>Iya</v>
      </c>
      <c r="G12" s="13">
        <v>46029</v>
      </c>
      <c r="H12" s="16">
        <v>97373</v>
      </c>
      <c r="I12" s="3" t="str">
        <v>ADA</v>
      </c>
    </row>
    <row r="13" spans="1:14">
      <c r="A13" s="11">
        <v>549</v>
      </c>
      <c r="B13" s="13">
        <v>46085.459930555553</v>
      </c>
      <c r="C13" s="14" t="str">
        <v>Daihatsu Xenia (Badan)</v>
      </c>
      <c r="D13" s="14" t="str">
        <v>B8430ECN</v>
      </c>
      <c r="E13" s="15">
        <v>1894</v>
      </c>
      <c r="F13" s="11" t="str">
        <v>Iya</v>
      </c>
      <c r="G13" s="13">
        <v>46085</v>
      </c>
      <c r="H13" s="16">
        <v>1894</v>
      </c>
      <c r="I13" s="3" t="str">
        <v>ADA</v>
      </c>
    </row>
    <row r="14" spans="1:14">
      <c r="A14" s="11">
        <v>550</v>
      </c>
      <c r="B14" s="13">
        <v>46085.475694444453</v>
      </c>
      <c r="C14" s="14" t="str">
        <v>Daihatsu Xenia (Badan)</v>
      </c>
      <c r="D14" s="14" t="str">
        <v>B8137WEW</v>
      </c>
      <c r="E14" s="15">
        <v>40287</v>
      </c>
      <c r="F14" s="11" t="str">
        <v>Iya</v>
      </c>
      <c r="G14" s="13">
        <v>46000</v>
      </c>
      <c r="H14" s="16">
        <v>40287</v>
      </c>
      <c r="I14" s="3" t="str">
        <v>ADA</v>
      </c>
    </row>
    <row r="15" spans="1:14">
      <c r="A15" s="11">
        <v>551</v>
      </c>
      <c r="B15" s="13">
        <v>46085.659849537027</v>
      </c>
      <c r="C15" s="14" t="str">
        <v>Daihatsu Xenia (Badan)</v>
      </c>
      <c r="D15" s="14" t="str">
        <v>B9619FMM</v>
      </c>
      <c r="E15" s="15">
        <v>76041</v>
      </c>
      <c r="F15" s="11" t="str">
        <v>Iya</v>
      </c>
      <c r="G15" s="13">
        <v>45937</v>
      </c>
      <c r="H15" s="16">
        <v>76041</v>
      </c>
      <c r="I15" s="3" t="str">
        <v>TIDAK ADA</v>
      </c>
    </row>
    <row r="16" spans="1:14">
      <c r="A16" s="11">
        <v>552</v>
      </c>
      <c r="B16" s="13">
        <v>46085.677430555559</v>
      </c>
      <c r="C16" s="14" t="str">
        <v>Daihatsu Xenia (Badan)</v>
      </c>
      <c r="D16" s="14" t="str">
        <v>B2823MF</v>
      </c>
      <c r="E16" s="15">
        <v>28946</v>
      </c>
      <c r="F16" s="11" t="str">
        <v>Iya</v>
      </c>
      <c r="G16" s="13">
        <v>45978</v>
      </c>
      <c r="H16" s="16">
        <v>28946</v>
      </c>
      <c r="I16" s="3" t="str">
        <v>ADA</v>
      </c>
    </row>
    <row r="17" spans="1:9">
      <c r="A17" s="11">
        <v>553</v>
      </c>
      <c r="B17" s="13">
        <v>46085.698009259257</v>
      </c>
      <c r="C17" s="14" t="str">
        <v>Daihatsu Xenia (Badan)</v>
      </c>
      <c r="D17" s="14" t="str">
        <v>B2888ALH</v>
      </c>
      <c r="E17" s="15">
        <v>114050</v>
      </c>
      <c r="F17" s="11" t="str">
        <v>Iya</v>
      </c>
      <c r="G17" s="13">
        <v>45953</v>
      </c>
      <c r="H17" s="16">
        <v>114050</v>
      </c>
      <c r="I17" s="3" t="str">
        <v>TIDAK ADA</v>
      </c>
    </row>
    <row r="18" spans="1:9">
      <c r="A18" s="11">
        <v>554</v>
      </c>
      <c r="B18" s="13">
        <v>46086.360752314817</v>
      </c>
      <c r="C18" s="14" t="str">
        <v>DAIHATSU GRANMAX PU AC PS 1.5 M/T</v>
      </c>
      <c r="D18" s="14" t="str">
        <v>B5518KS</v>
      </c>
      <c r="E18" s="15">
        <v>2765</v>
      </c>
      <c r="F18" s="11" t="str">
        <v>Iya</v>
      </c>
      <c r="G18" s="13">
        <v>45967</v>
      </c>
      <c r="H18" s="16">
        <v>2765</v>
      </c>
      <c r="I18" s="3" t="str">
        <v>ADA</v>
      </c>
    </row>
    <row r="19" spans="1:9">
      <c r="A19" s="11">
        <v>555</v>
      </c>
      <c r="B19" s="13">
        <v>46086.376967592587</v>
      </c>
      <c r="C19" s="14" t="str">
        <v>Daihatsu Xenia (Badan)</v>
      </c>
      <c r="D19" s="14" t="str">
        <v>B8324WSJ</v>
      </c>
      <c r="E19" s="15">
        <v>20057</v>
      </c>
      <c r="F19" s="11" t="str">
        <v>Iya</v>
      </c>
      <c r="G19" s="13">
        <v>46063</v>
      </c>
      <c r="H19" s="16">
        <v>20057</v>
      </c>
      <c r="I19" s="3" t="str">
        <v>ADA</v>
      </c>
    </row>
    <row r="20" spans="1:9">
      <c r="A20" s="11">
        <v>556</v>
      </c>
      <c r="B20" s="13">
        <v>46086.50341435185</v>
      </c>
      <c r="C20" s="14" t="str">
        <v>DAIHATSU GRANMAX PU AC PS 1.5 M/T</v>
      </c>
      <c r="D20" s="14" t="str">
        <v>B7326IW</v>
      </c>
      <c r="E20" s="15">
        <v>31724</v>
      </c>
      <c r="F20" s="11" t="str">
        <v>Iya</v>
      </c>
      <c r="G20" s="13">
        <v>46079</v>
      </c>
      <c r="H20" s="16">
        <v>31724</v>
      </c>
      <c r="I20" s="3" t="str">
        <v>ADA</v>
      </c>
    </row>
    <row r="21" spans="1:9">
      <c r="A21" s="11">
        <v>557</v>
      </c>
      <c r="B21" s="13">
        <v>46086.664618055547</v>
      </c>
      <c r="C21" s="14" t="str">
        <v>DAIHATSU GRANMAX PU AC PS 1.5 M/T</v>
      </c>
      <c r="D21" s="14" t="str">
        <v>B8803CF</v>
      </c>
      <c r="E21" s="15">
        <v>4954</v>
      </c>
      <c r="F21" s="11" t="str">
        <v>Iya</v>
      </c>
      <c r="G21" s="13">
        <v>45952</v>
      </c>
      <c r="H21" s="16">
        <v>4954</v>
      </c>
      <c r="I21" s="3" t="str">
        <v>ADA</v>
      </c>
    </row>
    <row r="22" spans="1:9">
      <c r="A22" s="11">
        <v>558</v>
      </c>
      <c r="B22" s="13">
        <v>46087.339363425926</v>
      </c>
      <c r="C22" s="14" t="str">
        <v>Daihatsu Xenia (Badan)</v>
      </c>
      <c r="D22" s="14" t="str">
        <v>B8704TJL</v>
      </c>
      <c r="E22" s="15">
        <v>73575</v>
      </c>
      <c r="F22" s="11" t="str">
        <v>Iya</v>
      </c>
      <c r="G22" s="13">
        <v>46064</v>
      </c>
      <c r="H22" s="16">
        <v>73575</v>
      </c>
      <c r="I22" s="3" t="str">
        <v>ADA</v>
      </c>
    </row>
    <row r="23" spans="1:9">
      <c r="A23" s="11">
        <v>559</v>
      </c>
      <c r="B23" s="13">
        <v>46087.401967592603</v>
      </c>
      <c r="C23" s="14" t="str">
        <v>Daihatsu Xenia (Badan)</v>
      </c>
      <c r="D23" s="14" t="str">
        <v>B9653KV</v>
      </c>
      <c r="E23" s="15">
        <v>50084</v>
      </c>
      <c r="F23" s="11" t="str">
        <v>Iya</v>
      </c>
      <c r="G23" s="13">
        <v>46039</v>
      </c>
      <c r="H23" s="16">
        <v>50084</v>
      </c>
      <c r="I23" s="3" t="str">
        <v>ADA</v>
      </c>
    </row>
    <row r="24" spans="1:9">
      <c r="A24" s="11">
        <v>560</v>
      </c>
      <c r="B24" s="13">
        <v>46087.632071759261</v>
      </c>
      <c r="C24" s="14" t="str">
        <v>Daihatsu Xenia (Badan)</v>
      </c>
      <c r="D24" s="14" t="str">
        <v>B4121AL</v>
      </c>
      <c r="E24" s="15">
        <v>18046</v>
      </c>
      <c r="F24" s="11" t="str">
        <v>Iya</v>
      </c>
      <c r="G24" s="13">
        <v>45974</v>
      </c>
      <c r="H24" s="16">
        <v>18046</v>
      </c>
      <c r="I24" s="3" t="str">
        <v>ADA</v>
      </c>
    </row>
    <row r="25" spans="1:9">
      <c r="A25" s="11">
        <v>561</v>
      </c>
      <c r="B25" s="13">
        <v>46088.293726851851</v>
      </c>
      <c r="C25" s="14" t="str">
        <v>DAIHATSU GRANMAX PU AC PS 1.5 M/T</v>
      </c>
      <c r="D25" s="14" t="str">
        <v>B7659CZ</v>
      </c>
      <c r="E25" s="15">
        <v>15848</v>
      </c>
      <c r="F25" s="11" t="str">
        <v>Iya</v>
      </c>
      <c r="G25" s="13">
        <v>45987</v>
      </c>
      <c r="H25" s="16">
        <v>15848</v>
      </c>
      <c r="I25" s="3" t="str">
        <v>ADA</v>
      </c>
    </row>
    <row r="26" spans="1:9">
      <c r="A26" s="11">
        <v>562</v>
      </c>
      <c r="B26" s="13">
        <v>46088.475173611107</v>
      </c>
      <c r="C26" s="14" t="str">
        <v>DAIHATSU GRANMAX PU AC PS 1.5 M/T</v>
      </c>
      <c r="D26" s="14" t="str">
        <v>B1578YGJ</v>
      </c>
      <c r="E26" s="15">
        <v>4294</v>
      </c>
      <c r="F26" s="11" t="str">
        <v>Iya</v>
      </c>
      <c r="G26" s="13">
        <v>45911</v>
      </c>
      <c r="H26" s="16">
        <v>4294</v>
      </c>
      <c r="I26" s="3" t="str">
        <v>ADA</v>
      </c>
    </row>
    <row r="27" spans="1:9">
      <c r="A27" s="11">
        <v>563</v>
      </c>
      <c r="B27" s="13">
        <v>46090.519166666672</v>
      </c>
      <c r="C27" s="14" t="str">
        <v>DAIHATSU GRANMAX PU AC PS 1.5 M/T</v>
      </c>
      <c r="D27" s="14" t="str">
        <v>B8857PYD</v>
      </c>
      <c r="E27" s="15">
        <v>13461</v>
      </c>
      <c r="F27" s="11" t="str">
        <v>Iya</v>
      </c>
      <c r="G27" s="13">
        <v>45994</v>
      </c>
      <c r="H27" s="16">
        <v>13461</v>
      </c>
      <c r="I27" s="3" t="str">
        <v>ADA</v>
      </c>
    </row>
    <row r="28" spans="1:9">
      <c r="A28" s="11">
        <v>564</v>
      </c>
      <c r="B28" s="13">
        <v>46091.693530092591</v>
      </c>
      <c r="C28" s="14" t="str">
        <v>Daihatsu Xenia (Badan)</v>
      </c>
      <c r="D28" s="14" t="str">
        <v>B1923MMD</v>
      </c>
      <c r="E28" s="15">
        <v>33340</v>
      </c>
      <c r="F28" s="11" t="str">
        <v>Iya</v>
      </c>
      <c r="G28" s="13">
        <v>46036</v>
      </c>
      <c r="H28" s="16">
        <v>33340</v>
      </c>
      <c r="I28" s="3" t="str">
        <v>ADA</v>
      </c>
    </row>
    <row r="29" spans="1:9">
      <c r="A29" s="11">
        <v>565</v>
      </c>
      <c r="B29" s="13">
        <v>46091.711701388893</v>
      </c>
      <c r="C29" s="14" t="str">
        <v>Daihatsu Xenia (Badan)</v>
      </c>
      <c r="D29" s="14" t="str">
        <v>B9091PM</v>
      </c>
      <c r="E29" s="15">
        <v>41876</v>
      </c>
      <c r="F29" s="11" t="str">
        <v>Iya</v>
      </c>
      <c r="G29" s="13">
        <v>45953</v>
      </c>
      <c r="H29" s="16">
        <v>41876</v>
      </c>
      <c r="I29" s="3" t="str">
        <v>ADA</v>
      </c>
    </row>
    <row r="30" spans="1:9">
      <c r="A30" s="11">
        <v>566</v>
      </c>
      <c r="B30" s="13">
        <v>46092.591087962966</v>
      </c>
      <c r="C30" s="14" t="str">
        <v>Daihatsu Xenia (Badan)</v>
      </c>
      <c r="D30" s="14" t="str">
        <v>B9072QEG</v>
      </c>
      <c r="E30" s="15">
        <v>10126</v>
      </c>
      <c r="F30" s="11" t="str">
        <v>Iya</v>
      </c>
      <c r="G30" s="13">
        <v>46090</v>
      </c>
      <c r="H30" s="16">
        <v>10126</v>
      </c>
      <c r="I30" s="3" t="str">
        <v>ADA</v>
      </c>
    </row>
    <row r="31" spans="1:9">
      <c r="A31" s="11">
        <v>567</v>
      </c>
      <c r="B31" s="13">
        <v>46092.703645833331</v>
      </c>
      <c r="C31" s="14" t="str">
        <v>PICK UP TRAGA 2.5 4X2 MT D M/T</v>
      </c>
      <c r="D31" s="14" t="str">
        <v>B5623MA</v>
      </c>
      <c r="E31" s="15">
        <v>5678</v>
      </c>
      <c r="F31" s="11" t="str">
        <v>Iya</v>
      </c>
      <c r="G31" s="13">
        <v>46091</v>
      </c>
      <c r="H31" s="16">
        <v>5678</v>
      </c>
      <c r="I31" s="3" t="str">
        <v>ADA</v>
      </c>
    </row>
    <row r="32" spans="1:9">
      <c r="A32" s="11">
        <v>568</v>
      </c>
      <c r="B32" s="13">
        <v>46092.722094907411</v>
      </c>
      <c r="C32" s="14" t="str">
        <v>Daihatsu Xenia (Badan)</v>
      </c>
      <c r="D32" s="14" t="str">
        <v>B5176KW</v>
      </c>
      <c r="E32" s="15">
        <v>598</v>
      </c>
      <c r="F32" s="11" t="str">
        <v>Iya</v>
      </c>
      <c r="G32" s="13">
        <v>46085</v>
      </c>
      <c r="H32" s="16">
        <v>598</v>
      </c>
      <c r="I32" s="3" t="str">
        <v>TIDAK ADA</v>
      </c>
    </row>
    <row r="33" spans="1:9">
      <c r="A33" s="11">
        <v>569</v>
      </c>
      <c r="B33" s="13">
        <v>46093.638726851852</v>
      </c>
      <c r="C33" s="14" t="str">
        <v>DAIHATSU GRANMAX PU AC PS 1.5 M/T</v>
      </c>
      <c r="D33" s="14" t="str">
        <v>B1265LKJ</v>
      </c>
      <c r="E33" s="15">
        <v>87002</v>
      </c>
      <c r="F33" s="11" t="str">
        <v>Iya</v>
      </c>
      <c r="G33" s="13">
        <v>46031</v>
      </c>
      <c r="H33" s="16">
        <v>87002</v>
      </c>
      <c r="I33" s="3" t="str">
        <v>ADA</v>
      </c>
    </row>
    <row r="34" spans="1:9">
      <c r="A34" s="11">
        <v>570</v>
      </c>
      <c r="B34" s="13">
        <v>46093.654062499998</v>
      </c>
      <c r="C34" s="14" t="str">
        <v>Daihatsu Xenia (Badan)</v>
      </c>
      <c r="D34" s="14" t="str">
        <v>B6374AY</v>
      </c>
      <c r="E34" s="15">
        <v>74409</v>
      </c>
      <c r="F34" s="11" t="str">
        <v>Iya</v>
      </c>
      <c r="G34" s="13">
        <v>46030</v>
      </c>
      <c r="H34" s="16">
        <v>74409</v>
      </c>
      <c r="I34" s="3" t="str">
        <v>ADA</v>
      </c>
    </row>
    <row r="35" spans="1:9">
      <c r="A35" s="11">
        <v>571</v>
      </c>
      <c r="B35" s="13">
        <v>46095.484131944453</v>
      </c>
      <c r="C35" s="14" t="str">
        <v>Daihatsu Xenia (Badan)</v>
      </c>
      <c r="D35" s="14" t="str">
        <v>B2925QZ</v>
      </c>
      <c r="E35" s="15">
        <v>34725</v>
      </c>
      <c r="F35" s="11" t="str">
        <v>Iya</v>
      </c>
      <c r="G35" s="13">
        <v>46080</v>
      </c>
      <c r="H35" s="16">
        <v>34725</v>
      </c>
      <c r="I35" s="3" t="str">
        <v>ADA</v>
      </c>
    </row>
    <row r="36" spans="1:9">
      <c r="A36" s="11">
        <v>572</v>
      </c>
      <c r="B36" s="13">
        <v>46097.383680555547</v>
      </c>
      <c r="C36" s="14" t="str">
        <v>Daihatsu Xenia (Badan)</v>
      </c>
      <c r="D36" s="14" t="str">
        <v>B9347LJ</v>
      </c>
      <c r="E36" s="15">
        <v>48435</v>
      </c>
      <c r="F36" s="11" t="str">
        <v>Iya</v>
      </c>
      <c r="G36" s="13">
        <v>46088</v>
      </c>
      <c r="H36" s="16">
        <v>48435</v>
      </c>
      <c r="I36" s="3" t="str">
        <v>ADA</v>
      </c>
    </row>
    <row r="37" spans="1:9">
      <c r="A37" s="11">
        <v>573</v>
      </c>
      <c r="B37" s="13">
        <v>46097.428101851852</v>
      </c>
      <c r="C37" s="14" t="str">
        <v>DAIHATSU GRANMAX PU AC PS 1.5 M/T</v>
      </c>
      <c r="D37" s="14" t="str">
        <v>B2772EK</v>
      </c>
      <c r="E37" s="15">
        <v>24312</v>
      </c>
      <c r="F37" s="11" t="str">
        <v>Iya</v>
      </c>
      <c r="G37" s="13">
        <v>46048</v>
      </c>
      <c r="H37" s="16">
        <v>24312</v>
      </c>
      <c r="I37" s="3" t="str">
        <v>ADA</v>
      </c>
    </row>
    <row r="38" spans="1:9">
      <c r="A38" s="11">
        <v>574</v>
      </c>
      <c r="B38" s="13">
        <v>46106.694085648152</v>
      </c>
      <c r="C38" s="14" t="str">
        <v>Daihatsu Xenia (Badan)</v>
      </c>
      <c r="D38" s="14" t="str">
        <v>B7949TY</v>
      </c>
      <c r="E38" s="15">
        <v>35464</v>
      </c>
      <c r="F38" s="11" t="str">
        <v>Iya</v>
      </c>
      <c r="G38" s="13">
        <v>45982</v>
      </c>
      <c r="H38" s="16">
        <v>35464</v>
      </c>
      <c r="I38" s="3" t="str">
        <v>ADA</v>
      </c>
    </row>
    <row r="39" spans="1:9">
      <c r="A39" s="11">
        <v>575</v>
      </c>
      <c r="B39" s="13">
        <v>46106.809212962973</v>
      </c>
      <c r="C39" s="14" t="str">
        <v>Daihatsu Xenia (Badan)</v>
      </c>
      <c r="D39" s="14" t="str">
        <v>B8659RLN</v>
      </c>
      <c r="E39" s="15">
        <v>67810</v>
      </c>
      <c r="F39" s="11" t="str">
        <v>Iya</v>
      </c>
      <c r="G39" s="13">
        <v>46001</v>
      </c>
      <c r="H39" s="16">
        <v>67810</v>
      </c>
      <c r="I39" s="3" t="str">
        <v>ADA</v>
      </c>
    </row>
    <row r="40" spans="1:9">
      <c r="A40" s="11">
        <v>576</v>
      </c>
      <c r="B40" s="13">
        <v>46107.349652777782</v>
      </c>
      <c r="C40" s="14" t="str">
        <v>Daihatsu Xenia (Badan)</v>
      </c>
      <c r="D40" s="14" t="str">
        <v>B1444ZS</v>
      </c>
      <c r="E40" s="15">
        <v>6524</v>
      </c>
      <c r="F40" s="11" t="str">
        <v>Iya</v>
      </c>
      <c r="G40" s="13">
        <v>45999</v>
      </c>
      <c r="H40" s="16">
        <v>6524</v>
      </c>
      <c r="I40" s="3" t="str">
        <v>ADA</v>
      </c>
    </row>
    <row r="41" spans="1:9">
      <c r="A41" s="11">
        <v>577</v>
      </c>
      <c r="B41" s="13">
        <v>46107.394166666672</v>
      </c>
      <c r="C41" s="14" t="str">
        <v>Daihatsu Xenia (Badan)</v>
      </c>
      <c r="D41" s="14" t="str">
        <v>B2034KCH</v>
      </c>
      <c r="E41" s="15">
        <v>117613</v>
      </c>
      <c r="F41" s="11" t="str">
        <v>Iya</v>
      </c>
      <c r="G41" s="13">
        <v>46088</v>
      </c>
      <c r="H41" s="16">
        <v>117613</v>
      </c>
      <c r="I41" s="3" t="str">
        <v>ADA</v>
      </c>
    </row>
    <row r="42" spans="1:9">
      <c r="A42" s="11">
        <v>578</v>
      </c>
      <c r="B42" s="13">
        <v>46107.413761574076</v>
      </c>
      <c r="C42" s="14" t="str">
        <v>Daihatsu Xenia (Badan)</v>
      </c>
      <c r="D42" s="14" t="str">
        <v>B7302PP</v>
      </c>
      <c r="E42" s="15">
        <v>1552</v>
      </c>
      <c r="F42" s="11" t="str">
        <v>Iya</v>
      </c>
      <c r="G42" s="13">
        <v>46087</v>
      </c>
      <c r="H42" s="16">
        <v>1552</v>
      </c>
      <c r="I42" s="3" t="str">
        <v>TIDAK ADA</v>
      </c>
    </row>
    <row r="43" spans="1:9">
      <c r="A43" s="11">
        <v>579</v>
      </c>
      <c r="B43" s="13">
        <v>46107.491365740738</v>
      </c>
      <c r="C43" s="14" t="str">
        <v>Daihatsu Xenia (Badan)</v>
      </c>
      <c r="D43" s="14" t="str">
        <v>B2306NS</v>
      </c>
      <c r="E43" s="15">
        <v>38870</v>
      </c>
      <c r="F43" s="11" t="str">
        <v>Iya</v>
      </c>
      <c r="G43" s="13">
        <v>45985</v>
      </c>
      <c r="H43" s="16">
        <v>38870</v>
      </c>
      <c r="I43" s="3" t="str">
        <v>ADA</v>
      </c>
    </row>
    <row r="44" spans="1:9">
      <c r="A44" s="11">
        <v>580</v>
      </c>
      <c r="B44" s="13">
        <v>46108.453368055547</v>
      </c>
      <c r="C44" s="14" t="str">
        <v>Daihatsu Xenia (Badan)</v>
      </c>
      <c r="D44" s="14" t="str">
        <v>D9393MC</v>
      </c>
      <c r="E44" s="15">
        <v>67869</v>
      </c>
      <c r="F44" s="11" t="str">
        <v>Iya</v>
      </c>
      <c r="G44" s="13">
        <v>46066</v>
      </c>
      <c r="H44" s="16">
        <v>67869</v>
      </c>
      <c r="I44" s="3" t="str">
        <v>ADA</v>
      </c>
    </row>
    <row r="45" spans="1:9">
      <c r="A45" s="11">
        <v>581</v>
      </c>
      <c r="B45" s="13">
        <v>46108.612534722219</v>
      </c>
      <c r="C45" s="14" t="str">
        <v>Daihatsu Xenia (Badan)</v>
      </c>
      <c r="D45" s="14" t="str">
        <v>B2888ALH</v>
      </c>
      <c r="E45" s="15">
        <v>115278</v>
      </c>
      <c r="F45" s="11" t="str">
        <v>Iya</v>
      </c>
      <c r="G45" s="13">
        <v>46091</v>
      </c>
      <c r="H45" s="16">
        <v>115278</v>
      </c>
      <c r="I45" s="3" t="str">
        <v>TIDAK ADA</v>
      </c>
    </row>
    <row r="46" spans="1:9">
      <c r="A46" s="11">
        <v>582</v>
      </c>
      <c r="B46" s="13">
        <v>46109.294629629629</v>
      </c>
      <c r="C46" s="14" t="str">
        <v>Daihatsu Xenia (Badan)</v>
      </c>
      <c r="D46" s="14" t="str">
        <v>B7991PSS</v>
      </c>
      <c r="E46" s="15">
        <v>93039</v>
      </c>
      <c r="F46" s="11" t="str">
        <v>Iya</v>
      </c>
      <c r="G46" s="13">
        <v>45943</v>
      </c>
      <c r="H46" s="16">
        <v>93039</v>
      </c>
      <c r="I46" s="3" t="str">
        <v>ADA</v>
      </c>
    </row>
    <row r="47" spans="1:9">
      <c r="A47" s="11">
        <v>583</v>
      </c>
      <c r="B47" s="13">
        <v>46111.456956018519</v>
      </c>
      <c r="C47" s="14" t="str">
        <v>Daihatsu Xenia (Badan)</v>
      </c>
      <c r="D47" s="14" t="str">
        <v>B5945BC</v>
      </c>
      <c r="E47" s="15">
        <v>16474</v>
      </c>
      <c r="F47" s="11" t="str">
        <v>Iya</v>
      </c>
      <c r="G47" s="13">
        <v>45920</v>
      </c>
      <c r="H47" s="16">
        <v>16474</v>
      </c>
      <c r="I47" s="3" t="str">
        <v>ADA</v>
      </c>
    </row>
    <row r="48" spans="1:9">
      <c r="A48" s="11">
        <v>584</v>
      </c>
      <c r="B48" s="13">
        <v>46111.463240740741</v>
      </c>
      <c r="C48" s="14" t="str">
        <v>DAIHATSU GRANMAX PU AC PS 1.5 M/T</v>
      </c>
      <c r="D48" s="14" t="str">
        <v>B4790UR</v>
      </c>
      <c r="E48" s="15">
        <v>44394</v>
      </c>
      <c r="F48" s="11" t="str">
        <v>Iya</v>
      </c>
      <c r="G48" s="13">
        <v>45811</v>
      </c>
      <c r="H48" s="16">
        <v>44394</v>
      </c>
      <c r="I48" s="3" t="str">
        <v>ADA</v>
      </c>
    </row>
    <row r="49" spans="1:9">
      <c r="A49" s="11">
        <v>585</v>
      </c>
      <c r="B49" s="13">
        <v>46111.551736111112</v>
      </c>
      <c r="C49" s="14" t="str">
        <v>Daihatsu Xenia (Badan)</v>
      </c>
      <c r="D49" s="14" t="str">
        <v>B5945BC</v>
      </c>
      <c r="E49" s="15">
        <v>16399</v>
      </c>
      <c r="F49" s="11" t="str">
        <v>Iya</v>
      </c>
      <c r="G49" s="13">
        <v>46056</v>
      </c>
      <c r="H49" s="16">
        <v>16399</v>
      </c>
      <c r="I49" s="3" t="str">
        <v>ADA</v>
      </c>
    </row>
    <row r="50" spans="1:9">
      <c r="A50" s="11">
        <v>586</v>
      </c>
      <c r="B50" s="13">
        <v>46111.963125000002</v>
      </c>
      <c r="C50" s="14" t="str">
        <v>DAIHATSU GRANMAX PU AC PS 1.5 M/T</v>
      </c>
      <c r="D50" s="14" t="str">
        <v>B6642GE</v>
      </c>
      <c r="E50" s="15">
        <v>28095</v>
      </c>
      <c r="F50" s="11" t="str">
        <v>Iya</v>
      </c>
      <c r="G50" s="13">
        <v>45916</v>
      </c>
      <c r="H50" s="16">
        <v>28095</v>
      </c>
      <c r="I50" s="3" t="str">
        <v>ADA</v>
      </c>
    </row>
    <row r="51" spans="1:9">
      <c r="A51" s="11">
        <v>2021</v>
      </c>
      <c r="B51" s="13">
        <v>46084.474143518521</v>
      </c>
      <c r="C51" s="14" t="str">
        <v>DAIHATSU GRANMAX PU AC PS 1.5 M/T</v>
      </c>
      <c r="D51" s="14" t="str">
        <v>B2755MF</v>
      </c>
      <c r="E51" s="15">
        <v>1499</v>
      </c>
      <c r="F51" s="11" t="str">
        <v>Iya</v>
      </c>
      <c r="G51" s="13">
        <v>46010</v>
      </c>
      <c r="H51" s="16">
        <v>1499</v>
      </c>
      <c r="I51" s="3" t="str">
        <v>ADA</v>
      </c>
    </row>
    <row r="52" spans="1:9">
      <c r="A52" s="11">
        <v>2022</v>
      </c>
      <c r="B52" s="13">
        <v>46084.476053240738</v>
      </c>
      <c r="C52" s="14" t="str">
        <v>DAIHATSU GRANMAX PU AC PS 1.5 M/T</v>
      </c>
      <c r="D52" s="14" t="str">
        <v>B6483WV</v>
      </c>
      <c r="E52" s="15">
        <v>18553</v>
      </c>
      <c r="F52" s="11" t="str">
        <v>Iya</v>
      </c>
      <c r="G52" s="13">
        <v>45995</v>
      </c>
      <c r="H52" s="16">
        <v>18553</v>
      </c>
      <c r="I52" s="3" t="str">
        <v>ADA</v>
      </c>
    </row>
    <row r="53" spans="1:9">
      <c r="A53" s="11">
        <v>2023</v>
      </c>
      <c r="B53" s="13">
        <v>46084.478391203702</v>
      </c>
      <c r="C53" s="14" t="str">
        <v>DAIHATSU GRANMAX PU AC PS 1.5 M/T</v>
      </c>
      <c r="D53" s="14" t="str">
        <v>B8589XJW</v>
      </c>
      <c r="E53" s="15">
        <v>29882</v>
      </c>
      <c r="F53" s="11" t="str">
        <v>Iya</v>
      </c>
      <c r="G53" s="13">
        <v>45953</v>
      </c>
      <c r="H53" s="16">
        <v>29882</v>
      </c>
      <c r="I53" s="3" t="str">
        <v>ADA</v>
      </c>
    </row>
    <row r="54" spans="1:9">
      <c r="A54" s="11">
        <v>2024</v>
      </c>
      <c r="B54" s="13">
        <v>46084.48537037037</v>
      </c>
      <c r="C54" s="14" t="str">
        <v>DAIHATSU GRANMAX PU AC PS 1.5 M/T</v>
      </c>
      <c r="D54" s="14" t="str">
        <v>B6193SD</v>
      </c>
      <c r="E54" s="15">
        <v>17282</v>
      </c>
      <c r="F54" s="11" t="str">
        <v>Iya</v>
      </c>
      <c r="G54" s="13">
        <v>46035</v>
      </c>
      <c r="H54" s="16">
        <v>17282</v>
      </c>
      <c r="I54" s="3" t="str">
        <v>ADA</v>
      </c>
    </row>
    <row r="55" spans="1:9">
      <c r="A55" s="11">
        <v>2025</v>
      </c>
      <c r="B55" s="13">
        <v>46084.49082175926</v>
      </c>
      <c r="C55" s="14" t="str">
        <v>DAIHATSU GRANMAX PU AC PS 1.5 M/T</v>
      </c>
      <c r="D55" s="14" t="str">
        <v>B1733TDE</v>
      </c>
      <c r="E55" s="15">
        <v>12072</v>
      </c>
      <c r="F55" s="11" t="str">
        <v>Iya</v>
      </c>
      <c r="G55" s="13">
        <v>45797</v>
      </c>
      <c r="H55" s="16">
        <v>12072</v>
      </c>
      <c r="I55" s="3" t="str">
        <v>ADA</v>
      </c>
    </row>
    <row r="56" spans="1:9">
      <c r="A56" s="11">
        <v>2026</v>
      </c>
      <c r="B56" s="13">
        <v>46084.509120370371</v>
      </c>
      <c r="C56" s="14" t="str">
        <v>DAIHATSU GRANMAX PU AC PS 1.5 M/T</v>
      </c>
      <c r="D56" s="14" t="str">
        <v>B7832GQD</v>
      </c>
      <c r="E56" s="15">
        <v>324788</v>
      </c>
      <c r="F56" s="11" t="str">
        <v>Iya</v>
      </c>
      <c r="G56" s="13">
        <v>45909</v>
      </c>
      <c r="H56" s="16">
        <v>324788</v>
      </c>
      <c r="I56" s="3" t="str">
        <v>ADA</v>
      </c>
    </row>
    <row r="57" spans="1:9">
      <c r="A57" s="11">
        <v>2027</v>
      </c>
      <c r="B57" s="13">
        <v>46084.514062499999</v>
      </c>
      <c r="C57" s="14" t="str">
        <v>PICK UP TRAGA 2.5 4X2 MT D M/T</v>
      </c>
      <c r="D57" s="14" t="str">
        <v>B6449IA</v>
      </c>
      <c r="E57" s="15">
        <v>10997</v>
      </c>
      <c r="F57" s="11" t="str">
        <v>Iya</v>
      </c>
      <c r="G57" s="13">
        <v>46074</v>
      </c>
      <c r="H57" s="16">
        <v>10997</v>
      </c>
      <c r="I57" s="3" t="str">
        <v>ADA</v>
      </c>
    </row>
    <row r="58" spans="1:9">
      <c r="A58" s="11">
        <v>2028</v>
      </c>
      <c r="B58" s="13">
        <v>46084.515775462962</v>
      </c>
      <c r="C58" s="14" t="str">
        <v>DAIHATSU GRANMAX PU AC PS 1.5 M/T</v>
      </c>
      <c r="D58" s="14" t="str">
        <v>B3553ILD</v>
      </c>
      <c r="E58" s="15">
        <v>12454</v>
      </c>
      <c r="F58" s="11" t="str">
        <v>Iya</v>
      </c>
      <c r="G58" s="13">
        <v>46056</v>
      </c>
      <c r="H58" s="16">
        <v>12454</v>
      </c>
      <c r="I58" s="3" t="str">
        <v>ADA</v>
      </c>
    </row>
    <row r="59" spans="1:9">
      <c r="A59" s="11">
        <v>2029</v>
      </c>
      <c r="B59" s="13">
        <v>46084.52375</v>
      </c>
      <c r="C59" s="14" t="str">
        <v>PICK UP TRAGA 2.5 4X2 MT D M/T</v>
      </c>
      <c r="D59" s="14" t="str">
        <v>B4162QMK</v>
      </c>
      <c r="E59" s="15">
        <v>12193</v>
      </c>
      <c r="F59" s="11" t="str">
        <v>Iya</v>
      </c>
      <c r="G59" s="13">
        <v>46034</v>
      </c>
      <c r="H59" s="16">
        <v>12193</v>
      </c>
      <c r="I59" s="3" t="str">
        <v>ADA</v>
      </c>
    </row>
    <row r="60" spans="1:9">
      <c r="A60" s="11">
        <v>2030</v>
      </c>
      <c r="B60" s="13">
        <v>46084.524895833332</v>
      </c>
      <c r="C60" s="14" t="str">
        <v>DAIHATSU GRANMAX PU AC PS 1.5 M/T</v>
      </c>
      <c r="D60" s="14" t="str">
        <v>B7692UCT</v>
      </c>
      <c r="E60" s="15">
        <v>11693</v>
      </c>
      <c r="F60" s="11" t="str">
        <v>Iya</v>
      </c>
      <c r="G60" s="13">
        <v>46022</v>
      </c>
      <c r="H60" s="16">
        <v>11693</v>
      </c>
      <c r="I60" s="3" t="str">
        <v>ADA</v>
      </c>
    </row>
    <row r="61" spans="1:9">
      <c r="A61" s="11">
        <v>2031</v>
      </c>
      <c r="B61" s="13">
        <v>46084.525590277779</v>
      </c>
      <c r="C61" s="14" t="str">
        <v>PICK UP TRAGA 2.5 4X2 MT D M/T</v>
      </c>
      <c r="D61" s="14" t="str">
        <v>DD5905FD</v>
      </c>
      <c r="E61" s="15">
        <v>47363</v>
      </c>
      <c r="F61" s="11" t="str">
        <v>Iya</v>
      </c>
      <c r="G61" s="13">
        <v>46003</v>
      </c>
      <c r="H61" s="16">
        <v>47363</v>
      </c>
      <c r="I61" s="3" t="str">
        <v>ADA</v>
      </c>
    </row>
    <row r="62" spans="1:9">
      <c r="A62" s="11">
        <v>2032</v>
      </c>
      <c r="B62" s="13">
        <v>46084.544722222221</v>
      </c>
      <c r="C62" s="14" t="str">
        <v>DAIHATSU GRANMAX PU AC PS 1.5 M/T</v>
      </c>
      <c r="D62" s="14" t="str">
        <v>B1960LKY</v>
      </c>
      <c r="E62" s="15">
        <v>49627</v>
      </c>
      <c r="F62" s="11" t="str">
        <v>Iya</v>
      </c>
      <c r="G62" s="13">
        <v>46296</v>
      </c>
      <c r="H62" s="16">
        <v>49627</v>
      </c>
      <c r="I62" s="3" t="str">
        <v>ADA</v>
      </c>
    </row>
    <row r="63" spans="1:9">
      <c r="A63" s="11">
        <v>2033</v>
      </c>
      <c r="B63" s="13">
        <v>46084.549409722233</v>
      </c>
      <c r="C63" s="14" t="str">
        <v>DAIHATSU GRANMAX PU AC PS 1.5 M/T</v>
      </c>
      <c r="D63" s="14" t="str">
        <v>B7465WU</v>
      </c>
      <c r="E63" s="15">
        <v>1721</v>
      </c>
      <c r="F63" s="11" t="str">
        <v>Iya</v>
      </c>
      <c r="G63" s="13">
        <v>46029</v>
      </c>
      <c r="H63" s="16">
        <v>1721</v>
      </c>
      <c r="I63" s="3" t="str">
        <v>ADA</v>
      </c>
    </row>
    <row r="64" spans="1:9">
      <c r="A64" s="11">
        <v>2034</v>
      </c>
      <c r="B64" s="13">
        <v>46084.556076388893</v>
      </c>
      <c r="C64" s="14" t="str">
        <v>DAIHATSU GRANMAX PU AC PS 1.5 M/T</v>
      </c>
      <c r="D64" s="14" t="str">
        <v>B3540VF</v>
      </c>
      <c r="E64" s="15">
        <v>20214</v>
      </c>
      <c r="F64" s="11" t="str">
        <v>Iya</v>
      </c>
      <c r="G64" s="13">
        <v>45911</v>
      </c>
      <c r="H64" s="16">
        <v>20214</v>
      </c>
      <c r="I64" s="3" t="str">
        <v>ADA</v>
      </c>
    </row>
    <row r="65" spans="1:9">
      <c r="A65" s="11">
        <v>2035</v>
      </c>
      <c r="B65" s="13">
        <v>46084.566018518519</v>
      </c>
      <c r="C65" s="14" t="str">
        <v>DAIHATSU GRANMAX PU AC PS 1.5 M/T</v>
      </c>
      <c r="D65" s="14" t="str">
        <v>B7154RP</v>
      </c>
      <c r="E65" s="15">
        <v>60055</v>
      </c>
      <c r="F65" s="11" t="str">
        <v>Iya</v>
      </c>
      <c r="G65" s="13">
        <v>46064</v>
      </c>
      <c r="H65" s="16">
        <v>60055</v>
      </c>
      <c r="I65" s="3" t="str">
        <v>TIDAK ADA</v>
      </c>
    </row>
    <row r="66" spans="1:9">
      <c r="A66" s="11">
        <v>2036</v>
      </c>
      <c r="B66" s="13">
        <v>46084.587106481478</v>
      </c>
      <c r="C66" s="14" t="str">
        <v>PICK UP TRAGA 2.5 4X2 MT D M/T</v>
      </c>
      <c r="D66" s="14" t="str">
        <v>B6137XG</v>
      </c>
      <c r="E66" s="15">
        <v>72161</v>
      </c>
      <c r="F66" s="11" t="str">
        <v>Iya</v>
      </c>
      <c r="G66" s="13">
        <v>46064</v>
      </c>
      <c r="H66" s="16">
        <v>72161</v>
      </c>
      <c r="I66" s="3" t="str">
        <v>ADA</v>
      </c>
    </row>
    <row r="67" spans="1:9">
      <c r="A67" s="11">
        <v>2037</v>
      </c>
      <c r="B67" s="13">
        <v>46084.594849537039</v>
      </c>
      <c r="C67" s="14" t="str">
        <v>PICK UP TRAGA 2.5 4X2 MT D M/T</v>
      </c>
      <c r="D67" s="14" t="str">
        <v>B8342NSJ</v>
      </c>
      <c r="E67" s="15">
        <v>50335</v>
      </c>
      <c r="F67" s="11" t="str">
        <v>Iya</v>
      </c>
      <c r="G67" s="13">
        <v>45956</v>
      </c>
      <c r="H67" s="16">
        <v>50335</v>
      </c>
      <c r="I67" s="3" t="str">
        <v>ADA</v>
      </c>
    </row>
    <row r="68" spans="1:9">
      <c r="A68" s="11">
        <v>2038</v>
      </c>
      <c r="B68" s="13">
        <v>46084.609918981478</v>
      </c>
      <c r="C68" s="14" t="str">
        <v>DAIHATSU GRANMAX PU AC PS 1.5 M/T</v>
      </c>
      <c r="D68" s="14" t="str">
        <v>B1827DA</v>
      </c>
      <c r="E68" s="15">
        <v>32198</v>
      </c>
      <c r="F68" s="11" t="str">
        <v>Iya</v>
      </c>
      <c r="G68" s="13">
        <v>45947</v>
      </c>
      <c r="H68" s="16">
        <v>32198</v>
      </c>
      <c r="I68" s="3" t="str">
        <v>ADA</v>
      </c>
    </row>
    <row r="69" spans="1:9">
      <c r="A69" s="11">
        <v>2039</v>
      </c>
      <c r="B69" s="13">
        <v>46084.623935185176</v>
      </c>
      <c r="C69" s="14" t="str">
        <v>PICK UP TRAGA 2.5 4X2 MT D M/T</v>
      </c>
      <c r="D69" s="14" t="str">
        <v>B1167YL</v>
      </c>
      <c r="E69" s="15">
        <v>41775</v>
      </c>
      <c r="F69" s="11" t="str">
        <v>Iya</v>
      </c>
      <c r="G69" s="13">
        <v>46065</v>
      </c>
      <c r="H69" s="16">
        <v>41775</v>
      </c>
      <c r="I69" s="3" t="str">
        <v>ADA</v>
      </c>
    </row>
    <row r="70" spans="1:9">
      <c r="A70" s="11">
        <v>2040</v>
      </c>
      <c r="B70" s="13">
        <v>46084.626064814824</v>
      </c>
      <c r="C70" s="14" t="str">
        <v>DAIHATSU GRANMAX PU AC PS 1.5 M/T</v>
      </c>
      <c r="D70" s="14" t="str">
        <v>B9525TPH</v>
      </c>
      <c r="E70" s="15">
        <v>11984</v>
      </c>
      <c r="F70" s="11" t="str">
        <v>Iya</v>
      </c>
      <c r="G70" s="13">
        <v>46073</v>
      </c>
      <c r="H70" s="16">
        <v>11984</v>
      </c>
      <c r="I70" s="3" t="str">
        <v>ADA</v>
      </c>
    </row>
    <row r="71" spans="1:9">
      <c r="A71" s="11">
        <v>2041</v>
      </c>
      <c r="B71" s="13">
        <v>46084.631643518522</v>
      </c>
      <c r="C71" s="14" t="str">
        <v>DAIHATSU GRANMAX PU AC PS 1.5 M/T</v>
      </c>
      <c r="D71" s="14" t="str">
        <v>B1809LPG</v>
      </c>
      <c r="E71" s="15">
        <v>6409</v>
      </c>
      <c r="F71" s="11" t="str">
        <v>Iya</v>
      </c>
      <c r="G71" s="13">
        <v>46023</v>
      </c>
      <c r="H71" s="16">
        <v>6409</v>
      </c>
      <c r="I71" s="3" t="str">
        <v>ADA</v>
      </c>
    </row>
    <row r="72" spans="1:9">
      <c r="A72" s="11">
        <v>2042</v>
      </c>
      <c r="B72" s="13">
        <v>46084.650787037041</v>
      </c>
      <c r="C72" s="14" t="str">
        <v>PICK UP TRAGA 2.5 4X2 MT D M/T</v>
      </c>
      <c r="D72" s="14" t="str">
        <v>B8311EZ</v>
      </c>
      <c r="E72" s="15">
        <v>975</v>
      </c>
      <c r="F72" s="11" t="str">
        <v>Iya</v>
      </c>
      <c r="G72" s="13">
        <v>45992</v>
      </c>
      <c r="H72" s="16">
        <v>975</v>
      </c>
      <c r="I72" s="3" t="str">
        <v>ADA</v>
      </c>
    </row>
    <row r="73" spans="1:9">
      <c r="A73" s="11">
        <v>2043</v>
      </c>
      <c r="B73" s="13">
        <v>46084.653946759259</v>
      </c>
      <c r="C73" s="14" t="str">
        <v>DAIHATSU GRANMAX PU AC PS 1.5 M/T</v>
      </c>
      <c r="D73" s="14" t="str">
        <v>B2325IRM</v>
      </c>
      <c r="E73" s="15">
        <v>28881</v>
      </c>
      <c r="F73" s="11" t="str">
        <v>Iya</v>
      </c>
      <c r="G73" s="13">
        <v>46041</v>
      </c>
      <c r="H73" s="16">
        <v>28881</v>
      </c>
      <c r="I73" s="3" t="str">
        <v>ADA</v>
      </c>
    </row>
    <row r="74" spans="1:9">
      <c r="A74" s="11">
        <v>2044</v>
      </c>
      <c r="B74" s="13">
        <v>46084.661817129629</v>
      </c>
      <c r="C74" s="14" t="str">
        <v>DAIHATSU GRANMAX PU AC PS 1.5 M/T</v>
      </c>
      <c r="D74" s="14" t="str">
        <v>B1799MW</v>
      </c>
      <c r="E74" s="15">
        <v>1802</v>
      </c>
      <c r="F74" s="11" t="str">
        <v>Iya</v>
      </c>
      <c r="G74" s="13">
        <v>45974</v>
      </c>
      <c r="H74" s="16">
        <v>1802</v>
      </c>
      <c r="I74" s="3" t="str">
        <v>ADA</v>
      </c>
    </row>
    <row r="75" spans="1:9">
      <c r="A75" s="11">
        <v>2045</v>
      </c>
      <c r="B75" s="13">
        <v>46084.662546296298</v>
      </c>
      <c r="C75" s="14" t="str">
        <v>PICK UP TRAGA 2.5 4X2 MT D M/T</v>
      </c>
      <c r="D75" s="14" t="str">
        <v>B3431HDZ</v>
      </c>
      <c r="E75" s="15">
        <v>38390</v>
      </c>
      <c r="F75" s="11" t="str">
        <v>Iya</v>
      </c>
      <c r="G75" s="13">
        <v>46077</v>
      </c>
      <c r="H75" s="16">
        <v>38390</v>
      </c>
      <c r="I75" s="3" t="str">
        <v>ADA</v>
      </c>
    </row>
    <row r="76" spans="1:9">
      <c r="A76" s="11">
        <v>2046</v>
      </c>
      <c r="B76" s="13">
        <v>46084.66920138889</v>
      </c>
      <c r="C76" s="14" t="str">
        <v>Daihatsu Xenia (Badan)</v>
      </c>
      <c r="D76" s="14" t="str">
        <v>KB4153HK</v>
      </c>
      <c r="E76" s="15">
        <v>48052</v>
      </c>
      <c r="F76" s="11" t="str">
        <v>Iya</v>
      </c>
      <c r="G76" s="13">
        <v>46080</v>
      </c>
      <c r="H76" s="16">
        <v>48052</v>
      </c>
      <c r="I76" s="3" t="str">
        <v>ADA</v>
      </c>
    </row>
    <row r="77" spans="1:9">
      <c r="A77" s="11">
        <v>2047</v>
      </c>
      <c r="B77" s="13">
        <v>46084.674108796287</v>
      </c>
      <c r="C77" s="14" t="str">
        <v>Daihatsu Xenia (Badan)</v>
      </c>
      <c r="D77" s="14" t="str">
        <v>B4950DFS</v>
      </c>
      <c r="E77" s="15">
        <v>1632</v>
      </c>
      <c r="F77" s="11" t="str">
        <v>Iya</v>
      </c>
      <c r="G77" s="13">
        <v>45999</v>
      </c>
      <c r="H77" s="16">
        <v>1632</v>
      </c>
      <c r="I77" s="3" t="str">
        <v>ADA</v>
      </c>
    </row>
    <row r="78" spans="1:9">
      <c r="A78" s="11">
        <v>2048</v>
      </c>
      <c r="B78" s="13">
        <v>46084.676041666673</v>
      </c>
      <c r="C78" s="14" t="str">
        <v>DAIHATSU GRANMAX PU AC PS 1.5 M/T</v>
      </c>
      <c r="D78" s="14" t="str">
        <v>B8753SMF</v>
      </c>
      <c r="E78" s="15">
        <v>55973</v>
      </c>
      <c r="F78" s="11" t="str">
        <v>Iya</v>
      </c>
      <c r="G78" s="13">
        <v>46027</v>
      </c>
      <c r="H78" s="16">
        <v>55973</v>
      </c>
      <c r="I78" s="3" t="str">
        <v>ADA</v>
      </c>
    </row>
    <row r="79" spans="1:9">
      <c r="A79" s="11">
        <v>2049</v>
      </c>
      <c r="B79" s="13">
        <v>46084.677476851852</v>
      </c>
      <c r="C79" s="14" t="str">
        <v>PICK UP TRAGA 2.5 4X2 MT D M/T</v>
      </c>
      <c r="D79" s="14" t="str">
        <v>B5067LZ</v>
      </c>
      <c r="E79" s="15">
        <v>38590</v>
      </c>
      <c r="F79" s="11" t="str">
        <v>Iya</v>
      </c>
      <c r="G79" s="13">
        <v>46076</v>
      </c>
      <c r="H79" s="16">
        <v>38590</v>
      </c>
      <c r="I79" s="3" t="str">
        <v>ADA</v>
      </c>
    </row>
    <row r="80" spans="1:9">
      <c r="A80" s="11">
        <v>2050</v>
      </c>
      <c r="B80" s="13">
        <v>46084.679039351853</v>
      </c>
      <c r="C80" s="14" t="str">
        <v>DAIHATSU GRANMAX PU AC PS 1.5 M/T</v>
      </c>
      <c r="D80" s="14" t="str">
        <v>B6871DFH</v>
      </c>
      <c r="E80" s="15">
        <v>18624</v>
      </c>
      <c r="F80" s="11" t="str">
        <v>Iya</v>
      </c>
      <c r="G80" s="13">
        <v>45923</v>
      </c>
      <c r="H80" s="16">
        <v>18624</v>
      </c>
      <c r="I80" s="3" t="str">
        <v>ADA</v>
      </c>
    </row>
    <row r="81" spans="1:9">
      <c r="A81" s="11">
        <v>2051</v>
      </c>
      <c r="B81" s="13">
        <v>46084.679907407408</v>
      </c>
      <c r="C81" s="14" t="str">
        <v>Daihatsu Xenia (Badan)</v>
      </c>
      <c r="D81" s="14" t="str">
        <v>DA3899XS</v>
      </c>
      <c r="E81" s="15">
        <v>23249</v>
      </c>
      <c r="F81" s="11" t="str">
        <v>Iya</v>
      </c>
      <c r="G81" s="13">
        <v>46063</v>
      </c>
      <c r="H81" s="16">
        <v>23249</v>
      </c>
      <c r="I81" s="3" t="str">
        <v>ADA</v>
      </c>
    </row>
    <row r="82" spans="1:9">
      <c r="A82" s="11">
        <v>2052</v>
      </c>
      <c r="B82" s="13">
        <v>46084.681122685193</v>
      </c>
      <c r="C82" s="14" t="str">
        <v>DAIHATSU GRANMAX PU AC PS 1.5 M/T</v>
      </c>
      <c r="D82" s="14" t="str">
        <v>B4952MY</v>
      </c>
      <c r="E82" s="15">
        <v>30158</v>
      </c>
      <c r="F82" s="11" t="str">
        <v>Iya</v>
      </c>
      <c r="G82" s="13">
        <v>46030</v>
      </c>
      <c r="H82" s="16">
        <v>30158</v>
      </c>
      <c r="I82" s="3" t="str">
        <v>ADA</v>
      </c>
    </row>
    <row r="83" spans="1:9">
      <c r="A83" s="11">
        <v>2053</v>
      </c>
      <c r="B83" s="13">
        <v>46084.686296296299</v>
      </c>
      <c r="C83" s="14" t="str">
        <v>DAIHATSU GRANMAX PU AC PS 1.5 M/T</v>
      </c>
      <c r="D83" s="14" t="str">
        <v>B9409VZ</v>
      </c>
      <c r="E83" s="15">
        <v>24606</v>
      </c>
      <c r="F83" s="11" t="str">
        <v>Iya</v>
      </c>
      <c r="G83" s="13">
        <v>45903</v>
      </c>
      <c r="H83" s="16">
        <v>24606</v>
      </c>
      <c r="I83" s="3" t="str">
        <v>ADA</v>
      </c>
    </row>
    <row r="84" spans="1:9">
      <c r="A84" s="11">
        <v>2054</v>
      </c>
      <c r="B84" s="13">
        <v>46084.693541666667</v>
      </c>
      <c r="C84" s="14" t="str">
        <v>DAIHATSU GRANMAX PU AC PS 1.5 M/T</v>
      </c>
      <c r="D84" s="14" t="str">
        <v>B6999PZ</v>
      </c>
      <c r="E84" s="15">
        <v>26004</v>
      </c>
      <c r="F84" s="11" t="str">
        <v>Iya</v>
      </c>
      <c r="G84" s="13">
        <v>46064</v>
      </c>
      <c r="H84" s="16">
        <v>26004</v>
      </c>
      <c r="I84" s="3" t="str">
        <v>ADA</v>
      </c>
    </row>
    <row r="85" spans="1:9">
      <c r="A85" s="11">
        <v>2055</v>
      </c>
      <c r="B85" s="13">
        <v>46084.698599537027</v>
      </c>
      <c r="C85" s="14" t="str">
        <v>PICK UP TRAGA 2.5 4X2 MT D M/T</v>
      </c>
      <c r="D85" s="14" t="str">
        <v>B2118PQK</v>
      </c>
      <c r="E85" s="15">
        <v>55176</v>
      </c>
      <c r="F85" s="11" t="str">
        <v>Iya</v>
      </c>
      <c r="G85" s="13">
        <v>46038</v>
      </c>
      <c r="H85" s="16">
        <v>55176</v>
      </c>
      <c r="I85" s="3" t="str">
        <v>ADA</v>
      </c>
    </row>
    <row r="86" spans="1:9">
      <c r="A86" s="11">
        <v>2056</v>
      </c>
      <c r="B86" s="13">
        <v>46084.716817129629</v>
      </c>
      <c r="C86" s="14" t="str">
        <v>DAIHATSU GRANMAX PU AC PS 1.5 M/T</v>
      </c>
      <c r="D86" s="14" t="str">
        <v>B5277IQ</v>
      </c>
      <c r="E86" s="15">
        <v>52066</v>
      </c>
      <c r="F86" s="11" t="str">
        <v>Iya</v>
      </c>
      <c r="G86" s="13">
        <v>45964</v>
      </c>
      <c r="H86" s="16">
        <v>52066</v>
      </c>
      <c r="I86" s="3" t="str">
        <v>ADA</v>
      </c>
    </row>
    <row r="87" spans="1:9">
      <c r="A87" s="11">
        <v>2057</v>
      </c>
      <c r="B87" s="13">
        <v>46084.741678240738</v>
      </c>
      <c r="C87" s="14" t="str">
        <v>PICK UP TRAGA 2.5 4X2 MT D M/T</v>
      </c>
      <c r="D87" s="14" t="str">
        <v>B2293BCX</v>
      </c>
      <c r="E87" s="15">
        <v>14461</v>
      </c>
      <c r="F87" s="11" t="str">
        <v>Iya</v>
      </c>
      <c r="G87" s="13">
        <v>46013</v>
      </c>
      <c r="H87" s="16">
        <v>14461</v>
      </c>
      <c r="I87" s="3" t="str">
        <v>ADA</v>
      </c>
    </row>
    <row r="88" spans="1:9">
      <c r="A88" s="11">
        <v>2058</v>
      </c>
      <c r="B88" s="13">
        <v>46085.327048611107</v>
      </c>
      <c r="C88" s="14" t="str">
        <v>DAIHATSU GRANMAX PU AC PS 1.5 M/T</v>
      </c>
      <c r="D88" s="14" t="str">
        <v>KT8120IVX</v>
      </c>
      <c r="E88" s="15">
        <v>10649</v>
      </c>
      <c r="F88" s="11" t="str">
        <v>Iya</v>
      </c>
      <c r="G88" s="13">
        <v>45972</v>
      </c>
      <c r="H88" s="16">
        <v>10649</v>
      </c>
      <c r="I88" s="3" t="str">
        <v>ADA</v>
      </c>
    </row>
    <row r="89" spans="1:9">
      <c r="A89" s="11">
        <v>2059</v>
      </c>
      <c r="B89" s="13">
        <v>46085.333819444437</v>
      </c>
      <c r="C89" s="14" t="str">
        <v>DAIHATSU GRANMAX PU AC PS 1.5 M/T</v>
      </c>
      <c r="D89" s="14" t="str">
        <v>B4786BT</v>
      </c>
      <c r="E89" s="15">
        <v>32123</v>
      </c>
      <c r="F89" s="11" t="str">
        <v>Iya</v>
      </c>
      <c r="G89" s="13">
        <v>46044</v>
      </c>
      <c r="H89" s="16">
        <v>32123</v>
      </c>
      <c r="I89" s="3" t="str">
        <v>ADA</v>
      </c>
    </row>
    <row r="90" spans="1:9">
      <c r="A90" s="11">
        <v>2060</v>
      </c>
      <c r="B90" s="13">
        <v>46085.336400462962</v>
      </c>
      <c r="C90" s="14" t="str">
        <v>DAIHATSU GRANMAX PU AC PS 1.5 M/T</v>
      </c>
      <c r="D90" s="14" t="str">
        <v>B5918LZ</v>
      </c>
      <c r="E90" s="15">
        <v>114331</v>
      </c>
      <c r="F90" s="11" t="str">
        <v>Iya</v>
      </c>
      <c r="G90" s="13">
        <v>45985</v>
      </c>
      <c r="H90" s="16">
        <v>114331</v>
      </c>
      <c r="I90" s="3" t="str">
        <v>ADA</v>
      </c>
    </row>
    <row r="91" spans="1:9">
      <c r="A91" s="11">
        <v>2061</v>
      </c>
      <c r="B91" s="13">
        <v>46085.340300925927</v>
      </c>
      <c r="C91" s="14" t="str">
        <v>DAIHATSU GRANMAX PU AC PS 1.5 M/T</v>
      </c>
      <c r="D91" s="14" t="str">
        <v>B5790CM</v>
      </c>
      <c r="E91" s="15">
        <v>17344</v>
      </c>
      <c r="F91" s="11" t="str">
        <v>Iya</v>
      </c>
      <c r="G91" s="13">
        <v>45960</v>
      </c>
      <c r="H91" s="16">
        <v>17344</v>
      </c>
      <c r="I91" s="3" t="str">
        <v>ADA</v>
      </c>
    </row>
    <row r="92" spans="1:9">
      <c r="A92" s="11">
        <v>2062</v>
      </c>
      <c r="B92" s="13">
        <v>46085.357835648138</v>
      </c>
      <c r="C92" s="14" t="str">
        <v>PICK UP TRAGA 2.5 4X2 MT D M/T</v>
      </c>
      <c r="D92" s="14" t="str">
        <v>B9936AP</v>
      </c>
      <c r="E92" s="15">
        <v>53836</v>
      </c>
      <c r="F92" s="11" t="str">
        <v>Iya</v>
      </c>
      <c r="G92" s="13">
        <v>45931</v>
      </c>
      <c r="H92" s="16">
        <v>53836</v>
      </c>
      <c r="I92" s="3" t="str">
        <v>ADA</v>
      </c>
    </row>
    <row r="93" spans="1:9">
      <c r="A93" s="11">
        <v>2063</v>
      </c>
      <c r="B93" s="13">
        <v>46085.358344907407</v>
      </c>
      <c r="C93" s="14" t="str">
        <v>DAIHATSU GRANMAX PU AC PS 1.5 M/T</v>
      </c>
      <c r="D93" s="14" t="str">
        <v>H6446RTB</v>
      </c>
      <c r="E93" s="15">
        <v>20518</v>
      </c>
      <c r="F93" s="11" t="str">
        <v>Iya</v>
      </c>
      <c r="G93" s="13">
        <v>45962</v>
      </c>
      <c r="H93" s="16">
        <v>20518</v>
      </c>
      <c r="I93" s="3" t="str">
        <v>ADA</v>
      </c>
    </row>
    <row r="94" spans="1:9">
      <c r="A94" s="11">
        <v>2064</v>
      </c>
      <c r="B94" s="13">
        <v>46085.360231481478</v>
      </c>
      <c r="C94" s="14" t="str">
        <v>PICK UP TRAGA 2.5 4X2 MT D M/T</v>
      </c>
      <c r="D94" s="14" t="str">
        <v>B7915GBS</v>
      </c>
      <c r="E94" s="15">
        <v>58962</v>
      </c>
      <c r="F94" s="11" t="str">
        <v>Iya</v>
      </c>
      <c r="G94" s="13">
        <v>46044</v>
      </c>
      <c r="H94" s="16">
        <v>58962</v>
      </c>
      <c r="I94" s="3" t="str">
        <v>ADA</v>
      </c>
    </row>
    <row r="95" spans="1:9">
      <c r="A95" s="11">
        <v>2065</v>
      </c>
      <c r="B95" s="13">
        <v>46085.36515046296</v>
      </c>
      <c r="C95" s="14" t="str">
        <v>PICK UP TRAGA 2.5 4X2 MT D M/T</v>
      </c>
      <c r="D95" s="14" t="str">
        <v>B6905PX</v>
      </c>
      <c r="E95" s="15">
        <v>8658</v>
      </c>
      <c r="F95" s="11" t="str">
        <v>Iya</v>
      </c>
      <c r="G95" s="13">
        <v>46041</v>
      </c>
      <c r="H95" s="16">
        <v>8658</v>
      </c>
      <c r="I95" s="3" t="str">
        <v>ADA</v>
      </c>
    </row>
    <row r="96" spans="1:9">
      <c r="A96" s="11">
        <v>2066</v>
      </c>
      <c r="B96" s="13">
        <v>46085.366886574076</v>
      </c>
      <c r="C96" s="14" t="str">
        <v>DAIHATSU GRANMAX PU AC PS 1.5 M/T</v>
      </c>
      <c r="D96" s="14" t="str">
        <v>B1455JPZ</v>
      </c>
      <c r="E96" s="15">
        <v>13104</v>
      </c>
      <c r="F96" s="11" t="str">
        <v>Iya</v>
      </c>
      <c r="G96" s="13">
        <v>46014</v>
      </c>
      <c r="H96" s="16">
        <v>13104</v>
      </c>
      <c r="I96" s="3" t="str">
        <v>ADA</v>
      </c>
    </row>
    <row r="97" spans="1:9">
      <c r="A97" s="11">
        <v>2067</v>
      </c>
      <c r="B97" s="13">
        <v>46085.367685185192</v>
      </c>
      <c r="C97" s="14" t="str">
        <v>DAIHATSU GRANMAX PU AC PS 1.5 M/T</v>
      </c>
      <c r="D97" s="14" t="str">
        <v>B7135IN</v>
      </c>
      <c r="E97" s="15">
        <v>25495</v>
      </c>
      <c r="F97" s="11" t="str">
        <v>Iya</v>
      </c>
      <c r="G97" s="13">
        <v>45911</v>
      </c>
      <c r="H97" s="16">
        <v>25495</v>
      </c>
      <c r="I97" s="3" t="str">
        <v>ADA</v>
      </c>
    </row>
    <row r="98" spans="1:9">
      <c r="A98" s="11">
        <v>2068</v>
      </c>
      <c r="B98" s="13">
        <v>46085.374351851853</v>
      </c>
      <c r="C98" s="14" t="str">
        <v>DAIHATSU GRANMAX PU AC PS 1.5 M/T</v>
      </c>
      <c r="D98" s="14" t="str">
        <v>B2047SQ</v>
      </c>
      <c r="E98" s="15">
        <v>50936</v>
      </c>
      <c r="F98" s="11" t="str">
        <v>Iya</v>
      </c>
      <c r="G98" s="13">
        <v>45981</v>
      </c>
      <c r="H98" s="16">
        <v>50936</v>
      </c>
      <c r="I98" s="3" t="str">
        <v>ADA</v>
      </c>
    </row>
    <row r="99" spans="1:9">
      <c r="A99" s="11">
        <v>2069</v>
      </c>
      <c r="B99" s="13">
        <v>46085.390787037039</v>
      </c>
      <c r="C99" s="14" t="str">
        <v>DAIHATSU GRANMAX PU AC PS 1.5 M/T</v>
      </c>
      <c r="D99" s="14" t="str">
        <v>H3059ZKJ</v>
      </c>
      <c r="E99" s="15">
        <v>11185</v>
      </c>
      <c r="F99" s="11" t="str">
        <v>Iya</v>
      </c>
      <c r="G99" s="13">
        <v>46062</v>
      </c>
      <c r="H99" s="16">
        <v>11185</v>
      </c>
      <c r="I99" s="3" t="str">
        <v>ADA</v>
      </c>
    </row>
    <row r="100" spans="1:9">
      <c r="A100" s="11">
        <v>2070</v>
      </c>
      <c r="B100" s="13">
        <v>46085.404664351852</v>
      </c>
      <c r="C100" s="14" t="str">
        <v>DAIHATSU GRANMAX PU AC PS 1.5 M/T</v>
      </c>
      <c r="D100" s="14" t="str">
        <v>B8474IXR</v>
      </c>
      <c r="E100" s="15">
        <v>22746</v>
      </c>
      <c r="F100" s="11" t="str">
        <v>Iya</v>
      </c>
      <c r="G100" s="13">
        <v>45943</v>
      </c>
      <c r="H100" s="16">
        <v>22746</v>
      </c>
      <c r="I100" s="3" t="str">
        <v>ADA</v>
      </c>
    </row>
    <row r="101" spans="1:9">
      <c r="A101" s="11">
        <v>2071</v>
      </c>
      <c r="B101" s="13">
        <v>46085.408067129632</v>
      </c>
      <c r="C101" s="14" t="str">
        <v>DAIHATSU GRANMAX PU AC PS 1.5 M/T</v>
      </c>
      <c r="D101" s="14" t="str">
        <v>B6441NR</v>
      </c>
      <c r="E101" s="15">
        <v>26220</v>
      </c>
      <c r="F101" s="11" t="str">
        <v>Iya</v>
      </c>
      <c r="G101" s="13">
        <v>45997</v>
      </c>
      <c r="H101" s="16">
        <v>26220</v>
      </c>
      <c r="I101" s="3" t="str">
        <v>ADA</v>
      </c>
    </row>
    <row r="102" spans="1:9">
      <c r="A102" s="11">
        <v>2072</v>
      </c>
      <c r="B102" s="13">
        <v>46085.425243055557</v>
      </c>
      <c r="C102" s="14" t="str">
        <v>DAIHATSU GRANMAX PU AC PS 1.5 M/T</v>
      </c>
      <c r="D102" s="14" t="str">
        <v>B7165PWG</v>
      </c>
      <c r="E102" s="15">
        <v>5774</v>
      </c>
      <c r="F102" s="11" t="str">
        <v>Iya</v>
      </c>
      <c r="G102" s="13">
        <v>45953</v>
      </c>
      <c r="H102" s="16">
        <v>5774</v>
      </c>
      <c r="I102" s="3" t="str">
        <v>ADA</v>
      </c>
    </row>
    <row r="103" spans="1:9">
      <c r="A103" s="11">
        <v>2073</v>
      </c>
      <c r="B103" s="13">
        <v>46085.425312500003</v>
      </c>
      <c r="C103" s="14" t="str">
        <v>PICK UP TRAGA 2.5 4X2 MT D M/T</v>
      </c>
      <c r="D103" s="14" t="str">
        <v>B7759RV</v>
      </c>
      <c r="E103" s="15">
        <v>8620</v>
      </c>
      <c r="F103" s="11" t="str">
        <v>Iya</v>
      </c>
      <c r="G103" s="13">
        <v>46002</v>
      </c>
      <c r="H103" s="16">
        <v>8620</v>
      </c>
      <c r="I103" s="3" t="str">
        <v>ADA</v>
      </c>
    </row>
    <row r="104" spans="1:9">
      <c r="A104" s="11">
        <v>2074</v>
      </c>
      <c r="B104" s="13">
        <v>46085.44971064815</v>
      </c>
      <c r="C104" s="14" t="str">
        <v>PICK UP TRAGA 2.5 4X2 MT D M/T</v>
      </c>
      <c r="D104" s="14" t="str">
        <v>B7591HAI</v>
      </c>
      <c r="E104" s="15">
        <v>112724</v>
      </c>
      <c r="F104" s="11" t="str">
        <v>Iya</v>
      </c>
      <c r="G104" s="13">
        <v>46015</v>
      </c>
      <c r="H104" s="16">
        <v>112724</v>
      </c>
      <c r="I104" s="3" t="str">
        <v>ADA</v>
      </c>
    </row>
    <row r="105" spans="1:9">
      <c r="A105" s="11">
        <v>2075</v>
      </c>
      <c r="B105" s="13">
        <v>46085.450949074067</v>
      </c>
      <c r="C105" s="14" t="str">
        <v>DAIHATSU GRANMAX PU AC PS 1.5 M/T</v>
      </c>
      <c r="D105" s="14" t="str">
        <v>DD2694FT</v>
      </c>
      <c r="E105" s="15">
        <v>27880</v>
      </c>
      <c r="F105" s="11" t="str">
        <v>Iya</v>
      </c>
      <c r="G105" s="13">
        <v>46058</v>
      </c>
      <c r="H105" s="16">
        <v>27880</v>
      </c>
      <c r="I105" s="3" t="str">
        <v>ADA</v>
      </c>
    </row>
    <row r="106" spans="1:9">
      <c r="A106" s="11">
        <v>2076</v>
      </c>
      <c r="B106" s="13">
        <v>46085.459930555553</v>
      </c>
      <c r="C106" s="14" t="str">
        <v>DAIHATSU GRANMAX PU AC PS 1.5 M/T</v>
      </c>
      <c r="D106" s="14" t="str">
        <v>B3545GSF</v>
      </c>
      <c r="E106" s="15">
        <v>4113</v>
      </c>
      <c r="F106" s="11" t="str">
        <v>Iya</v>
      </c>
      <c r="G106" s="13">
        <v>45890</v>
      </c>
      <c r="H106" s="16">
        <v>4113</v>
      </c>
      <c r="I106" s="3" t="str">
        <v>ADA</v>
      </c>
    </row>
    <row r="107" spans="1:9">
      <c r="A107" s="11">
        <v>2077</v>
      </c>
      <c r="B107" s="13">
        <v>46085.47420138889</v>
      </c>
      <c r="C107" s="14" t="str">
        <v>DAIHATSU GRANMAX PU AC PS 1.5 M/T</v>
      </c>
      <c r="D107" s="14" t="str">
        <v>DA1719BR</v>
      </c>
      <c r="E107" s="15">
        <v>1165</v>
      </c>
      <c r="F107" s="11" t="str">
        <v>Iya</v>
      </c>
      <c r="G107" s="13">
        <v>46031</v>
      </c>
      <c r="H107" s="16">
        <v>1165</v>
      </c>
      <c r="I107" s="3" t="str">
        <v>ADA</v>
      </c>
    </row>
    <row r="108" spans="1:9">
      <c r="A108" s="11">
        <v>2078</v>
      </c>
      <c r="B108" s="13">
        <v>46085.475162037037</v>
      </c>
      <c r="C108" s="14" t="str">
        <v>PICK UP TRAGA 2.5 4X2 MT D M/T</v>
      </c>
      <c r="D108" s="14" t="str">
        <v>B6874UZA</v>
      </c>
      <c r="E108" s="15">
        <v>61600</v>
      </c>
      <c r="F108" s="11" t="str">
        <v>Iya</v>
      </c>
      <c r="G108" s="13">
        <v>46048</v>
      </c>
      <c r="H108" s="16">
        <v>61600</v>
      </c>
      <c r="I108" s="3" t="str">
        <v>ADA</v>
      </c>
    </row>
    <row r="109" spans="1:9">
      <c r="A109" s="11">
        <v>2079</v>
      </c>
      <c r="B109" s="13">
        <v>46085.475694444453</v>
      </c>
      <c r="C109" s="14" t="str">
        <v>DAIHATSU GRANMAX PU AC PS 1.5 M/T</v>
      </c>
      <c r="D109" s="14" t="str">
        <v>B3294INW</v>
      </c>
      <c r="E109" s="15">
        <v>1308</v>
      </c>
      <c r="F109" s="11" t="str">
        <v>Iya</v>
      </c>
      <c r="G109" s="13">
        <v>45986</v>
      </c>
      <c r="H109" s="16">
        <v>1308</v>
      </c>
      <c r="I109" s="3" t="str">
        <v>ADA</v>
      </c>
    </row>
    <row r="110" spans="1:9">
      <c r="A110" s="11">
        <v>2080</v>
      </c>
      <c r="B110" s="13">
        <v>46085.581157407411</v>
      </c>
      <c r="C110" s="14" t="str">
        <v>DAIHATSU GRANMAX PU AC PS 1.5 M/T</v>
      </c>
      <c r="D110" s="14" t="str">
        <v>B3294MFT</v>
      </c>
      <c r="E110" s="15">
        <v>8290</v>
      </c>
      <c r="F110" s="11" t="str">
        <v>Iya</v>
      </c>
      <c r="G110" s="13">
        <v>45994</v>
      </c>
      <c r="H110" s="16">
        <v>8290</v>
      </c>
      <c r="I110" s="3" t="str">
        <v>ADA</v>
      </c>
    </row>
    <row r="111" spans="1:9">
      <c r="A111" s="11">
        <v>2081</v>
      </c>
      <c r="B111" s="13">
        <v>46085.608969907407</v>
      </c>
      <c r="C111" s="14" t="str">
        <v>PICK UP TRAGA 2.5 4X2 MT D M/T</v>
      </c>
      <c r="D111" s="14" t="str">
        <v>B8491EZ</v>
      </c>
      <c r="E111" s="15">
        <v>15640</v>
      </c>
      <c r="F111" s="11" t="str">
        <v>Iya</v>
      </c>
      <c r="G111" s="13">
        <v>46027</v>
      </c>
      <c r="H111" s="16">
        <v>15640</v>
      </c>
      <c r="I111" s="3" t="str">
        <v>ADA</v>
      </c>
    </row>
    <row r="112" spans="1:9">
      <c r="A112" s="11">
        <v>2082</v>
      </c>
      <c r="B112" s="13">
        <v>46085.632025462961</v>
      </c>
      <c r="C112" s="14" t="str">
        <v>DAIHATSU GRANMAX PU AC PS 1.5 M/T</v>
      </c>
      <c r="D112" s="14" t="str">
        <v>B9877USW</v>
      </c>
      <c r="E112" s="15">
        <v>11456</v>
      </c>
      <c r="F112" s="11" t="str">
        <v>Iya</v>
      </c>
      <c r="G112" s="13">
        <v>46034</v>
      </c>
      <c r="H112" s="16">
        <v>11456</v>
      </c>
      <c r="I112" s="3" t="str">
        <v>ADA</v>
      </c>
    </row>
    <row r="113" spans="1:9">
      <c r="A113" s="11">
        <v>2083</v>
      </c>
      <c r="B113" s="13">
        <v>46085.659849537027</v>
      </c>
      <c r="C113" s="14" t="str">
        <v>PICK UP TRAGA 2.5 4X2 MT D M/T</v>
      </c>
      <c r="D113" s="14" t="str">
        <v>B5104CT</v>
      </c>
      <c r="E113" s="15">
        <v>42351</v>
      </c>
      <c r="F113" s="11" t="str">
        <v>Iya</v>
      </c>
      <c r="G113" s="13">
        <v>45974</v>
      </c>
      <c r="H113" s="16">
        <v>42351</v>
      </c>
      <c r="I113" s="3" t="str">
        <v>TIDAK ADA</v>
      </c>
    </row>
    <row r="114" spans="1:9">
      <c r="A114" s="11">
        <v>2084</v>
      </c>
      <c r="B114" s="13">
        <v>46085.668692129628</v>
      </c>
      <c r="C114" s="14" t="str">
        <v>DAIHATSU GRANMAX PU AC PS 1.5 M/T</v>
      </c>
      <c r="D114" s="14" t="str">
        <v>B8895WT</v>
      </c>
      <c r="E114" s="15">
        <v>9994</v>
      </c>
      <c r="F114" s="11" t="str">
        <v>Iya</v>
      </c>
      <c r="G114" s="13">
        <v>46059</v>
      </c>
      <c r="H114" s="16">
        <v>9994</v>
      </c>
      <c r="I114" s="3" t="str">
        <v>ADA</v>
      </c>
    </row>
    <row r="115" spans="1:9">
      <c r="A115" s="11">
        <v>2085</v>
      </c>
      <c r="B115" s="13">
        <v>46085.672233796293</v>
      </c>
      <c r="C115" s="14" t="str">
        <v>DAIHATSU GRANMAX PU AC PS 1.5 M/T</v>
      </c>
      <c r="D115" s="14" t="str">
        <v>B9946LF</v>
      </c>
      <c r="E115" s="15">
        <v>37891</v>
      </c>
      <c r="F115" s="11" t="str">
        <v>Iya</v>
      </c>
      <c r="G115" s="13">
        <v>46058</v>
      </c>
      <c r="H115" s="16">
        <v>37891</v>
      </c>
      <c r="I115" s="3" t="str">
        <v>ADA</v>
      </c>
    </row>
    <row r="116" spans="1:9">
      <c r="A116" s="11">
        <v>2086</v>
      </c>
      <c r="B116" s="13">
        <v>46085.67396990741</v>
      </c>
      <c r="C116" s="14" t="str">
        <v>DAIHATSU GRANMAX PU AC PS 1.5 M/T</v>
      </c>
      <c r="D116" s="14" t="str">
        <v>B1229TQ</v>
      </c>
      <c r="E116" s="15">
        <v>21109</v>
      </c>
      <c r="F116" s="11" t="str">
        <v>Iya</v>
      </c>
      <c r="G116" s="13">
        <v>45988</v>
      </c>
      <c r="H116" s="16">
        <v>21109</v>
      </c>
      <c r="I116" s="3" t="str">
        <v>ADA</v>
      </c>
    </row>
    <row r="117" spans="1:9">
      <c r="A117" s="11">
        <v>2087</v>
      </c>
      <c r="B117" s="13">
        <v>46085.677430555559</v>
      </c>
      <c r="C117" s="14" t="str">
        <v>PICK UP TRAGA 2.5 4X2 MT D M/T</v>
      </c>
      <c r="D117" s="14" t="str">
        <v>KT5059PV</v>
      </c>
      <c r="E117" s="15">
        <v>8661</v>
      </c>
      <c r="F117" s="11" t="str">
        <v>Iya</v>
      </c>
      <c r="G117" s="13">
        <v>45993</v>
      </c>
      <c r="H117" s="16">
        <v>8661</v>
      </c>
      <c r="I117" s="3" t="str">
        <v>ADA</v>
      </c>
    </row>
    <row r="118" spans="1:9">
      <c r="A118" s="11">
        <v>2088</v>
      </c>
      <c r="B118" s="13">
        <v>46085.682523148149</v>
      </c>
      <c r="C118" s="14" t="str">
        <v>DAIHATSU GRANMAX PU AC PS 1.5 M/T</v>
      </c>
      <c r="D118" s="14" t="str">
        <v>H8934YH</v>
      </c>
      <c r="E118" s="15">
        <v>20871</v>
      </c>
      <c r="F118" s="11" t="str">
        <v>Iya</v>
      </c>
      <c r="G118" s="13">
        <v>46037</v>
      </c>
      <c r="H118" s="16">
        <v>20871</v>
      </c>
      <c r="I118" s="3" t="str">
        <v>TIDAK ADA</v>
      </c>
    </row>
    <row r="119" spans="1:9">
      <c r="A119" s="11">
        <v>2089</v>
      </c>
      <c r="B119" s="13">
        <v>46085.691400462973</v>
      </c>
      <c r="C119" s="14" t="str">
        <v>DAIHATSU GRANMAX PU AC PS 1.5 M/T</v>
      </c>
      <c r="D119" s="14" t="str">
        <v>B5918LZ</v>
      </c>
      <c r="E119" s="15">
        <v>113750</v>
      </c>
      <c r="F119" s="11" t="str">
        <v>Iya</v>
      </c>
      <c r="G119" s="13">
        <v>45985</v>
      </c>
      <c r="H119" s="16">
        <v>113750</v>
      </c>
      <c r="I119" s="3" t="str">
        <v>ADA</v>
      </c>
    </row>
    <row r="120" spans="1:9">
      <c r="A120" s="11">
        <v>2090</v>
      </c>
      <c r="B120" s="13">
        <v>46085.698009259257</v>
      </c>
      <c r="C120" s="14" t="str">
        <v>DAIHATSU GRANMAX PU AC PS 1.5 M/T</v>
      </c>
      <c r="D120" s="14" t="str">
        <v>B3271BYK</v>
      </c>
      <c r="E120" s="15">
        <v>36105</v>
      </c>
      <c r="F120" s="11" t="str">
        <v>Iya</v>
      </c>
      <c r="G120" s="13">
        <v>45936</v>
      </c>
      <c r="H120" s="16">
        <v>36105</v>
      </c>
      <c r="I120" s="3" t="str">
        <v>ADA</v>
      </c>
    </row>
    <row r="121" spans="1:9">
      <c r="A121" s="11">
        <v>2091</v>
      </c>
      <c r="B121" s="13">
        <v>46085.727662037039</v>
      </c>
      <c r="C121" s="14" t="str">
        <v>PICK UP TRAGA 2.5 4X2 MT D M/T</v>
      </c>
      <c r="D121" s="14" t="str">
        <v>B9738SL</v>
      </c>
      <c r="E121" s="15">
        <v>1671</v>
      </c>
      <c r="F121" s="11" t="str">
        <v>Iya</v>
      </c>
      <c r="G121" s="13">
        <v>46037</v>
      </c>
      <c r="H121" s="16">
        <v>1671</v>
      </c>
      <c r="I121" s="3" t="str">
        <v>ADA</v>
      </c>
    </row>
    <row r="122" spans="1:9">
      <c r="A122" s="11">
        <v>2092</v>
      </c>
      <c r="B122" s="13">
        <v>46086.360752314817</v>
      </c>
      <c r="C122" s="14" t="str">
        <v>DAIHATSU GRANMAX PU AC PS 1.5 M/T</v>
      </c>
      <c r="D122" s="14" t="str">
        <v>B4124TR</v>
      </c>
      <c r="E122" s="15">
        <v>8907</v>
      </c>
      <c r="F122" s="11" t="str">
        <v>Iya</v>
      </c>
      <c r="G122" s="13">
        <v>45832</v>
      </c>
      <c r="H122" s="16">
        <v>8907</v>
      </c>
      <c r="I122" s="3" t="str">
        <v>ADA</v>
      </c>
    </row>
    <row r="123" spans="1:9">
      <c r="A123" s="11">
        <v>2093</v>
      </c>
      <c r="B123" s="13">
        <v>46086.370092592602</v>
      </c>
      <c r="C123" s="14" t="str">
        <v>DAIHATSU GRANMAX PU AC PS 1.5 M/T</v>
      </c>
      <c r="D123" s="14" t="str">
        <v>B2960MA</v>
      </c>
      <c r="E123" s="15">
        <v>61978</v>
      </c>
      <c r="F123" s="11" t="str">
        <v>Iya</v>
      </c>
      <c r="G123" s="13">
        <v>45944</v>
      </c>
      <c r="H123" s="16">
        <v>61978</v>
      </c>
      <c r="I123" s="3" t="str">
        <v>ADA</v>
      </c>
    </row>
    <row r="124" spans="1:9">
      <c r="A124" s="11">
        <v>2094</v>
      </c>
      <c r="B124" s="13">
        <v>46086.376967592587</v>
      </c>
      <c r="C124" s="14" t="str">
        <v>DAIHATSU GRANMAX PU AC PS 1.5 M/T</v>
      </c>
      <c r="D124" s="14" t="str">
        <v>B8955IB</v>
      </c>
      <c r="E124" s="15">
        <v>3553</v>
      </c>
      <c r="F124" s="11" t="str">
        <v>Iya</v>
      </c>
      <c r="G124" s="13">
        <v>45980</v>
      </c>
      <c r="H124" s="16">
        <v>3553</v>
      </c>
      <c r="I124" s="3" t="str">
        <v>ADA</v>
      </c>
    </row>
    <row r="125" spans="1:9">
      <c r="A125" s="11">
        <v>2095</v>
      </c>
      <c r="B125" s="13">
        <v>46086.409212962957</v>
      </c>
      <c r="C125" s="14" t="str">
        <v>DAIHATSU GRANMAX PU AC PS 1.5 M/T</v>
      </c>
      <c r="D125" s="14" t="str">
        <v>B6806LA</v>
      </c>
      <c r="E125" s="15">
        <v>17534</v>
      </c>
      <c r="F125" s="11" t="str">
        <v>Iya</v>
      </c>
      <c r="G125" s="13">
        <v>46064</v>
      </c>
      <c r="H125" s="16">
        <v>17534</v>
      </c>
      <c r="I125" s="3" t="str">
        <v>ADA</v>
      </c>
    </row>
    <row r="126" spans="1:9">
      <c r="A126" s="11">
        <v>2096</v>
      </c>
      <c r="B126" s="13">
        <v>46086.409953703696</v>
      </c>
      <c r="C126" s="14" t="str">
        <v>PICK UP TRAGA 2.5 4X2 MT D M/T</v>
      </c>
      <c r="D126" s="14" t="str">
        <v>B3306HX</v>
      </c>
      <c r="E126" s="15">
        <v>18893</v>
      </c>
      <c r="F126" s="11" t="str">
        <v>Iya</v>
      </c>
      <c r="G126" s="13">
        <v>46055</v>
      </c>
      <c r="H126" s="16">
        <v>18893</v>
      </c>
      <c r="I126" s="3" t="str">
        <v>ADA</v>
      </c>
    </row>
    <row r="127" spans="1:9">
      <c r="A127" s="11">
        <v>2097</v>
      </c>
      <c r="B127" s="13">
        <v>46086.413530092592</v>
      </c>
      <c r="C127" s="14" t="str">
        <v>DAIHATSU GRANMAX PU AC PS 1.5 M/T</v>
      </c>
      <c r="D127" s="14" t="str">
        <v>B6871DFH</v>
      </c>
      <c r="E127" s="15">
        <v>21785</v>
      </c>
      <c r="F127" s="11" t="str">
        <v>Iya</v>
      </c>
      <c r="G127" s="13">
        <v>46085</v>
      </c>
      <c r="H127" s="16">
        <v>21785</v>
      </c>
      <c r="I127" s="3" t="str">
        <v>ADA</v>
      </c>
    </row>
    <row r="128" spans="1:9">
      <c r="A128" s="11">
        <v>2098</v>
      </c>
      <c r="B128" s="13">
        <v>46086.414155092592</v>
      </c>
      <c r="C128" s="14" t="str">
        <v>PICK UP TRAGA 2.5 4X2 MT D M/T</v>
      </c>
      <c r="D128" s="14" t="str">
        <v>B3553JC</v>
      </c>
      <c r="E128" s="15">
        <v>31478</v>
      </c>
      <c r="F128" s="11" t="str">
        <v>Iya</v>
      </c>
      <c r="G128" s="13">
        <v>46066</v>
      </c>
      <c r="H128" s="16">
        <v>31478</v>
      </c>
      <c r="I128" s="3" t="str">
        <v>ADA</v>
      </c>
    </row>
    <row r="129" spans="1:9">
      <c r="A129" s="11">
        <v>2099</v>
      </c>
      <c r="B129" s="13">
        <v>46086.441712962973</v>
      </c>
      <c r="C129" s="14" t="str">
        <v>DAIHATSU GRANMAX PU AC PS 1.5 M/T</v>
      </c>
      <c r="D129" s="14" t="str">
        <v>B8385EAN</v>
      </c>
      <c r="E129" s="15">
        <v>24065</v>
      </c>
      <c r="F129" s="11" t="str">
        <v>Iya</v>
      </c>
      <c r="G129" s="13">
        <v>45992</v>
      </c>
      <c r="H129" s="16">
        <v>24065</v>
      </c>
      <c r="I129" s="3" t="str">
        <v>ADA</v>
      </c>
    </row>
    <row r="130" spans="1:9">
      <c r="A130" s="11">
        <v>2100</v>
      </c>
      <c r="B130" s="13">
        <v>46086.459351851852</v>
      </c>
      <c r="C130" s="14" t="str">
        <v>DAIHATSU GRANMAX PU AC PS 1.5 M/T</v>
      </c>
      <c r="D130" s="14" t="str">
        <v>B1073IH</v>
      </c>
      <c r="E130" s="15">
        <v>5186</v>
      </c>
      <c r="F130" s="11" t="str">
        <v>Iya</v>
      </c>
      <c r="G130" s="13">
        <v>45967</v>
      </c>
      <c r="H130" s="16">
        <v>5186</v>
      </c>
      <c r="I130" s="3" t="str">
        <v>ADA</v>
      </c>
    </row>
    <row r="131" spans="1:9">
      <c r="A131" s="11">
        <v>2101</v>
      </c>
      <c r="B131" s="13">
        <v>46086.477824074071</v>
      </c>
      <c r="C131" s="14" t="str">
        <v>DAIHATSU GRANMAX PU AC PS 1.5 M/T</v>
      </c>
      <c r="D131" s="14" t="str">
        <v>B1204ZZ</v>
      </c>
      <c r="E131" s="15">
        <v>25476</v>
      </c>
      <c r="F131" s="11" t="str">
        <v>Iya</v>
      </c>
      <c r="G131" s="13">
        <v>46029</v>
      </c>
      <c r="H131" s="16">
        <v>25476</v>
      </c>
      <c r="I131" s="3" t="str">
        <v>ADA</v>
      </c>
    </row>
    <row r="132" spans="1:9">
      <c r="A132" s="11">
        <v>2102</v>
      </c>
      <c r="B132" s="13">
        <v>46086.50341435185</v>
      </c>
      <c r="C132" s="14" t="str">
        <v>Daihatsu Xenia (Badan)</v>
      </c>
      <c r="D132" s="14" t="str">
        <v>B5066SRV</v>
      </c>
      <c r="E132" s="15">
        <v>21210</v>
      </c>
      <c r="F132" s="11" t="str">
        <v>Iya</v>
      </c>
      <c r="G132" s="13">
        <v>46035</v>
      </c>
      <c r="H132" s="16">
        <v>21210</v>
      </c>
      <c r="I132" s="3" t="str">
        <v>ADA</v>
      </c>
    </row>
    <row r="133" spans="1:9">
      <c r="A133" s="11">
        <v>2103</v>
      </c>
      <c r="B133" s="13">
        <v>46086.577696759261</v>
      </c>
      <c r="C133" s="14" t="str">
        <v>DAIHATSU GRANMAX PU AC PS 1.5 M/T</v>
      </c>
      <c r="D133" s="14" t="str">
        <v>B8144GH</v>
      </c>
      <c r="E133" s="15">
        <v>10832</v>
      </c>
      <c r="F133" s="11" t="str">
        <v>Iya</v>
      </c>
      <c r="G133" s="13">
        <v>46053</v>
      </c>
      <c r="H133" s="16">
        <v>10832</v>
      </c>
      <c r="I133" s="3" t="str">
        <v>ADA</v>
      </c>
    </row>
    <row r="134" spans="1:9">
      <c r="A134" s="11">
        <v>2104</v>
      </c>
      <c r="B134" s="13">
        <v>46086.588634259257</v>
      </c>
      <c r="C134" s="14" t="str">
        <v>DAIHATSU GRANMAX PU AC PS 1.5 M/T</v>
      </c>
      <c r="D134" s="14" t="str">
        <v>KT5836DY</v>
      </c>
      <c r="E134" s="15">
        <v>20743</v>
      </c>
      <c r="F134" s="11" t="str">
        <v>Iya</v>
      </c>
      <c r="G134" s="13">
        <v>45923</v>
      </c>
      <c r="H134" s="16">
        <v>20743</v>
      </c>
      <c r="I134" s="3" t="str">
        <v>ADA</v>
      </c>
    </row>
    <row r="135" spans="1:9">
      <c r="A135" s="11">
        <v>2105</v>
      </c>
      <c r="B135" s="13">
        <v>46086.647337962961</v>
      </c>
      <c r="C135" s="14" t="str">
        <v>PICK UP TRAGA 2.5 4X2 MT D M/T</v>
      </c>
      <c r="D135" s="14" t="str">
        <v>B9442AC</v>
      </c>
      <c r="E135" s="15">
        <v>30289</v>
      </c>
      <c r="F135" s="11" t="str">
        <v>Iya</v>
      </c>
      <c r="G135" s="13">
        <v>46037</v>
      </c>
      <c r="H135" s="16">
        <v>30289</v>
      </c>
      <c r="I135" s="3" t="str">
        <v>ADA</v>
      </c>
    </row>
    <row r="136" spans="1:9">
      <c r="A136" s="11">
        <v>2106</v>
      </c>
      <c r="B136" s="13">
        <v>46086.664618055547</v>
      </c>
      <c r="C136" s="14" t="str">
        <v>Daihatsu Xenia (Badan)</v>
      </c>
      <c r="D136" s="14" t="str">
        <v>B5062PCK</v>
      </c>
      <c r="E136" s="15">
        <v>97556</v>
      </c>
      <c r="F136" s="11" t="str">
        <v>Iya</v>
      </c>
      <c r="G136" s="13">
        <v>46057</v>
      </c>
      <c r="H136" s="16">
        <v>97556</v>
      </c>
      <c r="I136" s="3" t="str">
        <v>ADA</v>
      </c>
    </row>
    <row r="137" spans="1:9">
      <c r="A137" s="11">
        <v>2107</v>
      </c>
      <c r="B137" s="13">
        <v>46087.339363425926</v>
      </c>
      <c r="C137" s="14" t="str">
        <v>DAIHATSU GRANMAX PU AC PS 1.5 M/T</v>
      </c>
      <c r="D137" s="14" t="str">
        <v>B5612UFW</v>
      </c>
      <c r="E137" s="15">
        <v>26375</v>
      </c>
      <c r="F137" s="11" t="str">
        <v>Iya</v>
      </c>
      <c r="G137" s="13">
        <v>45854</v>
      </c>
      <c r="H137" s="16">
        <v>26375</v>
      </c>
      <c r="I137" s="3" t="str">
        <v>ADA</v>
      </c>
    </row>
    <row r="138" spans="1:9">
      <c r="A138" s="11">
        <v>2108</v>
      </c>
      <c r="B138" s="13">
        <v>46087.376076388893</v>
      </c>
      <c r="C138" s="14" t="str">
        <v>DAIHATSU GRANMAX PU AC PS 1.5 M/T</v>
      </c>
      <c r="D138" s="14" t="str">
        <v>B8878HRL</v>
      </c>
      <c r="E138" s="15">
        <v>8444</v>
      </c>
      <c r="F138" s="11" t="str">
        <v>Iya</v>
      </c>
      <c r="G138" s="13">
        <v>45952</v>
      </c>
      <c r="H138" s="16">
        <v>8444</v>
      </c>
      <c r="I138" s="3" t="str">
        <v>ADA</v>
      </c>
    </row>
    <row r="139" spans="1:9">
      <c r="A139" s="11">
        <v>2109</v>
      </c>
      <c r="B139" s="13">
        <v>46087.401967592603</v>
      </c>
      <c r="C139" s="14" t="str">
        <v>PICK UP TRAGA 2.5 4X2 MT D M/T</v>
      </c>
      <c r="D139" s="14" t="str">
        <v>B3079BPJ</v>
      </c>
      <c r="E139" s="15">
        <v>55586</v>
      </c>
      <c r="F139" s="11" t="str">
        <v>Iya</v>
      </c>
      <c r="G139" s="13">
        <v>46028</v>
      </c>
      <c r="H139" s="16">
        <v>55586</v>
      </c>
      <c r="I139" s="3" t="str">
        <v>ADA</v>
      </c>
    </row>
    <row r="140" spans="1:9">
      <c r="A140" s="11">
        <v>2110</v>
      </c>
      <c r="B140" s="13">
        <v>46087.442361111112</v>
      </c>
      <c r="C140" s="14" t="str">
        <v>PICK UP TRAGA 2.5 4X2 MT D M/T</v>
      </c>
      <c r="D140" s="14" t="str">
        <v>B3889CE</v>
      </c>
      <c r="E140" s="15">
        <v>22149</v>
      </c>
      <c r="F140" s="11" t="str">
        <v>Iya</v>
      </c>
      <c r="G140" s="13">
        <v>45932</v>
      </c>
      <c r="H140" s="16">
        <v>22149</v>
      </c>
      <c r="I140" s="3" t="str">
        <v>ADA</v>
      </c>
    </row>
    <row r="141" spans="1:9">
      <c r="A141" s="11">
        <v>2111</v>
      </c>
      <c r="B141" s="13">
        <v>46087.478784722232</v>
      </c>
      <c r="C141" s="14" t="str">
        <v>DAIHATSU GRANMAX PU AC PS 1.5 M/T</v>
      </c>
      <c r="D141" s="14" t="str">
        <v>B8740PD</v>
      </c>
      <c r="E141" s="15">
        <v>61302</v>
      </c>
      <c r="F141" s="11" t="str">
        <v>Iya</v>
      </c>
      <c r="G141" s="13">
        <v>46056</v>
      </c>
      <c r="H141" s="16">
        <v>61302</v>
      </c>
      <c r="I141" s="3" t="str">
        <v>ADA</v>
      </c>
    </row>
    <row r="142" spans="1:9">
      <c r="A142" s="11">
        <v>2112</v>
      </c>
      <c r="B142" s="13">
        <v>46087.632071759261</v>
      </c>
      <c r="C142" s="14" t="str">
        <v>DAIHATSU GRANMAX PU AC PS 1.5 M/T</v>
      </c>
      <c r="D142" s="14" t="str">
        <v>D8603EG</v>
      </c>
      <c r="E142" s="15">
        <v>22460</v>
      </c>
      <c r="F142" s="11" t="str">
        <v>Iya</v>
      </c>
      <c r="G142" s="13">
        <v>45878</v>
      </c>
      <c r="H142" s="16">
        <v>22460</v>
      </c>
      <c r="I142" s="3" t="str">
        <v>ADA</v>
      </c>
    </row>
    <row r="143" spans="1:9">
      <c r="A143" s="11">
        <v>2113</v>
      </c>
      <c r="B143" s="13">
        <v>46087.66642361111</v>
      </c>
      <c r="C143" s="14" t="str">
        <v>DAIHATSU GRANMAX PU AC PS 1.5 M/T</v>
      </c>
      <c r="D143" s="14" t="str">
        <v>B1080SUL</v>
      </c>
      <c r="E143" s="15">
        <v>17232</v>
      </c>
      <c r="F143" s="11" t="str">
        <v>Iya</v>
      </c>
      <c r="G143" s="13">
        <v>46074</v>
      </c>
      <c r="H143" s="16">
        <v>17232</v>
      </c>
      <c r="I143" s="3" t="str">
        <v>ADA</v>
      </c>
    </row>
    <row r="144" spans="1:9">
      <c r="A144" s="11">
        <v>2114</v>
      </c>
      <c r="B144" s="13">
        <v>46088.293726851851</v>
      </c>
      <c r="C144" s="14" t="str">
        <v>Daihatsu Xenia (Badan)</v>
      </c>
      <c r="D144" s="14" t="str">
        <v>B2503BE</v>
      </c>
      <c r="E144" s="15">
        <v>68695</v>
      </c>
      <c r="F144" s="11" t="str">
        <v>Iya</v>
      </c>
      <c r="G144" s="13">
        <v>46053</v>
      </c>
      <c r="H144" s="16">
        <v>68695</v>
      </c>
      <c r="I144" s="3" t="str">
        <v>ADA</v>
      </c>
    </row>
    <row r="145" spans="1:9">
      <c r="A145" s="11">
        <v>2115</v>
      </c>
      <c r="B145" s="13">
        <v>46088.475173611107</v>
      </c>
      <c r="C145" s="14" t="str">
        <v>Daihatsu Xenia (Badan)</v>
      </c>
      <c r="D145" s="14" t="str">
        <v>B2341ZVF</v>
      </c>
      <c r="E145" s="15">
        <v>6033</v>
      </c>
      <c r="F145" s="11" t="str">
        <v>Iya</v>
      </c>
      <c r="G145" s="13">
        <v>45966</v>
      </c>
      <c r="H145" s="16">
        <v>6033</v>
      </c>
      <c r="I145" s="3" t="str">
        <v>ADA</v>
      </c>
    </row>
    <row r="146" spans="1:9">
      <c r="A146" s="11">
        <v>2116</v>
      </c>
      <c r="B146" s="13">
        <v>46088.53628472222</v>
      </c>
      <c r="C146" s="14" t="str">
        <v>DAIHATSU GRANMAX PU AC PS 1.5 M/T</v>
      </c>
      <c r="D146" s="14" t="str">
        <v>B3982DUA</v>
      </c>
      <c r="E146" s="15">
        <v>108595</v>
      </c>
      <c r="F146" s="11" t="str">
        <v>Iya</v>
      </c>
      <c r="G146" s="13">
        <v>46045</v>
      </c>
      <c r="H146" s="16">
        <v>108595</v>
      </c>
      <c r="I146" s="3" t="str">
        <v>TIDAK ADA</v>
      </c>
    </row>
    <row r="147" spans="1:9">
      <c r="A147" s="11">
        <v>2117</v>
      </c>
      <c r="B147" s="13">
        <v>46090.39130787037</v>
      </c>
      <c r="C147" s="14" t="str">
        <v>PICK UP TRAGA 2.5 4X2 MT D M/T</v>
      </c>
      <c r="D147" s="14" t="str">
        <v>H6818GV</v>
      </c>
      <c r="E147" s="15">
        <v>49802</v>
      </c>
      <c r="F147" s="11" t="str">
        <v>Iya</v>
      </c>
      <c r="G147" s="13">
        <v>46001</v>
      </c>
      <c r="H147" s="16">
        <v>49802</v>
      </c>
      <c r="I147" s="3" t="str">
        <v>ADA</v>
      </c>
    </row>
    <row r="148" spans="1:9">
      <c r="A148" s="11">
        <v>2118</v>
      </c>
      <c r="B148" s="13">
        <v>46090.422974537039</v>
      </c>
      <c r="C148" s="14" t="str">
        <v>DAIHATSU GRANMAX PU AC PS 1.5 M/T</v>
      </c>
      <c r="D148" s="14" t="str">
        <v>B7390TQ</v>
      </c>
      <c r="E148" s="15">
        <v>47776</v>
      </c>
      <c r="F148" s="11" t="str">
        <v>Iya</v>
      </c>
      <c r="G148" s="13">
        <v>46031</v>
      </c>
      <c r="H148" s="16">
        <v>47776</v>
      </c>
      <c r="I148" s="3" t="str">
        <v>ADA</v>
      </c>
    </row>
    <row r="149" spans="1:9">
      <c r="A149" s="11">
        <v>2119</v>
      </c>
      <c r="B149" s="13">
        <v>46090.464456018519</v>
      </c>
      <c r="C149" s="14" t="str">
        <v>DAIHATSU GRANMAX PU AC PS 1.5 M/T</v>
      </c>
      <c r="D149" s="14" t="str">
        <v>B8230YP</v>
      </c>
      <c r="E149" s="15">
        <v>33220</v>
      </c>
      <c r="F149" s="11" t="str">
        <v>Iya</v>
      </c>
      <c r="G149" s="13">
        <v>46087</v>
      </c>
      <c r="H149" s="16">
        <v>33220</v>
      </c>
      <c r="I149" s="3" t="str">
        <v>ADA</v>
      </c>
    </row>
    <row r="150" spans="1:9">
      <c r="A150" s="11">
        <v>2120</v>
      </c>
      <c r="B150" s="13">
        <v>46090.519166666672</v>
      </c>
      <c r="C150" s="14" t="str">
        <v>Daihatsu Xenia (Badan)</v>
      </c>
      <c r="D150" s="14" t="str">
        <v>B2034KCH</v>
      </c>
      <c r="E150" s="15">
        <v>113898</v>
      </c>
      <c r="F150" s="11" t="str">
        <v>Iya</v>
      </c>
      <c r="G150" s="13">
        <v>46088</v>
      </c>
      <c r="H150" s="16">
        <v>113898</v>
      </c>
      <c r="I150" s="3" t="str">
        <v>ADA</v>
      </c>
    </row>
    <row r="151" spans="1:9">
      <c r="A151" s="11">
        <v>2121</v>
      </c>
      <c r="B151" s="13">
        <v>46090.543402777781</v>
      </c>
      <c r="C151" s="14" t="str">
        <v>PICK UP TRAGA 2.5 4X2 MT D M/T</v>
      </c>
      <c r="D151" s="14" t="str">
        <v>B2886XC</v>
      </c>
      <c r="E151" s="15">
        <v>21609</v>
      </c>
      <c r="F151" s="11" t="str">
        <v>Iya</v>
      </c>
      <c r="G151" s="13">
        <v>46087</v>
      </c>
      <c r="H151" s="16">
        <v>21609</v>
      </c>
      <c r="I151" s="3" t="str">
        <v>ADA</v>
      </c>
    </row>
    <row r="152" spans="1:9">
      <c r="A152" s="11">
        <v>2122</v>
      </c>
      <c r="B152" s="13">
        <v>46091.38071759259</v>
      </c>
      <c r="C152" s="14" t="str">
        <v>DAIHATSU GRANMAX PU AC PS 1.5 M/T</v>
      </c>
      <c r="D152" s="14" t="str">
        <v>B2639ZDE</v>
      </c>
      <c r="E152" s="15">
        <v>16282</v>
      </c>
      <c r="F152" s="11" t="str">
        <v>Iya</v>
      </c>
      <c r="G152" s="13">
        <v>46090</v>
      </c>
      <c r="H152" s="16">
        <v>16282</v>
      </c>
      <c r="I152" s="3" t="str">
        <v>ADA</v>
      </c>
    </row>
    <row r="153" spans="1:9">
      <c r="A153" s="11">
        <v>2123</v>
      </c>
      <c r="B153" s="13">
        <v>46091.660208333327</v>
      </c>
      <c r="C153" s="14" t="str">
        <v>DAIHATSU GRANMAX PU AC PS 1.5 M/T</v>
      </c>
      <c r="D153" s="14" t="str">
        <v>B6337MTM</v>
      </c>
      <c r="E153" s="15">
        <v>3041</v>
      </c>
      <c r="F153" s="11" t="str">
        <v>Iya</v>
      </c>
      <c r="G153" s="13">
        <v>46067</v>
      </c>
      <c r="H153" s="16">
        <v>3041</v>
      </c>
      <c r="I153" s="3" t="str">
        <v>ADA</v>
      </c>
    </row>
    <row r="154" spans="1:9">
      <c r="A154" s="11">
        <v>2124</v>
      </c>
      <c r="B154" s="13">
        <v>46091.693530092591</v>
      </c>
      <c r="C154" s="14" t="str">
        <v>DAIHATSU GRANMAX PU AC PS 1.5 M/T</v>
      </c>
      <c r="D154" s="14" t="str">
        <v>KT1997VYG</v>
      </c>
      <c r="E154" s="15">
        <v>5071</v>
      </c>
      <c r="F154" s="11" t="str">
        <v>Iya</v>
      </c>
      <c r="G154" s="13">
        <v>46091</v>
      </c>
      <c r="H154" s="16">
        <v>5071</v>
      </c>
      <c r="I154" s="3" t="str">
        <v>ADA</v>
      </c>
    </row>
    <row r="155" spans="1:9">
      <c r="A155" s="11">
        <v>2125</v>
      </c>
      <c r="B155" s="13">
        <v>46091.711701388893</v>
      </c>
      <c r="C155" s="14" t="str">
        <v>DAIHATSU GRANMAX PU AC PS 1.5 M/T</v>
      </c>
      <c r="D155" s="14" t="str">
        <v>B6407IG</v>
      </c>
      <c r="E155" s="15">
        <v>2108</v>
      </c>
      <c r="F155" s="11" t="str">
        <v>Iya</v>
      </c>
      <c r="G155" s="13">
        <v>46351</v>
      </c>
      <c r="H155" s="16">
        <v>2108</v>
      </c>
      <c r="I155" s="3" t="str">
        <v>ADA</v>
      </c>
    </row>
    <row r="156" spans="1:9">
      <c r="A156" s="11">
        <v>2126</v>
      </c>
      <c r="B156" s="13">
        <v>46092.591087962966</v>
      </c>
      <c r="C156" s="14" t="str">
        <v>DAIHATSU GRANMAX PU AC PS 1.5 M/T</v>
      </c>
      <c r="D156" s="14" t="str">
        <v>B4356XF</v>
      </c>
      <c r="E156" s="15">
        <v>43635</v>
      </c>
      <c r="F156" s="11" t="str">
        <v>Iya</v>
      </c>
      <c r="G156" s="13">
        <v>46042</v>
      </c>
      <c r="H156" s="16">
        <v>43635</v>
      </c>
      <c r="I156" s="3" t="str">
        <v>ADA</v>
      </c>
    </row>
    <row r="157" spans="1:9">
      <c r="A157" s="11">
        <v>2127</v>
      </c>
      <c r="B157" s="13">
        <v>46092.673356481479</v>
      </c>
      <c r="C157" s="14" t="str">
        <v>DAIHATSU GRANMAX PU AC PS 1.5 M/T</v>
      </c>
      <c r="D157" s="14" t="str">
        <v>B7135IN</v>
      </c>
      <c r="E157" s="15">
        <v>24621</v>
      </c>
      <c r="F157" s="11" t="str">
        <v>Iya</v>
      </c>
      <c r="G157" s="13">
        <v>46092</v>
      </c>
      <c r="H157" s="16">
        <v>24621</v>
      </c>
      <c r="I157" s="3" t="str">
        <v>ADA</v>
      </c>
    </row>
    <row r="158" spans="1:9">
      <c r="A158" s="11">
        <v>2128</v>
      </c>
      <c r="B158" s="13">
        <v>46092.703645833331</v>
      </c>
      <c r="C158" s="14" t="str">
        <v>Daihatsu Xenia (Badan)</v>
      </c>
      <c r="D158" s="14" t="str">
        <v>B2652NS</v>
      </c>
      <c r="E158" s="15">
        <v>50071</v>
      </c>
      <c r="F158" s="11" t="str">
        <v>Iya</v>
      </c>
      <c r="G158" s="13">
        <v>46092</v>
      </c>
      <c r="H158" s="16">
        <v>50071</v>
      </c>
      <c r="I158" s="3" t="str">
        <v>ADA</v>
      </c>
    </row>
    <row r="159" spans="1:9">
      <c r="A159" s="11">
        <v>2129</v>
      </c>
      <c r="B159" s="13">
        <v>46092.719918981478</v>
      </c>
      <c r="C159" s="14" t="str">
        <v>DAIHATSU GRANMAX PU AC PS 1.5 M/T</v>
      </c>
      <c r="D159" s="14" t="str">
        <v>b5038csc</v>
      </c>
      <c r="E159" s="15">
        <v>17656</v>
      </c>
      <c r="F159" s="11" t="str">
        <v>Iya</v>
      </c>
      <c r="G159" s="13">
        <v>46092</v>
      </c>
      <c r="H159" s="16">
        <v>17656</v>
      </c>
      <c r="I159" s="3" t="str">
        <v>ADA</v>
      </c>
    </row>
    <row r="160" spans="1:9">
      <c r="A160" s="11">
        <v>2130</v>
      </c>
      <c r="B160" s="13">
        <v>46092.722094907411</v>
      </c>
      <c r="C160" s="14" t="str">
        <v>DAIHATSU GRANMAX PU AC PS 1.5 M/T</v>
      </c>
      <c r="D160" s="14" t="str">
        <v>B1513KJ</v>
      </c>
      <c r="E160" s="15">
        <v>10479</v>
      </c>
      <c r="F160" s="11" t="str">
        <v>Iya</v>
      </c>
      <c r="G160" s="13">
        <v>45936</v>
      </c>
      <c r="H160" s="16">
        <v>10479</v>
      </c>
      <c r="I160" s="3" t="str">
        <v>ADA</v>
      </c>
    </row>
    <row r="161" spans="1:9">
      <c r="A161" s="11">
        <v>2131</v>
      </c>
      <c r="B161" s="13">
        <v>46093.374675925923</v>
      </c>
      <c r="C161" s="14" t="str">
        <v>DAIHATSU GRANMAX PU AC PS 1.5 M/T</v>
      </c>
      <c r="D161" s="14" t="str">
        <v>DD9729YV</v>
      </c>
      <c r="E161" s="15">
        <v>55044</v>
      </c>
      <c r="F161" s="11" t="str">
        <v>Iya</v>
      </c>
      <c r="G161" s="13">
        <v>46051</v>
      </c>
      <c r="H161" s="16">
        <v>55044</v>
      </c>
      <c r="I161" s="3" t="str">
        <v>ADA</v>
      </c>
    </row>
    <row r="162" spans="1:9">
      <c r="A162" s="11">
        <v>2132</v>
      </c>
      <c r="B162" s="13">
        <v>46093.492592592593</v>
      </c>
      <c r="C162" s="14" t="str">
        <v>Daihatsu Xenia (Badan)</v>
      </c>
      <c r="D162" s="14" t="str">
        <v>H8376YB</v>
      </c>
      <c r="E162" s="15">
        <v>54275</v>
      </c>
      <c r="F162" s="11" t="str">
        <v>Iya</v>
      </c>
      <c r="G162" s="13">
        <v>46093</v>
      </c>
      <c r="H162" s="16">
        <v>54275</v>
      </c>
      <c r="I162" s="3" t="str">
        <v>ADA</v>
      </c>
    </row>
    <row r="163" spans="1:9">
      <c r="A163" s="11">
        <v>2133</v>
      </c>
      <c r="B163" s="13">
        <v>46093.622430555559</v>
      </c>
      <c r="C163" s="14" t="str">
        <v>PICK UP TRAGA 2.5 4X2 MT D M/T</v>
      </c>
      <c r="D163" s="14" t="str">
        <v>B4784VXS</v>
      </c>
      <c r="E163" s="15">
        <v>90157</v>
      </c>
      <c r="F163" s="11" t="str">
        <v>Iya</v>
      </c>
      <c r="G163" s="13">
        <v>46093</v>
      </c>
      <c r="H163" s="16">
        <v>90157</v>
      </c>
      <c r="I163" s="3" t="str">
        <v>ADA</v>
      </c>
    </row>
    <row r="164" spans="1:9">
      <c r="A164" s="11">
        <v>2134</v>
      </c>
      <c r="B164" s="13">
        <v>46093.630335648151</v>
      </c>
      <c r="C164" s="14" t="str">
        <v>DAIHATSU GRANMAX PU AC PS 1.5 M/T</v>
      </c>
      <c r="D164" s="14" t="str">
        <v>D8668TS</v>
      </c>
      <c r="E164" s="15">
        <v>30678</v>
      </c>
      <c r="F164" s="11" t="str">
        <v>Iya</v>
      </c>
      <c r="G164" s="13">
        <v>45980</v>
      </c>
      <c r="H164" s="16">
        <v>30678</v>
      </c>
      <c r="I164" s="3" t="str">
        <v>ADA</v>
      </c>
    </row>
    <row r="165" spans="1:9">
      <c r="A165" s="11">
        <v>2135</v>
      </c>
      <c r="B165" s="13">
        <v>46093.638726851852</v>
      </c>
      <c r="C165" s="14" t="str">
        <v>Daihatsu Xenia (Badan)</v>
      </c>
      <c r="D165" s="14" t="str">
        <v>B6257GSZ</v>
      </c>
      <c r="E165" s="15">
        <v>21020</v>
      </c>
      <c r="F165" s="11" t="str">
        <v>Iya</v>
      </c>
      <c r="G165" s="13">
        <v>46090</v>
      </c>
      <c r="H165" s="16">
        <v>21020</v>
      </c>
      <c r="I165" s="3" t="str">
        <v>ADA</v>
      </c>
    </row>
    <row r="166" spans="1:9">
      <c r="A166" s="11">
        <v>2136</v>
      </c>
      <c r="B166" s="13">
        <v>46093.654062499998</v>
      </c>
      <c r="C166" s="14" t="str">
        <v>PICK UP TRAGA 2.5 4X2 MT D M/T</v>
      </c>
      <c r="D166" s="14" t="str">
        <v>DM5212DL</v>
      </c>
      <c r="E166" s="15">
        <v>14389</v>
      </c>
      <c r="F166" s="11" t="str">
        <v>Iya</v>
      </c>
      <c r="G166" s="13">
        <v>46044</v>
      </c>
      <c r="H166" s="16">
        <v>14389</v>
      </c>
      <c r="I166" s="3" t="str">
        <v>ADA</v>
      </c>
    </row>
    <row r="167" spans="1:9">
      <c r="A167" s="11">
        <v>2137</v>
      </c>
      <c r="B167" s="13">
        <v>46093.806250000001</v>
      </c>
      <c r="C167" s="14" t="str">
        <v>DAIHATSU GRANMAX PU AC PS 1.5 M/T</v>
      </c>
      <c r="D167" s="14" t="str">
        <v>B5388UQ</v>
      </c>
      <c r="E167" s="15">
        <v>53253</v>
      </c>
      <c r="F167" s="11" t="str">
        <v>Iya</v>
      </c>
      <c r="G167" s="13">
        <v>45992</v>
      </c>
      <c r="H167" s="16">
        <v>53253</v>
      </c>
      <c r="I167" s="3" t="str">
        <v>ADA</v>
      </c>
    </row>
    <row r="168" spans="1:9">
      <c r="A168" s="11">
        <v>2138</v>
      </c>
      <c r="B168" s="13">
        <v>46094.46193287037</v>
      </c>
      <c r="C168" s="14" t="str">
        <v>DAIHATSU GRANMAX PU AC PS 1.5 M/T</v>
      </c>
      <c r="D168" s="14" t="str">
        <v>B7223XEX</v>
      </c>
      <c r="E168" s="15">
        <v>61375</v>
      </c>
      <c r="F168" s="11" t="str">
        <v>Iya</v>
      </c>
      <c r="G168" s="13">
        <v>46094</v>
      </c>
      <c r="H168" s="16">
        <v>61375</v>
      </c>
      <c r="I168" s="3" t="str">
        <v>ADA</v>
      </c>
    </row>
    <row r="169" spans="1:9">
      <c r="A169" s="11">
        <v>2139</v>
      </c>
      <c r="B169" s="13">
        <v>46095.370995370373</v>
      </c>
      <c r="C169" s="14" t="str">
        <v>DAIHATSU GRANMAX PU AC PS 1.5 M/T</v>
      </c>
      <c r="D169" s="14" t="str">
        <v>B2020TJ</v>
      </c>
      <c r="E169" s="15">
        <v>2839</v>
      </c>
      <c r="F169" s="11" t="str">
        <v>Iya</v>
      </c>
      <c r="G169" s="13">
        <v>45967</v>
      </c>
      <c r="H169" s="16">
        <v>2839</v>
      </c>
      <c r="I169" s="3" t="str">
        <v>ADA</v>
      </c>
    </row>
    <row r="170" spans="1:9">
      <c r="A170" s="11">
        <v>2140</v>
      </c>
      <c r="B170" s="13">
        <v>46095.484131944453</v>
      </c>
      <c r="C170" s="14" t="str">
        <v>DAIHATSU GRANMAX PU AC PS 1.5 M/T</v>
      </c>
      <c r="D170" s="14" t="str">
        <v>B5750IQ</v>
      </c>
      <c r="E170" s="15">
        <v>55866</v>
      </c>
      <c r="F170" s="11" t="str">
        <v>Iya</v>
      </c>
      <c r="G170" s="13">
        <v>45913</v>
      </c>
      <c r="H170" s="16">
        <v>55866</v>
      </c>
      <c r="I170" s="3" t="str">
        <v>TIDAK ADA</v>
      </c>
    </row>
    <row r="171" spans="1:9">
      <c r="A171" s="11">
        <v>2141</v>
      </c>
      <c r="B171" s="13">
        <v>46095.518946759257</v>
      </c>
      <c r="C171" s="14" t="str">
        <v>DAIHATSU GRANMAX PU AC PS 1.5 M/T</v>
      </c>
      <c r="D171" s="14" t="str">
        <v>B6224AT</v>
      </c>
      <c r="E171" s="15">
        <v>24109</v>
      </c>
      <c r="F171" s="11" t="str">
        <v>Iya</v>
      </c>
      <c r="G171" s="13">
        <v>46008</v>
      </c>
      <c r="H171" s="16">
        <v>24109</v>
      </c>
      <c r="I171" s="3" t="str">
        <v>ADA</v>
      </c>
    </row>
    <row r="172" spans="1:9">
      <c r="A172" s="11">
        <v>2142</v>
      </c>
      <c r="B172" s="13">
        <v>46097.341909722221</v>
      </c>
      <c r="C172" s="14" t="str">
        <v>PICK UP TRAGA 2.5 4X2 MT D M/T</v>
      </c>
      <c r="D172" s="14" t="str">
        <v>B1356KE</v>
      </c>
      <c r="E172" s="15">
        <v>48511</v>
      </c>
      <c r="F172" s="11" t="str">
        <v>Iya</v>
      </c>
      <c r="G172" s="13">
        <v>45895</v>
      </c>
      <c r="H172" s="16">
        <v>48511</v>
      </c>
      <c r="I172" s="3" t="str">
        <v>ADA</v>
      </c>
    </row>
    <row r="173" spans="1:9">
      <c r="A173" s="11">
        <v>2143</v>
      </c>
      <c r="B173" s="13">
        <v>46097.344050925924</v>
      </c>
      <c r="C173" s="14" t="str">
        <v>DAIHATSU GRANMAX PU AC PS 1.5 M/T</v>
      </c>
      <c r="D173" s="14" t="str">
        <v>B3473LI</v>
      </c>
      <c r="E173" s="15">
        <v>27819</v>
      </c>
      <c r="F173" s="11" t="str">
        <v>Iya</v>
      </c>
      <c r="G173" s="13">
        <v>45982</v>
      </c>
      <c r="H173" s="16">
        <v>27819</v>
      </c>
      <c r="I173" s="3" t="str">
        <v>ADA</v>
      </c>
    </row>
    <row r="174" spans="1:9">
      <c r="A174" s="11">
        <v>2144</v>
      </c>
      <c r="B174" s="13">
        <v>46097.358506944453</v>
      </c>
      <c r="C174" s="14" t="str">
        <v>DAIHATSU GRANMAX PU AC PS 1.5 M/T</v>
      </c>
      <c r="D174" s="14" t="str">
        <v>B6876VS</v>
      </c>
      <c r="E174" s="15">
        <v>30</v>
      </c>
      <c r="F174" s="11" t="str">
        <v>Iya</v>
      </c>
      <c r="G174" s="13">
        <v>46088</v>
      </c>
      <c r="H174" s="16">
        <v>30</v>
      </c>
      <c r="I174" s="3" t="str">
        <v>ADA</v>
      </c>
    </row>
    <row r="175" spans="1:9">
      <c r="A175" s="11">
        <v>2145</v>
      </c>
      <c r="B175" s="13">
        <v>46097.371504629627</v>
      </c>
      <c r="C175" s="14" t="str">
        <v>DAIHATSU GRANMAX PU AC PS 1.5 M/T</v>
      </c>
      <c r="D175" s="14" t="str">
        <v>B4034IWU</v>
      </c>
      <c r="E175" s="15">
        <v>36393</v>
      </c>
      <c r="F175" s="11" t="str">
        <v>Iya</v>
      </c>
      <c r="G175" s="13">
        <v>46094</v>
      </c>
      <c r="H175" s="16">
        <v>36393</v>
      </c>
      <c r="I175" s="3" t="str">
        <v>ADA</v>
      </c>
    </row>
    <row r="176" spans="1:9">
      <c r="A176" s="11">
        <v>2146</v>
      </c>
      <c r="B176" s="13">
        <v>46097.383680555547</v>
      </c>
      <c r="C176" s="14" t="str">
        <v>PICK UP TRAGA 2.5 4X2 MT D M/T</v>
      </c>
      <c r="D176" s="14" t="str">
        <v>B4196MS</v>
      </c>
      <c r="E176" s="15">
        <v>23084</v>
      </c>
      <c r="F176" s="11" t="str">
        <v>Iya</v>
      </c>
      <c r="G176" s="13">
        <v>45912</v>
      </c>
      <c r="H176" s="16">
        <v>23084</v>
      </c>
      <c r="I176" s="3" t="str">
        <v>ADA</v>
      </c>
    </row>
    <row r="177" spans="1:9">
      <c r="A177" s="11">
        <v>2147</v>
      </c>
      <c r="B177" s="13">
        <v>46097.38380787037</v>
      </c>
      <c r="C177" s="14" t="str">
        <v>PICK UP TRAGA 2.5 4X2 MT D M/T</v>
      </c>
      <c r="D177" s="14" t="str">
        <v>B2404HI</v>
      </c>
      <c r="E177" s="15">
        <v>36935</v>
      </c>
      <c r="F177" s="11" t="str">
        <v>Iya</v>
      </c>
      <c r="G177" s="13">
        <v>45848</v>
      </c>
      <c r="H177" s="16">
        <v>36935</v>
      </c>
      <c r="I177" s="3" t="str">
        <v>ADA</v>
      </c>
    </row>
    <row r="178" spans="1:9">
      <c r="A178" s="11">
        <v>2148</v>
      </c>
      <c r="B178" s="13">
        <v>46097.428101851852</v>
      </c>
      <c r="C178" s="14" t="str">
        <v>Daihatsu Xenia (Badan)</v>
      </c>
      <c r="D178" s="14" t="str">
        <v>B3472IIU</v>
      </c>
      <c r="E178" s="15">
        <v>87347</v>
      </c>
      <c r="F178" s="11" t="str">
        <v>Iya</v>
      </c>
      <c r="G178" s="13">
        <v>46062</v>
      </c>
      <c r="H178" s="16">
        <v>87347</v>
      </c>
      <c r="I178" s="3" t="str">
        <v>ADA</v>
      </c>
    </row>
    <row r="179" spans="1:9">
      <c r="A179" s="11">
        <v>2149</v>
      </c>
      <c r="B179" s="13">
        <v>46097.482511574082</v>
      </c>
      <c r="C179" s="14" t="str">
        <v>DAIHATSU GRANMAX PU AC PS 1.5 M/T</v>
      </c>
      <c r="D179" s="14" t="str">
        <v>B8132XW</v>
      </c>
      <c r="E179" s="15">
        <v>41041</v>
      </c>
      <c r="F179" s="11" t="str">
        <v>Iya</v>
      </c>
      <c r="G179" s="13">
        <v>45927</v>
      </c>
      <c r="H179" s="16">
        <v>41041</v>
      </c>
      <c r="I179" s="3" t="str">
        <v>ADA</v>
      </c>
    </row>
    <row r="180" spans="1:9">
      <c r="A180" s="11">
        <v>2150</v>
      </c>
      <c r="B180" s="13">
        <v>46106.673680555563</v>
      </c>
      <c r="C180" s="14" t="str">
        <v>DAIHATSU GRANMAX PU AC PS 1.5 M/T</v>
      </c>
      <c r="D180" s="14" t="str">
        <v>B8249PLF</v>
      </c>
      <c r="E180" s="15">
        <v>20867</v>
      </c>
      <c r="F180" s="11" t="str">
        <v>Iya</v>
      </c>
      <c r="G180" s="13">
        <v>46106</v>
      </c>
      <c r="H180" s="16">
        <v>20867</v>
      </c>
      <c r="I180" s="3" t="str">
        <v>ADA</v>
      </c>
    </row>
    <row r="181" spans="1:9">
      <c r="A181" s="11">
        <v>2151</v>
      </c>
      <c r="B181" s="13">
        <v>46106.67391203704</v>
      </c>
      <c r="C181" s="14" t="str">
        <v>DAIHATSU GRANMAX PU AC PS 1.5 M/T</v>
      </c>
      <c r="D181" s="14" t="str">
        <v>B1960LKY</v>
      </c>
      <c r="E181" s="15">
        <v>57045</v>
      </c>
      <c r="F181" s="11" t="str">
        <v>Iya</v>
      </c>
      <c r="G181" s="13">
        <v>46093</v>
      </c>
      <c r="H181" s="16">
        <v>57045</v>
      </c>
      <c r="I181" s="3" t="str">
        <v>ADA</v>
      </c>
    </row>
    <row r="182" spans="1:9">
      <c r="A182" s="11">
        <v>2152</v>
      </c>
      <c r="B182" s="13">
        <v>46106.675787037027</v>
      </c>
      <c r="C182" s="14" t="str">
        <v>DAIHATSU GRANMAX PU AC PS 1.5 M/T</v>
      </c>
      <c r="D182" s="14" t="str">
        <v>B7187UV</v>
      </c>
      <c r="E182" s="15">
        <v>4401</v>
      </c>
      <c r="F182" s="11" t="str">
        <v>Iya</v>
      </c>
      <c r="G182" s="13">
        <v>46053</v>
      </c>
      <c r="H182" s="16">
        <v>4401</v>
      </c>
      <c r="I182" s="3" t="str">
        <v>ADA</v>
      </c>
    </row>
    <row r="183" spans="1:9">
      <c r="A183" s="11">
        <v>2153</v>
      </c>
      <c r="B183" s="13">
        <v>46106.678240740737</v>
      </c>
      <c r="C183" s="14" t="str">
        <v>DAIHATSU GRANMAX PU AC PS 1.5 M/T</v>
      </c>
      <c r="D183" s="14" t="str">
        <v>B4786BT</v>
      </c>
      <c r="E183" s="15">
        <v>33768</v>
      </c>
      <c r="F183" s="11" t="str">
        <v>Iya</v>
      </c>
      <c r="G183" s="13">
        <v>46044</v>
      </c>
      <c r="H183" s="16">
        <v>33768</v>
      </c>
      <c r="I183" s="3" t="str">
        <v>ADA</v>
      </c>
    </row>
    <row r="184" spans="1:9">
      <c r="A184" s="11">
        <v>2154</v>
      </c>
      <c r="B184" s="13">
        <v>46106.684988425928</v>
      </c>
      <c r="C184" s="14" t="str">
        <v>PICK UP TRAGA 2.5 4X2 MT D M/T</v>
      </c>
      <c r="D184" s="14" t="str">
        <v>B2184PF</v>
      </c>
      <c r="E184" s="15">
        <v>15097</v>
      </c>
      <c r="F184" s="11" t="str">
        <v>Iya</v>
      </c>
      <c r="G184" s="13">
        <v>46001</v>
      </c>
      <c r="H184" s="16">
        <v>15097</v>
      </c>
      <c r="I184" s="3" t="str">
        <v>ADA</v>
      </c>
    </row>
    <row r="185" spans="1:9">
      <c r="A185" s="11">
        <v>2155</v>
      </c>
      <c r="B185" s="13">
        <v>46106.692685185182</v>
      </c>
      <c r="C185" s="14" t="str">
        <v>PICK UP TRAGA 2.5 4X2 MT D M/T</v>
      </c>
      <c r="D185" s="14" t="str">
        <v>B6874UZA</v>
      </c>
      <c r="E185" s="15">
        <v>59352</v>
      </c>
      <c r="F185" s="11" t="str">
        <v>Iya</v>
      </c>
      <c r="G185" s="13">
        <v>46048</v>
      </c>
      <c r="H185" s="16">
        <v>59352</v>
      </c>
      <c r="I185" s="3" t="str">
        <v>ADA</v>
      </c>
    </row>
    <row r="186" spans="1:9">
      <c r="A186" s="11">
        <v>2156</v>
      </c>
      <c r="B186" s="13">
        <v>46106.694085648152</v>
      </c>
      <c r="C186" s="14" t="str">
        <v>DAIHATSU GRANMAX PU AC PS 1.5 M/T</v>
      </c>
      <c r="D186" s="14" t="str">
        <v>B5572LYP</v>
      </c>
      <c r="E186" s="15">
        <v>22555</v>
      </c>
      <c r="F186" s="11" t="str">
        <v>Iya</v>
      </c>
      <c r="G186" s="13">
        <v>45941</v>
      </c>
      <c r="H186" s="16">
        <v>22555</v>
      </c>
      <c r="I186" s="3" t="str">
        <v>ADA</v>
      </c>
    </row>
    <row r="187" spans="1:9">
      <c r="A187" s="11">
        <v>2157</v>
      </c>
      <c r="B187" s="13">
        <v>46106.702280092592</v>
      </c>
      <c r="C187" s="14" t="str">
        <v>DAIHATSU GRANMAX PU AC PS 1.5 M/T</v>
      </c>
      <c r="D187" s="14" t="str">
        <v>B6936PI</v>
      </c>
      <c r="E187" s="15">
        <v>1238</v>
      </c>
      <c r="F187" s="11" t="str">
        <v>Iya</v>
      </c>
      <c r="G187" s="13">
        <v>45996</v>
      </c>
      <c r="H187" s="16">
        <v>1238</v>
      </c>
      <c r="I187" s="3" t="str">
        <v>ADA</v>
      </c>
    </row>
    <row r="188" spans="1:9">
      <c r="A188" s="11">
        <v>2158</v>
      </c>
      <c r="B188" s="13">
        <v>46106.715590277781</v>
      </c>
      <c r="C188" s="14" t="str">
        <v>DAIHATSU GRANMAX PU AC PS 1.5 M/T</v>
      </c>
      <c r="D188" s="14" t="str">
        <v>KB7221ZEE</v>
      </c>
      <c r="E188" s="15">
        <v>63907</v>
      </c>
      <c r="F188" s="11" t="str">
        <v>Iya</v>
      </c>
      <c r="G188" s="13">
        <v>45960</v>
      </c>
      <c r="H188" s="16">
        <v>63907</v>
      </c>
      <c r="I188" s="3" t="str">
        <v>ADA</v>
      </c>
    </row>
    <row r="189" spans="1:9">
      <c r="A189" s="11">
        <v>2159</v>
      </c>
      <c r="B189" s="13">
        <v>46106.717476851853</v>
      </c>
      <c r="C189" s="14" t="str">
        <v>DAIHATSU GRANMAX PU AC PS 1.5 M/T</v>
      </c>
      <c r="D189" s="14" t="str">
        <v>H3059ZKJ</v>
      </c>
      <c r="E189" s="15">
        <v>13137</v>
      </c>
      <c r="F189" s="11" t="str">
        <v>Iya</v>
      </c>
      <c r="G189" s="13">
        <v>46062</v>
      </c>
      <c r="H189" s="16">
        <v>13137</v>
      </c>
      <c r="I189" s="3" t="str">
        <v>ADA</v>
      </c>
    </row>
    <row r="190" spans="1:9">
      <c r="A190" s="11">
        <v>2160</v>
      </c>
      <c r="B190" s="13">
        <v>46106.718101851853</v>
      </c>
      <c r="C190" s="14" t="str">
        <v>DAIHATSU GRANMAX PU AC PS 1.5 M/T</v>
      </c>
      <c r="D190" s="14" t="str">
        <v>B6999PZ</v>
      </c>
      <c r="E190" s="15">
        <v>27042</v>
      </c>
      <c r="F190" s="11" t="str">
        <v>Iya</v>
      </c>
      <c r="G190" s="13">
        <v>46064</v>
      </c>
      <c r="H190" s="16">
        <v>27042</v>
      </c>
      <c r="I190" s="3" t="str">
        <v>ADA</v>
      </c>
    </row>
    <row r="191" spans="1:9">
      <c r="A191" s="11">
        <v>2161</v>
      </c>
      <c r="B191" s="13">
        <v>46106.730057870373</v>
      </c>
      <c r="C191" s="14" t="str">
        <v>DAIHATSU GRANMAX PU AC PS 1.5 M/T</v>
      </c>
      <c r="D191" s="14" t="str">
        <v>KT8120IVX</v>
      </c>
      <c r="E191" s="15">
        <v>12646</v>
      </c>
      <c r="F191" s="11" t="str">
        <v>Iya</v>
      </c>
      <c r="G191" s="13">
        <v>45972</v>
      </c>
      <c r="H191" s="16">
        <v>12646</v>
      </c>
      <c r="I191" s="3" t="str">
        <v>ADA</v>
      </c>
    </row>
    <row r="192" spans="1:9">
      <c r="A192" s="11">
        <v>2162</v>
      </c>
      <c r="B192" s="13">
        <v>46106.809212962973</v>
      </c>
      <c r="C192" s="14" t="str">
        <v>DAIHATSU GRANMAX PU AC PS 1.5 M/T</v>
      </c>
      <c r="D192" s="14" t="str">
        <v>B1827XS</v>
      </c>
      <c r="E192" s="15">
        <v>2840</v>
      </c>
      <c r="F192" s="11" t="str">
        <v>Iya</v>
      </c>
      <c r="G192" s="13">
        <v>45947</v>
      </c>
      <c r="H192" s="16">
        <v>2840</v>
      </c>
      <c r="I192" s="3" t="str">
        <v>ADA</v>
      </c>
    </row>
    <row r="193" spans="1:9">
      <c r="A193" s="11">
        <v>2163</v>
      </c>
      <c r="B193" s="13">
        <v>46107.338368055563</v>
      </c>
      <c r="C193" s="14" t="str">
        <v>DAIHATSU GRANMAX PU AC PS 1.5 M/T</v>
      </c>
      <c r="D193" s="14" t="str">
        <v>B2755MF</v>
      </c>
      <c r="E193" s="15">
        <v>1753</v>
      </c>
      <c r="F193" s="11" t="str">
        <v>Iya</v>
      </c>
      <c r="G193" s="13">
        <v>46010</v>
      </c>
      <c r="H193" s="16">
        <v>1753</v>
      </c>
      <c r="I193" s="3" t="str">
        <v>ADA</v>
      </c>
    </row>
    <row r="194" spans="1:9">
      <c r="A194" s="11">
        <v>2164</v>
      </c>
      <c r="B194" s="13">
        <v>46107.349652777782</v>
      </c>
      <c r="C194" s="14" t="str">
        <v>PICK UP TRAGA 2.5 4X2 MT D M/T</v>
      </c>
      <c r="D194" s="14" t="str">
        <v>B4950DFS</v>
      </c>
      <c r="E194" s="15">
        <v>2015</v>
      </c>
      <c r="F194" s="11" t="str">
        <v>Iya</v>
      </c>
      <c r="G194" s="13">
        <v>45999</v>
      </c>
      <c r="H194" s="16">
        <v>2015</v>
      </c>
      <c r="I194" s="3" t="str">
        <v>ADA</v>
      </c>
    </row>
    <row r="195" spans="1:9">
      <c r="A195" s="11">
        <v>2165</v>
      </c>
      <c r="B195" s="13">
        <v>46107.352395833332</v>
      </c>
      <c r="C195" s="14" t="str">
        <v>DAIHATSU GRANMAX PU AC PS 1.5 M/T</v>
      </c>
      <c r="D195" s="14" t="str">
        <v>B1144MW</v>
      </c>
      <c r="E195" s="15">
        <v>3817</v>
      </c>
      <c r="F195" s="11" t="str">
        <v>Iya</v>
      </c>
      <c r="G195" s="13">
        <v>46029</v>
      </c>
      <c r="H195" s="16">
        <v>3817</v>
      </c>
      <c r="I195" s="3" t="str">
        <v>ADA</v>
      </c>
    </row>
    <row r="196" spans="1:9">
      <c r="A196" s="11">
        <v>2166</v>
      </c>
      <c r="B196" s="13">
        <v>46107.363495370373</v>
      </c>
      <c r="C196" s="14" t="str">
        <v>PICK UP TRAGA 2.5 4X2 MT D M/T</v>
      </c>
      <c r="D196" s="14" t="str">
        <v>B1292DPE</v>
      </c>
      <c r="E196" s="15">
        <v>16807</v>
      </c>
      <c r="F196" s="11" t="str">
        <v>Iya</v>
      </c>
      <c r="G196" s="13">
        <v>46010</v>
      </c>
      <c r="H196" s="16">
        <v>16807</v>
      </c>
      <c r="I196" s="3" t="str">
        <v>ADA</v>
      </c>
    </row>
    <row r="197" spans="1:9">
      <c r="A197" s="11">
        <v>2167</v>
      </c>
      <c r="B197" s="13">
        <v>46107.390011574083</v>
      </c>
      <c r="C197" s="14" t="str">
        <v>DAIHATSU GRANMAX PU AC PS 1.5 M/T</v>
      </c>
      <c r="D197" s="14" t="str">
        <v>B1799MW</v>
      </c>
      <c r="E197" s="15">
        <v>2142</v>
      </c>
      <c r="F197" s="11" t="str">
        <v>Iya</v>
      </c>
      <c r="G197" s="13">
        <v>45974</v>
      </c>
      <c r="H197" s="16">
        <v>2142</v>
      </c>
      <c r="I197" s="3" t="str">
        <v>ADA</v>
      </c>
    </row>
    <row r="198" spans="1:9">
      <c r="A198" s="11">
        <v>2168</v>
      </c>
      <c r="B198" s="13">
        <v>46107.394166666672</v>
      </c>
      <c r="C198" s="14" t="str">
        <v>DAIHATSU GRANMAX PU AC PS 1.5 M/T</v>
      </c>
      <c r="D198" s="14" t="str">
        <v>B8857PYD</v>
      </c>
      <c r="E198" s="15">
        <v>15332</v>
      </c>
      <c r="F198" s="11" t="str">
        <v>Iya</v>
      </c>
      <c r="G198" s="13">
        <v>45994</v>
      </c>
      <c r="H198" s="16">
        <v>15332</v>
      </c>
      <c r="I198" s="3" t="str">
        <v>ADA</v>
      </c>
    </row>
    <row r="199" spans="1:9">
      <c r="A199" s="11">
        <v>2169</v>
      </c>
      <c r="B199" s="13">
        <v>46107.408912037034</v>
      </c>
      <c r="C199" s="14" t="str">
        <v>DAIHATSU GRANMAX PU AC PS 1.5 M/T</v>
      </c>
      <c r="D199" s="14" t="str">
        <v>H9293ZLM</v>
      </c>
      <c r="E199" s="15">
        <v>19731</v>
      </c>
      <c r="F199" s="11" t="str">
        <v>Iya</v>
      </c>
      <c r="G199" s="13">
        <v>46097</v>
      </c>
      <c r="H199" s="16">
        <v>19731</v>
      </c>
      <c r="I199" s="3" t="str">
        <v>ADA</v>
      </c>
    </row>
    <row r="200" spans="1:9">
      <c r="A200" s="11">
        <v>2170</v>
      </c>
      <c r="B200" s="13">
        <v>46107.412175925929</v>
      </c>
      <c r="C200" s="14" t="str">
        <v>DAIHATSU GRANMAX PU AC PS 1.5 M/T</v>
      </c>
      <c r="D200" s="14" t="str">
        <v>B8389IA</v>
      </c>
      <c r="E200" s="15">
        <v>30144</v>
      </c>
      <c r="F200" s="11" t="str">
        <v>Iya</v>
      </c>
      <c r="G200" s="13">
        <v>46106</v>
      </c>
      <c r="H200" s="16">
        <v>30144</v>
      </c>
      <c r="I200" s="3" t="str">
        <v>ADA</v>
      </c>
    </row>
    <row r="201" spans="1:9">
      <c r="A201" s="11">
        <v>2171</v>
      </c>
      <c r="B201" s="13">
        <v>46107.413761574076</v>
      </c>
      <c r="C201" s="14" t="str">
        <v>DAIHATSU GRANMAX PU AC PS 1.5 M/T</v>
      </c>
      <c r="D201" s="14" t="str">
        <v>D9851QY</v>
      </c>
      <c r="E201" s="15">
        <v>11603</v>
      </c>
      <c r="F201" s="11" t="str">
        <v>Iya</v>
      </c>
      <c r="G201" s="13">
        <v>45999</v>
      </c>
      <c r="H201" s="16">
        <v>11603</v>
      </c>
      <c r="I201" s="3" t="str">
        <v>ADA</v>
      </c>
    </row>
    <row r="202" spans="1:9">
      <c r="A202" s="11">
        <v>2172</v>
      </c>
      <c r="B202" s="13">
        <v>46107.457141203697</v>
      </c>
      <c r="C202" s="14" t="str">
        <v>DAIHATSU GRANMAX PU AC PS 1.5 M/T</v>
      </c>
      <c r="D202" s="14" t="str">
        <v>B6193SD</v>
      </c>
      <c r="E202" s="15">
        <v>17371</v>
      </c>
      <c r="F202" s="11" t="str">
        <v>Iya</v>
      </c>
      <c r="G202" s="13">
        <v>46035</v>
      </c>
      <c r="H202" s="16">
        <v>17371</v>
      </c>
      <c r="I202" s="3" t="str">
        <v>ADA</v>
      </c>
    </row>
    <row r="203" spans="1:9">
      <c r="A203" s="11">
        <v>2173</v>
      </c>
      <c r="B203" s="13">
        <v>46107.458634259259</v>
      </c>
      <c r="C203" s="14" t="str">
        <v>PICK UP TRAGA 2.5 4X2 MT D M/T</v>
      </c>
      <c r="D203" s="14" t="str">
        <v>B8659VBE</v>
      </c>
      <c r="E203" s="15">
        <v>92501</v>
      </c>
      <c r="F203" s="11" t="str">
        <v>Iya</v>
      </c>
      <c r="G203" s="13">
        <v>46059</v>
      </c>
      <c r="H203" s="16">
        <v>92501</v>
      </c>
      <c r="I203" s="3" t="str">
        <v>ADA</v>
      </c>
    </row>
    <row r="204" spans="1:9">
      <c r="A204" s="11">
        <v>2174</v>
      </c>
      <c r="B204" s="13">
        <v>46107.462523148148</v>
      </c>
      <c r="C204" s="14" t="str">
        <v>DAIHATSU GRANMAX PU AC PS 1.5 M/T</v>
      </c>
      <c r="D204" s="14" t="str">
        <v>B6193SD</v>
      </c>
      <c r="E204" s="15">
        <v>17771</v>
      </c>
      <c r="F204" s="11" t="str">
        <v>Iya</v>
      </c>
      <c r="G204" s="13">
        <v>46035</v>
      </c>
      <c r="H204" s="16">
        <v>17771</v>
      </c>
      <c r="I204" s="3" t="str">
        <v>ADA</v>
      </c>
    </row>
    <row r="205" spans="1:9">
      <c r="A205" s="11">
        <v>2175</v>
      </c>
      <c r="B205" s="13">
        <v>46107.474027777767</v>
      </c>
      <c r="C205" s="14" t="str">
        <v>DAIHATSU GRANMAX PU AC PS 1.5 M/T</v>
      </c>
      <c r="D205" s="14" t="str">
        <v>B1455JPZ</v>
      </c>
      <c r="E205" s="15">
        <v>13613</v>
      </c>
      <c r="F205" s="11" t="str">
        <v>Iya</v>
      </c>
      <c r="G205" s="13">
        <v>46014</v>
      </c>
      <c r="H205" s="16">
        <v>13613</v>
      </c>
      <c r="I205" s="3" t="str">
        <v>ADA</v>
      </c>
    </row>
    <row r="206" spans="1:9">
      <c r="A206" s="11">
        <v>2176</v>
      </c>
      <c r="B206" s="13">
        <v>46107.486041666663</v>
      </c>
      <c r="C206" s="14" t="str">
        <v>DAIHATSU GRANMAX PU AC PS 1.5 M/T</v>
      </c>
      <c r="D206" s="14" t="str">
        <v>B6871DFH</v>
      </c>
      <c r="E206" s="15">
        <v>22293</v>
      </c>
      <c r="F206" s="11" t="str">
        <v>Iya</v>
      </c>
      <c r="G206" s="13">
        <v>46085</v>
      </c>
      <c r="H206" s="16">
        <v>22293</v>
      </c>
      <c r="I206" s="3" t="str">
        <v>ADA</v>
      </c>
    </row>
    <row r="207" spans="1:9">
      <c r="A207" s="11">
        <v>2177</v>
      </c>
      <c r="B207" s="13">
        <v>46107.491365740738</v>
      </c>
      <c r="C207" s="14" t="str">
        <v>PICK UP TRAGA 2.5 4X2 MT D M/T</v>
      </c>
      <c r="D207" s="14" t="str">
        <v>B6905PX</v>
      </c>
      <c r="E207" s="15">
        <v>9536</v>
      </c>
      <c r="F207" s="11" t="str">
        <v>Iya</v>
      </c>
      <c r="G207" s="13">
        <v>46041</v>
      </c>
      <c r="H207" s="16">
        <v>9536</v>
      </c>
      <c r="I207" s="3" t="str">
        <v>ADA</v>
      </c>
    </row>
    <row r="208" spans="1:9">
      <c r="A208" s="11">
        <v>2178</v>
      </c>
      <c r="B208" s="13">
        <v>46107.522719907407</v>
      </c>
      <c r="C208" s="14" t="str">
        <v>PICK UP TRAGA 2.5 4X2 MT D M/T</v>
      </c>
      <c r="D208" s="14" t="str">
        <v>KT2370AGQ</v>
      </c>
      <c r="E208" s="15">
        <v>30923</v>
      </c>
      <c r="F208" s="11" t="str">
        <v>Iya</v>
      </c>
      <c r="G208" s="13">
        <v>46060</v>
      </c>
      <c r="H208" s="16">
        <v>30923</v>
      </c>
      <c r="I208" s="3" t="str">
        <v>ADA</v>
      </c>
    </row>
    <row r="209" spans="1:9">
      <c r="A209" s="11">
        <v>2179</v>
      </c>
      <c r="B209" s="13">
        <v>46107.577499999999</v>
      </c>
      <c r="C209" s="14" t="str">
        <v>PICK UP TRAGA 2.5 4X2 MT D M/T</v>
      </c>
      <c r="D209" s="14" t="str">
        <v>B2118PQK</v>
      </c>
      <c r="E209" s="15">
        <v>55694</v>
      </c>
      <c r="F209" s="11" t="str">
        <v>Iya</v>
      </c>
      <c r="G209" s="13">
        <v>45910</v>
      </c>
      <c r="H209" s="16">
        <v>55694</v>
      </c>
      <c r="I209" s="3" t="str">
        <v>ADA</v>
      </c>
    </row>
    <row r="210" spans="1:9">
      <c r="A210" s="11">
        <v>2180</v>
      </c>
      <c r="B210" s="13">
        <v>46107.78402777778</v>
      </c>
      <c r="C210" s="14" t="str">
        <v>DAIHATSU GRANMAX PU AC PS 1.5 M/T</v>
      </c>
      <c r="D210" s="14" t="str">
        <v>B5277IQ</v>
      </c>
      <c r="E210" s="15">
        <v>45840</v>
      </c>
      <c r="F210" s="11" t="str">
        <v>Iya</v>
      </c>
      <c r="G210" s="13">
        <v>45964</v>
      </c>
      <c r="H210" s="16">
        <v>45840</v>
      </c>
      <c r="I210" s="3" t="str">
        <v>ADA</v>
      </c>
    </row>
    <row r="211" spans="1:9">
      <c r="A211" s="11">
        <v>2181</v>
      </c>
      <c r="B211" s="13">
        <v>46108.36959490741</v>
      </c>
      <c r="C211" s="14" t="str">
        <v>DAIHATSU GRANMAX PU AC PS 1.5 M/T</v>
      </c>
      <c r="D211" s="14" t="str">
        <v>B7129LP</v>
      </c>
      <c r="E211" s="15">
        <v>2864</v>
      </c>
      <c r="F211" s="11" t="str">
        <v>Iya</v>
      </c>
      <c r="G211" s="13">
        <v>46107</v>
      </c>
      <c r="H211" s="16">
        <v>2864</v>
      </c>
      <c r="I211" s="3" t="str">
        <v>ADA</v>
      </c>
    </row>
    <row r="212" spans="1:9">
      <c r="A212" s="11">
        <v>2182</v>
      </c>
      <c r="B212" s="13">
        <v>46108.453368055547</v>
      </c>
      <c r="C212" s="14" t="str">
        <v>DAIHATSU GRANMAX PU AC PS 1.5 M/T</v>
      </c>
      <c r="D212" s="14" t="str">
        <v>B6964WP</v>
      </c>
      <c r="E212" s="15">
        <v>5078</v>
      </c>
      <c r="F212" s="11" t="str">
        <v>Iya</v>
      </c>
      <c r="G212" s="13">
        <v>45948</v>
      </c>
      <c r="H212" s="16">
        <v>5078</v>
      </c>
      <c r="I212" s="3" t="str">
        <v>ADA</v>
      </c>
    </row>
    <row r="213" spans="1:9">
      <c r="A213" s="11">
        <v>2183</v>
      </c>
      <c r="B213" s="13">
        <v>46108.574849537043</v>
      </c>
      <c r="C213" s="14" t="str">
        <v>DAIHATSU GRANMAX PU AC PS 1.5 M/T</v>
      </c>
      <c r="D213" s="14" t="str">
        <v>B1073IH</v>
      </c>
      <c r="E213" s="15">
        <v>5806</v>
      </c>
      <c r="F213" s="11" t="str">
        <v>Iya</v>
      </c>
      <c r="G213" s="13">
        <v>45967</v>
      </c>
      <c r="H213" s="16">
        <v>5806</v>
      </c>
      <c r="I213" s="3" t="str">
        <v>ADA</v>
      </c>
    </row>
    <row r="214" spans="1:9">
      <c r="A214" s="11">
        <v>2184</v>
      </c>
      <c r="B214" s="13">
        <v>46108.612534722219</v>
      </c>
      <c r="C214" s="14" t="str">
        <v>PICK UP TRAGA 2.5 4X2 MT D M/T</v>
      </c>
      <c r="D214" s="14" t="str">
        <v>B3271BYK</v>
      </c>
      <c r="E214" s="15">
        <v>36595</v>
      </c>
      <c r="F214" s="11" t="str">
        <v>Iya</v>
      </c>
      <c r="G214" s="13">
        <v>45936</v>
      </c>
      <c r="H214" s="16">
        <v>36595</v>
      </c>
      <c r="I214" s="3" t="str">
        <v>ADA</v>
      </c>
    </row>
    <row r="215" spans="1:9">
      <c r="A215" s="11">
        <v>2185</v>
      </c>
      <c r="B215" s="13">
        <v>46108.801759259259</v>
      </c>
      <c r="C215" s="14" t="str">
        <v>DAIHATSU GRANMAX PU AC PS 1.5 M/T</v>
      </c>
      <c r="D215" s="14" t="str">
        <v>B7162IV</v>
      </c>
      <c r="E215" s="15">
        <v>17427</v>
      </c>
      <c r="F215" s="11" t="str">
        <v>Iya</v>
      </c>
      <c r="G215" s="13">
        <v>45916</v>
      </c>
      <c r="H215" s="16">
        <v>17427</v>
      </c>
      <c r="I215" s="3" t="str">
        <v>ADA</v>
      </c>
    </row>
    <row r="216" spans="1:9">
      <c r="A216" s="11">
        <v>2186</v>
      </c>
      <c r="B216" s="13">
        <v>46109.294629629629</v>
      </c>
      <c r="C216" s="14" t="str">
        <v>PICK UP TRAGA 2.5 4X2 MT D M/T</v>
      </c>
      <c r="D216" s="14" t="str">
        <v>BE6556LIU</v>
      </c>
      <c r="E216" s="15">
        <v>24269</v>
      </c>
      <c r="F216" s="11" t="str">
        <v>Iya</v>
      </c>
      <c r="G216" s="13">
        <v>46109</v>
      </c>
      <c r="H216" s="16">
        <v>24269</v>
      </c>
      <c r="I216" s="3" t="str">
        <v>ADA</v>
      </c>
    </row>
    <row r="217" spans="1:9">
      <c r="A217" s="11">
        <v>2187</v>
      </c>
      <c r="B217" s="13">
        <v>46109.376793981479</v>
      </c>
      <c r="C217" s="14" t="str">
        <v>DAIHATSU GRANMAX PU AC PS 1.5 M/T</v>
      </c>
      <c r="D217" s="14" t="str">
        <v>H6446RTB</v>
      </c>
      <c r="E217" s="15">
        <v>20898</v>
      </c>
      <c r="F217" s="11" t="str">
        <v>Iya</v>
      </c>
      <c r="G217" s="13">
        <v>45962</v>
      </c>
      <c r="H217" s="16">
        <v>20898</v>
      </c>
      <c r="I217" s="3" t="str">
        <v>ADA</v>
      </c>
    </row>
    <row r="218" spans="1:9">
      <c r="A218" s="11">
        <v>2188</v>
      </c>
      <c r="B218" s="13">
        <v>46109.776643518519</v>
      </c>
      <c r="C218" s="14" t="str">
        <v>DAIHATSU GRANMAX PU AC PS 1.5 M/T</v>
      </c>
      <c r="D218" s="14" t="str">
        <v>B7465WU</v>
      </c>
      <c r="E218" s="15">
        <v>2573</v>
      </c>
      <c r="F218" s="11" t="str">
        <v>Iya</v>
      </c>
      <c r="G218" s="13">
        <v>46029</v>
      </c>
      <c r="H218" s="16">
        <v>2573</v>
      </c>
      <c r="I218" s="3" t="str">
        <v>ADA</v>
      </c>
    </row>
    <row r="219" spans="1:9">
      <c r="A219" s="11">
        <v>2189</v>
      </c>
      <c r="B219" s="13">
        <v>46109.854027777779</v>
      </c>
      <c r="C219" s="14" t="str">
        <v>PICK UP TRAGA 2.5 4X2 MT D M/T</v>
      </c>
      <c r="D219" s="14" t="str">
        <v>B3507YER</v>
      </c>
      <c r="E219" s="15">
        <v>45382</v>
      </c>
      <c r="F219" s="11" t="str">
        <v>Iya</v>
      </c>
      <c r="G219" s="13">
        <v>46008</v>
      </c>
      <c r="H219" s="16">
        <v>45382</v>
      </c>
      <c r="I219" s="3" t="str">
        <v>ADA</v>
      </c>
    </row>
    <row r="220" spans="1:9">
      <c r="A220" s="11">
        <v>2190</v>
      </c>
      <c r="B220" s="13">
        <v>46111.4453125</v>
      </c>
      <c r="C220" s="14" t="str">
        <v>PICK UP TRAGA 2.5 4X2 MT D M/T</v>
      </c>
      <c r="D220" s="14" t="str">
        <v>B9936AP</v>
      </c>
      <c r="E220" s="15">
        <v>54324</v>
      </c>
      <c r="F220" s="11" t="str">
        <v>Iya</v>
      </c>
      <c r="G220" s="13">
        <v>46032</v>
      </c>
      <c r="H220" s="16">
        <v>54324</v>
      </c>
      <c r="I220" s="3" t="str">
        <v>ADA</v>
      </c>
    </row>
    <row r="221" spans="1:9">
      <c r="A221" s="11">
        <v>2191</v>
      </c>
      <c r="B221" s="13">
        <v>46111.456956018519</v>
      </c>
      <c r="C221" s="14" t="str">
        <v>DAIHATSU GRANMAX PU AC PS 1.5 M/T</v>
      </c>
      <c r="D221" s="14" t="str">
        <v>B3556KY</v>
      </c>
      <c r="E221" s="15">
        <v>6527</v>
      </c>
      <c r="F221" s="11" t="str">
        <v>Iya</v>
      </c>
      <c r="G221" s="13">
        <v>45930</v>
      </c>
      <c r="H221" s="16">
        <v>6527</v>
      </c>
      <c r="I221" s="3" t="str">
        <v>ADA</v>
      </c>
    </row>
    <row r="222" spans="1:9">
      <c r="A222" s="11">
        <v>2192</v>
      </c>
      <c r="B222" s="13">
        <v>46111.463240740741</v>
      </c>
      <c r="C222" s="14" t="str">
        <v>Daihatsu Xenia (Badan)</v>
      </c>
      <c r="D222" s="14" t="str">
        <v>B6680XJ</v>
      </c>
      <c r="E222" s="15">
        <v>31917</v>
      </c>
      <c r="F222" s="11" t="str">
        <v>Iya</v>
      </c>
      <c r="G222" s="13">
        <v>45986</v>
      </c>
      <c r="H222" s="16">
        <v>31917</v>
      </c>
      <c r="I222" s="3" t="str">
        <v>ADA</v>
      </c>
    </row>
    <row r="223" spans="1:9">
      <c r="A223" s="11">
        <v>2193</v>
      </c>
      <c r="B223" s="13">
        <v>46111.479039351849</v>
      </c>
      <c r="C223" s="14" t="str">
        <v>PICK UP TRAGA 2.5 4X2 MT D M/T</v>
      </c>
      <c r="D223" s="14" t="str">
        <v>B3431HDZ</v>
      </c>
      <c r="E223" s="15">
        <v>40167</v>
      </c>
      <c r="F223" s="11" t="str">
        <v>Iya</v>
      </c>
      <c r="G223" s="13">
        <v>46077</v>
      </c>
      <c r="H223" s="16">
        <v>40167</v>
      </c>
      <c r="I223" s="3" t="str">
        <v>ADA</v>
      </c>
    </row>
    <row r="224" spans="1:9">
      <c r="A224" s="11">
        <v>2194</v>
      </c>
      <c r="B224" s="13">
        <v>46111.551736111112</v>
      </c>
      <c r="C224" s="14" t="str">
        <v>DAIHATSU GRANMAX PU AC PS 1.5 M/T</v>
      </c>
      <c r="D224" s="14" t="str">
        <v>B3556KY</v>
      </c>
      <c r="E224" s="15">
        <v>7096</v>
      </c>
      <c r="F224" s="11" t="str">
        <v>Iya</v>
      </c>
      <c r="G224" s="13">
        <v>45930</v>
      </c>
      <c r="H224" s="16">
        <v>7096</v>
      </c>
      <c r="I224" s="3" t="str">
        <v>ADA</v>
      </c>
    </row>
    <row r="225" spans="1:9">
      <c r="A225" s="11">
        <v>2195</v>
      </c>
      <c r="B225" s="13">
        <v>46111.963125000002</v>
      </c>
      <c r="C225" s="14" t="str">
        <v>Daihatsu Xenia (Badan)</v>
      </c>
      <c r="D225" s="14" t="str">
        <v>H9434HIK</v>
      </c>
      <c r="E225" s="15">
        <v>20022</v>
      </c>
      <c r="F225" s="11" t="str">
        <v>Iya</v>
      </c>
      <c r="G225" s="13">
        <v>46081</v>
      </c>
      <c r="H225" s="16">
        <v>20022</v>
      </c>
      <c r="I225" s="3" t="str">
        <v>ADA</v>
      </c>
    </row>
    <row r="226" spans="1:9">
      <c r="A226" s="11">
        <v>2196</v>
      </c>
      <c r="B226" s="13">
        <v>46112.730821759258</v>
      </c>
      <c r="C226" s="14" t="str">
        <v>DAIHATSU GRANMAX PU AC PS 1.5 M/T</v>
      </c>
      <c r="D226" s="14" t="str">
        <v>KB9985GGA</v>
      </c>
      <c r="E226" s="15">
        <v>17887</v>
      </c>
      <c r="F226" s="11" t="str">
        <v>Iya</v>
      </c>
      <c r="G226" s="13">
        <v>45937</v>
      </c>
      <c r="H226" s="16">
        <v>17887</v>
      </c>
      <c r="I226" s="3" t="str">
        <v>ADA</v>
      </c>
    </row>
    <row r="227" spans="1:9">
      <c r="I227" s="3"/>
    </row>
    <row r="228" spans="1:9">
      <c r="I228" s="3"/>
    </row>
    <row r="229" spans="1:9">
      <c r="I229" s="3"/>
    </row>
    <row r="230" spans="1:9">
      <c r="I230" s="3"/>
    </row>
    <row r="231" spans="1:9">
      <c r="I231" s="3"/>
    </row>
    <row r="232" spans="1:9">
      <c r="I232" s="3"/>
    </row>
    <row r="233" spans="1:9">
      <c r="I233" s="3"/>
    </row>
    <row r="234" spans="1:9">
      <c r="I234" s="3"/>
    </row>
    <row r="235" spans="1:9">
      <c r="I235" s="3"/>
    </row>
    <row r="236" spans="1:9">
      <c r="I236" s="3"/>
    </row>
    <row r="237" spans="1:9">
      <c r="I237" s="3"/>
    </row>
    <row r="238" spans="1:9">
      <c r="I238" s="3"/>
    </row>
    <row r="239" spans="1:9">
      <c r="I239" s="3"/>
    </row>
    <row r="240" spans="1:9">
      <c r="I240" s="3"/>
    </row>
    <row r="241" spans="9:9">
      <c r="I241" s="3"/>
    </row>
    <row r="242" spans="9:9">
      <c r="I242" s="3"/>
    </row>
    <row r="243" spans="9:9">
      <c r="I243" s="3"/>
    </row>
    <row r="244" spans="9:9">
      <c r="I244" s="3"/>
    </row>
    <row r="245" spans="9:9">
      <c r="I245" s="3"/>
    </row>
    <row r="246" spans="9:9">
      <c r="I246" s="3"/>
    </row>
    <row r="247" spans="9:9">
      <c r="I247" s="3"/>
    </row>
    <row r="248" spans="9:9">
      <c r="I248" s="3"/>
    </row>
    <row r="249" spans="9:9">
      <c r="I249" s="3"/>
    </row>
    <row r="250" spans="9:9">
      <c r="I250" s="3"/>
    </row>
    <row r="251" spans="9:9">
      <c r="I251" s="3"/>
    </row>
    <row r="252" spans="9:9">
      <c r="I252" s="3"/>
    </row>
    <row r="253" spans="9:9">
      <c r="I253" s="3"/>
    </row>
    <row r="254" spans="9:9">
      <c r="I254" s="3"/>
    </row>
    <row r="255" spans="9:9">
      <c r="I255" s="3"/>
    </row>
    <row r="256" spans="9:9">
      <c r="I256" s="3"/>
    </row>
    <row r="257" spans="9:9">
      <c r="I257" s="3"/>
    </row>
    <row r="258" spans="9:9">
      <c r="I258" s="3"/>
    </row>
    <row r="259" spans="9:9">
      <c r="I259" s="3"/>
    </row>
    <row r="260" spans="9:9">
      <c r="I260" s="3"/>
    </row>
    <row r="261" spans="9:9">
      <c r="I261" s="3"/>
    </row>
    <row r="262" spans="9:9">
      <c r="I262" s="3"/>
    </row>
    <row r="263" spans="9:9">
      <c r="I263" s="3"/>
    </row>
    <row r="264" spans="9:9">
      <c r="I264" s="3"/>
    </row>
    <row r="265" spans="9:9">
      <c r="I265" s="3"/>
    </row>
    <row r="266" spans="9:9">
      <c r="I266" s="3"/>
    </row>
    <row r="267" spans="9:9">
      <c r="I267" s="3"/>
    </row>
    <row r="268" spans="9:9">
      <c r="I268" s="3"/>
    </row>
    <row r="269" spans="9:9">
      <c r="I269" s="3"/>
    </row>
    <row r="270" spans="9:9">
      <c r="I270" s="3"/>
    </row>
    <row r="271" spans="9:9">
      <c r="I271" s="3"/>
    </row>
    <row r="272" spans="9:9">
      <c r="I272" s="3"/>
    </row>
    <row r="273" spans="9:9">
      <c r="I273" s="3"/>
    </row>
    <row r="274" spans="9:9">
      <c r="I274" s="3"/>
    </row>
    <row r="275" spans="9:9">
      <c r="I275" s="3"/>
    </row>
    <row r="276" spans="9:9">
      <c r="I276" s="3"/>
    </row>
    <row r="277" spans="9:9">
      <c r="I277" s="3"/>
    </row>
    <row r="278" spans="9:9">
      <c r="I278" s="3"/>
    </row>
    <row r="279" spans="9:9">
      <c r="I279" s="3"/>
    </row>
    <row r="280" spans="9:9">
      <c r="I280" s="3"/>
    </row>
    <row r="281" spans="9:9">
      <c r="I281" s="3"/>
    </row>
    <row r="282" spans="9:9">
      <c r="I282" s="3"/>
    </row>
    <row r="283" spans="9:9">
      <c r="I283" s="3"/>
    </row>
    <row r="284" spans="9:9">
      <c r="I284" s="3"/>
    </row>
    <row r="285" spans="9:9">
      <c r="I285" s="3"/>
    </row>
    <row r="286" spans="9:9">
      <c r="I286" s="3"/>
    </row>
    <row r="287" spans="9:9">
      <c r="I287" s="3"/>
    </row>
    <row r="288" spans="9:9">
      <c r="I288" s="3"/>
    </row>
    <row r="289" spans="9:9">
      <c r="I289" s="3"/>
    </row>
    <row r="290" spans="9:9">
      <c r="I290" s="3"/>
    </row>
    <row r="291" spans="9:9">
      <c r="I291" s="3"/>
    </row>
    <row r="292" spans="9:9">
      <c r="I292" s="3"/>
    </row>
    <row r="293" spans="9:9">
      <c r="I293" s="3"/>
    </row>
    <row r="294" spans="9:9">
      <c r="I294" s="3"/>
    </row>
    <row r="295" spans="9:9">
      <c r="I295" s="3"/>
    </row>
    <row r="296" spans="9:9">
      <c r="I296" s="3"/>
    </row>
    <row r="297" spans="9:9">
      <c r="I297" s="3"/>
    </row>
    <row r="298" spans="9:9">
      <c r="I298" s="3"/>
    </row>
    <row r="299" spans="9:9">
      <c r="I299" s="3"/>
    </row>
    <row r="300" spans="9:9">
      <c r="I300" s="3"/>
    </row>
    <row r="301" spans="9:9">
      <c r="I301" s="3"/>
    </row>
    <row r="302" spans="9:9">
      <c r="I302" s="3"/>
    </row>
    <row r="303" spans="9:9">
      <c r="I303" s="3"/>
    </row>
    <row r="304" spans="9:9">
      <c r="I304" s="3"/>
    </row>
    <row r="305" spans="9:9">
      <c r="I305" s="3"/>
    </row>
    <row r="306" spans="9:9">
      <c r="I306" s="3"/>
    </row>
    <row r="307" spans="9:9">
      <c r="I307" s="3"/>
    </row>
    <row r="308" spans="9:9">
      <c r="I308" s="3"/>
    </row>
    <row r="309" spans="9:9">
      <c r="I309" s="3"/>
    </row>
    <row r="310" spans="9:9">
      <c r="I310" s="3"/>
    </row>
    <row r="311" spans="9:9">
      <c r="I311" s="3"/>
    </row>
    <row r="312" spans="9:9">
      <c r="I312" s="3"/>
    </row>
    <row r="313" spans="9:9">
      <c r="I313" s="3"/>
    </row>
    <row r="314" spans="9:9">
      <c r="I314" s="3"/>
    </row>
    <row r="315" spans="9:9">
      <c r="I315" s="3"/>
    </row>
    <row r="316" spans="9:9">
      <c r="I316" s="3"/>
    </row>
    <row r="317" spans="9:9">
      <c r="I317" s="3"/>
    </row>
    <row r="318" spans="9:9">
      <c r="I318" s="3"/>
    </row>
    <row r="319" spans="9:9">
      <c r="I319" s="3"/>
    </row>
    <row r="320" spans="9:9">
      <c r="I320" s="3"/>
    </row>
    <row r="321" spans="9:9">
      <c r="I321" s="3"/>
    </row>
    <row r="322" spans="9:9">
      <c r="I322" s="3"/>
    </row>
    <row r="323" spans="9:9">
      <c r="I323" s="3"/>
    </row>
    <row r="324" spans="9:9">
      <c r="I324" s="3"/>
    </row>
    <row r="325" spans="9:9">
      <c r="I325" s="3"/>
    </row>
    <row r="326" spans="9:9">
      <c r="I326" s="3"/>
    </row>
    <row r="327" spans="9:9">
      <c r="I327" s="3"/>
    </row>
    <row r="328" spans="9:9">
      <c r="I328" s="3"/>
    </row>
    <row r="329" spans="9:9">
      <c r="I329" s="3"/>
    </row>
    <row r="330" spans="9:9">
      <c r="I330" s="3"/>
    </row>
    <row r="331" spans="9:9">
      <c r="I331" s="3"/>
    </row>
    <row r="332" spans="9:9">
      <c r="I332" s="3"/>
    </row>
    <row r="333" spans="9:9">
      <c r="I333" s="3"/>
    </row>
    <row r="334" spans="9:9">
      <c r="I334" s="3"/>
    </row>
    <row r="335" spans="9:9">
      <c r="I335" s="3"/>
    </row>
    <row r="336" spans="9:9">
      <c r="I336" s="3"/>
    </row>
    <row r="337" spans="9:9">
      <c r="I337" s="3"/>
    </row>
    <row r="338" spans="9:9">
      <c r="I338" s="3"/>
    </row>
    <row r="339" spans="9:9">
      <c r="I339" s="3"/>
    </row>
    <row r="340" spans="9:9">
      <c r="I340" s="3"/>
    </row>
    <row r="341" spans="9:9">
      <c r="I341" s="3"/>
    </row>
    <row r="342" spans="9:9">
      <c r="I342" s="3"/>
    </row>
    <row r="343" spans="9:9">
      <c r="I343" s="3"/>
    </row>
    <row r="344" spans="9:9">
      <c r="I344" s="3"/>
    </row>
    <row r="345" spans="9:9">
      <c r="I345" s="3"/>
    </row>
    <row r="346" spans="9:9">
      <c r="I346" s="3"/>
    </row>
    <row r="347" spans="9:9">
      <c r="I347" s="3"/>
    </row>
    <row r="348" spans="9:9">
      <c r="I348" s="3"/>
    </row>
    <row r="349" spans="9:9">
      <c r="I349" s="3"/>
    </row>
    <row r="350" spans="9:9">
      <c r="I350" s="3"/>
    </row>
    <row r="351" spans="9:9">
      <c r="I351" s="3"/>
    </row>
    <row r="352" spans="9:9">
      <c r="I352" s="3"/>
    </row>
    <row r="353" spans="9:9">
      <c r="I353" s="3"/>
    </row>
    <row r="354" spans="9:9">
      <c r="I354" s="3"/>
    </row>
    <row r="355" spans="9:9">
      <c r="I355" s="3"/>
    </row>
    <row r="356" spans="9:9">
      <c r="I356" s="3"/>
    </row>
    <row r="357" spans="9:9">
      <c r="I357" s="3"/>
    </row>
    <row r="358" spans="9:9">
      <c r="I358" s="3"/>
    </row>
    <row r="359" spans="9:9">
      <c r="I359" s="3"/>
    </row>
    <row r="360" spans="9:9">
      <c r="I360" s="3"/>
    </row>
    <row r="361" spans="9:9">
      <c r="I361" s="3"/>
    </row>
    <row r="362" spans="9:9">
      <c r="I362" s="3"/>
    </row>
    <row r="363" spans="9:9">
      <c r="I363" s="3"/>
    </row>
    <row r="364" spans="9:9">
      <c r="I364" s="3"/>
    </row>
    <row r="365" spans="9:9">
      <c r="I365" s="3"/>
    </row>
    <row r="366" spans="9:9">
      <c r="I366" s="3"/>
    </row>
    <row r="367" spans="9:9">
      <c r="I367" s="3"/>
    </row>
    <row r="368" spans="9:9">
      <c r="I368" s="3"/>
    </row>
    <row r="369" spans="9:9">
      <c r="I369" s="3"/>
    </row>
    <row r="370" spans="9:9">
      <c r="I370" s="3"/>
    </row>
    <row r="371" spans="9:9">
      <c r="I371" s="3"/>
    </row>
    <row r="372" spans="9:9">
      <c r="I372" s="3"/>
    </row>
    <row r="373" spans="9:9">
      <c r="I373" s="3"/>
    </row>
  </sheetData>
  <autoFilter ref="A2:I122" xr:uid="{B3887EB9-B6CF-3E49-8875-4A76B863FA1D}"/>
  <mergeCells count="5">
    <mergeCell ref="A1:I1"/>
    <mergeCell ref="K6:L7"/>
    <mergeCell ref="K8:L9"/>
    <mergeCell ref="M6:N7"/>
    <mergeCell ref="M8:N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72B240-2A57-8B4D-925B-027275832ACF}">
          <x14:formula1>
            <xm:f>Helper!$A$1:$A$12</xm:f>
          </x14:formula1>
          <xm:sqref>M6:N7</xm:sqref>
        </x14:dataValidation>
        <x14:dataValidation type="list" allowBlank="1" showInputMessage="1" showErrorMessage="1" xr:uid="{CB697853-E39F-3243-A90E-90BDC16E08B8}">
          <x14:formula1>
            <xm:f>Helper!$B$1:$B$7</xm:f>
          </x14:formula1>
          <xm:sqref>M8:N9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D3E4-6104-094B-AA81-76347F7B6EDA}">
  <sheetPr>
    <tabColor theme="5" tint="0.39997558519241921"/>
  </sheetPr>
  <dimension ref="A1:I373"/>
  <sheetViews>
    <sheetView workbookViewId="0">
      <selection activeCell="J4" sqref="J4"/>
    </sheetView>
  </sheetViews>
  <sheetFormatPr baseColWidth="10" defaultRowHeight="16"/>
  <cols>
    <col min="1" max="1" width="8.5" bestFit="1" customWidth="1"/>
    <col min="2" max="2" width="12" style="2" bestFit="1" customWidth="1"/>
    <col min="3" max="3" width="32.33203125" style="14" bestFit="1" customWidth="1"/>
    <col min="4" max="4" width="10.1640625" style="14" bestFit="1" customWidth="1"/>
    <col min="5" max="5" width="11" style="15" bestFit="1" customWidth="1"/>
    <col min="6" max="6" width="13.6640625" bestFit="1" customWidth="1"/>
    <col min="7" max="7" width="12.83203125" style="2" bestFit="1" customWidth="1"/>
    <col min="8" max="8" width="9.1640625" style="16" bestFit="1" customWidth="1"/>
    <col min="9" max="9" width="17" style="14" bestFit="1" customWidth="1"/>
  </cols>
  <sheetData>
    <row r="1" spans="1:9" ht="32">
      <c r="A1" s="37" t="s">
        <v>110</v>
      </c>
      <c r="B1" s="37"/>
      <c r="C1" s="37"/>
      <c r="D1" s="37"/>
      <c r="E1" s="37"/>
      <c r="F1" s="37"/>
      <c r="G1" s="37"/>
      <c r="H1" s="37"/>
      <c r="I1" s="37"/>
    </row>
    <row r="2" spans="1:9">
      <c r="A2" s="17" t="s">
        <v>5</v>
      </c>
      <c r="B2" s="17" t="s">
        <v>6</v>
      </c>
      <c r="C2" s="17" t="s">
        <v>76</v>
      </c>
      <c r="D2" s="17" t="s">
        <v>0</v>
      </c>
      <c r="E2" s="17" t="s">
        <v>34</v>
      </c>
      <c r="F2" s="17" t="s">
        <v>63</v>
      </c>
      <c r="G2" s="17" t="s">
        <v>3</v>
      </c>
      <c r="H2" s="17" t="s">
        <v>4</v>
      </c>
      <c r="I2" s="20" t="s">
        <v>111</v>
      </c>
    </row>
    <row r="3" spans="1:9">
      <c r="A3" s="11" cm="1">
        <f t="array" aca="1" ref="A3:I11" ca="1">_xlfn._xlws.FILTER(
 _xlfn.HSTACK(
  raw_stack!A2:H100000,
  IF(
   (raw_stack!D2:D100000&lt;&gt;"") *
   (
    (raw_stack!G2:G100000&gt;TODAY()) +
    (IFERROR(raw_stack!E2:E100000,0) &lt; IFERROR(raw_stack!H2:H100000,0)) +
    (NOT(ISNUMBER(raw_stack!E2:E100000))) +
    (NOT(ISNUMBER(raw_stack!H2:H100000)))
   ),
   IF(raw_stack!G2:G100000&gt;TODAY(), "Tanggal &gt; Hari Ini", "") &amp;
   IF(
    (raw_stack!G2:G100000&gt;TODAY()) *
    ((IFERROR(raw_stack!E2:E100000,0) &lt; IFERROR(raw_stack!H2:H100000,0))),
    ", ",
    ""
   ) &amp;
   IF(IFERROR(raw_stack!E2:E100000,0) &lt; IFERROR(raw_stack!H2:H100000,0), "Selisih KM Minus", "") &amp;
   IF(
    NOT(ISNUMBER(raw_stack!E2:E100000)),
    ", KM Berjalan Bukan Angka",
    ""
   ) &amp;
   IF(
    NOT(ISNUMBER(raw_stack!H2:H100000)),
    ", KM Servis Bukan Angka",
    ""
   ),
   ""
  )
 ),
 (raw_stack!D2:D100000&lt;&gt;"") *
 (
  (raw_stack!G2:G100000&gt;TODAY()) +
  (IFERROR(raw_stack!E2:E100000,0) &lt; IFERROR(raw_stack!H2:H100000,0)) +
  (NOT(ISNUMBER(raw_stack!E2:E100000))) +
  (NOT(ISNUMBER(raw_stack!H2:H100000)))
 )
)</f>
        <v>519</v>
      </c>
      <c r="B3" s="13">
        <f ca="1"/>
        <v>46045.482766203713</v>
      </c>
      <c r="C3" s="14" t="str">
        <f ca="1"/>
        <v>Daihatsu Xenia (Badan)</v>
      </c>
      <c r="D3" s="14" t="str">
        <f ca="1"/>
        <v>B9558JSZ</v>
      </c>
      <c r="E3" s="15">
        <f ca="1"/>
        <v>21574</v>
      </c>
      <c r="F3" s="11" t="str">
        <f ca="1"/>
        <v>Iya</v>
      </c>
      <c r="G3" s="13">
        <f ca="1"/>
        <v>46374</v>
      </c>
      <c r="H3" s="16">
        <f ca="1"/>
        <v>21574</v>
      </c>
      <c r="I3" s="5" t="str">
        <f ca="1"/>
        <v>Tanggal &gt; Hari Ini</v>
      </c>
    </row>
    <row r="4" spans="1:9">
      <c r="A4" s="11">
        <f ca="1"/>
        <v>594</v>
      </c>
      <c r="B4" s="13">
        <f ca="1"/>
        <v>46129.561180555553</v>
      </c>
      <c r="C4" s="14" t="str">
        <f ca="1"/>
        <v>DAIHATSU GRANMAX PU AC PS 1.5 M/T</v>
      </c>
      <c r="D4" s="14" t="str">
        <f ca="1"/>
        <v>B1042EB</v>
      </c>
      <c r="E4" s="15">
        <f ca="1"/>
        <v>3965</v>
      </c>
      <c r="F4" s="11" t="str">
        <f ca="1"/>
        <v>Iya</v>
      </c>
      <c r="G4" s="13">
        <f ca="1"/>
        <v>46099</v>
      </c>
      <c r="H4" s="16">
        <f ca="1"/>
        <v>14407</v>
      </c>
      <c r="I4" s="5" t="str">
        <f ca="1"/>
        <v>Selisih KM Minus</v>
      </c>
    </row>
    <row r="5" spans="1:9">
      <c r="A5" s="11">
        <f ca="1"/>
        <v>2032</v>
      </c>
      <c r="B5" s="13">
        <f ca="1"/>
        <v>46084.544722222221</v>
      </c>
      <c r="C5" s="14" t="str">
        <f ca="1"/>
        <v>DAIHATSU GRANMAX PU AC PS 1.5 M/T</v>
      </c>
      <c r="D5" s="14" t="str">
        <f ca="1"/>
        <v>B1960LKY</v>
      </c>
      <c r="E5" s="15">
        <f ca="1"/>
        <v>49627</v>
      </c>
      <c r="F5" s="11" t="str">
        <f ca="1"/>
        <v>Iya</v>
      </c>
      <c r="G5" s="13">
        <f ca="1"/>
        <v>46296</v>
      </c>
      <c r="H5" s="16">
        <f ca="1"/>
        <v>49627</v>
      </c>
      <c r="I5" s="5" t="str">
        <f ca="1"/>
        <v>Tanggal &gt; Hari Ini</v>
      </c>
    </row>
    <row r="6" spans="1:9">
      <c r="A6" s="11">
        <f ca="1"/>
        <v>2125</v>
      </c>
      <c r="B6" s="13">
        <f ca="1"/>
        <v>46091.711701388893</v>
      </c>
      <c r="C6" s="14" t="str">
        <f ca="1"/>
        <v>DAIHATSU GRANMAX PU AC PS 1.5 M/T</v>
      </c>
      <c r="D6" s="14" t="str">
        <f ca="1"/>
        <v>B6407IG</v>
      </c>
      <c r="E6" s="15">
        <f ca="1"/>
        <v>2108</v>
      </c>
      <c r="F6" s="11" t="str">
        <f ca="1"/>
        <v>Iya</v>
      </c>
      <c r="G6" s="13">
        <f ca="1"/>
        <v>46351</v>
      </c>
      <c r="H6" s="16">
        <f ca="1"/>
        <v>2108</v>
      </c>
      <c r="I6" s="5" t="str">
        <f ca="1"/>
        <v>Tanggal &gt; Hari Ini</v>
      </c>
    </row>
    <row r="7" spans="1:9">
      <c r="A7" s="11">
        <f ca="1"/>
        <v>2199</v>
      </c>
      <c r="B7" s="13">
        <f ca="1"/>
        <v>46125.444374999999</v>
      </c>
      <c r="C7" s="14" t="str">
        <f ca="1"/>
        <v>DAIHATSU GRANMAX PU AC PS 1.5 M/T</v>
      </c>
      <c r="D7" s="14" t="str">
        <f ca="1"/>
        <v>KT4620NQ</v>
      </c>
      <c r="E7" s="15">
        <f ca="1"/>
        <v>18603</v>
      </c>
      <c r="F7" s="11" t="str">
        <f ca="1"/>
        <v>Iya</v>
      </c>
      <c r="G7" s="13">
        <f ca="1"/>
        <v>46093</v>
      </c>
      <c r="H7" s="16">
        <f ca="1"/>
        <v>27680</v>
      </c>
      <c r="I7" s="5" t="str">
        <f ca="1"/>
        <v>Selisih KM Minus</v>
      </c>
    </row>
    <row r="8" spans="1:9">
      <c r="A8" s="11">
        <f ca="1"/>
        <v>2217</v>
      </c>
      <c r="B8" s="13">
        <f ca="1"/>
        <v>46129.450949074067</v>
      </c>
      <c r="C8" s="14" t="str">
        <f ca="1"/>
        <v>DAIHATSU GRANMAX PU AC PS 1.5 M/T</v>
      </c>
      <c r="D8" s="14" t="str">
        <f ca="1"/>
        <v>B2639ZDE</v>
      </c>
      <c r="E8" s="15">
        <f ca="1"/>
        <v>2458</v>
      </c>
      <c r="F8" s="11" t="str">
        <f ca="1"/>
        <v>Iya</v>
      </c>
      <c r="G8" s="13">
        <f ca="1"/>
        <v>46090</v>
      </c>
      <c r="H8" s="16">
        <f ca="1"/>
        <v>16109</v>
      </c>
      <c r="I8" s="5" t="str">
        <f ca="1"/>
        <v>Selisih KM Minus</v>
      </c>
    </row>
    <row r="9" spans="1:9">
      <c r="A9" s="11">
        <f ca="1"/>
        <v>2220</v>
      </c>
      <c r="B9" s="13">
        <f ca="1"/>
        <v>46129.459513888891</v>
      </c>
      <c r="C9" s="14" t="str">
        <f ca="1"/>
        <v>DAIHATSU GRANMAX PU AC PS 1.5 M/T</v>
      </c>
      <c r="D9" s="14" t="str">
        <f ca="1"/>
        <v>B2960MA</v>
      </c>
      <c r="E9" s="15">
        <f ca="1"/>
        <v>64698</v>
      </c>
      <c r="F9" s="11" t="str">
        <f ca="1"/>
        <v>Iya</v>
      </c>
      <c r="G9" s="13">
        <f ca="1"/>
        <v>46116</v>
      </c>
      <c r="H9" s="16">
        <f ca="1"/>
        <v>65160</v>
      </c>
      <c r="I9" s="5" t="str">
        <f ca="1"/>
        <v>Selisih KM Minus</v>
      </c>
    </row>
    <row r="10" spans="1:9">
      <c r="A10" s="11">
        <f ca="1"/>
        <v>2264</v>
      </c>
      <c r="B10" s="13">
        <f ca="1"/>
        <v>46130.357372685183</v>
      </c>
      <c r="C10" s="14" t="str">
        <f ca="1"/>
        <v>PICK UP TRAGA 2.5 4X2 MT D M/T</v>
      </c>
      <c r="D10" s="14" t="str">
        <f ca="1"/>
        <v>B3889CE</v>
      </c>
      <c r="E10" s="15">
        <f ca="1"/>
        <v>23686</v>
      </c>
      <c r="F10" s="11" t="str">
        <f ca="1"/>
        <v>Iya</v>
      </c>
      <c r="G10" s="13">
        <f ca="1"/>
        <v>45937</v>
      </c>
      <c r="H10" s="16">
        <f ca="1"/>
        <v>31167</v>
      </c>
      <c r="I10" s="5" t="str">
        <f ca="1"/>
        <v>Selisih KM Minus</v>
      </c>
    </row>
    <row r="11" spans="1:9">
      <c r="A11" s="11">
        <f ca="1"/>
        <v>2271</v>
      </c>
      <c r="B11" s="13">
        <f ca="1"/>
        <v>46130.784097222233</v>
      </c>
      <c r="C11" s="14" t="str">
        <f ca="1"/>
        <v>DAIHATSU GRANMAX PU AC PS 1.5 M/T</v>
      </c>
      <c r="D11" s="14" t="str">
        <f ca="1"/>
        <v>B8474IXR</v>
      </c>
      <c r="E11" s="15">
        <f ca="1"/>
        <v>22322</v>
      </c>
      <c r="F11" s="11" t="str">
        <f ca="1"/>
        <v>Iya</v>
      </c>
      <c r="G11" s="13">
        <f ca="1"/>
        <v>46123</v>
      </c>
      <c r="H11" s="16">
        <f ca="1"/>
        <v>31121</v>
      </c>
      <c r="I11" s="5" t="str">
        <f ca="1"/>
        <v>Selisih KM Minus</v>
      </c>
    </row>
    <row r="12" spans="1:9">
      <c r="A12" s="11"/>
      <c r="B12" s="13"/>
      <c r="F12" s="11"/>
      <c r="G12" s="13"/>
      <c r="I12" s="5"/>
    </row>
    <row r="13" spans="1:9">
      <c r="A13" s="11"/>
      <c r="B13" s="13"/>
      <c r="F13" s="11"/>
      <c r="G13" s="13"/>
      <c r="I13" s="5"/>
    </row>
    <row r="14" spans="1:9">
      <c r="I14" s="5"/>
    </row>
    <row r="15" spans="1:9">
      <c r="I15" s="5"/>
    </row>
    <row r="16" spans="1:9">
      <c r="I16" s="5"/>
    </row>
    <row r="17" spans="9:9">
      <c r="I17" s="5"/>
    </row>
    <row r="18" spans="9:9">
      <c r="I18" s="5"/>
    </row>
    <row r="19" spans="9:9">
      <c r="I19" s="5"/>
    </row>
    <row r="20" spans="9:9">
      <c r="I20" s="5"/>
    </row>
    <row r="21" spans="9:9">
      <c r="I21" s="5"/>
    </row>
    <row r="22" spans="9:9">
      <c r="I22" s="5"/>
    </row>
    <row r="23" spans="9:9">
      <c r="I23" s="5"/>
    </row>
    <row r="24" spans="9:9">
      <c r="I24" s="5"/>
    </row>
    <row r="25" spans="9:9">
      <c r="I25" s="5"/>
    </row>
    <row r="26" spans="9:9">
      <c r="I26" s="5"/>
    </row>
    <row r="27" spans="9:9">
      <c r="I27" s="5"/>
    </row>
    <row r="28" spans="9:9">
      <c r="I28" s="5"/>
    </row>
    <row r="29" spans="9:9">
      <c r="I29" s="5"/>
    </row>
    <row r="30" spans="9:9">
      <c r="I30" s="5"/>
    </row>
    <row r="31" spans="9:9">
      <c r="I31" s="5"/>
    </row>
    <row r="32" spans="9: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  <row r="46" spans="9:9">
      <c r="I46" s="5"/>
    </row>
    <row r="47" spans="9:9">
      <c r="I47" s="5"/>
    </row>
    <row r="48" spans="9:9">
      <c r="I48" s="5"/>
    </row>
    <row r="49" spans="9:9">
      <c r="I49" s="5"/>
    </row>
    <row r="50" spans="9:9">
      <c r="I50" s="5"/>
    </row>
    <row r="51" spans="9:9">
      <c r="I51" s="5"/>
    </row>
    <row r="52" spans="9:9">
      <c r="I52" s="5"/>
    </row>
    <row r="53" spans="9:9">
      <c r="I53" s="5"/>
    </row>
    <row r="54" spans="9:9">
      <c r="I54" s="5"/>
    </row>
    <row r="55" spans="9:9">
      <c r="I55" s="5"/>
    </row>
    <row r="56" spans="9:9">
      <c r="I56" s="5"/>
    </row>
    <row r="57" spans="9:9">
      <c r="I57" s="5"/>
    </row>
    <row r="58" spans="9:9">
      <c r="I58" s="5"/>
    </row>
    <row r="59" spans="9:9">
      <c r="I59" s="5"/>
    </row>
    <row r="60" spans="9:9">
      <c r="I60" s="5"/>
    </row>
    <row r="61" spans="9:9">
      <c r="I61" s="5"/>
    </row>
    <row r="62" spans="9:9">
      <c r="I62" s="5"/>
    </row>
    <row r="63" spans="9:9">
      <c r="I63" s="5"/>
    </row>
    <row r="64" spans="9:9">
      <c r="I64" s="5"/>
    </row>
    <row r="65" spans="9:9">
      <c r="I65" s="5"/>
    </row>
    <row r="66" spans="9:9">
      <c r="I66" s="5"/>
    </row>
    <row r="67" spans="9:9">
      <c r="I67" s="5"/>
    </row>
    <row r="68" spans="9:9">
      <c r="I68" s="5"/>
    </row>
    <row r="69" spans="9:9">
      <c r="I69" s="5"/>
    </row>
    <row r="70" spans="9:9">
      <c r="I70" s="5"/>
    </row>
    <row r="71" spans="9:9">
      <c r="I71" s="5"/>
    </row>
    <row r="72" spans="9:9">
      <c r="I72" s="5"/>
    </row>
    <row r="73" spans="9:9">
      <c r="I73" s="5"/>
    </row>
    <row r="74" spans="9:9">
      <c r="I74" s="5"/>
    </row>
    <row r="75" spans="9:9">
      <c r="I75" s="5"/>
    </row>
    <row r="76" spans="9:9">
      <c r="I76" s="5"/>
    </row>
    <row r="77" spans="9:9">
      <c r="I77" s="5"/>
    </row>
    <row r="78" spans="9:9">
      <c r="I78" s="5"/>
    </row>
    <row r="79" spans="9:9">
      <c r="I79" s="5"/>
    </row>
    <row r="80" spans="9:9">
      <c r="I80" s="5"/>
    </row>
    <row r="81" spans="9:9">
      <c r="I81" s="5"/>
    </row>
    <row r="82" spans="9:9">
      <c r="I82" s="5"/>
    </row>
    <row r="83" spans="9:9">
      <c r="I83" s="5"/>
    </row>
    <row r="84" spans="9:9">
      <c r="I84" s="5"/>
    </row>
    <row r="85" spans="9:9">
      <c r="I85" s="5"/>
    </row>
    <row r="86" spans="9:9">
      <c r="I86" s="5"/>
    </row>
    <row r="87" spans="9:9">
      <c r="I87" s="5"/>
    </row>
    <row r="88" spans="9:9">
      <c r="I88" s="5"/>
    </row>
    <row r="89" spans="9:9">
      <c r="I89" s="5"/>
    </row>
    <row r="90" spans="9:9">
      <c r="I90" s="5"/>
    </row>
    <row r="91" spans="9:9">
      <c r="I91" s="5"/>
    </row>
    <row r="92" spans="9:9">
      <c r="I92" s="5"/>
    </row>
    <row r="93" spans="9:9">
      <c r="I93" s="5"/>
    </row>
    <row r="94" spans="9:9">
      <c r="I94" s="5"/>
    </row>
    <row r="95" spans="9:9">
      <c r="I95" s="5"/>
    </row>
    <row r="96" spans="9:9">
      <c r="I96" s="5"/>
    </row>
    <row r="97" spans="9:9">
      <c r="I97" s="5"/>
    </row>
    <row r="98" spans="9:9">
      <c r="I98" s="5"/>
    </row>
    <row r="99" spans="9:9">
      <c r="I99" s="5"/>
    </row>
    <row r="100" spans="9:9">
      <c r="I100" s="5"/>
    </row>
    <row r="101" spans="9:9">
      <c r="I101" s="5"/>
    </row>
    <row r="102" spans="9:9">
      <c r="I102" s="5"/>
    </row>
    <row r="103" spans="9:9">
      <c r="I103" s="5"/>
    </row>
    <row r="104" spans="9:9">
      <c r="I104" s="5"/>
    </row>
    <row r="105" spans="9:9">
      <c r="I105" s="5"/>
    </row>
    <row r="106" spans="9:9">
      <c r="I106" s="5"/>
    </row>
    <row r="107" spans="9:9">
      <c r="I107" s="5"/>
    </row>
    <row r="108" spans="9:9">
      <c r="I108" s="5"/>
    </row>
    <row r="109" spans="9:9">
      <c r="I109" s="5"/>
    </row>
    <row r="110" spans="9:9">
      <c r="I110" s="5"/>
    </row>
    <row r="111" spans="9:9">
      <c r="I111" s="5"/>
    </row>
    <row r="112" spans="9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  <row r="201" spans="9:9">
      <c r="I201" s="5"/>
    </row>
    <row r="202" spans="9:9">
      <c r="I202" s="5"/>
    </row>
    <row r="203" spans="9:9">
      <c r="I203" s="5"/>
    </row>
    <row r="204" spans="9:9">
      <c r="I204" s="5"/>
    </row>
    <row r="205" spans="9:9">
      <c r="I205" s="5"/>
    </row>
    <row r="206" spans="9:9">
      <c r="I206" s="5"/>
    </row>
    <row r="207" spans="9:9">
      <c r="I207" s="5"/>
    </row>
    <row r="208" spans="9:9">
      <c r="I208" s="5"/>
    </row>
    <row r="209" spans="9:9">
      <c r="I209" s="5"/>
    </row>
    <row r="210" spans="9:9">
      <c r="I210" s="5"/>
    </row>
    <row r="211" spans="9:9">
      <c r="I211" s="5"/>
    </row>
    <row r="212" spans="9:9">
      <c r="I212" s="5"/>
    </row>
    <row r="213" spans="9:9">
      <c r="I213" s="5"/>
    </row>
    <row r="214" spans="9:9">
      <c r="I214" s="5"/>
    </row>
    <row r="215" spans="9:9">
      <c r="I215" s="5"/>
    </row>
    <row r="216" spans="9:9">
      <c r="I216" s="5"/>
    </row>
    <row r="217" spans="9:9">
      <c r="I217" s="5"/>
    </row>
    <row r="218" spans="9:9">
      <c r="I218" s="5"/>
    </row>
    <row r="219" spans="9:9">
      <c r="I219" s="5"/>
    </row>
    <row r="220" spans="9:9">
      <c r="I220" s="5"/>
    </row>
    <row r="221" spans="9:9">
      <c r="I221" s="5"/>
    </row>
    <row r="222" spans="9:9">
      <c r="I222" s="5"/>
    </row>
    <row r="223" spans="9:9">
      <c r="I223" s="5"/>
    </row>
    <row r="224" spans="9:9">
      <c r="I224" s="5"/>
    </row>
    <row r="225" spans="9:9">
      <c r="I225" s="5"/>
    </row>
    <row r="226" spans="9:9">
      <c r="I226" s="5"/>
    </row>
    <row r="227" spans="9:9">
      <c r="I227" s="5"/>
    </row>
    <row r="228" spans="9:9">
      <c r="I228" s="5"/>
    </row>
    <row r="229" spans="9:9">
      <c r="I229" s="5"/>
    </row>
    <row r="230" spans="9:9">
      <c r="I230" s="5"/>
    </row>
    <row r="231" spans="9:9">
      <c r="I231" s="5"/>
    </row>
    <row r="232" spans="9:9">
      <c r="I232" s="5"/>
    </row>
    <row r="233" spans="9:9">
      <c r="I233" s="5"/>
    </row>
    <row r="234" spans="9:9">
      <c r="I234" s="5"/>
    </row>
    <row r="235" spans="9:9">
      <c r="I235" s="5"/>
    </row>
    <row r="236" spans="9:9">
      <c r="I236" s="5"/>
    </row>
    <row r="237" spans="9:9">
      <c r="I237" s="5"/>
    </row>
    <row r="238" spans="9:9">
      <c r="I238" s="5"/>
    </row>
    <row r="239" spans="9:9">
      <c r="I239" s="5"/>
    </row>
    <row r="240" spans="9:9">
      <c r="I240" s="5"/>
    </row>
    <row r="241" spans="9:9">
      <c r="I241" s="5"/>
    </row>
    <row r="242" spans="9:9">
      <c r="I242" s="5"/>
    </row>
    <row r="243" spans="9:9">
      <c r="I243" s="5"/>
    </row>
    <row r="244" spans="9:9">
      <c r="I244" s="5"/>
    </row>
    <row r="245" spans="9:9">
      <c r="I245" s="5"/>
    </row>
    <row r="246" spans="9:9">
      <c r="I246" s="5"/>
    </row>
    <row r="247" spans="9:9">
      <c r="I247" s="5"/>
    </row>
    <row r="248" spans="9:9">
      <c r="I248" s="5"/>
    </row>
    <row r="249" spans="9:9">
      <c r="I249" s="5"/>
    </row>
    <row r="250" spans="9:9">
      <c r="I250" s="5"/>
    </row>
    <row r="251" spans="9:9">
      <c r="I251" s="5"/>
    </row>
    <row r="252" spans="9:9">
      <c r="I252" s="5"/>
    </row>
    <row r="253" spans="9:9">
      <c r="I253" s="5"/>
    </row>
    <row r="254" spans="9:9">
      <c r="I254" s="5"/>
    </row>
    <row r="255" spans="9:9">
      <c r="I255" s="5"/>
    </row>
    <row r="256" spans="9:9">
      <c r="I256" s="5"/>
    </row>
    <row r="257" spans="9:9">
      <c r="I257" s="5"/>
    </row>
    <row r="258" spans="9:9">
      <c r="I258" s="5"/>
    </row>
    <row r="259" spans="9:9">
      <c r="I259" s="5"/>
    </row>
    <row r="260" spans="9:9">
      <c r="I260" s="5"/>
    </row>
    <row r="261" spans="9:9">
      <c r="I261" s="5"/>
    </row>
    <row r="262" spans="9:9">
      <c r="I262" s="5"/>
    </row>
    <row r="263" spans="9:9">
      <c r="I263" s="5"/>
    </row>
    <row r="264" spans="9:9">
      <c r="I264" s="5"/>
    </row>
    <row r="265" spans="9:9">
      <c r="I265" s="5"/>
    </row>
    <row r="266" spans="9:9">
      <c r="I266" s="5"/>
    </row>
    <row r="267" spans="9:9">
      <c r="I267" s="5"/>
    </row>
    <row r="268" spans="9:9">
      <c r="I268" s="5"/>
    </row>
    <row r="269" spans="9:9">
      <c r="I269" s="5"/>
    </row>
    <row r="270" spans="9:9">
      <c r="I270" s="5"/>
    </row>
    <row r="271" spans="9:9">
      <c r="I271" s="5"/>
    </row>
    <row r="272" spans="9:9">
      <c r="I272" s="5"/>
    </row>
    <row r="273" spans="9:9">
      <c r="I273" s="5"/>
    </row>
    <row r="274" spans="9:9">
      <c r="I274" s="5"/>
    </row>
    <row r="275" spans="9:9">
      <c r="I275" s="5"/>
    </row>
    <row r="276" spans="9:9">
      <c r="I276" s="5"/>
    </row>
    <row r="277" spans="9:9">
      <c r="I277" s="5"/>
    </row>
    <row r="278" spans="9:9">
      <c r="I278" s="5"/>
    </row>
    <row r="279" spans="9:9">
      <c r="I279" s="5"/>
    </row>
    <row r="280" spans="9:9">
      <c r="I280" s="5"/>
    </row>
    <row r="281" spans="9:9">
      <c r="I281" s="5"/>
    </row>
    <row r="282" spans="9:9">
      <c r="I282" s="5"/>
    </row>
    <row r="283" spans="9:9">
      <c r="I283" s="5"/>
    </row>
    <row r="284" spans="9:9">
      <c r="I284" s="5"/>
    </row>
    <row r="285" spans="9:9">
      <c r="I285" s="5"/>
    </row>
    <row r="286" spans="9:9">
      <c r="I286" s="5"/>
    </row>
    <row r="287" spans="9:9">
      <c r="I287" s="5"/>
    </row>
    <row r="288" spans="9:9">
      <c r="I288" s="5"/>
    </row>
    <row r="289" spans="9:9">
      <c r="I289" s="5"/>
    </row>
    <row r="290" spans="9:9">
      <c r="I290" s="5"/>
    </row>
    <row r="291" spans="9:9">
      <c r="I291" s="5"/>
    </row>
    <row r="292" spans="9:9">
      <c r="I292" s="5"/>
    </row>
    <row r="293" spans="9:9">
      <c r="I293" s="5"/>
    </row>
    <row r="294" spans="9:9">
      <c r="I294" s="5"/>
    </row>
    <row r="295" spans="9:9">
      <c r="I295" s="5"/>
    </row>
    <row r="296" spans="9:9">
      <c r="I296" s="5"/>
    </row>
    <row r="297" spans="9:9">
      <c r="I297" s="5"/>
    </row>
    <row r="298" spans="9:9">
      <c r="I298" s="5"/>
    </row>
    <row r="299" spans="9:9">
      <c r="I299" s="5"/>
    </row>
    <row r="300" spans="9:9">
      <c r="I300" s="5"/>
    </row>
    <row r="301" spans="9:9">
      <c r="I301" s="5"/>
    </row>
    <row r="302" spans="9:9">
      <c r="I302" s="5"/>
    </row>
    <row r="303" spans="9:9">
      <c r="I303" s="5"/>
    </row>
    <row r="304" spans="9:9">
      <c r="I304" s="5"/>
    </row>
    <row r="305" spans="9:9">
      <c r="I305" s="5"/>
    </row>
    <row r="306" spans="9:9">
      <c r="I306" s="5"/>
    </row>
    <row r="307" spans="9:9">
      <c r="I307" s="5"/>
    </row>
    <row r="308" spans="9:9">
      <c r="I308" s="5"/>
    </row>
    <row r="309" spans="9:9">
      <c r="I309" s="5"/>
    </row>
    <row r="310" spans="9:9">
      <c r="I310" s="5"/>
    </row>
    <row r="311" spans="9:9">
      <c r="I311" s="5"/>
    </row>
    <row r="312" spans="9:9">
      <c r="I312" s="5"/>
    </row>
    <row r="313" spans="9:9">
      <c r="I313" s="5"/>
    </row>
    <row r="314" spans="9:9">
      <c r="I314" s="5"/>
    </row>
    <row r="315" spans="9:9">
      <c r="I315" s="5"/>
    </row>
    <row r="316" spans="9:9">
      <c r="I316" s="5"/>
    </row>
    <row r="317" spans="9:9">
      <c r="I317" s="5"/>
    </row>
    <row r="318" spans="9:9">
      <c r="I318" s="5"/>
    </row>
    <row r="319" spans="9:9">
      <c r="I319" s="5"/>
    </row>
    <row r="320" spans="9:9">
      <c r="I320" s="5"/>
    </row>
    <row r="321" spans="9:9">
      <c r="I321" s="5"/>
    </row>
    <row r="322" spans="9:9">
      <c r="I322" s="5"/>
    </row>
    <row r="323" spans="9:9">
      <c r="I323" s="5"/>
    </row>
    <row r="324" spans="9:9">
      <c r="I324" s="5"/>
    </row>
    <row r="325" spans="9:9">
      <c r="I325" s="5"/>
    </row>
    <row r="326" spans="9:9">
      <c r="I326" s="5"/>
    </row>
    <row r="327" spans="9:9">
      <c r="I327" s="5"/>
    </row>
    <row r="328" spans="9:9">
      <c r="I328" s="5"/>
    </row>
    <row r="329" spans="9:9">
      <c r="I329" s="5"/>
    </row>
    <row r="330" spans="9:9">
      <c r="I330" s="5"/>
    </row>
    <row r="331" spans="9:9">
      <c r="I331" s="5"/>
    </row>
    <row r="332" spans="9:9">
      <c r="I332" s="5"/>
    </row>
    <row r="333" spans="9:9">
      <c r="I333" s="5"/>
    </row>
    <row r="334" spans="9:9">
      <c r="I334" s="5"/>
    </row>
    <row r="335" spans="9:9">
      <c r="I335" s="5"/>
    </row>
    <row r="336" spans="9:9">
      <c r="I336" s="5"/>
    </row>
    <row r="337" spans="9:9">
      <c r="I337" s="5"/>
    </row>
    <row r="338" spans="9:9">
      <c r="I338" s="5"/>
    </row>
    <row r="339" spans="9:9">
      <c r="I339" s="5"/>
    </row>
    <row r="340" spans="9:9">
      <c r="I340" s="5"/>
    </row>
    <row r="341" spans="9:9">
      <c r="I341" s="5"/>
    </row>
    <row r="342" spans="9:9">
      <c r="I342" s="5"/>
    </row>
    <row r="343" spans="9:9">
      <c r="I343" s="5"/>
    </row>
    <row r="344" spans="9:9">
      <c r="I344" s="5"/>
    </row>
    <row r="345" spans="9:9">
      <c r="I345" s="5"/>
    </row>
    <row r="346" spans="9:9">
      <c r="I346" s="5"/>
    </row>
    <row r="347" spans="9:9">
      <c r="I347" s="5"/>
    </row>
    <row r="348" spans="9:9">
      <c r="I348" s="5"/>
    </row>
    <row r="349" spans="9:9">
      <c r="I349" s="5"/>
    </row>
    <row r="350" spans="9:9">
      <c r="I350" s="5"/>
    </row>
    <row r="351" spans="9:9">
      <c r="I351" s="5"/>
    </row>
    <row r="352" spans="9:9">
      <c r="I352" s="5"/>
    </row>
    <row r="353" spans="9:9">
      <c r="I353" s="5"/>
    </row>
    <row r="354" spans="9:9">
      <c r="I354" s="5"/>
    </row>
    <row r="355" spans="9:9">
      <c r="I355" s="5"/>
    </row>
    <row r="356" spans="9:9">
      <c r="I356" s="5"/>
    </row>
    <row r="357" spans="9:9">
      <c r="I357" s="5"/>
    </row>
    <row r="358" spans="9:9">
      <c r="I358" s="5"/>
    </row>
    <row r="359" spans="9:9">
      <c r="I359" s="5"/>
    </row>
    <row r="360" spans="9:9">
      <c r="I360" s="5"/>
    </row>
    <row r="361" spans="9:9">
      <c r="I361" s="5"/>
    </row>
    <row r="362" spans="9:9">
      <c r="I362" s="5"/>
    </row>
    <row r="363" spans="9:9">
      <c r="I363" s="5"/>
    </row>
    <row r="364" spans="9:9">
      <c r="I364" s="5"/>
    </row>
    <row r="365" spans="9:9">
      <c r="I365" s="5"/>
    </row>
    <row r="366" spans="9:9">
      <c r="I366" s="5"/>
    </row>
    <row r="367" spans="9:9">
      <c r="I367" s="5"/>
    </row>
    <row r="368" spans="9:9">
      <c r="I368" s="5"/>
    </row>
    <row r="369" spans="9:9">
      <c r="I369" s="5"/>
    </row>
    <row r="370" spans="9:9">
      <c r="I370" s="5"/>
    </row>
    <row r="371" spans="9:9">
      <c r="I371" s="5"/>
    </row>
    <row r="372" spans="9:9">
      <c r="I372" s="5"/>
    </row>
    <row r="373" spans="9:9">
      <c r="I373" s="5"/>
    </row>
  </sheetData>
  <autoFilter ref="A2:I13" xr:uid="{661AD3E4-6104-094B-AA81-76347F7B6EDA}"/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3DC1-2E9C-9F4E-9101-04054138FF3C}">
  <sheetPr>
    <tabColor theme="9" tint="-0.249977111117893"/>
  </sheetPr>
  <dimension ref="A1:AH335"/>
  <sheetViews>
    <sheetView workbookViewId="0">
      <selection activeCell="X4" sqref="X4"/>
    </sheetView>
  </sheetViews>
  <sheetFormatPr baseColWidth="10" defaultRowHeight="16"/>
  <cols>
    <col min="1" max="1" width="3.6640625" customWidth="1"/>
    <col min="2" max="2" width="5.33203125" bestFit="1" customWidth="1"/>
    <col min="3" max="3" width="16.33203125" bestFit="1" customWidth="1"/>
    <col min="4" max="4" width="42.5" bestFit="1" customWidth="1"/>
    <col min="5" max="5" width="24.83203125" bestFit="1" customWidth="1"/>
    <col min="6" max="6" width="23.1640625" bestFit="1" customWidth="1"/>
    <col min="7" max="7" width="9.33203125" bestFit="1" customWidth="1"/>
    <col min="8" max="8" width="4.1640625" bestFit="1" customWidth="1"/>
    <col min="9" max="9" width="6.83203125" bestFit="1" customWidth="1"/>
    <col min="10" max="10" width="9" bestFit="1" customWidth="1"/>
    <col min="11" max="11" width="16.5" bestFit="1" customWidth="1"/>
    <col min="12" max="12" width="14.83203125" bestFit="1" customWidth="1"/>
    <col min="13" max="13" width="20.6640625" bestFit="1" customWidth="1"/>
    <col min="14" max="14" width="6.83203125" bestFit="1" customWidth="1"/>
    <col min="15" max="15" width="12.6640625" bestFit="1" customWidth="1"/>
    <col min="16" max="16" width="9" bestFit="1" customWidth="1"/>
    <col min="17" max="17" width="13.1640625" bestFit="1" customWidth="1"/>
    <col min="18" max="18" width="9" bestFit="1" customWidth="1"/>
    <col min="19" max="19" width="12.6640625" bestFit="1" customWidth="1"/>
    <col min="20" max="20" width="9" bestFit="1" customWidth="1"/>
    <col min="21" max="21" width="12.6640625" bestFit="1" customWidth="1"/>
    <col min="22" max="22" width="9" bestFit="1" customWidth="1"/>
    <col min="23" max="23" width="12.6640625" bestFit="1" customWidth="1"/>
    <col min="24" max="24" width="9" bestFit="1" customWidth="1"/>
    <col min="25" max="25" width="12.6640625" bestFit="1" customWidth="1"/>
    <col min="26" max="26" width="9" bestFit="1" customWidth="1"/>
    <col min="27" max="27" width="12.5" bestFit="1" customWidth="1"/>
    <col min="28" max="28" width="9" bestFit="1" customWidth="1"/>
    <col min="29" max="29" width="12.5" bestFit="1" customWidth="1"/>
    <col min="30" max="30" width="9" bestFit="1" customWidth="1"/>
    <col min="31" max="31" width="13" bestFit="1" customWidth="1"/>
    <col min="32" max="32" width="9" style="9" customWidth="1"/>
    <col min="33" max="33" width="12.6640625" bestFit="1" customWidth="1"/>
    <col min="34" max="34" width="9" style="9" customWidth="1"/>
    <col min="37" max="37" width="29.1640625" bestFit="1" customWidth="1"/>
  </cols>
  <sheetData>
    <row r="1" spans="1:34">
      <c r="A1" s="61" t="s">
        <v>35</v>
      </c>
      <c r="B1" s="61" t="s">
        <v>36</v>
      </c>
      <c r="C1" s="61" t="s">
        <v>37</v>
      </c>
      <c r="D1" s="61" t="s">
        <v>77</v>
      </c>
      <c r="E1" s="61" t="s">
        <v>38</v>
      </c>
      <c r="F1" s="61" t="s">
        <v>39</v>
      </c>
      <c r="G1" s="61" t="s">
        <v>40</v>
      </c>
      <c r="H1" s="61" t="s">
        <v>1</v>
      </c>
      <c r="I1" s="61" t="s">
        <v>78</v>
      </c>
      <c r="J1" s="62" t="s">
        <v>41</v>
      </c>
      <c r="K1" s="63" t="s">
        <v>42</v>
      </c>
      <c r="L1" s="63" t="s">
        <v>43</v>
      </c>
      <c r="M1" s="63" t="s">
        <v>44</v>
      </c>
      <c r="N1" s="61" t="s">
        <v>45</v>
      </c>
      <c r="O1" s="64" t="s">
        <v>80</v>
      </c>
      <c r="P1" s="64" t="s">
        <v>79</v>
      </c>
      <c r="Q1" s="64" t="s">
        <v>81</v>
      </c>
      <c r="R1" s="64" t="s">
        <v>79</v>
      </c>
      <c r="S1" s="64" t="s">
        <v>82</v>
      </c>
      <c r="T1" s="64" t="s">
        <v>79</v>
      </c>
      <c r="U1" s="64" t="s">
        <v>83</v>
      </c>
      <c r="V1" s="64" t="s">
        <v>79</v>
      </c>
      <c r="W1" s="64" t="s">
        <v>84</v>
      </c>
      <c r="X1" s="64" t="s">
        <v>79</v>
      </c>
      <c r="Y1" s="64" t="s">
        <v>85</v>
      </c>
      <c r="Z1" s="64" t="s">
        <v>79</v>
      </c>
      <c r="AA1" s="64" t="s">
        <v>86</v>
      </c>
      <c r="AB1" s="64" t="s">
        <v>79</v>
      </c>
      <c r="AC1" s="64" t="s">
        <v>87</v>
      </c>
      <c r="AD1" s="64" t="s">
        <v>79</v>
      </c>
      <c r="AE1" s="64" t="s">
        <v>88</v>
      </c>
      <c r="AF1" s="64" t="s">
        <v>79</v>
      </c>
      <c r="AG1" s="64" t="s">
        <v>89</v>
      </c>
      <c r="AH1" s="64" t="s">
        <v>79</v>
      </c>
    </row>
    <row r="2" spans="1:34">
      <c r="A2" s="48">
        <v>1</v>
      </c>
      <c r="B2" s="49" t="str">
        <f>LEFT(D2,5)</f>
        <v>48431</v>
      </c>
      <c r="C2" s="50" t="s">
        <v>46</v>
      </c>
      <c r="D2" s="51" t="s">
        <v>452</v>
      </c>
      <c r="E2" s="51" t="s">
        <v>47</v>
      </c>
      <c r="F2" s="49" t="s">
        <v>117</v>
      </c>
      <c r="G2" s="49" t="s">
        <v>118</v>
      </c>
      <c r="H2" s="49" t="s">
        <v>48</v>
      </c>
      <c r="I2" s="49" t="s">
        <v>49</v>
      </c>
      <c r="J2" s="52">
        <v>3925000</v>
      </c>
      <c r="K2" s="53">
        <v>46067</v>
      </c>
      <c r="L2" s="53">
        <v>46431</v>
      </c>
      <c r="M2" s="53">
        <v>46066</v>
      </c>
      <c r="N2" s="49" t="s">
        <v>50</v>
      </c>
      <c r="O2" s="54" t="str">
        <f>_xlfn.LET(
 _xlpm.x,
 _xlfn.MAXIFS(
  raw_stack!G$2:G$100000,
  raw_stack!D$2:D$100000, G2,
  raw_stack!F$2:F$100000, "Iya",
  raw_stack!G$2:G$100000, "&gt;="&amp;DATE(2025,7,1),
  raw_stack!G$2:G$100000, "&lt;="&amp;EOMONTH(DATE(2025,7,1),0)
 ),
 IF(_xlpm.x=0, "-", _xlpm.x)
)</f>
        <v>-</v>
      </c>
      <c r="P2" s="65" t="str">
        <f>_xlfn.LET(
 _xlpm.x,
 _xlfn.MAXIFS(
  raw_stack!H$2:H$100000,
  raw_stack!D$2:D$100000, G2,
  raw_stack!F$2:F$100000, "Iya",
  raw_stack!G$2:G$100000, "&gt;="&amp;DATE(2025,7,1),
  raw_stack!G$2:G$100000, "&lt;="&amp;EOMONTH(DATE(2025,7,1),0)
 ),
 IF(OR(_xlpm.x=0, _xlpm.x=""), "-", _xlpm.x)
)</f>
        <v>-</v>
      </c>
      <c r="Q2" s="54">
        <f>_xlfn.LET(
 _xlpm.x,
 _xlfn.MAXIFS(
  raw_stack!G$2:G$99411,
  raw_stack!D$2:D$99411, G2,
  raw_stack!F$2:F$99411, "Iya",
  raw_stack!G$2:G$99411, "&gt;="&amp;DATE(2025,8,1),
  raw_stack!G$2:G$99411, "&lt;="&amp;EOMONTH(DATE(2025,8,1),0)
 ),
 IF(_xlpm.x=0, "-", _xlpm.x)
)</f>
        <v>45897</v>
      </c>
      <c r="R2" s="65">
        <f>_xlfn.LET(
 _xlpm.x,
 _xlfn.MAXIFS(
  raw_stack!H$2:H$100000,
  raw_stack!D$2:D$100000, G2,
  raw_stack!F$2:F$100000, "Iya",
  raw_stack!G$2:G$100000, "&gt;="&amp;DATE(2025,8,1),
  raw_stack!G$2:G$100000, "&lt;="&amp;EOMONTH(DATE(2025,8,1),0)
 ),
 IF(OR(_xlpm.x=0, _xlpm.x=""), "-", _xlpm.x)
)</f>
        <v>68652</v>
      </c>
      <c r="S2" s="54" t="str">
        <f>_xlfn.LET(
 _xlpm.x,
 _xlfn.MAXIFS(
  raw_stack!G$2:G$99411,
  raw_stack!D$2:D$99411, G2,
  raw_stack!F$2:F$99411, "Iya",
  raw_stack!G$2:G$99411, "&gt;="&amp;DATE(2025,9,1),
  raw_stack!G$2:G$99411, "&lt;="&amp;EOMONTH(DATE(2025,9,1),0)
 ),
 IF(_xlpm.x=0, "-", _xlpm.x)
)</f>
        <v>-</v>
      </c>
      <c r="T2" s="65" t="str">
        <f>_xlfn.LET(
 _xlpm.x,
 _xlfn.MAXIFS(
  raw_stack!H$2:H$100000,
  raw_stack!D$2:D$100000, G2,
  raw_stack!F$2:F$100000, "Iya",
  raw_stack!G$2:G$100000, "&gt;="&amp;DATE(2025,9,1),
  raw_stack!G$2:G$100000, "&lt;="&amp;EOMONTH(DATE(2025,9,1),0)
 ),
 IF(OR(_xlpm.x=0, _xlpm.x=""), "-", _xlpm.x)
)</f>
        <v>-</v>
      </c>
      <c r="U2" s="54" t="str">
        <f>_xlfn.LET(
 _xlpm.x,
 _xlfn.MAXIFS(
  raw_stack!G$2:G$99411,
  raw_stack!D$2:D$99411, G2,
  raw_stack!F$2:F$99411, "Iya",
  raw_stack!G$2:G$99411, "&gt;="&amp;DATE(2025,10,1),
  raw_stack!G$2:G$99411, "&lt;="&amp;EOMONTH(DATE(2025,10,1),0)
 ),
 IF(_xlpm.x=0, "-", _xlpm.x)
)</f>
        <v>-</v>
      </c>
      <c r="V2" s="65" t="str">
        <f>_xlfn.LET(
 _xlpm.x,
 _xlfn.MAXIFS(
  raw_stack!H$2:H$100000,
  raw_stack!D$2:D$100000, G2,
  raw_stack!F$2:F$100000, "Iya",
  raw_stack!G$2:G$100000, "&gt;="&amp;DATE(2025,10,1),
  raw_stack!G$2:G$100000, "&lt;="&amp;EOMONTH(DATE(2025,10,1),0)
 ),
 IF(OR(_xlpm.x=0, _xlpm.x=""), "-", _xlpm.x)
)</f>
        <v>-</v>
      </c>
      <c r="W2" s="55" t="str">
        <f>_xlfn.LET(
 _xlpm.x,
 _xlfn.MAXIFS(
  raw_stack!G$2:G$99411,
  raw_stack!D$2:D$99411, G2,
  raw_stack!F$2:F$99411, "Iya",
  raw_stack!G$2:G$99411, "&gt;="&amp;DATE(2025,11,1),
  raw_stack!G$2:G$99411, "&lt;="&amp;EOMONTH(DATE(2025,11,1),0)
 ),
 IF(_xlpm.x=0, "-", _xlpm.x)
)</f>
        <v>-</v>
      </c>
      <c r="X2" s="56" t="str">
        <f>_xlfn.LET(
 _xlpm.x,
 _xlfn.MAXIFS(
  raw_stack!H$2:H$100000,
  raw_stack!D$2:D$100000, G2,
  raw_stack!F$2:F$100000, "Iya",
  raw_stack!G$2:G$100000, "&gt;="&amp;DATE(2025,11,1),
  raw_stack!G$2:G$100000, "&lt;="&amp;EOMONTH(DATE(2025,11,1),0)
 ),
 IF(OR(_xlpm.x=0, _xlpm.x=""), "-", _xlpm.x)
)</f>
        <v>-</v>
      </c>
      <c r="Y2" s="55" t="str">
        <f>_xlfn.LET(
 _xlpm.x,
 _xlfn.MAXIFS(
  raw_stack!G$2:G$99411,
  raw_stack!D$2:D$99411, G2,
  raw_stack!F$2:F$99411, "Iya",
  raw_stack!G$2:G$99411, "&gt;="&amp;DATE(2025,12,1),
  raw_stack!G$2:G$99411, "&lt;="&amp;EOMONTH(DATE(2025,12,1),0)
 ),
 IF(_xlpm.x=0, "-", _xlpm.x)
)</f>
        <v>-</v>
      </c>
      <c r="Z2" s="56" t="str">
        <f>_xlfn.LET(
 _xlpm.x,
 _xlfn.MAXIFS(
  raw_stack!H$2:H$100000,
  raw_stack!D$2:D$100000, G2,
  raw_stack!F$2:F$100000, "Iya",
  raw_stack!G$2:G$100000, "&gt;="&amp;DATE(2025,12,1),
  raw_stack!G$2:G$100000, "&lt;="&amp;EOMONTH(DATE(2025,12,1),0)
 ),
 IF(OR(_xlpm.x=0, _xlpm.x=""), "-", _xlpm.x)
)</f>
        <v>-</v>
      </c>
      <c r="AA2" s="55" t="str">
        <f>_xlfn.LET(
 _xlpm.x,
 _xlfn.MAXIFS(
  raw_stack!G$2:G$99411,
  raw_stack!D$2:D$99411, G2,
  raw_stack!F$2:F$99411, "Iya",
  raw_stack!G$2:G$99411, "&gt;="&amp;DATE(2026,1,1),
  raw_stack!G$2:G$99411, "&lt;="&amp;EOMONTH(DATE(2026,1,1),0)
 ),
 IF(_xlpm.x=0, "-", _xlpm.x)
)</f>
        <v>-</v>
      </c>
      <c r="AB2" s="56" t="str">
        <f>_xlfn.LET(
 _xlpm.x,
 _xlfn.MAXIFS(
  raw_stack!H$2:H$100000,
  raw_stack!D$2:D$100000, G2,
  raw_stack!F$2:F$100000, "Iya",
  raw_stack!G$2:G$100000, "&gt;="&amp;DATE(2026,1,1),
  raw_stack!G$2:G$100000, "&lt;="&amp;EOMONTH(DATE(2026,1,1),0)
 ),
 IF(OR(_xlpm.x=0, _xlpm.x=""), "-", _xlpm.x)
)</f>
        <v>-</v>
      </c>
      <c r="AC2" s="55" t="str">
        <f>_xlfn.LET(
 _xlpm.x,
 _xlfn.MAXIFS(
  raw_stack!G$2:G$99411,
  raw_stack!D$2:D$99411, G2,
  raw_stack!F$2:F$99411, "Iya",
  raw_stack!G$2:G$99411, "&gt;="&amp;DATE(2026,2,1),
  raw_stack!G$2:G$99411, "&lt;="&amp;EOMONTH(DATE(2026,2,1),0)
 ),
 IF(_xlpm.x=0, "-", _xlpm.x)
)</f>
        <v>-</v>
      </c>
      <c r="AD2" s="56" t="str">
        <f>_xlfn.LET(
 _xlpm.x,
 _xlfn.MAXIFS(
  raw_stack!H$2:H$100000,
  raw_stack!D$2:D$100000, G2,
  raw_stack!F$2:F$100000, "Iya",
  raw_stack!G$2:G$100000, "&gt;="&amp;DATE(2026,2,1),
  raw_stack!G$2:G$100000, "&lt;="&amp;EOMONTH(DATE(2026,2,1),0)
 ),
 IF(OR(_xlpm.x=0, _xlpm.x=""), "-", _xlpm.x)
)</f>
        <v>-</v>
      </c>
      <c r="AE2" s="55" t="str">
        <f>_xlfn.LET(
 _xlpm.x,
 _xlfn.MAXIFS(
  raw_stack!G$2:G$100000,
  raw_stack!D$2:D$100000, G2,
  raw_stack!F$2:F$100000, "Iya",
  raw_stack!G$2:G$100000, "&gt;="&amp;DATE(2026,3,1),
  raw_stack!G$2:G$100000, "&lt;="&amp;EOMONTH(DATE(2026,3,1),0)
 ),
 IF(_xlpm.x=0, "-", _xlpm.x)
)</f>
        <v>-</v>
      </c>
      <c r="AF2" s="56" t="str">
        <f>_xlfn.LET(
 _xlpm.x,
 _xlfn.MAXIFS(
  raw_stack!H$2:H$100000,
  raw_stack!D$2:D$100000, G2,
  raw_stack!F$2:F$100000, "Iya",
  raw_stack!G$2:G$100000, "&gt;="&amp;DATE(2026,3,1),
  raw_stack!G$2:G$100000, "&lt;="&amp;EOMONTH(DATE(2026,3,1),0)
 ),
 IF(OR(_xlpm.x=0, _xlpm.x=""), "-", _xlpm.x)
)</f>
        <v>-</v>
      </c>
      <c r="AG2" s="55" t="str">
        <f>_xlfn.LET(
 _xlpm.x,
 _xlfn.MAXIFS(
  raw_stack!G$2:G$100000,
  raw_stack!D$2:D$100000, G2,
  raw_stack!F$2:F$100000, "Iya",
  raw_stack!G$2:G$100000, "&gt;="&amp;DATE(2026,4,1),
  raw_stack!G$2:G$100000, "&lt;="&amp;EOMONTH(DATE(2026,4,1),0)
 ),
 IF(_xlpm.x=0, "-", _xlpm.x)
)</f>
        <v>-</v>
      </c>
      <c r="AH2" s="56" t="str">
        <f>_xlfn.LET(
 _xlpm.x,
 _xlfn.MAXIFS(
  raw_stack!H$2:H$100000,
  raw_stack!D$2:D$100000, G2,
  raw_stack!F$2:F$100000, "Iya",
  raw_stack!G$2:G$100000, "&gt;="&amp;DATE(2026,4,1),
  raw_stack!G$2:G$100000, "&lt;="&amp;EOMONTH(DATE(2026,4,1),0)
 ),
 IF(OR(_xlpm.x=0, _xlpm.x=""), "-", _xlpm.x)
)</f>
        <v>-</v>
      </c>
    </row>
    <row r="3" spans="1:34">
      <c r="A3" s="48">
        <v>2</v>
      </c>
      <c r="B3" s="49" t="str">
        <f t="shared" ref="B3:B63" si="0">LEFT(D3,5)</f>
        <v>69968</v>
      </c>
      <c r="C3" s="50" t="s">
        <v>46</v>
      </c>
      <c r="D3" s="51" t="s">
        <v>453</v>
      </c>
      <c r="E3" s="51" t="s">
        <v>51</v>
      </c>
      <c r="F3" s="49" t="s">
        <v>117</v>
      </c>
      <c r="G3" s="49" t="s">
        <v>119</v>
      </c>
      <c r="H3" s="49" t="s">
        <v>48</v>
      </c>
      <c r="I3" s="49" t="s">
        <v>52</v>
      </c>
      <c r="J3" s="52">
        <v>3605000</v>
      </c>
      <c r="K3" s="53">
        <v>46075</v>
      </c>
      <c r="L3" s="53">
        <v>46255</v>
      </c>
      <c r="M3" s="53">
        <v>46074</v>
      </c>
      <c r="N3" s="49" t="s">
        <v>50</v>
      </c>
      <c r="O3" s="54" t="str">
        <f>_xlfn.LET(
 _xlpm.x,
 _xlfn.MAXIFS(
  raw_stack!G$2:G$100000,
  raw_stack!D$2:D$100000, G3,
  raw_stack!F$2:F$100000, "Iya",
  raw_stack!G$2:G$100000, "&gt;="&amp;DATE(2025,7,1),
  raw_stack!G$2:G$100000, "&lt;="&amp;EOMONTH(DATE(2025,7,1),0)
 ),
 IF(_xlpm.x=0, "-", _xlpm.x)
)</f>
        <v>-</v>
      </c>
      <c r="P3" s="65" t="str">
        <f>_xlfn.LET(
 _xlpm.x,
 _xlfn.MAXIFS(
  raw_stack!H$2:H$100000,
  raw_stack!D$2:D$100000, G3,
  raw_stack!F$2:F$100000, "Iya",
  raw_stack!G$2:G$100000, "&gt;="&amp;DATE(2025,7,1),
  raw_stack!G$2:G$100000, "&lt;="&amp;EOMONTH(DATE(2025,7,1),0)
 ),
 IF(OR(_xlpm.x=0, _xlpm.x=""), "-", _xlpm.x)
)</f>
        <v>-</v>
      </c>
      <c r="Q3" s="54" t="str">
        <f>_xlfn.LET(
 _xlpm.x,
 _xlfn.MAXIFS(
  raw_stack!G$2:G$99411,
  raw_stack!D$2:D$99411, G3,
  raw_stack!F$2:F$99411, "Iya",
  raw_stack!G$2:G$99411, "&gt;="&amp;DATE(2025,8,1),
  raw_stack!G$2:G$99411, "&lt;="&amp;EOMONTH(DATE(2025,8,1),0)
 ),
 IF(_xlpm.x=0, "-", _xlpm.x)
)</f>
        <v>-</v>
      </c>
      <c r="R3" s="65" t="str">
        <f>_xlfn.LET(
 _xlpm.x,
 _xlfn.MAXIFS(
  raw_stack!H$2:H$100000,
  raw_stack!D$2:D$100000, G3,
  raw_stack!F$2:F$100000, "Iya",
  raw_stack!G$2:G$100000, "&gt;="&amp;DATE(2025,8,1),
  raw_stack!G$2:G$100000, "&lt;="&amp;EOMONTH(DATE(2025,8,1),0)
 ),
 IF(OR(_xlpm.x=0, _xlpm.x=""), "-", _xlpm.x)
)</f>
        <v>-</v>
      </c>
      <c r="S3" s="54">
        <f>_xlfn.LET(
 _xlpm.x,
 _xlfn.MAXIFS(
  raw_stack!G$2:G$99411,
  raw_stack!D$2:D$99411, G3,
  raw_stack!F$2:F$99411, "Iya",
  raw_stack!G$2:G$99411, "&gt;="&amp;DATE(2025,9,1),
  raw_stack!G$2:G$99411, "&lt;="&amp;EOMONTH(DATE(2025,9,1),0)
 ),
 IF(_xlpm.x=0, "-", _xlpm.x)
)</f>
        <v>45924</v>
      </c>
      <c r="T3" s="65">
        <f>_xlfn.LET(
 _xlpm.x,
 _xlfn.MAXIFS(
  raw_stack!H$2:H$100000,
  raw_stack!D$2:D$100000, G3,
  raw_stack!F$2:F$100000, "Iya",
  raw_stack!G$2:G$100000, "&gt;="&amp;DATE(2025,9,1),
  raw_stack!G$2:G$100000, "&lt;="&amp;EOMONTH(DATE(2025,9,1),0)
 ),
 IF(OR(_xlpm.x=0, _xlpm.x=""), "-", _xlpm.x)
)</f>
        <v>26493</v>
      </c>
      <c r="U3" s="54" t="str">
        <f>_xlfn.LET(
 _xlpm.x,
 _xlfn.MAXIFS(
  raw_stack!G$2:G$99411,
  raw_stack!D$2:D$99411, G3,
  raw_stack!F$2:F$99411, "Iya",
  raw_stack!G$2:G$99411, "&gt;="&amp;DATE(2025,10,1),
  raw_stack!G$2:G$99411, "&lt;="&amp;EOMONTH(DATE(2025,10,1),0)
 ),
 IF(_xlpm.x=0, "-", _xlpm.x)
)</f>
        <v>-</v>
      </c>
      <c r="V3" s="65" t="str">
        <f>_xlfn.LET(
 _xlpm.x,
 _xlfn.MAXIFS(
  raw_stack!H$2:H$100000,
  raw_stack!D$2:D$100000, G3,
  raw_stack!F$2:F$100000, "Iya",
  raw_stack!G$2:G$100000, "&gt;="&amp;DATE(2025,10,1),
  raw_stack!G$2:G$100000, "&lt;="&amp;EOMONTH(DATE(2025,10,1),0)
 ),
 IF(OR(_xlpm.x=0, _xlpm.x=""), "-", _xlpm.x)
)</f>
        <v>-</v>
      </c>
      <c r="W3" s="55" t="str">
        <f>_xlfn.LET(
 _xlpm.x,
 _xlfn.MAXIFS(
  raw_stack!G$2:G$99411,
  raw_stack!D$2:D$99411, G3,
  raw_stack!F$2:F$99411, "Iya",
  raw_stack!G$2:G$99411, "&gt;="&amp;DATE(2025,11,1),
  raw_stack!G$2:G$99411, "&lt;="&amp;EOMONTH(DATE(2025,11,1),0)
 ),
 IF(_xlpm.x=0, "-", _xlpm.x)
)</f>
        <v>-</v>
      </c>
      <c r="X3" s="56" t="str">
        <f>_xlfn.LET(
 _xlpm.x,
 _xlfn.MAXIFS(
  raw_stack!H$2:H$100000,
  raw_stack!D$2:D$100000, G3,
  raw_stack!F$2:F$100000, "Iya",
  raw_stack!G$2:G$100000, "&gt;="&amp;DATE(2025,11,1),
  raw_stack!G$2:G$100000, "&lt;="&amp;EOMONTH(DATE(2025,11,1),0)
 ),
 IF(OR(_xlpm.x=0, _xlpm.x=""), "-", _xlpm.x)
)</f>
        <v>-</v>
      </c>
      <c r="Y3" s="55" t="str">
        <f>_xlfn.LET(
 _xlpm.x,
 _xlfn.MAXIFS(
  raw_stack!G$2:G$99411,
  raw_stack!D$2:D$99411, G3,
  raw_stack!F$2:F$99411, "Iya",
  raw_stack!G$2:G$99411, "&gt;="&amp;DATE(2025,12,1),
  raw_stack!G$2:G$99411, "&lt;="&amp;EOMONTH(DATE(2025,12,1),0)
 ),
 IF(_xlpm.x=0, "-", _xlpm.x)
)</f>
        <v>-</v>
      </c>
      <c r="Z3" s="56" t="str">
        <f>_xlfn.LET(
 _xlpm.x,
 _xlfn.MAXIFS(
  raw_stack!H$2:H$100000,
  raw_stack!D$2:D$100000, G3,
  raw_stack!F$2:F$100000, "Iya",
  raw_stack!G$2:G$100000, "&gt;="&amp;DATE(2025,12,1),
  raw_stack!G$2:G$100000, "&lt;="&amp;EOMONTH(DATE(2025,12,1),0)
 ),
 IF(OR(_xlpm.x=0, _xlpm.x=""), "-", _xlpm.x)
)</f>
        <v>-</v>
      </c>
      <c r="AA3" s="55">
        <f>_xlfn.LET(
 _xlpm.x,
 _xlfn.MAXIFS(
  raw_stack!G$2:G$99411,
  raw_stack!D$2:D$99411, G3,
  raw_stack!F$2:F$99411, "Iya",
  raw_stack!G$2:G$99411, "&gt;="&amp;DATE(2026,1,1),
  raw_stack!G$2:G$99411, "&lt;="&amp;EOMONTH(DATE(2026,1,1),0)
 ),
 IF(_xlpm.x=0, "-", _xlpm.x)
)</f>
        <v>46036</v>
      </c>
      <c r="AB3" s="56">
        <f>_xlfn.LET(
 _xlpm.x,
 _xlfn.MAXIFS(
  raw_stack!H$2:H$100000,
  raw_stack!D$2:D$100000, G3,
  raw_stack!F$2:F$100000, "Iya",
  raw_stack!G$2:G$100000, "&gt;="&amp;DATE(2026,1,1),
  raw_stack!G$2:G$100000, "&lt;="&amp;EOMONTH(DATE(2026,1,1),0)
 ),
 IF(OR(_xlpm.x=0, _xlpm.x=""), "-", _xlpm.x)
)</f>
        <v>31963</v>
      </c>
      <c r="AC3" s="55" t="str">
        <f>_xlfn.LET(
 _xlpm.x,
 _xlfn.MAXIFS(
  raw_stack!G$2:G$99411,
  raw_stack!D$2:D$99411, G3,
  raw_stack!F$2:F$99411, "Iya",
  raw_stack!G$2:G$99411, "&gt;="&amp;DATE(2026,2,1),
  raw_stack!G$2:G$99411, "&lt;="&amp;EOMONTH(DATE(2026,2,1),0)
 ),
 IF(_xlpm.x=0, "-", _xlpm.x)
)</f>
        <v>-</v>
      </c>
      <c r="AD3" s="56" t="str">
        <f>_xlfn.LET(
 _xlpm.x,
 _xlfn.MAXIFS(
  raw_stack!H$2:H$100000,
  raw_stack!D$2:D$100000, G3,
  raw_stack!F$2:F$100000, "Iya",
  raw_stack!G$2:G$100000, "&gt;="&amp;DATE(2026,2,1),
  raw_stack!G$2:G$100000, "&lt;="&amp;EOMONTH(DATE(2026,2,1),0)
 ),
 IF(OR(_xlpm.x=0, _xlpm.x=""), "-", _xlpm.x)
)</f>
        <v>-</v>
      </c>
      <c r="AE3" s="55" t="str">
        <f>_xlfn.LET(
 _xlpm.x,
 _xlfn.MAXIFS(
  raw_stack!G$2:G$100000,
  raw_stack!D$2:D$100000, G3,
  raw_stack!F$2:F$100000, "Iya",
  raw_stack!G$2:G$100000, "&gt;="&amp;DATE(2026,3,1),
  raw_stack!G$2:G$100000, "&lt;="&amp;EOMONTH(DATE(2026,3,1),0)
 ),
 IF(_xlpm.x=0, "-", _xlpm.x)
)</f>
        <v>-</v>
      </c>
      <c r="AF3" s="56" t="str">
        <f>_xlfn.LET(
 _xlpm.x,
 _xlfn.MAXIFS(
  raw_stack!H$2:H$100000,
  raw_stack!D$2:D$100000, G3,
  raw_stack!F$2:F$100000, "Iya",
  raw_stack!G$2:G$100000, "&gt;="&amp;DATE(2026,3,1),
  raw_stack!G$2:G$100000, "&lt;="&amp;EOMONTH(DATE(2026,3,1),0)
 ),
 IF(OR(_xlpm.x=0, _xlpm.x=""), "-", _xlpm.x)
)</f>
        <v>-</v>
      </c>
      <c r="AG3" s="55" t="str">
        <f>_xlfn.LET(
 _xlpm.x,
 _xlfn.MAXIFS(
  raw_stack!G$2:G$100000,
  raw_stack!D$2:D$100000, G3,
  raw_stack!F$2:F$100000, "Iya",
  raw_stack!G$2:G$100000, "&gt;="&amp;DATE(2026,4,1),
  raw_stack!G$2:G$100000, "&lt;="&amp;EOMONTH(DATE(2026,4,1),0)
 ),
 IF(_xlpm.x=0, "-", _xlpm.x)
)</f>
        <v>-</v>
      </c>
      <c r="AH3" s="56" t="str">
        <f>_xlfn.LET(
 _xlpm.x,
 _xlfn.MAXIFS(
  raw_stack!H$2:H$100000,
  raw_stack!D$2:D$100000, G3,
  raw_stack!F$2:F$100000, "Iya",
  raw_stack!G$2:G$100000, "&gt;="&amp;DATE(2026,4,1),
  raw_stack!G$2:G$100000, "&lt;="&amp;EOMONTH(DATE(2026,4,1),0)
 ),
 IF(OR(_xlpm.x=0, _xlpm.x=""), "-", _xlpm.x)
)</f>
        <v>-</v>
      </c>
    </row>
    <row r="4" spans="1:34">
      <c r="A4" s="48">
        <v>3</v>
      </c>
      <c r="B4" s="49" t="str">
        <f t="shared" si="0"/>
        <v>23209</v>
      </c>
      <c r="C4" s="50" t="s">
        <v>46</v>
      </c>
      <c r="D4" s="51" t="s">
        <v>454</v>
      </c>
      <c r="E4" s="51" t="s">
        <v>53</v>
      </c>
      <c r="F4" s="49" t="s">
        <v>117</v>
      </c>
      <c r="G4" s="49" t="s">
        <v>120</v>
      </c>
      <c r="H4" s="49" t="s">
        <v>48</v>
      </c>
      <c r="I4" s="49" t="s">
        <v>52</v>
      </c>
      <c r="J4" s="52">
        <v>5075000</v>
      </c>
      <c r="K4" s="53">
        <v>46081</v>
      </c>
      <c r="L4" s="53">
        <v>46261</v>
      </c>
      <c r="M4" s="53">
        <v>46049</v>
      </c>
      <c r="N4" s="49" t="s">
        <v>50</v>
      </c>
      <c r="O4" s="54" t="str">
        <f>_xlfn.LET(
 _xlpm.x,
 _xlfn.MAXIFS(
  raw_stack!G$2:G$100000,
  raw_stack!D$2:D$100000, G4,
  raw_stack!F$2:F$100000, "Iya",
  raw_stack!G$2:G$100000, "&gt;="&amp;DATE(2025,7,1),
  raw_stack!G$2:G$100000, "&lt;="&amp;EOMONTH(DATE(2025,7,1),0)
 ),
 IF(_xlpm.x=0, "-", _xlpm.x)
)</f>
        <v>-</v>
      </c>
      <c r="P4" s="65" t="str">
        <f>_xlfn.LET(
 _xlpm.x,
 _xlfn.MAXIFS(
  raw_stack!H$2:H$100000,
  raw_stack!D$2:D$100000, G4,
  raw_stack!F$2:F$100000, "Iya",
  raw_stack!G$2:G$100000, "&gt;="&amp;DATE(2025,7,1),
  raw_stack!G$2:G$100000, "&lt;="&amp;EOMONTH(DATE(2025,7,1),0)
 ),
 IF(OR(_xlpm.x=0, _xlpm.x=""), "-", _xlpm.x)
)</f>
        <v>-</v>
      </c>
      <c r="Q4" s="54" t="str">
        <f>_xlfn.LET(
 _xlpm.x,
 _xlfn.MAXIFS(
  raw_stack!G$2:G$99411,
  raw_stack!D$2:D$99411, G4,
  raw_stack!F$2:F$99411, "Iya",
  raw_stack!G$2:G$99411, "&gt;="&amp;DATE(2025,8,1),
  raw_stack!G$2:G$99411, "&lt;="&amp;EOMONTH(DATE(2025,8,1),0)
 ),
 IF(_xlpm.x=0, "-", _xlpm.x)
)</f>
        <v>-</v>
      </c>
      <c r="R4" s="65" t="str">
        <f>_xlfn.LET(
 _xlpm.x,
 _xlfn.MAXIFS(
  raw_stack!H$2:H$100000,
  raw_stack!D$2:D$100000, G4,
  raw_stack!F$2:F$100000, "Iya",
  raw_stack!G$2:G$100000, "&gt;="&amp;DATE(2025,8,1),
  raw_stack!G$2:G$100000, "&lt;="&amp;EOMONTH(DATE(2025,8,1),0)
 ),
 IF(OR(_xlpm.x=0, _xlpm.x=""), "-", _xlpm.x)
)</f>
        <v>-</v>
      </c>
      <c r="S4" s="54">
        <f>_xlfn.LET(
 _xlpm.x,
 _xlfn.MAXIFS(
  raw_stack!G$2:G$99411,
  raw_stack!D$2:D$99411, G4,
  raw_stack!F$2:F$99411, "Iya",
  raw_stack!G$2:G$99411, "&gt;="&amp;DATE(2025,9,1),
  raw_stack!G$2:G$99411, "&lt;="&amp;EOMONTH(DATE(2025,9,1),0)
 ),
 IF(_xlpm.x=0, "-", _xlpm.x)
)</f>
        <v>45918</v>
      </c>
      <c r="T4" s="65">
        <f>_xlfn.LET(
 _xlpm.x,
 _xlfn.MAXIFS(
  raw_stack!H$2:H$100000,
  raw_stack!D$2:D$100000, G4,
  raw_stack!F$2:F$100000, "Iya",
  raw_stack!G$2:G$100000, "&gt;="&amp;DATE(2025,9,1),
  raw_stack!G$2:G$100000, "&lt;="&amp;EOMONTH(DATE(2025,9,1),0)
 ),
 IF(OR(_xlpm.x=0, _xlpm.x=""), "-", _xlpm.x)
)</f>
        <v>115845</v>
      </c>
      <c r="U4" s="54" t="str">
        <f>_xlfn.LET(
 _xlpm.x,
 _xlfn.MAXIFS(
  raw_stack!G$2:G$99411,
  raw_stack!D$2:D$99411, G4,
  raw_stack!F$2:F$99411, "Iya",
  raw_stack!G$2:G$99411, "&gt;="&amp;DATE(2025,10,1),
  raw_stack!G$2:G$99411, "&lt;="&amp;EOMONTH(DATE(2025,10,1),0)
 ),
 IF(_xlpm.x=0, "-", _xlpm.x)
)</f>
        <v>-</v>
      </c>
      <c r="V4" s="65" t="str">
        <f>_xlfn.LET(
 _xlpm.x,
 _xlfn.MAXIFS(
  raw_stack!H$2:H$100000,
  raw_stack!D$2:D$100000, G4,
  raw_stack!F$2:F$100000, "Iya",
  raw_stack!G$2:G$100000, "&gt;="&amp;DATE(2025,10,1),
  raw_stack!G$2:G$100000, "&lt;="&amp;EOMONTH(DATE(2025,10,1),0)
 ),
 IF(OR(_xlpm.x=0, _xlpm.x=""), "-", _xlpm.x)
)</f>
        <v>-</v>
      </c>
      <c r="W4" s="55" t="str">
        <f>_xlfn.LET(
 _xlpm.x,
 _xlfn.MAXIFS(
  raw_stack!G$2:G$99411,
  raw_stack!D$2:D$99411, G4,
  raw_stack!F$2:F$99411, "Iya",
  raw_stack!G$2:G$99411, "&gt;="&amp;DATE(2025,11,1),
  raw_stack!G$2:G$99411, "&lt;="&amp;EOMONTH(DATE(2025,11,1),0)
 ),
 IF(_xlpm.x=0, "-", _xlpm.x)
)</f>
        <v>-</v>
      </c>
      <c r="X4" s="56" t="str">
        <f>_xlfn.LET(
 _xlpm.x,
 _xlfn.MAXIFS(
  raw_stack!H$2:H$100000,
  raw_stack!D$2:D$100000, G4,
  raw_stack!F$2:F$100000, "Iya",
  raw_stack!G$2:G$100000, "&gt;="&amp;DATE(2025,11,1),
  raw_stack!G$2:G$100000, "&lt;="&amp;EOMONTH(DATE(2025,11,1),0)
 ),
 IF(OR(_xlpm.x=0, _xlpm.x=""), "-", _xlpm.x)
)</f>
        <v>-</v>
      </c>
      <c r="Y4" s="55" t="str">
        <f>_xlfn.LET(
 _xlpm.x,
 _xlfn.MAXIFS(
  raw_stack!G$2:G$99411,
  raw_stack!D$2:D$99411, G4,
  raw_stack!F$2:F$99411, "Iya",
  raw_stack!G$2:G$99411, "&gt;="&amp;DATE(2025,12,1),
  raw_stack!G$2:G$99411, "&lt;="&amp;EOMONTH(DATE(2025,12,1),0)
 ),
 IF(_xlpm.x=0, "-", _xlpm.x)
)</f>
        <v>-</v>
      </c>
      <c r="Z4" s="56" t="str">
        <f>_xlfn.LET(
 _xlpm.x,
 _xlfn.MAXIFS(
  raw_stack!H$2:H$100000,
  raw_stack!D$2:D$100000, G4,
  raw_stack!F$2:F$100000, "Iya",
  raw_stack!G$2:G$100000, "&gt;="&amp;DATE(2025,12,1),
  raw_stack!G$2:G$100000, "&lt;="&amp;EOMONTH(DATE(2025,12,1),0)
 ),
 IF(OR(_xlpm.x=0, _xlpm.x=""), "-", _xlpm.x)
)</f>
        <v>-</v>
      </c>
      <c r="AA4" s="55">
        <f>_xlfn.LET(
 _xlpm.x,
 _xlfn.MAXIFS(
  raw_stack!G$2:G$99411,
  raw_stack!D$2:D$99411, G4,
  raw_stack!F$2:F$99411, "Iya",
  raw_stack!G$2:G$99411, "&gt;="&amp;DATE(2026,1,1),
  raw_stack!G$2:G$99411, "&lt;="&amp;EOMONTH(DATE(2026,1,1),0)
 ),
 IF(_xlpm.x=0, "-", _xlpm.x)
)</f>
        <v>46035</v>
      </c>
      <c r="AB4" s="56">
        <f>_xlfn.LET(
 _xlpm.x,
 _xlfn.MAXIFS(
  raw_stack!H$2:H$100000,
  raw_stack!D$2:D$100000, G4,
  raw_stack!F$2:F$100000, "Iya",
  raw_stack!G$2:G$100000, "&gt;="&amp;DATE(2026,1,1),
  raw_stack!G$2:G$100000, "&lt;="&amp;EOMONTH(DATE(2026,1,1),0)
 ),
 IF(OR(_xlpm.x=0, _xlpm.x=""), "-", _xlpm.x)
)</f>
        <v>107336</v>
      </c>
      <c r="AC4" s="55" t="str">
        <f>_xlfn.LET(
 _xlpm.x,
 _xlfn.MAXIFS(
  raw_stack!G$2:G$99411,
  raw_stack!D$2:D$99411, G4,
  raw_stack!F$2:F$99411, "Iya",
  raw_stack!G$2:G$99411, "&gt;="&amp;DATE(2026,2,1),
  raw_stack!G$2:G$99411, "&lt;="&amp;EOMONTH(DATE(2026,2,1),0)
 ),
 IF(_xlpm.x=0, "-", _xlpm.x)
)</f>
        <v>-</v>
      </c>
      <c r="AD4" s="56" t="str">
        <f>_xlfn.LET(
 _xlpm.x,
 _xlfn.MAXIFS(
  raw_stack!H$2:H$100000,
  raw_stack!D$2:D$100000, G4,
  raw_stack!F$2:F$100000, "Iya",
  raw_stack!G$2:G$100000, "&gt;="&amp;DATE(2026,2,1),
  raw_stack!G$2:G$100000, "&lt;="&amp;EOMONTH(DATE(2026,2,1),0)
 ),
 IF(OR(_xlpm.x=0, _xlpm.x=""), "-", _xlpm.x)
)</f>
        <v>-</v>
      </c>
      <c r="AE4" s="55" t="str">
        <f>_xlfn.LET(
 _xlpm.x,
 _xlfn.MAXIFS(
  raw_stack!G$2:G$100000,
  raw_stack!D$2:D$100000, G4,
  raw_stack!F$2:F$100000, "Iya",
  raw_stack!G$2:G$100000, "&gt;="&amp;DATE(2026,3,1),
  raw_stack!G$2:G$100000, "&lt;="&amp;EOMONTH(DATE(2026,3,1),0)
 ),
 IF(_xlpm.x=0, "-", _xlpm.x)
)</f>
        <v>-</v>
      </c>
      <c r="AF4" s="56" t="str">
        <f>_xlfn.LET(
 _xlpm.x,
 _xlfn.MAXIFS(
  raw_stack!H$2:H$100000,
  raw_stack!D$2:D$100000, G4,
  raw_stack!F$2:F$100000, "Iya",
  raw_stack!G$2:G$100000, "&gt;="&amp;DATE(2026,3,1),
  raw_stack!G$2:G$100000, "&lt;="&amp;EOMONTH(DATE(2026,3,1),0)
 ),
 IF(OR(_xlpm.x=0, _xlpm.x=""), "-", _xlpm.x)
)</f>
        <v>-</v>
      </c>
      <c r="AG4" s="55" t="str">
        <f>_xlfn.LET(
 _xlpm.x,
 _xlfn.MAXIFS(
  raw_stack!G$2:G$100000,
  raw_stack!D$2:D$100000, G4,
  raw_stack!F$2:F$100000, "Iya",
  raw_stack!G$2:G$100000, "&gt;="&amp;DATE(2026,4,1),
  raw_stack!G$2:G$100000, "&lt;="&amp;EOMONTH(DATE(2026,4,1),0)
 ),
 IF(_xlpm.x=0, "-", _xlpm.x)
)</f>
        <v>-</v>
      </c>
      <c r="AH4" s="56" t="str">
        <f>_xlfn.LET(
 _xlpm.x,
 _xlfn.MAXIFS(
  raw_stack!H$2:H$100000,
  raw_stack!D$2:D$100000, G4,
  raw_stack!F$2:F$100000, "Iya",
  raw_stack!G$2:G$100000, "&gt;="&amp;DATE(2026,4,1),
  raw_stack!G$2:G$100000, "&lt;="&amp;EOMONTH(DATE(2026,4,1),0)
 ),
 IF(OR(_xlpm.x=0, _xlpm.x=""), "-", _xlpm.x)
)</f>
        <v>-</v>
      </c>
    </row>
    <row r="5" spans="1:34">
      <c r="A5" s="48">
        <v>4</v>
      </c>
      <c r="B5" s="49" t="str">
        <f t="shared" si="0"/>
        <v>89677</v>
      </c>
      <c r="C5" s="50" t="s">
        <v>46</v>
      </c>
      <c r="D5" s="51" t="s">
        <v>455</v>
      </c>
      <c r="E5" s="51" t="s">
        <v>53</v>
      </c>
      <c r="F5" s="49" t="s">
        <v>117</v>
      </c>
      <c r="G5" s="49" t="s">
        <v>121</v>
      </c>
      <c r="H5" s="49" t="s">
        <v>48</v>
      </c>
      <c r="I5" s="49" t="s">
        <v>52</v>
      </c>
      <c r="J5" s="52">
        <v>4000000</v>
      </c>
      <c r="K5" s="53">
        <v>44988</v>
      </c>
      <c r="L5" s="53">
        <v>46083</v>
      </c>
      <c r="M5" s="53">
        <v>46083</v>
      </c>
      <c r="N5" s="49" t="s">
        <v>50</v>
      </c>
      <c r="O5" s="54" t="str">
        <f>_xlfn.LET(
 _xlpm.x,
 _xlfn.MAXIFS(
  raw_stack!G$2:G$100000,
  raw_stack!D$2:D$100000, G5,
  raw_stack!F$2:F$100000, "Iya",
  raw_stack!G$2:G$100000, "&gt;="&amp;DATE(2025,7,1),
  raw_stack!G$2:G$100000, "&lt;="&amp;EOMONTH(DATE(2025,7,1),0)
 ),
 IF(_xlpm.x=0, "-", _xlpm.x)
)</f>
        <v>-</v>
      </c>
      <c r="P5" s="65" t="str">
        <f>_xlfn.LET(
 _xlpm.x,
 _xlfn.MAXIFS(
  raw_stack!H$2:H$100000,
  raw_stack!D$2:D$100000, G5,
  raw_stack!F$2:F$100000, "Iya",
  raw_stack!G$2:G$100000, "&gt;="&amp;DATE(2025,7,1),
  raw_stack!G$2:G$100000, "&lt;="&amp;EOMONTH(DATE(2025,7,1),0)
 ),
 IF(OR(_xlpm.x=0, _xlpm.x=""), "-", _xlpm.x)
)</f>
        <v>-</v>
      </c>
      <c r="Q5" s="54" t="str">
        <f>_xlfn.LET(
 _xlpm.x,
 _xlfn.MAXIFS(
  raw_stack!G$2:G$99411,
  raw_stack!D$2:D$99411, G5,
  raw_stack!F$2:F$99411, "Iya",
  raw_stack!G$2:G$99411, "&gt;="&amp;DATE(2025,8,1),
  raw_stack!G$2:G$99411, "&lt;="&amp;EOMONTH(DATE(2025,8,1),0)
 ),
 IF(_xlpm.x=0, "-", _xlpm.x)
)</f>
        <v>-</v>
      </c>
      <c r="R5" s="65" t="str">
        <f>_xlfn.LET(
 _xlpm.x,
 _xlfn.MAXIFS(
  raw_stack!H$2:H$100000,
  raw_stack!D$2:D$100000, G5,
  raw_stack!F$2:F$100000, "Iya",
  raw_stack!G$2:G$100000, "&gt;="&amp;DATE(2025,8,1),
  raw_stack!G$2:G$100000, "&lt;="&amp;EOMONTH(DATE(2025,8,1),0)
 ),
 IF(OR(_xlpm.x=0, _xlpm.x=""), "-", _xlpm.x)
)</f>
        <v>-</v>
      </c>
      <c r="S5" s="54" t="str">
        <f>_xlfn.LET(
 _xlpm.x,
 _xlfn.MAXIFS(
  raw_stack!G$2:G$99411,
  raw_stack!D$2:D$99411, G5,
  raw_stack!F$2:F$99411, "Iya",
  raw_stack!G$2:G$99411, "&gt;="&amp;DATE(2025,9,1),
  raw_stack!G$2:G$99411, "&lt;="&amp;EOMONTH(DATE(2025,9,1),0)
 ),
 IF(_xlpm.x=0, "-", _xlpm.x)
)</f>
        <v>-</v>
      </c>
      <c r="T5" s="65" t="str">
        <f>_xlfn.LET(
 _xlpm.x,
 _xlfn.MAXIFS(
  raw_stack!H$2:H$100000,
  raw_stack!D$2:D$100000, G5,
  raw_stack!F$2:F$100000, "Iya",
  raw_stack!G$2:G$100000, "&gt;="&amp;DATE(2025,9,1),
  raw_stack!G$2:G$100000, "&lt;="&amp;EOMONTH(DATE(2025,9,1),0)
 ),
 IF(OR(_xlpm.x=0, _xlpm.x=""), "-", _xlpm.x)
)</f>
        <v>-</v>
      </c>
      <c r="U5" s="54" t="str">
        <f>_xlfn.LET(
 _xlpm.x,
 _xlfn.MAXIFS(
  raw_stack!G$2:G$99411,
  raw_stack!D$2:D$99411, G5,
  raw_stack!F$2:F$99411, "Iya",
  raw_stack!G$2:G$99411, "&gt;="&amp;DATE(2025,10,1),
  raw_stack!G$2:G$99411, "&lt;="&amp;EOMONTH(DATE(2025,10,1),0)
 ),
 IF(_xlpm.x=0, "-", _xlpm.x)
)</f>
        <v>-</v>
      </c>
      <c r="V5" s="65" t="str">
        <f>_xlfn.LET(
 _xlpm.x,
 _xlfn.MAXIFS(
  raw_stack!H$2:H$100000,
  raw_stack!D$2:D$100000, G5,
  raw_stack!F$2:F$100000, "Iya",
  raw_stack!G$2:G$100000, "&gt;="&amp;DATE(2025,10,1),
  raw_stack!G$2:G$100000, "&lt;="&amp;EOMONTH(DATE(2025,10,1),0)
 ),
 IF(OR(_xlpm.x=0, _xlpm.x=""), "-", _xlpm.x)
)</f>
        <v>-</v>
      </c>
      <c r="W5" s="55">
        <f>_xlfn.LET(
 _xlpm.x,
 _xlfn.MAXIFS(
  raw_stack!G$2:G$99411,
  raw_stack!D$2:D$99411, G5,
  raw_stack!F$2:F$99411, "Iya",
  raw_stack!G$2:G$99411, "&gt;="&amp;DATE(2025,11,1),
  raw_stack!G$2:G$99411, "&lt;="&amp;EOMONTH(DATE(2025,11,1),0)
 ),
 IF(_xlpm.x=0, "-", _xlpm.x)
)</f>
        <v>45986</v>
      </c>
      <c r="X5" s="56">
        <f>_xlfn.LET(
 _xlpm.x,
 _xlfn.MAXIFS(
  raw_stack!H$2:H$100000,
  raw_stack!D$2:D$100000, G5,
  raw_stack!F$2:F$100000, "Iya",
  raw_stack!G$2:G$100000, "&gt;="&amp;DATE(2025,11,1),
  raw_stack!G$2:G$100000, "&lt;="&amp;EOMONTH(DATE(2025,11,1),0)
 ),
 IF(OR(_xlpm.x=0, _xlpm.x=""), "-", _xlpm.x)
)</f>
        <v>37103</v>
      </c>
      <c r="Y5" s="55" t="str">
        <f>_xlfn.LET(
 _xlpm.x,
 _xlfn.MAXIFS(
  raw_stack!G$2:G$99411,
  raw_stack!D$2:D$99411, G5,
  raw_stack!F$2:F$99411, "Iya",
  raw_stack!G$2:G$99411, "&gt;="&amp;DATE(2025,12,1),
  raw_stack!G$2:G$99411, "&lt;="&amp;EOMONTH(DATE(2025,12,1),0)
 ),
 IF(_xlpm.x=0, "-", _xlpm.x)
)</f>
        <v>-</v>
      </c>
      <c r="Z5" s="56" t="str">
        <f>_xlfn.LET(
 _xlpm.x,
 _xlfn.MAXIFS(
  raw_stack!H$2:H$100000,
  raw_stack!D$2:D$100000, G5,
  raw_stack!F$2:F$100000, "Iya",
  raw_stack!G$2:G$100000, "&gt;="&amp;DATE(2025,12,1),
  raw_stack!G$2:G$100000, "&lt;="&amp;EOMONTH(DATE(2025,12,1),0)
 ),
 IF(OR(_xlpm.x=0, _xlpm.x=""), "-", _xlpm.x)
)</f>
        <v>-</v>
      </c>
      <c r="AA5" s="55" t="str">
        <f>_xlfn.LET(
 _xlpm.x,
 _xlfn.MAXIFS(
  raw_stack!G$2:G$99411,
  raw_stack!D$2:D$99411, G5,
  raw_stack!F$2:F$99411, "Iya",
  raw_stack!G$2:G$99411, "&gt;="&amp;DATE(2026,1,1),
  raw_stack!G$2:G$99411, "&lt;="&amp;EOMONTH(DATE(2026,1,1),0)
 ),
 IF(_xlpm.x=0, "-", _xlpm.x)
)</f>
        <v>-</v>
      </c>
      <c r="AB5" s="56" t="str">
        <f>_xlfn.LET(
 _xlpm.x,
 _xlfn.MAXIFS(
  raw_stack!H$2:H$100000,
  raw_stack!D$2:D$100000, G5,
  raw_stack!F$2:F$100000, "Iya",
  raw_stack!G$2:G$100000, "&gt;="&amp;DATE(2026,1,1),
  raw_stack!G$2:G$100000, "&lt;="&amp;EOMONTH(DATE(2026,1,1),0)
 ),
 IF(OR(_xlpm.x=0, _xlpm.x=""), "-", _xlpm.x)
)</f>
        <v>-</v>
      </c>
      <c r="AC5" s="55" t="str">
        <f>_xlfn.LET(
 _xlpm.x,
 _xlfn.MAXIFS(
  raw_stack!G$2:G$99411,
  raw_stack!D$2:D$99411, G5,
  raw_stack!F$2:F$99411, "Iya",
  raw_stack!G$2:G$99411, "&gt;="&amp;DATE(2026,2,1),
  raw_stack!G$2:G$99411, "&lt;="&amp;EOMONTH(DATE(2026,2,1),0)
 ),
 IF(_xlpm.x=0, "-", _xlpm.x)
)</f>
        <v>-</v>
      </c>
      <c r="AD5" s="56" t="str">
        <f>_xlfn.LET(
 _xlpm.x,
 _xlfn.MAXIFS(
  raw_stack!H$2:H$100000,
  raw_stack!D$2:D$100000, G5,
  raw_stack!F$2:F$100000, "Iya",
  raw_stack!G$2:G$100000, "&gt;="&amp;DATE(2026,2,1),
  raw_stack!G$2:G$100000, "&lt;="&amp;EOMONTH(DATE(2026,2,1),0)
 ),
 IF(OR(_xlpm.x=0, _xlpm.x=""), "-", _xlpm.x)
)</f>
        <v>-</v>
      </c>
      <c r="AE5" s="55" t="str">
        <f>_xlfn.LET(
 _xlpm.x,
 _xlfn.MAXIFS(
  raw_stack!G$2:G$100000,
  raw_stack!D$2:D$100000, G5,
  raw_stack!F$2:F$100000, "Iya",
  raw_stack!G$2:G$100000, "&gt;="&amp;DATE(2026,3,1),
  raw_stack!G$2:G$100000, "&lt;="&amp;EOMONTH(DATE(2026,3,1),0)
 ),
 IF(_xlpm.x=0, "-", _xlpm.x)
)</f>
        <v>-</v>
      </c>
      <c r="AF5" s="56" t="str">
        <f>_xlfn.LET(
 _xlpm.x,
 _xlfn.MAXIFS(
  raw_stack!H$2:H$100000,
  raw_stack!D$2:D$100000, G5,
  raw_stack!F$2:F$100000, "Iya",
  raw_stack!G$2:G$100000, "&gt;="&amp;DATE(2026,3,1),
  raw_stack!G$2:G$100000, "&lt;="&amp;EOMONTH(DATE(2026,3,1),0)
 ),
 IF(OR(_xlpm.x=0, _xlpm.x=""), "-", _xlpm.x)
)</f>
        <v>-</v>
      </c>
      <c r="AG5" s="55" t="str">
        <f>_xlfn.LET(
 _xlpm.x,
 _xlfn.MAXIFS(
  raw_stack!G$2:G$100000,
  raw_stack!D$2:D$100000, G5,
  raw_stack!F$2:F$100000, "Iya",
  raw_stack!G$2:G$100000, "&gt;="&amp;DATE(2026,4,1),
  raw_stack!G$2:G$100000, "&lt;="&amp;EOMONTH(DATE(2026,4,1),0)
 ),
 IF(_xlpm.x=0, "-", _xlpm.x)
)</f>
        <v>-</v>
      </c>
      <c r="AH5" s="56" t="str">
        <f>_xlfn.LET(
 _xlpm.x,
 _xlfn.MAXIFS(
  raw_stack!H$2:H$100000,
  raw_stack!D$2:D$100000, G5,
  raw_stack!F$2:F$100000, "Iya",
  raw_stack!G$2:G$100000, "&gt;="&amp;DATE(2026,4,1),
  raw_stack!G$2:G$100000, "&lt;="&amp;EOMONTH(DATE(2026,4,1),0)
 ),
 IF(OR(_xlpm.x=0, _xlpm.x=""), "-", _xlpm.x)
)</f>
        <v>-</v>
      </c>
    </row>
    <row r="6" spans="1:34">
      <c r="A6" s="48">
        <v>5</v>
      </c>
      <c r="B6" s="49" t="str">
        <f t="shared" si="0"/>
        <v>89828</v>
      </c>
      <c r="C6" s="50" t="s">
        <v>46</v>
      </c>
      <c r="D6" s="51" t="s">
        <v>456</v>
      </c>
      <c r="E6" s="51" t="s">
        <v>54</v>
      </c>
      <c r="F6" s="49" t="s">
        <v>117</v>
      </c>
      <c r="G6" s="49" t="s">
        <v>122</v>
      </c>
      <c r="H6" s="49" t="s">
        <v>48</v>
      </c>
      <c r="I6" s="49" t="s">
        <v>52</v>
      </c>
      <c r="J6" s="52">
        <v>5950000</v>
      </c>
      <c r="K6" s="53">
        <v>45904</v>
      </c>
      <c r="L6" s="53">
        <v>46084</v>
      </c>
      <c r="M6" s="53">
        <v>46056</v>
      </c>
      <c r="N6" s="49" t="s">
        <v>50</v>
      </c>
      <c r="O6" s="54" t="str">
        <f>_xlfn.LET(
 _xlpm.x,
 _xlfn.MAXIFS(
  raw_stack!G$2:G$100000,
  raw_stack!D$2:D$100000, G6,
  raw_stack!F$2:F$100000, "Iya",
  raw_stack!G$2:G$100000, "&gt;="&amp;DATE(2025,7,1),
  raw_stack!G$2:G$100000, "&lt;="&amp;EOMONTH(DATE(2025,7,1),0)
 ),
 IF(_xlpm.x=0, "-", _xlpm.x)
)</f>
        <v>-</v>
      </c>
      <c r="P6" s="65" t="str">
        <f>_xlfn.LET(
 _xlpm.x,
 _xlfn.MAXIFS(
  raw_stack!H$2:H$100000,
  raw_stack!D$2:D$100000, G6,
  raw_stack!F$2:F$100000, "Iya",
  raw_stack!G$2:G$100000, "&gt;="&amp;DATE(2025,7,1),
  raw_stack!G$2:G$100000, "&lt;="&amp;EOMONTH(DATE(2025,7,1),0)
 ),
 IF(OR(_xlpm.x=0, _xlpm.x=""), "-", _xlpm.x)
)</f>
        <v>-</v>
      </c>
      <c r="Q6" s="54">
        <f>_xlfn.LET(
 _xlpm.x,
 _xlfn.MAXIFS(
  raw_stack!G$2:G$99411,
  raw_stack!D$2:D$99411, G6,
  raw_stack!F$2:F$99411, "Iya",
  raw_stack!G$2:G$99411, "&gt;="&amp;DATE(2025,8,1),
  raw_stack!G$2:G$99411, "&lt;="&amp;EOMONTH(DATE(2025,8,1),0)
 ),
 IF(_xlpm.x=0, "-", _xlpm.x)
)</f>
        <v>45889</v>
      </c>
      <c r="R6" s="65">
        <f>_xlfn.LET(
 _xlpm.x,
 _xlfn.MAXIFS(
  raw_stack!H$2:H$100000,
  raw_stack!D$2:D$100000, G6,
  raw_stack!F$2:F$100000, "Iya",
  raw_stack!G$2:G$100000, "&gt;="&amp;DATE(2025,8,1),
  raw_stack!G$2:G$100000, "&lt;="&amp;EOMONTH(DATE(2025,8,1),0)
 ),
 IF(OR(_xlpm.x=0, _xlpm.x=""), "-", _xlpm.x)
)</f>
        <v>53445</v>
      </c>
      <c r="S6" s="54" t="str">
        <f>_xlfn.LET(
 _xlpm.x,
 _xlfn.MAXIFS(
  raw_stack!G$2:G$99411,
  raw_stack!D$2:D$99411, G6,
  raw_stack!F$2:F$99411, "Iya",
  raw_stack!G$2:G$99411, "&gt;="&amp;DATE(2025,9,1),
  raw_stack!G$2:G$99411, "&lt;="&amp;EOMONTH(DATE(2025,9,1),0)
 ),
 IF(_xlpm.x=0, "-", _xlpm.x)
)</f>
        <v>-</v>
      </c>
      <c r="T6" s="65" t="str">
        <f>_xlfn.LET(
 _xlpm.x,
 _xlfn.MAXIFS(
  raw_stack!H$2:H$100000,
  raw_stack!D$2:D$100000, G6,
  raw_stack!F$2:F$100000, "Iya",
  raw_stack!G$2:G$100000, "&gt;="&amp;DATE(2025,9,1),
  raw_stack!G$2:G$100000, "&lt;="&amp;EOMONTH(DATE(2025,9,1),0)
 ),
 IF(OR(_xlpm.x=0, _xlpm.x=""), "-", _xlpm.x)
)</f>
        <v>-</v>
      </c>
      <c r="U6" s="54" t="str">
        <f>_xlfn.LET(
 _xlpm.x,
 _xlfn.MAXIFS(
  raw_stack!G$2:G$99411,
  raw_stack!D$2:D$99411, G6,
  raw_stack!F$2:F$99411, "Iya",
  raw_stack!G$2:G$99411, "&gt;="&amp;DATE(2025,10,1),
  raw_stack!G$2:G$99411, "&lt;="&amp;EOMONTH(DATE(2025,10,1),0)
 ),
 IF(_xlpm.x=0, "-", _xlpm.x)
)</f>
        <v>-</v>
      </c>
      <c r="V6" s="65" t="str">
        <f>_xlfn.LET(
 _xlpm.x,
 _xlfn.MAXIFS(
  raw_stack!H$2:H$100000,
  raw_stack!D$2:D$100000, G6,
  raw_stack!F$2:F$100000, "Iya",
  raw_stack!G$2:G$100000, "&gt;="&amp;DATE(2025,10,1),
  raw_stack!G$2:G$100000, "&lt;="&amp;EOMONTH(DATE(2025,10,1),0)
 ),
 IF(OR(_xlpm.x=0, _xlpm.x=""), "-", _xlpm.x)
)</f>
        <v>-</v>
      </c>
      <c r="W6" s="55" t="str">
        <f>_xlfn.LET(
 _xlpm.x,
 _xlfn.MAXIFS(
  raw_stack!G$2:G$99411,
  raw_stack!D$2:D$99411, G6,
  raw_stack!F$2:F$99411, "Iya",
  raw_stack!G$2:G$99411, "&gt;="&amp;DATE(2025,11,1),
  raw_stack!G$2:G$99411, "&lt;="&amp;EOMONTH(DATE(2025,11,1),0)
 ),
 IF(_xlpm.x=0, "-", _xlpm.x)
)</f>
        <v>-</v>
      </c>
      <c r="X6" s="56" t="str">
        <f>_xlfn.LET(
 _xlpm.x,
 _xlfn.MAXIFS(
  raw_stack!H$2:H$100000,
  raw_stack!D$2:D$100000, G6,
  raw_stack!F$2:F$100000, "Iya",
  raw_stack!G$2:G$100000, "&gt;="&amp;DATE(2025,11,1),
  raw_stack!G$2:G$100000, "&lt;="&amp;EOMONTH(DATE(2025,11,1),0)
 ),
 IF(OR(_xlpm.x=0, _xlpm.x=""), "-", _xlpm.x)
)</f>
        <v>-</v>
      </c>
      <c r="Y6" s="55" t="str">
        <f>_xlfn.LET(
 _xlpm.x,
 _xlfn.MAXIFS(
  raw_stack!G$2:G$99411,
  raw_stack!D$2:D$99411, G6,
  raw_stack!F$2:F$99411, "Iya",
  raw_stack!G$2:G$99411, "&gt;="&amp;DATE(2025,12,1),
  raw_stack!G$2:G$99411, "&lt;="&amp;EOMONTH(DATE(2025,12,1),0)
 ),
 IF(_xlpm.x=0, "-", _xlpm.x)
)</f>
        <v>-</v>
      </c>
      <c r="Z6" s="56" t="str">
        <f>_xlfn.LET(
 _xlpm.x,
 _xlfn.MAXIFS(
  raw_stack!H$2:H$100000,
  raw_stack!D$2:D$100000, G6,
  raw_stack!F$2:F$100000, "Iya",
  raw_stack!G$2:G$100000, "&gt;="&amp;DATE(2025,12,1),
  raw_stack!G$2:G$100000, "&lt;="&amp;EOMONTH(DATE(2025,12,1),0)
 ),
 IF(OR(_xlpm.x=0, _xlpm.x=""), "-", _xlpm.x)
)</f>
        <v>-</v>
      </c>
      <c r="AA6" s="55">
        <f>_xlfn.LET(
 _xlpm.x,
 _xlfn.MAXIFS(
  raw_stack!G$2:G$99411,
  raw_stack!D$2:D$99411, G6,
  raw_stack!F$2:F$99411, "Iya",
  raw_stack!G$2:G$99411, "&gt;="&amp;DATE(2026,1,1),
  raw_stack!G$2:G$99411, "&lt;="&amp;EOMONTH(DATE(2026,1,1),0)
 ),
 IF(_xlpm.x=0, "-", _xlpm.x)
)</f>
        <v>46028</v>
      </c>
      <c r="AB6" s="56">
        <f>_xlfn.LET(
 _xlpm.x,
 _xlfn.MAXIFS(
  raw_stack!H$2:H$100000,
  raw_stack!D$2:D$100000, G6,
  raw_stack!F$2:F$100000, "Iya",
  raw_stack!G$2:G$100000, "&gt;="&amp;DATE(2026,1,1),
  raw_stack!G$2:G$100000, "&lt;="&amp;EOMONTH(DATE(2026,1,1),0)
 ),
 IF(OR(_xlpm.x=0, _xlpm.x=""), "-", _xlpm.x)
)</f>
        <v>55586</v>
      </c>
      <c r="AC6" s="55" t="str">
        <f>_xlfn.LET(
 _xlpm.x,
 _xlfn.MAXIFS(
  raw_stack!G$2:G$99411,
  raw_stack!D$2:D$99411, G6,
  raw_stack!F$2:F$99411, "Iya",
  raw_stack!G$2:G$99411, "&gt;="&amp;DATE(2026,2,1),
  raw_stack!G$2:G$99411, "&lt;="&amp;EOMONTH(DATE(2026,2,1),0)
 ),
 IF(_xlpm.x=0, "-", _xlpm.x)
)</f>
        <v>-</v>
      </c>
      <c r="AD6" s="56" t="str">
        <f>_xlfn.LET(
 _xlpm.x,
 _xlfn.MAXIFS(
  raw_stack!H$2:H$100000,
  raw_stack!D$2:D$100000, G6,
  raw_stack!F$2:F$100000, "Iya",
  raw_stack!G$2:G$100000, "&gt;="&amp;DATE(2026,2,1),
  raw_stack!G$2:G$100000, "&lt;="&amp;EOMONTH(DATE(2026,2,1),0)
 ),
 IF(OR(_xlpm.x=0, _xlpm.x=""), "-", _xlpm.x)
)</f>
        <v>-</v>
      </c>
      <c r="AE6" s="55" t="str">
        <f>_xlfn.LET(
 _xlpm.x,
 _xlfn.MAXIFS(
  raw_stack!G$2:G$100000,
  raw_stack!D$2:D$100000, G6,
  raw_stack!F$2:F$100000, "Iya",
  raw_stack!G$2:G$100000, "&gt;="&amp;DATE(2026,3,1),
  raw_stack!G$2:G$100000, "&lt;="&amp;EOMONTH(DATE(2026,3,1),0)
 ),
 IF(_xlpm.x=0, "-", _xlpm.x)
)</f>
        <v>-</v>
      </c>
      <c r="AF6" s="56" t="str">
        <f>_xlfn.LET(
 _xlpm.x,
 _xlfn.MAXIFS(
  raw_stack!H$2:H$100000,
  raw_stack!D$2:D$100000, G6,
  raw_stack!F$2:F$100000, "Iya",
  raw_stack!G$2:G$100000, "&gt;="&amp;DATE(2026,3,1),
  raw_stack!G$2:G$100000, "&lt;="&amp;EOMONTH(DATE(2026,3,1),0)
 ),
 IF(OR(_xlpm.x=0, _xlpm.x=""), "-", _xlpm.x)
)</f>
        <v>-</v>
      </c>
      <c r="AG6" s="55" t="str">
        <f>_xlfn.LET(
 _xlpm.x,
 _xlfn.MAXIFS(
  raw_stack!G$2:G$100000,
  raw_stack!D$2:D$100000, G6,
  raw_stack!F$2:F$100000, "Iya",
  raw_stack!G$2:G$100000, "&gt;="&amp;DATE(2026,4,1),
  raw_stack!G$2:G$100000, "&lt;="&amp;EOMONTH(DATE(2026,4,1),0)
 ),
 IF(_xlpm.x=0, "-", _xlpm.x)
)</f>
        <v>-</v>
      </c>
      <c r="AH6" s="56" t="str">
        <f>_xlfn.LET(
 _xlpm.x,
 _xlfn.MAXIFS(
  raw_stack!H$2:H$100000,
  raw_stack!D$2:D$100000, G6,
  raw_stack!F$2:F$100000, "Iya",
  raw_stack!G$2:G$100000, "&gt;="&amp;DATE(2026,4,1),
  raw_stack!G$2:G$100000, "&lt;="&amp;EOMONTH(DATE(2026,4,1),0)
 ),
 IF(OR(_xlpm.x=0, _xlpm.x=""), "-", _xlpm.x)
)</f>
        <v>-</v>
      </c>
    </row>
    <row r="7" spans="1:34">
      <c r="A7" s="48">
        <v>6</v>
      </c>
      <c r="B7" s="49" t="str">
        <f t="shared" si="0"/>
        <v>42609</v>
      </c>
      <c r="C7" s="50" t="s">
        <v>46</v>
      </c>
      <c r="D7" s="51" t="s">
        <v>457</v>
      </c>
      <c r="E7" s="51" t="s">
        <v>54</v>
      </c>
      <c r="F7" s="49" t="s">
        <v>117</v>
      </c>
      <c r="G7" s="49" t="s">
        <v>123</v>
      </c>
      <c r="H7" s="49" t="s">
        <v>48</v>
      </c>
      <c r="I7" s="49" t="s">
        <v>52</v>
      </c>
      <c r="J7" s="52">
        <v>5950000</v>
      </c>
      <c r="K7" s="53">
        <v>45904</v>
      </c>
      <c r="L7" s="53">
        <v>46084</v>
      </c>
      <c r="M7" s="53">
        <v>46056</v>
      </c>
      <c r="N7" s="49" t="s">
        <v>50</v>
      </c>
      <c r="O7" s="54" t="str">
        <f>_xlfn.LET(
 _xlpm.x,
 _xlfn.MAXIFS(
  raw_stack!G$2:G$100000,
  raw_stack!D$2:D$100000, G7,
  raw_stack!F$2:F$100000, "Iya",
  raw_stack!G$2:G$100000, "&gt;="&amp;DATE(2025,7,1),
  raw_stack!G$2:G$100000, "&lt;="&amp;EOMONTH(DATE(2025,7,1),0)
 ),
 IF(_xlpm.x=0, "-", _xlpm.x)
)</f>
        <v>-</v>
      </c>
      <c r="P7" s="65" t="str">
        <f>_xlfn.LET(
 _xlpm.x,
 _xlfn.MAXIFS(
  raw_stack!H$2:H$100000,
  raw_stack!D$2:D$100000, G7,
  raw_stack!F$2:F$100000, "Iya",
  raw_stack!G$2:G$100000, "&gt;="&amp;DATE(2025,7,1),
  raw_stack!G$2:G$100000, "&lt;="&amp;EOMONTH(DATE(2025,7,1),0)
 ),
 IF(OR(_xlpm.x=0, _xlpm.x=""), "-", _xlpm.x)
)</f>
        <v>-</v>
      </c>
      <c r="Q7" s="54">
        <f>_xlfn.LET(
 _xlpm.x,
 _xlfn.MAXIFS(
  raw_stack!G$2:G$99411,
  raw_stack!D$2:D$99411, G7,
  raw_stack!F$2:F$99411, "Iya",
  raw_stack!G$2:G$99411, "&gt;="&amp;DATE(2025,8,1),
  raw_stack!G$2:G$99411, "&lt;="&amp;EOMONTH(DATE(2025,8,1),0)
 ),
 IF(_xlpm.x=0, "-", _xlpm.x)
)</f>
        <v>45880</v>
      </c>
      <c r="R7" s="65">
        <f>_xlfn.LET(
 _xlpm.x,
 _xlfn.MAXIFS(
  raw_stack!H$2:H$100000,
  raw_stack!D$2:D$100000, G7,
  raw_stack!F$2:F$100000, "Iya",
  raw_stack!G$2:G$100000, "&gt;="&amp;DATE(2025,8,1),
  raw_stack!G$2:G$100000, "&lt;="&amp;EOMONTH(DATE(2025,8,1),0)
 ),
 IF(OR(_xlpm.x=0, _xlpm.x=""), "-", _xlpm.x)
)</f>
        <v>41303</v>
      </c>
      <c r="S7" s="54" t="str">
        <f>_xlfn.LET(
 _xlpm.x,
 _xlfn.MAXIFS(
  raw_stack!G$2:G$99411,
  raw_stack!D$2:D$99411, G7,
  raw_stack!F$2:F$99411, "Iya",
  raw_stack!G$2:G$99411, "&gt;="&amp;DATE(2025,9,1),
  raw_stack!G$2:G$99411, "&lt;="&amp;EOMONTH(DATE(2025,9,1),0)
 ),
 IF(_xlpm.x=0, "-", _xlpm.x)
)</f>
        <v>-</v>
      </c>
      <c r="T7" s="65" t="str">
        <f>_xlfn.LET(
 _xlpm.x,
 _xlfn.MAXIFS(
  raw_stack!H$2:H$100000,
  raw_stack!D$2:D$100000, G7,
  raw_stack!F$2:F$100000, "Iya",
  raw_stack!G$2:G$100000, "&gt;="&amp;DATE(2025,9,1),
  raw_stack!G$2:G$100000, "&lt;="&amp;EOMONTH(DATE(2025,9,1),0)
 ),
 IF(OR(_xlpm.x=0, _xlpm.x=""), "-", _xlpm.x)
)</f>
        <v>-</v>
      </c>
      <c r="U7" s="54" t="str">
        <f>_xlfn.LET(
 _xlpm.x,
 _xlfn.MAXIFS(
  raw_stack!G$2:G$99411,
  raw_stack!D$2:D$99411, G7,
  raw_stack!F$2:F$99411, "Iya",
  raw_stack!G$2:G$99411, "&gt;="&amp;DATE(2025,10,1),
  raw_stack!G$2:G$99411, "&lt;="&amp;EOMONTH(DATE(2025,10,1),0)
 ),
 IF(_xlpm.x=0, "-", _xlpm.x)
)</f>
        <v>-</v>
      </c>
      <c r="V7" s="65" t="str">
        <f>_xlfn.LET(
 _xlpm.x,
 _xlfn.MAXIFS(
  raw_stack!H$2:H$100000,
  raw_stack!D$2:D$100000, G7,
  raw_stack!F$2:F$100000, "Iya",
  raw_stack!G$2:G$100000, "&gt;="&amp;DATE(2025,10,1),
  raw_stack!G$2:G$100000, "&lt;="&amp;EOMONTH(DATE(2025,10,1),0)
 ),
 IF(OR(_xlpm.x=0, _xlpm.x=""), "-", _xlpm.x)
)</f>
        <v>-</v>
      </c>
      <c r="W7" s="55" t="str">
        <f>_xlfn.LET(
 _xlpm.x,
 _xlfn.MAXIFS(
  raw_stack!G$2:G$99411,
  raw_stack!D$2:D$99411, G7,
  raw_stack!F$2:F$99411, "Iya",
  raw_stack!G$2:G$99411, "&gt;="&amp;DATE(2025,11,1),
  raw_stack!G$2:G$99411, "&lt;="&amp;EOMONTH(DATE(2025,11,1),0)
 ),
 IF(_xlpm.x=0, "-", _xlpm.x)
)</f>
        <v>-</v>
      </c>
      <c r="X7" s="56" t="str">
        <f>_xlfn.LET(
 _xlpm.x,
 _xlfn.MAXIFS(
  raw_stack!H$2:H$100000,
  raw_stack!D$2:D$100000, G7,
  raw_stack!F$2:F$100000, "Iya",
  raw_stack!G$2:G$100000, "&gt;="&amp;DATE(2025,11,1),
  raw_stack!G$2:G$100000, "&lt;="&amp;EOMONTH(DATE(2025,11,1),0)
 ),
 IF(OR(_xlpm.x=0, _xlpm.x=""), "-", _xlpm.x)
)</f>
        <v>-</v>
      </c>
      <c r="Y7" s="55" t="str">
        <f>_xlfn.LET(
 _xlpm.x,
 _xlfn.MAXIFS(
  raw_stack!G$2:G$99411,
  raw_stack!D$2:D$99411, G7,
  raw_stack!F$2:F$99411, "Iya",
  raw_stack!G$2:G$99411, "&gt;="&amp;DATE(2025,12,1),
  raw_stack!G$2:G$99411, "&lt;="&amp;EOMONTH(DATE(2025,12,1),0)
 ),
 IF(_xlpm.x=0, "-", _xlpm.x)
)</f>
        <v>-</v>
      </c>
      <c r="Z7" s="56" t="str">
        <f>_xlfn.LET(
 _xlpm.x,
 _xlfn.MAXIFS(
  raw_stack!H$2:H$100000,
  raw_stack!D$2:D$100000, G7,
  raw_stack!F$2:F$100000, "Iya",
  raw_stack!G$2:G$100000, "&gt;="&amp;DATE(2025,12,1),
  raw_stack!G$2:G$100000, "&lt;="&amp;EOMONTH(DATE(2025,12,1),0)
 ),
 IF(OR(_xlpm.x=0, _xlpm.x=""), "-", _xlpm.x)
)</f>
        <v>-</v>
      </c>
      <c r="AA7" s="55" t="str">
        <f>_xlfn.LET(
 _xlpm.x,
 _xlfn.MAXIFS(
  raw_stack!G$2:G$99411,
  raw_stack!D$2:D$99411, G7,
  raw_stack!F$2:F$99411, "Iya",
  raw_stack!G$2:G$99411, "&gt;="&amp;DATE(2026,1,1),
  raw_stack!G$2:G$99411, "&lt;="&amp;EOMONTH(DATE(2026,1,1),0)
 ),
 IF(_xlpm.x=0, "-", _xlpm.x)
)</f>
        <v>-</v>
      </c>
      <c r="AB7" s="56" t="str">
        <f>_xlfn.LET(
 _xlpm.x,
 _xlfn.MAXIFS(
  raw_stack!H$2:H$100000,
  raw_stack!D$2:D$100000, G7,
  raw_stack!F$2:F$100000, "Iya",
  raw_stack!G$2:G$100000, "&gt;="&amp;DATE(2026,1,1),
  raw_stack!G$2:G$100000, "&lt;="&amp;EOMONTH(DATE(2026,1,1),0)
 ),
 IF(OR(_xlpm.x=0, _xlpm.x=""), "-", _xlpm.x)
)</f>
        <v>-</v>
      </c>
      <c r="AC7" s="55" t="str">
        <f>_xlfn.LET(
 _xlpm.x,
 _xlfn.MAXIFS(
  raw_stack!G$2:G$99411,
  raw_stack!D$2:D$99411, G7,
  raw_stack!F$2:F$99411, "Iya",
  raw_stack!G$2:G$99411, "&gt;="&amp;DATE(2026,2,1),
  raw_stack!G$2:G$99411, "&lt;="&amp;EOMONTH(DATE(2026,2,1),0)
 ),
 IF(_xlpm.x=0, "-", _xlpm.x)
)</f>
        <v>-</v>
      </c>
      <c r="AD7" s="56" t="str">
        <f>_xlfn.LET(
 _xlpm.x,
 _xlfn.MAXIFS(
  raw_stack!H$2:H$100000,
  raw_stack!D$2:D$100000, G7,
  raw_stack!F$2:F$100000, "Iya",
  raw_stack!G$2:G$100000, "&gt;="&amp;DATE(2026,2,1),
  raw_stack!G$2:G$100000, "&lt;="&amp;EOMONTH(DATE(2026,2,1),0)
 ),
 IF(OR(_xlpm.x=0, _xlpm.x=""), "-", _xlpm.x)
)</f>
        <v>-</v>
      </c>
      <c r="AE7" s="55" t="str">
        <f>_xlfn.LET(
 _xlpm.x,
 _xlfn.MAXIFS(
  raw_stack!G$2:G$100000,
  raw_stack!D$2:D$100000, G7,
  raw_stack!F$2:F$100000, "Iya",
  raw_stack!G$2:G$100000, "&gt;="&amp;DATE(2026,3,1),
  raw_stack!G$2:G$100000, "&lt;="&amp;EOMONTH(DATE(2026,3,1),0)
 ),
 IF(_xlpm.x=0, "-", _xlpm.x)
)</f>
        <v>-</v>
      </c>
      <c r="AF7" s="56" t="str">
        <f>_xlfn.LET(
 _xlpm.x,
 _xlfn.MAXIFS(
  raw_stack!H$2:H$100000,
  raw_stack!D$2:D$100000, G7,
  raw_stack!F$2:F$100000, "Iya",
  raw_stack!G$2:G$100000, "&gt;="&amp;DATE(2026,3,1),
  raw_stack!G$2:G$100000, "&lt;="&amp;EOMONTH(DATE(2026,3,1),0)
 ),
 IF(OR(_xlpm.x=0, _xlpm.x=""), "-", _xlpm.x)
)</f>
        <v>-</v>
      </c>
      <c r="AG7" s="55" t="str">
        <f>_xlfn.LET(
 _xlpm.x,
 _xlfn.MAXIFS(
  raw_stack!G$2:G$100000,
  raw_stack!D$2:D$100000, G7,
  raw_stack!F$2:F$100000, "Iya",
  raw_stack!G$2:G$100000, "&gt;="&amp;DATE(2026,4,1),
  raw_stack!G$2:G$100000, "&lt;="&amp;EOMONTH(DATE(2026,4,1),0)
 ),
 IF(_xlpm.x=0, "-", _xlpm.x)
)</f>
        <v>-</v>
      </c>
      <c r="AH7" s="56" t="str">
        <f>_xlfn.LET(
 _xlpm.x,
 _xlfn.MAXIFS(
  raw_stack!H$2:H$100000,
  raw_stack!D$2:D$100000, G7,
  raw_stack!F$2:F$100000, "Iya",
  raw_stack!G$2:G$100000, "&gt;="&amp;DATE(2026,4,1),
  raw_stack!G$2:G$100000, "&lt;="&amp;EOMONTH(DATE(2026,4,1),0)
 ),
 IF(OR(_xlpm.x=0, _xlpm.x=""), "-", _xlpm.x)
)</f>
        <v>-</v>
      </c>
    </row>
    <row r="8" spans="1:34">
      <c r="A8" s="48">
        <v>7</v>
      </c>
      <c r="B8" s="49" t="str">
        <f t="shared" si="0"/>
        <v>26773</v>
      </c>
      <c r="C8" s="50" t="s">
        <v>46</v>
      </c>
      <c r="D8" s="51" t="s">
        <v>458</v>
      </c>
      <c r="E8" s="51" t="s">
        <v>51</v>
      </c>
      <c r="F8" s="49" t="s">
        <v>117</v>
      </c>
      <c r="G8" s="49" t="s">
        <v>124</v>
      </c>
      <c r="H8" s="49" t="s">
        <v>48</v>
      </c>
      <c r="I8" s="49" t="s">
        <v>52</v>
      </c>
      <c r="J8" s="52">
        <v>4100000</v>
      </c>
      <c r="K8" s="53">
        <v>44990</v>
      </c>
      <c r="L8" s="53">
        <v>46085</v>
      </c>
      <c r="M8" s="53">
        <v>46085</v>
      </c>
      <c r="N8" s="49" t="s">
        <v>50</v>
      </c>
      <c r="O8" s="54" t="str">
        <f>_xlfn.LET(
 _xlpm.x,
 _xlfn.MAXIFS(
  raw_stack!G$2:G$100000,
  raw_stack!D$2:D$100000, G8,
  raw_stack!F$2:F$100000, "Iya",
  raw_stack!G$2:G$100000, "&gt;="&amp;DATE(2025,7,1),
  raw_stack!G$2:G$100000, "&lt;="&amp;EOMONTH(DATE(2025,7,1),0)
 ),
 IF(_xlpm.x=0, "-", _xlpm.x)
)</f>
        <v>-</v>
      </c>
      <c r="P8" s="65" t="str">
        <f>_xlfn.LET(
 _xlpm.x,
 _xlfn.MAXIFS(
  raw_stack!H$2:H$100000,
  raw_stack!D$2:D$100000, G8,
  raw_stack!F$2:F$100000, "Iya",
  raw_stack!G$2:G$100000, "&gt;="&amp;DATE(2025,7,1),
  raw_stack!G$2:G$100000, "&lt;="&amp;EOMONTH(DATE(2025,7,1),0)
 ),
 IF(OR(_xlpm.x=0, _xlpm.x=""), "-", _xlpm.x)
)</f>
        <v>-</v>
      </c>
      <c r="Q8" s="54" t="str">
        <f>_xlfn.LET(
 _xlpm.x,
 _xlfn.MAXIFS(
  raw_stack!G$2:G$99411,
  raw_stack!D$2:D$99411, G8,
  raw_stack!F$2:F$99411, "Iya",
  raw_stack!G$2:G$99411, "&gt;="&amp;DATE(2025,8,1),
  raw_stack!G$2:G$99411, "&lt;="&amp;EOMONTH(DATE(2025,8,1),0)
 ),
 IF(_xlpm.x=0, "-", _xlpm.x)
)</f>
        <v>-</v>
      </c>
      <c r="R8" s="65" t="str">
        <f>_xlfn.LET(
 _xlpm.x,
 _xlfn.MAXIFS(
  raw_stack!H$2:H$100000,
  raw_stack!D$2:D$100000, G8,
  raw_stack!F$2:F$100000, "Iya",
  raw_stack!G$2:G$100000, "&gt;="&amp;DATE(2025,8,1),
  raw_stack!G$2:G$100000, "&lt;="&amp;EOMONTH(DATE(2025,8,1),0)
 ),
 IF(OR(_xlpm.x=0, _xlpm.x=""), "-", _xlpm.x)
)</f>
        <v>-</v>
      </c>
      <c r="S8" s="54">
        <f>_xlfn.LET(
 _xlpm.x,
 _xlfn.MAXIFS(
  raw_stack!G$2:G$99411,
  raw_stack!D$2:D$99411, G8,
  raw_stack!F$2:F$99411, "Iya",
  raw_stack!G$2:G$99411, "&gt;="&amp;DATE(2025,9,1),
  raw_stack!G$2:G$99411, "&lt;="&amp;EOMONTH(DATE(2025,9,1),0)
 ),
 IF(_xlpm.x=0, "-", _xlpm.x)
)</f>
        <v>45927</v>
      </c>
      <c r="T8" s="65">
        <f>_xlfn.LET(
 _xlpm.x,
 _xlfn.MAXIFS(
  raw_stack!H$2:H$100000,
  raw_stack!D$2:D$100000, G8,
  raw_stack!F$2:F$100000, "Iya",
  raw_stack!G$2:G$100000, "&gt;="&amp;DATE(2025,9,1),
  raw_stack!G$2:G$100000, "&lt;="&amp;EOMONTH(DATE(2025,9,1),0)
 ),
 IF(OR(_xlpm.x=0, _xlpm.x=""), "-", _xlpm.x)
)</f>
        <v>41041</v>
      </c>
      <c r="U8" s="54" t="str">
        <f>_xlfn.LET(
 _xlpm.x,
 _xlfn.MAXIFS(
  raw_stack!G$2:G$99411,
  raw_stack!D$2:D$99411, G8,
  raw_stack!F$2:F$99411, "Iya",
  raw_stack!G$2:G$99411, "&gt;="&amp;DATE(2025,10,1),
  raw_stack!G$2:G$99411, "&lt;="&amp;EOMONTH(DATE(2025,10,1),0)
 ),
 IF(_xlpm.x=0, "-", _xlpm.x)
)</f>
        <v>-</v>
      </c>
      <c r="V8" s="65" t="str">
        <f>_xlfn.LET(
 _xlpm.x,
 _xlfn.MAXIFS(
  raw_stack!H$2:H$100000,
  raw_stack!D$2:D$100000, G8,
  raw_stack!F$2:F$100000, "Iya",
  raw_stack!G$2:G$100000, "&gt;="&amp;DATE(2025,10,1),
  raw_stack!G$2:G$100000, "&lt;="&amp;EOMONTH(DATE(2025,10,1),0)
 ),
 IF(OR(_xlpm.x=0, _xlpm.x=""), "-", _xlpm.x)
)</f>
        <v>-</v>
      </c>
      <c r="W8" s="55" t="str">
        <f>_xlfn.LET(
 _xlpm.x,
 _xlfn.MAXIFS(
  raw_stack!G$2:G$99411,
  raw_stack!D$2:D$99411, G8,
  raw_stack!F$2:F$99411, "Iya",
  raw_stack!G$2:G$99411, "&gt;="&amp;DATE(2025,11,1),
  raw_stack!G$2:G$99411, "&lt;="&amp;EOMONTH(DATE(2025,11,1),0)
 ),
 IF(_xlpm.x=0, "-", _xlpm.x)
)</f>
        <v>-</v>
      </c>
      <c r="X8" s="56" t="str">
        <f>_xlfn.LET(
 _xlpm.x,
 _xlfn.MAXIFS(
  raw_stack!H$2:H$100000,
  raw_stack!D$2:D$100000, G8,
  raw_stack!F$2:F$100000, "Iya",
  raw_stack!G$2:G$100000, "&gt;="&amp;DATE(2025,11,1),
  raw_stack!G$2:G$100000, "&lt;="&amp;EOMONTH(DATE(2025,11,1),0)
 ),
 IF(OR(_xlpm.x=0, _xlpm.x=""), "-", _xlpm.x)
)</f>
        <v>-</v>
      </c>
      <c r="Y8" s="55" t="str">
        <f>_xlfn.LET(
 _xlpm.x,
 _xlfn.MAXIFS(
  raw_stack!G$2:G$99411,
  raw_stack!D$2:D$99411, G8,
  raw_stack!F$2:F$99411, "Iya",
  raw_stack!G$2:G$99411, "&gt;="&amp;DATE(2025,12,1),
  raw_stack!G$2:G$99411, "&lt;="&amp;EOMONTH(DATE(2025,12,1),0)
 ),
 IF(_xlpm.x=0, "-", _xlpm.x)
)</f>
        <v>-</v>
      </c>
      <c r="Z8" s="56" t="str">
        <f>_xlfn.LET(
 _xlpm.x,
 _xlfn.MAXIFS(
  raw_stack!H$2:H$100000,
  raw_stack!D$2:D$100000, G8,
  raw_stack!F$2:F$100000, "Iya",
  raw_stack!G$2:G$100000, "&gt;="&amp;DATE(2025,12,1),
  raw_stack!G$2:G$100000, "&lt;="&amp;EOMONTH(DATE(2025,12,1),0)
 ),
 IF(OR(_xlpm.x=0, _xlpm.x=""), "-", _xlpm.x)
)</f>
        <v>-</v>
      </c>
      <c r="AA8" s="55" t="str">
        <f>_xlfn.LET(
 _xlpm.x,
 _xlfn.MAXIFS(
  raw_stack!G$2:G$99411,
  raw_stack!D$2:D$99411, G8,
  raw_stack!F$2:F$99411, "Iya",
  raw_stack!G$2:G$99411, "&gt;="&amp;DATE(2026,1,1),
  raw_stack!G$2:G$99411, "&lt;="&amp;EOMONTH(DATE(2026,1,1),0)
 ),
 IF(_xlpm.x=0, "-", _xlpm.x)
)</f>
        <v>-</v>
      </c>
      <c r="AB8" s="56" t="str">
        <f>_xlfn.LET(
 _xlpm.x,
 _xlfn.MAXIFS(
  raw_stack!H$2:H$100000,
  raw_stack!D$2:D$100000, G8,
  raw_stack!F$2:F$100000, "Iya",
  raw_stack!G$2:G$100000, "&gt;="&amp;DATE(2026,1,1),
  raw_stack!G$2:G$100000, "&lt;="&amp;EOMONTH(DATE(2026,1,1),0)
 ),
 IF(OR(_xlpm.x=0, _xlpm.x=""), "-", _xlpm.x)
)</f>
        <v>-</v>
      </c>
      <c r="AC8" s="55" t="str">
        <f>_xlfn.LET(
 _xlpm.x,
 _xlfn.MAXIFS(
  raw_stack!G$2:G$99411,
  raw_stack!D$2:D$99411, G8,
  raw_stack!F$2:F$99411, "Iya",
  raw_stack!G$2:G$99411, "&gt;="&amp;DATE(2026,2,1),
  raw_stack!G$2:G$99411, "&lt;="&amp;EOMONTH(DATE(2026,2,1),0)
 ),
 IF(_xlpm.x=0, "-", _xlpm.x)
)</f>
        <v>-</v>
      </c>
      <c r="AD8" s="56" t="str">
        <f>_xlfn.LET(
 _xlpm.x,
 _xlfn.MAXIFS(
  raw_stack!H$2:H$100000,
  raw_stack!D$2:D$100000, G8,
  raw_stack!F$2:F$100000, "Iya",
  raw_stack!G$2:G$100000, "&gt;="&amp;DATE(2026,2,1),
  raw_stack!G$2:G$100000, "&lt;="&amp;EOMONTH(DATE(2026,2,1),0)
 ),
 IF(OR(_xlpm.x=0, _xlpm.x=""), "-", _xlpm.x)
)</f>
        <v>-</v>
      </c>
      <c r="AE8" s="55" t="str">
        <f>_xlfn.LET(
 _xlpm.x,
 _xlfn.MAXIFS(
  raw_stack!G$2:G$100000,
  raw_stack!D$2:D$100000, G8,
  raw_stack!F$2:F$100000, "Iya",
  raw_stack!G$2:G$100000, "&gt;="&amp;DATE(2026,3,1),
  raw_stack!G$2:G$100000, "&lt;="&amp;EOMONTH(DATE(2026,3,1),0)
 ),
 IF(_xlpm.x=0, "-", _xlpm.x)
)</f>
        <v>-</v>
      </c>
      <c r="AF8" s="56" t="str">
        <f>_xlfn.LET(
 _xlpm.x,
 _xlfn.MAXIFS(
  raw_stack!H$2:H$100000,
  raw_stack!D$2:D$100000, G8,
  raw_stack!F$2:F$100000, "Iya",
  raw_stack!G$2:G$100000, "&gt;="&amp;DATE(2026,3,1),
  raw_stack!G$2:G$100000, "&lt;="&amp;EOMONTH(DATE(2026,3,1),0)
 ),
 IF(OR(_xlpm.x=0, _xlpm.x=""), "-", _xlpm.x)
)</f>
        <v>-</v>
      </c>
      <c r="AG8" s="55">
        <f>_xlfn.LET(
 _xlpm.x,
 _xlfn.MAXIFS(
  raw_stack!G$2:G$100000,
  raw_stack!D$2:D$100000, G8,
  raw_stack!F$2:F$100000, "Iya",
  raw_stack!G$2:G$100000, "&gt;="&amp;DATE(2026,4,1),
  raw_stack!G$2:G$100000, "&lt;="&amp;EOMONTH(DATE(2026,4,1),0)
 ),
 IF(_xlpm.x=0, "-", _xlpm.x)
)</f>
        <v>46132</v>
      </c>
      <c r="AH8" s="56">
        <f>_xlfn.LET(
 _xlpm.x,
 _xlfn.MAXIFS(
  raw_stack!H$2:H$100000,
  raw_stack!D$2:D$100000, G8,
  raw_stack!F$2:F$100000, "Iya",
  raw_stack!G$2:G$100000, "&gt;="&amp;DATE(2026,4,1),
  raw_stack!G$2:G$100000, "&lt;="&amp;EOMONTH(DATE(2026,4,1),0)
 ),
 IF(OR(_xlpm.x=0, _xlpm.x=""), "-", _xlpm.x)
)</f>
        <v>36641</v>
      </c>
    </row>
    <row r="9" spans="1:34">
      <c r="A9" s="48">
        <v>8</v>
      </c>
      <c r="B9" s="49" t="str">
        <f t="shared" si="0"/>
        <v>55926</v>
      </c>
      <c r="C9" s="50" t="s">
        <v>46</v>
      </c>
      <c r="D9" s="51" t="s">
        <v>459</v>
      </c>
      <c r="E9" s="51" t="s">
        <v>55</v>
      </c>
      <c r="F9" s="49" t="s">
        <v>117</v>
      </c>
      <c r="G9" s="49" t="s">
        <v>125</v>
      </c>
      <c r="H9" s="49" t="s">
        <v>48</v>
      </c>
      <c r="I9" s="49" t="s">
        <v>52</v>
      </c>
      <c r="J9" s="52">
        <v>3850000</v>
      </c>
      <c r="K9" s="53">
        <v>44991</v>
      </c>
      <c r="L9" s="53">
        <v>46086</v>
      </c>
      <c r="M9" s="53">
        <v>46086</v>
      </c>
      <c r="N9" s="49" t="s">
        <v>50</v>
      </c>
      <c r="O9" s="54" t="str">
        <f>_xlfn.LET(
 _xlpm.x,
 _xlfn.MAXIFS(
  raw_stack!G$2:G$100000,
  raw_stack!D$2:D$100000, G9,
  raw_stack!F$2:F$100000, "Iya",
  raw_stack!G$2:G$100000, "&gt;="&amp;DATE(2025,7,1),
  raw_stack!G$2:G$100000, "&lt;="&amp;EOMONTH(DATE(2025,7,1),0)
 ),
 IF(_xlpm.x=0, "-", _xlpm.x)
)</f>
        <v>-</v>
      </c>
      <c r="P9" s="65" t="str">
        <f>_xlfn.LET(
 _xlpm.x,
 _xlfn.MAXIFS(
  raw_stack!H$2:H$100000,
  raw_stack!D$2:D$100000, G9,
  raw_stack!F$2:F$100000, "Iya",
  raw_stack!G$2:G$100000, "&gt;="&amp;DATE(2025,7,1),
  raw_stack!G$2:G$100000, "&lt;="&amp;EOMONTH(DATE(2025,7,1),0)
 ),
 IF(OR(_xlpm.x=0, _xlpm.x=""), "-", _xlpm.x)
)</f>
        <v>-</v>
      </c>
      <c r="Q9" s="54" t="str">
        <f>_xlfn.LET(
 _xlpm.x,
 _xlfn.MAXIFS(
  raw_stack!G$2:G$99411,
  raw_stack!D$2:D$99411, G9,
  raw_stack!F$2:F$99411, "Iya",
  raw_stack!G$2:G$99411, "&gt;="&amp;DATE(2025,8,1),
  raw_stack!G$2:G$99411, "&lt;="&amp;EOMONTH(DATE(2025,8,1),0)
 ),
 IF(_xlpm.x=0, "-", _xlpm.x)
)</f>
        <v>-</v>
      </c>
      <c r="R9" s="65" t="str">
        <f>_xlfn.LET(
 _xlpm.x,
 _xlfn.MAXIFS(
  raw_stack!H$2:H$100000,
  raw_stack!D$2:D$100000, G9,
  raw_stack!F$2:F$100000, "Iya",
  raw_stack!G$2:G$100000, "&gt;="&amp;DATE(2025,8,1),
  raw_stack!G$2:G$100000, "&lt;="&amp;EOMONTH(DATE(2025,8,1),0)
 ),
 IF(OR(_xlpm.x=0, _xlpm.x=""), "-", _xlpm.x)
)</f>
        <v>-</v>
      </c>
      <c r="S9" s="54" t="str">
        <f>_xlfn.LET(
 _xlpm.x,
 _xlfn.MAXIFS(
  raw_stack!G$2:G$99411,
  raw_stack!D$2:D$99411, G9,
  raw_stack!F$2:F$99411, "Iya",
  raw_stack!G$2:G$99411, "&gt;="&amp;DATE(2025,9,1),
  raw_stack!G$2:G$99411, "&lt;="&amp;EOMONTH(DATE(2025,9,1),0)
 ),
 IF(_xlpm.x=0, "-", _xlpm.x)
)</f>
        <v>-</v>
      </c>
      <c r="T9" s="65" t="str">
        <f>_xlfn.LET(
 _xlpm.x,
 _xlfn.MAXIFS(
  raw_stack!H$2:H$100000,
  raw_stack!D$2:D$100000, G9,
  raw_stack!F$2:F$100000, "Iya",
  raw_stack!G$2:G$100000, "&gt;="&amp;DATE(2025,9,1),
  raw_stack!G$2:G$100000, "&lt;="&amp;EOMONTH(DATE(2025,9,1),0)
 ),
 IF(OR(_xlpm.x=0, _xlpm.x=""), "-", _xlpm.x)
)</f>
        <v>-</v>
      </c>
      <c r="U9" s="54">
        <f>_xlfn.LET(
 _xlpm.x,
 _xlfn.MAXIFS(
  raw_stack!G$2:G$99411,
  raw_stack!D$2:D$99411, G9,
  raw_stack!F$2:F$99411, "Iya",
  raw_stack!G$2:G$99411, "&gt;="&amp;DATE(2025,10,1),
  raw_stack!G$2:G$99411, "&lt;="&amp;EOMONTH(DATE(2025,10,1),0)
 ),
 IF(_xlpm.x=0, "-", _xlpm.x)
)</f>
        <v>45941</v>
      </c>
      <c r="V9" s="65">
        <f>_xlfn.LET(
 _xlpm.x,
 _xlfn.MAXIFS(
  raw_stack!H$2:H$100000,
  raw_stack!D$2:D$100000, G9,
  raw_stack!F$2:F$100000, "Iya",
  raw_stack!G$2:G$100000, "&gt;="&amp;DATE(2025,10,1),
  raw_stack!G$2:G$100000, "&lt;="&amp;EOMONTH(DATE(2025,10,1),0)
 ),
 IF(OR(_xlpm.x=0, _xlpm.x=""), "-", _xlpm.x)
)</f>
        <v>22555</v>
      </c>
      <c r="W9" s="55" t="str">
        <f>_xlfn.LET(
 _xlpm.x,
 _xlfn.MAXIFS(
  raw_stack!G$2:G$99411,
  raw_stack!D$2:D$99411, G9,
  raw_stack!F$2:F$99411, "Iya",
  raw_stack!G$2:G$99411, "&gt;="&amp;DATE(2025,11,1),
  raw_stack!G$2:G$99411, "&lt;="&amp;EOMONTH(DATE(2025,11,1),0)
 ),
 IF(_xlpm.x=0, "-", _xlpm.x)
)</f>
        <v>-</v>
      </c>
      <c r="X9" s="56" t="str">
        <f>_xlfn.LET(
 _xlpm.x,
 _xlfn.MAXIFS(
  raw_stack!H$2:H$100000,
  raw_stack!D$2:D$100000, G9,
  raw_stack!F$2:F$100000, "Iya",
  raw_stack!G$2:G$100000, "&gt;="&amp;DATE(2025,11,1),
  raw_stack!G$2:G$100000, "&lt;="&amp;EOMONTH(DATE(2025,11,1),0)
 ),
 IF(OR(_xlpm.x=0, _xlpm.x=""), "-", _xlpm.x)
)</f>
        <v>-</v>
      </c>
      <c r="Y9" s="55" t="str">
        <f>_xlfn.LET(
 _xlpm.x,
 _xlfn.MAXIFS(
  raw_stack!G$2:G$99411,
  raw_stack!D$2:D$99411, G9,
  raw_stack!F$2:F$99411, "Iya",
  raw_stack!G$2:G$99411, "&gt;="&amp;DATE(2025,12,1),
  raw_stack!G$2:G$99411, "&lt;="&amp;EOMONTH(DATE(2025,12,1),0)
 ),
 IF(_xlpm.x=0, "-", _xlpm.x)
)</f>
        <v>-</v>
      </c>
      <c r="Z9" s="56" t="str">
        <f>_xlfn.LET(
 _xlpm.x,
 _xlfn.MAXIFS(
  raw_stack!H$2:H$100000,
  raw_stack!D$2:D$100000, G9,
  raw_stack!F$2:F$100000, "Iya",
  raw_stack!G$2:G$100000, "&gt;="&amp;DATE(2025,12,1),
  raw_stack!G$2:G$100000, "&lt;="&amp;EOMONTH(DATE(2025,12,1),0)
 ),
 IF(OR(_xlpm.x=0, _xlpm.x=""), "-", _xlpm.x)
)</f>
        <v>-</v>
      </c>
      <c r="AA9" s="55" t="str">
        <f>_xlfn.LET(
 _xlpm.x,
 _xlfn.MAXIFS(
  raw_stack!G$2:G$99411,
  raw_stack!D$2:D$99411, G9,
  raw_stack!F$2:F$99411, "Iya",
  raw_stack!G$2:G$99411, "&gt;="&amp;DATE(2026,1,1),
  raw_stack!G$2:G$99411, "&lt;="&amp;EOMONTH(DATE(2026,1,1),0)
 ),
 IF(_xlpm.x=0, "-", _xlpm.x)
)</f>
        <v>-</v>
      </c>
      <c r="AB9" s="56" t="str">
        <f>_xlfn.LET(
 _xlpm.x,
 _xlfn.MAXIFS(
  raw_stack!H$2:H$100000,
  raw_stack!D$2:D$100000, G9,
  raw_stack!F$2:F$100000, "Iya",
  raw_stack!G$2:G$100000, "&gt;="&amp;DATE(2026,1,1),
  raw_stack!G$2:G$100000, "&lt;="&amp;EOMONTH(DATE(2026,1,1),0)
 ),
 IF(OR(_xlpm.x=0, _xlpm.x=""), "-", _xlpm.x)
)</f>
        <v>-</v>
      </c>
      <c r="AC9" s="55" t="str">
        <f>_xlfn.LET(
 _xlpm.x,
 _xlfn.MAXIFS(
  raw_stack!G$2:G$99411,
  raw_stack!D$2:D$99411, G9,
  raw_stack!F$2:F$99411, "Iya",
  raw_stack!G$2:G$99411, "&gt;="&amp;DATE(2026,2,1),
  raw_stack!G$2:G$99411, "&lt;="&amp;EOMONTH(DATE(2026,2,1),0)
 ),
 IF(_xlpm.x=0, "-", _xlpm.x)
)</f>
        <v>-</v>
      </c>
      <c r="AD9" s="56" t="str">
        <f>_xlfn.LET(
 _xlpm.x,
 _xlfn.MAXIFS(
  raw_stack!H$2:H$100000,
  raw_stack!D$2:D$100000, G9,
  raw_stack!F$2:F$100000, "Iya",
  raw_stack!G$2:G$100000, "&gt;="&amp;DATE(2026,2,1),
  raw_stack!G$2:G$100000, "&lt;="&amp;EOMONTH(DATE(2026,2,1),0)
 ),
 IF(OR(_xlpm.x=0, _xlpm.x=""), "-", _xlpm.x)
)</f>
        <v>-</v>
      </c>
      <c r="AE9" s="55" t="str">
        <f>_xlfn.LET(
 _xlpm.x,
 _xlfn.MAXIFS(
  raw_stack!G$2:G$100000,
  raw_stack!D$2:D$100000, G9,
  raw_stack!F$2:F$100000, "Iya",
  raw_stack!G$2:G$100000, "&gt;="&amp;DATE(2026,3,1),
  raw_stack!G$2:G$100000, "&lt;="&amp;EOMONTH(DATE(2026,3,1),0)
 ),
 IF(_xlpm.x=0, "-", _xlpm.x)
)</f>
        <v>-</v>
      </c>
      <c r="AF9" s="56" t="str">
        <f>_xlfn.LET(
 _xlpm.x,
 _xlfn.MAXIFS(
  raw_stack!H$2:H$100000,
  raw_stack!D$2:D$100000, G9,
  raw_stack!F$2:F$100000, "Iya",
  raw_stack!G$2:G$100000, "&gt;="&amp;DATE(2026,3,1),
  raw_stack!G$2:G$100000, "&lt;="&amp;EOMONTH(DATE(2026,3,1),0)
 ),
 IF(OR(_xlpm.x=0, _xlpm.x=""), "-", _xlpm.x)
)</f>
        <v>-</v>
      </c>
      <c r="AG9" s="55" t="str">
        <f>_xlfn.LET(
 _xlpm.x,
 _xlfn.MAXIFS(
  raw_stack!G$2:G$100000,
  raw_stack!D$2:D$100000, G9,
  raw_stack!F$2:F$100000, "Iya",
  raw_stack!G$2:G$100000, "&gt;="&amp;DATE(2026,4,1),
  raw_stack!G$2:G$100000, "&lt;="&amp;EOMONTH(DATE(2026,4,1),0)
 ),
 IF(_xlpm.x=0, "-", _xlpm.x)
)</f>
        <v>-</v>
      </c>
      <c r="AH9" s="56" t="str">
        <f>_xlfn.LET(
 _xlpm.x,
 _xlfn.MAXIFS(
  raw_stack!H$2:H$100000,
  raw_stack!D$2:D$100000, G9,
  raw_stack!F$2:F$100000, "Iya",
  raw_stack!G$2:G$100000, "&gt;="&amp;DATE(2026,4,1),
  raw_stack!G$2:G$100000, "&lt;="&amp;EOMONTH(DATE(2026,4,1),0)
 ),
 IF(OR(_xlpm.x=0, _xlpm.x=""), "-", _xlpm.x)
)</f>
        <v>-</v>
      </c>
    </row>
    <row r="10" spans="1:34">
      <c r="A10" s="48">
        <v>9</v>
      </c>
      <c r="B10" s="49" t="str">
        <f t="shared" si="0"/>
        <v>91919</v>
      </c>
      <c r="C10" s="50" t="s">
        <v>46</v>
      </c>
      <c r="D10" s="51" t="s">
        <v>460</v>
      </c>
      <c r="E10" s="51" t="s">
        <v>55</v>
      </c>
      <c r="F10" s="49" t="s">
        <v>117</v>
      </c>
      <c r="G10" s="49" t="s">
        <v>126</v>
      </c>
      <c r="H10" s="49" t="s">
        <v>48</v>
      </c>
      <c r="I10" s="49" t="s">
        <v>52</v>
      </c>
      <c r="J10" s="52">
        <v>3850000</v>
      </c>
      <c r="K10" s="53">
        <v>44995</v>
      </c>
      <c r="L10" s="53">
        <v>46090</v>
      </c>
      <c r="M10" s="53">
        <v>46090</v>
      </c>
      <c r="N10" s="49" t="s">
        <v>50</v>
      </c>
      <c r="O10" s="54">
        <f>_xlfn.LET(
 _xlpm.x,
 _xlfn.MAXIFS(
  raw_stack!G$2:G$100000,
  raw_stack!D$2:D$100000, G10,
  raw_stack!F$2:F$100000, "Iya",
  raw_stack!G$2:G$100000, "&gt;="&amp;DATE(2025,7,1),
  raw_stack!G$2:G$100000, "&lt;="&amp;EOMONTH(DATE(2025,7,1),0)
 ),
 IF(_xlpm.x=0, "-", _xlpm.x)
)</f>
        <v>45859</v>
      </c>
      <c r="P10" s="65">
        <f>_xlfn.LET(
 _xlpm.x,
 _xlfn.MAXIFS(
  raw_stack!H$2:H$100000,
  raw_stack!D$2:D$100000, G10,
  raw_stack!F$2:F$100000, "Iya",
  raw_stack!G$2:G$100000, "&gt;="&amp;DATE(2025,7,1),
  raw_stack!G$2:G$100000, "&lt;="&amp;EOMONTH(DATE(2025,7,1),0)
 ),
 IF(OR(_xlpm.x=0, _xlpm.x=""), "-", _xlpm.x)
)</f>
        <v>27089</v>
      </c>
      <c r="Q10" s="54" t="str">
        <f>_xlfn.LET(
 _xlpm.x,
 _xlfn.MAXIFS(
  raw_stack!G$2:G$99411,
  raw_stack!D$2:D$99411, G10,
  raw_stack!F$2:F$99411, "Iya",
  raw_stack!G$2:G$99411, "&gt;="&amp;DATE(2025,8,1),
  raw_stack!G$2:G$99411, "&lt;="&amp;EOMONTH(DATE(2025,8,1),0)
 ),
 IF(_xlpm.x=0, "-", _xlpm.x)
)</f>
        <v>-</v>
      </c>
      <c r="R10" s="65" t="str">
        <f>_xlfn.LET(
 _xlpm.x,
 _xlfn.MAXIFS(
  raw_stack!H$2:H$100000,
  raw_stack!D$2:D$100000, G10,
  raw_stack!F$2:F$100000, "Iya",
  raw_stack!G$2:G$100000, "&gt;="&amp;DATE(2025,8,1),
  raw_stack!G$2:G$100000, "&lt;="&amp;EOMONTH(DATE(2025,8,1),0)
 ),
 IF(OR(_xlpm.x=0, _xlpm.x=""), "-", _xlpm.x)
)</f>
        <v>-</v>
      </c>
      <c r="S10" s="54" t="str">
        <f>_xlfn.LET(
 _xlpm.x,
 _xlfn.MAXIFS(
  raw_stack!G$2:G$99411,
  raw_stack!D$2:D$99411, G10,
  raw_stack!F$2:F$99411, "Iya",
  raw_stack!G$2:G$99411, "&gt;="&amp;DATE(2025,9,1),
  raw_stack!G$2:G$99411, "&lt;="&amp;EOMONTH(DATE(2025,9,1),0)
 ),
 IF(_xlpm.x=0, "-", _xlpm.x)
)</f>
        <v>-</v>
      </c>
      <c r="T10" s="65" t="str">
        <f>_xlfn.LET(
 _xlpm.x,
 _xlfn.MAXIFS(
  raw_stack!H$2:H$100000,
  raw_stack!D$2:D$100000, G10,
  raw_stack!F$2:F$100000, "Iya",
  raw_stack!G$2:G$100000, "&gt;="&amp;DATE(2025,9,1),
  raw_stack!G$2:G$100000, "&lt;="&amp;EOMONTH(DATE(2025,9,1),0)
 ),
 IF(OR(_xlpm.x=0, _xlpm.x=""), "-", _xlpm.x)
)</f>
        <v>-</v>
      </c>
      <c r="U10" s="54" t="str">
        <f>_xlfn.LET(
 _xlpm.x,
 _xlfn.MAXIFS(
  raw_stack!G$2:G$99411,
  raw_stack!D$2:D$99411, G10,
  raw_stack!F$2:F$99411, "Iya",
  raw_stack!G$2:G$99411, "&gt;="&amp;DATE(2025,10,1),
  raw_stack!G$2:G$99411, "&lt;="&amp;EOMONTH(DATE(2025,10,1),0)
 ),
 IF(_xlpm.x=0, "-", _xlpm.x)
)</f>
        <v>-</v>
      </c>
      <c r="V10" s="65" t="str">
        <f>_xlfn.LET(
 _xlpm.x,
 _xlfn.MAXIFS(
  raw_stack!H$2:H$100000,
  raw_stack!D$2:D$100000, G10,
  raw_stack!F$2:F$100000, "Iya",
  raw_stack!G$2:G$100000, "&gt;="&amp;DATE(2025,10,1),
  raw_stack!G$2:G$100000, "&lt;="&amp;EOMONTH(DATE(2025,10,1),0)
 ),
 IF(OR(_xlpm.x=0, _xlpm.x=""), "-", _xlpm.x)
)</f>
        <v>-</v>
      </c>
      <c r="W10" s="55" t="str">
        <f>_xlfn.LET(
 _xlpm.x,
 _xlfn.MAXIFS(
  raw_stack!G$2:G$99411,
  raw_stack!D$2:D$99411, G10,
  raw_stack!F$2:F$99411, "Iya",
  raw_stack!G$2:G$99411, "&gt;="&amp;DATE(2025,11,1),
  raw_stack!G$2:G$99411, "&lt;="&amp;EOMONTH(DATE(2025,11,1),0)
 ),
 IF(_xlpm.x=0, "-", _xlpm.x)
)</f>
        <v>-</v>
      </c>
      <c r="X10" s="56" t="str">
        <f>_xlfn.LET(
 _xlpm.x,
 _xlfn.MAXIFS(
  raw_stack!H$2:H$100000,
  raw_stack!D$2:D$100000, G10,
  raw_stack!F$2:F$100000, "Iya",
  raw_stack!G$2:G$100000, "&gt;="&amp;DATE(2025,11,1),
  raw_stack!G$2:G$100000, "&lt;="&amp;EOMONTH(DATE(2025,11,1),0)
 ),
 IF(OR(_xlpm.x=0, _xlpm.x=""), "-", _xlpm.x)
)</f>
        <v>-</v>
      </c>
      <c r="Y10" s="55" t="str">
        <f>_xlfn.LET(
 _xlpm.x,
 _xlfn.MAXIFS(
  raw_stack!G$2:G$99411,
  raw_stack!D$2:D$99411, G10,
  raw_stack!F$2:F$99411, "Iya",
  raw_stack!G$2:G$99411, "&gt;="&amp;DATE(2025,12,1),
  raw_stack!G$2:G$99411, "&lt;="&amp;EOMONTH(DATE(2025,12,1),0)
 ),
 IF(_xlpm.x=0, "-", _xlpm.x)
)</f>
        <v>-</v>
      </c>
      <c r="Z10" s="56" t="str">
        <f>_xlfn.LET(
 _xlpm.x,
 _xlfn.MAXIFS(
  raw_stack!H$2:H$100000,
  raw_stack!D$2:D$100000, G10,
  raw_stack!F$2:F$100000, "Iya",
  raw_stack!G$2:G$100000, "&gt;="&amp;DATE(2025,12,1),
  raw_stack!G$2:G$100000, "&lt;="&amp;EOMONTH(DATE(2025,12,1),0)
 ),
 IF(OR(_xlpm.x=0, _xlpm.x=""), "-", _xlpm.x)
)</f>
        <v>-</v>
      </c>
      <c r="AA10" s="55">
        <f>_xlfn.LET(
 _xlpm.x,
 _xlfn.MAXIFS(
  raw_stack!G$2:G$99411,
  raw_stack!D$2:D$99411, G10,
  raw_stack!F$2:F$99411, "Iya",
  raw_stack!G$2:G$99411, "&gt;="&amp;DATE(2026,1,1),
  raw_stack!G$2:G$99411, "&lt;="&amp;EOMONTH(DATE(2026,1,1),0)
 ),
 IF(_xlpm.x=0, "-", _xlpm.x)
)</f>
        <v>46041</v>
      </c>
      <c r="AB10" s="56">
        <f>_xlfn.LET(
 _xlpm.x,
 _xlfn.MAXIFS(
  raw_stack!H$2:H$100000,
  raw_stack!D$2:D$100000, G10,
  raw_stack!F$2:F$100000, "Iya",
  raw_stack!G$2:G$100000, "&gt;="&amp;DATE(2026,1,1),
  raw_stack!G$2:G$100000, "&lt;="&amp;EOMONTH(DATE(2026,1,1),0)
 ),
 IF(OR(_xlpm.x=0, _xlpm.x=""), "-", _xlpm.x)
)</f>
        <v>28881</v>
      </c>
      <c r="AC10" s="55" t="str">
        <f>_xlfn.LET(
 _xlpm.x,
 _xlfn.MAXIFS(
  raw_stack!G$2:G$99411,
  raw_stack!D$2:D$99411, G10,
  raw_stack!F$2:F$99411, "Iya",
  raw_stack!G$2:G$99411, "&gt;="&amp;DATE(2026,2,1),
  raw_stack!G$2:G$99411, "&lt;="&amp;EOMONTH(DATE(2026,2,1),0)
 ),
 IF(_xlpm.x=0, "-", _xlpm.x)
)</f>
        <v>-</v>
      </c>
      <c r="AD10" s="56" t="str">
        <f>_xlfn.LET(
 _xlpm.x,
 _xlfn.MAXIFS(
  raw_stack!H$2:H$100000,
  raw_stack!D$2:D$100000, G10,
  raw_stack!F$2:F$100000, "Iya",
  raw_stack!G$2:G$100000, "&gt;="&amp;DATE(2026,2,1),
  raw_stack!G$2:G$100000, "&lt;="&amp;EOMONTH(DATE(2026,2,1),0)
 ),
 IF(OR(_xlpm.x=0, _xlpm.x=""), "-", _xlpm.x)
)</f>
        <v>-</v>
      </c>
      <c r="AE10" s="55" t="str">
        <f>_xlfn.LET(
 _xlpm.x,
 _xlfn.MAXIFS(
  raw_stack!G$2:G$100000,
  raw_stack!D$2:D$100000, G10,
  raw_stack!F$2:F$100000, "Iya",
  raw_stack!G$2:G$100000, "&gt;="&amp;DATE(2026,3,1),
  raw_stack!G$2:G$100000, "&lt;="&amp;EOMONTH(DATE(2026,3,1),0)
 ),
 IF(_xlpm.x=0, "-", _xlpm.x)
)</f>
        <v>-</v>
      </c>
      <c r="AF10" s="56" t="str">
        <f>_xlfn.LET(
 _xlpm.x,
 _xlfn.MAXIFS(
  raw_stack!H$2:H$100000,
  raw_stack!D$2:D$100000, G10,
  raw_stack!F$2:F$100000, "Iya",
  raw_stack!G$2:G$100000, "&gt;="&amp;DATE(2026,3,1),
  raw_stack!G$2:G$100000, "&lt;="&amp;EOMONTH(DATE(2026,3,1),0)
 ),
 IF(OR(_xlpm.x=0, _xlpm.x=""), "-", _xlpm.x)
)</f>
        <v>-</v>
      </c>
      <c r="AG10" s="55" t="str">
        <f>_xlfn.LET(
 _xlpm.x,
 _xlfn.MAXIFS(
  raw_stack!G$2:G$100000,
  raw_stack!D$2:D$100000, G10,
  raw_stack!F$2:F$100000, "Iya",
  raw_stack!G$2:G$100000, "&gt;="&amp;DATE(2026,4,1),
  raw_stack!G$2:G$100000, "&lt;="&amp;EOMONTH(DATE(2026,4,1),0)
 ),
 IF(_xlpm.x=0, "-", _xlpm.x)
)</f>
        <v>-</v>
      </c>
      <c r="AH10" s="56" t="str">
        <f>_xlfn.LET(
 _xlpm.x,
 _xlfn.MAXIFS(
  raw_stack!H$2:H$100000,
  raw_stack!D$2:D$100000, G10,
  raw_stack!F$2:F$100000, "Iya",
  raw_stack!G$2:G$100000, "&gt;="&amp;DATE(2026,4,1),
  raw_stack!G$2:G$100000, "&lt;="&amp;EOMONTH(DATE(2026,4,1),0)
 ),
 IF(OR(_xlpm.x=0, _xlpm.x=""), "-", _xlpm.x)
)</f>
        <v>-</v>
      </c>
    </row>
    <row r="11" spans="1:34">
      <c r="A11" s="48">
        <v>10</v>
      </c>
      <c r="B11" s="49" t="str">
        <f t="shared" si="0"/>
        <v>70597</v>
      </c>
      <c r="C11" s="50" t="s">
        <v>46</v>
      </c>
      <c r="D11" s="51" t="s">
        <v>462</v>
      </c>
      <c r="E11" s="51" t="s">
        <v>51</v>
      </c>
      <c r="F11" s="49" t="s">
        <v>117</v>
      </c>
      <c r="G11" s="49" t="s">
        <v>127</v>
      </c>
      <c r="H11" s="49" t="s">
        <v>48</v>
      </c>
      <c r="I11" s="49" t="s">
        <v>52</v>
      </c>
      <c r="J11" s="52">
        <v>4100000</v>
      </c>
      <c r="K11" s="53">
        <v>45005</v>
      </c>
      <c r="L11" s="53">
        <v>46100</v>
      </c>
      <c r="M11" s="53">
        <v>46100</v>
      </c>
      <c r="N11" s="49" t="s">
        <v>50</v>
      </c>
      <c r="O11" s="54" t="str">
        <f>_xlfn.LET(
 _xlpm.x,
 _xlfn.MAXIFS(
  raw_stack!G$2:G$100000,
  raw_stack!D$2:D$100000, G11,
  raw_stack!F$2:F$100000, "Iya",
  raw_stack!G$2:G$100000, "&gt;="&amp;DATE(2025,7,1),
  raw_stack!G$2:G$100000, "&lt;="&amp;EOMONTH(DATE(2025,7,1),0)
 ),
 IF(_xlpm.x=0, "-", _xlpm.x)
)</f>
        <v>-</v>
      </c>
      <c r="P11" s="65" t="str">
        <f>_xlfn.LET(
 _xlpm.x,
 _xlfn.MAXIFS(
  raw_stack!H$2:H$100000,
  raw_stack!D$2:D$100000, G11,
  raw_stack!F$2:F$100000, "Iya",
  raw_stack!G$2:G$100000, "&gt;="&amp;DATE(2025,7,1),
  raw_stack!G$2:G$100000, "&lt;="&amp;EOMONTH(DATE(2025,7,1),0)
 ),
 IF(OR(_xlpm.x=0, _xlpm.x=""), "-", _xlpm.x)
)</f>
        <v>-</v>
      </c>
      <c r="Q11" s="54" t="str">
        <f>_xlfn.LET(
 _xlpm.x,
 _xlfn.MAXIFS(
  raw_stack!G$2:G$99411,
  raw_stack!D$2:D$99411, G11,
  raw_stack!F$2:F$99411, "Iya",
  raw_stack!G$2:G$99411, "&gt;="&amp;DATE(2025,8,1),
  raw_stack!G$2:G$99411, "&lt;="&amp;EOMONTH(DATE(2025,8,1),0)
 ),
 IF(_xlpm.x=0, "-", _xlpm.x)
)</f>
        <v>-</v>
      </c>
      <c r="R11" s="65" t="str">
        <f>_xlfn.LET(
 _xlpm.x,
 _xlfn.MAXIFS(
  raw_stack!H$2:H$100000,
  raw_stack!D$2:D$100000, G11,
  raw_stack!F$2:F$100000, "Iya",
  raw_stack!G$2:G$100000, "&gt;="&amp;DATE(2025,8,1),
  raw_stack!G$2:G$100000, "&lt;="&amp;EOMONTH(DATE(2025,8,1),0)
 ),
 IF(OR(_xlpm.x=0, _xlpm.x=""), "-", _xlpm.x)
)</f>
        <v>-</v>
      </c>
      <c r="S11" s="54" t="str">
        <f>_xlfn.LET(
 _xlpm.x,
 _xlfn.MAXIFS(
  raw_stack!G$2:G$99411,
  raw_stack!D$2:D$99411, G11,
  raw_stack!F$2:F$99411, "Iya",
  raw_stack!G$2:G$99411, "&gt;="&amp;DATE(2025,9,1),
  raw_stack!G$2:G$99411, "&lt;="&amp;EOMONTH(DATE(2025,9,1),0)
 ),
 IF(_xlpm.x=0, "-", _xlpm.x)
)</f>
        <v>-</v>
      </c>
      <c r="T11" s="65" t="str">
        <f>_xlfn.LET(
 _xlpm.x,
 _xlfn.MAXIFS(
  raw_stack!H$2:H$100000,
  raw_stack!D$2:D$100000, G11,
  raw_stack!F$2:F$100000, "Iya",
  raw_stack!G$2:G$100000, "&gt;="&amp;DATE(2025,9,1),
  raw_stack!G$2:G$100000, "&lt;="&amp;EOMONTH(DATE(2025,9,1),0)
 ),
 IF(OR(_xlpm.x=0, _xlpm.x=""), "-", _xlpm.x)
)</f>
        <v>-</v>
      </c>
      <c r="U11" s="54" t="str">
        <f>_xlfn.LET(
 _xlpm.x,
 _xlfn.MAXIFS(
  raw_stack!G$2:G$99411,
  raw_stack!D$2:D$99411, G11,
  raw_stack!F$2:F$99411, "Iya",
  raw_stack!G$2:G$99411, "&gt;="&amp;DATE(2025,10,1),
  raw_stack!G$2:G$99411, "&lt;="&amp;EOMONTH(DATE(2025,10,1),0)
 ),
 IF(_xlpm.x=0, "-", _xlpm.x)
)</f>
        <v>-</v>
      </c>
      <c r="V11" s="65" t="str">
        <f>_xlfn.LET(
 _xlpm.x,
 _xlfn.MAXIFS(
  raw_stack!H$2:H$100000,
  raw_stack!D$2:D$100000, G11,
  raw_stack!F$2:F$100000, "Iya",
  raw_stack!G$2:G$100000, "&gt;="&amp;DATE(2025,10,1),
  raw_stack!G$2:G$100000, "&lt;="&amp;EOMONTH(DATE(2025,10,1),0)
 ),
 IF(OR(_xlpm.x=0, _xlpm.x=""), "-", _xlpm.x)
)</f>
        <v>-</v>
      </c>
      <c r="W11" s="55" t="str">
        <f>_xlfn.LET(
 _xlpm.x,
 _xlfn.MAXIFS(
  raw_stack!G$2:G$99411,
  raw_stack!D$2:D$99411, G11,
  raw_stack!F$2:F$99411, "Iya",
  raw_stack!G$2:G$99411, "&gt;="&amp;DATE(2025,11,1),
  raw_stack!G$2:G$99411, "&lt;="&amp;EOMONTH(DATE(2025,11,1),0)
 ),
 IF(_xlpm.x=0, "-", _xlpm.x)
)</f>
        <v>-</v>
      </c>
      <c r="X11" s="56" t="str">
        <f>_xlfn.LET(
 _xlpm.x,
 _xlfn.MAXIFS(
  raw_stack!H$2:H$100000,
  raw_stack!D$2:D$100000, G11,
  raw_stack!F$2:F$100000, "Iya",
  raw_stack!G$2:G$100000, "&gt;="&amp;DATE(2025,11,1),
  raw_stack!G$2:G$100000, "&lt;="&amp;EOMONTH(DATE(2025,11,1),0)
 ),
 IF(OR(_xlpm.x=0, _xlpm.x=""), "-", _xlpm.x)
)</f>
        <v>-</v>
      </c>
      <c r="Y11" s="55" t="str">
        <f>_xlfn.LET(
 _xlpm.x,
 _xlfn.MAXIFS(
  raw_stack!G$2:G$99411,
  raw_stack!D$2:D$99411, G11,
  raw_stack!F$2:F$99411, "Iya",
  raw_stack!G$2:G$99411, "&gt;="&amp;DATE(2025,12,1),
  raw_stack!G$2:G$99411, "&lt;="&amp;EOMONTH(DATE(2025,12,1),0)
 ),
 IF(_xlpm.x=0, "-", _xlpm.x)
)</f>
        <v>-</v>
      </c>
      <c r="Z11" s="56" t="str">
        <f>_xlfn.LET(
 _xlpm.x,
 _xlfn.MAXIFS(
  raw_stack!H$2:H$100000,
  raw_stack!D$2:D$100000, G11,
  raw_stack!F$2:F$100000, "Iya",
  raw_stack!G$2:G$100000, "&gt;="&amp;DATE(2025,12,1),
  raw_stack!G$2:G$100000, "&lt;="&amp;EOMONTH(DATE(2025,12,1),0)
 ),
 IF(OR(_xlpm.x=0, _xlpm.x=""), "-", _xlpm.x)
)</f>
        <v>-</v>
      </c>
      <c r="AA11" s="55" t="str">
        <f>_xlfn.LET(
 _xlpm.x,
 _xlfn.MAXIFS(
  raw_stack!G$2:G$99411,
  raw_stack!D$2:D$99411, G11,
  raw_stack!F$2:F$99411, "Iya",
  raw_stack!G$2:G$99411, "&gt;="&amp;DATE(2026,1,1),
  raw_stack!G$2:G$99411, "&lt;="&amp;EOMONTH(DATE(2026,1,1),0)
 ),
 IF(_xlpm.x=0, "-", _xlpm.x)
)</f>
        <v>-</v>
      </c>
      <c r="AB11" s="56" t="str">
        <f>_xlfn.LET(
 _xlpm.x,
 _xlfn.MAXIFS(
  raw_stack!H$2:H$100000,
  raw_stack!D$2:D$100000, G11,
  raw_stack!F$2:F$100000, "Iya",
  raw_stack!G$2:G$100000, "&gt;="&amp;DATE(2026,1,1),
  raw_stack!G$2:G$100000, "&lt;="&amp;EOMONTH(DATE(2026,1,1),0)
 ),
 IF(OR(_xlpm.x=0, _xlpm.x=""), "-", _xlpm.x)
)</f>
        <v>-</v>
      </c>
      <c r="AC11" s="55" t="str">
        <f>_xlfn.LET(
 _xlpm.x,
 _xlfn.MAXIFS(
  raw_stack!G$2:G$99411,
  raw_stack!D$2:D$99411, G11,
  raw_stack!F$2:F$99411, "Iya",
  raw_stack!G$2:G$99411, "&gt;="&amp;DATE(2026,2,1),
  raw_stack!G$2:G$99411, "&lt;="&amp;EOMONTH(DATE(2026,2,1),0)
 ),
 IF(_xlpm.x=0, "-", _xlpm.x)
)</f>
        <v>-</v>
      </c>
      <c r="AD11" s="56" t="str">
        <f>_xlfn.LET(
 _xlpm.x,
 _xlfn.MAXIFS(
  raw_stack!H$2:H$100000,
  raw_stack!D$2:D$100000, G11,
  raw_stack!F$2:F$100000, "Iya",
  raw_stack!G$2:G$100000, "&gt;="&amp;DATE(2026,2,1),
  raw_stack!G$2:G$100000, "&lt;="&amp;EOMONTH(DATE(2026,2,1),0)
 ),
 IF(OR(_xlpm.x=0, _xlpm.x=""), "-", _xlpm.x)
)</f>
        <v>-</v>
      </c>
      <c r="AE11" s="55" t="str">
        <f>_xlfn.LET(
 _xlpm.x,
 _xlfn.MAXIFS(
  raw_stack!G$2:G$100000,
  raw_stack!D$2:D$100000, G11,
  raw_stack!F$2:F$100000, "Iya",
  raw_stack!G$2:G$100000, "&gt;="&amp;DATE(2026,3,1),
  raw_stack!G$2:G$100000, "&lt;="&amp;EOMONTH(DATE(2026,3,1),0)
 ),
 IF(_xlpm.x=0, "-", _xlpm.x)
)</f>
        <v>-</v>
      </c>
      <c r="AF11" s="56" t="str">
        <f>_xlfn.LET(
 _xlpm.x,
 _xlfn.MAXIFS(
  raw_stack!H$2:H$100000,
  raw_stack!D$2:D$100000, G11,
  raw_stack!F$2:F$100000, "Iya",
  raw_stack!G$2:G$100000, "&gt;="&amp;DATE(2026,3,1),
  raw_stack!G$2:G$100000, "&lt;="&amp;EOMONTH(DATE(2026,3,1),0)
 ),
 IF(OR(_xlpm.x=0, _xlpm.x=""), "-", _xlpm.x)
)</f>
        <v>-</v>
      </c>
      <c r="AG11" s="55" t="str">
        <f>_xlfn.LET(
 _xlpm.x,
 _xlfn.MAXIFS(
  raw_stack!G$2:G$100000,
  raw_stack!D$2:D$100000, G11,
  raw_stack!F$2:F$100000, "Iya",
  raw_stack!G$2:G$100000, "&gt;="&amp;DATE(2026,4,1),
  raw_stack!G$2:G$100000, "&lt;="&amp;EOMONTH(DATE(2026,4,1),0)
 ),
 IF(_xlpm.x=0, "-", _xlpm.x)
)</f>
        <v>-</v>
      </c>
      <c r="AH11" s="56" t="str">
        <f>_xlfn.LET(
 _xlpm.x,
 _xlfn.MAXIFS(
  raw_stack!H$2:H$100000,
  raw_stack!D$2:D$100000, G11,
  raw_stack!F$2:F$100000, "Iya",
  raw_stack!G$2:G$100000, "&gt;="&amp;DATE(2026,4,1),
  raw_stack!G$2:G$100000, "&lt;="&amp;EOMONTH(DATE(2026,4,1),0)
 ),
 IF(OR(_xlpm.x=0, _xlpm.x=""), "-", _xlpm.x)
)</f>
        <v>-</v>
      </c>
    </row>
    <row r="12" spans="1:34">
      <c r="A12" s="48">
        <v>11</v>
      </c>
      <c r="B12" s="49" t="str">
        <f t="shared" si="0"/>
        <v>17645</v>
      </c>
      <c r="C12" s="50" t="s">
        <v>46</v>
      </c>
      <c r="D12" s="51" t="s">
        <v>463</v>
      </c>
      <c r="E12" s="51" t="s">
        <v>51</v>
      </c>
      <c r="F12" s="49" t="s">
        <v>117</v>
      </c>
      <c r="G12" s="49" t="s">
        <v>128</v>
      </c>
      <c r="H12" s="49" t="s">
        <v>48</v>
      </c>
      <c r="I12" s="49" t="s">
        <v>52</v>
      </c>
      <c r="J12" s="52">
        <v>4105000</v>
      </c>
      <c r="K12" s="53">
        <v>45005</v>
      </c>
      <c r="L12" s="53">
        <v>46100</v>
      </c>
      <c r="M12" s="53">
        <v>46100</v>
      </c>
      <c r="N12" s="49" t="s">
        <v>50</v>
      </c>
      <c r="O12" s="54" t="str">
        <f>_xlfn.LET(
 _xlpm.x,
 _xlfn.MAXIFS(
  raw_stack!G$2:G$100000,
  raw_stack!D$2:D$100000, G12,
  raw_stack!F$2:F$100000, "Iya",
  raw_stack!G$2:G$100000, "&gt;="&amp;DATE(2025,7,1),
  raw_stack!G$2:G$100000, "&lt;="&amp;EOMONTH(DATE(2025,7,1),0)
 ),
 IF(_xlpm.x=0, "-", _xlpm.x)
)</f>
        <v>-</v>
      </c>
      <c r="P12" s="65" t="str">
        <f>_xlfn.LET(
 _xlpm.x,
 _xlfn.MAXIFS(
  raw_stack!H$2:H$100000,
  raw_stack!D$2:D$100000, G12,
  raw_stack!F$2:F$100000, "Iya",
  raw_stack!G$2:G$100000, "&gt;="&amp;DATE(2025,7,1),
  raw_stack!G$2:G$100000, "&lt;="&amp;EOMONTH(DATE(2025,7,1),0)
 ),
 IF(OR(_xlpm.x=0, _xlpm.x=""), "-", _xlpm.x)
)</f>
        <v>-</v>
      </c>
      <c r="Q12" s="54" t="str">
        <f>_xlfn.LET(
 _xlpm.x,
 _xlfn.MAXIFS(
  raw_stack!G$2:G$99411,
  raw_stack!D$2:D$99411, G12,
  raw_stack!F$2:F$99411, "Iya",
  raw_stack!G$2:G$99411, "&gt;="&amp;DATE(2025,8,1),
  raw_stack!G$2:G$99411, "&lt;="&amp;EOMONTH(DATE(2025,8,1),0)
 ),
 IF(_xlpm.x=0, "-", _xlpm.x)
)</f>
        <v>-</v>
      </c>
      <c r="R12" s="65" t="str">
        <f>_xlfn.LET(
 _xlpm.x,
 _xlfn.MAXIFS(
  raw_stack!H$2:H$100000,
  raw_stack!D$2:D$100000, G12,
  raw_stack!F$2:F$100000, "Iya",
  raw_stack!G$2:G$100000, "&gt;="&amp;DATE(2025,8,1),
  raw_stack!G$2:G$100000, "&lt;="&amp;EOMONTH(DATE(2025,8,1),0)
 ),
 IF(OR(_xlpm.x=0, _xlpm.x=""), "-", _xlpm.x)
)</f>
        <v>-</v>
      </c>
      <c r="S12" s="54" t="str">
        <f>_xlfn.LET(
 _xlpm.x,
 _xlfn.MAXIFS(
  raw_stack!G$2:G$99411,
  raw_stack!D$2:D$99411, G12,
  raw_stack!F$2:F$99411, "Iya",
  raw_stack!G$2:G$99411, "&gt;="&amp;DATE(2025,9,1),
  raw_stack!G$2:G$99411, "&lt;="&amp;EOMONTH(DATE(2025,9,1),0)
 ),
 IF(_xlpm.x=0, "-", _xlpm.x)
)</f>
        <v>-</v>
      </c>
      <c r="T12" s="65" t="str">
        <f>_xlfn.LET(
 _xlpm.x,
 _xlfn.MAXIFS(
  raw_stack!H$2:H$100000,
  raw_stack!D$2:D$100000, G12,
  raw_stack!F$2:F$100000, "Iya",
  raw_stack!G$2:G$100000, "&gt;="&amp;DATE(2025,9,1),
  raw_stack!G$2:G$100000, "&lt;="&amp;EOMONTH(DATE(2025,9,1),0)
 ),
 IF(OR(_xlpm.x=0, _xlpm.x=""), "-", _xlpm.x)
)</f>
        <v>-</v>
      </c>
      <c r="U12" s="54" t="str">
        <f>_xlfn.LET(
 _xlpm.x,
 _xlfn.MAXIFS(
  raw_stack!G$2:G$99411,
  raw_stack!D$2:D$99411, G12,
  raw_stack!F$2:F$99411, "Iya",
  raw_stack!G$2:G$99411, "&gt;="&amp;DATE(2025,10,1),
  raw_stack!G$2:G$99411, "&lt;="&amp;EOMONTH(DATE(2025,10,1),0)
 ),
 IF(_xlpm.x=0, "-", _xlpm.x)
)</f>
        <v>-</v>
      </c>
      <c r="V12" s="65" t="str">
        <f>_xlfn.LET(
 _xlpm.x,
 _xlfn.MAXIFS(
  raw_stack!H$2:H$100000,
  raw_stack!D$2:D$100000, G12,
  raw_stack!F$2:F$100000, "Iya",
  raw_stack!G$2:G$100000, "&gt;="&amp;DATE(2025,10,1),
  raw_stack!G$2:G$100000, "&lt;="&amp;EOMONTH(DATE(2025,10,1),0)
 ),
 IF(OR(_xlpm.x=0, _xlpm.x=""), "-", _xlpm.x)
)</f>
        <v>-</v>
      </c>
      <c r="W12" s="55">
        <f>_xlfn.LET(
 _xlpm.x,
 _xlfn.MAXIFS(
  raw_stack!G$2:G$99411,
  raw_stack!D$2:D$99411, G12,
  raw_stack!F$2:F$99411, "Iya",
  raw_stack!G$2:G$99411, "&gt;="&amp;DATE(2025,11,1),
  raw_stack!G$2:G$99411, "&lt;="&amp;EOMONTH(DATE(2025,11,1),0)
 ),
 IF(_xlpm.x=0, "-", _xlpm.x)
)</f>
        <v>45985</v>
      </c>
      <c r="X12" s="56">
        <f>_xlfn.LET(
 _xlpm.x,
 _xlfn.MAXIFS(
  raw_stack!H$2:H$100000,
  raw_stack!D$2:D$100000, G12,
  raw_stack!F$2:F$100000, "Iya",
  raw_stack!G$2:G$100000, "&gt;="&amp;DATE(2025,11,1),
  raw_stack!G$2:G$100000, "&lt;="&amp;EOMONTH(DATE(2025,11,1),0)
 ),
 IF(OR(_xlpm.x=0, _xlpm.x=""), "-", _xlpm.x)
)</f>
        <v>24689</v>
      </c>
      <c r="Y12" s="55" t="str">
        <f>_xlfn.LET(
 _xlpm.x,
 _xlfn.MAXIFS(
  raw_stack!G$2:G$99411,
  raw_stack!D$2:D$99411, G12,
  raw_stack!F$2:F$99411, "Iya",
  raw_stack!G$2:G$99411, "&gt;="&amp;DATE(2025,12,1),
  raw_stack!G$2:G$99411, "&lt;="&amp;EOMONTH(DATE(2025,12,1),0)
 ),
 IF(_xlpm.x=0, "-", _xlpm.x)
)</f>
        <v>-</v>
      </c>
      <c r="Z12" s="56" t="str">
        <f>_xlfn.LET(
 _xlpm.x,
 _xlfn.MAXIFS(
  raw_stack!H$2:H$100000,
  raw_stack!D$2:D$100000, G12,
  raw_stack!F$2:F$100000, "Iya",
  raw_stack!G$2:G$100000, "&gt;="&amp;DATE(2025,12,1),
  raw_stack!G$2:G$100000, "&lt;="&amp;EOMONTH(DATE(2025,12,1),0)
 ),
 IF(OR(_xlpm.x=0, _xlpm.x=""), "-", _xlpm.x)
)</f>
        <v>-</v>
      </c>
      <c r="AA12" s="55" t="str">
        <f>_xlfn.LET(
 _xlpm.x,
 _xlfn.MAXIFS(
  raw_stack!G$2:G$99411,
  raw_stack!D$2:D$99411, G12,
  raw_stack!F$2:F$99411, "Iya",
  raw_stack!G$2:G$99411, "&gt;="&amp;DATE(2026,1,1),
  raw_stack!G$2:G$99411, "&lt;="&amp;EOMONTH(DATE(2026,1,1),0)
 ),
 IF(_xlpm.x=0, "-", _xlpm.x)
)</f>
        <v>-</v>
      </c>
      <c r="AB12" s="56" t="str">
        <f>_xlfn.LET(
 _xlpm.x,
 _xlfn.MAXIFS(
  raw_stack!H$2:H$100000,
  raw_stack!D$2:D$100000, G12,
  raw_stack!F$2:F$100000, "Iya",
  raw_stack!G$2:G$100000, "&gt;="&amp;DATE(2026,1,1),
  raw_stack!G$2:G$100000, "&lt;="&amp;EOMONTH(DATE(2026,1,1),0)
 ),
 IF(OR(_xlpm.x=0, _xlpm.x=""), "-", _xlpm.x)
)</f>
        <v>-</v>
      </c>
      <c r="AC12" s="55" t="str">
        <f>_xlfn.LET(
 _xlpm.x,
 _xlfn.MAXIFS(
  raw_stack!G$2:G$99411,
  raw_stack!D$2:D$99411, G12,
  raw_stack!F$2:F$99411, "Iya",
  raw_stack!G$2:G$99411, "&gt;="&amp;DATE(2026,2,1),
  raw_stack!G$2:G$99411, "&lt;="&amp;EOMONTH(DATE(2026,2,1),0)
 ),
 IF(_xlpm.x=0, "-", _xlpm.x)
)</f>
        <v>-</v>
      </c>
      <c r="AD12" s="56" t="str">
        <f>_xlfn.LET(
 _xlpm.x,
 _xlfn.MAXIFS(
  raw_stack!H$2:H$100000,
  raw_stack!D$2:D$100000, G12,
  raw_stack!F$2:F$100000, "Iya",
  raw_stack!G$2:G$100000, "&gt;="&amp;DATE(2026,2,1),
  raw_stack!G$2:G$100000, "&lt;="&amp;EOMONTH(DATE(2026,2,1),0)
 ),
 IF(OR(_xlpm.x=0, _xlpm.x=""), "-", _xlpm.x)
)</f>
        <v>-</v>
      </c>
      <c r="AE12" s="55" t="str">
        <f>_xlfn.LET(
 _xlpm.x,
 _xlfn.MAXIFS(
  raw_stack!G$2:G$100000,
  raw_stack!D$2:D$100000, G12,
  raw_stack!F$2:F$100000, "Iya",
  raw_stack!G$2:G$100000, "&gt;="&amp;DATE(2026,3,1),
  raw_stack!G$2:G$100000, "&lt;="&amp;EOMONTH(DATE(2026,3,1),0)
 ),
 IF(_xlpm.x=0, "-", _xlpm.x)
)</f>
        <v>-</v>
      </c>
      <c r="AF12" s="56" t="str">
        <f>_xlfn.LET(
 _xlpm.x,
 _xlfn.MAXIFS(
  raw_stack!H$2:H$100000,
  raw_stack!D$2:D$100000, G12,
  raw_stack!F$2:F$100000, "Iya",
  raw_stack!G$2:G$100000, "&gt;="&amp;DATE(2026,3,1),
  raw_stack!G$2:G$100000, "&lt;="&amp;EOMONTH(DATE(2026,3,1),0)
 ),
 IF(OR(_xlpm.x=0, _xlpm.x=""), "-", _xlpm.x)
)</f>
        <v>-</v>
      </c>
      <c r="AG12" s="55" t="str">
        <f>_xlfn.LET(
 _xlpm.x,
 _xlfn.MAXIFS(
  raw_stack!G$2:G$100000,
  raw_stack!D$2:D$100000, G12,
  raw_stack!F$2:F$100000, "Iya",
  raw_stack!G$2:G$100000, "&gt;="&amp;DATE(2026,4,1),
  raw_stack!G$2:G$100000, "&lt;="&amp;EOMONTH(DATE(2026,4,1),0)
 ),
 IF(_xlpm.x=0, "-", _xlpm.x)
)</f>
        <v>-</v>
      </c>
      <c r="AH12" s="56" t="str">
        <f>_xlfn.LET(
 _xlpm.x,
 _xlfn.MAXIFS(
  raw_stack!H$2:H$100000,
  raw_stack!D$2:D$100000, G12,
  raw_stack!F$2:F$100000, "Iya",
  raw_stack!G$2:G$100000, "&gt;="&amp;DATE(2026,4,1),
  raw_stack!G$2:G$100000, "&lt;="&amp;EOMONTH(DATE(2026,4,1),0)
 ),
 IF(OR(_xlpm.x=0, _xlpm.x=""), "-", _xlpm.x)
)</f>
        <v>-</v>
      </c>
    </row>
    <row r="13" spans="1:34">
      <c r="A13" s="48">
        <v>12</v>
      </c>
      <c r="B13" s="49" t="str">
        <f t="shared" si="0"/>
        <v>11037</v>
      </c>
      <c r="C13" s="50" t="s">
        <v>46</v>
      </c>
      <c r="D13" s="51" t="s">
        <v>464</v>
      </c>
      <c r="E13" s="51" t="s">
        <v>47</v>
      </c>
      <c r="F13" s="49" t="s">
        <v>117</v>
      </c>
      <c r="G13" s="49" t="s">
        <v>129</v>
      </c>
      <c r="H13" s="49" t="s">
        <v>48</v>
      </c>
      <c r="I13" s="49" t="s">
        <v>49</v>
      </c>
      <c r="J13" s="52">
        <v>3925000</v>
      </c>
      <c r="K13" s="53">
        <v>46012</v>
      </c>
      <c r="L13" s="53">
        <v>46101</v>
      </c>
      <c r="M13" s="53">
        <v>46073</v>
      </c>
      <c r="N13" s="49" t="s">
        <v>50</v>
      </c>
      <c r="O13" s="54">
        <f>_xlfn.LET(
 _xlpm.x,
 _xlfn.MAXIFS(
  raw_stack!G$2:G$100000,
  raw_stack!D$2:D$100000, G13,
  raw_stack!F$2:F$100000, "Iya",
  raw_stack!G$2:G$100000, "&gt;="&amp;DATE(2025,7,1),
  raw_stack!G$2:G$100000, "&lt;="&amp;EOMONTH(DATE(2025,7,1),0)
 ),
 IF(_xlpm.x=0, "-", _xlpm.x)
)</f>
        <v>45849</v>
      </c>
      <c r="P13" s="65">
        <f>_xlfn.LET(
 _xlpm.x,
 _xlfn.MAXIFS(
  raw_stack!H$2:H$100000,
  raw_stack!D$2:D$100000, G13,
  raw_stack!F$2:F$100000, "Iya",
  raw_stack!G$2:G$100000, "&gt;="&amp;DATE(2025,7,1),
  raw_stack!G$2:G$100000, "&lt;="&amp;EOMONTH(DATE(2025,7,1),0)
 ),
 IF(OR(_xlpm.x=0, _xlpm.x=""), "-", _xlpm.x)
)</f>
        <v>86594</v>
      </c>
      <c r="Q13" s="54" t="str">
        <f>_xlfn.LET(
 _xlpm.x,
 _xlfn.MAXIFS(
  raw_stack!G$2:G$99411,
  raw_stack!D$2:D$99411, G13,
  raw_stack!F$2:F$99411, "Iya",
  raw_stack!G$2:G$99411, "&gt;="&amp;DATE(2025,8,1),
  raw_stack!G$2:G$99411, "&lt;="&amp;EOMONTH(DATE(2025,8,1),0)
 ),
 IF(_xlpm.x=0, "-", _xlpm.x)
)</f>
        <v>-</v>
      </c>
      <c r="R13" s="65" t="str">
        <f>_xlfn.LET(
 _xlpm.x,
 _xlfn.MAXIFS(
  raw_stack!H$2:H$100000,
  raw_stack!D$2:D$100000, G13,
  raw_stack!F$2:F$100000, "Iya",
  raw_stack!G$2:G$100000, "&gt;="&amp;DATE(2025,8,1),
  raw_stack!G$2:G$100000, "&lt;="&amp;EOMONTH(DATE(2025,8,1),0)
 ),
 IF(OR(_xlpm.x=0, _xlpm.x=""), "-", _xlpm.x)
)</f>
        <v>-</v>
      </c>
      <c r="S13" s="54" t="str">
        <f>_xlfn.LET(
 _xlpm.x,
 _xlfn.MAXIFS(
  raw_stack!G$2:G$99411,
  raw_stack!D$2:D$99411, G13,
  raw_stack!F$2:F$99411, "Iya",
  raw_stack!G$2:G$99411, "&gt;="&amp;DATE(2025,9,1),
  raw_stack!G$2:G$99411, "&lt;="&amp;EOMONTH(DATE(2025,9,1),0)
 ),
 IF(_xlpm.x=0, "-", _xlpm.x)
)</f>
        <v>-</v>
      </c>
      <c r="T13" s="65" t="str">
        <f>_xlfn.LET(
 _xlpm.x,
 _xlfn.MAXIFS(
  raw_stack!H$2:H$100000,
  raw_stack!D$2:D$100000, G13,
  raw_stack!F$2:F$100000, "Iya",
  raw_stack!G$2:G$100000, "&gt;="&amp;DATE(2025,9,1),
  raw_stack!G$2:G$100000, "&lt;="&amp;EOMONTH(DATE(2025,9,1),0)
 ),
 IF(OR(_xlpm.x=0, _xlpm.x=""), "-", _xlpm.x)
)</f>
        <v>-</v>
      </c>
      <c r="U13" s="54">
        <f>_xlfn.LET(
 _xlpm.x,
 _xlfn.MAXIFS(
  raw_stack!G$2:G$99411,
  raw_stack!D$2:D$99411, G13,
  raw_stack!F$2:F$99411, "Iya",
  raw_stack!G$2:G$99411, "&gt;="&amp;DATE(2025,10,1),
  raw_stack!G$2:G$99411, "&lt;="&amp;EOMONTH(DATE(2025,10,1),0)
 ),
 IF(_xlpm.x=0, "-", _xlpm.x)
)</f>
        <v>45950</v>
      </c>
      <c r="V13" s="65">
        <f>_xlfn.LET(
 _xlpm.x,
 _xlfn.MAXIFS(
  raw_stack!H$2:H$100000,
  raw_stack!D$2:D$100000, G13,
  raw_stack!F$2:F$100000, "Iya",
  raw_stack!G$2:G$100000, "&gt;="&amp;DATE(2025,10,1),
  raw_stack!G$2:G$100000, "&lt;="&amp;EOMONTH(DATE(2025,10,1),0)
 ),
 IF(OR(_xlpm.x=0, _xlpm.x=""), "-", _xlpm.x)
)</f>
        <v>86315</v>
      </c>
      <c r="W13" s="55" t="str">
        <f>_xlfn.LET(
 _xlpm.x,
 _xlfn.MAXIFS(
  raw_stack!G$2:G$99411,
  raw_stack!D$2:D$99411, G13,
  raw_stack!F$2:F$99411, "Iya",
  raw_stack!G$2:G$99411, "&gt;="&amp;DATE(2025,11,1),
  raw_stack!G$2:G$99411, "&lt;="&amp;EOMONTH(DATE(2025,11,1),0)
 ),
 IF(_xlpm.x=0, "-", _xlpm.x)
)</f>
        <v>-</v>
      </c>
      <c r="X13" s="56" t="str">
        <f>_xlfn.LET(
 _xlpm.x,
 _xlfn.MAXIFS(
  raw_stack!H$2:H$100000,
  raw_stack!D$2:D$100000, G13,
  raw_stack!F$2:F$100000, "Iya",
  raw_stack!G$2:G$100000, "&gt;="&amp;DATE(2025,11,1),
  raw_stack!G$2:G$100000, "&lt;="&amp;EOMONTH(DATE(2025,11,1),0)
 ),
 IF(OR(_xlpm.x=0, _xlpm.x=""), "-", _xlpm.x)
)</f>
        <v>-</v>
      </c>
      <c r="Y13" s="55" t="str">
        <f>_xlfn.LET(
 _xlpm.x,
 _xlfn.MAXIFS(
  raw_stack!G$2:G$99411,
  raw_stack!D$2:D$99411, G13,
  raw_stack!F$2:F$99411, "Iya",
  raw_stack!G$2:G$99411, "&gt;="&amp;DATE(2025,12,1),
  raw_stack!G$2:G$99411, "&lt;="&amp;EOMONTH(DATE(2025,12,1),0)
 ),
 IF(_xlpm.x=0, "-", _xlpm.x)
)</f>
        <v>-</v>
      </c>
      <c r="Z13" s="56" t="str">
        <f>_xlfn.LET(
 _xlpm.x,
 _xlfn.MAXIFS(
  raw_stack!H$2:H$100000,
  raw_stack!D$2:D$100000, G13,
  raw_stack!F$2:F$100000, "Iya",
  raw_stack!G$2:G$100000, "&gt;="&amp;DATE(2025,12,1),
  raw_stack!G$2:G$100000, "&lt;="&amp;EOMONTH(DATE(2025,12,1),0)
 ),
 IF(OR(_xlpm.x=0, _xlpm.x=""), "-", _xlpm.x)
)</f>
        <v>-</v>
      </c>
      <c r="AA13" s="55" t="str">
        <f>_xlfn.LET(
 _xlpm.x,
 _xlfn.MAXIFS(
  raw_stack!G$2:G$99411,
  raw_stack!D$2:D$99411, G13,
  raw_stack!F$2:F$99411, "Iya",
  raw_stack!G$2:G$99411, "&gt;="&amp;DATE(2026,1,1),
  raw_stack!G$2:G$99411, "&lt;="&amp;EOMONTH(DATE(2026,1,1),0)
 ),
 IF(_xlpm.x=0, "-", _xlpm.x)
)</f>
        <v>-</v>
      </c>
      <c r="AB13" s="56" t="str">
        <f>_xlfn.LET(
 _xlpm.x,
 _xlfn.MAXIFS(
  raw_stack!H$2:H$100000,
  raw_stack!D$2:D$100000, G13,
  raw_stack!F$2:F$100000, "Iya",
  raw_stack!G$2:G$100000, "&gt;="&amp;DATE(2026,1,1),
  raw_stack!G$2:G$100000, "&lt;="&amp;EOMONTH(DATE(2026,1,1),0)
 ),
 IF(OR(_xlpm.x=0, _xlpm.x=""), "-", _xlpm.x)
)</f>
        <v>-</v>
      </c>
      <c r="AC13" s="55" t="str">
        <f>_xlfn.LET(
 _xlpm.x,
 _xlfn.MAXIFS(
  raw_stack!G$2:G$99411,
  raw_stack!D$2:D$99411, G13,
  raw_stack!F$2:F$99411, "Iya",
  raw_stack!G$2:G$99411, "&gt;="&amp;DATE(2026,2,1),
  raw_stack!G$2:G$99411, "&lt;="&amp;EOMONTH(DATE(2026,2,1),0)
 ),
 IF(_xlpm.x=0, "-", _xlpm.x)
)</f>
        <v>-</v>
      </c>
      <c r="AD13" s="56" t="str">
        <f>_xlfn.LET(
 _xlpm.x,
 _xlfn.MAXIFS(
  raw_stack!H$2:H$100000,
  raw_stack!D$2:D$100000, G13,
  raw_stack!F$2:F$100000, "Iya",
  raw_stack!G$2:G$100000, "&gt;="&amp;DATE(2026,2,1),
  raw_stack!G$2:G$100000, "&lt;="&amp;EOMONTH(DATE(2026,2,1),0)
 ),
 IF(OR(_xlpm.x=0, _xlpm.x=""), "-", _xlpm.x)
)</f>
        <v>-</v>
      </c>
      <c r="AE13" s="55" t="str">
        <f>_xlfn.LET(
 _xlpm.x,
 _xlfn.MAXIFS(
  raw_stack!G$2:G$100000,
  raw_stack!D$2:D$100000, G13,
  raw_stack!F$2:F$100000, "Iya",
  raw_stack!G$2:G$100000, "&gt;="&amp;DATE(2026,3,1),
  raw_stack!G$2:G$100000, "&lt;="&amp;EOMONTH(DATE(2026,3,1),0)
 ),
 IF(_xlpm.x=0, "-", _xlpm.x)
)</f>
        <v>-</v>
      </c>
      <c r="AF13" s="56" t="str">
        <f>_xlfn.LET(
 _xlpm.x,
 _xlfn.MAXIFS(
  raw_stack!H$2:H$100000,
  raw_stack!D$2:D$100000, G13,
  raw_stack!F$2:F$100000, "Iya",
  raw_stack!G$2:G$100000, "&gt;="&amp;DATE(2026,3,1),
  raw_stack!G$2:G$100000, "&lt;="&amp;EOMONTH(DATE(2026,3,1),0)
 ),
 IF(OR(_xlpm.x=0, _xlpm.x=""), "-", _xlpm.x)
)</f>
        <v>-</v>
      </c>
      <c r="AG13" s="55" t="str">
        <f>_xlfn.LET(
 _xlpm.x,
 _xlfn.MAXIFS(
  raw_stack!G$2:G$100000,
  raw_stack!D$2:D$100000, G13,
  raw_stack!F$2:F$100000, "Iya",
  raw_stack!G$2:G$100000, "&gt;="&amp;DATE(2026,4,1),
  raw_stack!G$2:G$100000, "&lt;="&amp;EOMONTH(DATE(2026,4,1),0)
 ),
 IF(_xlpm.x=0, "-", _xlpm.x)
)</f>
        <v>-</v>
      </c>
      <c r="AH13" s="56" t="str">
        <f>_xlfn.LET(
 _xlpm.x,
 _xlfn.MAXIFS(
  raw_stack!H$2:H$100000,
  raw_stack!D$2:D$100000, G13,
  raw_stack!F$2:F$100000, "Iya",
  raw_stack!G$2:G$100000, "&gt;="&amp;DATE(2026,4,1),
  raw_stack!G$2:G$100000, "&lt;="&amp;EOMONTH(DATE(2026,4,1),0)
 ),
 IF(OR(_xlpm.x=0, _xlpm.x=""), "-", _xlpm.x)
)</f>
        <v>-</v>
      </c>
    </row>
    <row r="14" spans="1:34">
      <c r="A14" s="48">
        <v>13</v>
      </c>
      <c r="B14" s="49" t="str">
        <f t="shared" si="0"/>
        <v>52285</v>
      </c>
      <c r="C14" s="50" t="s">
        <v>46</v>
      </c>
      <c r="D14" s="51" t="s">
        <v>465</v>
      </c>
      <c r="E14" s="51" t="s">
        <v>54</v>
      </c>
      <c r="F14" s="49" t="s">
        <v>117</v>
      </c>
      <c r="G14" s="49" t="s">
        <v>130</v>
      </c>
      <c r="H14" s="49" t="s">
        <v>48</v>
      </c>
      <c r="I14" s="49" t="s">
        <v>52</v>
      </c>
      <c r="J14" s="52">
        <v>6450000</v>
      </c>
      <c r="K14" s="53">
        <v>45007</v>
      </c>
      <c r="L14" s="53">
        <v>46102</v>
      </c>
      <c r="M14" s="53">
        <v>46074</v>
      </c>
      <c r="N14" s="49" t="s">
        <v>50</v>
      </c>
      <c r="O14" s="54" t="str">
        <f>_xlfn.LET(
 _xlpm.x,
 _xlfn.MAXIFS(
  raw_stack!G$2:G$100000,
  raw_stack!D$2:D$100000, G14,
  raw_stack!F$2:F$100000, "Iya",
  raw_stack!G$2:G$100000, "&gt;="&amp;DATE(2025,7,1),
  raw_stack!G$2:G$100000, "&lt;="&amp;EOMONTH(DATE(2025,7,1),0)
 ),
 IF(_xlpm.x=0, "-", _xlpm.x)
)</f>
        <v>-</v>
      </c>
      <c r="P14" s="65" t="str">
        <f>_xlfn.LET(
 _xlpm.x,
 _xlfn.MAXIFS(
  raw_stack!H$2:H$100000,
  raw_stack!D$2:D$100000, G14,
  raw_stack!F$2:F$100000, "Iya",
  raw_stack!G$2:G$100000, "&gt;="&amp;DATE(2025,7,1),
  raw_stack!G$2:G$100000, "&lt;="&amp;EOMONTH(DATE(2025,7,1),0)
 ),
 IF(OR(_xlpm.x=0, _xlpm.x=""), "-", _xlpm.x)
)</f>
        <v>-</v>
      </c>
      <c r="Q14" s="54" t="str">
        <f>_xlfn.LET(
 _xlpm.x,
 _xlfn.MAXIFS(
  raw_stack!G$2:G$99411,
  raw_stack!D$2:D$99411, G14,
  raw_stack!F$2:F$99411, "Iya",
  raw_stack!G$2:G$99411, "&gt;="&amp;DATE(2025,8,1),
  raw_stack!G$2:G$99411, "&lt;="&amp;EOMONTH(DATE(2025,8,1),0)
 ),
 IF(_xlpm.x=0, "-", _xlpm.x)
)</f>
        <v>-</v>
      </c>
      <c r="R14" s="65" t="str">
        <f>_xlfn.LET(
 _xlpm.x,
 _xlfn.MAXIFS(
  raw_stack!H$2:H$100000,
  raw_stack!D$2:D$100000, G14,
  raw_stack!F$2:F$100000, "Iya",
  raw_stack!G$2:G$100000, "&gt;="&amp;DATE(2025,8,1),
  raw_stack!G$2:G$100000, "&lt;="&amp;EOMONTH(DATE(2025,8,1),0)
 ),
 IF(OR(_xlpm.x=0, _xlpm.x=""), "-", _xlpm.x)
)</f>
        <v>-</v>
      </c>
      <c r="S14" s="54" t="str">
        <f>_xlfn.LET(
 _xlpm.x,
 _xlfn.MAXIFS(
  raw_stack!G$2:G$99411,
  raw_stack!D$2:D$99411, G14,
  raw_stack!F$2:F$99411, "Iya",
  raw_stack!G$2:G$99411, "&gt;="&amp;DATE(2025,9,1),
  raw_stack!G$2:G$99411, "&lt;="&amp;EOMONTH(DATE(2025,9,1),0)
 ),
 IF(_xlpm.x=0, "-", _xlpm.x)
)</f>
        <v>-</v>
      </c>
      <c r="T14" s="65" t="str">
        <f>_xlfn.LET(
 _xlpm.x,
 _xlfn.MAXIFS(
  raw_stack!H$2:H$100000,
  raw_stack!D$2:D$100000, G14,
  raw_stack!F$2:F$100000, "Iya",
  raw_stack!G$2:G$100000, "&gt;="&amp;DATE(2025,9,1),
  raw_stack!G$2:G$100000, "&lt;="&amp;EOMONTH(DATE(2025,9,1),0)
 ),
 IF(OR(_xlpm.x=0, _xlpm.x=""), "-", _xlpm.x)
)</f>
        <v>-</v>
      </c>
      <c r="U14" s="54">
        <f>_xlfn.LET(
 _xlpm.x,
 _xlfn.MAXIFS(
  raw_stack!G$2:G$99411,
  raw_stack!D$2:D$99411, G14,
  raw_stack!F$2:F$99411, "Iya",
  raw_stack!G$2:G$99411, "&gt;="&amp;DATE(2025,10,1),
  raw_stack!G$2:G$99411, "&lt;="&amp;EOMONTH(DATE(2025,10,1),0)
 ),
 IF(_xlpm.x=0, "-", _xlpm.x)
)</f>
        <v>45933</v>
      </c>
      <c r="V14" s="65">
        <f>_xlfn.LET(
 _xlpm.x,
 _xlfn.MAXIFS(
  raw_stack!H$2:H$100000,
  raw_stack!D$2:D$100000, G14,
  raw_stack!F$2:F$100000, "Iya",
  raw_stack!G$2:G$100000, "&gt;="&amp;DATE(2025,10,1),
  raw_stack!G$2:G$100000, "&lt;="&amp;EOMONTH(DATE(2025,10,1),0)
 ),
 IF(OR(_xlpm.x=0, _xlpm.x=""), "-", _xlpm.x)
)</f>
        <v>85294</v>
      </c>
      <c r="W14" s="55" t="str">
        <f>_xlfn.LET(
 _xlpm.x,
 _xlfn.MAXIFS(
  raw_stack!G$2:G$99411,
  raw_stack!D$2:D$99411, G14,
  raw_stack!F$2:F$99411, "Iya",
  raw_stack!G$2:G$99411, "&gt;="&amp;DATE(2025,11,1),
  raw_stack!G$2:G$99411, "&lt;="&amp;EOMONTH(DATE(2025,11,1),0)
 ),
 IF(_xlpm.x=0, "-", _xlpm.x)
)</f>
        <v>-</v>
      </c>
      <c r="X14" s="56" t="str">
        <f>_xlfn.LET(
 _xlpm.x,
 _xlfn.MAXIFS(
  raw_stack!H$2:H$100000,
  raw_stack!D$2:D$100000, G14,
  raw_stack!F$2:F$100000, "Iya",
  raw_stack!G$2:G$100000, "&gt;="&amp;DATE(2025,11,1),
  raw_stack!G$2:G$100000, "&lt;="&amp;EOMONTH(DATE(2025,11,1),0)
 ),
 IF(OR(_xlpm.x=0, _xlpm.x=""), "-", _xlpm.x)
)</f>
        <v>-</v>
      </c>
      <c r="Y14" s="55" t="str">
        <f>_xlfn.LET(
 _xlpm.x,
 _xlfn.MAXIFS(
  raw_stack!G$2:G$99411,
  raw_stack!D$2:D$99411, G14,
  raw_stack!F$2:F$99411, "Iya",
  raw_stack!G$2:G$99411, "&gt;="&amp;DATE(2025,12,1),
  raw_stack!G$2:G$99411, "&lt;="&amp;EOMONTH(DATE(2025,12,1),0)
 ),
 IF(_xlpm.x=0, "-", _xlpm.x)
)</f>
        <v>-</v>
      </c>
      <c r="Z14" s="56" t="str">
        <f>_xlfn.LET(
 _xlpm.x,
 _xlfn.MAXIFS(
  raw_stack!H$2:H$100000,
  raw_stack!D$2:D$100000, G14,
  raw_stack!F$2:F$100000, "Iya",
  raw_stack!G$2:G$100000, "&gt;="&amp;DATE(2025,12,1),
  raw_stack!G$2:G$100000, "&lt;="&amp;EOMONTH(DATE(2025,12,1),0)
 ),
 IF(OR(_xlpm.x=0, _xlpm.x=""), "-", _xlpm.x)
)</f>
        <v>-</v>
      </c>
      <c r="AA14" s="55" t="str">
        <f>_xlfn.LET(
 _xlpm.x,
 _xlfn.MAXIFS(
  raw_stack!G$2:G$99411,
  raw_stack!D$2:D$99411, G14,
  raw_stack!F$2:F$99411, "Iya",
  raw_stack!G$2:G$99411, "&gt;="&amp;DATE(2026,1,1),
  raw_stack!G$2:G$99411, "&lt;="&amp;EOMONTH(DATE(2026,1,1),0)
 ),
 IF(_xlpm.x=0, "-", _xlpm.x)
)</f>
        <v>-</v>
      </c>
      <c r="AB14" s="56" t="str">
        <f>_xlfn.LET(
 _xlpm.x,
 _xlfn.MAXIFS(
  raw_stack!H$2:H$100000,
  raw_stack!D$2:D$100000, G14,
  raw_stack!F$2:F$100000, "Iya",
  raw_stack!G$2:G$100000, "&gt;="&amp;DATE(2026,1,1),
  raw_stack!G$2:G$100000, "&lt;="&amp;EOMONTH(DATE(2026,1,1),0)
 ),
 IF(OR(_xlpm.x=0, _xlpm.x=""), "-", _xlpm.x)
)</f>
        <v>-</v>
      </c>
      <c r="AC14" s="55">
        <f>_xlfn.LET(
 _xlpm.x,
 _xlfn.MAXIFS(
  raw_stack!G$2:G$99411,
  raw_stack!D$2:D$99411, G14,
  raw_stack!F$2:F$99411, "Iya",
  raw_stack!G$2:G$99411, "&gt;="&amp;DATE(2026,2,1),
  raw_stack!G$2:G$99411, "&lt;="&amp;EOMONTH(DATE(2026,2,1),0)
 ),
 IF(_xlpm.x=0, "-", _xlpm.x)
)</f>
        <v>46059</v>
      </c>
      <c r="AD14" s="56">
        <f>_xlfn.LET(
 _xlpm.x,
 _xlfn.MAXIFS(
  raw_stack!H$2:H$100000,
  raw_stack!D$2:D$100000, G14,
  raw_stack!F$2:F$100000, "Iya",
  raw_stack!G$2:G$100000, "&gt;="&amp;DATE(2026,2,1),
  raw_stack!G$2:G$100000, "&lt;="&amp;EOMONTH(DATE(2026,2,1),0)
 ),
 IF(OR(_xlpm.x=0, _xlpm.x=""), "-", _xlpm.x)
)</f>
        <v>92501</v>
      </c>
      <c r="AE14" s="55" t="str">
        <f>_xlfn.LET(
 _xlpm.x,
 _xlfn.MAXIFS(
  raw_stack!G$2:G$100000,
  raw_stack!D$2:D$100000, G14,
  raw_stack!F$2:F$100000, "Iya",
  raw_stack!G$2:G$100000, "&gt;="&amp;DATE(2026,3,1),
  raw_stack!G$2:G$100000, "&lt;="&amp;EOMONTH(DATE(2026,3,1),0)
 ),
 IF(_xlpm.x=0, "-", _xlpm.x)
)</f>
        <v>-</v>
      </c>
      <c r="AF14" s="56" t="str">
        <f>_xlfn.LET(
 _xlpm.x,
 _xlfn.MAXIFS(
  raw_stack!H$2:H$100000,
  raw_stack!D$2:D$100000, G14,
  raw_stack!F$2:F$100000, "Iya",
  raw_stack!G$2:G$100000, "&gt;="&amp;DATE(2026,3,1),
  raw_stack!G$2:G$100000, "&lt;="&amp;EOMONTH(DATE(2026,3,1),0)
 ),
 IF(OR(_xlpm.x=0, _xlpm.x=""), "-", _xlpm.x)
)</f>
        <v>-</v>
      </c>
      <c r="AG14" s="55" t="str">
        <f>_xlfn.LET(
 _xlpm.x,
 _xlfn.MAXIFS(
  raw_stack!G$2:G$100000,
  raw_stack!D$2:D$100000, G14,
  raw_stack!F$2:F$100000, "Iya",
  raw_stack!G$2:G$100000, "&gt;="&amp;DATE(2026,4,1),
  raw_stack!G$2:G$100000, "&lt;="&amp;EOMONTH(DATE(2026,4,1),0)
 ),
 IF(_xlpm.x=0, "-", _xlpm.x)
)</f>
        <v>-</v>
      </c>
      <c r="AH14" s="56" t="str">
        <f>_xlfn.LET(
 _xlpm.x,
 _xlfn.MAXIFS(
  raw_stack!H$2:H$100000,
  raw_stack!D$2:D$100000, G14,
  raw_stack!F$2:F$100000, "Iya",
  raw_stack!G$2:G$100000, "&gt;="&amp;DATE(2026,4,1),
  raw_stack!G$2:G$100000, "&lt;="&amp;EOMONTH(DATE(2026,4,1),0)
 ),
 IF(OR(_xlpm.x=0, _xlpm.x=""), "-", _xlpm.x)
)</f>
        <v>-</v>
      </c>
    </row>
    <row r="15" spans="1:34">
      <c r="A15" s="48">
        <v>14</v>
      </c>
      <c r="B15" s="49" t="str">
        <f t="shared" si="0"/>
        <v>72540</v>
      </c>
      <c r="C15" s="50" t="s">
        <v>46</v>
      </c>
      <c r="D15" s="51" t="s">
        <v>466</v>
      </c>
      <c r="E15" s="51" t="s">
        <v>56</v>
      </c>
      <c r="F15" s="49" t="s">
        <v>117</v>
      </c>
      <c r="G15" s="49" t="s">
        <v>131</v>
      </c>
      <c r="H15" s="49" t="s">
        <v>48</v>
      </c>
      <c r="I15" s="49" t="s">
        <v>52</v>
      </c>
      <c r="J15" s="52">
        <v>5950000</v>
      </c>
      <c r="K15" s="53">
        <v>45923</v>
      </c>
      <c r="L15" s="53">
        <v>46103</v>
      </c>
      <c r="M15" s="53">
        <v>46075</v>
      </c>
      <c r="N15" s="49" t="s">
        <v>50</v>
      </c>
      <c r="O15" s="54" t="str">
        <f>_xlfn.LET(
 _xlpm.x,
 _xlfn.MAXIFS(
  raw_stack!G$2:G$100000,
  raw_stack!D$2:D$100000, G15,
  raw_stack!F$2:F$100000, "Iya",
  raw_stack!G$2:G$100000, "&gt;="&amp;DATE(2025,7,1),
  raw_stack!G$2:G$100000, "&lt;="&amp;EOMONTH(DATE(2025,7,1),0)
 ),
 IF(_xlpm.x=0, "-", _xlpm.x)
)</f>
        <v>-</v>
      </c>
      <c r="P15" s="65" t="str">
        <f>_xlfn.LET(
 _xlpm.x,
 _xlfn.MAXIFS(
  raw_stack!H$2:H$100000,
  raw_stack!D$2:D$100000, G15,
  raw_stack!F$2:F$100000, "Iya",
  raw_stack!G$2:G$100000, "&gt;="&amp;DATE(2025,7,1),
  raw_stack!G$2:G$100000, "&lt;="&amp;EOMONTH(DATE(2025,7,1),0)
 ),
 IF(OR(_xlpm.x=0, _xlpm.x=""), "-", _xlpm.x)
)</f>
        <v>-</v>
      </c>
      <c r="Q15" s="54" t="str">
        <f>_xlfn.LET(
 _xlpm.x,
 _xlfn.MAXIFS(
  raw_stack!G$2:G$99411,
  raw_stack!D$2:D$99411, G15,
  raw_stack!F$2:F$99411, "Iya",
  raw_stack!G$2:G$99411, "&gt;="&amp;DATE(2025,8,1),
  raw_stack!G$2:G$99411, "&lt;="&amp;EOMONTH(DATE(2025,8,1),0)
 ),
 IF(_xlpm.x=0, "-", _xlpm.x)
)</f>
        <v>-</v>
      </c>
      <c r="R15" s="65" t="str">
        <f>_xlfn.LET(
 _xlpm.x,
 _xlfn.MAXIFS(
  raw_stack!H$2:H$100000,
  raw_stack!D$2:D$100000, G15,
  raw_stack!F$2:F$100000, "Iya",
  raw_stack!G$2:G$100000, "&gt;="&amp;DATE(2025,8,1),
  raw_stack!G$2:G$100000, "&lt;="&amp;EOMONTH(DATE(2025,8,1),0)
 ),
 IF(OR(_xlpm.x=0, _xlpm.x=""), "-", _xlpm.x)
)</f>
        <v>-</v>
      </c>
      <c r="S15" s="54">
        <f>_xlfn.LET(
 _xlpm.x,
 _xlfn.MAXIFS(
  raw_stack!G$2:G$99411,
  raw_stack!D$2:D$99411, G15,
  raw_stack!F$2:F$99411, "Iya",
  raw_stack!G$2:G$99411, "&gt;="&amp;DATE(2025,9,1),
  raw_stack!G$2:G$99411, "&lt;="&amp;EOMONTH(DATE(2025,9,1),0)
 ),
 IF(_xlpm.x=0, "-", _xlpm.x)
)</f>
        <v>45908</v>
      </c>
      <c r="T15" s="65">
        <f>_xlfn.LET(
 _xlpm.x,
 _xlfn.MAXIFS(
  raw_stack!H$2:H$100000,
  raw_stack!D$2:D$100000, G15,
  raw_stack!F$2:F$100000, "Iya",
  raw_stack!G$2:G$100000, "&gt;="&amp;DATE(2025,9,1),
  raw_stack!G$2:G$100000, "&lt;="&amp;EOMONTH(DATE(2025,9,1),0)
 ),
 IF(OR(_xlpm.x=0, _xlpm.x=""), "-", _xlpm.x)
)</f>
        <v>90994</v>
      </c>
      <c r="U15" s="54" t="str">
        <f>_xlfn.LET(
 _xlpm.x,
 _xlfn.MAXIFS(
  raw_stack!G$2:G$99411,
  raw_stack!D$2:D$99411, G15,
  raw_stack!F$2:F$99411, "Iya",
  raw_stack!G$2:G$99411, "&gt;="&amp;DATE(2025,10,1),
  raw_stack!G$2:G$99411, "&lt;="&amp;EOMONTH(DATE(2025,10,1),0)
 ),
 IF(_xlpm.x=0, "-", _xlpm.x)
)</f>
        <v>-</v>
      </c>
      <c r="V15" s="65" t="str">
        <f>_xlfn.LET(
 _xlpm.x,
 _xlfn.MAXIFS(
  raw_stack!H$2:H$100000,
  raw_stack!D$2:D$100000, G15,
  raw_stack!F$2:F$100000, "Iya",
  raw_stack!G$2:G$100000, "&gt;="&amp;DATE(2025,10,1),
  raw_stack!G$2:G$100000, "&lt;="&amp;EOMONTH(DATE(2025,10,1),0)
 ),
 IF(OR(_xlpm.x=0, _xlpm.x=""), "-", _xlpm.x)
)</f>
        <v>-</v>
      </c>
      <c r="W15" s="55" t="str">
        <f>_xlfn.LET(
 _xlpm.x,
 _xlfn.MAXIFS(
  raw_stack!G$2:G$99411,
  raw_stack!D$2:D$99411, G15,
  raw_stack!F$2:F$99411, "Iya",
  raw_stack!G$2:G$99411, "&gt;="&amp;DATE(2025,11,1),
  raw_stack!G$2:G$99411, "&lt;="&amp;EOMONTH(DATE(2025,11,1),0)
 ),
 IF(_xlpm.x=0, "-", _xlpm.x)
)</f>
        <v>-</v>
      </c>
      <c r="X15" s="56" t="str">
        <f>_xlfn.LET(
 _xlpm.x,
 _xlfn.MAXIFS(
  raw_stack!H$2:H$100000,
  raw_stack!D$2:D$100000, G15,
  raw_stack!F$2:F$100000, "Iya",
  raw_stack!G$2:G$100000, "&gt;="&amp;DATE(2025,11,1),
  raw_stack!G$2:G$100000, "&lt;="&amp;EOMONTH(DATE(2025,11,1),0)
 ),
 IF(OR(_xlpm.x=0, _xlpm.x=""), "-", _xlpm.x)
)</f>
        <v>-</v>
      </c>
      <c r="Y15" s="55">
        <f>_xlfn.LET(
 _xlpm.x,
 _xlfn.MAXIFS(
  raw_stack!G$2:G$99411,
  raw_stack!D$2:D$99411, G15,
  raw_stack!F$2:F$99411, "Iya",
  raw_stack!G$2:G$99411, "&gt;="&amp;DATE(2025,12,1),
  raw_stack!G$2:G$99411, "&lt;="&amp;EOMONTH(DATE(2025,12,1),0)
 ),
 IF(_xlpm.x=0, "-", _xlpm.x)
)</f>
        <v>45999</v>
      </c>
      <c r="Z15" s="56">
        <f>_xlfn.LET(
 _xlpm.x,
 _xlfn.MAXIFS(
  raw_stack!H$2:H$100000,
  raw_stack!D$2:D$100000, G15,
  raw_stack!F$2:F$100000, "Iya",
  raw_stack!G$2:G$100000, "&gt;="&amp;DATE(2025,12,1),
  raw_stack!G$2:G$100000, "&lt;="&amp;EOMONTH(DATE(2025,12,1),0)
 ),
 IF(OR(_xlpm.x=0, _xlpm.x=""), "-", _xlpm.x)
)</f>
        <v>87009</v>
      </c>
      <c r="AA15" s="55" t="str">
        <f>_xlfn.LET(
 _xlpm.x,
 _xlfn.MAXIFS(
  raw_stack!G$2:G$99411,
  raw_stack!D$2:D$99411, G15,
  raw_stack!F$2:F$99411, "Iya",
  raw_stack!G$2:G$99411, "&gt;="&amp;DATE(2026,1,1),
  raw_stack!G$2:G$99411, "&lt;="&amp;EOMONTH(DATE(2026,1,1),0)
 ),
 IF(_xlpm.x=0, "-", _xlpm.x)
)</f>
        <v>-</v>
      </c>
      <c r="AB15" s="56" t="str">
        <f>_xlfn.LET(
 _xlpm.x,
 _xlfn.MAXIFS(
  raw_stack!H$2:H$100000,
  raw_stack!D$2:D$100000, G15,
  raw_stack!F$2:F$100000, "Iya",
  raw_stack!G$2:G$100000, "&gt;="&amp;DATE(2026,1,1),
  raw_stack!G$2:G$100000, "&lt;="&amp;EOMONTH(DATE(2026,1,1),0)
 ),
 IF(OR(_xlpm.x=0, _xlpm.x=""), "-", _xlpm.x)
)</f>
        <v>-</v>
      </c>
      <c r="AC15" s="55" t="str">
        <f>_xlfn.LET(
 _xlpm.x,
 _xlfn.MAXIFS(
  raw_stack!G$2:G$99411,
  raw_stack!D$2:D$99411, G15,
  raw_stack!F$2:F$99411, "Iya",
  raw_stack!G$2:G$99411, "&gt;="&amp;DATE(2026,2,1),
  raw_stack!G$2:G$99411, "&lt;="&amp;EOMONTH(DATE(2026,2,1),0)
 ),
 IF(_xlpm.x=0, "-", _xlpm.x)
)</f>
        <v>-</v>
      </c>
      <c r="AD15" s="56" t="str">
        <f>_xlfn.LET(
 _xlpm.x,
 _xlfn.MAXIFS(
  raw_stack!H$2:H$100000,
  raw_stack!D$2:D$100000, G15,
  raw_stack!F$2:F$100000, "Iya",
  raw_stack!G$2:G$100000, "&gt;="&amp;DATE(2026,2,1),
  raw_stack!G$2:G$100000, "&lt;="&amp;EOMONTH(DATE(2026,2,1),0)
 ),
 IF(OR(_xlpm.x=0, _xlpm.x=""), "-", _xlpm.x)
)</f>
        <v>-</v>
      </c>
      <c r="AE15" s="55" t="str">
        <f>_xlfn.LET(
 _xlpm.x,
 _xlfn.MAXIFS(
  raw_stack!G$2:G$100000,
  raw_stack!D$2:D$100000, G15,
  raw_stack!F$2:F$100000, "Iya",
  raw_stack!G$2:G$100000, "&gt;="&amp;DATE(2026,3,1),
  raw_stack!G$2:G$100000, "&lt;="&amp;EOMONTH(DATE(2026,3,1),0)
 ),
 IF(_xlpm.x=0, "-", _xlpm.x)
)</f>
        <v>-</v>
      </c>
      <c r="AF15" s="56" t="str">
        <f>_xlfn.LET(
 _xlpm.x,
 _xlfn.MAXIFS(
  raw_stack!H$2:H$100000,
  raw_stack!D$2:D$100000, G15,
  raw_stack!F$2:F$100000, "Iya",
  raw_stack!G$2:G$100000, "&gt;="&amp;DATE(2026,3,1),
  raw_stack!G$2:G$100000, "&lt;="&amp;EOMONTH(DATE(2026,3,1),0)
 ),
 IF(OR(_xlpm.x=0, _xlpm.x=""), "-", _xlpm.x)
)</f>
        <v>-</v>
      </c>
      <c r="AG15" s="55" t="str">
        <f>_xlfn.LET(
 _xlpm.x,
 _xlfn.MAXIFS(
  raw_stack!G$2:G$100000,
  raw_stack!D$2:D$100000, G15,
  raw_stack!F$2:F$100000, "Iya",
  raw_stack!G$2:G$100000, "&gt;="&amp;DATE(2026,4,1),
  raw_stack!G$2:G$100000, "&lt;="&amp;EOMONTH(DATE(2026,4,1),0)
 ),
 IF(_xlpm.x=0, "-", _xlpm.x)
)</f>
        <v>-</v>
      </c>
      <c r="AH15" s="56" t="str">
        <f>_xlfn.LET(
 _xlpm.x,
 _xlfn.MAXIFS(
  raw_stack!H$2:H$100000,
  raw_stack!D$2:D$100000, G15,
  raw_stack!F$2:F$100000, "Iya",
  raw_stack!G$2:G$100000, "&gt;="&amp;DATE(2026,4,1),
  raw_stack!G$2:G$100000, "&lt;="&amp;EOMONTH(DATE(2026,4,1),0)
 ),
 IF(OR(_xlpm.x=0, _xlpm.x=""), "-", _xlpm.x)
)</f>
        <v>-</v>
      </c>
    </row>
    <row r="16" spans="1:34">
      <c r="A16" s="48">
        <v>15</v>
      </c>
      <c r="B16" s="49" t="str">
        <f t="shared" si="0"/>
        <v>89828</v>
      </c>
      <c r="C16" s="50" t="s">
        <v>46</v>
      </c>
      <c r="D16" s="51" t="s">
        <v>456</v>
      </c>
      <c r="E16" s="51" t="s">
        <v>47</v>
      </c>
      <c r="F16" s="49" t="s">
        <v>117</v>
      </c>
      <c r="G16" s="49" t="s">
        <v>132</v>
      </c>
      <c r="H16" s="49" t="s">
        <v>48</v>
      </c>
      <c r="I16" s="49" t="s">
        <v>49</v>
      </c>
      <c r="J16" s="52">
        <v>4495000</v>
      </c>
      <c r="K16" s="53">
        <v>45012</v>
      </c>
      <c r="L16" s="53">
        <v>46107</v>
      </c>
      <c r="M16" s="53">
        <v>46079</v>
      </c>
      <c r="N16" s="49" t="s">
        <v>50</v>
      </c>
      <c r="O16" s="54" t="str">
        <f>_xlfn.LET(
 _xlpm.x,
 _xlfn.MAXIFS(
  raw_stack!G$2:G$100000,
  raw_stack!D$2:D$100000, G16,
  raw_stack!F$2:F$100000, "Iya",
  raw_stack!G$2:G$100000, "&gt;="&amp;DATE(2025,7,1),
  raw_stack!G$2:G$100000, "&lt;="&amp;EOMONTH(DATE(2025,7,1),0)
 ),
 IF(_xlpm.x=0, "-", _xlpm.x)
)</f>
        <v>-</v>
      </c>
      <c r="P16" s="65" t="str">
        <f>_xlfn.LET(
 _xlpm.x,
 _xlfn.MAXIFS(
  raw_stack!H$2:H$100000,
  raw_stack!D$2:D$100000, G16,
  raw_stack!F$2:F$100000, "Iya",
  raw_stack!G$2:G$100000, "&gt;="&amp;DATE(2025,7,1),
  raw_stack!G$2:G$100000, "&lt;="&amp;EOMONTH(DATE(2025,7,1),0)
 ),
 IF(OR(_xlpm.x=0, _xlpm.x=""), "-", _xlpm.x)
)</f>
        <v>-</v>
      </c>
      <c r="Q16" s="54">
        <f>_xlfn.LET(
 _xlpm.x,
 _xlfn.MAXIFS(
  raw_stack!G$2:G$99411,
  raw_stack!D$2:D$99411, G16,
  raw_stack!F$2:F$99411, "Iya",
  raw_stack!G$2:G$99411, "&gt;="&amp;DATE(2025,8,1),
  raw_stack!G$2:G$99411, "&lt;="&amp;EOMONTH(DATE(2025,8,1),0)
 ),
 IF(_xlpm.x=0, "-", _xlpm.x)
)</f>
        <v>45889</v>
      </c>
      <c r="R16" s="65">
        <f>_xlfn.LET(
 _xlpm.x,
 _xlfn.MAXIFS(
  raw_stack!H$2:H$100000,
  raw_stack!D$2:D$100000, G16,
  raw_stack!F$2:F$100000, "Iya",
  raw_stack!G$2:G$100000, "&gt;="&amp;DATE(2025,8,1),
  raw_stack!G$2:G$100000, "&lt;="&amp;EOMONTH(DATE(2025,8,1),0)
 ),
 IF(OR(_xlpm.x=0, _xlpm.x=""), "-", _xlpm.x)
)</f>
        <v>48690</v>
      </c>
      <c r="S16" s="54" t="str">
        <f>_xlfn.LET(
 _xlpm.x,
 _xlfn.MAXIFS(
  raw_stack!G$2:G$99411,
  raw_stack!D$2:D$99411, G16,
  raw_stack!F$2:F$99411, "Iya",
  raw_stack!G$2:G$99411, "&gt;="&amp;DATE(2025,9,1),
  raw_stack!G$2:G$99411, "&lt;="&amp;EOMONTH(DATE(2025,9,1),0)
 ),
 IF(_xlpm.x=0, "-", _xlpm.x)
)</f>
        <v>-</v>
      </c>
      <c r="T16" s="65" t="str">
        <f>_xlfn.LET(
 _xlpm.x,
 _xlfn.MAXIFS(
  raw_stack!H$2:H$100000,
  raw_stack!D$2:D$100000, G16,
  raw_stack!F$2:F$100000, "Iya",
  raw_stack!G$2:G$100000, "&gt;="&amp;DATE(2025,9,1),
  raw_stack!G$2:G$100000, "&lt;="&amp;EOMONTH(DATE(2025,9,1),0)
 ),
 IF(OR(_xlpm.x=0, _xlpm.x=""), "-", _xlpm.x)
)</f>
        <v>-</v>
      </c>
      <c r="U16" s="54" t="str">
        <f>_xlfn.LET(
 _xlpm.x,
 _xlfn.MAXIFS(
  raw_stack!G$2:G$99411,
  raw_stack!D$2:D$99411, G16,
  raw_stack!F$2:F$99411, "Iya",
  raw_stack!G$2:G$99411, "&gt;="&amp;DATE(2025,10,1),
  raw_stack!G$2:G$99411, "&lt;="&amp;EOMONTH(DATE(2025,10,1),0)
 ),
 IF(_xlpm.x=0, "-", _xlpm.x)
)</f>
        <v>-</v>
      </c>
      <c r="V16" s="65" t="str">
        <f>_xlfn.LET(
 _xlpm.x,
 _xlfn.MAXIFS(
  raw_stack!H$2:H$100000,
  raw_stack!D$2:D$100000, G16,
  raw_stack!F$2:F$100000, "Iya",
  raw_stack!G$2:G$100000, "&gt;="&amp;DATE(2025,10,1),
  raw_stack!G$2:G$100000, "&lt;="&amp;EOMONTH(DATE(2025,10,1),0)
 ),
 IF(OR(_xlpm.x=0, _xlpm.x=""), "-", _xlpm.x)
)</f>
        <v>-</v>
      </c>
      <c r="W16" s="55" t="str">
        <f>_xlfn.LET(
 _xlpm.x,
 _xlfn.MAXIFS(
  raw_stack!G$2:G$99411,
  raw_stack!D$2:D$99411, G16,
  raw_stack!F$2:F$99411, "Iya",
  raw_stack!G$2:G$99411, "&gt;="&amp;DATE(2025,11,1),
  raw_stack!G$2:G$99411, "&lt;="&amp;EOMONTH(DATE(2025,11,1),0)
 ),
 IF(_xlpm.x=0, "-", _xlpm.x)
)</f>
        <v>-</v>
      </c>
      <c r="X16" s="56" t="str">
        <f>_xlfn.LET(
 _xlpm.x,
 _xlfn.MAXIFS(
  raw_stack!H$2:H$100000,
  raw_stack!D$2:D$100000, G16,
  raw_stack!F$2:F$100000, "Iya",
  raw_stack!G$2:G$100000, "&gt;="&amp;DATE(2025,11,1),
  raw_stack!G$2:G$100000, "&lt;="&amp;EOMONTH(DATE(2025,11,1),0)
 ),
 IF(OR(_xlpm.x=0, _xlpm.x=""), "-", _xlpm.x)
)</f>
        <v>-</v>
      </c>
      <c r="Y16" s="55" t="str">
        <f>_xlfn.LET(
 _xlpm.x,
 _xlfn.MAXIFS(
  raw_stack!G$2:G$99411,
  raw_stack!D$2:D$99411, G16,
  raw_stack!F$2:F$99411, "Iya",
  raw_stack!G$2:G$99411, "&gt;="&amp;DATE(2025,12,1),
  raw_stack!G$2:G$99411, "&lt;="&amp;EOMONTH(DATE(2025,12,1),0)
 ),
 IF(_xlpm.x=0, "-", _xlpm.x)
)</f>
        <v>-</v>
      </c>
      <c r="Z16" s="56" t="str">
        <f>_xlfn.LET(
 _xlpm.x,
 _xlfn.MAXIFS(
  raw_stack!H$2:H$100000,
  raw_stack!D$2:D$100000, G16,
  raw_stack!F$2:F$100000, "Iya",
  raw_stack!G$2:G$100000, "&gt;="&amp;DATE(2025,12,1),
  raw_stack!G$2:G$100000, "&lt;="&amp;EOMONTH(DATE(2025,12,1),0)
 ),
 IF(OR(_xlpm.x=0, _xlpm.x=""), "-", _xlpm.x)
)</f>
        <v>-</v>
      </c>
      <c r="AA16" s="55">
        <f>_xlfn.LET(
 _xlpm.x,
 _xlfn.MAXIFS(
  raw_stack!G$2:G$99411,
  raw_stack!D$2:D$99411, G16,
  raw_stack!F$2:F$99411, "Iya",
  raw_stack!G$2:G$99411, "&gt;="&amp;DATE(2026,1,1),
  raw_stack!G$2:G$99411, "&lt;="&amp;EOMONTH(DATE(2026,1,1),0)
 ),
 IF(_xlpm.x=0, "-", _xlpm.x)
)</f>
        <v>46039</v>
      </c>
      <c r="AB16" s="56">
        <f>_xlfn.LET(
 _xlpm.x,
 _xlfn.MAXIFS(
  raw_stack!H$2:H$100000,
  raw_stack!D$2:D$100000, G16,
  raw_stack!F$2:F$100000, "Iya",
  raw_stack!G$2:G$100000, "&gt;="&amp;DATE(2026,1,1),
  raw_stack!G$2:G$100000, "&lt;="&amp;EOMONTH(DATE(2026,1,1),0)
 ),
 IF(OR(_xlpm.x=0, _xlpm.x=""), "-", _xlpm.x)
)</f>
        <v>51663</v>
      </c>
      <c r="AC16" s="55" t="str">
        <f>_xlfn.LET(
 _xlpm.x,
 _xlfn.MAXIFS(
  raw_stack!G$2:G$99411,
  raw_stack!D$2:D$99411, G16,
  raw_stack!F$2:F$99411, "Iya",
  raw_stack!G$2:G$99411, "&gt;="&amp;DATE(2026,2,1),
  raw_stack!G$2:G$99411, "&lt;="&amp;EOMONTH(DATE(2026,2,1),0)
 ),
 IF(_xlpm.x=0, "-", _xlpm.x)
)</f>
        <v>-</v>
      </c>
      <c r="AD16" s="56" t="str">
        <f>_xlfn.LET(
 _xlpm.x,
 _xlfn.MAXIFS(
  raw_stack!H$2:H$100000,
  raw_stack!D$2:D$100000, G16,
  raw_stack!F$2:F$100000, "Iya",
  raw_stack!G$2:G$100000, "&gt;="&amp;DATE(2026,2,1),
  raw_stack!G$2:G$100000, "&lt;="&amp;EOMONTH(DATE(2026,2,1),0)
 ),
 IF(OR(_xlpm.x=0, _xlpm.x=""), "-", _xlpm.x)
)</f>
        <v>-</v>
      </c>
      <c r="AE16" s="55" t="str">
        <f>_xlfn.LET(
 _xlpm.x,
 _xlfn.MAXIFS(
  raw_stack!G$2:G$100000,
  raw_stack!D$2:D$100000, G16,
  raw_stack!F$2:F$100000, "Iya",
  raw_stack!G$2:G$100000, "&gt;="&amp;DATE(2026,3,1),
  raw_stack!G$2:G$100000, "&lt;="&amp;EOMONTH(DATE(2026,3,1),0)
 ),
 IF(_xlpm.x=0, "-", _xlpm.x)
)</f>
        <v>-</v>
      </c>
      <c r="AF16" s="56" t="str">
        <f>_xlfn.LET(
 _xlpm.x,
 _xlfn.MAXIFS(
  raw_stack!H$2:H$100000,
  raw_stack!D$2:D$100000, G16,
  raw_stack!F$2:F$100000, "Iya",
  raw_stack!G$2:G$100000, "&gt;="&amp;DATE(2026,3,1),
  raw_stack!G$2:G$100000, "&lt;="&amp;EOMONTH(DATE(2026,3,1),0)
 ),
 IF(OR(_xlpm.x=0, _xlpm.x=""), "-", _xlpm.x)
)</f>
        <v>-</v>
      </c>
      <c r="AG16" s="55" t="str">
        <f>_xlfn.LET(
 _xlpm.x,
 _xlfn.MAXIFS(
  raw_stack!G$2:G$100000,
  raw_stack!D$2:D$100000, G16,
  raw_stack!F$2:F$100000, "Iya",
  raw_stack!G$2:G$100000, "&gt;="&amp;DATE(2026,4,1),
  raw_stack!G$2:G$100000, "&lt;="&amp;EOMONTH(DATE(2026,4,1),0)
 ),
 IF(_xlpm.x=0, "-", _xlpm.x)
)</f>
        <v>-</v>
      </c>
      <c r="AH16" s="56" t="str">
        <f>_xlfn.LET(
 _xlpm.x,
 _xlfn.MAXIFS(
  raw_stack!H$2:H$100000,
  raw_stack!D$2:D$100000, G16,
  raw_stack!F$2:F$100000, "Iya",
  raw_stack!G$2:G$100000, "&gt;="&amp;DATE(2026,4,1),
  raw_stack!G$2:G$100000, "&lt;="&amp;EOMONTH(DATE(2026,4,1),0)
 ),
 IF(OR(_xlpm.x=0, _xlpm.x=""), "-", _xlpm.x)
)</f>
        <v>-</v>
      </c>
    </row>
    <row r="17" spans="1:34">
      <c r="A17" s="48">
        <v>16</v>
      </c>
      <c r="B17" s="49" t="str">
        <f t="shared" si="0"/>
        <v>90392</v>
      </c>
      <c r="C17" s="50" t="s">
        <v>46</v>
      </c>
      <c r="D17" s="51" t="s">
        <v>467</v>
      </c>
      <c r="E17" s="51" t="s">
        <v>47</v>
      </c>
      <c r="F17" s="49" t="s">
        <v>117</v>
      </c>
      <c r="G17" s="49" t="s">
        <v>133</v>
      </c>
      <c r="H17" s="49" t="s">
        <v>48</v>
      </c>
      <c r="I17" s="49" t="s">
        <v>49</v>
      </c>
      <c r="J17" s="52">
        <v>4400000</v>
      </c>
      <c r="K17" s="53">
        <v>45017</v>
      </c>
      <c r="L17" s="53">
        <v>46112</v>
      </c>
      <c r="M17" s="53">
        <v>46081</v>
      </c>
      <c r="N17" s="49" t="s">
        <v>50</v>
      </c>
      <c r="O17" s="54">
        <f>_xlfn.LET(
 _xlpm.x,
 _xlfn.MAXIFS(
  raw_stack!G$2:G$100000,
  raw_stack!D$2:D$100000, G17,
  raw_stack!F$2:F$100000, "Iya",
  raw_stack!G$2:G$100000, "&gt;="&amp;DATE(2025,7,1),
  raw_stack!G$2:G$100000, "&lt;="&amp;EOMONTH(DATE(2025,7,1),0)
 ),
 IF(_xlpm.x=0, "-", _xlpm.x)
)</f>
        <v>45850</v>
      </c>
      <c r="P17" s="65">
        <f>_xlfn.LET(
 _xlpm.x,
 _xlfn.MAXIFS(
  raw_stack!H$2:H$100000,
  raw_stack!D$2:D$100000, G17,
  raw_stack!F$2:F$100000, "Iya",
  raw_stack!G$2:G$100000, "&gt;="&amp;DATE(2025,7,1),
  raw_stack!G$2:G$100000, "&lt;="&amp;EOMONTH(DATE(2025,7,1),0)
 ),
 IF(OR(_xlpm.x=0, _xlpm.x=""), "-", _xlpm.x)
)</f>
        <v>56533</v>
      </c>
      <c r="Q17" s="54" t="str">
        <f>_xlfn.LET(
 _xlpm.x,
 _xlfn.MAXIFS(
  raw_stack!G$2:G$99411,
  raw_stack!D$2:D$99411, G17,
  raw_stack!F$2:F$99411, "Iya",
  raw_stack!G$2:G$99411, "&gt;="&amp;DATE(2025,8,1),
  raw_stack!G$2:G$99411, "&lt;="&amp;EOMONTH(DATE(2025,8,1),0)
 ),
 IF(_xlpm.x=0, "-", _xlpm.x)
)</f>
        <v>-</v>
      </c>
      <c r="R17" s="65" t="str">
        <f>_xlfn.LET(
 _xlpm.x,
 _xlfn.MAXIFS(
  raw_stack!H$2:H$100000,
  raw_stack!D$2:D$100000, G17,
  raw_stack!F$2:F$100000, "Iya",
  raw_stack!G$2:G$100000, "&gt;="&amp;DATE(2025,8,1),
  raw_stack!G$2:G$100000, "&lt;="&amp;EOMONTH(DATE(2025,8,1),0)
 ),
 IF(OR(_xlpm.x=0, _xlpm.x=""), "-", _xlpm.x)
)</f>
        <v>-</v>
      </c>
      <c r="S17" s="54">
        <f>_xlfn.LET(
 _xlpm.x,
 _xlfn.MAXIFS(
  raw_stack!G$2:G$99411,
  raw_stack!D$2:D$99411, G17,
  raw_stack!F$2:F$99411, "Iya",
  raw_stack!G$2:G$99411, "&gt;="&amp;DATE(2025,9,1),
  raw_stack!G$2:G$99411, "&lt;="&amp;EOMONTH(DATE(2025,9,1),0)
 ),
 IF(_xlpm.x=0, "-", _xlpm.x)
)</f>
        <v>45902</v>
      </c>
      <c r="T17" s="65">
        <f>_xlfn.LET(
 _xlpm.x,
 _xlfn.MAXIFS(
  raw_stack!H$2:H$100000,
  raw_stack!D$2:D$100000, G17,
  raw_stack!F$2:F$100000, "Iya",
  raw_stack!G$2:G$100000, "&gt;="&amp;DATE(2025,9,1),
  raw_stack!G$2:G$100000, "&lt;="&amp;EOMONTH(DATE(2025,9,1),0)
 ),
 IF(OR(_xlpm.x=0, _xlpm.x=""), "-", _xlpm.x)
)</f>
        <v>34642</v>
      </c>
      <c r="U17" s="54" t="str">
        <f>_xlfn.LET(
 _xlpm.x,
 _xlfn.MAXIFS(
  raw_stack!G$2:G$99411,
  raw_stack!D$2:D$99411, G17,
  raw_stack!F$2:F$99411, "Iya",
  raw_stack!G$2:G$99411, "&gt;="&amp;DATE(2025,10,1),
  raw_stack!G$2:G$99411, "&lt;="&amp;EOMONTH(DATE(2025,10,1),0)
 ),
 IF(_xlpm.x=0, "-", _xlpm.x)
)</f>
        <v>-</v>
      </c>
      <c r="V17" s="65" t="str">
        <f>_xlfn.LET(
 _xlpm.x,
 _xlfn.MAXIFS(
  raw_stack!H$2:H$100000,
  raw_stack!D$2:D$100000, G17,
  raw_stack!F$2:F$100000, "Iya",
  raw_stack!G$2:G$100000, "&gt;="&amp;DATE(2025,10,1),
  raw_stack!G$2:G$100000, "&lt;="&amp;EOMONTH(DATE(2025,10,1),0)
 ),
 IF(OR(_xlpm.x=0, _xlpm.x=""), "-", _xlpm.x)
)</f>
        <v>-</v>
      </c>
      <c r="W17" s="55">
        <f>_xlfn.LET(
 _xlpm.x,
 _xlfn.MAXIFS(
  raw_stack!G$2:G$99411,
  raw_stack!D$2:D$99411, G17,
  raw_stack!F$2:F$99411, "Iya",
  raw_stack!G$2:G$99411, "&gt;="&amp;DATE(2025,11,1),
  raw_stack!G$2:G$99411, "&lt;="&amp;EOMONTH(DATE(2025,11,1),0)
 ),
 IF(_xlpm.x=0, "-", _xlpm.x)
)</f>
        <v>45973</v>
      </c>
      <c r="X17" s="56">
        <f>_xlfn.LET(
 _xlpm.x,
 _xlfn.MAXIFS(
  raw_stack!H$2:H$100000,
  raw_stack!D$2:D$100000, G17,
  raw_stack!F$2:F$100000, "Iya",
  raw_stack!G$2:G$100000, "&gt;="&amp;DATE(2025,11,1),
  raw_stack!G$2:G$100000, "&lt;="&amp;EOMONTH(DATE(2025,11,1),0)
 ),
 IF(OR(_xlpm.x=0, _xlpm.x=""), "-", _xlpm.x)
)</f>
        <v>53993</v>
      </c>
      <c r="Y17" s="55">
        <f>_xlfn.LET(
 _xlpm.x,
 _xlfn.MAXIFS(
  raw_stack!G$2:G$99411,
  raw_stack!D$2:D$99411, G17,
  raw_stack!F$2:F$99411, "Iya",
  raw_stack!G$2:G$99411, "&gt;="&amp;DATE(2025,12,1),
  raw_stack!G$2:G$99411, "&lt;="&amp;EOMONTH(DATE(2025,12,1),0)
 ),
 IF(_xlpm.x=0, "-", _xlpm.x)
)</f>
        <v>46002</v>
      </c>
      <c r="Z17" s="56">
        <f>_xlfn.LET(
 _xlpm.x,
 _xlfn.MAXIFS(
  raw_stack!H$2:H$100000,
  raw_stack!D$2:D$100000, G17,
  raw_stack!F$2:F$100000, "Iya",
  raw_stack!G$2:G$100000, "&gt;="&amp;DATE(2025,12,1),
  raw_stack!G$2:G$100000, "&lt;="&amp;EOMONTH(DATE(2025,12,1),0)
 ),
 IF(OR(_xlpm.x=0, _xlpm.x=""), "-", _xlpm.x)
)</f>
        <v>61427</v>
      </c>
      <c r="AA17" s="55" t="str">
        <f>_xlfn.LET(
 _xlpm.x,
 _xlfn.MAXIFS(
  raw_stack!G$2:G$99411,
  raw_stack!D$2:D$99411, G17,
  raw_stack!F$2:F$99411, "Iya",
  raw_stack!G$2:G$99411, "&gt;="&amp;DATE(2026,1,1),
  raw_stack!G$2:G$99411, "&lt;="&amp;EOMONTH(DATE(2026,1,1),0)
 ),
 IF(_xlpm.x=0, "-", _xlpm.x)
)</f>
        <v>-</v>
      </c>
      <c r="AB17" s="56" t="str">
        <f>_xlfn.LET(
 _xlpm.x,
 _xlfn.MAXIFS(
  raw_stack!H$2:H$100000,
  raw_stack!D$2:D$100000, G17,
  raw_stack!F$2:F$100000, "Iya",
  raw_stack!G$2:G$100000, "&gt;="&amp;DATE(2026,1,1),
  raw_stack!G$2:G$100000, "&lt;="&amp;EOMONTH(DATE(2026,1,1),0)
 ),
 IF(OR(_xlpm.x=0, _xlpm.x=""), "-", _xlpm.x)
)</f>
        <v>-</v>
      </c>
      <c r="AC17" s="55" t="str">
        <f>_xlfn.LET(
 _xlpm.x,
 _xlfn.MAXIFS(
  raw_stack!G$2:G$99411,
  raw_stack!D$2:D$99411, G17,
  raw_stack!F$2:F$99411, "Iya",
  raw_stack!G$2:G$99411, "&gt;="&amp;DATE(2026,2,1),
  raw_stack!G$2:G$99411, "&lt;="&amp;EOMONTH(DATE(2026,2,1),0)
 ),
 IF(_xlpm.x=0, "-", _xlpm.x)
)</f>
        <v>-</v>
      </c>
      <c r="AD17" s="56" t="str">
        <f>_xlfn.LET(
 _xlpm.x,
 _xlfn.MAXIFS(
  raw_stack!H$2:H$100000,
  raw_stack!D$2:D$100000, G17,
  raw_stack!F$2:F$100000, "Iya",
  raw_stack!G$2:G$100000, "&gt;="&amp;DATE(2026,2,1),
  raw_stack!G$2:G$100000, "&lt;="&amp;EOMONTH(DATE(2026,2,1),0)
 ),
 IF(OR(_xlpm.x=0, _xlpm.x=""), "-", _xlpm.x)
)</f>
        <v>-</v>
      </c>
      <c r="AE17" s="55" t="str">
        <f>_xlfn.LET(
 _xlpm.x,
 _xlfn.MAXIFS(
  raw_stack!G$2:G$100000,
  raw_stack!D$2:D$100000, G17,
  raw_stack!F$2:F$100000, "Iya",
  raw_stack!G$2:G$100000, "&gt;="&amp;DATE(2026,3,1),
  raw_stack!G$2:G$100000, "&lt;="&amp;EOMONTH(DATE(2026,3,1),0)
 ),
 IF(_xlpm.x=0, "-", _xlpm.x)
)</f>
        <v>-</v>
      </c>
      <c r="AF17" s="56" t="str">
        <f>_xlfn.LET(
 _xlpm.x,
 _xlfn.MAXIFS(
  raw_stack!H$2:H$100000,
  raw_stack!D$2:D$100000, G17,
  raw_stack!F$2:F$100000, "Iya",
  raw_stack!G$2:G$100000, "&gt;="&amp;DATE(2026,3,1),
  raw_stack!G$2:G$100000, "&lt;="&amp;EOMONTH(DATE(2026,3,1),0)
 ),
 IF(OR(_xlpm.x=0, _xlpm.x=""), "-", _xlpm.x)
)</f>
        <v>-</v>
      </c>
      <c r="AG17" s="55" t="str">
        <f>_xlfn.LET(
 _xlpm.x,
 _xlfn.MAXIFS(
  raw_stack!G$2:G$100000,
  raw_stack!D$2:D$100000, G17,
  raw_stack!F$2:F$100000, "Iya",
  raw_stack!G$2:G$100000, "&gt;="&amp;DATE(2026,4,1),
  raw_stack!G$2:G$100000, "&lt;="&amp;EOMONTH(DATE(2026,4,1),0)
 ),
 IF(_xlpm.x=0, "-", _xlpm.x)
)</f>
        <v>-</v>
      </c>
      <c r="AH17" s="56" t="str">
        <f>_xlfn.LET(
 _xlpm.x,
 _xlfn.MAXIFS(
  raw_stack!H$2:H$100000,
  raw_stack!D$2:D$100000, G17,
  raw_stack!F$2:F$100000, "Iya",
  raw_stack!G$2:G$100000, "&gt;="&amp;DATE(2026,4,1),
  raw_stack!G$2:G$100000, "&lt;="&amp;EOMONTH(DATE(2026,4,1),0)
 ),
 IF(OR(_xlpm.x=0, _xlpm.x=""), "-", _xlpm.x)
)</f>
        <v>-</v>
      </c>
    </row>
    <row r="18" spans="1:34">
      <c r="A18" s="48">
        <v>17</v>
      </c>
      <c r="B18" s="49" t="str">
        <f t="shared" si="0"/>
        <v>44007</v>
      </c>
      <c r="C18" s="50" t="s">
        <v>46</v>
      </c>
      <c r="D18" s="51" t="s">
        <v>468</v>
      </c>
      <c r="E18" s="51" t="s">
        <v>51</v>
      </c>
      <c r="F18" s="49" t="s">
        <v>117</v>
      </c>
      <c r="G18" s="49" t="s">
        <v>134</v>
      </c>
      <c r="H18" s="49" t="s">
        <v>48</v>
      </c>
      <c r="I18" s="49" t="s">
        <v>52</v>
      </c>
      <c r="J18" s="52">
        <v>4100000</v>
      </c>
      <c r="K18" s="53">
        <v>45017</v>
      </c>
      <c r="L18" s="53">
        <v>46112</v>
      </c>
      <c r="M18" s="53">
        <v>46081</v>
      </c>
      <c r="N18" s="49" t="s">
        <v>50</v>
      </c>
      <c r="O18" s="54" t="str">
        <f>_xlfn.LET(
 _xlpm.x,
 _xlfn.MAXIFS(
  raw_stack!G$2:G$100000,
  raw_stack!D$2:D$100000, G18,
  raw_stack!F$2:F$100000, "Iya",
  raw_stack!G$2:G$100000, "&gt;="&amp;DATE(2025,7,1),
  raw_stack!G$2:G$100000, "&lt;="&amp;EOMONTH(DATE(2025,7,1),0)
 ),
 IF(_xlpm.x=0, "-", _xlpm.x)
)</f>
        <v>-</v>
      </c>
      <c r="P18" s="65" t="str">
        <f>_xlfn.LET(
 _xlpm.x,
 _xlfn.MAXIFS(
  raw_stack!H$2:H$100000,
  raw_stack!D$2:D$100000, G18,
  raw_stack!F$2:F$100000, "Iya",
  raw_stack!G$2:G$100000, "&gt;="&amp;DATE(2025,7,1),
  raw_stack!G$2:G$100000, "&lt;="&amp;EOMONTH(DATE(2025,7,1),0)
 ),
 IF(OR(_xlpm.x=0, _xlpm.x=""), "-", _xlpm.x)
)</f>
        <v>-</v>
      </c>
      <c r="Q18" s="54" t="str">
        <f>_xlfn.LET(
 _xlpm.x,
 _xlfn.MAXIFS(
  raw_stack!G$2:G$99411,
  raw_stack!D$2:D$99411, G18,
  raw_stack!F$2:F$99411, "Iya",
  raw_stack!G$2:G$99411, "&gt;="&amp;DATE(2025,8,1),
  raw_stack!G$2:G$99411, "&lt;="&amp;EOMONTH(DATE(2025,8,1),0)
 ),
 IF(_xlpm.x=0, "-", _xlpm.x)
)</f>
        <v>-</v>
      </c>
      <c r="R18" s="65" t="str">
        <f>_xlfn.LET(
 _xlpm.x,
 _xlfn.MAXIFS(
  raw_stack!H$2:H$100000,
  raw_stack!D$2:D$100000, G18,
  raw_stack!F$2:F$100000, "Iya",
  raw_stack!G$2:G$100000, "&gt;="&amp;DATE(2025,8,1),
  raw_stack!G$2:G$100000, "&lt;="&amp;EOMONTH(DATE(2025,8,1),0)
 ),
 IF(OR(_xlpm.x=0, _xlpm.x=""), "-", _xlpm.x)
)</f>
        <v>-</v>
      </c>
      <c r="S18" s="54" t="str">
        <f>_xlfn.LET(
 _xlpm.x,
 _xlfn.MAXIFS(
  raw_stack!G$2:G$99411,
  raw_stack!D$2:D$99411, G18,
  raw_stack!F$2:F$99411, "Iya",
  raw_stack!G$2:G$99411, "&gt;="&amp;DATE(2025,9,1),
  raw_stack!G$2:G$99411, "&lt;="&amp;EOMONTH(DATE(2025,9,1),0)
 ),
 IF(_xlpm.x=0, "-", _xlpm.x)
)</f>
        <v>-</v>
      </c>
      <c r="T18" s="65" t="str">
        <f>_xlfn.LET(
 _xlpm.x,
 _xlfn.MAXIFS(
  raw_stack!H$2:H$100000,
  raw_stack!D$2:D$100000, G18,
  raw_stack!F$2:F$100000, "Iya",
  raw_stack!G$2:G$100000, "&gt;="&amp;DATE(2025,9,1),
  raw_stack!G$2:G$100000, "&lt;="&amp;EOMONTH(DATE(2025,9,1),0)
 ),
 IF(OR(_xlpm.x=0, _xlpm.x=""), "-", _xlpm.x)
)</f>
        <v>-</v>
      </c>
      <c r="U18" s="54">
        <f>_xlfn.LET(
 _xlpm.x,
 _xlfn.MAXIFS(
  raw_stack!G$2:G$99411,
  raw_stack!D$2:D$99411, G18,
  raw_stack!F$2:F$99411, "Iya",
  raw_stack!G$2:G$99411, "&gt;="&amp;DATE(2025,10,1),
  raw_stack!G$2:G$99411, "&lt;="&amp;EOMONTH(DATE(2025,10,1),0)
 ),
 IF(_xlpm.x=0, "-", _xlpm.x)
)</f>
        <v>45931</v>
      </c>
      <c r="V18" s="65">
        <f>_xlfn.LET(
 _xlpm.x,
 _xlfn.MAXIFS(
  raw_stack!H$2:H$100000,
  raw_stack!D$2:D$100000, G18,
  raw_stack!F$2:F$100000, "Iya",
  raw_stack!G$2:G$100000, "&gt;="&amp;DATE(2025,10,1),
  raw_stack!G$2:G$100000, "&lt;="&amp;EOMONTH(DATE(2025,10,1),0)
 ),
 IF(OR(_xlpm.x=0, _xlpm.x=""), "-", _xlpm.x)
)</f>
        <v>51528</v>
      </c>
      <c r="W18" s="55" t="str">
        <f>_xlfn.LET(
 _xlpm.x,
 _xlfn.MAXIFS(
  raw_stack!G$2:G$99411,
  raw_stack!D$2:D$99411, G18,
  raw_stack!F$2:F$99411, "Iya",
  raw_stack!G$2:G$99411, "&gt;="&amp;DATE(2025,11,1),
  raw_stack!G$2:G$99411, "&lt;="&amp;EOMONTH(DATE(2025,11,1),0)
 ),
 IF(_xlpm.x=0, "-", _xlpm.x)
)</f>
        <v>-</v>
      </c>
      <c r="X18" s="56" t="str">
        <f>_xlfn.LET(
 _xlpm.x,
 _xlfn.MAXIFS(
  raw_stack!H$2:H$100000,
  raw_stack!D$2:D$100000, G18,
  raw_stack!F$2:F$100000, "Iya",
  raw_stack!G$2:G$100000, "&gt;="&amp;DATE(2025,11,1),
  raw_stack!G$2:G$100000, "&lt;="&amp;EOMONTH(DATE(2025,11,1),0)
 ),
 IF(OR(_xlpm.x=0, _xlpm.x=""), "-", _xlpm.x)
)</f>
        <v>-</v>
      </c>
      <c r="Y18" s="55" t="str">
        <f>_xlfn.LET(
 _xlpm.x,
 _xlfn.MAXIFS(
  raw_stack!G$2:G$99411,
  raw_stack!D$2:D$99411, G18,
  raw_stack!F$2:F$99411, "Iya",
  raw_stack!G$2:G$99411, "&gt;="&amp;DATE(2025,12,1),
  raw_stack!G$2:G$99411, "&lt;="&amp;EOMONTH(DATE(2025,12,1),0)
 ),
 IF(_xlpm.x=0, "-", _xlpm.x)
)</f>
        <v>-</v>
      </c>
      <c r="Z18" s="56" t="str">
        <f>_xlfn.LET(
 _xlpm.x,
 _xlfn.MAXIFS(
  raw_stack!H$2:H$100000,
  raw_stack!D$2:D$100000, G18,
  raw_stack!F$2:F$100000, "Iya",
  raw_stack!G$2:G$100000, "&gt;="&amp;DATE(2025,12,1),
  raw_stack!G$2:G$100000, "&lt;="&amp;EOMONTH(DATE(2025,12,1),0)
 ),
 IF(OR(_xlpm.x=0, _xlpm.x=""), "-", _xlpm.x)
)</f>
        <v>-</v>
      </c>
      <c r="AA18" s="55" t="str">
        <f>_xlfn.LET(
 _xlpm.x,
 _xlfn.MAXIFS(
  raw_stack!G$2:G$99411,
  raw_stack!D$2:D$99411, G18,
  raw_stack!F$2:F$99411, "Iya",
  raw_stack!G$2:G$99411, "&gt;="&amp;DATE(2026,1,1),
  raw_stack!G$2:G$99411, "&lt;="&amp;EOMONTH(DATE(2026,1,1),0)
 ),
 IF(_xlpm.x=0, "-", _xlpm.x)
)</f>
        <v>-</v>
      </c>
      <c r="AB18" s="56" t="str">
        <f>_xlfn.LET(
 _xlpm.x,
 _xlfn.MAXIFS(
  raw_stack!H$2:H$100000,
  raw_stack!D$2:D$100000, G18,
  raw_stack!F$2:F$100000, "Iya",
  raw_stack!G$2:G$100000, "&gt;="&amp;DATE(2026,1,1),
  raw_stack!G$2:G$100000, "&lt;="&amp;EOMONTH(DATE(2026,1,1),0)
 ),
 IF(OR(_xlpm.x=0, _xlpm.x=""), "-", _xlpm.x)
)</f>
        <v>-</v>
      </c>
      <c r="AC18" s="55" t="str">
        <f>_xlfn.LET(
 _xlpm.x,
 _xlfn.MAXIFS(
  raw_stack!G$2:G$99411,
  raw_stack!D$2:D$99411, G18,
  raw_stack!F$2:F$99411, "Iya",
  raw_stack!G$2:G$99411, "&gt;="&amp;DATE(2026,2,1),
  raw_stack!G$2:G$99411, "&lt;="&amp;EOMONTH(DATE(2026,2,1),0)
 ),
 IF(_xlpm.x=0, "-", _xlpm.x)
)</f>
        <v>-</v>
      </c>
      <c r="AD18" s="56" t="str">
        <f>_xlfn.LET(
 _xlpm.x,
 _xlfn.MAXIFS(
  raw_stack!H$2:H$100000,
  raw_stack!D$2:D$100000, G18,
  raw_stack!F$2:F$100000, "Iya",
  raw_stack!G$2:G$100000, "&gt;="&amp;DATE(2026,2,1),
  raw_stack!G$2:G$100000, "&lt;="&amp;EOMONTH(DATE(2026,2,1),0)
 ),
 IF(OR(_xlpm.x=0, _xlpm.x=""), "-", _xlpm.x)
)</f>
        <v>-</v>
      </c>
      <c r="AE18" s="55">
        <f>_xlfn.LET(
 _xlpm.x,
 _xlfn.MAXIFS(
  raw_stack!G$2:G$100000,
  raw_stack!D$2:D$100000, G18,
  raw_stack!F$2:F$100000, "Iya",
  raw_stack!G$2:G$100000, "&gt;="&amp;DATE(2026,3,1),
  raw_stack!G$2:G$100000, "&lt;="&amp;EOMONTH(DATE(2026,3,1),0)
 ),
 IF(_xlpm.x=0, "-", _xlpm.x)
)</f>
        <v>46093</v>
      </c>
      <c r="AF18" s="56">
        <f>_xlfn.LET(
 _xlpm.x,
 _xlfn.MAXIFS(
  raw_stack!H$2:H$100000,
  raw_stack!D$2:D$100000, G18,
  raw_stack!F$2:F$100000, "Iya",
  raw_stack!G$2:G$100000, "&gt;="&amp;DATE(2026,3,1),
  raw_stack!G$2:G$100000, "&lt;="&amp;EOMONTH(DATE(2026,3,1),0)
 ),
 IF(OR(_xlpm.x=0, _xlpm.x=""), "-", _xlpm.x)
)</f>
        <v>57045</v>
      </c>
      <c r="AG18" s="55" t="str">
        <f>_xlfn.LET(
 _xlpm.x,
 _xlfn.MAXIFS(
  raw_stack!G$2:G$100000,
  raw_stack!D$2:D$100000, G18,
  raw_stack!F$2:F$100000, "Iya",
  raw_stack!G$2:G$100000, "&gt;="&amp;DATE(2026,4,1),
  raw_stack!G$2:G$100000, "&lt;="&amp;EOMONTH(DATE(2026,4,1),0)
 ),
 IF(_xlpm.x=0, "-", _xlpm.x)
)</f>
        <v>-</v>
      </c>
      <c r="AH18" s="56" t="str">
        <f>_xlfn.LET(
 _xlpm.x,
 _xlfn.MAXIFS(
  raw_stack!H$2:H$100000,
  raw_stack!D$2:D$100000, G18,
  raw_stack!F$2:F$100000, "Iya",
  raw_stack!G$2:G$100000, "&gt;="&amp;DATE(2026,4,1),
  raw_stack!G$2:G$100000, "&lt;="&amp;EOMONTH(DATE(2026,4,1),0)
 ),
 IF(OR(_xlpm.x=0, _xlpm.x=""), "-", _xlpm.x)
)</f>
        <v>-</v>
      </c>
    </row>
    <row r="19" spans="1:34">
      <c r="A19" s="48">
        <v>18</v>
      </c>
      <c r="B19" s="49" t="str">
        <f t="shared" si="0"/>
        <v>29110</v>
      </c>
      <c r="C19" s="50" t="s">
        <v>46</v>
      </c>
      <c r="D19" s="51" t="s">
        <v>469</v>
      </c>
      <c r="E19" s="51" t="s">
        <v>53</v>
      </c>
      <c r="F19" s="49" t="s">
        <v>117</v>
      </c>
      <c r="G19" s="49" t="s">
        <v>135</v>
      </c>
      <c r="H19" s="49" t="s">
        <v>48</v>
      </c>
      <c r="I19" s="49" t="s">
        <v>52</v>
      </c>
      <c r="J19" s="52">
        <v>5000000</v>
      </c>
      <c r="K19" s="53">
        <v>45931</v>
      </c>
      <c r="L19" s="53">
        <v>46112</v>
      </c>
      <c r="M19" s="53">
        <v>46112</v>
      </c>
      <c r="N19" s="49" t="s">
        <v>50</v>
      </c>
      <c r="O19" s="54" t="str">
        <f>_xlfn.LET(
 _xlpm.x,
 _xlfn.MAXIFS(
  raw_stack!G$2:G$100000,
  raw_stack!D$2:D$100000, G19,
  raw_stack!F$2:F$100000, "Iya",
  raw_stack!G$2:G$100000, "&gt;="&amp;DATE(2025,7,1),
  raw_stack!G$2:G$100000, "&lt;="&amp;EOMONTH(DATE(2025,7,1),0)
 ),
 IF(_xlpm.x=0, "-", _xlpm.x)
)</f>
        <v>-</v>
      </c>
      <c r="P19" s="65" t="str">
        <f>_xlfn.LET(
 _xlpm.x,
 _xlfn.MAXIFS(
  raw_stack!H$2:H$100000,
  raw_stack!D$2:D$100000, G19,
  raw_stack!F$2:F$100000, "Iya",
  raw_stack!G$2:G$100000, "&gt;="&amp;DATE(2025,7,1),
  raw_stack!G$2:G$100000, "&lt;="&amp;EOMONTH(DATE(2025,7,1),0)
 ),
 IF(OR(_xlpm.x=0, _xlpm.x=""), "-", _xlpm.x)
)</f>
        <v>-</v>
      </c>
      <c r="Q19" s="54" t="str">
        <f>_xlfn.LET(
 _xlpm.x,
 _xlfn.MAXIFS(
  raw_stack!G$2:G$99411,
  raw_stack!D$2:D$99411, G19,
  raw_stack!F$2:F$99411, "Iya",
  raw_stack!G$2:G$99411, "&gt;="&amp;DATE(2025,8,1),
  raw_stack!G$2:G$99411, "&lt;="&amp;EOMONTH(DATE(2025,8,1),0)
 ),
 IF(_xlpm.x=0, "-", _xlpm.x)
)</f>
        <v>-</v>
      </c>
      <c r="R19" s="65" t="str">
        <f>_xlfn.LET(
 _xlpm.x,
 _xlfn.MAXIFS(
  raw_stack!H$2:H$100000,
  raw_stack!D$2:D$100000, G19,
  raw_stack!F$2:F$100000, "Iya",
  raw_stack!G$2:G$100000, "&gt;="&amp;DATE(2025,8,1),
  raw_stack!G$2:G$100000, "&lt;="&amp;EOMONTH(DATE(2025,8,1),0)
 ),
 IF(OR(_xlpm.x=0, _xlpm.x=""), "-", _xlpm.x)
)</f>
        <v>-</v>
      </c>
      <c r="S19" s="54" t="str">
        <f>_xlfn.LET(
 _xlpm.x,
 _xlfn.MAXIFS(
  raw_stack!G$2:G$99411,
  raw_stack!D$2:D$99411, G19,
  raw_stack!F$2:F$99411, "Iya",
  raw_stack!G$2:G$99411, "&gt;="&amp;DATE(2025,9,1),
  raw_stack!G$2:G$99411, "&lt;="&amp;EOMONTH(DATE(2025,9,1),0)
 ),
 IF(_xlpm.x=0, "-", _xlpm.x)
)</f>
        <v>-</v>
      </c>
      <c r="T19" s="65" t="str">
        <f>_xlfn.LET(
 _xlpm.x,
 _xlfn.MAXIFS(
  raw_stack!H$2:H$100000,
  raw_stack!D$2:D$100000, G19,
  raw_stack!F$2:F$100000, "Iya",
  raw_stack!G$2:G$100000, "&gt;="&amp;DATE(2025,9,1),
  raw_stack!G$2:G$100000, "&lt;="&amp;EOMONTH(DATE(2025,9,1),0)
 ),
 IF(OR(_xlpm.x=0, _xlpm.x=""), "-", _xlpm.x)
)</f>
        <v>-</v>
      </c>
      <c r="U19" s="54">
        <f>_xlfn.LET(
 _xlpm.x,
 _xlfn.MAXIFS(
  raw_stack!G$2:G$99411,
  raw_stack!D$2:D$99411, G19,
  raw_stack!F$2:F$99411, "Iya",
  raw_stack!G$2:G$99411, "&gt;="&amp;DATE(2025,10,1),
  raw_stack!G$2:G$99411, "&lt;="&amp;EOMONTH(DATE(2025,10,1),0)
 ),
 IF(_xlpm.x=0, "-", _xlpm.x)
)</f>
        <v>45939</v>
      </c>
      <c r="V19" s="65">
        <f>_xlfn.LET(
 _xlpm.x,
 _xlfn.MAXIFS(
  raw_stack!H$2:H$100000,
  raw_stack!D$2:D$100000, G19,
  raw_stack!F$2:F$100000, "Iya",
  raw_stack!G$2:G$100000, "&gt;="&amp;DATE(2025,10,1),
  raw_stack!G$2:G$100000, "&lt;="&amp;EOMONTH(DATE(2025,10,1),0)
 ),
 IF(OR(_xlpm.x=0, _xlpm.x=""), "-", _xlpm.x)
)</f>
        <v>69285</v>
      </c>
      <c r="W19" s="55" t="str">
        <f>_xlfn.LET(
 _xlpm.x,
 _xlfn.MAXIFS(
  raw_stack!G$2:G$99411,
  raw_stack!D$2:D$99411, G19,
  raw_stack!F$2:F$99411, "Iya",
  raw_stack!G$2:G$99411, "&gt;="&amp;DATE(2025,11,1),
  raw_stack!G$2:G$99411, "&lt;="&amp;EOMONTH(DATE(2025,11,1),0)
 ),
 IF(_xlpm.x=0, "-", _xlpm.x)
)</f>
        <v>-</v>
      </c>
      <c r="X19" s="56" t="str">
        <f>_xlfn.LET(
 _xlpm.x,
 _xlfn.MAXIFS(
  raw_stack!H$2:H$100000,
  raw_stack!D$2:D$100000, G19,
  raw_stack!F$2:F$100000, "Iya",
  raw_stack!G$2:G$100000, "&gt;="&amp;DATE(2025,11,1),
  raw_stack!G$2:G$100000, "&lt;="&amp;EOMONTH(DATE(2025,11,1),0)
 ),
 IF(OR(_xlpm.x=0, _xlpm.x=""), "-", _xlpm.x)
)</f>
        <v>-</v>
      </c>
      <c r="Y19" s="55" t="str">
        <f>_xlfn.LET(
 _xlpm.x,
 _xlfn.MAXIFS(
  raw_stack!G$2:G$99411,
  raw_stack!D$2:D$99411, G19,
  raw_stack!F$2:F$99411, "Iya",
  raw_stack!G$2:G$99411, "&gt;="&amp;DATE(2025,12,1),
  raw_stack!G$2:G$99411, "&lt;="&amp;EOMONTH(DATE(2025,12,1),0)
 ),
 IF(_xlpm.x=0, "-", _xlpm.x)
)</f>
        <v>-</v>
      </c>
      <c r="Z19" s="56" t="str">
        <f>_xlfn.LET(
 _xlpm.x,
 _xlfn.MAXIFS(
  raw_stack!H$2:H$100000,
  raw_stack!D$2:D$100000, G19,
  raw_stack!F$2:F$100000, "Iya",
  raw_stack!G$2:G$100000, "&gt;="&amp;DATE(2025,12,1),
  raw_stack!G$2:G$100000, "&lt;="&amp;EOMONTH(DATE(2025,12,1),0)
 ),
 IF(OR(_xlpm.x=0, _xlpm.x=""), "-", _xlpm.x)
)</f>
        <v>-</v>
      </c>
      <c r="AA19" s="55" t="str">
        <f>_xlfn.LET(
 _xlpm.x,
 _xlfn.MAXIFS(
  raw_stack!G$2:G$99411,
  raw_stack!D$2:D$99411, G19,
  raw_stack!F$2:F$99411, "Iya",
  raw_stack!G$2:G$99411, "&gt;="&amp;DATE(2026,1,1),
  raw_stack!G$2:G$99411, "&lt;="&amp;EOMONTH(DATE(2026,1,1),0)
 ),
 IF(_xlpm.x=0, "-", _xlpm.x)
)</f>
        <v>-</v>
      </c>
      <c r="AB19" s="56" t="str">
        <f>_xlfn.LET(
 _xlpm.x,
 _xlfn.MAXIFS(
  raw_stack!H$2:H$100000,
  raw_stack!D$2:D$100000, G19,
  raw_stack!F$2:F$100000, "Iya",
  raw_stack!G$2:G$100000, "&gt;="&amp;DATE(2026,1,1),
  raw_stack!G$2:G$100000, "&lt;="&amp;EOMONTH(DATE(2026,1,1),0)
 ),
 IF(OR(_xlpm.x=0, _xlpm.x=""), "-", _xlpm.x)
)</f>
        <v>-</v>
      </c>
      <c r="AC19" s="55" t="str">
        <f>_xlfn.LET(
 _xlpm.x,
 _xlfn.MAXIFS(
  raw_stack!G$2:G$99411,
  raw_stack!D$2:D$99411, G19,
  raw_stack!F$2:F$99411, "Iya",
  raw_stack!G$2:G$99411, "&gt;="&amp;DATE(2026,2,1),
  raw_stack!G$2:G$99411, "&lt;="&amp;EOMONTH(DATE(2026,2,1),0)
 ),
 IF(_xlpm.x=0, "-", _xlpm.x)
)</f>
        <v>-</v>
      </c>
      <c r="AD19" s="56" t="str">
        <f>_xlfn.LET(
 _xlpm.x,
 _xlfn.MAXIFS(
  raw_stack!H$2:H$100000,
  raw_stack!D$2:D$100000, G19,
  raw_stack!F$2:F$100000, "Iya",
  raw_stack!G$2:G$100000, "&gt;="&amp;DATE(2026,2,1),
  raw_stack!G$2:G$100000, "&lt;="&amp;EOMONTH(DATE(2026,2,1),0)
 ),
 IF(OR(_xlpm.x=0, _xlpm.x=""), "-", _xlpm.x)
)</f>
        <v>-</v>
      </c>
      <c r="AE19" s="55" t="str">
        <f>_xlfn.LET(
 _xlpm.x,
 _xlfn.MAXIFS(
  raw_stack!G$2:G$100000,
  raw_stack!D$2:D$100000, G19,
  raw_stack!F$2:F$100000, "Iya",
  raw_stack!G$2:G$100000, "&gt;="&amp;DATE(2026,3,1),
  raw_stack!G$2:G$100000, "&lt;="&amp;EOMONTH(DATE(2026,3,1),0)
 ),
 IF(_xlpm.x=0, "-", _xlpm.x)
)</f>
        <v>-</v>
      </c>
      <c r="AF19" s="56" t="str">
        <f>_xlfn.LET(
 _xlpm.x,
 _xlfn.MAXIFS(
  raw_stack!H$2:H$100000,
  raw_stack!D$2:D$100000, G19,
  raw_stack!F$2:F$100000, "Iya",
  raw_stack!G$2:G$100000, "&gt;="&amp;DATE(2026,3,1),
  raw_stack!G$2:G$100000, "&lt;="&amp;EOMONTH(DATE(2026,3,1),0)
 ),
 IF(OR(_xlpm.x=0, _xlpm.x=""), "-", _xlpm.x)
)</f>
        <v>-</v>
      </c>
      <c r="AG19" s="55" t="str">
        <f>_xlfn.LET(
 _xlpm.x,
 _xlfn.MAXIFS(
  raw_stack!G$2:G$100000,
  raw_stack!D$2:D$100000, G19,
  raw_stack!F$2:F$100000, "Iya",
  raw_stack!G$2:G$100000, "&gt;="&amp;DATE(2026,4,1),
  raw_stack!G$2:G$100000, "&lt;="&amp;EOMONTH(DATE(2026,4,1),0)
 ),
 IF(_xlpm.x=0, "-", _xlpm.x)
)</f>
        <v>-</v>
      </c>
      <c r="AH19" s="56" t="str">
        <f>_xlfn.LET(
 _xlpm.x,
 _xlfn.MAXIFS(
  raw_stack!H$2:H$100000,
  raw_stack!D$2:D$100000, G19,
  raw_stack!F$2:F$100000, "Iya",
  raw_stack!G$2:G$100000, "&gt;="&amp;DATE(2026,4,1),
  raw_stack!G$2:G$100000, "&lt;="&amp;EOMONTH(DATE(2026,4,1),0)
 ),
 IF(OR(_xlpm.x=0, _xlpm.x=""), "-", _xlpm.x)
)</f>
        <v>-</v>
      </c>
    </row>
    <row r="20" spans="1:34">
      <c r="A20" s="48">
        <v>19</v>
      </c>
      <c r="B20" s="49" t="str">
        <f t="shared" si="0"/>
        <v>52103</v>
      </c>
      <c r="C20" s="50" t="s">
        <v>46</v>
      </c>
      <c r="D20" s="51" t="s">
        <v>470</v>
      </c>
      <c r="E20" s="51" t="s">
        <v>54</v>
      </c>
      <c r="F20" s="49" t="s">
        <v>117</v>
      </c>
      <c r="G20" s="49" t="s">
        <v>136</v>
      </c>
      <c r="H20" s="49" t="s">
        <v>48</v>
      </c>
      <c r="I20" s="49" t="s">
        <v>52</v>
      </c>
      <c r="J20" s="52">
        <v>5950000</v>
      </c>
      <c r="K20" s="53">
        <v>45931</v>
      </c>
      <c r="L20" s="53">
        <v>46112</v>
      </c>
      <c r="M20" s="53">
        <v>46053</v>
      </c>
      <c r="N20" s="49" t="s">
        <v>50</v>
      </c>
      <c r="O20" s="54">
        <f>_xlfn.LET(
 _xlpm.x,
 _xlfn.MAXIFS(
  raw_stack!G$2:G$100000,
  raw_stack!D$2:D$100000, G20,
  raw_stack!F$2:F$100000, "Iya",
  raw_stack!G$2:G$100000, "&gt;="&amp;DATE(2025,7,1),
  raw_stack!G$2:G$100000, "&lt;="&amp;EOMONTH(DATE(2025,7,1),0)
 ),
 IF(_xlpm.x=0, "-", _xlpm.x)
)</f>
        <v>45847</v>
      </c>
      <c r="P20" s="65">
        <f>_xlfn.LET(
 _xlpm.x,
 _xlfn.MAXIFS(
  raw_stack!H$2:H$100000,
  raw_stack!D$2:D$100000, G20,
  raw_stack!F$2:F$100000, "Iya",
  raw_stack!G$2:G$100000, "&gt;="&amp;DATE(2025,7,1),
  raw_stack!G$2:G$100000, "&lt;="&amp;EOMONTH(DATE(2025,7,1),0)
 ),
 IF(OR(_xlpm.x=0, _xlpm.x=""), "-", _xlpm.x)
)</f>
        <v>77493</v>
      </c>
      <c r="Q20" s="54" t="str">
        <f>_xlfn.LET(
 _xlpm.x,
 _xlfn.MAXIFS(
  raw_stack!G$2:G$99411,
  raw_stack!D$2:D$99411, G20,
  raw_stack!F$2:F$99411, "Iya",
  raw_stack!G$2:G$99411, "&gt;="&amp;DATE(2025,8,1),
  raw_stack!G$2:G$99411, "&lt;="&amp;EOMONTH(DATE(2025,8,1),0)
 ),
 IF(_xlpm.x=0, "-", _xlpm.x)
)</f>
        <v>-</v>
      </c>
      <c r="R20" s="65" t="str">
        <f>_xlfn.LET(
 _xlpm.x,
 _xlfn.MAXIFS(
  raw_stack!H$2:H$100000,
  raw_stack!D$2:D$100000, G20,
  raw_stack!F$2:F$100000, "Iya",
  raw_stack!G$2:G$100000, "&gt;="&amp;DATE(2025,8,1),
  raw_stack!G$2:G$100000, "&lt;="&amp;EOMONTH(DATE(2025,8,1),0)
 ),
 IF(OR(_xlpm.x=0, _xlpm.x=""), "-", _xlpm.x)
)</f>
        <v>-</v>
      </c>
      <c r="S20" s="54" t="str">
        <f>_xlfn.LET(
 _xlpm.x,
 _xlfn.MAXIFS(
  raw_stack!G$2:G$99411,
  raw_stack!D$2:D$99411, G20,
  raw_stack!F$2:F$99411, "Iya",
  raw_stack!G$2:G$99411, "&gt;="&amp;DATE(2025,9,1),
  raw_stack!G$2:G$99411, "&lt;="&amp;EOMONTH(DATE(2025,9,1),0)
 ),
 IF(_xlpm.x=0, "-", _xlpm.x)
)</f>
        <v>-</v>
      </c>
      <c r="T20" s="65" t="str">
        <f>_xlfn.LET(
 _xlpm.x,
 _xlfn.MAXIFS(
  raw_stack!H$2:H$100000,
  raw_stack!D$2:D$100000, G20,
  raw_stack!F$2:F$100000, "Iya",
  raw_stack!G$2:G$100000, "&gt;="&amp;DATE(2025,9,1),
  raw_stack!G$2:G$100000, "&lt;="&amp;EOMONTH(DATE(2025,9,1),0)
 ),
 IF(OR(_xlpm.x=0, _xlpm.x=""), "-", _xlpm.x)
)</f>
        <v>-</v>
      </c>
      <c r="U20" s="54" t="str">
        <f>_xlfn.LET(
 _xlpm.x,
 _xlfn.MAXIFS(
  raw_stack!G$2:G$99411,
  raw_stack!D$2:D$99411, G20,
  raw_stack!F$2:F$99411, "Iya",
  raw_stack!G$2:G$99411, "&gt;="&amp;DATE(2025,10,1),
  raw_stack!G$2:G$99411, "&lt;="&amp;EOMONTH(DATE(2025,10,1),0)
 ),
 IF(_xlpm.x=0, "-", _xlpm.x)
)</f>
        <v>-</v>
      </c>
      <c r="V20" s="65" t="str">
        <f>_xlfn.LET(
 _xlpm.x,
 _xlfn.MAXIFS(
  raw_stack!H$2:H$100000,
  raw_stack!D$2:D$100000, G20,
  raw_stack!F$2:F$100000, "Iya",
  raw_stack!G$2:G$100000, "&gt;="&amp;DATE(2025,10,1),
  raw_stack!G$2:G$100000, "&lt;="&amp;EOMONTH(DATE(2025,10,1),0)
 ),
 IF(OR(_xlpm.x=0, _xlpm.x=""), "-", _xlpm.x)
)</f>
        <v>-</v>
      </c>
      <c r="W20" s="55" t="str">
        <f>_xlfn.LET(
 _xlpm.x,
 _xlfn.MAXIFS(
  raw_stack!G$2:G$99411,
  raw_stack!D$2:D$99411, G20,
  raw_stack!F$2:F$99411, "Iya",
  raw_stack!G$2:G$99411, "&gt;="&amp;DATE(2025,11,1),
  raw_stack!G$2:G$99411, "&lt;="&amp;EOMONTH(DATE(2025,11,1),0)
 ),
 IF(_xlpm.x=0, "-", _xlpm.x)
)</f>
        <v>-</v>
      </c>
      <c r="X20" s="56" t="str">
        <f>_xlfn.LET(
 _xlpm.x,
 _xlfn.MAXIFS(
  raw_stack!H$2:H$100000,
  raw_stack!D$2:D$100000, G20,
  raw_stack!F$2:F$100000, "Iya",
  raw_stack!G$2:G$100000, "&gt;="&amp;DATE(2025,11,1),
  raw_stack!G$2:G$100000, "&lt;="&amp;EOMONTH(DATE(2025,11,1),0)
 ),
 IF(OR(_xlpm.x=0, _xlpm.x=""), "-", _xlpm.x)
)</f>
        <v>-</v>
      </c>
      <c r="Y20" s="55">
        <f>_xlfn.LET(
 _xlpm.x,
 _xlfn.MAXIFS(
  raw_stack!G$2:G$99411,
  raw_stack!D$2:D$99411, G20,
  raw_stack!F$2:F$99411, "Iya",
  raw_stack!G$2:G$99411, "&gt;="&amp;DATE(2025,12,1),
  raw_stack!G$2:G$99411, "&lt;="&amp;EOMONTH(DATE(2025,12,1),0)
 ),
 IF(_xlpm.x=0, "-", _xlpm.x)
)</f>
        <v>46004</v>
      </c>
      <c r="Z20" s="56">
        <f>_xlfn.LET(
 _xlpm.x,
 _xlfn.MAXIFS(
  raw_stack!H$2:H$100000,
  raw_stack!D$2:D$100000, G20,
  raw_stack!F$2:F$100000, "Iya",
  raw_stack!G$2:G$100000, "&gt;="&amp;DATE(2025,12,1),
  raw_stack!G$2:G$100000, "&lt;="&amp;EOMONTH(DATE(2025,12,1),0)
 ),
 IF(OR(_xlpm.x=0, _xlpm.x=""), "-", _xlpm.x)
)</f>
        <v>85805</v>
      </c>
      <c r="AA20" s="55" t="str">
        <f>_xlfn.LET(
 _xlpm.x,
 _xlfn.MAXIFS(
  raw_stack!G$2:G$99411,
  raw_stack!D$2:D$99411, G20,
  raw_stack!F$2:F$99411, "Iya",
  raw_stack!G$2:G$99411, "&gt;="&amp;DATE(2026,1,1),
  raw_stack!G$2:G$99411, "&lt;="&amp;EOMONTH(DATE(2026,1,1),0)
 ),
 IF(_xlpm.x=0, "-", _xlpm.x)
)</f>
        <v>-</v>
      </c>
      <c r="AB20" s="56" t="str">
        <f>_xlfn.LET(
 _xlpm.x,
 _xlfn.MAXIFS(
  raw_stack!H$2:H$100000,
  raw_stack!D$2:D$100000, G20,
  raw_stack!F$2:F$100000, "Iya",
  raw_stack!G$2:G$100000, "&gt;="&amp;DATE(2026,1,1),
  raw_stack!G$2:G$100000, "&lt;="&amp;EOMONTH(DATE(2026,1,1),0)
 ),
 IF(OR(_xlpm.x=0, _xlpm.x=""), "-", _xlpm.x)
)</f>
        <v>-</v>
      </c>
      <c r="AC20" s="55" t="str">
        <f>_xlfn.LET(
 _xlpm.x,
 _xlfn.MAXIFS(
  raw_stack!G$2:G$99411,
  raw_stack!D$2:D$99411, G20,
  raw_stack!F$2:F$99411, "Iya",
  raw_stack!G$2:G$99411, "&gt;="&amp;DATE(2026,2,1),
  raw_stack!G$2:G$99411, "&lt;="&amp;EOMONTH(DATE(2026,2,1),0)
 ),
 IF(_xlpm.x=0, "-", _xlpm.x)
)</f>
        <v>-</v>
      </c>
      <c r="AD20" s="56" t="str">
        <f>_xlfn.LET(
 _xlpm.x,
 _xlfn.MAXIFS(
  raw_stack!H$2:H$100000,
  raw_stack!D$2:D$100000, G20,
  raw_stack!F$2:F$100000, "Iya",
  raw_stack!G$2:G$100000, "&gt;="&amp;DATE(2026,2,1),
  raw_stack!G$2:G$100000, "&lt;="&amp;EOMONTH(DATE(2026,2,1),0)
 ),
 IF(OR(_xlpm.x=0, _xlpm.x=""), "-", _xlpm.x)
)</f>
        <v>-</v>
      </c>
      <c r="AE20" s="55" t="str">
        <f>_xlfn.LET(
 _xlpm.x,
 _xlfn.MAXIFS(
  raw_stack!G$2:G$100000,
  raw_stack!D$2:D$100000, G20,
  raw_stack!F$2:F$100000, "Iya",
  raw_stack!G$2:G$100000, "&gt;="&amp;DATE(2026,3,1),
  raw_stack!G$2:G$100000, "&lt;="&amp;EOMONTH(DATE(2026,3,1),0)
 ),
 IF(_xlpm.x=0, "-", _xlpm.x)
)</f>
        <v>-</v>
      </c>
      <c r="AF20" s="56" t="str">
        <f>_xlfn.LET(
 _xlpm.x,
 _xlfn.MAXIFS(
  raw_stack!H$2:H$100000,
  raw_stack!D$2:D$100000, G20,
  raw_stack!F$2:F$100000, "Iya",
  raw_stack!G$2:G$100000, "&gt;="&amp;DATE(2026,3,1),
  raw_stack!G$2:G$100000, "&lt;="&amp;EOMONTH(DATE(2026,3,1),0)
 ),
 IF(OR(_xlpm.x=0, _xlpm.x=""), "-", _xlpm.x)
)</f>
        <v>-</v>
      </c>
      <c r="AG20" s="55" t="str">
        <f>_xlfn.LET(
 _xlpm.x,
 _xlfn.MAXIFS(
  raw_stack!G$2:G$100000,
  raw_stack!D$2:D$100000, G20,
  raw_stack!F$2:F$100000, "Iya",
  raw_stack!G$2:G$100000, "&gt;="&amp;DATE(2026,4,1),
  raw_stack!G$2:G$100000, "&lt;="&amp;EOMONTH(DATE(2026,4,1),0)
 ),
 IF(_xlpm.x=0, "-", _xlpm.x)
)</f>
        <v>-</v>
      </c>
      <c r="AH20" s="56" t="str">
        <f>_xlfn.LET(
 _xlpm.x,
 _xlfn.MAXIFS(
  raw_stack!H$2:H$100000,
  raw_stack!D$2:D$100000, G20,
  raw_stack!F$2:F$100000, "Iya",
  raw_stack!G$2:G$100000, "&gt;="&amp;DATE(2026,4,1),
  raw_stack!G$2:G$100000, "&lt;="&amp;EOMONTH(DATE(2026,4,1),0)
 ),
 IF(OR(_xlpm.x=0, _xlpm.x=""), "-", _xlpm.x)
)</f>
        <v>-</v>
      </c>
    </row>
    <row r="21" spans="1:34">
      <c r="A21" s="48">
        <v>20</v>
      </c>
      <c r="B21" s="49" t="str">
        <f t="shared" si="0"/>
        <v>92412</v>
      </c>
      <c r="C21" s="50" t="s">
        <v>46</v>
      </c>
      <c r="D21" s="51" t="s">
        <v>471</v>
      </c>
      <c r="E21" s="51" t="s">
        <v>51</v>
      </c>
      <c r="F21" s="49" t="s">
        <v>117</v>
      </c>
      <c r="G21" s="49" t="s">
        <v>137</v>
      </c>
      <c r="H21" s="49" t="s">
        <v>48</v>
      </c>
      <c r="I21" s="49" t="s">
        <v>52</v>
      </c>
      <c r="J21" s="52">
        <v>4105000</v>
      </c>
      <c r="K21" s="53">
        <v>45019</v>
      </c>
      <c r="L21" s="53">
        <v>46114</v>
      </c>
      <c r="M21" s="53">
        <v>46083</v>
      </c>
      <c r="N21" s="49" t="s">
        <v>50</v>
      </c>
      <c r="O21" s="54" t="str">
        <f>_xlfn.LET(
 _xlpm.x,
 _xlfn.MAXIFS(
  raw_stack!G$2:G$100000,
  raw_stack!D$2:D$100000, G21,
  raw_stack!F$2:F$100000, "Iya",
  raw_stack!G$2:G$100000, "&gt;="&amp;DATE(2025,7,1),
  raw_stack!G$2:G$100000, "&lt;="&amp;EOMONTH(DATE(2025,7,1),0)
 ),
 IF(_xlpm.x=0, "-", _xlpm.x)
)</f>
        <v>-</v>
      </c>
      <c r="P21" s="65" t="str">
        <f>_xlfn.LET(
 _xlpm.x,
 _xlfn.MAXIFS(
  raw_stack!H$2:H$100000,
  raw_stack!D$2:D$100000, G21,
  raw_stack!F$2:F$100000, "Iya",
  raw_stack!G$2:G$100000, "&gt;="&amp;DATE(2025,7,1),
  raw_stack!G$2:G$100000, "&lt;="&amp;EOMONTH(DATE(2025,7,1),0)
 ),
 IF(OR(_xlpm.x=0, _xlpm.x=""), "-", _xlpm.x)
)</f>
        <v>-</v>
      </c>
      <c r="Q21" s="54" t="str">
        <f>_xlfn.LET(
 _xlpm.x,
 _xlfn.MAXIFS(
  raw_stack!G$2:G$99411,
  raw_stack!D$2:D$99411, G21,
  raw_stack!F$2:F$99411, "Iya",
  raw_stack!G$2:G$99411, "&gt;="&amp;DATE(2025,8,1),
  raw_stack!G$2:G$99411, "&lt;="&amp;EOMONTH(DATE(2025,8,1),0)
 ),
 IF(_xlpm.x=0, "-", _xlpm.x)
)</f>
        <v>-</v>
      </c>
      <c r="R21" s="65" t="str">
        <f>_xlfn.LET(
 _xlpm.x,
 _xlfn.MAXIFS(
  raw_stack!H$2:H$100000,
  raw_stack!D$2:D$100000, G21,
  raw_stack!F$2:F$100000, "Iya",
  raw_stack!G$2:G$100000, "&gt;="&amp;DATE(2025,8,1),
  raw_stack!G$2:G$100000, "&lt;="&amp;EOMONTH(DATE(2025,8,1),0)
 ),
 IF(OR(_xlpm.x=0, _xlpm.x=""), "-", _xlpm.x)
)</f>
        <v>-</v>
      </c>
      <c r="S21" s="54" t="str">
        <f>_xlfn.LET(
 _xlpm.x,
 _xlfn.MAXIFS(
  raw_stack!G$2:G$99411,
  raw_stack!D$2:D$99411, G21,
  raw_stack!F$2:F$99411, "Iya",
  raw_stack!G$2:G$99411, "&gt;="&amp;DATE(2025,9,1),
  raw_stack!G$2:G$99411, "&lt;="&amp;EOMONTH(DATE(2025,9,1),0)
 ),
 IF(_xlpm.x=0, "-", _xlpm.x)
)</f>
        <v>-</v>
      </c>
      <c r="T21" s="65" t="str">
        <f>_xlfn.LET(
 _xlpm.x,
 _xlfn.MAXIFS(
  raw_stack!H$2:H$100000,
  raw_stack!D$2:D$100000, G21,
  raw_stack!F$2:F$100000, "Iya",
  raw_stack!G$2:G$100000, "&gt;="&amp;DATE(2025,9,1),
  raw_stack!G$2:G$100000, "&lt;="&amp;EOMONTH(DATE(2025,9,1),0)
 ),
 IF(OR(_xlpm.x=0, _xlpm.x=""), "-", _xlpm.x)
)</f>
        <v>-</v>
      </c>
      <c r="U21" s="54" t="str">
        <f>_xlfn.LET(
 _xlpm.x,
 _xlfn.MAXIFS(
  raw_stack!G$2:G$99411,
  raw_stack!D$2:D$99411, G21,
  raw_stack!F$2:F$99411, "Iya",
  raw_stack!G$2:G$99411, "&gt;="&amp;DATE(2025,10,1),
  raw_stack!G$2:G$99411, "&lt;="&amp;EOMONTH(DATE(2025,10,1),0)
 ),
 IF(_xlpm.x=0, "-", _xlpm.x)
)</f>
        <v>-</v>
      </c>
      <c r="V21" s="65" t="str">
        <f>_xlfn.LET(
 _xlpm.x,
 _xlfn.MAXIFS(
  raw_stack!H$2:H$100000,
  raw_stack!D$2:D$100000, G21,
  raw_stack!F$2:F$100000, "Iya",
  raw_stack!G$2:G$100000, "&gt;="&amp;DATE(2025,10,1),
  raw_stack!G$2:G$100000, "&lt;="&amp;EOMONTH(DATE(2025,10,1),0)
 ),
 IF(OR(_xlpm.x=0, _xlpm.x=""), "-", _xlpm.x)
)</f>
        <v>-</v>
      </c>
      <c r="W21" s="55">
        <f>_xlfn.LET(
 _xlpm.x,
 _xlfn.MAXIFS(
  raw_stack!G$2:G$99411,
  raw_stack!D$2:D$99411, G21,
  raw_stack!F$2:F$99411, "Iya",
  raw_stack!G$2:G$99411, "&gt;="&amp;DATE(2025,11,1),
  raw_stack!G$2:G$99411, "&lt;="&amp;EOMONTH(DATE(2025,11,1),0)
 ),
 IF(_xlpm.x=0, "-", _xlpm.x)
)</f>
        <v>45980</v>
      </c>
      <c r="X21" s="56">
        <f>_xlfn.LET(
 _xlpm.x,
 _xlfn.MAXIFS(
  raw_stack!H$2:H$100000,
  raw_stack!D$2:D$100000, G21,
  raw_stack!F$2:F$100000, "Iya",
  raw_stack!G$2:G$100000, "&gt;="&amp;DATE(2025,11,1),
  raw_stack!G$2:G$100000, "&lt;="&amp;EOMONTH(DATE(2025,11,1),0)
 ),
 IF(OR(_xlpm.x=0, _xlpm.x=""), "-", _xlpm.x)
)</f>
        <v>30678</v>
      </c>
      <c r="Y21" s="55" t="str">
        <f>_xlfn.LET(
 _xlpm.x,
 _xlfn.MAXIFS(
  raw_stack!G$2:G$99411,
  raw_stack!D$2:D$99411, G21,
  raw_stack!F$2:F$99411, "Iya",
  raw_stack!G$2:G$99411, "&gt;="&amp;DATE(2025,12,1),
  raw_stack!G$2:G$99411, "&lt;="&amp;EOMONTH(DATE(2025,12,1),0)
 ),
 IF(_xlpm.x=0, "-", _xlpm.x)
)</f>
        <v>-</v>
      </c>
      <c r="Z21" s="56" t="str">
        <f>_xlfn.LET(
 _xlpm.x,
 _xlfn.MAXIFS(
  raw_stack!H$2:H$100000,
  raw_stack!D$2:D$100000, G21,
  raw_stack!F$2:F$100000, "Iya",
  raw_stack!G$2:G$100000, "&gt;="&amp;DATE(2025,12,1),
  raw_stack!G$2:G$100000, "&lt;="&amp;EOMONTH(DATE(2025,12,1),0)
 ),
 IF(OR(_xlpm.x=0, _xlpm.x=""), "-", _xlpm.x)
)</f>
        <v>-</v>
      </c>
      <c r="AA21" s="55" t="str">
        <f>_xlfn.LET(
 _xlpm.x,
 _xlfn.MAXIFS(
  raw_stack!G$2:G$99411,
  raw_stack!D$2:D$99411, G21,
  raw_stack!F$2:F$99411, "Iya",
  raw_stack!G$2:G$99411, "&gt;="&amp;DATE(2026,1,1),
  raw_stack!G$2:G$99411, "&lt;="&amp;EOMONTH(DATE(2026,1,1),0)
 ),
 IF(_xlpm.x=0, "-", _xlpm.x)
)</f>
        <v>-</v>
      </c>
      <c r="AB21" s="56" t="str">
        <f>_xlfn.LET(
 _xlpm.x,
 _xlfn.MAXIFS(
  raw_stack!H$2:H$100000,
  raw_stack!D$2:D$100000, G21,
  raw_stack!F$2:F$100000, "Iya",
  raw_stack!G$2:G$100000, "&gt;="&amp;DATE(2026,1,1),
  raw_stack!G$2:G$100000, "&lt;="&amp;EOMONTH(DATE(2026,1,1),0)
 ),
 IF(OR(_xlpm.x=0, _xlpm.x=""), "-", _xlpm.x)
)</f>
        <v>-</v>
      </c>
      <c r="AC21" s="55" t="str">
        <f>_xlfn.LET(
 _xlpm.x,
 _xlfn.MAXIFS(
  raw_stack!G$2:G$99411,
  raw_stack!D$2:D$99411, G21,
  raw_stack!F$2:F$99411, "Iya",
  raw_stack!G$2:G$99411, "&gt;="&amp;DATE(2026,2,1),
  raw_stack!G$2:G$99411, "&lt;="&amp;EOMONTH(DATE(2026,2,1),0)
 ),
 IF(_xlpm.x=0, "-", _xlpm.x)
)</f>
        <v>-</v>
      </c>
      <c r="AD21" s="56" t="str">
        <f>_xlfn.LET(
 _xlpm.x,
 _xlfn.MAXIFS(
  raw_stack!H$2:H$100000,
  raw_stack!D$2:D$100000, G21,
  raw_stack!F$2:F$100000, "Iya",
  raw_stack!G$2:G$100000, "&gt;="&amp;DATE(2026,2,1),
  raw_stack!G$2:G$100000, "&lt;="&amp;EOMONTH(DATE(2026,2,1),0)
 ),
 IF(OR(_xlpm.x=0, _xlpm.x=""), "-", _xlpm.x)
)</f>
        <v>-</v>
      </c>
      <c r="AE21" s="55" t="str">
        <f>_xlfn.LET(
 _xlpm.x,
 _xlfn.MAXIFS(
  raw_stack!G$2:G$100000,
  raw_stack!D$2:D$100000, G21,
  raw_stack!F$2:F$100000, "Iya",
  raw_stack!G$2:G$100000, "&gt;="&amp;DATE(2026,3,1),
  raw_stack!G$2:G$100000, "&lt;="&amp;EOMONTH(DATE(2026,3,1),0)
 ),
 IF(_xlpm.x=0, "-", _xlpm.x)
)</f>
        <v>-</v>
      </c>
      <c r="AF21" s="56" t="str">
        <f>_xlfn.LET(
 _xlpm.x,
 _xlfn.MAXIFS(
  raw_stack!H$2:H$100000,
  raw_stack!D$2:D$100000, G21,
  raw_stack!F$2:F$100000, "Iya",
  raw_stack!G$2:G$100000, "&gt;="&amp;DATE(2026,3,1),
  raw_stack!G$2:G$100000, "&lt;="&amp;EOMONTH(DATE(2026,3,1),0)
 ),
 IF(OR(_xlpm.x=0, _xlpm.x=""), "-", _xlpm.x)
)</f>
        <v>-</v>
      </c>
      <c r="AG21" s="55" t="str">
        <f>_xlfn.LET(
 _xlpm.x,
 _xlfn.MAXIFS(
  raw_stack!G$2:G$100000,
  raw_stack!D$2:D$100000, G21,
  raw_stack!F$2:F$100000, "Iya",
  raw_stack!G$2:G$100000, "&gt;="&amp;DATE(2026,4,1),
  raw_stack!G$2:G$100000, "&lt;="&amp;EOMONTH(DATE(2026,4,1),0)
 ),
 IF(_xlpm.x=0, "-", _xlpm.x)
)</f>
        <v>-</v>
      </c>
      <c r="AH21" s="56" t="str">
        <f>_xlfn.LET(
 _xlpm.x,
 _xlfn.MAXIFS(
  raw_stack!H$2:H$100000,
  raw_stack!D$2:D$100000, G21,
  raw_stack!F$2:F$100000, "Iya",
  raw_stack!G$2:G$100000, "&gt;="&amp;DATE(2026,4,1),
  raw_stack!G$2:G$100000, "&lt;="&amp;EOMONTH(DATE(2026,4,1),0)
 ),
 IF(OR(_xlpm.x=0, _xlpm.x=""), "-", _xlpm.x)
)</f>
        <v>-</v>
      </c>
    </row>
    <row r="22" spans="1:34">
      <c r="A22" s="48">
        <v>21</v>
      </c>
      <c r="B22" s="49" t="str">
        <f t="shared" si="0"/>
        <v>40555</v>
      </c>
      <c r="C22" s="50" t="s">
        <v>46</v>
      </c>
      <c r="D22" s="51" t="s">
        <v>472</v>
      </c>
      <c r="E22" s="51" t="s">
        <v>54</v>
      </c>
      <c r="F22" s="49" t="s">
        <v>117</v>
      </c>
      <c r="G22" s="49" t="s">
        <v>138</v>
      </c>
      <c r="H22" s="49" t="s">
        <v>48</v>
      </c>
      <c r="I22" s="49" t="s">
        <v>52</v>
      </c>
      <c r="J22" s="52">
        <v>6450000</v>
      </c>
      <c r="K22" s="53">
        <v>45021</v>
      </c>
      <c r="L22" s="53">
        <v>46116</v>
      </c>
      <c r="M22" s="53">
        <v>46085</v>
      </c>
      <c r="N22" s="49" t="s">
        <v>50</v>
      </c>
      <c r="O22" s="54" t="str">
        <f>_xlfn.LET(
 _xlpm.x,
 _xlfn.MAXIFS(
  raw_stack!G$2:G$100000,
  raw_stack!D$2:D$100000, G22,
  raw_stack!F$2:F$100000, "Iya",
  raw_stack!G$2:G$100000, "&gt;="&amp;DATE(2025,7,1),
  raw_stack!G$2:G$100000, "&lt;="&amp;EOMONTH(DATE(2025,7,1),0)
 ),
 IF(_xlpm.x=0, "-", _xlpm.x)
)</f>
        <v>-</v>
      </c>
      <c r="P22" s="65" t="str">
        <f>_xlfn.LET(
 _xlpm.x,
 _xlfn.MAXIFS(
  raw_stack!H$2:H$100000,
  raw_stack!D$2:D$100000, G22,
  raw_stack!F$2:F$100000, "Iya",
  raw_stack!G$2:G$100000, "&gt;="&amp;DATE(2025,7,1),
  raw_stack!G$2:G$100000, "&lt;="&amp;EOMONTH(DATE(2025,7,1),0)
 ),
 IF(OR(_xlpm.x=0, _xlpm.x=""), "-", _xlpm.x)
)</f>
        <v>-</v>
      </c>
      <c r="Q22" s="54" t="str">
        <f>_xlfn.LET(
 _xlpm.x,
 _xlfn.MAXIFS(
  raw_stack!G$2:G$99411,
  raw_stack!D$2:D$99411, G22,
  raw_stack!F$2:F$99411, "Iya",
  raw_stack!G$2:G$99411, "&gt;="&amp;DATE(2025,8,1),
  raw_stack!G$2:G$99411, "&lt;="&amp;EOMONTH(DATE(2025,8,1),0)
 ),
 IF(_xlpm.x=0, "-", _xlpm.x)
)</f>
        <v>-</v>
      </c>
      <c r="R22" s="65" t="str">
        <f>_xlfn.LET(
 _xlpm.x,
 _xlfn.MAXIFS(
  raw_stack!H$2:H$100000,
  raw_stack!D$2:D$100000, G22,
  raw_stack!F$2:F$100000, "Iya",
  raw_stack!G$2:G$100000, "&gt;="&amp;DATE(2025,8,1),
  raw_stack!G$2:G$100000, "&lt;="&amp;EOMONTH(DATE(2025,8,1),0)
 ),
 IF(OR(_xlpm.x=0, _xlpm.x=""), "-", _xlpm.x)
)</f>
        <v>-</v>
      </c>
      <c r="S22" s="54" t="str">
        <f>_xlfn.LET(
 _xlpm.x,
 _xlfn.MAXIFS(
  raw_stack!G$2:G$99411,
  raw_stack!D$2:D$99411, G22,
  raw_stack!F$2:F$99411, "Iya",
  raw_stack!G$2:G$99411, "&gt;="&amp;DATE(2025,9,1),
  raw_stack!G$2:G$99411, "&lt;="&amp;EOMONTH(DATE(2025,9,1),0)
 ),
 IF(_xlpm.x=0, "-", _xlpm.x)
)</f>
        <v>-</v>
      </c>
      <c r="T22" s="65" t="str">
        <f>_xlfn.LET(
 _xlpm.x,
 _xlfn.MAXIFS(
  raw_stack!H$2:H$100000,
  raw_stack!D$2:D$100000, G22,
  raw_stack!F$2:F$100000, "Iya",
  raw_stack!G$2:G$100000, "&gt;="&amp;DATE(2025,9,1),
  raw_stack!G$2:G$100000, "&lt;="&amp;EOMONTH(DATE(2025,9,1),0)
 ),
 IF(OR(_xlpm.x=0, _xlpm.x=""), "-", _xlpm.x)
)</f>
        <v>-</v>
      </c>
      <c r="U22" s="54">
        <f>_xlfn.LET(
 _xlpm.x,
 _xlfn.MAXIFS(
  raw_stack!G$2:G$99411,
  raw_stack!D$2:D$99411, G22,
  raw_stack!F$2:F$99411, "Iya",
  raw_stack!G$2:G$99411, "&gt;="&amp;DATE(2025,10,1),
  raw_stack!G$2:G$99411, "&lt;="&amp;EOMONTH(DATE(2025,10,1),0)
 ),
 IF(_xlpm.x=0, "-", _xlpm.x)
)</f>
        <v>45931</v>
      </c>
      <c r="V22" s="65">
        <f>_xlfn.LET(
 _xlpm.x,
 _xlfn.MAXIFS(
  raw_stack!H$2:H$100000,
  raw_stack!D$2:D$100000, G22,
  raw_stack!F$2:F$100000, "Iya",
  raw_stack!G$2:G$100000, "&gt;="&amp;DATE(2025,10,1),
  raw_stack!G$2:G$100000, "&lt;="&amp;EOMONTH(DATE(2025,10,1),0)
 ),
 IF(OR(_xlpm.x=0, _xlpm.x=""), "-", _xlpm.x)
)</f>
        <v>53836</v>
      </c>
      <c r="W22" s="55" t="str">
        <f>_xlfn.LET(
 _xlpm.x,
 _xlfn.MAXIFS(
  raw_stack!G$2:G$99411,
  raw_stack!D$2:D$99411, G22,
  raw_stack!F$2:F$99411, "Iya",
  raw_stack!G$2:G$99411, "&gt;="&amp;DATE(2025,11,1),
  raw_stack!G$2:G$99411, "&lt;="&amp;EOMONTH(DATE(2025,11,1),0)
 ),
 IF(_xlpm.x=0, "-", _xlpm.x)
)</f>
        <v>-</v>
      </c>
      <c r="X22" s="56" t="str">
        <f>_xlfn.LET(
 _xlpm.x,
 _xlfn.MAXIFS(
  raw_stack!H$2:H$100000,
  raw_stack!D$2:D$100000, G22,
  raw_stack!F$2:F$100000, "Iya",
  raw_stack!G$2:G$100000, "&gt;="&amp;DATE(2025,11,1),
  raw_stack!G$2:G$100000, "&lt;="&amp;EOMONTH(DATE(2025,11,1),0)
 ),
 IF(OR(_xlpm.x=0, _xlpm.x=""), "-", _xlpm.x)
)</f>
        <v>-</v>
      </c>
      <c r="Y22" s="55" t="str">
        <f>_xlfn.LET(
 _xlpm.x,
 _xlfn.MAXIFS(
  raw_stack!G$2:G$99411,
  raw_stack!D$2:D$99411, G22,
  raw_stack!F$2:F$99411, "Iya",
  raw_stack!G$2:G$99411, "&gt;="&amp;DATE(2025,12,1),
  raw_stack!G$2:G$99411, "&lt;="&amp;EOMONTH(DATE(2025,12,1),0)
 ),
 IF(_xlpm.x=0, "-", _xlpm.x)
)</f>
        <v>-</v>
      </c>
      <c r="Z22" s="56" t="str">
        <f>_xlfn.LET(
 _xlpm.x,
 _xlfn.MAXIFS(
  raw_stack!H$2:H$100000,
  raw_stack!D$2:D$100000, G22,
  raw_stack!F$2:F$100000, "Iya",
  raw_stack!G$2:G$100000, "&gt;="&amp;DATE(2025,12,1),
  raw_stack!G$2:G$100000, "&lt;="&amp;EOMONTH(DATE(2025,12,1),0)
 ),
 IF(OR(_xlpm.x=0, _xlpm.x=""), "-", _xlpm.x)
)</f>
        <v>-</v>
      </c>
      <c r="AA22" s="55">
        <f>_xlfn.LET(
 _xlpm.x,
 _xlfn.MAXIFS(
  raw_stack!G$2:G$99411,
  raw_stack!D$2:D$99411, G22,
  raw_stack!F$2:F$99411, "Iya",
  raw_stack!G$2:G$99411, "&gt;="&amp;DATE(2026,1,1),
  raw_stack!G$2:G$99411, "&lt;="&amp;EOMONTH(DATE(2026,1,1),0)
 ),
 IF(_xlpm.x=0, "-", _xlpm.x)
)</f>
        <v>46032</v>
      </c>
      <c r="AB22" s="56">
        <f>_xlfn.LET(
 _xlpm.x,
 _xlfn.MAXIFS(
  raw_stack!H$2:H$100000,
  raw_stack!D$2:D$100000, G22,
  raw_stack!F$2:F$100000, "Iya",
  raw_stack!G$2:G$100000, "&gt;="&amp;DATE(2026,1,1),
  raw_stack!G$2:G$100000, "&lt;="&amp;EOMONTH(DATE(2026,1,1),0)
 ),
 IF(OR(_xlpm.x=0, _xlpm.x=""), "-", _xlpm.x)
)</f>
        <v>54324</v>
      </c>
      <c r="AC22" s="55" t="str">
        <f>_xlfn.LET(
 _xlpm.x,
 _xlfn.MAXIFS(
  raw_stack!G$2:G$99411,
  raw_stack!D$2:D$99411, G22,
  raw_stack!F$2:F$99411, "Iya",
  raw_stack!G$2:G$99411, "&gt;="&amp;DATE(2026,2,1),
  raw_stack!G$2:G$99411, "&lt;="&amp;EOMONTH(DATE(2026,2,1),0)
 ),
 IF(_xlpm.x=0, "-", _xlpm.x)
)</f>
        <v>-</v>
      </c>
      <c r="AD22" s="56" t="str">
        <f>_xlfn.LET(
 _xlpm.x,
 _xlfn.MAXIFS(
  raw_stack!H$2:H$100000,
  raw_stack!D$2:D$100000, G22,
  raw_stack!F$2:F$100000, "Iya",
  raw_stack!G$2:G$100000, "&gt;="&amp;DATE(2026,2,1),
  raw_stack!G$2:G$100000, "&lt;="&amp;EOMONTH(DATE(2026,2,1),0)
 ),
 IF(OR(_xlpm.x=0, _xlpm.x=""), "-", _xlpm.x)
)</f>
        <v>-</v>
      </c>
      <c r="AE22" s="55" t="str">
        <f>_xlfn.LET(
 _xlpm.x,
 _xlfn.MAXIFS(
  raw_stack!G$2:G$100000,
  raw_stack!D$2:D$100000, G22,
  raw_stack!F$2:F$100000, "Iya",
  raw_stack!G$2:G$100000, "&gt;="&amp;DATE(2026,3,1),
  raw_stack!G$2:G$100000, "&lt;="&amp;EOMONTH(DATE(2026,3,1),0)
 ),
 IF(_xlpm.x=0, "-", _xlpm.x)
)</f>
        <v>-</v>
      </c>
      <c r="AF22" s="56" t="str">
        <f>_xlfn.LET(
 _xlpm.x,
 _xlfn.MAXIFS(
  raw_stack!H$2:H$100000,
  raw_stack!D$2:D$100000, G22,
  raw_stack!F$2:F$100000, "Iya",
  raw_stack!G$2:G$100000, "&gt;="&amp;DATE(2026,3,1),
  raw_stack!G$2:G$100000, "&lt;="&amp;EOMONTH(DATE(2026,3,1),0)
 ),
 IF(OR(_xlpm.x=0, _xlpm.x=""), "-", _xlpm.x)
)</f>
        <v>-</v>
      </c>
      <c r="AG22" s="55" t="str">
        <f>_xlfn.LET(
 _xlpm.x,
 _xlfn.MAXIFS(
  raw_stack!G$2:G$100000,
  raw_stack!D$2:D$100000, G22,
  raw_stack!F$2:F$100000, "Iya",
  raw_stack!G$2:G$100000, "&gt;="&amp;DATE(2026,4,1),
  raw_stack!G$2:G$100000, "&lt;="&amp;EOMONTH(DATE(2026,4,1),0)
 ),
 IF(_xlpm.x=0, "-", _xlpm.x)
)</f>
        <v>-</v>
      </c>
      <c r="AH22" s="56" t="str">
        <f>_xlfn.LET(
 _xlpm.x,
 _xlfn.MAXIFS(
  raw_stack!H$2:H$100000,
  raw_stack!D$2:D$100000, G22,
  raw_stack!F$2:F$100000, "Iya",
  raw_stack!G$2:G$100000, "&gt;="&amp;DATE(2026,4,1),
  raw_stack!G$2:G$100000, "&lt;="&amp;EOMONTH(DATE(2026,4,1),0)
 ),
 IF(OR(_xlpm.x=0, _xlpm.x=""), "-", _xlpm.x)
)</f>
        <v>-</v>
      </c>
    </row>
    <row r="23" spans="1:34">
      <c r="A23" s="48">
        <v>22</v>
      </c>
      <c r="B23" s="49" t="str">
        <f t="shared" si="0"/>
        <v>78077</v>
      </c>
      <c r="C23" s="50" t="s">
        <v>46</v>
      </c>
      <c r="D23" s="51" t="s">
        <v>473</v>
      </c>
      <c r="E23" s="51" t="s">
        <v>51</v>
      </c>
      <c r="F23" s="49" t="s">
        <v>117</v>
      </c>
      <c r="G23" s="49" t="s">
        <v>139</v>
      </c>
      <c r="H23" s="49" t="s">
        <v>48</v>
      </c>
      <c r="I23" s="49" t="s">
        <v>52</v>
      </c>
      <c r="J23" s="52">
        <v>3600000</v>
      </c>
      <c r="K23" s="53">
        <v>45935</v>
      </c>
      <c r="L23" s="53">
        <v>46116</v>
      </c>
      <c r="M23" s="53">
        <v>46085</v>
      </c>
      <c r="N23" s="49" t="s">
        <v>50</v>
      </c>
      <c r="O23" s="54">
        <f>_xlfn.LET(
 _xlpm.x,
 _xlfn.MAXIFS(
  raw_stack!G$2:G$100000,
  raw_stack!D$2:D$100000, G23,
  raw_stack!F$2:F$100000, "Iya",
  raw_stack!G$2:G$100000, "&gt;="&amp;DATE(2025,7,1),
  raw_stack!G$2:G$100000, "&lt;="&amp;EOMONTH(DATE(2025,7,1),0)
 ),
 IF(_xlpm.x=0, "-", _xlpm.x)
)</f>
        <v>45861</v>
      </c>
      <c r="P23" s="65">
        <f>_xlfn.LET(
 _xlpm.x,
 _xlfn.MAXIFS(
  raw_stack!H$2:H$100000,
  raw_stack!D$2:D$100000, G23,
  raw_stack!F$2:F$100000, "Iya",
  raw_stack!G$2:G$100000, "&gt;="&amp;DATE(2025,7,1),
  raw_stack!G$2:G$100000, "&lt;="&amp;EOMONTH(DATE(2025,7,1),0)
 ),
 IF(OR(_xlpm.x=0, _xlpm.x=""), "-", _xlpm.x)
)</f>
        <v>104117</v>
      </c>
      <c r="Q23" s="54" t="str">
        <f>_xlfn.LET(
 _xlpm.x,
 _xlfn.MAXIFS(
  raw_stack!G$2:G$99411,
  raw_stack!D$2:D$99411, G23,
  raw_stack!F$2:F$99411, "Iya",
  raw_stack!G$2:G$99411, "&gt;="&amp;DATE(2025,8,1),
  raw_stack!G$2:G$99411, "&lt;="&amp;EOMONTH(DATE(2025,8,1),0)
 ),
 IF(_xlpm.x=0, "-", _xlpm.x)
)</f>
        <v>-</v>
      </c>
      <c r="R23" s="65" t="str">
        <f>_xlfn.LET(
 _xlpm.x,
 _xlfn.MAXIFS(
  raw_stack!H$2:H$100000,
  raw_stack!D$2:D$100000, G23,
  raw_stack!F$2:F$100000, "Iya",
  raw_stack!G$2:G$100000, "&gt;="&amp;DATE(2025,8,1),
  raw_stack!G$2:G$100000, "&lt;="&amp;EOMONTH(DATE(2025,8,1),0)
 ),
 IF(OR(_xlpm.x=0, _xlpm.x=""), "-", _xlpm.x)
)</f>
        <v>-</v>
      </c>
      <c r="S23" s="54" t="str">
        <f>_xlfn.LET(
 _xlpm.x,
 _xlfn.MAXIFS(
  raw_stack!G$2:G$99411,
  raw_stack!D$2:D$99411, G23,
  raw_stack!F$2:F$99411, "Iya",
  raw_stack!G$2:G$99411, "&gt;="&amp;DATE(2025,9,1),
  raw_stack!G$2:G$99411, "&lt;="&amp;EOMONTH(DATE(2025,9,1),0)
 ),
 IF(_xlpm.x=0, "-", _xlpm.x)
)</f>
        <v>-</v>
      </c>
      <c r="T23" s="65" t="str">
        <f>_xlfn.LET(
 _xlpm.x,
 _xlfn.MAXIFS(
  raw_stack!H$2:H$100000,
  raw_stack!D$2:D$100000, G23,
  raw_stack!F$2:F$100000, "Iya",
  raw_stack!G$2:G$100000, "&gt;="&amp;DATE(2025,9,1),
  raw_stack!G$2:G$100000, "&lt;="&amp;EOMONTH(DATE(2025,9,1),0)
 ),
 IF(OR(_xlpm.x=0, _xlpm.x=""), "-", _xlpm.x)
)</f>
        <v>-</v>
      </c>
      <c r="U23" s="54" t="str">
        <f>_xlfn.LET(
 _xlpm.x,
 _xlfn.MAXIFS(
  raw_stack!G$2:G$99411,
  raw_stack!D$2:D$99411, G23,
  raw_stack!F$2:F$99411, "Iya",
  raw_stack!G$2:G$99411, "&gt;="&amp;DATE(2025,10,1),
  raw_stack!G$2:G$99411, "&lt;="&amp;EOMONTH(DATE(2025,10,1),0)
 ),
 IF(_xlpm.x=0, "-", _xlpm.x)
)</f>
        <v>-</v>
      </c>
      <c r="V23" s="65" t="str">
        <f>_xlfn.LET(
 _xlpm.x,
 _xlfn.MAXIFS(
  raw_stack!H$2:H$100000,
  raw_stack!D$2:D$100000, G23,
  raw_stack!F$2:F$100000, "Iya",
  raw_stack!G$2:G$100000, "&gt;="&amp;DATE(2025,10,1),
  raw_stack!G$2:G$100000, "&lt;="&amp;EOMONTH(DATE(2025,10,1),0)
 ),
 IF(OR(_xlpm.x=0, _xlpm.x=""), "-", _xlpm.x)
)</f>
        <v>-</v>
      </c>
      <c r="W23" s="55">
        <f>_xlfn.LET(
 _xlpm.x,
 _xlfn.MAXIFS(
  raw_stack!G$2:G$99411,
  raw_stack!D$2:D$99411, G23,
  raw_stack!F$2:F$99411, "Iya",
  raw_stack!G$2:G$99411, "&gt;="&amp;DATE(2025,11,1),
  raw_stack!G$2:G$99411, "&lt;="&amp;EOMONTH(DATE(2025,11,1),0)
 ),
 IF(_xlpm.x=0, "-", _xlpm.x)
)</f>
        <v>45985</v>
      </c>
      <c r="X23" s="56">
        <f>_xlfn.LET(
 _xlpm.x,
 _xlfn.MAXIFS(
  raw_stack!H$2:H$100000,
  raw_stack!D$2:D$100000, G23,
  raw_stack!F$2:F$100000, "Iya",
  raw_stack!G$2:G$100000, "&gt;="&amp;DATE(2025,11,1),
  raw_stack!G$2:G$100000, "&lt;="&amp;EOMONTH(DATE(2025,11,1),0)
 ),
 IF(OR(_xlpm.x=0, _xlpm.x=""), "-", _xlpm.x)
)</f>
        <v>114331</v>
      </c>
      <c r="Y23" s="55" t="str">
        <f>_xlfn.LET(
 _xlpm.x,
 _xlfn.MAXIFS(
  raw_stack!G$2:G$99411,
  raw_stack!D$2:D$99411, G23,
  raw_stack!F$2:F$99411, "Iya",
  raw_stack!G$2:G$99411, "&gt;="&amp;DATE(2025,12,1),
  raw_stack!G$2:G$99411, "&lt;="&amp;EOMONTH(DATE(2025,12,1),0)
 ),
 IF(_xlpm.x=0, "-", _xlpm.x)
)</f>
        <v>-</v>
      </c>
      <c r="Z23" s="56" t="str">
        <f>_xlfn.LET(
 _xlpm.x,
 _xlfn.MAXIFS(
  raw_stack!H$2:H$100000,
  raw_stack!D$2:D$100000, G23,
  raw_stack!F$2:F$100000, "Iya",
  raw_stack!G$2:G$100000, "&gt;="&amp;DATE(2025,12,1),
  raw_stack!G$2:G$100000, "&lt;="&amp;EOMONTH(DATE(2025,12,1),0)
 ),
 IF(OR(_xlpm.x=0, _xlpm.x=""), "-", _xlpm.x)
)</f>
        <v>-</v>
      </c>
      <c r="AA23" s="55" t="str">
        <f>_xlfn.LET(
 _xlpm.x,
 _xlfn.MAXIFS(
  raw_stack!G$2:G$99411,
  raw_stack!D$2:D$99411, G23,
  raw_stack!F$2:F$99411, "Iya",
  raw_stack!G$2:G$99411, "&gt;="&amp;DATE(2026,1,1),
  raw_stack!G$2:G$99411, "&lt;="&amp;EOMONTH(DATE(2026,1,1),0)
 ),
 IF(_xlpm.x=0, "-", _xlpm.x)
)</f>
        <v>-</v>
      </c>
      <c r="AB23" s="56" t="str">
        <f>_xlfn.LET(
 _xlpm.x,
 _xlfn.MAXIFS(
  raw_stack!H$2:H$100000,
  raw_stack!D$2:D$100000, G23,
  raw_stack!F$2:F$100000, "Iya",
  raw_stack!G$2:G$100000, "&gt;="&amp;DATE(2026,1,1),
  raw_stack!G$2:G$100000, "&lt;="&amp;EOMONTH(DATE(2026,1,1),0)
 ),
 IF(OR(_xlpm.x=0, _xlpm.x=""), "-", _xlpm.x)
)</f>
        <v>-</v>
      </c>
      <c r="AC23" s="55" t="str">
        <f>_xlfn.LET(
 _xlpm.x,
 _xlfn.MAXIFS(
  raw_stack!G$2:G$99411,
  raw_stack!D$2:D$99411, G23,
  raw_stack!F$2:F$99411, "Iya",
  raw_stack!G$2:G$99411, "&gt;="&amp;DATE(2026,2,1),
  raw_stack!G$2:G$99411, "&lt;="&amp;EOMONTH(DATE(2026,2,1),0)
 ),
 IF(_xlpm.x=0, "-", _xlpm.x)
)</f>
        <v>-</v>
      </c>
      <c r="AD23" s="56" t="str">
        <f>_xlfn.LET(
 _xlpm.x,
 _xlfn.MAXIFS(
  raw_stack!H$2:H$100000,
  raw_stack!D$2:D$100000, G23,
  raw_stack!F$2:F$100000, "Iya",
  raw_stack!G$2:G$100000, "&gt;="&amp;DATE(2026,2,1),
  raw_stack!G$2:G$100000, "&lt;="&amp;EOMONTH(DATE(2026,2,1),0)
 ),
 IF(OR(_xlpm.x=0, _xlpm.x=""), "-", _xlpm.x)
)</f>
        <v>-</v>
      </c>
      <c r="AE23" s="55" t="str">
        <f>_xlfn.LET(
 _xlpm.x,
 _xlfn.MAXIFS(
  raw_stack!G$2:G$100000,
  raw_stack!D$2:D$100000, G23,
  raw_stack!F$2:F$100000, "Iya",
  raw_stack!G$2:G$100000, "&gt;="&amp;DATE(2026,3,1),
  raw_stack!G$2:G$100000, "&lt;="&amp;EOMONTH(DATE(2026,3,1),0)
 ),
 IF(_xlpm.x=0, "-", _xlpm.x)
)</f>
        <v>-</v>
      </c>
      <c r="AF23" s="56" t="str">
        <f>_xlfn.LET(
 _xlpm.x,
 _xlfn.MAXIFS(
  raw_stack!H$2:H$100000,
  raw_stack!D$2:D$100000, G23,
  raw_stack!F$2:F$100000, "Iya",
  raw_stack!G$2:G$100000, "&gt;="&amp;DATE(2026,3,1),
  raw_stack!G$2:G$100000, "&lt;="&amp;EOMONTH(DATE(2026,3,1),0)
 ),
 IF(OR(_xlpm.x=0, _xlpm.x=""), "-", _xlpm.x)
)</f>
        <v>-</v>
      </c>
      <c r="AG23" s="55">
        <f>_xlfn.LET(
 _xlpm.x,
 _xlfn.MAXIFS(
  raw_stack!G$2:G$100000,
  raw_stack!D$2:D$100000, G23,
  raw_stack!F$2:F$100000, "Iya",
  raw_stack!G$2:G$100000, "&gt;="&amp;DATE(2026,4,1),
  raw_stack!G$2:G$100000, "&lt;="&amp;EOMONTH(DATE(2026,4,1),0)
 ),
 IF(_xlpm.x=0, "-", _xlpm.x)
)</f>
        <v>46120</v>
      </c>
      <c r="AH23" s="56">
        <f>_xlfn.LET(
 _xlpm.x,
 _xlfn.MAXIFS(
  raw_stack!H$2:H$100000,
  raw_stack!D$2:D$100000, G23,
  raw_stack!F$2:F$100000, "Iya",
  raw_stack!G$2:G$100000, "&gt;="&amp;DATE(2026,4,1),
  raw_stack!G$2:G$100000, "&lt;="&amp;EOMONTH(DATE(2026,4,1),0)
 ),
 IF(OR(_xlpm.x=0, _xlpm.x=""), "-", _xlpm.x)
)</f>
        <v>104998</v>
      </c>
    </row>
    <row r="24" spans="1:34">
      <c r="A24" s="48">
        <v>23</v>
      </c>
      <c r="B24" s="49" t="str">
        <f t="shared" si="0"/>
        <v>47591</v>
      </c>
      <c r="C24" s="50" t="s">
        <v>46</v>
      </c>
      <c r="D24" s="51" t="s">
        <v>474</v>
      </c>
      <c r="E24" s="51" t="s">
        <v>51</v>
      </c>
      <c r="F24" s="49" t="s">
        <v>117</v>
      </c>
      <c r="G24" s="49" t="s">
        <v>140</v>
      </c>
      <c r="H24" s="49" t="s">
        <v>48</v>
      </c>
      <c r="I24" s="49" t="s">
        <v>52</v>
      </c>
      <c r="J24" s="52">
        <v>3880000</v>
      </c>
      <c r="K24" s="53">
        <v>45024</v>
      </c>
      <c r="L24" s="53">
        <v>46119</v>
      </c>
      <c r="M24" s="53">
        <v>46088</v>
      </c>
      <c r="N24" s="49" t="s">
        <v>50</v>
      </c>
      <c r="O24" s="54" t="str">
        <f>_xlfn.LET(
 _xlpm.x,
 _xlfn.MAXIFS(
  raw_stack!G$2:G$100000,
  raw_stack!D$2:D$100000, G24,
  raw_stack!F$2:F$100000, "Iya",
  raw_stack!G$2:G$100000, "&gt;="&amp;DATE(2025,7,1),
  raw_stack!G$2:G$100000, "&lt;="&amp;EOMONTH(DATE(2025,7,1),0)
 ),
 IF(_xlpm.x=0, "-", _xlpm.x)
)</f>
        <v>-</v>
      </c>
      <c r="P24" s="65" t="str">
        <f>_xlfn.LET(
 _xlpm.x,
 _xlfn.MAXIFS(
  raw_stack!H$2:H$100000,
  raw_stack!D$2:D$100000, G24,
  raw_stack!F$2:F$100000, "Iya",
  raw_stack!G$2:G$100000, "&gt;="&amp;DATE(2025,7,1),
  raw_stack!G$2:G$100000, "&lt;="&amp;EOMONTH(DATE(2025,7,1),0)
 ),
 IF(OR(_xlpm.x=0, _xlpm.x=""), "-", _xlpm.x)
)</f>
        <v>-</v>
      </c>
      <c r="Q24" s="54" t="str">
        <f>_xlfn.LET(
 _xlpm.x,
 _xlfn.MAXIFS(
  raw_stack!G$2:G$99411,
  raw_stack!D$2:D$99411, G24,
  raw_stack!F$2:F$99411, "Iya",
  raw_stack!G$2:G$99411, "&gt;="&amp;DATE(2025,8,1),
  raw_stack!G$2:G$99411, "&lt;="&amp;EOMONTH(DATE(2025,8,1),0)
 ),
 IF(_xlpm.x=0, "-", _xlpm.x)
)</f>
        <v>-</v>
      </c>
      <c r="R24" s="65" t="str">
        <f>_xlfn.LET(
 _xlpm.x,
 _xlfn.MAXIFS(
  raw_stack!H$2:H$100000,
  raw_stack!D$2:D$100000, G24,
  raw_stack!F$2:F$100000, "Iya",
  raw_stack!G$2:G$100000, "&gt;="&amp;DATE(2025,8,1),
  raw_stack!G$2:G$100000, "&lt;="&amp;EOMONTH(DATE(2025,8,1),0)
 ),
 IF(OR(_xlpm.x=0, _xlpm.x=""), "-", _xlpm.x)
)</f>
        <v>-</v>
      </c>
      <c r="S24" s="54">
        <f>_xlfn.LET(
 _xlpm.x,
 _xlfn.MAXIFS(
  raw_stack!G$2:G$99411,
  raw_stack!D$2:D$99411, G24,
  raw_stack!F$2:F$99411, "Iya",
  raw_stack!G$2:G$99411, "&gt;="&amp;DATE(2025,9,1),
  raw_stack!G$2:G$99411, "&lt;="&amp;EOMONTH(DATE(2025,9,1),0)
 ),
 IF(_xlpm.x=0, "-", _xlpm.x)
)</f>
        <v>45903</v>
      </c>
      <c r="T24" s="65">
        <f>_xlfn.LET(
 _xlpm.x,
 _xlfn.MAXIFS(
  raw_stack!H$2:H$100000,
  raw_stack!D$2:D$100000, G24,
  raw_stack!F$2:F$100000, "Iya",
  raw_stack!G$2:G$100000, "&gt;="&amp;DATE(2025,9,1),
  raw_stack!G$2:G$100000, "&lt;="&amp;EOMONTH(DATE(2025,9,1),0)
 ),
 IF(OR(_xlpm.x=0, _xlpm.x=""), "-", _xlpm.x)
)</f>
        <v>24606</v>
      </c>
      <c r="U24" s="54" t="str">
        <f>_xlfn.LET(
 _xlpm.x,
 _xlfn.MAXIFS(
  raw_stack!G$2:G$99411,
  raw_stack!D$2:D$99411, G24,
  raw_stack!F$2:F$99411, "Iya",
  raw_stack!G$2:G$99411, "&gt;="&amp;DATE(2025,10,1),
  raw_stack!G$2:G$99411, "&lt;="&amp;EOMONTH(DATE(2025,10,1),0)
 ),
 IF(_xlpm.x=0, "-", _xlpm.x)
)</f>
        <v>-</v>
      </c>
      <c r="V24" s="65" t="str">
        <f>_xlfn.LET(
 _xlpm.x,
 _xlfn.MAXIFS(
  raw_stack!H$2:H$100000,
  raw_stack!D$2:D$100000, G24,
  raw_stack!F$2:F$100000, "Iya",
  raw_stack!G$2:G$100000, "&gt;="&amp;DATE(2025,10,1),
  raw_stack!G$2:G$100000, "&lt;="&amp;EOMONTH(DATE(2025,10,1),0)
 ),
 IF(OR(_xlpm.x=0, _xlpm.x=""), "-", _xlpm.x)
)</f>
        <v>-</v>
      </c>
      <c r="W24" s="55" t="str">
        <f>_xlfn.LET(
 _xlpm.x,
 _xlfn.MAXIFS(
  raw_stack!G$2:G$99411,
  raw_stack!D$2:D$99411, G24,
  raw_stack!F$2:F$99411, "Iya",
  raw_stack!G$2:G$99411, "&gt;="&amp;DATE(2025,11,1),
  raw_stack!G$2:G$99411, "&lt;="&amp;EOMONTH(DATE(2025,11,1),0)
 ),
 IF(_xlpm.x=0, "-", _xlpm.x)
)</f>
        <v>-</v>
      </c>
      <c r="X24" s="56" t="str">
        <f>_xlfn.LET(
 _xlpm.x,
 _xlfn.MAXIFS(
  raw_stack!H$2:H$100000,
  raw_stack!D$2:D$100000, G24,
  raw_stack!F$2:F$100000, "Iya",
  raw_stack!G$2:G$100000, "&gt;="&amp;DATE(2025,11,1),
  raw_stack!G$2:G$100000, "&lt;="&amp;EOMONTH(DATE(2025,11,1),0)
 ),
 IF(OR(_xlpm.x=0, _xlpm.x=""), "-", _xlpm.x)
)</f>
        <v>-</v>
      </c>
      <c r="Y24" s="55" t="str">
        <f>_xlfn.LET(
 _xlpm.x,
 _xlfn.MAXIFS(
  raw_stack!G$2:G$99411,
  raw_stack!D$2:D$99411, G24,
  raw_stack!F$2:F$99411, "Iya",
  raw_stack!G$2:G$99411, "&gt;="&amp;DATE(2025,12,1),
  raw_stack!G$2:G$99411, "&lt;="&amp;EOMONTH(DATE(2025,12,1),0)
 ),
 IF(_xlpm.x=0, "-", _xlpm.x)
)</f>
        <v>-</v>
      </c>
      <c r="Z24" s="56" t="str">
        <f>_xlfn.LET(
 _xlpm.x,
 _xlfn.MAXIFS(
  raw_stack!H$2:H$100000,
  raw_stack!D$2:D$100000, G24,
  raw_stack!F$2:F$100000, "Iya",
  raw_stack!G$2:G$100000, "&gt;="&amp;DATE(2025,12,1),
  raw_stack!G$2:G$100000, "&lt;="&amp;EOMONTH(DATE(2025,12,1),0)
 ),
 IF(OR(_xlpm.x=0, _xlpm.x=""), "-", _xlpm.x)
)</f>
        <v>-</v>
      </c>
      <c r="AA24" s="55" t="str">
        <f>_xlfn.LET(
 _xlpm.x,
 _xlfn.MAXIFS(
  raw_stack!G$2:G$99411,
  raw_stack!D$2:D$99411, G24,
  raw_stack!F$2:F$99411, "Iya",
  raw_stack!G$2:G$99411, "&gt;="&amp;DATE(2026,1,1),
  raw_stack!G$2:G$99411, "&lt;="&amp;EOMONTH(DATE(2026,1,1),0)
 ),
 IF(_xlpm.x=0, "-", _xlpm.x)
)</f>
        <v>-</v>
      </c>
      <c r="AB24" s="56" t="str">
        <f>_xlfn.LET(
 _xlpm.x,
 _xlfn.MAXIFS(
  raw_stack!H$2:H$100000,
  raw_stack!D$2:D$100000, G24,
  raw_stack!F$2:F$100000, "Iya",
  raw_stack!G$2:G$100000, "&gt;="&amp;DATE(2026,1,1),
  raw_stack!G$2:G$100000, "&lt;="&amp;EOMONTH(DATE(2026,1,1),0)
 ),
 IF(OR(_xlpm.x=0, _xlpm.x=""), "-", _xlpm.x)
)</f>
        <v>-</v>
      </c>
      <c r="AC24" s="55" t="str">
        <f>_xlfn.LET(
 _xlpm.x,
 _xlfn.MAXIFS(
  raw_stack!G$2:G$99411,
  raw_stack!D$2:D$99411, G24,
  raw_stack!F$2:F$99411, "Iya",
  raw_stack!G$2:G$99411, "&gt;="&amp;DATE(2026,2,1),
  raw_stack!G$2:G$99411, "&lt;="&amp;EOMONTH(DATE(2026,2,1),0)
 ),
 IF(_xlpm.x=0, "-", _xlpm.x)
)</f>
        <v>-</v>
      </c>
      <c r="AD24" s="56" t="str">
        <f>_xlfn.LET(
 _xlpm.x,
 _xlfn.MAXIFS(
  raw_stack!H$2:H$100000,
  raw_stack!D$2:D$100000, G24,
  raw_stack!F$2:F$100000, "Iya",
  raw_stack!G$2:G$100000, "&gt;="&amp;DATE(2026,2,1),
  raw_stack!G$2:G$100000, "&lt;="&amp;EOMONTH(DATE(2026,2,1),0)
 ),
 IF(OR(_xlpm.x=0, _xlpm.x=""), "-", _xlpm.x)
)</f>
        <v>-</v>
      </c>
      <c r="AE24" s="55" t="str">
        <f>_xlfn.LET(
 _xlpm.x,
 _xlfn.MAXIFS(
  raw_stack!G$2:G$100000,
  raw_stack!D$2:D$100000, G24,
  raw_stack!F$2:F$100000, "Iya",
  raw_stack!G$2:G$100000, "&gt;="&amp;DATE(2026,3,1),
  raw_stack!G$2:G$100000, "&lt;="&amp;EOMONTH(DATE(2026,3,1),0)
 ),
 IF(_xlpm.x=0, "-", _xlpm.x)
)</f>
        <v>-</v>
      </c>
      <c r="AF24" s="56" t="str">
        <f>_xlfn.LET(
 _xlpm.x,
 _xlfn.MAXIFS(
  raw_stack!H$2:H$100000,
  raw_stack!D$2:D$100000, G24,
  raw_stack!F$2:F$100000, "Iya",
  raw_stack!G$2:G$100000, "&gt;="&amp;DATE(2026,3,1),
  raw_stack!G$2:G$100000, "&lt;="&amp;EOMONTH(DATE(2026,3,1),0)
 ),
 IF(OR(_xlpm.x=0, _xlpm.x=""), "-", _xlpm.x)
)</f>
        <v>-</v>
      </c>
      <c r="AG24" s="55" t="str">
        <f>_xlfn.LET(
 _xlpm.x,
 _xlfn.MAXIFS(
  raw_stack!G$2:G$100000,
  raw_stack!D$2:D$100000, G24,
  raw_stack!F$2:F$100000, "Iya",
  raw_stack!G$2:G$100000, "&gt;="&amp;DATE(2026,4,1),
  raw_stack!G$2:G$100000, "&lt;="&amp;EOMONTH(DATE(2026,4,1),0)
 ),
 IF(_xlpm.x=0, "-", _xlpm.x)
)</f>
        <v>-</v>
      </c>
      <c r="AH24" s="56" t="str">
        <f>_xlfn.LET(
 _xlpm.x,
 _xlfn.MAXIFS(
  raw_stack!H$2:H$100000,
  raw_stack!D$2:D$100000, G24,
  raw_stack!F$2:F$100000, "Iya",
  raw_stack!G$2:G$100000, "&gt;="&amp;DATE(2026,4,1),
  raw_stack!G$2:G$100000, "&lt;="&amp;EOMONTH(DATE(2026,4,1),0)
 ),
 IF(OR(_xlpm.x=0, _xlpm.x=""), "-", _xlpm.x)
)</f>
        <v>-</v>
      </c>
    </row>
    <row r="25" spans="1:34">
      <c r="A25" s="48">
        <v>24</v>
      </c>
      <c r="B25" s="49" t="str">
        <f t="shared" si="0"/>
        <v>39371</v>
      </c>
      <c r="C25" s="50" t="s">
        <v>46</v>
      </c>
      <c r="D25" s="51" t="s">
        <v>475</v>
      </c>
      <c r="E25" s="51" t="s">
        <v>53</v>
      </c>
      <c r="F25" s="49" t="s">
        <v>117</v>
      </c>
      <c r="G25" s="49" t="s">
        <v>141</v>
      </c>
      <c r="H25" s="49" t="s">
        <v>48</v>
      </c>
      <c r="I25" s="49" t="s">
        <v>52</v>
      </c>
      <c r="J25" s="52">
        <v>5000000</v>
      </c>
      <c r="K25" s="53">
        <v>46033</v>
      </c>
      <c r="L25" s="53">
        <v>46122</v>
      </c>
      <c r="M25" s="53">
        <v>46091</v>
      </c>
      <c r="N25" s="49" t="s">
        <v>50</v>
      </c>
      <c r="O25" s="54" t="str">
        <f>_xlfn.LET(
 _xlpm.x,
 _xlfn.MAXIFS(
  raw_stack!G$2:G$100000,
  raw_stack!D$2:D$100000, G25,
  raw_stack!F$2:F$100000, "Iya",
  raw_stack!G$2:G$100000, "&gt;="&amp;DATE(2025,7,1),
  raw_stack!G$2:G$100000, "&lt;="&amp;EOMONTH(DATE(2025,7,1),0)
 ),
 IF(_xlpm.x=0, "-", _xlpm.x)
)</f>
        <v>-</v>
      </c>
      <c r="P25" s="65" t="str">
        <f>_xlfn.LET(
 _xlpm.x,
 _xlfn.MAXIFS(
  raw_stack!H$2:H$100000,
  raw_stack!D$2:D$100000, G25,
  raw_stack!F$2:F$100000, "Iya",
  raw_stack!G$2:G$100000, "&gt;="&amp;DATE(2025,7,1),
  raw_stack!G$2:G$100000, "&lt;="&amp;EOMONTH(DATE(2025,7,1),0)
 ),
 IF(OR(_xlpm.x=0, _xlpm.x=""), "-", _xlpm.x)
)</f>
        <v>-</v>
      </c>
      <c r="Q25" s="54" t="str">
        <f>_xlfn.LET(
 _xlpm.x,
 _xlfn.MAXIFS(
  raw_stack!G$2:G$99411,
  raw_stack!D$2:D$99411, G25,
  raw_stack!F$2:F$99411, "Iya",
  raw_stack!G$2:G$99411, "&gt;="&amp;DATE(2025,8,1),
  raw_stack!G$2:G$99411, "&lt;="&amp;EOMONTH(DATE(2025,8,1),0)
 ),
 IF(_xlpm.x=0, "-", _xlpm.x)
)</f>
        <v>-</v>
      </c>
      <c r="R25" s="65" t="str">
        <f>_xlfn.LET(
 _xlpm.x,
 _xlfn.MAXIFS(
  raw_stack!H$2:H$100000,
  raw_stack!D$2:D$100000, G25,
  raw_stack!F$2:F$100000, "Iya",
  raw_stack!G$2:G$100000, "&gt;="&amp;DATE(2025,8,1),
  raw_stack!G$2:G$100000, "&lt;="&amp;EOMONTH(DATE(2025,8,1),0)
 ),
 IF(OR(_xlpm.x=0, _xlpm.x=""), "-", _xlpm.x)
)</f>
        <v>-</v>
      </c>
      <c r="S25" s="54" t="str">
        <f>_xlfn.LET(
 _xlpm.x,
 _xlfn.MAXIFS(
  raw_stack!G$2:G$99411,
  raw_stack!D$2:D$99411, G25,
  raw_stack!F$2:F$99411, "Iya",
  raw_stack!G$2:G$99411, "&gt;="&amp;DATE(2025,9,1),
  raw_stack!G$2:G$99411, "&lt;="&amp;EOMONTH(DATE(2025,9,1),0)
 ),
 IF(_xlpm.x=0, "-", _xlpm.x)
)</f>
        <v>-</v>
      </c>
      <c r="T25" s="65" t="str">
        <f>_xlfn.LET(
 _xlpm.x,
 _xlfn.MAXIFS(
  raw_stack!H$2:H$100000,
  raw_stack!D$2:D$100000, G25,
  raw_stack!F$2:F$100000, "Iya",
  raw_stack!G$2:G$100000, "&gt;="&amp;DATE(2025,9,1),
  raw_stack!G$2:G$100000, "&lt;="&amp;EOMONTH(DATE(2025,9,1),0)
 ),
 IF(OR(_xlpm.x=0, _xlpm.x=""), "-", _xlpm.x)
)</f>
        <v>-</v>
      </c>
      <c r="U25" s="54" t="str">
        <f>_xlfn.LET(
 _xlpm.x,
 _xlfn.MAXIFS(
  raw_stack!G$2:G$99411,
  raw_stack!D$2:D$99411, G25,
  raw_stack!F$2:F$99411, "Iya",
  raw_stack!G$2:G$99411, "&gt;="&amp;DATE(2025,10,1),
  raw_stack!G$2:G$99411, "&lt;="&amp;EOMONTH(DATE(2025,10,1),0)
 ),
 IF(_xlpm.x=0, "-", _xlpm.x)
)</f>
        <v>-</v>
      </c>
      <c r="V25" s="65" t="str">
        <f>_xlfn.LET(
 _xlpm.x,
 _xlfn.MAXIFS(
  raw_stack!H$2:H$100000,
  raw_stack!D$2:D$100000, G25,
  raw_stack!F$2:F$100000, "Iya",
  raw_stack!G$2:G$100000, "&gt;="&amp;DATE(2025,10,1),
  raw_stack!G$2:G$100000, "&lt;="&amp;EOMONTH(DATE(2025,10,1),0)
 ),
 IF(OR(_xlpm.x=0, _xlpm.x=""), "-", _xlpm.x)
)</f>
        <v>-</v>
      </c>
      <c r="W25" s="55" t="str">
        <f>_xlfn.LET(
 _xlpm.x,
 _xlfn.MAXIFS(
  raw_stack!G$2:G$99411,
  raw_stack!D$2:D$99411, G25,
  raw_stack!F$2:F$99411, "Iya",
  raw_stack!G$2:G$99411, "&gt;="&amp;DATE(2025,11,1),
  raw_stack!G$2:G$99411, "&lt;="&amp;EOMONTH(DATE(2025,11,1),0)
 ),
 IF(_xlpm.x=0, "-", _xlpm.x)
)</f>
        <v>-</v>
      </c>
      <c r="X25" s="56" t="str">
        <f>_xlfn.LET(
 _xlpm.x,
 _xlfn.MAXIFS(
  raw_stack!H$2:H$100000,
  raw_stack!D$2:D$100000, G25,
  raw_stack!F$2:F$100000, "Iya",
  raw_stack!G$2:G$100000, "&gt;="&amp;DATE(2025,11,1),
  raw_stack!G$2:G$100000, "&lt;="&amp;EOMONTH(DATE(2025,11,1),0)
 ),
 IF(OR(_xlpm.x=0, _xlpm.x=""), "-", _xlpm.x)
)</f>
        <v>-</v>
      </c>
      <c r="Y25" s="55">
        <f>_xlfn.LET(
 _xlpm.x,
 _xlfn.MAXIFS(
  raw_stack!G$2:G$99411,
  raw_stack!D$2:D$99411, G25,
  raw_stack!F$2:F$99411, "Iya",
  raw_stack!G$2:G$99411, "&gt;="&amp;DATE(2025,12,1),
  raw_stack!G$2:G$99411, "&lt;="&amp;EOMONTH(DATE(2025,12,1),0)
 ),
 IF(_xlpm.x=0, "-", _xlpm.x)
)</f>
        <v>46004</v>
      </c>
      <c r="Z25" s="56">
        <f>_xlfn.LET(
 _xlpm.x,
 _xlfn.MAXIFS(
  raw_stack!H$2:H$100000,
  raw_stack!D$2:D$100000, G25,
  raw_stack!F$2:F$100000, "Iya",
  raw_stack!G$2:G$100000, "&gt;="&amp;DATE(2025,12,1),
  raw_stack!G$2:G$100000, "&lt;="&amp;EOMONTH(DATE(2025,12,1),0)
 ),
 IF(OR(_xlpm.x=0, _xlpm.x=""), "-", _xlpm.x)
)</f>
        <v>119071</v>
      </c>
      <c r="AA25" s="55" t="str">
        <f>_xlfn.LET(
 _xlpm.x,
 _xlfn.MAXIFS(
  raw_stack!G$2:G$99411,
  raw_stack!D$2:D$99411, G25,
  raw_stack!F$2:F$99411, "Iya",
  raw_stack!G$2:G$99411, "&gt;="&amp;DATE(2026,1,1),
  raw_stack!G$2:G$99411, "&lt;="&amp;EOMONTH(DATE(2026,1,1),0)
 ),
 IF(_xlpm.x=0, "-", _xlpm.x)
)</f>
        <v>-</v>
      </c>
      <c r="AB25" s="56" t="str">
        <f>_xlfn.LET(
 _xlpm.x,
 _xlfn.MAXIFS(
  raw_stack!H$2:H$100000,
  raw_stack!D$2:D$100000, G25,
  raw_stack!F$2:F$100000, "Iya",
  raw_stack!G$2:G$100000, "&gt;="&amp;DATE(2026,1,1),
  raw_stack!G$2:G$100000, "&lt;="&amp;EOMONTH(DATE(2026,1,1),0)
 ),
 IF(OR(_xlpm.x=0, _xlpm.x=""), "-", _xlpm.x)
)</f>
        <v>-</v>
      </c>
      <c r="AC25" s="55" t="str">
        <f>_xlfn.LET(
 _xlpm.x,
 _xlfn.MAXIFS(
  raw_stack!G$2:G$99411,
  raw_stack!D$2:D$99411, G25,
  raw_stack!F$2:F$99411, "Iya",
  raw_stack!G$2:G$99411, "&gt;="&amp;DATE(2026,2,1),
  raw_stack!G$2:G$99411, "&lt;="&amp;EOMONTH(DATE(2026,2,1),0)
 ),
 IF(_xlpm.x=0, "-", _xlpm.x)
)</f>
        <v>-</v>
      </c>
      <c r="AD25" s="56" t="str">
        <f>_xlfn.LET(
 _xlpm.x,
 _xlfn.MAXIFS(
  raw_stack!H$2:H$100000,
  raw_stack!D$2:D$100000, G25,
  raw_stack!F$2:F$100000, "Iya",
  raw_stack!G$2:G$100000, "&gt;="&amp;DATE(2026,2,1),
  raw_stack!G$2:G$100000, "&lt;="&amp;EOMONTH(DATE(2026,2,1),0)
 ),
 IF(OR(_xlpm.x=0, _xlpm.x=""), "-", _xlpm.x)
)</f>
        <v>-</v>
      </c>
      <c r="AE25" s="55" t="str">
        <f>_xlfn.LET(
 _xlpm.x,
 _xlfn.MAXIFS(
  raw_stack!G$2:G$100000,
  raw_stack!D$2:D$100000, G25,
  raw_stack!F$2:F$100000, "Iya",
  raw_stack!G$2:G$100000, "&gt;="&amp;DATE(2026,3,1),
  raw_stack!G$2:G$100000, "&lt;="&amp;EOMONTH(DATE(2026,3,1),0)
 ),
 IF(_xlpm.x=0, "-", _xlpm.x)
)</f>
        <v>-</v>
      </c>
      <c r="AF25" s="56" t="str">
        <f>_xlfn.LET(
 _xlpm.x,
 _xlfn.MAXIFS(
  raw_stack!H$2:H$100000,
  raw_stack!D$2:D$100000, G25,
  raw_stack!F$2:F$100000, "Iya",
  raw_stack!G$2:G$100000, "&gt;="&amp;DATE(2026,3,1),
  raw_stack!G$2:G$100000, "&lt;="&amp;EOMONTH(DATE(2026,3,1),0)
 ),
 IF(OR(_xlpm.x=0, _xlpm.x=""), "-", _xlpm.x)
)</f>
        <v>-</v>
      </c>
      <c r="AG25" s="55" t="str">
        <f>_xlfn.LET(
 _xlpm.x,
 _xlfn.MAXIFS(
  raw_stack!G$2:G$100000,
  raw_stack!D$2:D$100000, G25,
  raw_stack!F$2:F$100000, "Iya",
  raw_stack!G$2:G$100000, "&gt;="&amp;DATE(2026,4,1),
  raw_stack!G$2:G$100000, "&lt;="&amp;EOMONTH(DATE(2026,4,1),0)
 ),
 IF(_xlpm.x=0, "-", _xlpm.x)
)</f>
        <v>-</v>
      </c>
      <c r="AH25" s="56" t="str">
        <f>_xlfn.LET(
 _xlpm.x,
 _xlfn.MAXIFS(
  raw_stack!H$2:H$100000,
  raw_stack!D$2:D$100000, G25,
  raw_stack!F$2:F$100000, "Iya",
  raw_stack!G$2:G$100000, "&gt;="&amp;DATE(2026,4,1),
  raw_stack!G$2:G$100000, "&lt;="&amp;EOMONTH(DATE(2026,4,1),0)
 ),
 IF(OR(_xlpm.x=0, _xlpm.x=""), "-", _xlpm.x)
)</f>
        <v>-</v>
      </c>
    </row>
    <row r="26" spans="1:34">
      <c r="A26" s="48">
        <v>25</v>
      </c>
      <c r="B26" s="49" t="str">
        <f t="shared" si="0"/>
        <v>42998</v>
      </c>
      <c r="C26" s="50" t="s">
        <v>46</v>
      </c>
      <c r="D26" s="51" t="s">
        <v>476</v>
      </c>
      <c r="E26" s="51" t="s">
        <v>53</v>
      </c>
      <c r="F26" s="49" t="s">
        <v>117</v>
      </c>
      <c r="G26" s="49" t="s">
        <v>142</v>
      </c>
      <c r="H26" s="49" t="s">
        <v>48</v>
      </c>
      <c r="I26" s="49" t="s">
        <v>52</v>
      </c>
      <c r="J26" s="52">
        <v>5000000</v>
      </c>
      <c r="K26" s="53">
        <v>45943</v>
      </c>
      <c r="L26" s="53">
        <v>46124</v>
      </c>
      <c r="M26" s="53">
        <v>46093</v>
      </c>
      <c r="N26" s="49" t="s">
        <v>50</v>
      </c>
      <c r="O26" s="54" t="str">
        <f>_xlfn.LET(
 _xlpm.x,
 _xlfn.MAXIFS(
  raw_stack!G$2:G$100000,
  raw_stack!D$2:D$100000, G26,
  raw_stack!F$2:F$100000, "Iya",
  raw_stack!G$2:G$100000, "&gt;="&amp;DATE(2025,7,1),
  raw_stack!G$2:G$100000, "&lt;="&amp;EOMONTH(DATE(2025,7,1),0)
 ),
 IF(_xlpm.x=0, "-", _xlpm.x)
)</f>
        <v>-</v>
      </c>
      <c r="P26" s="65" t="str">
        <f>_xlfn.LET(
 _xlpm.x,
 _xlfn.MAXIFS(
  raw_stack!H$2:H$100000,
  raw_stack!D$2:D$100000, G26,
  raw_stack!F$2:F$100000, "Iya",
  raw_stack!G$2:G$100000, "&gt;="&amp;DATE(2025,7,1),
  raw_stack!G$2:G$100000, "&lt;="&amp;EOMONTH(DATE(2025,7,1),0)
 ),
 IF(OR(_xlpm.x=0, _xlpm.x=""), "-", _xlpm.x)
)</f>
        <v>-</v>
      </c>
      <c r="Q26" s="54">
        <f>_xlfn.LET(
 _xlpm.x,
 _xlfn.MAXIFS(
  raw_stack!G$2:G$99411,
  raw_stack!D$2:D$99411, G26,
  raw_stack!F$2:F$99411, "Iya",
  raw_stack!G$2:G$99411, "&gt;="&amp;DATE(2025,8,1),
  raw_stack!G$2:G$99411, "&lt;="&amp;EOMONTH(DATE(2025,8,1),0)
 ),
 IF(_xlpm.x=0, "-", _xlpm.x)
)</f>
        <v>45889</v>
      </c>
      <c r="R26" s="65">
        <f>_xlfn.LET(
 _xlpm.x,
 _xlfn.MAXIFS(
  raw_stack!H$2:H$100000,
  raw_stack!D$2:D$100000, G26,
  raw_stack!F$2:F$100000, "Iya",
  raw_stack!G$2:G$100000, "&gt;="&amp;DATE(2025,8,1),
  raw_stack!G$2:G$100000, "&lt;="&amp;EOMONTH(DATE(2025,8,1),0)
 ),
 IF(OR(_xlpm.x=0, _xlpm.x=""), "-", _xlpm.x)
)</f>
        <v>46471</v>
      </c>
      <c r="S26" s="54" t="str">
        <f>_xlfn.LET(
 _xlpm.x,
 _xlfn.MAXIFS(
  raw_stack!G$2:G$99411,
  raw_stack!D$2:D$99411, G26,
  raw_stack!F$2:F$99411, "Iya",
  raw_stack!G$2:G$99411, "&gt;="&amp;DATE(2025,9,1),
  raw_stack!G$2:G$99411, "&lt;="&amp;EOMONTH(DATE(2025,9,1),0)
 ),
 IF(_xlpm.x=0, "-", _xlpm.x)
)</f>
        <v>-</v>
      </c>
      <c r="T26" s="65" t="str">
        <f>_xlfn.LET(
 _xlpm.x,
 _xlfn.MAXIFS(
  raw_stack!H$2:H$100000,
  raw_stack!D$2:D$100000, G26,
  raw_stack!F$2:F$100000, "Iya",
  raw_stack!G$2:G$100000, "&gt;="&amp;DATE(2025,9,1),
  raw_stack!G$2:G$100000, "&lt;="&amp;EOMONTH(DATE(2025,9,1),0)
 ),
 IF(OR(_xlpm.x=0, _xlpm.x=""), "-", _xlpm.x)
)</f>
        <v>-</v>
      </c>
      <c r="U26" s="54" t="str">
        <f>_xlfn.LET(
 _xlpm.x,
 _xlfn.MAXIFS(
  raw_stack!G$2:G$99411,
  raw_stack!D$2:D$99411, G26,
  raw_stack!F$2:F$99411, "Iya",
  raw_stack!G$2:G$99411, "&gt;="&amp;DATE(2025,10,1),
  raw_stack!G$2:G$99411, "&lt;="&amp;EOMONTH(DATE(2025,10,1),0)
 ),
 IF(_xlpm.x=0, "-", _xlpm.x)
)</f>
        <v>-</v>
      </c>
      <c r="V26" s="65" t="str">
        <f>_xlfn.LET(
 _xlpm.x,
 _xlfn.MAXIFS(
  raw_stack!H$2:H$100000,
  raw_stack!D$2:D$100000, G26,
  raw_stack!F$2:F$100000, "Iya",
  raw_stack!G$2:G$100000, "&gt;="&amp;DATE(2025,10,1),
  raw_stack!G$2:G$100000, "&lt;="&amp;EOMONTH(DATE(2025,10,1),0)
 ),
 IF(OR(_xlpm.x=0, _xlpm.x=""), "-", _xlpm.x)
)</f>
        <v>-</v>
      </c>
      <c r="W26" s="55" t="str">
        <f>_xlfn.LET(
 _xlpm.x,
 _xlfn.MAXIFS(
  raw_stack!G$2:G$99411,
  raw_stack!D$2:D$99411, G26,
  raw_stack!F$2:F$99411, "Iya",
  raw_stack!G$2:G$99411, "&gt;="&amp;DATE(2025,11,1),
  raw_stack!G$2:G$99411, "&lt;="&amp;EOMONTH(DATE(2025,11,1),0)
 ),
 IF(_xlpm.x=0, "-", _xlpm.x)
)</f>
        <v>-</v>
      </c>
      <c r="X26" s="56" t="str">
        <f>_xlfn.LET(
 _xlpm.x,
 _xlfn.MAXIFS(
  raw_stack!H$2:H$100000,
  raw_stack!D$2:D$100000, G26,
  raw_stack!F$2:F$100000, "Iya",
  raw_stack!G$2:G$100000, "&gt;="&amp;DATE(2025,11,1),
  raw_stack!G$2:G$100000, "&lt;="&amp;EOMONTH(DATE(2025,11,1),0)
 ),
 IF(OR(_xlpm.x=0, _xlpm.x=""), "-", _xlpm.x)
)</f>
        <v>-</v>
      </c>
      <c r="Y26" s="55">
        <f>_xlfn.LET(
 _xlpm.x,
 _xlfn.MAXIFS(
  raw_stack!G$2:G$99411,
  raw_stack!D$2:D$99411, G26,
  raw_stack!F$2:F$99411, "Iya",
  raw_stack!G$2:G$99411, "&gt;="&amp;DATE(2025,12,1),
  raw_stack!G$2:G$99411, "&lt;="&amp;EOMONTH(DATE(2025,12,1),0)
 ),
 IF(_xlpm.x=0, "-", _xlpm.x)
)</f>
        <v>45992</v>
      </c>
      <c r="Z26" s="56">
        <f>_xlfn.LET(
 _xlpm.x,
 _xlfn.MAXIFS(
  raw_stack!H$2:H$100000,
  raw_stack!D$2:D$100000, G26,
  raw_stack!F$2:F$100000, "Iya",
  raw_stack!G$2:G$100000, "&gt;="&amp;DATE(2025,12,1),
  raw_stack!G$2:G$100000, "&lt;="&amp;EOMONTH(DATE(2025,12,1),0)
 ),
 IF(OR(_xlpm.x=0, _xlpm.x=""), "-", _xlpm.x)
)</f>
        <v>53253</v>
      </c>
      <c r="AA26" s="55" t="str">
        <f>_xlfn.LET(
 _xlpm.x,
 _xlfn.MAXIFS(
  raw_stack!G$2:G$99411,
  raw_stack!D$2:D$99411, G26,
  raw_stack!F$2:F$99411, "Iya",
  raw_stack!G$2:G$99411, "&gt;="&amp;DATE(2026,1,1),
  raw_stack!G$2:G$99411, "&lt;="&amp;EOMONTH(DATE(2026,1,1),0)
 ),
 IF(_xlpm.x=0, "-", _xlpm.x)
)</f>
        <v>-</v>
      </c>
      <c r="AB26" s="56" t="str">
        <f>_xlfn.LET(
 _xlpm.x,
 _xlfn.MAXIFS(
  raw_stack!H$2:H$100000,
  raw_stack!D$2:D$100000, G26,
  raw_stack!F$2:F$100000, "Iya",
  raw_stack!G$2:G$100000, "&gt;="&amp;DATE(2026,1,1),
  raw_stack!G$2:G$100000, "&lt;="&amp;EOMONTH(DATE(2026,1,1),0)
 ),
 IF(OR(_xlpm.x=0, _xlpm.x=""), "-", _xlpm.x)
)</f>
        <v>-</v>
      </c>
      <c r="AC26" s="55" t="str">
        <f>_xlfn.LET(
 _xlpm.x,
 _xlfn.MAXIFS(
  raw_stack!G$2:G$99411,
  raw_stack!D$2:D$99411, G26,
  raw_stack!F$2:F$99411, "Iya",
  raw_stack!G$2:G$99411, "&gt;="&amp;DATE(2026,2,1),
  raw_stack!G$2:G$99411, "&lt;="&amp;EOMONTH(DATE(2026,2,1),0)
 ),
 IF(_xlpm.x=0, "-", _xlpm.x)
)</f>
        <v>-</v>
      </c>
      <c r="AD26" s="56" t="str">
        <f>_xlfn.LET(
 _xlpm.x,
 _xlfn.MAXIFS(
  raw_stack!H$2:H$100000,
  raw_stack!D$2:D$100000, G26,
  raw_stack!F$2:F$100000, "Iya",
  raw_stack!G$2:G$100000, "&gt;="&amp;DATE(2026,2,1),
  raw_stack!G$2:G$100000, "&lt;="&amp;EOMONTH(DATE(2026,2,1),0)
 ),
 IF(OR(_xlpm.x=0, _xlpm.x=""), "-", _xlpm.x)
)</f>
        <v>-</v>
      </c>
      <c r="AE26" s="55" t="str">
        <f>_xlfn.LET(
 _xlpm.x,
 _xlfn.MAXIFS(
  raw_stack!G$2:G$100000,
  raw_stack!D$2:D$100000, G26,
  raw_stack!F$2:F$100000, "Iya",
  raw_stack!G$2:G$100000, "&gt;="&amp;DATE(2026,3,1),
  raw_stack!G$2:G$100000, "&lt;="&amp;EOMONTH(DATE(2026,3,1),0)
 ),
 IF(_xlpm.x=0, "-", _xlpm.x)
)</f>
        <v>-</v>
      </c>
      <c r="AF26" s="56" t="str">
        <f>_xlfn.LET(
 _xlpm.x,
 _xlfn.MAXIFS(
  raw_stack!H$2:H$100000,
  raw_stack!D$2:D$100000, G26,
  raw_stack!F$2:F$100000, "Iya",
  raw_stack!G$2:G$100000, "&gt;="&amp;DATE(2026,3,1),
  raw_stack!G$2:G$100000, "&lt;="&amp;EOMONTH(DATE(2026,3,1),0)
 ),
 IF(OR(_xlpm.x=0, _xlpm.x=""), "-", _xlpm.x)
)</f>
        <v>-</v>
      </c>
      <c r="AG26" s="55" t="str">
        <f>_xlfn.LET(
 _xlpm.x,
 _xlfn.MAXIFS(
  raw_stack!G$2:G$100000,
  raw_stack!D$2:D$100000, G26,
  raw_stack!F$2:F$100000, "Iya",
  raw_stack!G$2:G$100000, "&gt;="&amp;DATE(2026,4,1),
  raw_stack!G$2:G$100000, "&lt;="&amp;EOMONTH(DATE(2026,4,1),0)
 ),
 IF(_xlpm.x=0, "-", _xlpm.x)
)</f>
        <v>-</v>
      </c>
      <c r="AH26" s="56" t="str">
        <f>_xlfn.LET(
 _xlpm.x,
 _xlfn.MAXIFS(
  raw_stack!H$2:H$100000,
  raw_stack!D$2:D$100000, G26,
  raw_stack!F$2:F$100000, "Iya",
  raw_stack!G$2:G$100000, "&gt;="&amp;DATE(2026,4,1),
  raw_stack!G$2:G$100000, "&lt;="&amp;EOMONTH(DATE(2026,4,1),0)
 ),
 IF(OR(_xlpm.x=0, _xlpm.x=""), "-", _xlpm.x)
)</f>
        <v>-</v>
      </c>
    </row>
    <row r="27" spans="1:34">
      <c r="A27" s="48">
        <v>26</v>
      </c>
      <c r="B27" s="49" t="str">
        <f t="shared" si="0"/>
        <v>81962</v>
      </c>
      <c r="C27" s="50" t="s">
        <v>46</v>
      </c>
      <c r="D27" s="51" t="s">
        <v>477</v>
      </c>
      <c r="E27" s="51" t="s">
        <v>54</v>
      </c>
      <c r="F27" s="49" t="s">
        <v>117</v>
      </c>
      <c r="G27" s="49" t="s">
        <v>143</v>
      </c>
      <c r="H27" s="49" t="s">
        <v>48</v>
      </c>
      <c r="I27" s="49" t="s">
        <v>52</v>
      </c>
      <c r="J27" s="52">
        <v>6450000</v>
      </c>
      <c r="K27" s="53">
        <v>45034</v>
      </c>
      <c r="L27" s="53">
        <v>46129</v>
      </c>
      <c r="M27" s="53">
        <v>46039</v>
      </c>
      <c r="N27" s="49" t="s">
        <v>50</v>
      </c>
      <c r="O27" s="54">
        <f>_xlfn.LET(
 _xlpm.x,
 _xlfn.MAXIFS(
  raw_stack!G$2:G$100000,
  raw_stack!D$2:D$100000, G27,
  raw_stack!F$2:F$100000, "Iya",
  raw_stack!G$2:G$100000, "&gt;="&amp;DATE(2025,7,1),
  raw_stack!G$2:G$100000, "&lt;="&amp;EOMONTH(DATE(2025,7,1),0)
 ),
 IF(_xlpm.x=0, "-", _xlpm.x)
)</f>
        <v>45841</v>
      </c>
      <c r="P27" s="65">
        <f>_xlfn.LET(
 _xlpm.x,
 _xlfn.MAXIFS(
  raw_stack!H$2:H$100000,
  raw_stack!D$2:D$100000, G27,
  raw_stack!F$2:F$100000, "Iya",
  raw_stack!G$2:G$100000, "&gt;="&amp;DATE(2025,7,1),
  raw_stack!G$2:G$100000, "&lt;="&amp;EOMONTH(DATE(2025,7,1),0)
 ),
 IF(OR(_xlpm.x=0, _xlpm.x=""), "-", _xlpm.x)
)</f>
        <v>78921</v>
      </c>
      <c r="Q27" s="54">
        <f>_xlfn.LET(
 _xlpm.x,
 _xlfn.MAXIFS(
  raw_stack!G$2:G$99411,
  raw_stack!D$2:D$99411, G27,
  raw_stack!F$2:F$99411, "Iya",
  raw_stack!G$2:G$99411, "&gt;="&amp;DATE(2025,8,1),
  raw_stack!G$2:G$99411, "&lt;="&amp;EOMONTH(DATE(2025,8,1),0)
 ),
 IF(_xlpm.x=0, "-", _xlpm.x)
)</f>
        <v>45877</v>
      </c>
      <c r="R27" s="65">
        <f>_xlfn.LET(
 _xlpm.x,
 _xlfn.MAXIFS(
  raw_stack!H$2:H$100000,
  raw_stack!D$2:D$100000, G27,
  raw_stack!F$2:F$100000, "Iya",
  raw_stack!G$2:G$100000, "&gt;="&amp;DATE(2025,8,1),
  raw_stack!G$2:G$100000, "&lt;="&amp;EOMONTH(DATE(2025,8,1),0)
 ),
 IF(OR(_xlpm.x=0, _xlpm.x=""), "-", _xlpm.x)
)</f>
        <v>84672</v>
      </c>
      <c r="S27" s="54" t="str">
        <f>_xlfn.LET(
 _xlpm.x,
 _xlfn.MAXIFS(
  raw_stack!G$2:G$99411,
  raw_stack!D$2:D$99411, G27,
  raw_stack!F$2:F$99411, "Iya",
  raw_stack!G$2:G$99411, "&gt;="&amp;DATE(2025,9,1),
  raw_stack!G$2:G$99411, "&lt;="&amp;EOMONTH(DATE(2025,9,1),0)
 ),
 IF(_xlpm.x=0, "-", _xlpm.x)
)</f>
        <v>-</v>
      </c>
      <c r="T27" s="65" t="str">
        <f>_xlfn.LET(
 _xlpm.x,
 _xlfn.MAXIFS(
  raw_stack!H$2:H$100000,
  raw_stack!D$2:D$100000, G27,
  raw_stack!F$2:F$100000, "Iya",
  raw_stack!G$2:G$100000, "&gt;="&amp;DATE(2025,9,1),
  raw_stack!G$2:G$100000, "&lt;="&amp;EOMONTH(DATE(2025,9,1),0)
 ),
 IF(OR(_xlpm.x=0, _xlpm.x=""), "-", _xlpm.x)
)</f>
        <v>-</v>
      </c>
      <c r="U27" s="54">
        <f>_xlfn.LET(
 _xlpm.x,
 _xlfn.MAXIFS(
  raw_stack!G$2:G$99411,
  raw_stack!D$2:D$99411, G27,
  raw_stack!F$2:F$99411, "Iya",
  raw_stack!G$2:G$99411, "&gt;="&amp;DATE(2025,10,1),
  raw_stack!G$2:G$99411, "&lt;="&amp;EOMONTH(DATE(2025,10,1),0)
 ),
 IF(_xlpm.x=0, "-", _xlpm.x)
)</f>
        <v>45952</v>
      </c>
      <c r="V27" s="65">
        <f>_xlfn.LET(
 _xlpm.x,
 _xlfn.MAXIFS(
  raw_stack!H$2:H$100000,
  raw_stack!D$2:D$100000, G27,
  raw_stack!F$2:F$100000, "Iya",
  raw_stack!G$2:G$100000, "&gt;="&amp;DATE(2025,10,1),
  raw_stack!G$2:G$100000, "&lt;="&amp;EOMONTH(DATE(2025,10,1),0)
 ),
 IF(OR(_xlpm.x=0, _xlpm.x=""), "-", _xlpm.x)
)</f>
        <v>89343</v>
      </c>
      <c r="W27" s="55" t="str">
        <f>_xlfn.LET(
 _xlpm.x,
 _xlfn.MAXIFS(
  raw_stack!G$2:G$99411,
  raw_stack!D$2:D$99411, G27,
  raw_stack!F$2:F$99411, "Iya",
  raw_stack!G$2:G$99411, "&gt;="&amp;DATE(2025,11,1),
  raw_stack!G$2:G$99411, "&lt;="&amp;EOMONTH(DATE(2025,11,1),0)
 ),
 IF(_xlpm.x=0, "-", _xlpm.x)
)</f>
        <v>-</v>
      </c>
      <c r="X27" s="56" t="str">
        <f>_xlfn.LET(
 _xlpm.x,
 _xlfn.MAXIFS(
  raw_stack!H$2:H$100000,
  raw_stack!D$2:D$100000, G27,
  raw_stack!F$2:F$100000, "Iya",
  raw_stack!G$2:G$100000, "&gt;="&amp;DATE(2025,11,1),
  raw_stack!G$2:G$100000, "&lt;="&amp;EOMONTH(DATE(2025,11,1),0)
 ),
 IF(OR(_xlpm.x=0, _xlpm.x=""), "-", _xlpm.x)
)</f>
        <v>-</v>
      </c>
      <c r="Y27" s="55" t="str">
        <f>_xlfn.LET(
 _xlpm.x,
 _xlfn.MAXIFS(
  raw_stack!G$2:G$99411,
  raw_stack!D$2:D$99411, G27,
  raw_stack!F$2:F$99411, "Iya",
  raw_stack!G$2:G$99411, "&gt;="&amp;DATE(2025,12,1),
  raw_stack!G$2:G$99411, "&lt;="&amp;EOMONTH(DATE(2025,12,1),0)
 ),
 IF(_xlpm.x=0, "-", _xlpm.x)
)</f>
        <v>-</v>
      </c>
      <c r="Z27" s="56" t="str">
        <f>_xlfn.LET(
 _xlpm.x,
 _xlfn.MAXIFS(
  raw_stack!H$2:H$100000,
  raw_stack!D$2:D$100000, G27,
  raw_stack!F$2:F$100000, "Iya",
  raw_stack!G$2:G$100000, "&gt;="&amp;DATE(2025,12,1),
  raw_stack!G$2:G$100000, "&lt;="&amp;EOMONTH(DATE(2025,12,1),0)
 ),
 IF(OR(_xlpm.x=0, _xlpm.x=""), "-", _xlpm.x)
)</f>
        <v>-</v>
      </c>
      <c r="AA27" s="55" t="str">
        <f>_xlfn.LET(
 _xlpm.x,
 _xlfn.MAXIFS(
  raw_stack!G$2:G$99411,
  raw_stack!D$2:D$99411, G27,
  raw_stack!F$2:F$99411, "Iya",
  raw_stack!G$2:G$99411, "&gt;="&amp;DATE(2026,1,1),
  raw_stack!G$2:G$99411, "&lt;="&amp;EOMONTH(DATE(2026,1,1),0)
 ),
 IF(_xlpm.x=0, "-", _xlpm.x)
)</f>
        <v>-</v>
      </c>
      <c r="AB27" s="56" t="str">
        <f>_xlfn.LET(
 _xlpm.x,
 _xlfn.MAXIFS(
  raw_stack!H$2:H$100000,
  raw_stack!D$2:D$100000, G27,
  raw_stack!F$2:F$100000, "Iya",
  raw_stack!G$2:G$100000, "&gt;="&amp;DATE(2026,1,1),
  raw_stack!G$2:G$100000, "&lt;="&amp;EOMONTH(DATE(2026,1,1),0)
 ),
 IF(OR(_xlpm.x=0, _xlpm.x=""), "-", _xlpm.x)
)</f>
        <v>-</v>
      </c>
      <c r="AC27" s="55" t="str">
        <f>_xlfn.LET(
 _xlpm.x,
 _xlfn.MAXIFS(
  raw_stack!G$2:G$99411,
  raw_stack!D$2:D$99411, G27,
  raw_stack!F$2:F$99411, "Iya",
  raw_stack!G$2:G$99411, "&gt;="&amp;DATE(2026,2,1),
  raw_stack!G$2:G$99411, "&lt;="&amp;EOMONTH(DATE(2026,2,1),0)
 ),
 IF(_xlpm.x=0, "-", _xlpm.x)
)</f>
        <v>-</v>
      </c>
      <c r="AD27" s="56" t="str">
        <f>_xlfn.LET(
 _xlpm.x,
 _xlfn.MAXIFS(
  raw_stack!H$2:H$100000,
  raw_stack!D$2:D$100000, G27,
  raw_stack!F$2:F$100000, "Iya",
  raw_stack!G$2:G$100000, "&gt;="&amp;DATE(2026,2,1),
  raw_stack!G$2:G$100000, "&lt;="&amp;EOMONTH(DATE(2026,2,1),0)
 ),
 IF(OR(_xlpm.x=0, _xlpm.x=""), "-", _xlpm.x)
)</f>
        <v>-</v>
      </c>
      <c r="AE27" s="55" t="str">
        <f>_xlfn.LET(
 _xlpm.x,
 _xlfn.MAXIFS(
  raw_stack!G$2:G$100000,
  raw_stack!D$2:D$100000, G27,
  raw_stack!F$2:F$100000, "Iya",
  raw_stack!G$2:G$100000, "&gt;="&amp;DATE(2026,3,1),
  raw_stack!G$2:G$100000, "&lt;="&amp;EOMONTH(DATE(2026,3,1),0)
 ),
 IF(_xlpm.x=0, "-", _xlpm.x)
)</f>
        <v>-</v>
      </c>
      <c r="AF27" s="56" t="str">
        <f>_xlfn.LET(
 _xlpm.x,
 _xlfn.MAXIFS(
  raw_stack!H$2:H$100000,
  raw_stack!D$2:D$100000, G27,
  raw_stack!F$2:F$100000, "Iya",
  raw_stack!G$2:G$100000, "&gt;="&amp;DATE(2026,3,1),
  raw_stack!G$2:G$100000, "&lt;="&amp;EOMONTH(DATE(2026,3,1),0)
 ),
 IF(OR(_xlpm.x=0, _xlpm.x=""), "-", _xlpm.x)
)</f>
        <v>-</v>
      </c>
      <c r="AG27" s="55" t="str">
        <f>_xlfn.LET(
 _xlpm.x,
 _xlfn.MAXIFS(
  raw_stack!G$2:G$100000,
  raw_stack!D$2:D$100000, G27,
  raw_stack!F$2:F$100000, "Iya",
  raw_stack!G$2:G$100000, "&gt;="&amp;DATE(2026,4,1),
  raw_stack!G$2:G$100000, "&lt;="&amp;EOMONTH(DATE(2026,4,1),0)
 ),
 IF(_xlpm.x=0, "-", _xlpm.x)
)</f>
        <v>-</v>
      </c>
      <c r="AH27" s="56" t="str">
        <f>_xlfn.LET(
 _xlpm.x,
 _xlfn.MAXIFS(
  raw_stack!H$2:H$100000,
  raw_stack!D$2:D$100000, G27,
  raw_stack!F$2:F$100000, "Iya",
  raw_stack!G$2:G$100000, "&gt;="&amp;DATE(2026,4,1),
  raw_stack!G$2:G$100000, "&lt;="&amp;EOMONTH(DATE(2026,4,1),0)
 ),
 IF(OR(_xlpm.x=0, _xlpm.x=""), "-", _xlpm.x)
)</f>
        <v>-</v>
      </c>
    </row>
    <row r="28" spans="1:34">
      <c r="A28" s="48">
        <v>27</v>
      </c>
      <c r="B28" s="49" t="str">
        <f t="shared" si="0"/>
        <v>53715</v>
      </c>
      <c r="C28" s="50" t="s">
        <v>46</v>
      </c>
      <c r="D28" s="51" t="s">
        <v>478</v>
      </c>
      <c r="E28" s="51" t="s">
        <v>54</v>
      </c>
      <c r="F28" s="49" t="s">
        <v>117</v>
      </c>
      <c r="G28" s="49" t="s">
        <v>144</v>
      </c>
      <c r="H28" s="49" t="s">
        <v>48</v>
      </c>
      <c r="I28" s="49" t="s">
        <v>52</v>
      </c>
      <c r="J28" s="52">
        <v>6450000</v>
      </c>
      <c r="K28" s="53">
        <v>45035</v>
      </c>
      <c r="L28" s="53">
        <v>46130</v>
      </c>
      <c r="M28" s="53">
        <v>46040</v>
      </c>
      <c r="N28" s="49" t="s">
        <v>50</v>
      </c>
      <c r="O28" s="54">
        <f>_xlfn.LET(
 _xlpm.x,
 _xlfn.MAXIFS(
  raw_stack!G$2:G$100000,
  raw_stack!D$2:D$100000, G28,
  raw_stack!F$2:F$100000, "Iya",
  raw_stack!G$2:G$100000, "&gt;="&amp;DATE(2025,7,1),
  raw_stack!G$2:G$100000, "&lt;="&amp;EOMONTH(DATE(2025,7,1),0)
 ),
 IF(_xlpm.x=0, "-", _xlpm.x)
)</f>
        <v>45844</v>
      </c>
      <c r="P28" s="65">
        <f>_xlfn.LET(
 _xlpm.x,
 _xlfn.MAXIFS(
  raw_stack!H$2:H$100000,
  raw_stack!D$2:D$100000, G28,
  raw_stack!F$2:F$100000, "Iya",
  raw_stack!G$2:G$100000, "&gt;="&amp;DATE(2025,7,1),
  raw_stack!G$2:G$100000, "&lt;="&amp;EOMONTH(DATE(2025,7,1),0)
 ),
 IF(OR(_xlpm.x=0, _xlpm.x=""), "-", _xlpm.x)
)</f>
        <v>49417</v>
      </c>
      <c r="Q28" s="54" t="str">
        <f>_xlfn.LET(
 _xlpm.x,
 _xlfn.MAXIFS(
  raw_stack!G$2:G$99411,
  raw_stack!D$2:D$99411, G28,
  raw_stack!F$2:F$99411, "Iya",
  raw_stack!G$2:G$99411, "&gt;="&amp;DATE(2025,8,1),
  raw_stack!G$2:G$99411, "&lt;="&amp;EOMONTH(DATE(2025,8,1),0)
 ),
 IF(_xlpm.x=0, "-", _xlpm.x)
)</f>
        <v>-</v>
      </c>
      <c r="R28" s="65" t="str">
        <f>_xlfn.LET(
 _xlpm.x,
 _xlfn.MAXIFS(
  raw_stack!H$2:H$100000,
  raw_stack!D$2:D$100000, G28,
  raw_stack!F$2:F$100000, "Iya",
  raw_stack!G$2:G$100000, "&gt;="&amp;DATE(2025,8,1),
  raw_stack!G$2:G$100000, "&lt;="&amp;EOMONTH(DATE(2025,8,1),0)
 ),
 IF(OR(_xlpm.x=0, _xlpm.x=""), "-", _xlpm.x)
)</f>
        <v>-</v>
      </c>
      <c r="S28" s="54">
        <f>_xlfn.LET(
 _xlpm.x,
 _xlfn.MAXIFS(
  raw_stack!G$2:G$99411,
  raw_stack!D$2:D$99411, G28,
  raw_stack!F$2:F$99411, "Iya",
  raw_stack!G$2:G$99411, "&gt;="&amp;DATE(2025,9,1),
  raw_stack!G$2:G$99411, "&lt;="&amp;EOMONTH(DATE(2025,9,1),0)
 ),
 IF(_xlpm.x=0, "-", _xlpm.x)
)</f>
        <v>45917</v>
      </c>
      <c r="T28" s="65">
        <f>_xlfn.LET(
 _xlpm.x,
 _xlfn.MAXIFS(
  raw_stack!H$2:H$100000,
  raw_stack!D$2:D$100000, G28,
  raw_stack!F$2:F$100000, "Iya",
  raw_stack!G$2:G$100000, "&gt;="&amp;DATE(2025,9,1),
  raw_stack!G$2:G$100000, "&lt;="&amp;EOMONTH(DATE(2025,9,1),0)
 ),
 IF(OR(_xlpm.x=0, _xlpm.x=""), "-", _xlpm.x)
)</f>
        <v>58892</v>
      </c>
      <c r="U28" s="54" t="str">
        <f>_xlfn.LET(
 _xlpm.x,
 _xlfn.MAXIFS(
  raw_stack!G$2:G$99411,
  raw_stack!D$2:D$99411, G28,
  raw_stack!F$2:F$99411, "Iya",
  raw_stack!G$2:G$99411, "&gt;="&amp;DATE(2025,10,1),
  raw_stack!G$2:G$99411, "&lt;="&amp;EOMONTH(DATE(2025,10,1),0)
 ),
 IF(_xlpm.x=0, "-", _xlpm.x)
)</f>
        <v>-</v>
      </c>
      <c r="V28" s="65" t="str">
        <f>_xlfn.LET(
 _xlpm.x,
 _xlfn.MAXIFS(
  raw_stack!H$2:H$100000,
  raw_stack!D$2:D$100000, G28,
  raw_stack!F$2:F$100000, "Iya",
  raw_stack!G$2:G$100000, "&gt;="&amp;DATE(2025,10,1),
  raw_stack!G$2:G$100000, "&lt;="&amp;EOMONTH(DATE(2025,10,1),0)
 ),
 IF(OR(_xlpm.x=0, _xlpm.x=""), "-", _xlpm.x)
)</f>
        <v>-</v>
      </c>
      <c r="W28" s="55" t="str">
        <f>_xlfn.LET(
 _xlpm.x,
 _xlfn.MAXIFS(
  raw_stack!G$2:G$99411,
  raw_stack!D$2:D$99411, G28,
  raw_stack!F$2:F$99411, "Iya",
  raw_stack!G$2:G$99411, "&gt;="&amp;DATE(2025,11,1),
  raw_stack!G$2:G$99411, "&lt;="&amp;EOMONTH(DATE(2025,11,1),0)
 ),
 IF(_xlpm.x=0, "-", _xlpm.x)
)</f>
        <v>-</v>
      </c>
      <c r="X28" s="56" t="str">
        <f>_xlfn.LET(
 _xlpm.x,
 _xlfn.MAXIFS(
  raw_stack!H$2:H$100000,
  raw_stack!D$2:D$100000, G28,
  raw_stack!F$2:F$100000, "Iya",
  raw_stack!G$2:G$100000, "&gt;="&amp;DATE(2025,11,1),
  raw_stack!G$2:G$100000, "&lt;="&amp;EOMONTH(DATE(2025,11,1),0)
 ),
 IF(OR(_xlpm.x=0, _xlpm.x=""), "-", _xlpm.x)
)</f>
        <v>-</v>
      </c>
      <c r="Y28" s="55" t="str">
        <f>_xlfn.LET(
 _xlpm.x,
 _xlfn.MAXIFS(
  raw_stack!G$2:G$99411,
  raw_stack!D$2:D$99411, G28,
  raw_stack!F$2:F$99411, "Iya",
  raw_stack!G$2:G$99411, "&gt;="&amp;DATE(2025,12,1),
  raw_stack!G$2:G$99411, "&lt;="&amp;EOMONTH(DATE(2025,12,1),0)
 ),
 IF(_xlpm.x=0, "-", _xlpm.x)
)</f>
        <v>-</v>
      </c>
      <c r="Z28" s="56" t="str">
        <f>_xlfn.LET(
 _xlpm.x,
 _xlfn.MAXIFS(
  raw_stack!H$2:H$100000,
  raw_stack!D$2:D$100000, G28,
  raw_stack!F$2:F$100000, "Iya",
  raw_stack!G$2:G$100000, "&gt;="&amp;DATE(2025,12,1),
  raw_stack!G$2:G$100000, "&lt;="&amp;EOMONTH(DATE(2025,12,1),0)
 ),
 IF(OR(_xlpm.x=0, _xlpm.x=""), "-", _xlpm.x)
)</f>
        <v>-</v>
      </c>
      <c r="AA28" s="55">
        <f>_xlfn.LET(
 _xlpm.x,
 _xlfn.MAXIFS(
  raw_stack!G$2:G$99411,
  raw_stack!D$2:D$99411, G28,
  raw_stack!F$2:F$99411, "Iya",
  raw_stack!G$2:G$99411, "&gt;="&amp;DATE(2026,1,1),
  raw_stack!G$2:G$99411, "&lt;="&amp;EOMONTH(DATE(2026,1,1),0)
 ),
 IF(_xlpm.x=0, "-", _xlpm.x)
)</f>
        <v>46027</v>
      </c>
      <c r="AB28" s="56">
        <f>_xlfn.LET(
 _xlpm.x,
 _xlfn.MAXIFS(
  raw_stack!H$2:H$100000,
  raw_stack!D$2:D$100000, G28,
  raw_stack!F$2:F$100000, "Iya",
  raw_stack!G$2:G$100000, "&gt;="&amp;DATE(2026,1,1),
  raw_stack!G$2:G$100000, "&lt;="&amp;EOMONTH(DATE(2026,1,1),0)
 ),
 IF(OR(_xlpm.x=0, _xlpm.x=""), "-", _xlpm.x)
)</f>
        <v>67411</v>
      </c>
      <c r="AC28" s="55" t="str">
        <f>_xlfn.LET(
 _xlpm.x,
 _xlfn.MAXIFS(
  raw_stack!G$2:G$99411,
  raw_stack!D$2:D$99411, G28,
  raw_stack!F$2:F$99411, "Iya",
  raw_stack!G$2:G$99411, "&gt;="&amp;DATE(2026,2,1),
  raw_stack!G$2:G$99411, "&lt;="&amp;EOMONTH(DATE(2026,2,1),0)
 ),
 IF(_xlpm.x=0, "-", _xlpm.x)
)</f>
        <v>-</v>
      </c>
      <c r="AD28" s="56" t="str">
        <f>_xlfn.LET(
 _xlpm.x,
 _xlfn.MAXIFS(
  raw_stack!H$2:H$100000,
  raw_stack!D$2:D$100000, G28,
  raw_stack!F$2:F$100000, "Iya",
  raw_stack!G$2:G$100000, "&gt;="&amp;DATE(2026,2,1),
  raw_stack!G$2:G$100000, "&lt;="&amp;EOMONTH(DATE(2026,2,1),0)
 ),
 IF(OR(_xlpm.x=0, _xlpm.x=""), "-", _xlpm.x)
)</f>
        <v>-</v>
      </c>
      <c r="AE28" s="55" t="str">
        <f>_xlfn.LET(
 _xlpm.x,
 _xlfn.MAXIFS(
  raw_stack!G$2:G$100000,
  raw_stack!D$2:D$100000, G28,
  raw_stack!F$2:F$100000, "Iya",
  raw_stack!G$2:G$100000, "&gt;="&amp;DATE(2026,3,1),
  raw_stack!G$2:G$100000, "&lt;="&amp;EOMONTH(DATE(2026,3,1),0)
 ),
 IF(_xlpm.x=0, "-", _xlpm.x)
)</f>
        <v>-</v>
      </c>
      <c r="AF28" s="56" t="str">
        <f>_xlfn.LET(
 _xlpm.x,
 _xlfn.MAXIFS(
  raw_stack!H$2:H$100000,
  raw_stack!D$2:D$100000, G28,
  raw_stack!F$2:F$100000, "Iya",
  raw_stack!G$2:G$100000, "&gt;="&amp;DATE(2026,3,1),
  raw_stack!G$2:G$100000, "&lt;="&amp;EOMONTH(DATE(2026,3,1),0)
 ),
 IF(OR(_xlpm.x=0, _xlpm.x=""), "-", _xlpm.x)
)</f>
        <v>-</v>
      </c>
      <c r="AG28" s="55" t="str">
        <f>_xlfn.LET(
 _xlpm.x,
 _xlfn.MAXIFS(
  raw_stack!G$2:G$100000,
  raw_stack!D$2:D$100000, G28,
  raw_stack!F$2:F$100000, "Iya",
  raw_stack!G$2:G$100000, "&gt;="&amp;DATE(2026,4,1),
  raw_stack!G$2:G$100000, "&lt;="&amp;EOMONTH(DATE(2026,4,1),0)
 ),
 IF(_xlpm.x=0, "-", _xlpm.x)
)</f>
        <v>-</v>
      </c>
      <c r="AH28" s="56" t="str">
        <f>_xlfn.LET(
 _xlpm.x,
 _xlfn.MAXIFS(
  raw_stack!H$2:H$100000,
  raw_stack!D$2:D$100000, G28,
  raw_stack!F$2:F$100000, "Iya",
  raw_stack!G$2:G$100000, "&gt;="&amp;DATE(2026,4,1),
  raw_stack!G$2:G$100000, "&lt;="&amp;EOMONTH(DATE(2026,4,1),0)
 ),
 IF(OR(_xlpm.x=0, _xlpm.x=""), "-", _xlpm.x)
)</f>
        <v>-</v>
      </c>
    </row>
    <row r="29" spans="1:34">
      <c r="A29" s="48">
        <v>28</v>
      </c>
      <c r="B29" s="49" t="str">
        <f t="shared" si="0"/>
        <v>56875</v>
      </c>
      <c r="C29" s="50" t="s">
        <v>46</v>
      </c>
      <c r="D29" s="51" t="s">
        <v>479</v>
      </c>
      <c r="E29" s="51" t="s">
        <v>51</v>
      </c>
      <c r="F29" s="49" t="s">
        <v>117</v>
      </c>
      <c r="G29" s="49" t="s">
        <v>145</v>
      </c>
      <c r="H29" s="49" t="s">
        <v>48</v>
      </c>
      <c r="I29" s="49" t="s">
        <v>52</v>
      </c>
      <c r="J29" s="52">
        <v>4100000</v>
      </c>
      <c r="K29" s="53">
        <v>45035</v>
      </c>
      <c r="L29" s="53">
        <v>46130</v>
      </c>
      <c r="M29" s="53">
        <v>46099</v>
      </c>
      <c r="N29" s="49" t="s">
        <v>50</v>
      </c>
      <c r="O29" s="54" t="str">
        <f>_xlfn.LET(
 _xlpm.x,
 _xlfn.MAXIFS(
  raw_stack!G$2:G$100000,
  raw_stack!D$2:D$100000, G29,
  raw_stack!F$2:F$100000, "Iya",
  raw_stack!G$2:G$100000, "&gt;="&amp;DATE(2025,7,1),
  raw_stack!G$2:G$100000, "&lt;="&amp;EOMONTH(DATE(2025,7,1),0)
 ),
 IF(_xlpm.x=0, "-", _xlpm.x)
)</f>
        <v>-</v>
      </c>
      <c r="P29" s="65" t="str">
        <f>_xlfn.LET(
 _xlpm.x,
 _xlfn.MAXIFS(
  raw_stack!H$2:H$100000,
  raw_stack!D$2:D$100000, G29,
  raw_stack!F$2:F$100000, "Iya",
  raw_stack!G$2:G$100000, "&gt;="&amp;DATE(2025,7,1),
  raw_stack!G$2:G$100000, "&lt;="&amp;EOMONTH(DATE(2025,7,1),0)
 ),
 IF(OR(_xlpm.x=0, _xlpm.x=""), "-", _xlpm.x)
)</f>
        <v>-</v>
      </c>
      <c r="Q29" s="54">
        <f>_xlfn.LET(
 _xlpm.x,
 _xlfn.MAXIFS(
  raw_stack!G$2:G$99411,
  raw_stack!D$2:D$99411, G29,
  raw_stack!F$2:F$99411, "Iya",
  raw_stack!G$2:G$99411, "&gt;="&amp;DATE(2025,8,1),
  raw_stack!G$2:G$99411, "&lt;="&amp;EOMONTH(DATE(2025,8,1),0)
 ),
 IF(_xlpm.x=0, "-", _xlpm.x)
)</f>
        <v>45870</v>
      </c>
      <c r="R29" s="65">
        <f>_xlfn.LET(
 _xlpm.x,
 _xlfn.MAXIFS(
  raw_stack!H$2:H$100000,
  raw_stack!D$2:D$100000, G29,
  raw_stack!F$2:F$100000, "Iya",
  raw_stack!G$2:G$100000, "&gt;="&amp;DATE(2025,8,1),
  raw_stack!G$2:G$100000, "&lt;="&amp;EOMONTH(DATE(2025,8,1),0)
 ),
 IF(OR(_xlpm.x=0, _xlpm.x=""), "-", _xlpm.x)
)</f>
        <v>58787</v>
      </c>
      <c r="S29" s="54" t="str">
        <f>_xlfn.LET(
 _xlpm.x,
 _xlfn.MAXIFS(
  raw_stack!G$2:G$99411,
  raw_stack!D$2:D$99411, G29,
  raw_stack!F$2:F$99411, "Iya",
  raw_stack!G$2:G$99411, "&gt;="&amp;DATE(2025,9,1),
  raw_stack!G$2:G$99411, "&lt;="&amp;EOMONTH(DATE(2025,9,1),0)
 ),
 IF(_xlpm.x=0, "-", _xlpm.x)
)</f>
        <v>-</v>
      </c>
      <c r="T29" s="65" t="str">
        <f>_xlfn.LET(
 _xlpm.x,
 _xlfn.MAXIFS(
  raw_stack!H$2:H$100000,
  raw_stack!D$2:D$100000, G29,
  raw_stack!F$2:F$100000, "Iya",
  raw_stack!G$2:G$100000, "&gt;="&amp;DATE(2025,9,1),
  raw_stack!G$2:G$100000, "&lt;="&amp;EOMONTH(DATE(2025,9,1),0)
 ),
 IF(OR(_xlpm.x=0, _xlpm.x=""), "-", _xlpm.x)
)</f>
        <v>-</v>
      </c>
      <c r="U29" s="54" t="str">
        <f>_xlfn.LET(
 _xlpm.x,
 _xlfn.MAXIFS(
  raw_stack!G$2:G$99411,
  raw_stack!D$2:D$99411, G29,
  raw_stack!F$2:F$99411, "Iya",
  raw_stack!G$2:G$99411, "&gt;="&amp;DATE(2025,10,1),
  raw_stack!G$2:G$99411, "&lt;="&amp;EOMONTH(DATE(2025,10,1),0)
 ),
 IF(_xlpm.x=0, "-", _xlpm.x)
)</f>
        <v>-</v>
      </c>
      <c r="V29" s="65" t="str">
        <f>_xlfn.LET(
 _xlpm.x,
 _xlfn.MAXIFS(
  raw_stack!H$2:H$100000,
  raw_stack!D$2:D$100000, G29,
  raw_stack!F$2:F$100000, "Iya",
  raw_stack!G$2:G$100000, "&gt;="&amp;DATE(2025,10,1),
  raw_stack!G$2:G$100000, "&lt;="&amp;EOMONTH(DATE(2025,10,1),0)
 ),
 IF(OR(_xlpm.x=0, _xlpm.x=""), "-", _xlpm.x)
)</f>
        <v>-</v>
      </c>
      <c r="W29" s="55" t="str">
        <f>_xlfn.LET(
 _xlpm.x,
 _xlfn.MAXIFS(
  raw_stack!G$2:G$99411,
  raw_stack!D$2:D$99411, G29,
  raw_stack!F$2:F$99411, "Iya",
  raw_stack!G$2:G$99411, "&gt;="&amp;DATE(2025,11,1),
  raw_stack!G$2:G$99411, "&lt;="&amp;EOMONTH(DATE(2025,11,1),0)
 ),
 IF(_xlpm.x=0, "-", _xlpm.x)
)</f>
        <v>-</v>
      </c>
      <c r="X29" s="56" t="str">
        <f>_xlfn.LET(
 _xlpm.x,
 _xlfn.MAXIFS(
  raw_stack!H$2:H$100000,
  raw_stack!D$2:D$100000, G29,
  raw_stack!F$2:F$100000, "Iya",
  raw_stack!G$2:G$100000, "&gt;="&amp;DATE(2025,11,1),
  raw_stack!G$2:G$100000, "&lt;="&amp;EOMONTH(DATE(2025,11,1),0)
 ),
 IF(OR(_xlpm.x=0, _xlpm.x=""), "-", _xlpm.x)
)</f>
        <v>-</v>
      </c>
      <c r="Y29" s="55" t="str">
        <f>_xlfn.LET(
 _xlpm.x,
 _xlfn.MAXIFS(
  raw_stack!G$2:G$99411,
  raw_stack!D$2:D$99411, G29,
  raw_stack!F$2:F$99411, "Iya",
  raw_stack!G$2:G$99411, "&gt;="&amp;DATE(2025,12,1),
  raw_stack!G$2:G$99411, "&lt;="&amp;EOMONTH(DATE(2025,12,1),0)
 ),
 IF(_xlpm.x=0, "-", _xlpm.x)
)</f>
        <v>-</v>
      </c>
      <c r="Z29" s="56" t="str">
        <f>_xlfn.LET(
 _xlpm.x,
 _xlfn.MAXIFS(
  raw_stack!H$2:H$100000,
  raw_stack!D$2:D$100000, G29,
  raw_stack!F$2:F$100000, "Iya",
  raw_stack!G$2:G$100000, "&gt;="&amp;DATE(2025,12,1),
  raw_stack!G$2:G$100000, "&lt;="&amp;EOMONTH(DATE(2025,12,1),0)
 ),
 IF(OR(_xlpm.x=0, _xlpm.x=""), "-", _xlpm.x)
)</f>
        <v>-</v>
      </c>
      <c r="AA29" s="55" t="str">
        <f>_xlfn.LET(
 _xlpm.x,
 _xlfn.MAXIFS(
  raw_stack!G$2:G$99411,
  raw_stack!D$2:D$99411, G29,
  raw_stack!F$2:F$99411, "Iya",
  raw_stack!G$2:G$99411, "&gt;="&amp;DATE(2026,1,1),
  raw_stack!G$2:G$99411, "&lt;="&amp;EOMONTH(DATE(2026,1,1),0)
 ),
 IF(_xlpm.x=0, "-", _xlpm.x)
)</f>
        <v>-</v>
      </c>
      <c r="AB29" s="56" t="str">
        <f>_xlfn.LET(
 _xlpm.x,
 _xlfn.MAXIFS(
  raw_stack!H$2:H$100000,
  raw_stack!D$2:D$100000, G29,
  raw_stack!F$2:F$100000, "Iya",
  raw_stack!G$2:G$100000, "&gt;="&amp;DATE(2026,1,1),
  raw_stack!G$2:G$100000, "&lt;="&amp;EOMONTH(DATE(2026,1,1),0)
 ),
 IF(OR(_xlpm.x=0, _xlpm.x=""), "-", _xlpm.x)
)</f>
        <v>-</v>
      </c>
      <c r="AC29" s="55" t="str">
        <f>_xlfn.LET(
 _xlpm.x,
 _xlfn.MAXIFS(
  raw_stack!G$2:G$99411,
  raw_stack!D$2:D$99411, G29,
  raw_stack!F$2:F$99411, "Iya",
  raw_stack!G$2:G$99411, "&gt;="&amp;DATE(2026,2,1),
  raw_stack!G$2:G$99411, "&lt;="&amp;EOMONTH(DATE(2026,2,1),0)
 ),
 IF(_xlpm.x=0, "-", _xlpm.x)
)</f>
        <v>-</v>
      </c>
      <c r="AD29" s="56" t="str">
        <f>_xlfn.LET(
 _xlpm.x,
 _xlfn.MAXIFS(
  raw_stack!H$2:H$100000,
  raw_stack!D$2:D$100000, G29,
  raw_stack!F$2:F$100000, "Iya",
  raw_stack!G$2:G$100000, "&gt;="&amp;DATE(2026,2,1),
  raw_stack!G$2:G$100000, "&lt;="&amp;EOMONTH(DATE(2026,2,1),0)
 ),
 IF(OR(_xlpm.x=0, _xlpm.x=""), "-", _xlpm.x)
)</f>
        <v>-</v>
      </c>
      <c r="AE29" s="55">
        <f>_xlfn.LET(
 _xlpm.x,
 _xlfn.MAXIFS(
  raw_stack!G$2:G$100000,
  raw_stack!D$2:D$100000, G29,
  raw_stack!F$2:F$100000, "Iya",
  raw_stack!G$2:G$100000, "&gt;="&amp;DATE(2026,3,1),
  raw_stack!G$2:G$100000, "&lt;="&amp;EOMONTH(DATE(2026,3,1),0)
 ),
 IF(_xlpm.x=0, "-", _xlpm.x)
)</f>
        <v>46094</v>
      </c>
      <c r="AF29" s="56">
        <f>_xlfn.LET(
 _xlpm.x,
 _xlfn.MAXIFS(
  raw_stack!H$2:H$100000,
  raw_stack!D$2:D$100000, G29,
  raw_stack!F$2:F$100000, "Iya",
  raw_stack!G$2:G$100000, "&gt;="&amp;DATE(2026,3,1),
  raw_stack!G$2:G$100000, "&lt;="&amp;EOMONTH(DATE(2026,3,1),0)
 ),
 IF(OR(_xlpm.x=0, _xlpm.x=""), "-", _xlpm.x)
)</f>
        <v>61375</v>
      </c>
      <c r="AG29" s="55" t="str">
        <f>_xlfn.LET(
 _xlpm.x,
 _xlfn.MAXIFS(
  raw_stack!G$2:G$100000,
  raw_stack!D$2:D$100000, G29,
  raw_stack!F$2:F$100000, "Iya",
  raw_stack!G$2:G$100000, "&gt;="&amp;DATE(2026,4,1),
  raw_stack!G$2:G$100000, "&lt;="&amp;EOMONTH(DATE(2026,4,1),0)
 ),
 IF(_xlpm.x=0, "-", _xlpm.x)
)</f>
        <v>-</v>
      </c>
      <c r="AH29" s="56" t="str">
        <f>_xlfn.LET(
 _xlpm.x,
 _xlfn.MAXIFS(
  raw_stack!H$2:H$100000,
  raw_stack!D$2:D$100000, G29,
  raw_stack!F$2:F$100000, "Iya",
  raw_stack!G$2:G$100000, "&gt;="&amp;DATE(2026,4,1),
  raw_stack!G$2:G$100000, "&lt;="&amp;EOMONTH(DATE(2026,4,1),0)
 ),
 IF(OR(_xlpm.x=0, _xlpm.x=""), "-", _xlpm.x)
)</f>
        <v>-</v>
      </c>
    </row>
    <row r="30" spans="1:34">
      <c r="A30" s="48">
        <v>29</v>
      </c>
      <c r="B30" s="49" t="str">
        <f t="shared" si="0"/>
        <v>64137</v>
      </c>
      <c r="C30" s="50" t="s">
        <v>46</v>
      </c>
      <c r="D30" s="51" t="s">
        <v>480</v>
      </c>
      <c r="E30" s="51" t="s">
        <v>56</v>
      </c>
      <c r="F30" s="49" t="s">
        <v>117</v>
      </c>
      <c r="G30" s="49" t="s">
        <v>146</v>
      </c>
      <c r="H30" s="49" t="s">
        <v>48</v>
      </c>
      <c r="I30" s="49" t="s">
        <v>52</v>
      </c>
      <c r="J30" s="52">
        <v>6415000</v>
      </c>
      <c r="K30" s="53">
        <v>45949</v>
      </c>
      <c r="L30" s="53">
        <v>46130</v>
      </c>
      <c r="M30" s="53">
        <v>46099</v>
      </c>
      <c r="N30" s="49" t="s">
        <v>50</v>
      </c>
      <c r="O30" s="54">
        <f>_xlfn.LET(
 _xlpm.x,
 _xlfn.MAXIFS(
  raw_stack!G$2:G$100000,
  raw_stack!D$2:D$100000, G30,
  raw_stack!F$2:F$100000, "Iya",
  raw_stack!G$2:G$100000, "&gt;="&amp;DATE(2025,7,1),
  raw_stack!G$2:G$100000, "&lt;="&amp;EOMONTH(DATE(2025,7,1),0)
 ),
 IF(_xlpm.x=0, "-", _xlpm.x)
)</f>
        <v>45848</v>
      </c>
      <c r="P30" s="65">
        <f>_xlfn.LET(
 _xlpm.x,
 _xlfn.MAXIFS(
  raw_stack!H$2:H$100000,
  raw_stack!D$2:D$100000, G30,
  raw_stack!F$2:F$100000, "Iya",
  raw_stack!G$2:G$100000, "&gt;="&amp;DATE(2025,7,1),
  raw_stack!G$2:G$100000, "&lt;="&amp;EOMONTH(DATE(2025,7,1),0)
 ),
 IF(OR(_xlpm.x=0, _xlpm.x=""), "-", _xlpm.x)
)</f>
        <v>61261</v>
      </c>
      <c r="Q30" s="54" t="str">
        <f>_xlfn.LET(
 _xlpm.x,
 _xlfn.MAXIFS(
  raw_stack!G$2:G$99411,
  raw_stack!D$2:D$99411, G30,
  raw_stack!F$2:F$99411, "Iya",
  raw_stack!G$2:G$99411, "&gt;="&amp;DATE(2025,8,1),
  raw_stack!G$2:G$99411, "&lt;="&amp;EOMONTH(DATE(2025,8,1),0)
 ),
 IF(_xlpm.x=0, "-", _xlpm.x)
)</f>
        <v>-</v>
      </c>
      <c r="R30" s="65" t="str">
        <f>_xlfn.LET(
 _xlpm.x,
 _xlfn.MAXIFS(
  raw_stack!H$2:H$100000,
  raw_stack!D$2:D$100000, G30,
  raw_stack!F$2:F$100000, "Iya",
  raw_stack!G$2:G$100000, "&gt;="&amp;DATE(2025,8,1),
  raw_stack!G$2:G$100000, "&lt;="&amp;EOMONTH(DATE(2025,8,1),0)
 ),
 IF(OR(_xlpm.x=0, _xlpm.x=""), "-", _xlpm.x)
)</f>
        <v>-</v>
      </c>
      <c r="S30" s="54" t="str">
        <f>_xlfn.LET(
 _xlpm.x,
 _xlfn.MAXIFS(
  raw_stack!G$2:G$99411,
  raw_stack!D$2:D$99411, G30,
  raw_stack!F$2:F$99411, "Iya",
  raw_stack!G$2:G$99411, "&gt;="&amp;DATE(2025,9,1),
  raw_stack!G$2:G$99411, "&lt;="&amp;EOMONTH(DATE(2025,9,1),0)
 ),
 IF(_xlpm.x=0, "-", _xlpm.x)
)</f>
        <v>-</v>
      </c>
      <c r="T30" s="65" t="str">
        <f>_xlfn.LET(
 _xlpm.x,
 _xlfn.MAXIFS(
  raw_stack!H$2:H$100000,
  raw_stack!D$2:D$100000, G30,
  raw_stack!F$2:F$100000, "Iya",
  raw_stack!G$2:G$100000, "&gt;="&amp;DATE(2025,9,1),
  raw_stack!G$2:G$100000, "&lt;="&amp;EOMONTH(DATE(2025,9,1),0)
 ),
 IF(OR(_xlpm.x=0, _xlpm.x=""), "-", _xlpm.x)
)</f>
        <v>-</v>
      </c>
      <c r="U30" s="54" t="str">
        <f>_xlfn.LET(
 _xlpm.x,
 _xlfn.MAXIFS(
  raw_stack!G$2:G$99411,
  raw_stack!D$2:D$99411, G30,
  raw_stack!F$2:F$99411, "Iya",
  raw_stack!G$2:G$99411, "&gt;="&amp;DATE(2025,10,1),
  raw_stack!G$2:G$99411, "&lt;="&amp;EOMONTH(DATE(2025,10,1),0)
 ),
 IF(_xlpm.x=0, "-", _xlpm.x)
)</f>
        <v>-</v>
      </c>
      <c r="V30" s="65" t="str">
        <f>_xlfn.LET(
 _xlpm.x,
 _xlfn.MAXIFS(
  raw_stack!H$2:H$100000,
  raw_stack!D$2:D$100000, G30,
  raw_stack!F$2:F$100000, "Iya",
  raw_stack!G$2:G$100000, "&gt;="&amp;DATE(2025,10,1),
  raw_stack!G$2:G$100000, "&lt;="&amp;EOMONTH(DATE(2025,10,1),0)
 ),
 IF(OR(_xlpm.x=0, _xlpm.x=""), "-", _xlpm.x)
)</f>
        <v>-</v>
      </c>
      <c r="W30" s="55">
        <f>_xlfn.LET(
 _xlpm.x,
 _xlfn.MAXIFS(
  raw_stack!G$2:G$99411,
  raw_stack!D$2:D$99411, G30,
  raw_stack!F$2:F$99411, "Iya",
  raw_stack!G$2:G$99411, "&gt;="&amp;DATE(2025,11,1),
  raw_stack!G$2:G$99411, "&lt;="&amp;EOMONTH(DATE(2025,11,1),0)
 ),
 IF(_xlpm.x=0, "-", _xlpm.x)
)</f>
        <v>45982</v>
      </c>
      <c r="X30" s="56">
        <f>_xlfn.LET(
 _xlpm.x,
 _xlfn.MAXIFS(
  raw_stack!H$2:H$100000,
  raw_stack!D$2:D$100000, G30,
  raw_stack!F$2:F$100000, "Iya",
  raw_stack!G$2:G$100000, "&gt;="&amp;DATE(2025,11,1),
  raw_stack!G$2:G$100000, "&lt;="&amp;EOMONTH(DATE(2025,11,1),0)
 ),
 IF(OR(_xlpm.x=0, _xlpm.x=""), "-", _xlpm.x)
)</f>
        <v>70682</v>
      </c>
      <c r="Y30" s="55" t="str">
        <f>_xlfn.LET(
 _xlpm.x,
 _xlfn.MAXIFS(
  raw_stack!G$2:G$99411,
  raw_stack!D$2:D$99411, G30,
  raw_stack!F$2:F$99411, "Iya",
  raw_stack!G$2:G$99411, "&gt;="&amp;DATE(2025,12,1),
  raw_stack!G$2:G$99411, "&lt;="&amp;EOMONTH(DATE(2025,12,1),0)
 ),
 IF(_xlpm.x=0, "-", _xlpm.x)
)</f>
        <v>-</v>
      </c>
      <c r="Z30" s="56" t="str">
        <f>_xlfn.LET(
 _xlpm.x,
 _xlfn.MAXIFS(
  raw_stack!H$2:H$100000,
  raw_stack!D$2:D$100000, G30,
  raw_stack!F$2:F$100000, "Iya",
  raw_stack!G$2:G$100000, "&gt;="&amp;DATE(2025,12,1),
  raw_stack!G$2:G$100000, "&lt;="&amp;EOMONTH(DATE(2025,12,1),0)
 ),
 IF(OR(_xlpm.x=0, _xlpm.x=""), "-", _xlpm.x)
)</f>
        <v>-</v>
      </c>
      <c r="AA30" s="55" t="str">
        <f>_xlfn.LET(
 _xlpm.x,
 _xlfn.MAXIFS(
  raw_stack!G$2:G$99411,
  raw_stack!D$2:D$99411, G30,
  raw_stack!F$2:F$99411, "Iya",
  raw_stack!G$2:G$99411, "&gt;="&amp;DATE(2026,1,1),
  raw_stack!G$2:G$99411, "&lt;="&amp;EOMONTH(DATE(2026,1,1),0)
 ),
 IF(_xlpm.x=0, "-", _xlpm.x)
)</f>
        <v>-</v>
      </c>
      <c r="AB30" s="56" t="str">
        <f>_xlfn.LET(
 _xlpm.x,
 _xlfn.MAXIFS(
  raw_stack!H$2:H$100000,
  raw_stack!D$2:D$100000, G30,
  raw_stack!F$2:F$100000, "Iya",
  raw_stack!G$2:G$100000, "&gt;="&amp;DATE(2026,1,1),
  raw_stack!G$2:G$100000, "&lt;="&amp;EOMONTH(DATE(2026,1,1),0)
 ),
 IF(OR(_xlpm.x=0, _xlpm.x=""), "-", _xlpm.x)
)</f>
        <v>-</v>
      </c>
      <c r="AC30" s="55" t="str">
        <f>_xlfn.LET(
 _xlpm.x,
 _xlfn.MAXIFS(
  raw_stack!G$2:G$99411,
  raw_stack!D$2:D$99411, G30,
  raw_stack!F$2:F$99411, "Iya",
  raw_stack!G$2:G$99411, "&gt;="&amp;DATE(2026,2,1),
  raw_stack!G$2:G$99411, "&lt;="&amp;EOMONTH(DATE(2026,2,1),0)
 ),
 IF(_xlpm.x=0, "-", _xlpm.x)
)</f>
        <v>-</v>
      </c>
      <c r="AD30" s="56" t="str">
        <f>_xlfn.LET(
 _xlpm.x,
 _xlfn.MAXIFS(
  raw_stack!H$2:H$100000,
  raw_stack!D$2:D$100000, G30,
  raw_stack!F$2:F$100000, "Iya",
  raw_stack!G$2:G$100000, "&gt;="&amp;DATE(2026,2,1),
  raw_stack!G$2:G$100000, "&lt;="&amp;EOMONTH(DATE(2026,2,1),0)
 ),
 IF(OR(_xlpm.x=0, _xlpm.x=""), "-", _xlpm.x)
)</f>
        <v>-</v>
      </c>
      <c r="AE30" s="55" t="str">
        <f>_xlfn.LET(
 _xlpm.x,
 _xlfn.MAXIFS(
  raw_stack!G$2:G$100000,
  raw_stack!D$2:D$100000, G30,
  raw_stack!F$2:F$100000, "Iya",
  raw_stack!G$2:G$100000, "&gt;="&amp;DATE(2026,3,1),
  raw_stack!G$2:G$100000, "&lt;="&amp;EOMONTH(DATE(2026,3,1),0)
 ),
 IF(_xlpm.x=0, "-", _xlpm.x)
)</f>
        <v>-</v>
      </c>
      <c r="AF30" s="56" t="str">
        <f>_xlfn.LET(
 _xlpm.x,
 _xlfn.MAXIFS(
  raw_stack!H$2:H$100000,
  raw_stack!D$2:D$100000, G30,
  raw_stack!F$2:F$100000, "Iya",
  raw_stack!G$2:G$100000, "&gt;="&amp;DATE(2026,3,1),
  raw_stack!G$2:G$100000, "&lt;="&amp;EOMONTH(DATE(2026,3,1),0)
 ),
 IF(OR(_xlpm.x=0, _xlpm.x=""), "-", _xlpm.x)
)</f>
        <v>-</v>
      </c>
      <c r="AG30" s="55" t="str">
        <f>_xlfn.LET(
 _xlpm.x,
 _xlfn.MAXIFS(
  raw_stack!G$2:G$100000,
  raw_stack!D$2:D$100000, G30,
  raw_stack!F$2:F$100000, "Iya",
  raw_stack!G$2:G$100000, "&gt;="&amp;DATE(2026,4,1),
  raw_stack!G$2:G$100000, "&lt;="&amp;EOMONTH(DATE(2026,4,1),0)
 ),
 IF(_xlpm.x=0, "-", _xlpm.x)
)</f>
        <v>-</v>
      </c>
      <c r="AH30" s="56" t="str">
        <f>_xlfn.LET(
 _xlpm.x,
 _xlfn.MAXIFS(
  raw_stack!H$2:H$100000,
  raw_stack!D$2:D$100000, G30,
  raw_stack!F$2:F$100000, "Iya",
  raw_stack!G$2:G$100000, "&gt;="&amp;DATE(2026,4,1),
  raw_stack!G$2:G$100000, "&lt;="&amp;EOMONTH(DATE(2026,4,1),0)
 ),
 IF(OR(_xlpm.x=0, _xlpm.x=""), "-", _xlpm.x)
)</f>
        <v>-</v>
      </c>
    </row>
    <row r="31" spans="1:34">
      <c r="A31" s="48">
        <v>30</v>
      </c>
      <c r="B31" s="49" t="str">
        <f t="shared" si="0"/>
        <v>96224</v>
      </c>
      <c r="C31" s="50" t="s">
        <v>46</v>
      </c>
      <c r="D31" s="51" t="s">
        <v>481</v>
      </c>
      <c r="E31" s="51" t="s">
        <v>51</v>
      </c>
      <c r="F31" s="49" t="s">
        <v>117</v>
      </c>
      <c r="G31" s="49" t="s">
        <v>147</v>
      </c>
      <c r="H31" s="49" t="s">
        <v>48</v>
      </c>
      <c r="I31" s="49" t="s">
        <v>52</v>
      </c>
      <c r="J31" s="52">
        <v>3380000</v>
      </c>
      <c r="K31" s="53">
        <v>45952</v>
      </c>
      <c r="L31" s="53">
        <v>46133</v>
      </c>
      <c r="M31" s="53">
        <v>46102</v>
      </c>
      <c r="N31" s="49" t="s">
        <v>50</v>
      </c>
      <c r="O31" s="54" t="str">
        <f>_xlfn.LET(
 _xlpm.x,
 _xlfn.MAXIFS(
  raw_stack!G$2:G$100000,
  raw_stack!D$2:D$100000, G31,
  raw_stack!F$2:F$100000, "Iya",
  raw_stack!G$2:G$100000, "&gt;="&amp;DATE(2025,7,1),
  raw_stack!G$2:G$100000, "&lt;="&amp;EOMONTH(DATE(2025,7,1),0)
 ),
 IF(_xlpm.x=0, "-", _xlpm.x)
)</f>
        <v>-</v>
      </c>
      <c r="P31" s="65" t="str">
        <f>_xlfn.LET(
 _xlpm.x,
 _xlfn.MAXIFS(
  raw_stack!H$2:H$100000,
  raw_stack!D$2:D$100000, G31,
  raw_stack!F$2:F$100000, "Iya",
  raw_stack!G$2:G$100000, "&gt;="&amp;DATE(2025,7,1),
  raw_stack!G$2:G$100000, "&lt;="&amp;EOMONTH(DATE(2025,7,1),0)
 ),
 IF(OR(_xlpm.x=0, _xlpm.x=""), "-", _xlpm.x)
)</f>
        <v>-</v>
      </c>
      <c r="Q31" s="54" t="str">
        <f>_xlfn.LET(
 _xlpm.x,
 _xlfn.MAXIFS(
  raw_stack!G$2:G$99411,
  raw_stack!D$2:D$99411, G31,
  raw_stack!F$2:F$99411, "Iya",
  raw_stack!G$2:G$99411, "&gt;="&amp;DATE(2025,8,1),
  raw_stack!G$2:G$99411, "&lt;="&amp;EOMONTH(DATE(2025,8,1),0)
 ),
 IF(_xlpm.x=0, "-", _xlpm.x)
)</f>
        <v>-</v>
      </c>
      <c r="R31" s="65" t="str">
        <f>_xlfn.LET(
 _xlpm.x,
 _xlfn.MAXIFS(
  raw_stack!H$2:H$100000,
  raw_stack!D$2:D$100000, G31,
  raw_stack!F$2:F$100000, "Iya",
  raw_stack!G$2:G$100000, "&gt;="&amp;DATE(2025,8,1),
  raw_stack!G$2:G$100000, "&lt;="&amp;EOMONTH(DATE(2025,8,1),0)
 ),
 IF(OR(_xlpm.x=0, _xlpm.x=""), "-", _xlpm.x)
)</f>
        <v>-</v>
      </c>
      <c r="S31" s="54" t="str">
        <f>_xlfn.LET(
 _xlpm.x,
 _xlfn.MAXIFS(
  raw_stack!G$2:G$99411,
  raw_stack!D$2:D$99411, G31,
  raw_stack!F$2:F$99411, "Iya",
  raw_stack!G$2:G$99411, "&gt;="&amp;DATE(2025,9,1),
  raw_stack!G$2:G$99411, "&lt;="&amp;EOMONTH(DATE(2025,9,1),0)
 ),
 IF(_xlpm.x=0, "-", _xlpm.x)
)</f>
        <v>-</v>
      </c>
      <c r="T31" s="65" t="str">
        <f>_xlfn.LET(
 _xlpm.x,
 _xlfn.MAXIFS(
  raw_stack!H$2:H$100000,
  raw_stack!D$2:D$100000, G31,
  raw_stack!F$2:F$100000, "Iya",
  raw_stack!G$2:G$100000, "&gt;="&amp;DATE(2025,9,1),
  raw_stack!G$2:G$100000, "&lt;="&amp;EOMONTH(DATE(2025,9,1),0)
 ),
 IF(OR(_xlpm.x=0, _xlpm.x=""), "-", _xlpm.x)
)</f>
        <v>-</v>
      </c>
      <c r="U31" s="54" t="str">
        <f>_xlfn.LET(
 _xlpm.x,
 _xlfn.MAXIFS(
  raw_stack!G$2:G$99411,
  raw_stack!D$2:D$99411, G31,
  raw_stack!F$2:F$99411, "Iya",
  raw_stack!G$2:G$99411, "&gt;="&amp;DATE(2025,10,1),
  raw_stack!G$2:G$99411, "&lt;="&amp;EOMONTH(DATE(2025,10,1),0)
 ),
 IF(_xlpm.x=0, "-", _xlpm.x)
)</f>
        <v>-</v>
      </c>
      <c r="V31" s="65" t="str">
        <f>_xlfn.LET(
 _xlpm.x,
 _xlfn.MAXIFS(
  raw_stack!H$2:H$100000,
  raw_stack!D$2:D$100000, G31,
  raw_stack!F$2:F$100000, "Iya",
  raw_stack!G$2:G$100000, "&gt;="&amp;DATE(2025,10,1),
  raw_stack!G$2:G$100000, "&lt;="&amp;EOMONTH(DATE(2025,10,1),0)
 ),
 IF(OR(_xlpm.x=0, _xlpm.x=""), "-", _xlpm.x)
)</f>
        <v>-</v>
      </c>
      <c r="W31" s="55">
        <f>_xlfn.LET(
 _xlpm.x,
 _xlfn.MAXIFS(
  raw_stack!G$2:G$99411,
  raw_stack!D$2:D$99411, G31,
  raw_stack!F$2:F$99411, "Iya",
  raw_stack!G$2:G$99411, "&gt;="&amp;DATE(2025,11,1),
  raw_stack!G$2:G$99411, "&lt;="&amp;EOMONTH(DATE(2025,11,1),0)
 ),
 IF(_xlpm.x=0, "-", _xlpm.x)
)</f>
        <v>45988</v>
      </c>
      <c r="X31" s="56">
        <f>_xlfn.LET(
 _xlpm.x,
 _xlfn.MAXIFS(
  raw_stack!H$2:H$100000,
  raw_stack!D$2:D$100000, G31,
  raw_stack!F$2:F$100000, "Iya",
  raw_stack!G$2:G$100000, "&gt;="&amp;DATE(2025,11,1),
  raw_stack!G$2:G$100000, "&lt;="&amp;EOMONTH(DATE(2025,11,1),0)
 ),
 IF(OR(_xlpm.x=0, _xlpm.x=""), "-", _xlpm.x)
)</f>
        <v>45544</v>
      </c>
      <c r="Y31" s="55" t="str">
        <f>_xlfn.LET(
 _xlpm.x,
 _xlfn.MAXIFS(
  raw_stack!G$2:G$99411,
  raw_stack!D$2:D$99411, G31,
  raw_stack!F$2:F$99411, "Iya",
  raw_stack!G$2:G$99411, "&gt;="&amp;DATE(2025,12,1),
  raw_stack!G$2:G$99411, "&lt;="&amp;EOMONTH(DATE(2025,12,1),0)
 ),
 IF(_xlpm.x=0, "-", _xlpm.x)
)</f>
        <v>-</v>
      </c>
      <c r="Z31" s="56" t="str">
        <f>_xlfn.LET(
 _xlpm.x,
 _xlfn.MAXIFS(
  raw_stack!H$2:H$100000,
  raw_stack!D$2:D$100000, G31,
  raw_stack!F$2:F$100000, "Iya",
  raw_stack!G$2:G$100000, "&gt;="&amp;DATE(2025,12,1),
  raw_stack!G$2:G$100000, "&lt;="&amp;EOMONTH(DATE(2025,12,1),0)
 ),
 IF(OR(_xlpm.x=0, _xlpm.x=""), "-", _xlpm.x)
)</f>
        <v>-</v>
      </c>
      <c r="AA31" s="55" t="str">
        <f>_xlfn.LET(
 _xlpm.x,
 _xlfn.MAXIFS(
  raw_stack!G$2:G$99411,
  raw_stack!D$2:D$99411, G31,
  raw_stack!F$2:F$99411, "Iya",
  raw_stack!G$2:G$99411, "&gt;="&amp;DATE(2026,1,1),
  raw_stack!G$2:G$99411, "&lt;="&amp;EOMONTH(DATE(2026,1,1),0)
 ),
 IF(_xlpm.x=0, "-", _xlpm.x)
)</f>
        <v>-</v>
      </c>
      <c r="AB31" s="56" t="str">
        <f>_xlfn.LET(
 _xlpm.x,
 _xlfn.MAXIFS(
  raw_stack!H$2:H$100000,
  raw_stack!D$2:D$100000, G31,
  raw_stack!F$2:F$100000, "Iya",
  raw_stack!G$2:G$100000, "&gt;="&amp;DATE(2026,1,1),
  raw_stack!G$2:G$100000, "&lt;="&amp;EOMONTH(DATE(2026,1,1),0)
 ),
 IF(OR(_xlpm.x=0, _xlpm.x=""), "-", _xlpm.x)
)</f>
        <v>-</v>
      </c>
      <c r="AC31" s="55" t="str">
        <f>_xlfn.LET(
 _xlpm.x,
 _xlfn.MAXIFS(
  raw_stack!G$2:G$99411,
  raw_stack!D$2:D$99411, G31,
  raw_stack!F$2:F$99411, "Iya",
  raw_stack!G$2:G$99411, "&gt;="&amp;DATE(2026,2,1),
  raw_stack!G$2:G$99411, "&lt;="&amp;EOMONTH(DATE(2026,2,1),0)
 ),
 IF(_xlpm.x=0, "-", _xlpm.x)
)</f>
        <v>-</v>
      </c>
      <c r="AD31" s="56" t="str">
        <f>_xlfn.LET(
 _xlpm.x,
 _xlfn.MAXIFS(
  raw_stack!H$2:H$100000,
  raw_stack!D$2:D$100000, G31,
  raw_stack!F$2:F$100000, "Iya",
  raw_stack!G$2:G$100000, "&gt;="&amp;DATE(2026,2,1),
  raw_stack!G$2:G$100000, "&lt;="&amp;EOMONTH(DATE(2026,2,1),0)
 ),
 IF(OR(_xlpm.x=0, _xlpm.x=""), "-", _xlpm.x)
)</f>
        <v>-</v>
      </c>
      <c r="AE31" s="55" t="str">
        <f>_xlfn.LET(
 _xlpm.x,
 _xlfn.MAXIFS(
  raw_stack!G$2:G$100000,
  raw_stack!D$2:D$100000, G31,
  raw_stack!F$2:F$100000, "Iya",
  raw_stack!G$2:G$100000, "&gt;="&amp;DATE(2026,3,1),
  raw_stack!G$2:G$100000, "&lt;="&amp;EOMONTH(DATE(2026,3,1),0)
 ),
 IF(_xlpm.x=0, "-", _xlpm.x)
)</f>
        <v>-</v>
      </c>
      <c r="AF31" s="56" t="str">
        <f>_xlfn.LET(
 _xlpm.x,
 _xlfn.MAXIFS(
  raw_stack!H$2:H$100000,
  raw_stack!D$2:D$100000, G31,
  raw_stack!F$2:F$100000, "Iya",
  raw_stack!G$2:G$100000, "&gt;="&amp;DATE(2026,3,1),
  raw_stack!G$2:G$100000, "&lt;="&amp;EOMONTH(DATE(2026,3,1),0)
 ),
 IF(OR(_xlpm.x=0, _xlpm.x=""), "-", _xlpm.x)
)</f>
        <v>-</v>
      </c>
      <c r="AG31" s="55" t="str">
        <f>_xlfn.LET(
 _xlpm.x,
 _xlfn.MAXIFS(
  raw_stack!G$2:G$100000,
  raw_stack!D$2:D$100000, G31,
  raw_stack!F$2:F$100000, "Iya",
  raw_stack!G$2:G$100000, "&gt;="&amp;DATE(2026,4,1),
  raw_stack!G$2:G$100000, "&lt;="&amp;EOMONTH(DATE(2026,4,1),0)
 ),
 IF(_xlpm.x=0, "-", _xlpm.x)
)</f>
        <v>-</v>
      </c>
      <c r="AH31" s="56" t="str">
        <f>_xlfn.LET(
 _xlpm.x,
 _xlfn.MAXIFS(
  raw_stack!H$2:H$100000,
  raw_stack!D$2:D$100000, G31,
  raw_stack!F$2:F$100000, "Iya",
  raw_stack!G$2:G$100000, "&gt;="&amp;DATE(2026,4,1),
  raw_stack!G$2:G$100000, "&lt;="&amp;EOMONTH(DATE(2026,4,1),0)
 ),
 IF(OR(_xlpm.x=0, _xlpm.x=""), "-", _xlpm.x)
)</f>
        <v>-</v>
      </c>
    </row>
    <row r="32" spans="1:34">
      <c r="A32" s="48">
        <v>31</v>
      </c>
      <c r="B32" s="49" t="str">
        <f t="shared" si="0"/>
        <v>82746</v>
      </c>
      <c r="C32" s="50" t="s">
        <v>46</v>
      </c>
      <c r="D32" s="51" t="s">
        <v>482</v>
      </c>
      <c r="E32" s="51" t="s">
        <v>47</v>
      </c>
      <c r="F32" s="49" t="s">
        <v>117</v>
      </c>
      <c r="G32" s="49" t="s">
        <v>148</v>
      </c>
      <c r="H32" s="49" t="s">
        <v>48</v>
      </c>
      <c r="I32" s="49" t="s">
        <v>49</v>
      </c>
      <c r="J32" s="52">
        <v>3450000</v>
      </c>
      <c r="K32" s="53">
        <v>45774</v>
      </c>
      <c r="L32" s="53">
        <v>46138</v>
      </c>
      <c r="M32" s="53">
        <v>46079</v>
      </c>
      <c r="N32" s="49" t="s">
        <v>50</v>
      </c>
      <c r="O32" s="54">
        <f>_xlfn.LET(
 _xlpm.x,
 _xlfn.MAXIFS(
  raw_stack!G$2:G$100000,
  raw_stack!D$2:D$100000, G32,
  raw_stack!F$2:F$100000, "Iya",
  raw_stack!G$2:G$100000, "&gt;="&amp;DATE(2025,7,1),
  raw_stack!G$2:G$100000, "&lt;="&amp;EOMONTH(DATE(2025,7,1),0)
 ),
 IF(_xlpm.x=0, "-", _xlpm.x)
)</f>
        <v>45847</v>
      </c>
      <c r="P32" s="65">
        <f>_xlfn.LET(
 _xlpm.x,
 _xlfn.MAXIFS(
  raw_stack!H$2:H$100000,
  raw_stack!D$2:D$100000, G32,
  raw_stack!F$2:F$100000, "Iya",
  raw_stack!G$2:G$100000, "&gt;="&amp;DATE(2025,7,1),
  raw_stack!G$2:G$100000, "&lt;="&amp;EOMONTH(DATE(2025,7,1),0)
 ),
 IF(OR(_xlpm.x=0, _xlpm.x=""), "-", _xlpm.x)
)</f>
        <v>56337</v>
      </c>
      <c r="Q32" s="54" t="str">
        <f>_xlfn.LET(
 _xlpm.x,
 _xlfn.MAXIFS(
  raw_stack!G$2:G$99411,
  raw_stack!D$2:D$99411, G32,
  raw_stack!F$2:F$99411, "Iya",
  raw_stack!G$2:G$99411, "&gt;="&amp;DATE(2025,8,1),
  raw_stack!G$2:G$99411, "&lt;="&amp;EOMONTH(DATE(2025,8,1),0)
 ),
 IF(_xlpm.x=0, "-", _xlpm.x)
)</f>
        <v>-</v>
      </c>
      <c r="R32" s="65" t="str">
        <f>_xlfn.LET(
 _xlpm.x,
 _xlfn.MAXIFS(
  raw_stack!H$2:H$100000,
  raw_stack!D$2:D$100000, G32,
  raw_stack!F$2:F$100000, "Iya",
  raw_stack!G$2:G$100000, "&gt;="&amp;DATE(2025,8,1),
  raw_stack!G$2:G$100000, "&lt;="&amp;EOMONTH(DATE(2025,8,1),0)
 ),
 IF(OR(_xlpm.x=0, _xlpm.x=""), "-", _xlpm.x)
)</f>
        <v>-</v>
      </c>
      <c r="S32" s="54" t="str">
        <f>_xlfn.LET(
 _xlpm.x,
 _xlfn.MAXIFS(
  raw_stack!G$2:G$99411,
  raw_stack!D$2:D$99411, G32,
  raw_stack!F$2:F$99411, "Iya",
  raw_stack!G$2:G$99411, "&gt;="&amp;DATE(2025,9,1),
  raw_stack!G$2:G$99411, "&lt;="&amp;EOMONTH(DATE(2025,9,1),0)
 ),
 IF(_xlpm.x=0, "-", _xlpm.x)
)</f>
        <v>-</v>
      </c>
      <c r="T32" s="65" t="str">
        <f>_xlfn.LET(
 _xlpm.x,
 _xlfn.MAXIFS(
  raw_stack!H$2:H$100000,
  raw_stack!D$2:D$100000, G32,
  raw_stack!F$2:F$100000, "Iya",
  raw_stack!G$2:G$100000, "&gt;="&amp;DATE(2025,9,1),
  raw_stack!G$2:G$100000, "&lt;="&amp;EOMONTH(DATE(2025,9,1),0)
 ),
 IF(OR(_xlpm.x=0, _xlpm.x=""), "-", _xlpm.x)
)</f>
        <v>-</v>
      </c>
      <c r="U32" s="54" t="str">
        <f>_xlfn.LET(
 _xlpm.x,
 _xlfn.MAXIFS(
  raw_stack!G$2:G$99411,
  raw_stack!D$2:D$99411, G32,
  raw_stack!F$2:F$99411, "Iya",
  raw_stack!G$2:G$99411, "&gt;="&amp;DATE(2025,10,1),
  raw_stack!G$2:G$99411, "&lt;="&amp;EOMONTH(DATE(2025,10,1),0)
 ),
 IF(_xlpm.x=0, "-", _xlpm.x)
)</f>
        <v>-</v>
      </c>
      <c r="V32" s="65" t="str">
        <f>_xlfn.LET(
 _xlpm.x,
 _xlfn.MAXIFS(
  raw_stack!H$2:H$100000,
  raw_stack!D$2:D$100000, G32,
  raw_stack!F$2:F$100000, "Iya",
  raw_stack!G$2:G$100000, "&gt;="&amp;DATE(2025,10,1),
  raw_stack!G$2:G$100000, "&lt;="&amp;EOMONTH(DATE(2025,10,1),0)
 ),
 IF(OR(_xlpm.x=0, _xlpm.x=""), "-", _xlpm.x)
)</f>
        <v>-</v>
      </c>
      <c r="W32" s="55" t="str">
        <f>_xlfn.LET(
 _xlpm.x,
 _xlfn.MAXIFS(
  raw_stack!G$2:G$99411,
  raw_stack!D$2:D$99411, G32,
  raw_stack!F$2:F$99411, "Iya",
  raw_stack!G$2:G$99411, "&gt;="&amp;DATE(2025,11,1),
  raw_stack!G$2:G$99411, "&lt;="&amp;EOMONTH(DATE(2025,11,1),0)
 ),
 IF(_xlpm.x=0, "-", _xlpm.x)
)</f>
        <v>-</v>
      </c>
      <c r="X32" s="56" t="str">
        <f>_xlfn.LET(
 _xlpm.x,
 _xlfn.MAXIFS(
  raw_stack!H$2:H$100000,
  raw_stack!D$2:D$100000, G32,
  raw_stack!F$2:F$100000, "Iya",
  raw_stack!G$2:G$100000, "&gt;="&amp;DATE(2025,11,1),
  raw_stack!G$2:G$100000, "&lt;="&amp;EOMONTH(DATE(2025,11,1),0)
 ),
 IF(OR(_xlpm.x=0, _xlpm.x=""), "-", _xlpm.x)
)</f>
        <v>-</v>
      </c>
      <c r="Y32" s="55" t="str">
        <f>_xlfn.LET(
 _xlpm.x,
 _xlfn.MAXIFS(
  raw_stack!G$2:G$99411,
  raw_stack!D$2:D$99411, G32,
  raw_stack!F$2:F$99411, "Iya",
  raw_stack!G$2:G$99411, "&gt;="&amp;DATE(2025,12,1),
  raw_stack!G$2:G$99411, "&lt;="&amp;EOMONTH(DATE(2025,12,1),0)
 ),
 IF(_xlpm.x=0, "-", _xlpm.x)
)</f>
        <v>-</v>
      </c>
      <c r="Z32" s="56" t="str">
        <f>_xlfn.LET(
 _xlpm.x,
 _xlfn.MAXIFS(
  raw_stack!H$2:H$100000,
  raw_stack!D$2:D$100000, G32,
  raw_stack!F$2:F$100000, "Iya",
  raw_stack!G$2:G$100000, "&gt;="&amp;DATE(2025,12,1),
  raw_stack!G$2:G$100000, "&lt;="&amp;EOMONTH(DATE(2025,12,1),0)
 ),
 IF(OR(_xlpm.x=0, _xlpm.x=""), "-", _xlpm.x)
)</f>
        <v>-</v>
      </c>
      <c r="AA32" s="55" t="str">
        <f>_xlfn.LET(
 _xlpm.x,
 _xlfn.MAXIFS(
  raw_stack!G$2:G$99411,
  raw_stack!D$2:D$99411, G32,
  raw_stack!F$2:F$99411, "Iya",
  raw_stack!G$2:G$99411, "&gt;="&amp;DATE(2026,1,1),
  raw_stack!G$2:G$99411, "&lt;="&amp;EOMONTH(DATE(2026,1,1),0)
 ),
 IF(_xlpm.x=0, "-", _xlpm.x)
)</f>
        <v>-</v>
      </c>
      <c r="AB32" s="56" t="str">
        <f>_xlfn.LET(
 _xlpm.x,
 _xlfn.MAXIFS(
  raw_stack!H$2:H$100000,
  raw_stack!D$2:D$100000, G32,
  raw_stack!F$2:F$100000, "Iya",
  raw_stack!G$2:G$100000, "&gt;="&amp;DATE(2026,1,1),
  raw_stack!G$2:G$100000, "&lt;="&amp;EOMONTH(DATE(2026,1,1),0)
 ),
 IF(OR(_xlpm.x=0, _xlpm.x=""), "-", _xlpm.x)
)</f>
        <v>-</v>
      </c>
      <c r="AC32" s="55">
        <f>_xlfn.LET(
 _xlpm.x,
 _xlfn.MAXIFS(
  raw_stack!G$2:G$99411,
  raw_stack!D$2:D$99411, G32,
  raw_stack!F$2:F$99411, "Iya",
  raw_stack!G$2:G$99411, "&gt;="&amp;DATE(2026,2,1),
  raw_stack!G$2:G$99411, "&lt;="&amp;EOMONTH(DATE(2026,2,1),0)
 ),
 IF(_xlpm.x=0, "-", _xlpm.x)
)</f>
        <v>46058</v>
      </c>
      <c r="AD32" s="56">
        <f>_xlfn.LET(
 _xlpm.x,
 _xlfn.MAXIFS(
  raw_stack!H$2:H$100000,
  raw_stack!D$2:D$100000, G32,
  raw_stack!F$2:F$100000, "Iya",
  raw_stack!G$2:G$100000, "&gt;="&amp;DATE(2026,2,1),
  raw_stack!G$2:G$100000, "&lt;="&amp;EOMONTH(DATE(2026,2,1),0)
 ),
 IF(OR(_xlpm.x=0, _xlpm.x=""), "-", _xlpm.x)
)</f>
        <v>52155</v>
      </c>
      <c r="AE32" s="55" t="str">
        <f>_xlfn.LET(
 _xlpm.x,
 _xlfn.MAXIFS(
  raw_stack!G$2:G$100000,
  raw_stack!D$2:D$100000, G32,
  raw_stack!F$2:F$100000, "Iya",
  raw_stack!G$2:G$100000, "&gt;="&amp;DATE(2026,3,1),
  raw_stack!G$2:G$100000, "&lt;="&amp;EOMONTH(DATE(2026,3,1),0)
 ),
 IF(_xlpm.x=0, "-", _xlpm.x)
)</f>
        <v>-</v>
      </c>
      <c r="AF32" s="56" t="str">
        <f>_xlfn.LET(
 _xlpm.x,
 _xlfn.MAXIFS(
  raw_stack!H$2:H$100000,
  raw_stack!D$2:D$100000, G32,
  raw_stack!F$2:F$100000, "Iya",
  raw_stack!G$2:G$100000, "&gt;="&amp;DATE(2026,3,1),
  raw_stack!G$2:G$100000, "&lt;="&amp;EOMONTH(DATE(2026,3,1),0)
 ),
 IF(OR(_xlpm.x=0, _xlpm.x=""), "-", _xlpm.x)
)</f>
        <v>-</v>
      </c>
      <c r="AG32" s="55" t="str">
        <f>_xlfn.LET(
 _xlpm.x,
 _xlfn.MAXIFS(
  raw_stack!G$2:G$100000,
  raw_stack!D$2:D$100000, G32,
  raw_stack!F$2:F$100000, "Iya",
  raw_stack!G$2:G$100000, "&gt;="&amp;DATE(2026,4,1),
  raw_stack!G$2:G$100000, "&lt;="&amp;EOMONTH(DATE(2026,4,1),0)
 ),
 IF(_xlpm.x=0, "-", _xlpm.x)
)</f>
        <v>-</v>
      </c>
      <c r="AH32" s="56" t="str">
        <f>_xlfn.LET(
 _xlpm.x,
 _xlfn.MAXIFS(
  raw_stack!H$2:H$100000,
  raw_stack!D$2:D$100000, G32,
  raw_stack!F$2:F$100000, "Iya",
  raw_stack!G$2:G$100000, "&gt;="&amp;DATE(2026,4,1),
  raw_stack!G$2:G$100000, "&lt;="&amp;EOMONTH(DATE(2026,4,1),0)
 ),
 IF(OR(_xlpm.x=0, _xlpm.x=""), "-", _xlpm.x)
)</f>
        <v>-</v>
      </c>
    </row>
    <row r="33" spans="1:34">
      <c r="A33" s="48">
        <v>32</v>
      </c>
      <c r="B33" s="49" t="str">
        <f t="shared" si="0"/>
        <v>70524</v>
      </c>
      <c r="C33" s="50" t="s">
        <v>46</v>
      </c>
      <c r="D33" s="51" t="s">
        <v>483</v>
      </c>
      <c r="E33" s="51" t="s">
        <v>47</v>
      </c>
      <c r="F33" s="49" t="s">
        <v>117</v>
      </c>
      <c r="G33" s="49" t="s">
        <v>149</v>
      </c>
      <c r="H33" s="49" t="s">
        <v>48</v>
      </c>
      <c r="I33" s="49" t="s">
        <v>49</v>
      </c>
      <c r="J33" s="52">
        <v>3495000</v>
      </c>
      <c r="K33" s="53">
        <v>45774</v>
      </c>
      <c r="L33" s="53">
        <v>46138</v>
      </c>
      <c r="M33" s="53">
        <v>46079</v>
      </c>
      <c r="N33" s="49" t="s">
        <v>50</v>
      </c>
      <c r="O33" s="54" t="str">
        <f>_xlfn.LET(
 _xlpm.x,
 _xlfn.MAXIFS(
  raw_stack!G$2:G$100000,
  raw_stack!D$2:D$100000, G33,
  raw_stack!F$2:F$100000, "Iya",
  raw_stack!G$2:G$100000, "&gt;="&amp;DATE(2025,7,1),
  raw_stack!G$2:G$100000, "&lt;="&amp;EOMONTH(DATE(2025,7,1),0)
 ),
 IF(_xlpm.x=0, "-", _xlpm.x)
)</f>
        <v>-</v>
      </c>
      <c r="P33" s="65" t="str">
        <f>_xlfn.LET(
 _xlpm.x,
 _xlfn.MAXIFS(
  raw_stack!H$2:H$100000,
  raw_stack!D$2:D$100000, G33,
  raw_stack!F$2:F$100000, "Iya",
  raw_stack!G$2:G$100000, "&gt;="&amp;DATE(2025,7,1),
  raw_stack!G$2:G$100000, "&lt;="&amp;EOMONTH(DATE(2025,7,1),0)
 ),
 IF(OR(_xlpm.x=0, _xlpm.x=""), "-", _xlpm.x)
)</f>
        <v>-</v>
      </c>
      <c r="Q33" s="54" t="str">
        <f>_xlfn.LET(
 _xlpm.x,
 _xlfn.MAXIFS(
  raw_stack!G$2:G$99411,
  raw_stack!D$2:D$99411, G33,
  raw_stack!F$2:F$99411, "Iya",
  raw_stack!G$2:G$99411, "&gt;="&amp;DATE(2025,8,1),
  raw_stack!G$2:G$99411, "&lt;="&amp;EOMONTH(DATE(2025,8,1),0)
 ),
 IF(_xlpm.x=0, "-", _xlpm.x)
)</f>
        <v>-</v>
      </c>
      <c r="R33" s="65" t="str">
        <f>_xlfn.LET(
 _xlpm.x,
 _xlfn.MAXIFS(
  raw_stack!H$2:H$100000,
  raw_stack!D$2:D$100000, G33,
  raw_stack!F$2:F$100000, "Iya",
  raw_stack!G$2:G$100000, "&gt;="&amp;DATE(2025,8,1),
  raw_stack!G$2:G$100000, "&lt;="&amp;EOMONTH(DATE(2025,8,1),0)
 ),
 IF(OR(_xlpm.x=0, _xlpm.x=""), "-", _xlpm.x)
)</f>
        <v>-</v>
      </c>
      <c r="S33" s="54" t="str">
        <f>_xlfn.LET(
 _xlpm.x,
 _xlfn.MAXIFS(
  raw_stack!G$2:G$99411,
  raw_stack!D$2:D$99411, G33,
  raw_stack!F$2:F$99411, "Iya",
  raw_stack!G$2:G$99411, "&gt;="&amp;DATE(2025,9,1),
  raw_stack!G$2:G$99411, "&lt;="&amp;EOMONTH(DATE(2025,9,1),0)
 ),
 IF(_xlpm.x=0, "-", _xlpm.x)
)</f>
        <v>-</v>
      </c>
      <c r="T33" s="65" t="str">
        <f>_xlfn.LET(
 _xlpm.x,
 _xlfn.MAXIFS(
  raw_stack!H$2:H$100000,
  raw_stack!D$2:D$100000, G33,
  raw_stack!F$2:F$100000, "Iya",
  raw_stack!G$2:G$100000, "&gt;="&amp;DATE(2025,9,1),
  raw_stack!G$2:G$100000, "&lt;="&amp;EOMONTH(DATE(2025,9,1),0)
 ),
 IF(OR(_xlpm.x=0, _xlpm.x=""), "-", _xlpm.x)
)</f>
        <v>-</v>
      </c>
      <c r="U33" s="54">
        <f>_xlfn.LET(
 _xlpm.x,
 _xlfn.MAXIFS(
  raw_stack!G$2:G$99411,
  raw_stack!D$2:D$99411, G33,
  raw_stack!F$2:F$99411, "Iya",
  raw_stack!G$2:G$99411, "&gt;="&amp;DATE(2025,10,1),
  raw_stack!G$2:G$99411, "&lt;="&amp;EOMONTH(DATE(2025,10,1),0)
 ),
 IF(_xlpm.x=0, "-", _xlpm.x)
)</f>
        <v>45943</v>
      </c>
      <c r="V33" s="65">
        <f>_xlfn.LET(
 _xlpm.x,
 _xlfn.MAXIFS(
  raw_stack!H$2:H$100000,
  raw_stack!D$2:D$100000, G33,
  raw_stack!F$2:F$100000, "Iya",
  raw_stack!G$2:G$100000, "&gt;="&amp;DATE(2025,10,1),
  raw_stack!G$2:G$100000, "&lt;="&amp;EOMONTH(DATE(2025,10,1),0)
 ),
 IF(OR(_xlpm.x=0, _xlpm.x=""), "-", _xlpm.x)
)</f>
        <v>104110</v>
      </c>
      <c r="W33" s="55" t="str">
        <f>_xlfn.LET(
 _xlpm.x,
 _xlfn.MAXIFS(
  raw_stack!G$2:G$99411,
  raw_stack!D$2:D$99411, G33,
  raw_stack!F$2:F$99411, "Iya",
  raw_stack!G$2:G$99411, "&gt;="&amp;DATE(2025,11,1),
  raw_stack!G$2:G$99411, "&lt;="&amp;EOMONTH(DATE(2025,11,1),0)
 ),
 IF(_xlpm.x=0, "-", _xlpm.x)
)</f>
        <v>-</v>
      </c>
      <c r="X33" s="56" t="str">
        <f>_xlfn.LET(
 _xlpm.x,
 _xlfn.MAXIFS(
  raw_stack!H$2:H$100000,
  raw_stack!D$2:D$100000, G33,
  raw_stack!F$2:F$100000, "Iya",
  raw_stack!G$2:G$100000, "&gt;="&amp;DATE(2025,11,1),
  raw_stack!G$2:G$100000, "&lt;="&amp;EOMONTH(DATE(2025,11,1),0)
 ),
 IF(OR(_xlpm.x=0, _xlpm.x=""), "-", _xlpm.x)
)</f>
        <v>-</v>
      </c>
      <c r="Y33" s="55" t="str">
        <f>_xlfn.LET(
 _xlpm.x,
 _xlfn.MAXIFS(
  raw_stack!G$2:G$99411,
  raw_stack!D$2:D$99411, G33,
  raw_stack!F$2:F$99411, "Iya",
  raw_stack!G$2:G$99411, "&gt;="&amp;DATE(2025,12,1),
  raw_stack!G$2:G$99411, "&lt;="&amp;EOMONTH(DATE(2025,12,1),0)
 ),
 IF(_xlpm.x=0, "-", _xlpm.x)
)</f>
        <v>-</v>
      </c>
      <c r="Z33" s="56" t="str">
        <f>_xlfn.LET(
 _xlpm.x,
 _xlfn.MAXIFS(
  raw_stack!H$2:H$100000,
  raw_stack!D$2:D$100000, G33,
  raw_stack!F$2:F$100000, "Iya",
  raw_stack!G$2:G$100000, "&gt;="&amp;DATE(2025,12,1),
  raw_stack!G$2:G$100000, "&lt;="&amp;EOMONTH(DATE(2025,12,1),0)
 ),
 IF(OR(_xlpm.x=0, _xlpm.x=""), "-", _xlpm.x)
)</f>
        <v>-</v>
      </c>
      <c r="AA33" s="55" t="str">
        <f>_xlfn.LET(
 _xlpm.x,
 _xlfn.MAXIFS(
  raw_stack!G$2:G$99411,
  raw_stack!D$2:D$99411, G33,
  raw_stack!F$2:F$99411, "Iya",
  raw_stack!G$2:G$99411, "&gt;="&amp;DATE(2026,1,1),
  raw_stack!G$2:G$99411, "&lt;="&amp;EOMONTH(DATE(2026,1,1),0)
 ),
 IF(_xlpm.x=0, "-", _xlpm.x)
)</f>
        <v>-</v>
      </c>
      <c r="AB33" s="56" t="str">
        <f>_xlfn.LET(
 _xlpm.x,
 _xlfn.MAXIFS(
  raw_stack!H$2:H$100000,
  raw_stack!D$2:D$100000, G33,
  raw_stack!F$2:F$100000, "Iya",
  raw_stack!G$2:G$100000, "&gt;="&amp;DATE(2026,1,1),
  raw_stack!G$2:G$100000, "&lt;="&amp;EOMONTH(DATE(2026,1,1),0)
 ),
 IF(OR(_xlpm.x=0, _xlpm.x=""), "-", _xlpm.x)
)</f>
        <v>-</v>
      </c>
      <c r="AC33" s="55" t="str">
        <f>_xlfn.LET(
 _xlpm.x,
 _xlfn.MAXIFS(
  raw_stack!G$2:G$99411,
  raw_stack!D$2:D$99411, G33,
  raw_stack!F$2:F$99411, "Iya",
  raw_stack!G$2:G$99411, "&gt;="&amp;DATE(2026,2,1),
  raw_stack!G$2:G$99411, "&lt;="&amp;EOMONTH(DATE(2026,2,1),0)
 ),
 IF(_xlpm.x=0, "-", _xlpm.x)
)</f>
        <v>-</v>
      </c>
      <c r="AD33" s="56" t="str">
        <f>_xlfn.LET(
 _xlpm.x,
 _xlfn.MAXIFS(
  raw_stack!H$2:H$100000,
  raw_stack!D$2:D$100000, G33,
  raw_stack!F$2:F$100000, "Iya",
  raw_stack!G$2:G$100000, "&gt;="&amp;DATE(2026,2,1),
  raw_stack!G$2:G$100000, "&lt;="&amp;EOMONTH(DATE(2026,2,1),0)
 ),
 IF(OR(_xlpm.x=0, _xlpm.x=""), "-", _xlpm.x)
)</f>
        <v>-</v>
      </c>
      <c r="AE33" s="55" t="str">
        <f>_xlfn.LET(
 _xlpm.x,
 _xlfn.MAXIFS(
  raw_stack!G$2:G$100000,
  raw_stack!D$2:D$100000, G33,
  raw_stack!F$2:F$100000, "Iya",
  raw_stack!G$2:G$100000, "&gt;="&amp;DATE(2026,3,1),
  raw_stack!G$2:G$100000, "&lt;="&amp;EOMONTH(DATE(2026,3,1),0)
 ),
 IF(_xlpm.x=0, "-", _xlpm.x)
)</f>
        <v>-</v>
      </c>
      <c r="AF33" s="56" t="str">
        <f>_xlfn.LET(
 _xlpm.x,
 _xlfn.MAXIFS(
  raw_stack!H$2:H$100000,
  raw_stack!D$2:D$100000, G33,
  raw_stack!F$2:F$100000, "Iya",
  raw_stack!G$2:G$100000, "&gt;="&amp;DATE(2026,3,1),
  raw_stack!G$2:G$100000, "&lt;="&amp;EOMONTH(DATE(2026,3,1),0)
 ),
 IF(OR(_xlpm.x=0, _xlpm.x=""), "-", _xlpm.x)
)</f>
        <v>-</v>
      </c>
      <c r="AG33" s="55" t="str">
        <f>_xlfn.LET(
 _xlpm.x,
 _xlfn.MAXIFS(
  raw_stack!G$2:G$100000,
  raw_stack!D$2:D$100000, G33,
  raw_stack!F$2:F$100000, "Iya",
  raw_stack!G$2:G$100000, "&gt;="&amp;DATE(2026,4,1),
  raw_stack!G$2:G$100000, "&lt;="&amp;EOMONTH(DATE(2026,4,1),0)
 ),
 IF(_xlpm.x=0, "-", _xlpm.x)
)</f>
        <v>-</v>
      </c>
      <c r="AH33" s="56" t="str">
        <f>_xlfn.LET(
 _xlpm.x,
 _xlfn.MAXIFS(
  raw_stack!H$2:H$100000,
  raw_stack!D$2:D$100000, G33,
  raw_stack!F$2:F$100000, "Iya",
  raw_stack!G$2:G$100000, "&gt;="&amp;DATE(2026,4,1),
  raw_stack!G$2:G$100000, "&lt;="&amp;EOMONTH(DATE(2026,4,1),0)
 ),
 IF(OR(_xlpm.x=0, _xlpm.x=""), "-", _xlpm.x)
)</f>
        <v>-</v>
      </c>
    </row>
    <row r="34" spans="1:34">
      <c r="A34" s="48">
        <v>33</v>
      </c>
      <c r="B34" s="49" t="str">
        <f t="shared" si="0"/>
        <v>60924</v>
      </c>
      <c r="C34" s="50" t="s">
        <v>46</v>
      </c>
      <c r="D34" s="51" t="s">
        <v>484</v>
      </c>
      <c r="E34" s="51" t="s">
        <v>53</v>
      </c>
      <c r="F34" s="49" t="s">
        <v>117</v>
      </c>
      <c r="G34" s="49" t="s">
        <v>150</v>
      </c>
      <c r="H34" s="49" t="s">
        <v>48</v>
      </c>
      <c r="I34" s="49" t="s">
        <v>52</v>
      </c>
      <c r="J34" s="52">
        <v>5500000</v>
      </c>
      <c r="K34" s="53">
        <v>45047</v>
      </c>
      <c r="L34" s="53">
        <v>46142</v>
      </c>
      <c r="M34" s="53">
        <v>46081</v>
      </c>
      <c r="N34" s="49" t="s">
        <v>50</v>
      </c>
      <c r="O34" s="54" t="str">
        <f>_xlfn.LET(
 _xlpm.x,
 _xlfn.MAXIFS(
  raw_stack!G$2:G$100000,
  raw_stack!D$2:D$100000, G34,
  raw_stack!F$2:F$100000, "Iya",
  raw_stack!G$2:G$100000, "&gt;="&amp;DATE(2025,7,1),
  raw_stack!G$2:G$100000, "&lt;="&amp;EOMONTH(DATE(2025,7,1),0)
 ),
 IF(_xlpm.x=0, "-", _xlpm.x)
)</f>
        <v>-</v>
      </c>
      <c r="P34" s="65" t="str">
        <f>_xlfn.LET(
 _xlpm.x,
 _xlfn.MAXIFS(
  raw_stack!H$2:H$100000,
  raw_stack!D$2:D$100000, G34,
  raw_stack!F$2:F$100000, "Iya",
  raw_stack!G$2:G$100000, "&gt;="&amp;DATE(2025,7,1),
  raw_stack!G$2:G$100000, "&lt;="&amp;EOMONTH(DATE(2025,7,1),0)
 ),
 IF(OR(_xlpm.x=0, _xlpm.x=""), "-", _xlpm.x)
)</f>
        <v>-</v>
      </c>
      <c r="Q34" s="54" t="str">
        <f>_xlfn.LET(
 _xlpm.x,
 _xlfn.MAXIFS(
  raw_stack!G$2:G$99411,
  raw_stack!D$2:D$99411, G34,
  raw_stack!F$2:F$99411, "Iya",
  raw_stack!G$2:G$99411, "&gt;="&amp;DATE(2025,8,1),
  raw_stack!G$2:G$99411, "&lt;="&amp;EOMONTH(DATE(2025,8,1),0)
 ),
 IF(_xlpm.x=0, "-", _xlpm.x)
)</f>
        <v>-</v>
      </c>
      <c r="R34" s="65" t="str">
        <f>_xlfn.LET(
 _xlpm.x,
 _xlfn.MAXIFS(
  raw_stack!H$2:H$100000,
  raw_stack!D$2:D$100000, G34,
  raw_stack!F$2:F$100000, "Iya",
  raw_stack!G$2:G$100000, "&gt;="&amp;DATE(2025,8,1),
  raw_stack!G$2:G$100000, "&lt;="&amp;EOMONTH(DATE(2025,8,1),0)
 ),
 IF(OR(_xlpm.x=0, _xlpm.x=""), "-", _xlpm.x)
)</f>
        <v>-</v>
      </c>
      <c r="S34" s="54" t="str">
        <f>_xlfn.LET(
 _xlpm.x,
 _xlfn.MAXIFS(
  raw_stack!G$2:G$99411,
  raw_stack!D$2:D$99411, G34,
  raw_stack!F$2:F$99411, "Iya",
  raw_stack!G$2:G$99411, "&gt;="&amp;DATE(2025,9,1),
  raw_stack!G$2:G$99411, "&lt;="&amp;EOMONTH(DATE(2025,9,1),0)
 ),
 IF(_xlpm.x=0, "-", _xlpm.x)
)</f>
        <v>-</v>
      </c>
      <c r="T34" s="65" t="str">
        <f>_xlfn.LET(
 _xlpm.x,
 _xlfn.MAXIFS(
  raw_stack!H$2:H$100000,
  raw_stack!D$2:D$100000, G34,
  raw_stack!F$2:F$100000, "Iya",
  raw_stack!G$2:G$100000, "&gt;="&amp;DATE(2025,9,1),
  raw_stack!G$2:G$100000, "&lt;="&amp;EOMONTH(DATE(2025,9,1),0)
 ),
 IF(OR(_xlpm.x=0, _xlpm.x=""), "-", _xlpm.x)
)</f>
        <v>-</v>
      </c>
      <c r="U34" s="54" t="str">
        <f>_xlfn.LET(
 _xlpm.x,
 _xlfn.MAXIFS(
  raw_stack!G$2:G$99411,
  raw_stack!D$2:D$99411, G34,
  raw_stack!F$2:F$99411, "Iya",
  raw_stack!G$2:G$99411, "&gt;="&amp;DATE(2025,10,1),
  raw_stack!G$2:G$99411, "&lt;="&amp;EOMONTH(DATE(2025,10,1),0)
 ),
 IF(_xlpm.x=0, "-", _xlpm.x)
)</f>
        <v>-</v>
      </c>
      <c r="V34" s="65" t="str">
        <f>_xlfn.LET(
 _xlpm.x,
 _xlfn.MAXIFS(
  raw_stack!H$2:H$100000,
  raw_stack!D$2:D$100000, G34,
  raw_stack!F$2:F$100000, "Iya",
  raw_stack!G$2:G$100000, "&gt;="&amp;DATE(2025,10,1),
  raw_stack!G$2:G$100000, "&lt;="&amp;EOMONTH(DATE(2025,10,1),0)
 ),
 IF(OR(_xlpm.x=0, _xlpm.x=""), "-", _xlpm.x)
)</f>
        <v>-</v>
      </c>
      <c r="W34" s="55" t="str">
        <f>_xlfn.LET(
 _xlpm.x,
 _xlfn.MAXIFS(
  raw_stack!G$2:G$99411,
  raw_stack!D$2:D$99411, G34,
  raw_stack!F$2:F$99411, "Iya",
  raw_stack!G$2:G$99411, "&gt;="&amp;DATE(2025,11,1),
  raw_stack!G$2:G$99411, "&lt;="&amp;EOMONTH(DATE(2025,11,1),0)
 ),
 IF(_xlpm.x=0, "-", _xlpm.x)
)</f>
        <v>-</v>
      </c>
      <c r="X34" s="56" t="str">
        <f>_xlfn.LET(
 _xlpm.x,
 _xlfn.MAXIFS(
  raw_stack!H$2:H$100000,
  raw_stack!D$2:D$100000, G34,
  raw_stack!F$2:F$100000, "Iya",
  raw_stack!G$2:G$100000, "&gt;="&amp;DATE(2025,11,1),
  raw_stack!G$2:G$100000, "&lt;="&amp;EOMONTH(DATE(2025,11,1),0)
 ),
 IF(OR(_xlpm.x=0, _xlpm.x=""), "-", _xlpm.x)
)</f>
        <v>-</v>
      </c>
      <c r="Y34" s="55" t="str">
        <f>_xlfn.LET(
 _xlpm.x,
 _xlfn.MAXIFS(
  raw_stack!G$2:G$99411,
  raw_stack!D$2:D$99411, G34,
  raw_stack!F$2:F$99411, "Iya",
  raw_stack!G$2:G$99411, "&gt;="&amp;DATE(2025,12,1),
  raw_stack!G$2:G$99411, "&lt;="&amp;EOMONTH(DATE(2025,12,1),0)
 ),
 IF(_xlpm.x=0, "-", _xlpm.x)
)</f>
        <v>-</v>
      </c>
      <c r="Z34" s="56" t="str">
        <f>_xlfn.LET(
 _xlpm.x,
 _xlfn.MAXIFS(
  raw_stack!H$2:H$100000,
  raw_stack!D$2:D$100000, G34,
  raw_stack!F$2:F$100000, "Iya",
  raw_stack!G$2:G$100000, "&gt;="&amp;DATE(2025,12,1),
  raw_stack!G$2:G$100000, "&lt;="&amp;EOMONTH(DATE(2025,12,1),0)
 ),
 IF(OR(_xlpm.x=0, _xlpm.x=""), "-", _xlpm.x)
)</f>
        <v>-</v>
      </c>
      <c r="AA34" s="55" t="str">
        <f>_xlfn.LET(
 _xlpm.x,
 _xlfn.MAXIFS(
  raw_stack!G$2:G$99411,
  raw_stack!D$2:D$99411, G34,
  raw_stack!F$2:F$99411, "Iya",
  raw_stack!G$2:G$99411, "&gt;="&amp;DATE(2026,1,1),
  raw_stack!G$2:G$99411, "&lt;="&amp;EOMONTH(DATE(2026,1,1),0)
 ),
 IF(_xlpm.x=0, "-", _xlpm.x)
)</f>
        <v>-</v>
      </c>
      <c r="AB34" s="56" t="str">
        <f>_xlfn.LET(
 _xlpm.x,
 _xlfn.MAXIFS(
  raw_stack!H$2:H$100000,
  raw_stack!D$2:D$100000, G34,
  raw_stack!F$2:F$100000, "Iya",
  raw_stack!G$2:G$100000, "&gt;="&amp;DATE(2026,1,1),
  raw_stack!G$2:G$100000, "&lt;="&amp;EOMONTH(DATE(2026,1,1),0)
 ),
 IF(OR(_xlpm.x=0, _xlpm.x=""), "-", _xlpm.x)
)</f>
        <v>-</v>
      </c>
      <c r="AC34" s="55" t="str">
        <f>_xlfn.LET(
 _xlpm.x,
 _xlfn.MAXIFS(
  raw_stack!G$2:G$99411,
  raw_stack!D$2:D$99411, G34,
  raw_stack!F$2:F$99411, "Iya",
  raw_stack!G$2:G$99411, "&gt;="&amp;DATE(2026,2,1),
  raw_stack!G$2:G$99411, "&lt;="&amp;EOMONTH(DATE(2026,2,1),0)
 ),
 IF(_xlpm.x=0, "-", _xlpm.x)
)</f>
        <v>-</v>
      </c>
      <c r="AD34" s="56" t="str">
        <f>_xlfn.LET(
 _xlpm.x,
 _xlfn.MAXIFS(
  raw_stack!H$2:H$100000,
  raw_stack!D$2:D$100000, G34,
  raw_stack!F$2:F$100000, "Iya",
  raw_stack!G$2:G$100000, "&gt;="&amp;DATE(2026,2,1),
  raw_stack!G$2:G$100000, "&lt;="&amp;EOMONTH(DATE(2026,2,1),0)
 ),
 IF(OR(_xlpm.x=0, _xlpm.x=""), "-", _xlpm.x)
)</f>
        <v>-</v>
      </c>
      <c r="AE34" s="55" t="str">
        <f>_xlfn.LET(
 _xlpm.x,
 _xlfn.MAXIFS(
  raw_stack!G$2:G$100000,
  raw_stack!D$2:D$100000, G34,
  raw_stack!F$2:F$100000, "Iya",
  raw_stack!G$2:G$100000, "&gt;="&amp;DATE(2026,3,1),
  raw_stack!G$2:G$100000, "&lt;="&amp;EOMONTH(DATE(2026,3,1),0)
 ),
 IF(_xlpm.x=0, "-", _xlpm.x)
)</f>
        <v>-</v>
      </c>
      <c r="AF34" s="56" t="str">
        <f>_xlfn.LET(
 _xlpm.x,
 _xlfn.MAXIFS(
  raw_stack!H$2:H$100000,
  raw_stack!D$2:D$100000, G34,
  raw_stack!F$2:F$100000, "Iya",
  raw_stack!G$2:G$100000, "&gt;="&amp;DATE(2026,3,1),
  raw_stack!G$2:G$100000, "&lt;="&amp;EOMONTH(DATE(2026,3,1),0)
 ),
 IF(OR(_xlpm.x=0, _xlpm.x=""), "-", _xlpm.x)
)</f>
        <v>-</v>
      </c>
      <c r="AG34" s="55" t="str">
        <f>_xlfn.LET(
 _xlpm.x,
 _xlfn.MAXIFS(
  raw_stack!G$2:G$100000,
  raw_stack!D$2:D$100000, G34,
  raw_stack!F$2:F$100000, "Iya",
  raw_stack!G$2:G$100000, "&gt;="&amp;DATE(2026,4,1),
  raw_stack!G$2:G$100000, "&lt;="&amp;EOMONTH(DATE(2026,4,1),0)
 ),
 IF(_xlpm.x=0, "-", _xlpm.x)
)</f>
        <v>-</v>
      </c>
      <c r="AH34" s="56" t="str">
        <f>_xlfn.LET(
 _xlpm.x,
 _xlfn.MAXIFS(
  raw_stack!H$2:H$100000,
  raw_stack!D$2:D$100000, G34,
  raw_stack!F$2:F$100000, "Iya",
  raw_stack!G$2:G$100000, "&gt;="&amp;DATE(2026,4,1),
  raw_stack!G$2:G$100000, "&lt;="&amp;EOMONTH(DATE(2026,4,1),0)
 ),
 IF(OR(_xlpm.x=0, _xlpm.x=""), "-", _xlpm.x)
)</f>
        <v>-</v>
      </c>
    </row>
    <row r="35" spans="1:34">
      <c r="A35" s="48">
        <v>34</v>
      </c>
      <c r="B35" s="49" t="str">
        <f t="shared" si="0"/>
        <v>23316</v>
      </c>
      <c r="C35" s="50" t="s">
        <v>46</v>
      </c>
      <c r="D35" s="51" t="s">
        <v>485</v>
      </c>
      <c r="E35" s="51" t="s">
        <v>53</v>
      </c>
      <c r="F35" s="49" t="s">
        <v>117</v>
      </c>
      <c r="G35" s="49" t="s">
        <v>151</v>
      </c>
      <c r="H35" s="49" t="s">
        <v>48</v>
      </c>
      <c r="I35" s="49" t="s">
        <v>52</v>
      </c>
      <c r="J35" s="52">
        <v>5500000</v>
      </c>
      <c r="K35" s="53">
        <v>45047</v>
      </c>
      <c r="L35" s="53">
        <v>46142</v>
      </c>
      <c r="M35" s="53">
        <v>46081</v>
      </c>
      <c r="N35" s="49" t="s">
        <v>50</v>
      </c>
      <c r="O35" s="54" t="str">
        <f>_xlfn.LET(
 _xlpm.x,
 _xlfn.MAXIFS(
  raw_stack!G$2:G$100000,
  raw_stack!D$2:D$100000, G35,
  raw_stack!F$2:F$100000, "Iya",
  raw_stack!G$2:G$100000, "&gt;="&amp;DATE(2025,7,1),
  raw_stack!G$2:G$100000, "&lt;="&amp;EOMONTH(DATE(2025,7,1),0)
 ),
 IF(_xlpm.x=0, "-", _xlpm.x)
)</f>
        <v>-</v>
      </c>
      <c r="P35" s="65" t="str">
        <f>_xlfn.LET(
 _xlpm.x,
 _xlfn.MAXIFS(
  raw_stack!H$2:H$100000,
  raw_stack!D$2:D$100000, G35,
  raw_stack!F$2:F$100000, "Iya",
  raw_stack!G$2:G$100000, "&gt;="&amp;DATE(2025,7,1),
  raw_stack!G$2:G$100000, "&lt;="&amp;EOMONTH(DATE(2025,7,1),0)
 ),
 IF(OR(_xlpm.x=0, _xlpm.x=""), "-", _xlpm.x)
)</f>
        <v>-</v>
      </c>
      <c r="Q35" s="54" t="str">
        <f>_xlfn.LET(
 _xlpm.x,
 _xlfn.MAXIFS(
  raw_stack!G$2:G$99411,
  raw_stack!D$2:D$99411, G35,
  raw_stack!F$2:F$99411, "Iya",
  raw_stack!G$2:G$99411, "&gt;="&amp;DATE(2025,8,1),
  raw_stack!G$2:G$99411, "&lt;="&amp;EOMONTH(DATE(2025,8,1),0)
 ),
 IF(_xlpm.x=0, "-", _xlpm.x)
)</f>
        <v>-</v>
      </c>
      <c r="R35" s="65" t="str">
        <f>_xlfn.LET(
 _xlpm.x,
 _xlfn.MAXIFS(
  raw_stack!H$2:H$100000,
  raw_stack!D$2:D$100000, G35,
  raw_stack!F$2:F$100000, "Iya",
  raw_stack!G$2:G$100000, "&gt;="&amp;DATE(2025,8,1),
  raw_stack!G$2:G$100000, "&lt;="&amp;EOMONTH(DATE(2025,8,1),0)
 ),
 IF(OR(_xlpm.x=0, _xlpm.x=""), "-", _xlpm.x)
)</f>
        <v>-</v>
      </c>
      <c r="S35" s="54" t="str">
        <f>_xlfn.LET(
 _xlpm.x,
 _xlfn.MAXIFS(
  raw_stack!G$2:G$99411,
  raw_stack!D$2:D$99411, G35,
  raw_stack!F$2:F$99411, "Iya",
  raw_stack!G$2:G$99411, "&gt;="&amp;DATE(2025,9,1),
  raw_stack!G$2:G$99411, "&lt;="&amp;EOMONTH(DATE(2025,9,1),0)
 ),
 IF(_xlpm.x=0, "-", _xlpm.x)
)</f>
        <v>-</v>
      </c>
      <c r="T35" s="65" t="str">
        <f>_xlfn.LET(
 _xlpm.x,
 _xlfn.MAXIFS(
  raw_stack!H$2:H$100000,
  raw_stack!D$2:D$100000, G35,
  raw_stack!F$2:F$100000, "Iya",
  raw_stack!G$2:G$100000, "&gt;="&amp;DATE(2025,9,1),
  raw_stack!G$2:G$100000, "&lt;="&amp;EOMONTH(DATE(2025,9,1),0)
 ),
 IF(OR(_xlpm.x=0, _xlpm.x=""), "-", _xlpm.x)
)</f>
        <v>-</v>
      </c>
      <c r="U35" s="54">
        <f>_xlfn.LET(
 _xlpm.x,
 _xlfn.MAXIFS(
  raw_stack!G$2:G$99411,
  raw_stack!D$2:D$99411, G35,
  raw_stack!F$2:F$99411, "Iya",
  raw_stack!G$2:G$99411, "&gt;="&amp;DATE(2025,10,1),
  raw_stack!G$2:G$99411, "&lt;="&amp;EOMONTH(DATE(2025,10,1),0)
 ),
 IF(_xlpm.x=0, "-", _xlpm.x)
)</f>
        <v>45936</v>
      </c>
      <c r="V35" s="65">
        <f>_xlfn.LET(
 _xlpm.x,
 _xlfn.MAXIFS(
  raw_stack!H$2:H$100000,
  raw_stack!D$2:D$100000, G35,
  raw_stack!F$2:F$100000, "Iya",
  raw_stack!G$2:G$100000, "&gt;="&amp;DATE(2025,10,1),
  raw_stack!G$2:G$100000, "&lt;="&amp;EOMONTH(DATE(2025,10,1),0)
 ),
 IF(OR(_xlpm.x=0, _xlpm.x=""), "-", _xlpm.x)
)</f>
        <v>37071</v>
      </c>
      <c r="W35" s="55" t="str">
        <f>_xlfn.LET(
 _xlpm.x,
 _xlfn.MAXIFS(
  raw_stack!G$2:G$99411,
  raw_stack!D$2:D$99411, G35,
  raw_stack!F$2:F$99411, "Iya",
  raw_stack!G$2:G$99411, "&gt;="&amp;DATE(2025,11,1),
  raw_stack!G$2:G$99411, "&lt;="&amp;EOMONTH(DATE(2025,11,1),0)
 ),
 IF(_xlpm.x=0, "-", _xlpm.x)
)</f>
        <v>-</v>
      </c>
      <c r="X35" s="56" t="str">
        <f>_xlfn.LET(
 _xlpm.x,
 _xlfn.MAXIFS(
  raw_stack!H$2:H$100000,
  raw_stack!D$2:D$100000, G35,
  raw_stack!F$2:F$100000, "Iya",
  raw_stack!G$2:G$100000, "&gt;="&amp;DATE(2025,11,1),
  raw_stack!G$2:G$100000, "&lt;="&amp;EOMONTH(DATE(2025,11,1),0)
 ),
 IF(OR(_xlpm.x=0, _xlpm.x=""), "-", _xlpm.x)
)</f>
        <v>-</v>
      </c>
      <c r="Y35" s="55" t="str">
        <f>_xlfn.LET(
 _xlpm.x,
 _xlfn.MAXIFS(
  raw_stack!G$2:G$99411,
  raw_stack!D$2:D$99411, G35,
  raw_stack!F$2:F$99411, "Iya",
  raw_stack!G$2:G$99411, "&gt;="&amp;DATE(2025,12,1),
  raw_stack!G$2:G$99411, "&lt;="&amp;EOMONTH(DATE(2025,12,1),0)
 ),
 IF(_xlpm.x=0, "-", _xlpm.x)
)</f>
        <v>-</v>
      </c>
      <c r="Z35" s="56" t="str">
        <f>_xlfn.LET(
 _xlpm.x,
 _xlfn.MAXIFS(
  raw_stack!H$2:H$100000,
  raw_stack!D$2:D$100000, G35,
  raw_stack!F$2:F$100000, "Iya",
  raw_stack!G$2:G$100000, "&gt;="&amp;DATE(2025,12,1),
  raw_stack!G$2:G$100000, "&lt;="&amp;EOMONTH(DATE(2025,12,1),0)
 ),
 IF(OR(_xlpm.x=0, _xlpm.x=""), "-", _xlpm.x)
)</f>
        <v>-</v>
      </c>
      <c r="AA35" s="55" t="str">
        <f>_xlfn.LET(
 _xlpm.x,
 _xlfn.MAXIFS(
  raw_stack!G$2:G$99411,
  raw_stack!D$2:D$99411, G35,
  raw_stack!F$2:F$99411, "Iya",
  raw_stack!G$2:G$99411, "&gt;="&amp;DATE(2026,1,1),
  raw_stack!G$2:G$99411, "&lt;="&amp;EOMONTH(DATE(2026,1,1),0)
 ),
 IF(_xlpm.x=0, "-", _xlpm.x)
)</f>
        <v>-</v>
      </c>
      <c r="AB35" s="56" t="str">
        <f>_xlfn.LET(
 _xlpm.x,
 _xlfn.MAXIFS(
  raw_stack!H$2:H$100000,
  raw_stack!D$2:D$100000, G35,
  raw_stack!F$2:F$100000, "Iya",
  raw_stack!G$2:G$100000, "&gt;="&amp;DATE(2026,1,1),
  raw_stack!G$2:G$100000, "&lt;="&amp;EOMONTH(DATE(2026,1,1),0)
 ),
 IF(OR(_xlpm.x=0, _xlpm.x=""), "-", _xlpm.x)
)</f>
        <v>-</v>
      </c>
      <c r="AC35" s="55" t="str">
        <f>_xlfn.LET(
 _xlpm.x,
 _xlfn.MAXIFS(
  raw_stack!G$2:G$99411,
  raw_stack!D$2:D$99411, G35,
  raw_stack!F$2:F$99411, "Iya",
  raw_stack!G$2:G$99411, "&gt;="&amp;DATE(2026,2,1),
  raw_stack!G$2:G$99411, "&lt;="&amp;EOMONTH(DATE(2026,2,1),0)
 ),
 IF(_xlpm.x=0, "-", _xlpm.x)
)</f>
        <v>-</v>
      </c>
      <c r="AD35" s="56" t="str">
        <f>_xlfn.LET(
 _xlpm.x,
 _xlfn.MAXIFS(
  raw_stack!H$2:H$100000,
  raw_stack!D$2:D$100000, G35,
  raw_stack!F$2:F$100000, "Iya",
  raw_stack!G$2:G$100000, "&gt;="&amp;DATE(2026,2,1),
  raw_stack!G$2:G$100000, "&lt;="&amp;EOMONTH(DATE(2026,2,1),0)
 ),
 IF(OR(_xlpm.x=0, _xlpm.x=""), "-", _xlpm.x)
)</f>
        <v>-</v>
      </c>
      <c r="AE35" s="55" t="str">
        <f>_xlfn.LET(
 _xlpm.x,
 _xlfn.MAXIFS(
  raw_stack!G$2:G$100000,
  raw_stack!D$2:D$100000, G35,
  raw_stack!F$2:F$100000, "Iya",
  raw_stack!G$2:G$100000, "&gt;="&amp;DATE(2026,3,1),
  raw_stack!G$2:G$100000, "&lt;="&amp;EOMONTH(DATE(2026,3,1),0)
 ),
 IF(_xlpm.x=0, "-", _xlpm.x)
)</f>
        <v>-</v>
      </c>
      <c r="AF35" s="56" t="str">
        <f>_xlfn.LET(
 _xlpm.x,
 _xlfn.MAXIFS(
  raw_stack!H$2:H$100000,
  raw_stack!D$2:D$100000, G35,
  raw_stack!F$2:F$100000, "Iya",
  raw_stack!G$2:G$100000, "&gt;="&amp;DATE(2026,3,1),
  raw_stack!G$2:G$100000, "&lt;="&amp;EOMONTH(DATE(2026,3,1),0)
 ),
 IF(OR(_xlpm.x=0, _xlpm.x=""), "-", _xlpm.x)
)</f>
        <v>-</v>
      </c>
      <c r="AG35" s="55" t="str">
        <f>_xlfn.LET(
 _xlpm.x,
 _xlfn.MAXIFS(
  raw_stack!G$2:G$100000,
  raw_stack!D$2:D$100000, G35,
  raw_stack!F$2:F$100000, "Iya",
  raw_stack!G$2:G$100000, "&gt;="&amp;DATE(2026,4,1),
  raw_stack!G$2:G$100000, "&lt;="&amp;EOMONTH(DATE(2026,4,1),0)
 ),
 IF(_xlpm.x=0, "-", _xlpm.x)
)</f>
        <v>-</v>
      </c>
      <c r="AH35" s="56" t="str">
        <f>_xlfn.LET(
 _xlpm.x,
 _xlfn.MAXIFS(
  raw_stack!H$2:H$100000,
  raw_stack!D$2:D$100000, G35,
  raw_stack!F$2:F$100000, "Iya",
  raw_stack!G$2:G$100000, "&gt;="&amp;DATE(2026,4,1),
  raw_stack!G$2:G$100000, "&lt;="&amp;EOMONTH(DATE(2026,4,1),0)
 ),
 IF(OR(_xlpm.x=0, _xlpm.x=""), "-", _xlpm.x)
)</f>
        <v>-</v>
      </c>
    </row>
    <row r="36" spans="1:34">
      <c r="A36" s="48">
        <v>35</v>
      </c>
      <c r="B36" s="49" t="str">
        <f t="shared" si="0"/>
        <v>55318</v>
      </c>
      <c r="C36" s="50" t="s">
        <v>46</v>
      </c>
      <c r="D36" s="51" t="s">
        <v>486</v>
      </c>
      <c r="E36" s="51" t="s">
        <v>54</v>
      </c>
      <c r="F36" s="49" t="s">
        <v>117</v>
      </c>
      <c r="G36" s="49" t="s">
        <v>152</v>
      </c>
      <c r="H36" s="49" t="s">
        <v>48</v>
      </c>
      <c r="I36" s="49" t="s">
        <v>52</v>
      </c>
      <c r="J36" s="52">
        <v>6450000</v>
      </c>
      <c r="K36" s="53">
        <v>45047</v>
      </c>
      <c r="L36" s="53">
        <v>46142</v>
      </c>
      <c r="M36" s="53">
        <v>46053</v>
      </c>
      <c r="N36" s="49" t="s">
        <v>50</v>
      </c>
      <c r="O36" s="54" t="str">
        <f>_xlfn.LET(
 _xlpm.x,
 _xlfn.MAXIFS(
  raw_stack!G$2:G$100000,
  raw_stack!D$2:D$100000, G36,
  raw_stack!F$2:F$100000, "Iya",
  raw_stack!G$2:G$100000, "&gt;="&amp;DATE(2025,7,1),
  raw_stack!G$2:G$100000, "&lt;="&amp;EOMONTH(DATE(2025,7,1),0)
 ),
 IF(_xlpm.x=0, "-", _xlpm.x)
)</f>
        <v>-</v>
      </c>
      <c r="P36" s="65" t="str">
        <f>_xlfn.LET(
 _xlpm.x,
 _xlfn.MAXIFS(
  raw_stack!H$2:H$100000,
  raw_stack!D$2:D$100000, G36,
  raw_stack!F$2:F$100000, "Iya",
  raw_stack!G$2:G$100000, "&gt;="&amp;DATE(2025,7,1),
  raw_stack!G$2:G$100000, "&lt;="&amp;EOMONTH(DATE(2025,7,1),0)
 ),
 IF(OR(_xlpm.x=0, _xlpm.x=""), "-", _xlpm.x)
)</f>
        <v>-</v>
      </c>
      <c r="Q36" s="54" t="str">
        <f>_xlfn.LET(
 _xlpm.x,
 _xlfn.MAXIFS(
  raw_stack!G$2:G$99411,
  raw_stack!D$2:D$99411, G36,
  raw_stack!F$2:F$99411, "Iya",
  raw_stack!G$2:G$99411, "&gt;="&amp;DATE(2025,8,1),
  raw_stack!G$2:G$99411, "&lt;="&amp;EOMONTH(DATE(2025,8,1),0)
 ),
 IF(_xlpm.x=0, "-", _xlpm.x)
)</f>
        <v>-</v>
      </c>
      <c r="R36" s="65" t="str">
        <f>_xlfn.LET(
 _xlpm.x,
 _xlfn.MAXIFS(
  raw_stack!H$2:H$100000,
  raw_stack!D$2:D$100000, G36,
  raw_stack!F$2:F$100000, "Iya",
  raw_stack!G$2:G$100000, "&gt;="&amp;DATE(2025,8,1),
  raw_stack!G$2:G$100000, "&lt;="&amp;EOMONTH(DATE(2025,8,1),0)
 ),
 IF(OR(_xlpm.x=0, _xlpm.x=""), "-", _xlpm.x)
)</f>
        <v>-</v>
      </c>
      <c r="S36" s="54" t="str">
        <f>_xlfn.LET(
 _xlpm.x,
 _xlfn.MAXIFS(
  raw_stack!G$2:G$99411,
  raw_stack!D$2:D$99411, G36,
  raw_stack!F$2:F$99411, "Iya",
  raw_stack!G$2:G$99411, "&gt;="&amp;DATE(2025,9,1),
  raw_stack!G$2:G$99411, "&lt;="&amp;EOMONTH(DATE(2025,9,1),0)
 ),
 IF(_xlpm.x=0, "-", _xlpm.x)
)</f>
        <v>-</v>
      </c>
      <c r="T36" s="65" t="str">
        <f>_xlfn.LET(
 _xlpm.x,
 _xlfn.MAXIFS(
  raw_stack!H$2:H$100000,
  raw_stack!D$2:D$100000, G36,
  raw_stack!F$2:F$100000, "Iya",
  raw_stack!G$2:G$100000, "&gt;="&amp;DATE(2025,9,1),
  raw_stack!G$2:G$100000, "&lt;="&amp;EOMONTH(DATE(2025,9,1),0)
 ),
 IF(OR(_xlpm.x=0, _xlpm.x=""), "-", _xlpm.x)
)</f>
        <v>-</v>
      </c>
      <c r="U36" s="54">
        <f>_xlfn.LET(
 _xlpm.x,
 _xlfn.MAXIFS(
  raw_stack!G$2:G$99411,
  raw_stack!D$2:D$99411, G36,
  raw_stack!F$2:F$99411, "Iya",
  raw_stack!G$2:G$99411, "&gt;="&amp;DATE(2025,10,1),
  raw_stack!G$2:G$99411, "&lt;="&amp;EOMONTH(DATE(2025,10,1),0)
 ),
 IF(_xlpm.x=0, "-", _xlpm.x)
)</f>
        <v>45956</v>
      </c>
      <c r="V36" s="65">
        <f>_xlfn.LET(
 _xlpm.x,
 _xlfn.MAXIFS(
  raw_stack!H$2:H$100000,
  raw_stack!D$2:D$100000, G36,
  raw_stack!F$2:F$100000, "Iya",
  raw_stack!G$2:G$100000, "&gt;="&amp;DATE(2025,10,1),
  raw_stack!G$2:G$100000, "&lt;="&amp;EOMONTH(DATE(2025,10,1),0)
 ),
 IF(OR(_xlpm.x=0, _xlpm.x=""), "-", _xlpm.x)
)</f>
        <v>457646</v>
      </c>
      <c r="W36" s="55" t="str">
        <f>_xlfn.LET(
 _xlpm.x,
 _xlfn.MAXIFS(
  raw_stack!G$2:G$99411,
  raw_stack!D$2:D$99411, G36,
  raw_stack!F$2:F$99411, "Iya",
  raw_stack!G$2:G$99411, "&gt;="&amp;DATE(2025,11,1),
  raw_stack!G$2:G$99411, "&lt;="&amp;EOMONTH(DATE(2025,11,1),0)
 ),
 IF(_xlpm.x=0, "-", _xlpm.x)
)</f>
        <v>-</v>
      </c>
      <c r="X36" s="56" t="str">
        <f>_xlfn.LET(
 _xlpm.x,
 _xlfn.MAXIFS(
  raw_stack!H$2:H$100000,
  raw_stack!D$2:D$100000, G36,
  raw_stack!F$2:F$100000, "Iya",
  raw_stack!G$2:G$100000, "&gt;="&amp;DATE(2025,11,1),
  raw_stack!G$2:G$100000, "&lt;="&amp;EOMONTH(DATE(2025,11,1),0)
 ),
 IF(OR(_xlpm.x=0, _xlpm.x=""), "-", _xlpm.x)
)</f>
        <v>-</v>
      </c>
      <c r="Y36" s="55" t="str">
        <f>_xlfn.LET(
 _xlpm.x,
 _xlfn.MAXIFS(
  raw_stack!G$2:G$99411,
  raw_stack!D$2:D$99411, G36,
  raw_stack!F$2:F$99411, "Iya",
  raw_stack!G$2:G$99411, "&gt;="&amp;DATE(2025,12,1),
  raw_stack!G$2:G$99411, "&lt;="&amp;EOMONTH(DATE(2025,12,1),0)
 ),
 IF(_xlpm.x=0, "-", _xlpm.x)
)</f>
        <v>-</v>
      </c>
      <c r="Z36" s="56" t="str">
        <f>_xlfn.LET(
 _xlpm.x,
 _xlfn.MAXIFS(
  raw_stack!H$2:H$100000,
  raw_stack!D$2:D$100000, G36,
  raw_stack!F$2:F$100000, "Iya",
  raw_stack!G$2:G$100000, "&gt;="&amp;DATE(2025,12,1),
  raw_stack!G$2:G$100000, "&lt;="&amp;EOMONTH(DATE(2025,12,1),0)
 ),
 IF(OR(_xlpm.x=0, _xlpm.x=""), "-", _xlpm.x)
)</f>
        <v>-</v>
      </c>
      <c r="AA36" s="55" t="str">
        <f>_xlfn.LET(
 _xlpm.x,
 _xlfn.MAXIFS(
  raw_stack!G$2:G$99411,
  raw_stack!D$2:D$99411, G36,
  raw_stack!F$2:F$99411, "Iya",
  raw_stack!G$2:G$99411, "&gt;="&amp;DATE(2026,1,1),
  raw_stack!G$2:G$99411, "&lt;="&amp;EOMONTH(DATE(2026,1,1),0)
 ),
 IF(_xlpm.x=0, "-", _xlpm.x)
)</f>
        <v>-</v>
      </c>
      <c r="AB36" s="56" t="str">
        <f>_xlfn.LET(
 _xlpm.x,
 _xlfn.MAXIFS(
  raw_stack!H$2:H$100000,
  raw_stack!D$2:D$100000, G36,
  raw_stack!F$2:F$100000, "Iya",
  raw_stack!G$2:G$100000, "&gt;="&amp;DATE(2026,1,1),
  raw_stack!G$2:G$100000, "&lt;="&amp;EOMONTH(DATE(2026,1,1),0)
 ),
 IF(OR(_xlpm.x=0, _xlpm.x=""), "-", _xlpm.x)
)</f>
        <v>-</v>
      </c>
      <c r="AC36" s="55" t="str">
        <f>_xlfn.LET(
 _xlpm.x,
 _xlfn.MAXIFS(
  raw_stack!G$2:G$99411,
  raw_stack!D$2:D$99411, G36,
  raw_stack!F$2:F$99411, "Iya",
  raw_stack!G$2:G$99411, "&gt;="&amp;DATE(2026,2,1),
  raw_stack!G$2:G$99411, "&lt;="&amp;EOMONTH(DATE(2026,2,1),0)
 ),
 IF(_xlpm.x=0, "-", _xlpm.x)
)</f>
        <v>-</v>
      </c>
      <c r="AD36" s="56" t="str">
        <f>_xlfn.LET(
 _xlpm.x,
 _xlfn.MAXIFS(
  raw_stack!H$2:H$100000,
  raw_stack!D$2:D$100000, G36,
  raw_stack!F$2:F$100000, "Iya",
  raw_stack!G$2:G$100000, "&gt;="&amp;DATE(2026,2,1),
  raw_stack!G$2:G$100000, "&lt;="&amp;EOMONTH(DATE(2026,2,1),0)
 ),
 IF(OR(_xlpm.x=0, _xlpm.x=""), "-", _xlpm.x)
)</f>
        <v>-</v>
      </c>
      <c r="AE36" s="55" t="str">
        <f>_xlfn.LET(
 _xlpm.x,
 _xlfn.MAXIFS(
  raw_stack!G$2:G$100000,
  raw_stack!D$2:D$100000, G36,
  raw_stack!F$2:F$100000, "Iya",
  raw_stack!G$2:G$100000, "&gt;="&amp;DATE(2026,3,1),
  raw_stack!G$2:G$100000, "&lt;="&amp;EOMONTH(DATE(2026,3,1),0)
 ),
 IF(_xlpm.x=0, "-", _xlpm.x)
)</f>
        <v>-</v>
      </c>
      <c r="AF36" s="56" t="str">
        <f>_xlfn.LET(
 _xlpm.x,
 _xlfn.MAXIFS(
  raw_stack!H$2:H$100000,
  raw_stack!D$2:D$100000, G36,
  raw_stack!F$2:F$100000, "Iya",
  raw_stack!G$2:G$100000, "&gt;="&amp;DATE(2026,3,1),
  raw_stack!G$2:G$100000, "&lt;="&amp;EOMONTH(DATE(2026,3,1),0)
 ),
 IF(OR(_xlpm.x=0, _xlpm.x=""), "-", _xlpm.x)
)</f>
        <v>-</v>
      </c>
      <c r="AG36" s="55" t="str">
        <f>_xlfn.LET(
 _xlpm.x,
 _xlfn.MAXIFS(
  raw_stack!G$2:G$100000,
  raw_stack!D$2:D$100000, G36,
  raw_stack!F$2:F$100000, "Iya",
  raw_stack!G$2:G$100000, "&gt;="&amp;DATE(2026,4,1),
  raw_stack!G$2:G$100000, "&lt;="&amp;EOMONTH(DATE(2026,4,1),0)
 ),
 IF(_xlpm.x=0, "-", _xlpm.x)
)</f>
        <v>-</v>
      </c>
      <c r="AH36" s="56" t="str">
        <f>_xlfn.LET(
 _xlpm.x,
 _xlfn.MAXIFS(
  raw_stack!H$2:H$100000,
  raw_stack!D$2:D$100000, G36,
  raw_stack!F$2:F$100000, "Iya",
  raw_stack!G$2:G$100000, "&gt;="&amp;DATE(2026,4,1),
  raw_stack!G$2:G$100000, "&lt;="&amp;EOMONTH(DATE(2026,4,1),0)
 ),
 IF(OR(_xlpm.x=0, _xlpm.x=""), "-", _xlpm.x)
)</f>
        <v>-</v>
      </c>
    </row>
    <row r="37" spans="1:34">
      <c r="A37" s="48">
        <v>36</v>
      </c>
      <c r="B37" s="49" t="str">
        <f t="shared" si="0"/>
        <v>24647</v>
      </c>
      <c r="C37" s="50" t="s">
        <v>46</v>
      </c>
      <c r="D37" s="51" t="s">
        <v>487</v>
      </c>
      <c r="E37" s="51" t="s">
        <v>51</v>
      </c>
      <c r="F37" s="49" t="s">
        <v>117</v>
      </c>
      <c r="G37" s="49" t="s">
        <v>153</v>
      </c>
      <c r="H37" s="49" t="s">
        <v>48</v>
      </c>
      <c r="I37" s="49" t="s">
        <v>52</v>
      </c>
      <c r="J37" s="52">
        <v>4100000</v>
      </c>
      <c r="K37" s="53">
        <v>45048</v>
      </c>
      <c r="L37" s="53">
        <v>46143</v>
      </c>
      <c r="M37" s="53">
        <v>46082</v>
      </c>
      <c r="N37" s="49" t="s">
        <v>50</v>
      </c>
      <c r="O37" s="54" t="str">
        <f>_xlfn.LET(
 _xlpm.x,
 _xlfn.MAXIFS(
  raw_stack!G$2:G$100000,
  raw_stack!D$2:D$100000, G37,
  raw_stack!F$2:F$100000, "Iya",
  raw_stack!G$2:G$100000, "&gt;="&amp;DATE(2025,7,1),
  raw_stack!G$2:G$100000, "&lt;="&amp;EOMONTH(DATE(2025,7,1),0)
 ),
 IF(_xlpm.x=0, "-", _xlpm.x)
)</f>
        <v>-</v>
      </c>
      <c r="P37" s="65" t="str">
        <f>_xlfn.LET(
 _xlpm.x,
 _xlfn.MAXIFS(
  raw_stack!H$2:H$100000,
  raw_stack!D$2:D$100000, G37,
  raw_stack!F$2:F$100000, "Iya",
  raw_stack!G$2:G$100000, "&gt;="&amp;DATE(2025,7,1),
  raw_stack!G$2:G$100000, "&lt;="&amp;EOMONTH(DATE(2025,7,1),0)
 ),
 IF(OR(_xlpm.x=0, _xlpm.x=""), "-", _xlpm.x)
)</f>
        <v>-</v>
      </c>
      <c r="Q37" s="54" t="str">
        <f>_xlfn.LET(
 _xlpm.x,
 _xlfn.MAXIFS(
  raw_stack!G$2:G$99411,
  raw_stack!D$2:D$99411, G37,
  raw_stack!F$2:F$99411, "Iya",
  raw_stack!G$2:G$99411, "&gt;="&amp;DATE(2025,8,1),
  raw_stack!G$2:G$99411, "&lt;="&amp;EOMONTH(DATE(2025,8,1),0)
 ),
 IF(_xlpm.x=0, "-", _xlpm.x)
)</f>
        <v>-</v>
      </c>
      <c r="R37" s="65" t="str">
        <f>_xlfn.LET(
 _xlpm.x,
 _xlfn.MAXIFS(
  raw_stack!H$2:H$100000,
  raw_stack!D$2:D$100000, G37,
  raw_stack!F$2:F$100000, "Iya",
  raw_stack!G$2:G$100000, "&gt;="&amp;DATE(2025,8,1),
  raw_stack!G$2:G$100000, "&lt;="&amp;EOMONTH(DATE(2025,8,1),0)
 ),
 IF(OR(_xlpm.x=0, _xlpm.x=""), "-", _xlpm.x)
)</f>
        <v>-</v>
      </c>
      <c r="S37" s="54">
        <f>_xlfn.LET(
 _xlpm.x,
 _xlfn.MAXIFS(
  raw_stack!G$2:G$99411,
  raw_stack!D$2:D$99411, G37,
  raw_stack!F$2:F$99411, "Iya",
  raw_stack!G$2:G$99411, "&gt;="&amp;DATE(2025,9,1),
  raw_stack!G$2:G$99411, "&lt;="&amp;EOMONTH(DATE(2025,9,1),0)
 ),
 IF(_xlpm.x=0, "-", _xlpm.x)
)</f>
        <v>45911</v>
      </c>
      <c r="T37" s="65">
        <f>_xlfn.LET(
 _xlpm.x,
 _xlfn.MAXIFS(
  raw_stack!H$2:H$100000,
  raw_stack!D$2:D$100000, G37,
  raw_stack!F$2:F$100000, "Iya",
  raw_stack!G$2:G$100000, "&gt;="&amp;DATE(2025,9,1),
  raw_stack!G$2:G$100000, "&lt;="&amp;EOMONTH(DATE(2025,9,1),0)
 ),
 IF(OR(_xlpm.x=0, _xlpm.x=""), "-", _xlpm.x)
)</f>
        <v>20214</v>
      </c>
      <c r="U37" s="54" t="str">
        <f>_xlfn.LET(
 _xlpm.x,
 _xlfn.MAXIFS(
  raw_stack!G$2:G$99411,
  raw_stack!D$2:D$99411, G37,
  raw_stack!F$2:F$99411, "Iya",
  raw_stack!G$2:G$99411, "&gt;="&amp;DATE(2025,10,1),
  raw_stack!G$2:G$99411, "&lt;="&amp;EOMONTH(DATE(2025,10,1),0)
 ),
 IF(_xlpm.x=0, "-", _xlpm.x)
)</f>
        <v>-</v>
      </c>
      <c r="V37" s="65" t="str">
        <f>_xlfn.LET(
 _xlpm.x,
 _xlfn.MAXIFS(
  raw_stack!H$2:H$100000,
  raw_stack!D$2:D$100000, G37,
  raw_stack!F$2:F$100000, "Iya",
  raw_stack!G$2:G$100000, "&gt;="&amp;DATE(2025,10,1),
  raw_stack!G$2:G$100000, "&lt;="&amp;EOMONTH(DATE(2025,10,1),0)
 ),
 IF(OR(_xlpm.x=0, _xlpm.x=""), "-", _xlpm.x)
)</f>
        <v>-</v>
      </c>
      <c r="W37" s="55" t="str">
        <f>_xlfn.LET(
 _xlpm.x,
 _xlfn.MAXIFS(
  raw_stack!G$2:G$99411,
  raw_stack!D$2:D$99411, G37,
  raw_stack!F$2:F$99411, "Iya",
  raw_stack!G$2:G$99411, "&gt;="&amp;DATE(2025,11,1),
  raw_stack!G$2:G$99411, "&lt;="&amp;EOMONTH(DATE(2025,11,1),0)
 ),
 IF(_xlpm.x=0, "-", _xlpm.x)
)</f>
        <v>-</v>
      </c>
      <c r="X37" s="56" t="str">
        <f>_xlfn.LET(
 _xlpm.x,
 _xlfn.MAXIFS(
  raw_stack!H$2:H$100000,
  raw_stack!D$2:D$100000, G37,
  raw_stack!F$2:F$100000, "Iya",
  raw_stack!G$2:G$100000, "&gt;="&amp;DATE(2025,11,1),
  raw_stack!G$2:G$100000, "&lt;="&amp;EOMONTH(DATE(2025,11,1),0)
 ),
 IF(OR(_xlpm.x=0, _xlpm.x=""), "-", _xlpm.x)
)</f>
        <v>-</v>
      </c>
      <c r="Y37" s="55" t="str">
        <f>_xlfn.LET(
 _xlpm.x,
 _xlfn.MAXIFS(
  raw_stack!G$2:G$99411,
  raw_stack!D$2:D$99411, G37,
  raw_stack!F$2:F$99411, "Iya",
  raw_stack!G$2:G$99411, "&gt;="&amp;DATE(2025,12,1),
  raw_stack!G$2:G$99411, "&lt;="&amp;EOMONTH(DATE(2025,12,1),0)
 ),
 IF(_xlpm.x=0, "-", _xlpm.x)
)</f>
        <v>-</v>
      </c>
      <c r="Z37" s="56" t="str">
        <f>_xlfn.LET(
 _xlpm.x,
 _xlfn.MAXIFS(
  raw_stack!H$2:H$100000,
  raw_stack!D$2:D$100000, G37,
  raw_stack!F$2:F$100000, "Iya",
  raw_stack!G$2:G$100000, "&gt;="&amp;DATE(2025,12,1),
  raw_stack!G$2:G$100000, "&lt;="&amp;EOMONTH(DATE(2025,12,1),0)
 ),
 IF(OR(_xlpm.x=0, _xlpm.x=""), "-", _xlpm.x)
)</f>
        <v>-</v>
      </c>
      <c r="AA37" s="55" t="str">
        <f>_xlfn.LET(
 _xlpm.x,
 _xlfn.MAXIFS(
  raw_stack!G$2:G$99411,
  raw_stack!D$2:D$99411, G37,
  raw_stack!F$2:F$99411, "Iya",
  raw_stack!G$2:G$99411, "&gt;="&amp;DATE(2026,1,1),
  raw_stack!G$2:G$99411, "&lt;="&amp;EOMONTH(DATE(2026,1,1),0)
 ),
 IF(_xlpm.x=0, "-", _xlpm.x)
)</f>
        <v>-</v>
      </c>
      <c r="AB37" s="56" t="str">
        <f>_xlfn.LET(
 _xlpm.x,
 _xlfn.MAXIFS(
  raw_stack!H$2:H$100000,
  raw_stack!D$2:D$100000, G37,
  raw_stack!F$2:F$100000, "Iya",
  raw_stack!G$2:G$100000, "&gt;="&amp;DATE(2026,1,1),
  raw_stack!G$2:G$100000, "&lt;="&amp;EOMONTH(DATE(2026,1,1),0)
 ),
 IF(OR(_xlpm.x=0, _xlpm.x=""), "-", _xlpm.x)
)</f>
        <v>-</v>
      </c>
      <c r="AC37" s="55" t="str">
        <f>_xlfn.LET(
 _xlpm.x,
 _xlfn.MAXIFS(
  raw_stack!G$2:G$99411,
  raw_stack!D$2:D$99411, G37,
  raw_stack!F$2:F$99411, "Iya",
  raw_stack!G$2:G$99411, "&gt;="&amp;DATE(2026,2,1),
  raw_stack!G$2:G$99411, "&lt;="&amp;EOMONTH(DATE(2026,2,1),0)
 ),
 IF(_xlpm.x=0, "-", _xlpm.x)
)</f>
        <v>-</v>
      </c>
      <c r="AD37" s="56" t="str">
        <f>_xlfn.LET(
 _xlpm.x,
 _xlfn.MAXIFS(
  raw_stack!H$2:H$100000,
  raw_stack!D$2:D$100000, G37,
  raw_stack!F$2:F$100000, "Iya",
  raw_stack!G$2:G$100000, "&gt;="&amp;DATE(2026,2,1),
  raw_stack!G$2:G$100000, "&lt;="&amp;EOMONTH(DATE(2026,2,1),0)
 ),
 IF(OR(_xlpm.x=0, _xlpm.x=""), "-", _xlpm.x)
)</f>
        <v>-</v>
      </c>
      <c r="AE37" s="55" t="str">
        <f>_xlfn.LET(
 _xlpm.x,
 _xlfn.MAXIFS(
  raw_stack!G$2:G$100000,
  raw_stack!D$2:D$100000, G37,
  raw_stack!F$2:F$100000, "Iya",
  raw_stack!G$2:G$100000, "&gt;="&amp;DATE(2026,3,1),
  raw_stack!G$2:G$100000, "&lt;="&amp;EOMONTH(DATE(2026,3,1),0)
 ),
 IF(_xlpm.x=0, "-", _xlpm.x)
)</f>
        <v>-</v>
      </c>
      <c r="AF37" s="56" t="str">
        <f>_xlfn.LET(
 _xlpm.x,
 _xlfn.MAXIFS(
  raw_stack!H$2:H$100000,
  raw_stack!D$2:D$100000, G37,
  raw_stack!F$2:F$100000, "Iya",
  raw_stack!G$2:G$100000, "&gt;="&amp;DATE(2026,3,1),
  raw_stack!G$2:G$100000, "&lt;="&amp;EOMONTH(DATE(2026,3,1),0)
 ),
 IF(OR(_xlpm.x=0, _xlpm.x=""), "-", _xlpm.x)
)</f>
        <v>-</v>
      </c>
      <c r="AG37" s="55" t="str">
        <f>_xlfn.LET(
 _xlpm.x,
 _xlfn.MAXIFS(
  raw_stack!G$2:G$100000,
  raw_stack!D$2:D$100000, G37,
  raw_stack!F$2:F$100000, "Iya",
  raw_stack!G$2:G$100000, "&gt;="&amp;DATE(2026,4,1),
  raw_stack!G$2:G$100000, "&lt;="&amp;EOMONTH(DATE(2026,4,1),0)
 ),
 IF(_xlpm.x=0, "-", _xlpm.x)
)</f>
        <v>-</v>
      </c>
      <c r="AH37" s="56" t="str">
        <f>_xlfn.LET(
 _xlpm.x,
 _xlfn.MAXIFS(
  raw_stack!H$2:H$100000,
  raw_stack!D$2:D$100000, G37,
  raw_stack!F$2:F$100000, "Iya",
  raw_stack!G$2:G$100000, "&gt;="&amp;DATE(2026,4,1),
  raw_stack!G$2:G$100000, "&lt;="&amp;EOMONTH(DATE(2026,4,1),0)
 ),
 IF(OR(_xlpm.x=0, _xlpm.x=""), "-", _xlpm.x)
)</f>
        <v>-</v>
      </c>
    </row>
    <row r="38" spans="1:34">
      <c r="A38" s="48">
        <v>37</v>
      </c>
      <c r="B38" s="49" t="str">
        <f t="shared" si="0"/>
        <v>19910</v>
      </c>
      <c r="C38" s="50" t="s">
        <v>46</v>
      </c>
      <c r="D38" s="51" t="s">
        <v>488</v>
      </c>
      <c r="E38" s="51" t="s">
        <v>51</v>
      </c>
      <c r="F38" s="49" t="s">
        <v>117</v>
      </c>
      <c r="G38" s="49" t="s">
        <v>154</v>
      </c>
      <c r="H38" s="49" t="s">
        <v>48</v>
      </c>
      <c r="I38" s="49" t="s">
        <v>52</v>
      </c>
      <c r="J38" s="52">
        <v>3380000</v>
      </c>
      <c r="K38" s="53">
        <v>45964</v>
      </c>
      <c r="L38" s="53">
        <v>46144</v>
      </c>
      <c r="M38" s="53">
        <v>46024</v>
      </c>
      <c r="N38" s="49" t="s">
        <v>50</v>
      </c>
      <c r="O38" s="54" t="str">
        <f>_xlfn.LET(
 _xlpm.x,
 _xlfn.MAXIFS(
  raw_stack!G$2:G$100000,
  raw_stack!D$2:D$100000, G38,
  raw_stack!F$2:F$100000, "Iya",
  raw_stack!G$2:G$100000, "&gt;="&amp;DATE(2025,7,1),
  raw_stack!G$2:G$100000, "&lt;="&amp;EOMONTH(DATE(2025,7,1),0)
 ),
 IF(_xlpm.x=0, "-", _xlpm.x)
)</f>
        <v>-</v>
      </c>
      <c r="P38" s="65" t="str">
        <f>_xlfn.LET(
 _xlpm.x,
 _xlfn.MAXIFS(
  raw_stack!H$2:H$100000,
  raw_stack!D$2:D$100000, G38,
  raw_stack!F$2:F$100000, "Iya",
  raw_stack!G$2:G$100000, "&gt;="&amp;DATE(2025,7,1),
  raw_stack!G$2:G$100000, "&lt;="&amp;EOMONTH(DATE(2025,7,1),0)
 ),
 IF(OR(_xlpm.x=0, _xlpm.x=""), "-", _xlpm.x)
)</f>
        <v>-</v>
      </c>
      <c r="Q38" s="54" t="str">
        <f>_xlfn.LET(
 _xlpm.x,
 _xlfn.MAXIFS(
  raw_stack!G$2:G$99411,
  raw_stack!D$2:D$99411, G38,
  raw_stack!F$2:F$99411, "Iya",
  raw_stack!G$2:G$99411, "&gt;="&amp;DATE(2025,8,1),
  raw_stack!G$2:G$99411, "&lt;="&amp;EOMONTH(DATE(2025,8,1),0)
 ),
 IF(_xlpm.x=0, "-", _xlpm.x)
)</f>
        <v>-</v>
      </c>
      <c r="R38" s="65" t="str">
        <f>_xlfn.LET(
 _xlpm.x,
 _xlfn.MAXIFS(
  raw_stack!H$2:H$100000,
  raw_stack!D$2:D$100000, G38,
  raw_stack!F$2:F$100000, "Iya",
  raw_stack!G$2:G$100000, "&gt;="&amp;DATE(2025,8,1),
  raw_stack!G$2:G$100000, "&lt;="&amp;EOMONTH(DATE(2025,8,1),0)
 ),
 IF(OR(_xlpm.x=0, _xlpm.x=""), "-", _xlpm.x)
)</f>
        <v>-</v>
      </c>
      <c r="S38" s="54" t="str">
        <f>_xlfn.LET(
 _xlpm.x,
 _xlfn.MAXIFS(
  raw_stack!G$2:G$99411,
  raw_stack!D$2:D$99411, G38,
  raw_stack!F$2:F$99411, "Iya",
  raw_stack!G$2:G$99411, "&gt;="&amp;DATE(2025,9,1),
  raw_stack!G$2:G$99411, "&lt;="&amp;EOMONTH(DATE(2025,9,1),0)
 ),
 IF(_xlpm.x=0, "-", _xlpm.x)
)</f>
        <v>-</v>
      </c>
      <c r="T38" s="65" t="str">
        <f>_xlfn.LET(
 _xlpm.x,
 _xlfn.MAXIFS(
  raw_stack!H$2:H$100000,
  raw_stack!D$2:D$100000, G38,
  raw_stack!F$2:F$100000, "Iya",
  raw_stack!G$2:G$100000, "&gt;="&amp;DATE(2025,9,1),
  raw_stack!G$2:G$100000, "&lt;="&amp;EOMONTH(DATE(2025,9,1),0)
 ),
 IF(OR(_xlpm.x=0, _xlpm.x=""), "-", _xlpm.x)
)</f>
        <v>-</v>
      </c>
      <c r="U38" s="54" t="str">
        <f>_xlfn.LET(
 _xlpm.x,
 _xlfn.MAXIFS(
  raw_stack!G$2:G$99411,
  raw_stack!D$2:D$99411, G38,
  raw_stack!F$2:F$99411, "Iya",
  raw_stack!G$2:G$99411, "&gt;="&amp;DATE(2025,10,1),
  raw_stack!G$2:G$99411, "&lt;="&amp;EOMONTH(DATE(2025,10,1),0)
 ),
 IF(_xlpm.x=0, "-", _xlpm.x)
)</f>
        <v>-</v>
      </c>
      <c r="V38" s="65" t="str">
        <f>_xlfn.LET(
 _xlpm.x,
 _xlfn.MAXIFS(
  raw_stack!H$2:H$100000,
  raw_stack!D$2:D$100000, G38,
  raw_stack!F$2:F$100000, "Iya",
  raw_stack!G$2:G$100000, "&gt;="&amp;DATE(2025,10,1),
  raw_stack!G$2:G$100000, "&lt;="&amp;EOMONTH(DATE(2025,10,1),0)
 ),
 IF(OR(_xlpm.x=0, _xlpm.x=""), "-", _xlpm.x)
)</f>
        <v>-</v>
      </c>
      <c r="W38" s="55" t="str">
        <f>_xlfn.LET(
 _xlpm.x,
 _xlfn.MAXIFS(
  raw_stack!G$2:G$99411,
  raw_stack!D$2:D$99411, G38,
  raw_stack!F$2:F$99411, "Iya",
  raw_stack!G$2:G$99411, "&gt;="&amp;DATE(2025,11,1),
  raw_stack!G$2:G$99411, "&lt;="&amp;EOMONTH(DATE(2025,11,1),0)
 ),
 IF(_xlpm.x=0, "-", _xlpm.x)
)</f>
        <v>-</v>
      </c>
      <c r="X38" s="56" t="str">
        <f>_xlfn.LET(
 _xlpm.x,
 _xlfn.MAXIFS(
  raw_stack!H$2:H$100000,
  raw_stack!D$2:D$100000, G38,
  raw_stack!F$2:F$100000, "Iya",
  raw_stack!G$2:G$100000, "&gt;="&amp;DATE(2025,11,1),
  raw_stack!G$2:G$100000, "&lt;="&amp;EOMONTH(DATE(2025,11,1),0)
 ),
 IF(OR(_xlpm.x=0, _xlpm.x=""), "-", _xlpm.x)
)</f>
        <v>-</v>
      </c>
      <c r="Y38" s="55" t="str">
        <f>_xlfn.LET(
 _xlpm.x,
 _xlfn.MAXIFS(
  raw_stack!G$2:G$99411,
  raw_stack!D$2:D$99411, G38,
  raw_stack!F$2:F$99411, "Iya",
  raw_stack!G$2:G$99411, "&gt;="&amp;DATE(2025,12,1),
  raw_stack!G$2:G$99411, "&lt;="&amp;EOMONTH(DATE(2025,12,1),0)
 ),
 IF(_xlpm.x=0, "-", _xlpm.x)
)</f>
        <v>-</v>
      </c>
      <c r="Z38" s="56" t="str">
        <f>_xlfn.LET(
 _xlpm.x,
 _xlfn.MAXIFS(
  raw_stack!H$2:H$100000,
  raw_stack!D$2:D$100000, G38,
  raw_stack!F$2:F$100000, "Iya",
  raw_stack!G$2:G$100000, "&gt;="&amp;DATE(2025,12,1),
  raw_stack!G$2:G$100000, "&lt;="&amp;EOMONTH(DATE(2025,12,1),0)
 ),
 IF(OR(_xlpm.x=0, _xlpm.x=""), "-", _xlpm.x)
)</f>
        <v>-</v>
      </c>
      <c r="AA38" s="55">
        <f>_xlfn.LET(
 _xlpm.x,
 _xlfn.MAXIFS(
  raw_stack!G$2:G$99411,
  raw_stack!D$2:D$99411, G38,
  raw_stack!F$2:F$99411, "Iya",
  raw_stack!G$2:G$99411, "&gt;="&amp;DATE(2026,1,1),
  raw_stack!G$2:G$99411, "&lt;="&amp;EOMONTH(DATE(2026,1,1),0)
 ),
 IF(_xlpm.x=0, "-", _xlpm.x)
)</f>
        <v>46031</v>
      </c>
      <c r="AB38" s="56">
        <f>_xlfn.LET(
 _xlpm.x,
 _xlfn.MAXIFS(
  raw_stack!H$2:H$100000,
  raw_stack!D$2:D$100000, G38,
  raw_stack!F$2:F$100000, "Iya",
  raw_stack!G$2:G$100000, "&gt;="&amp;DATE(2026,1,1),
  raw_stack!G$2:G$100000, "&lt;="&amp;EOMONTH(DATE(2026,1,1),0)
 ),
 IF(OR(_xlpm.x=0, _xlpm.x=""), "-", _xlpm.x)
)</f>
        <v>47776</v>
      </c>
      <c r="AC38" s="55" t="str">
        <f>_xlfn.LET(
 _xlpm.x,
 _xlfn.MAXIFS(
  raw_stack!G$2:G$99411,
  raw_stack!D$2:D$99411, G38,
  raw_stack!F$2:F$99411, "Iya",
  raw_stack!G$2:G$99411, "&gt;="&amp;DATE(2026,2,1),
  raw_stack!G$2:G$99411, "&lt;="&amp;EOMONTH(DATE(2026,2,1),0)
 ),
 IF(_xlpm.x=0, "-", _xlpm.x)
)</f>
        <v>-</v>
      </c>
      <c r="AD38" s="56" t="str">
        <f>_xlfn.LET(
 _xlpm.x,
 _xlfn.MAXIFS(
  raw_stack!H$2:H$100000,
  raw_stack!D$2:D$100000, G38,
  raw_stack!F$2:F$100000, "Iya",
  raw_stack!G$2:G$100000, "&gt;="&amp;DATE(2026,2,1),
  raw_stack!G$2:G$100000, "&lt;="&amp;EOMONTH(DATE(2026,2,1),0)
 ),
 IF(OR(_xlpm.x=0, _xlpm.x=""), "-", _xlpm.x)
)</f>
        <v>-</v>
      </c>
      <c r="AE38" s="55" t="str">
        <f>_xlfn.LET(
 _xlpm.x,
 _xlfn.MAXIFS(
  raw_stack!G$2:G$100000,
  raw_stack!D$2:D$100000, G38,
  raw_stack!F$2:F$100000, "Iya",
  raw_stack!G$2:G$100000, "&gt;="&amp;DATE(2026,3,1),
  raw_stack!G$2:G$100000, "&lt;="&amp;EOMONTH(DATE(2026,3,1),0)
 ),
 IF(_xlpm.x=0, "-", _xlpm.x)
)</f>
        <v>-</v>
      </c>
      <c r="AF38" s="56" t="str">
        <f>_xlfn.LET(
 _xlpm.x,
 _xlfn.MAXIFS(
  raw_stack!H$2:H$100000,
  raw_stack!D$2:D$100000, G38,
  raw_stack!F$2:F$100000, "Iya",
  raw_stack!G$2:G$100000, "&gt;="&amp;DATE(2026,3,1),
  raw_stack!G$2:G$100000, "&lt;="&amp;EOMONTH(DATE(2026,3,1),0)
 ),
 IF(OR(_xlpm.x=0, _xlpm.x=""), "-", _xlpm.x)
)</f>
        <v>-</v>
      </c>
      <c r="AG38" s="55" t="str">
        <f>_xlfn.LET(
 _xlpm.x,
 _xlfn.MAXIFS(
  raw_stack!G$2:G$100000,
  raw_stack!D$2:D$100000, G38,
  raw_stack!F$2:F$100000, "Iya",
  raw_stack!G$2:G$100000, "&gt;="&amp;DATE(2026,4,1),
  raw_stack!G$2:G$100000, "&lt;="&amp;EOMONTH(DATE(2026,4,1),0)
 ),
 IF(_xlpm.x=0, "-", _xlpm.x)
)</f>
        <v>-</v>
      </c>
      <c r="AH38" s="56" t="str">
        <f>_xlfn.LET(
 _xlpm.x,
 _xlfn.MAXIFS(
  raw_stack!H$2:H$100000,
  raw_stack!D$2:D$100000, G38,
  raw_stack!F$2:F$100000, "Iya",
  raw_stack!G$2:G$100000, "&gt;="&amp;DATE(2026,4,1),
  raw_stack!G$2:G$100000, "&lt;="&amp;EOMONTH(DATE(2026,4,1),0)
 ),
 IF(OR(_xlpm.x=0, _xlpm.x=""), "-", _xlpm.x)
)</f>
        <v>-</v>
      </c>
    </row>
    <row r="39" spans="1:34">
      <c r="A39" s="48">
        <v>38</v>
      </c>
      <c r="B39" s="49" t="str">
        <f t="shared" si="0"/>
        <v>67081</v>
      </c>
      <c r="C39" s="50" t="s">
        <v>46</v>
      </c>
      <c r="D39" s="51" t="s">
        <v>489</v>
      </c>
      <c r="E39" s="51" t="s">
        <v>54</v>
      </c>
      <c r="F39" s="49" t="s">
        <v>117</v>
      </c>
      <c r="G39" s="49" t="s">
        <v>155</v>
      </c>
      <c r="H39" s="49" t="s">
        <v>48</v>
      </c>
      <c r="I39" s="49" t="s">
        <v>52</v>
      </c>
      <c r="J39" s="52">
        <v>6450000</v>
      </c>
      <c r="K39" s="53">
        <v>45050</v>
      </c>
      <c r="L39" s="53">
        <v>46145</v>
      </c>
      <c r="M39" s="53">
        <v>46056</v>
      </c>
      <c r="N39" s="49" t="s">
        <v>50</v>
      </c>
      <c r="O39" s="54">
        <f>_xlfn.LET(
 _xlpm.x,
 _xlfn.MAXIFS(
  raw_stack!G$2:G$100000,
  raw_stack!D$2:D$100000, G39,
  raw_stack!F$2:F$100000, "Iya",
  raw_stack!G$2:G$100000, "&gt;="&amp;DATE(2025,7,1),
  raw_stack!G$2:G$100000, "&lt;="&amp;EOMONTH(DATE(2025,7,1),0)
 ),
 IF(_xlpm.x=0, "-", _xlpm.x)
)</f>
        <v>45860</v>
      </c>
      <c r="P39" s="65">
        <f>_xlfn.LET(
 _xlpm.x,
 _xlfn.MAXIFS(
  raw_stack!H$2:H$100000,
  raw_stack!D$2:D$100000, G39,
  raw_stack!F$2:F$100000, "Iya",
  raw_stack!G$2:G$100000, "&gt;="&amp;DATE(2025,7,1),
  raw_stack!G$2:G$100000, "&lt;="&amp;EOMONTH(DATE(2025,7,1),0)
 ),
 IF(OR(_xlpm.x=0, _xlpm.x=""), "-", _xlpm.x)
)</f>
        <v>41871</v>
      </c>
      <c r="Q39" s="54" t="str">
        <f>_xlfn.LET(
 _xlpm.x,
 _xlfn.MAXIFS(
  raw_stack!G$2:G$99411,
  raw_stack!D$2:D$99411, G39,
  raw_stack!F$2:F$99411, "Iya",
  raw_stack!G$2:G$99411, "&gt;="&amp;DATE(2025,8,1),
  raw_stack!G$2:G$99411, "&lt;="&amp;EOMONTH(DATE(2025,8,1),0)
 ),
 IF(_xlpm.x=0, "-", _xlpm.x)
)</f>
        <v>-</v>
      </c>
      <c r="R39" s="65" t="str">
        <f>_xlfn.LET(
 _xlpm.x,
 _xlfn.MAXIFS(
  raw_stack!H$2:H$100000,
  raw_stack!D$2:D$100000, G39,
  raw_stack!F$2:F$100000, "Iya",
  raw_stack!G$2:G$100000, "&gt;="&amp;DATE(2025,8,1),
  raw_stack!G$2:G$100000, "&lt;="&amp;EOMONTH(DATE(2025,8,1),0)
 ),
 IF(OR(_xlpm.x=0, _xlpm.x=""), "-", _xlpm.x)
)</f>
        <v>-</v>
      </c>
      <c r="S39" s="54" t="str">
        <f>_xlfn.LET(
 _xlpm.x,
 _xlfn.MAXIFS(
  raw_stack!G$2:G$99411,
  raw_stack!D$2:D$99411, G39,
  raw_stack!F$2:F$99411, "Iya",
  raw_stack!G$2:G$99411, "&gt;="&amp;DATE(2025,9,1),
  raw_stack!G$2:G$99411, "&lt;="&amp;EOMONTH(DATE(2025,9,1),0)
 ),
 IF(_xlpm.x=0, "-", _xlpm.x)
)</f>
        <v>-</v>
      </c>
      <c r="T39" s="65" t="str">
        <f>_xlfn.LET(
 _xlpm.x,
 _xlfn.MAXIFS(
  raw_stack!H$2:H$100000,
  raw_stack!D$2:D$100000, G39,
  raw_stack!F$2:F$100000, "Iya",
  raw_stack!G$2:G$100000, "&gt;="&amp;DATE(2025,9,1),
  raw_stack!G$2:G$100000, "&lt;="&amp;EOMONTH(DATE(2025,9,1),0)
 ),
 IF(OR(_xlpm.x=0, _xlpm.x=""), "-", _xlpm.x)
)</f>
        <v>-</v>
      </c>
      <c r="U39" s="54" t="str">
        <f>_xlfn.LET(
 _xlpm.x,
 _xlfn.MAXIFS(
  raw_stack!G$2:G$99411,
  raw_stack!D$2:D$99411, G39,
  raw_stack!F$2:F$99411, "Iya",
  raw_stack!G$2:G$99411, "&gt;="&amp;DATE(2025,10,1),
  raw_stack!G$2:G$99411, "&lt;="&amp;EOMONTH(DATE(2025,10,1),0)
 ),
 IF(_xlpm.x=0, "-", _xlpm.x)
)</f>
        <v>-</v>
      </c>
      <c r="V39" s="65" t="str">
        <f>_xlfn.LET(
 _xlpm.x,
 _xlfn.MAXIFS(
  raw_stack!H$2:H$100000,
  raw_stack!D$2:D$100000, G39,
  raw_stack!F$2:F$100000, "Iya",
  raw_stack!G$2:G$100000, "&gt;="&amp;DATE(2025,10,1),
  raw_stack!G$2:G$100000, "&lt;="&amp;EOMONTH(DATE(2025,10,1),0)
 ),
 IF(OR(_xlpm.x=0, _xlpm.x=""), "-", _xlpm.x)
)</f>
        <v>-</v>
      </c>
      <c r="W39" s="55">
        <f>_xlfn.LET(
 _xlpm.x,
 _xlfn.MAXIFS(
  raw_stack!G$2:G$99411,
  raw_stack!D$2:D$99411, G39,
  raw_stack!F$2:F$99411, "Iya",
  raw_stack!G$2:G$99411, "&gt;="&amp;DATE(2025,11,1),
  raw_stack!G$2:G$99411, "&lt;="&amp;EOMONTH(DATE(2025,11,1),0)
 ),
 IF(_xlpm.x=0, "-", _xlpm.x)
)</f>
        <v>45966</v>
      </c>
      <c r="X39" s="56">
        <f>_xlfn.LET(
 _xlpm.x,
 _xlfn.MAXIFS(
  raw_stack!H$2:H$100000,
  raw_stack!D$2:D$100000, G39,
  raw_stack!F$2:F$100000, "Iya",
  raw_stack!G$2:G$100000, "&gt;="&amp;DATE(2025,11,1),
  raw_stack!G$2:G$100000, "&lt;="&amp;EOMONTH(DATE(2025,11,1),0)
 ),
 IF(OR(_xlpm.x=0, _xlpm.x=""), "-", _xlpm.x)
)</f>
        <v>45225</v>
      </c>
      <c r="Y39" s="55" t="str">
        <f>_xlfn.LET(
 _xlpm.x,
 _xlfn.MAXIFS(
  raw_stack!G$2:G$99411,
  raw_stack!D$2:D$99411, G39,
  raw_stack!F$2:F$99411, "Iya",
  raw_stack!G$2:G$99411, "&gt;="&amp;DATE(2025,12,1),
  raw_stack!G$2:G$99411, "&lt;="&amp;EOMONTH(DATE(2025,12,1),0)
 ),
 IF(_xlpm.x=0, "-", _xlpm.x)
)</f>
        <v>-</v>
      </c>
      <c r="Z39" s="56" t="str">
        <f>_xlfn.LET(
 _xlpm.x,
 _xlfn.MAXIFS(
  raw_stack!H$2:H$100000,
  raw_stack!D$2:D$100000, G39,
  raw_stack!F$2:F$100000, "Iya",
  raw_stack!G$2:G$100000, "&gt;="&amp;DATE(2025,12,1),
  raw_stack!G$2:G$100000, "&lt;="&amp;EOMONTH(DATE(2025,12,1),0)
 ),
 IF(OR(_xlpm.x=0, _xlpm.x=""), "-", _xlpm.x)
)</f>
        <v>-</v>
      </c>
      <c r="AA39" s="55">
        <f>_xlfn.LET(
 _xlpm.x,
 _xlfn.MAXIFS(
  raw_stack!G$2:G$99411,
  raw_stack!D$2:D$99411, G39,
  raw_stack!F$2:F$99411, "Iya",
  raw_stack!G$2:G$99411, "&gt;="&amp;DATE(2026,1,1),
  raw_stack!G$2:G$99411, "&lt;="&amp;EOMONTH(DATE(2026,1,1),0)
 ),
 IF(_xlpm.x=0, "-", _xlpm.x)
)</f>
        <v>46028</v>
      </c>
      <c r="AB39" s="56">
        <f>_xlfn.LET(
 _xlpm.x,
 _xlfn.MAXIFS(
  raw_stack!H$2:H$100000,
  raw_stack!D$2:D$100000, G39,
  raw_stack!F$2:F$100000, "Iya",
  raw_stack!G$2:G$100000, "&gt;="&amp;DATE(2026,1,1),
  raw_stack!G$2:G$100000, "&lt;="&amp;EOMONTH(DATE(2026,1,1),0)
 ),
 IF(OR(_xlpm.x=0, _xlpm.x=""), "-", _xlpm.x)
)</f>
        <v>44001</v>
      </c>
      <c r="AC39" s="55" t="str">
        <f>_xlfn.LET(
 _xlpm.x,
 _xlfn.MAXIFS(
  raw_stack!G$2:G$99411,
  raw_stack!D$2:D$99411, G39,
  raw_stack!F$2:F$99411, "Iya",
  raw_stack!G$2:G$99411, "&gt;="&amp;DATE(2026,2,1),
  raw_stack!G$2:G$99411, "&lt;="&amp;EOMONTH(DATE(2026,2,1),0)
 ),
 IF(_xlpm.x=0, "-", _xlpm.x)
)</f>
        <v>-</v>
      </c>
      <c r="AD39" s="56" t="str">
        <f>_xlfn.LET(
 _xlpm.x,
 _xlfn.MAXIFS(
  raw_stack!H$2:H$100000,
  raw_stack!D$2:D$100000, G39,
  raw_stack!F$2:F$100000, "Iya",
  raw_stack!G$2:G$100000, "&gt;="&amp;DATE(2026,2,1),
  raw_stack!G$2:G$100000, "&lt;="&amp;EOMONTH(DATE(2026,2,1),0)
 ),
 IF(OR(_xlpm.x=0, _xlpm.x=""), "-", _xlpm.x)
)</f>
        <v>-</v>
      </c>
      <c r="AE39" s="55" t="str">
        <f>_xlfn.LET(
 _xlpm.x,
 _xlfn.MAXIFS(
  raw_stack!G$2:G$100000,
  raw_stack!D$2:D$100000, G39,
  raw_stack!F$2:F$100000, "Iya",
  raw_stack!G$2:G$100000, "&gt;="&amp;DATE(2026,3,1),
  raw_stack!G$2:G$100000, "&lt;="&amp;EOMONTH(DATE(2026,3,1),0)
 ),
 IF(_xlpm.x=0, "-", _xlpm.x)
)</f>
        <v>-</v>
      </c>
      <c r="AF39" s="56" t="str">
        <f>_xlfn.LET(
 _xlpm.x,
 _xlfn.MAXIFS(
  raw_stack!H$2:H$100000,
  raw_stack!D$2:D$100000, G39,
  raw_stack!F$2:F$100000, "Iya",
  raw_stack!G$2:G$100000, "&gt;="&amp;DATE(2026,3,1),
  raw_stack!G$2:G$100000, "&lt;="&amp;EOMONTH(DATE(2026,3,1),0)
 ),
 IF(OR(_xlpm.x=0, _xlpm.x=""), "-", _xlpm.x)
)</f>
        <v>-</v>
      </c>
      <c r="AG39" s="55" t="str">
        <f>_xlfn.LET(
 _xlpm.x,
 _xlfn.MAXIFS(
  raw_stack!G$2:G$100000,
  raw_stack!D$2:D$100000, G39,
  raw_stack!F$2:F$100000, "Iya",
  raw_stack!G$2:G$100000, "&gt;="&amp;DATE(2026,4,1),
  raw_stack!G$2:G$100000, "&lt;="&amp;EOMONTH(DATE(2026,4,1),0)
 ),
 IF(_xlpm.x=0, "-", _xlpm.x)
)</f>
        <v>-</v>
      </c>
      <c r="AH39" s="56" t="str">
        <f>_xlfn.LET(
 _xlpm.x,
 _xlfn.MAXIFS(
  raw_stack!H$2:H$100000,
  raw_stack!D$2:D$100000, G39,
  raw_stack!F$2:F$100000, "Iya",
  raw_stack!G$2:G$100000, "&gt;="&amp;DATE(2026,4,1),
  raw_stack!G$2:G$100000, "&lt;="&amp;EOMONTH(DATE(2026,4,1),0)
 ),
 IF(OR(_xlpm.x=0, _xlpm.x=""), "-", _xlpm.x)
)</f>
        <v>-</v>
      </c>
    </row>
    <row r="40" spans="1:34">
      <c r="A40" s="48">
        <v>39</v>
      </c>
      <c r="B40" s="49" t="str">
        <f t="shared" si="0"/>
        <v>99068</v>
      </c>
      <c r="C40" s="50" t="s">
        <v>46</v>
      </c>
      <c r="D40" s="51" t="s">
        <v>490</v>
      </c>
      <c r="E40" s="51" t="s">
        <v>51</v>
      </c>
      <c r="F40" s="49" t="s">
        <v>117</v>
      </c>
      <c r="G40" s="49" t="s">
        <v>156</v>
      </c>
      <c r="H40" s="49" t="s">
        <v>48</v>
      </c>
      <c r="I40" s="49" t="s">
        <v>52</v>
      </c>
      <c r="J40" s="52">
        <v>3380000</v>
      </c>
      <c r="K40" s="53">
        <v>45973</v>
      </c>
      <c r="L40" s="53">
        <v>46153</v>
      </c>
      <c r="M40" s="53">
        <v>46033</v>
      </c>
      <c r="N40" s="49" t="s">
        <v>50</v>
      </c>
      <c r="O40" s="54" t="str">
        <f>_xlfn.LET(
 _xlpm.x,
 _xlfn.MAXIFS(
  raw_stack!G$2:G$100000,
  raw_stack!D$2:D$100000, G40,
  raw_stack!F$2:F$100000, "Iya",
  raw_stack!G$2:G$100000, "&gt;="&amp;DATE(2025,7,1),
  raw_stack!G$2:G$100000, "&lt;="&amp;EOMONTH(DATE(2025,7,1),0)
 ),
 IF(_xlpm.x=0, "-", _xlpm.x)
)</f>
        <v>-</v>
      </c>
      <c r="P40" s="65" t="str">
        <f>_xlfn.LET(
 _xlpm.x,
 _xlfn.MAXIFS(
  raw_stack!H$2:H$100000,
  raw_stack!D$2:D$100000, G40,
  raw_stack!F$2:F$100000, "Iya",
  raw_stack!G$2:G$100000, "&gt;="&amp;DATE(2025,7,1),
  raw_stack!G$2:G$100000, "&lt;="&amp;EOMONTH(DATE(2025,7,1),0)
 ),
 IF(OR(_xlpm.x=0, _xlpm.x=""), "-", _xlpm.x)
)</f>
        <v>-</v>
      </c>
      <c r="Q40" s="54" t="str">
        <f>_xlfn.LET(
 _xlpm.x,
 _xlfn.MAXIFS(
  raw_stack!G$2:G$99411,
  raw_stack!D$2:D$99411, G40,
  raw_stack!F$2:F$99411, "Iya",
  raw_stack!G$2:G$99411, "&gt;="&amp;DATE(2025,8,1),
  raw_stack!G$2:G$99411, "&lt;="&amp;EOMONTH(DATE(2025,8,1),0)
 ),
 IF(_xlpm.x=0, "-", _xlpm.x)
)</f>
        <v>-</v>
      </c>
      <c r="R40" s="65" t="str">
        <f>_xlfn.LET(
 _xlpm.x,
 _xlfn.MAXIFS(
  raw_stack!H$2:H$100000,
  raw_stack!D$2:D$100000, G40,
  raw_stack!F$2:F$100000, "Iya",
  raw_stack!G$2:G$100000, "&gt;="&amp;DATE(2025,8,1),
  raw_stack!G$2:G$100000, "&lt;="&amp;EOMONTH(DATE(2025,8,1),0)
 ),
 IF(OR(_xlpm.x=0, _xlpm.x=""), "-", _xlpm.x)
)</f>
        <v>-</v>
      </c>
      <c r="S40" s="54" t="str">
        <f>_xlfn.LET(
 _xlpm.x,
 _xlfn.MAXIFS(
  raw_stack!G$2:G$99411,
  raw_stack!D$2:D$99411, G40,
  raw_stack!F$2:F$99411, "Iya",
  raw_stack!G$2:G$99411, "&gt;="&amp;DATE(2025,9,1),
  raw_stack!G$2:G$99411, "&lt;="&amp;EOMONTH(DATE(2025,9,1),0)
 ),
 IF(_xlpm.x=0, "-", _xlpm.x)
)</f>
        <v>-</v>
      </c>
      <c r="T40" s="65" t="str">
        <f>_xlfn.LET(
 _xlpm.x,
 _xlfn.MAXIFS(
  raw_stack!H$2:H$100000,
  raw_stack!D$2:D$100000, G40,
  raw_stack!F$2:F$100000, "Iya",
  raw_stack!G$2:G$100000, "&gt;="&amp;DATE(2025,9,1),
  raw_stack!G$2:G$100000, "&lt;="&amp;EOMONTH(DATE(2025,9,1),0)
 ),
 IF(OR(_xlpm.x=0, _xlpm.x=""), "-", _xlpm.x)
)</f>
        <v>-</v>
      </c>
      <c r="U40" s="54">
        <f>_xlfn.LET(
 _xlpm.x,
 _xlfn.MAXIFS(
  raw_stack!G$2:G$99411,
  raw_stack!D$2:D$99411, G40,
  raw_stack!F$2:F$99411, "Iya",
  raw_stack!G$2:G$99411, "&gt;="&amp;DATE(2025,10,1),
  raw_stack!G$2:G$99411, "&lt;="&amp;EOMONTH(DATE(2025,10,1),0)
 ),
 IF(_xlpm.x=0, "-", _xlpm.x)
)</f>
        <v>45960</v>
      </c>
      <c r="V40" s="65">
        <f>_xlfn.LET(
 _xlpm.x,
 _xlfn.MAXIFS(
  raw_stack!H$2:H$100000,
  raw_stack!D$2:D$100000, G40,
  raw_stack!F$2:F$100000, "Iya",
  raw_stack!G$2:G$100000, "&gt;="&amp;DATE(2025,10,1),
  raw_stack!G$2:G$100000, "&lt;="&amp;EOMONTH(DATE(2025,10,1),0)
 ),
 IF(OR(_xlpm.x=0, _xlpm.x=""), "-", _xlpm.x)
)</f>
        <v>18629</v>
      </c>
      <c r="W40" s="55" t="str">
        <f>_xlfn.LET(
 _xlpm.x,
 _xlfn.MAXIFS(
  raw_stack!G$2:G$99411,
  raw_stack!D$2:D$99411, G40,
  raw_stack!F$2:F$99411, "Iya",
  raw_stack!G$2:G$99411, "&gt;="&amp;DATE(2025,11,1),
  raw_stack!G$2:G$99411, "&lt;="&amp;EOMONTH(DATE(2025,11,1),0)
 ),
 IF(_xlpm.x=0, "-", _xlpm.x)
)</f>
        <v>-</v>
      </c>
      <c r="X40" s="56" t="str">
        <f>_xlfn.LET(
 _xlpm.x,
 _xlfn.MAXIFS(
  raw_stack!H$2:H$100000,
  raw_stack!D$2:D$100000, G40,
  raw_stack!F$2:F$100000, "Iya",
  raw_stack!G$2:G$100000, "&gt;="&amp;DATE(2025,11,1),
  raw_stack!G$2:G$100000, "&lt;="&amp;EOMONTH(DATE(2025,11,1),0)
 ),
 IF(OR(_xlpm.x=0, _xlpm.x=""), "-", _xlpm.x)
)</f>
        <v>-</v>
      </c>
      <c r="Y40" s="55" t="str">
        <f>_xlfn.LET(
 _xlpm.x,
 _xlfn.MAXIFS(
  raw_stack!G$2:G$99411,
  raw_stack!D$2:D$99411, G40,
  raw_stack!F$2:F$99411, "Iya",
  raw_stack!G$2:G$99411, "&gt;="&amp;DATE(2025,12,1),
  raw_stack!G$2:G$99411, "&lt;="&amp;EOMONTH(DATE(2025,12,1),0)
 ),
 IF(_xlpm.x=0, "-", _xlpm.x)
)</f>
        <v>-</v>
      </c>
      <c r="Z40" s="56" t="str">
        <f>_xlfn.LET(
 _xlpm.x,
 _xlfn.MAXIFS(
  raw_stack!H$2:H$100000,
  raw_stack!D$2:D$100000, G40,
  raw_stack!F$2:F$100000, "Iya",
  raw_stack!G$2:G$100000, "&gt;="&amp;DATE(2025,12,1),
  raw_stack!G$2:G$100000, "&lt;="&amp;EOMONTH(DATE(2025,12,1),0)
 ),
 IF(OR(_xlpm.x=0, _xlpm.x=""), "-", _xlpm.x)
)</f>
        <v>-</v>
      </c>
      <c r="AA40" s="55" t="str">
        <f>_xlfn.LET(
 _xlpm.x,
 _xlfn.MAXIFS(
  raw_stack!G$2:G$99411,
  raw_stack!D$2:D$99411, G40,
  raw_stack!F$2:F$99411, "Iya",
  raw_stack!G$2:G$99411, "&gt;="&amp;DATE(2026,1,1),
  raw_stack!G$2:G$99411, "&lt;="&amp;EOMONTH(DATE(2026,1,1),0)
 ),
 IF(_xlpm.x=0, "-", _xlpm.x)
)</f>
        <v>-</v>
      </c>
      <c r="AB40" s="56" t="str">
        <f>_xlfn.LET(
 _xlpm.x,
 _xlfn.MAXIFS(
  raw_stack!H$2:H$100000,
  raw_stack!D$2:D$100000, G40,
  raw_stack!F$2:F$100000, "Iya",
  raw_stack!G$2:G$100000, "&gt;="&amp;DATE(2026,1,1),
  raw_stack!G$2:G$100000, "&lt;="&amp;EOMONTH(DATE(2026,1,1),0)
 ),
 IF(OR(_xlpm.x=0, _xlpm.x=""), "-", _xlpm.x)
)</f>
        <v>-</v>
      </c>
      <c r="AC40" s="55" t="str">
        <f>_xlfn.LET(
 _xlpm.x,
 _xlfn.MAXIFS(
  raw_stack!G$2:G$99411,
  raw_stack!D$2:D$99411, G40,
  raw_stack!F$2:F$99411, "Iya",
  raw_stack!G$2:G$99411, "&gt;="&amp;DATE(2026,2,1),
  raw_stack!G$2:G$99411, "&lt;="&amp;EOMONTH(DATE(2026,2,1),0)
 ),
 IF(_xlpm.x=0, "-", _xlpm.x)
)</f>
        <v>-</v>
      </c>
      <c r="AD40" s="56" t="str">
        <f>_xlfn.LET(
 _xlpm.x,
 _xlfn.MAXIFS(
  raw_stack!H$2:H$100000,
  raw_stack!D$2:D$100000, G40,
  raw_stack!F$2:F$100000, "Iya",
  raw_stack!G$2:G$100000, "&gt;="&amp;DATE(2026,2,1),
  raw_stack!G$2:G$100000, "&lt;="&amp;EOMONTH(DATE(2026,2,1),0)
 ),
 IF(OR(_xlpm.x=0, _xlpm.x=""), "-", _xlpm.x)
)</f>
        <v>-</v>
      </c>
      <c r="AE40" s="55" t="str">
        <f>_xlfn.LET(
 _xlpm.x,
 _xlfn.MAXIFS(
  raw_stack!G$2:G$100000,
  raw_stack!D$2:D$100000, G40,
  raw_stack!F$2:F$100000, "Iya",
  raw_stack!G$2:G$100000, "&gt;="&amp;DATE(2026,3,1),
  raw_stack!G$2:G$100000, "&lt;="&amp;EOMONTH(DATE(2026,3,1),0)
 ),
 IF(_xlpm.x=0, "-", _xlpm.x)
)</f>
        <v>-</v>
      </c>
      <c r="AF40" s="56" t="str">
        <f>_xlfn.LET(
 _xlpm.x,
 _xlfn.MAXIFS(
  raw_stack!H$2:H$100000,
  raw_stack!D$2:D$100000, G40,
  raw_stack!F$2:F$100000, "Iya",
  raw_stack!G$2:G$100000, "&gt;="&amp;DATE(2026,3,1),
  raw_stack!G$2:G$100000, "&lt;="&amp;EOMONTH(DATE(2026,3,1),0)
 ),
 IF(OR(_xlpm.x=0, _xlpm.x=""), "-", _xlpm.x)
)</f>
        <v>-</v>
      </c>
      <c r="AG40" s="55" t="str">
        <f>_xlfn.LET(
 _xlpm.x,
 _xlfn.MAXIFS(
  raw_stack!G$2:G$100000,
  raw_stack!D$2:D$100000, G40,
  raw_stack!F$2:F$100000, "Iya",
  raw_stack!G$2:G$100000, "&gt;="&amp;DATE(2026,4,1),
  raw_stack!G$2:G$100000, "&lt;="&amp;EOMONTH(DATE(2026,4,1),0)
 ),
 IF(_xlpm.x=0, "-", _xlpm.x)
)</f>
        <v>-</v>
      </c>
      <c r="AH40" s="56" t="str">
        <f>_xlfn.LET(
 _xlpm.x,
 _xlfn.MAXIFS(
  raw_stack!H$2:H$100000,
  raw_stack!D$2:D$100000, G40,
  raw_stack!F$2:F$100000, "Iya",
  raw_stack!G$2:G$100000, "&gt;="&amp;DATE(2026,4,1),
  raw_stack!G$2:G$100000, "&lt;="&amp;EOMONTH(DATE(2026,4,1),0)
 ),
 IF(OR(_xlpm.x=0, _xlpm.x=""), "-", _xlpm.x)
)</f>
        <v>-</v>
      </c>
    </row>
    <row r="41" spans="1:34">
      <c r="A41" s="48">
        <v>40</v>
      </c>
      <c r="B41" s="49" t="str">
        <f t="shared" si="0"/>
        <v>95337</v>
      </c>
      <c r="C41" s="50" t="s">
        <v>46</v>
      </c>
      <c r="D41" s="51" t="s">
        <v>491</v>
      </c>
      <c r="E41" s="51" t="s">
        <v>54</v>
      </c>
      <c r="F41" s="49" t="s">
        <v>117</v>
      </c>
      <c r="G41" s="49" t="s">
        <v>157</v>
      </c>
      <c r="H41" s="49" t="s">
        <v>48</v>
      </c>
      <c r="I41" s="49" t="s">
        <v>52</v>
      </c>
      <c r="J41" s="52">
        <v>6450000</v>
      </c>
      <c r="K41" s="53">
        <v>45061</v>
      </c>
      <c r="L41" s="53">
        <v>46156</v>
      </c>
      <c r="M41" s="53">
        <v>46067</v>
      </c>
      <c r="N41" s="49" t="s">
        <v>50</v>
      </c>
      <c r="O41" s="54">
        <f>_xlfn.LET(
 _xlpm.x,
 _xlfn.MAXIFS(
  raw_stack!G$2:G$100000,
  raw_stack!D$2:D$100000, G41,
  raw_stack!F$2:F$100000, "Iya",
  raw_stack!G$2:G$100000, "&gt;="&amp;DATE(2025,7,1),
  raw_stack!G$2:G$100000, "&lt;="&amp;EOMONTH(DATE(2025,7,1),0)
 ),
 IF(_xlpm.x=0, "-", _xlpm.x)
)</f>
        <v>45852</v>
      </c>
      <c r="P41" s="65">
        <f>_xlfn.LET(
 _xlpm.x,
 _xlfn.MAXIFS(
  raw_stack!H$2:H$100000,
  raw_stack!D$2:D$100000, G41,
  raw_stack!F$2:F$100000, "Iya",
  raw_stack!G$2:G$100000, "&gt;="&amp;DATE(2025,7,1),
  raw_stack!G$2:G$100000, "&lt;="&amp;EOMONTH(DATE(2025,7,1),0)
 ),
 IF(OR(_xlpm.x=0, _xlpm.x=""), "-", _xlpm.x)
)</f>
        <v>48399</v>
      </c>
      <c r="Q41" s="54" t="str">
        <f>_xlfn.LET(
 _xlpm.x,
 _xlfn.MAXIFS(
  raw_stack!G$2:G$99411,
  raw_stack!D$2:D$99411, G41,
  raw_stack!F$2:F$99411, "Iya",
  raw_stack!G$2:G$99411, "&gt;="&amp;DATE(2025,8,1),
  raw_stack!G$2:G$99411, "&lt;="&amp;EOMONTH(DATE(2025,8,1),0)
 ),
 IF(_xlpm.x=0, "-", _xlpm.x)
)</f>
        <v>-</v>
      </c>
      <c r="R41" s="65" t="str">
        <f>_xlfn.LET(
 _xlpm.x,
 _xlfn.MAXIFS(
  raw_stack!H$2:H$100000,
  raw_stack!D$2:D$100000, G41,
  raw_stack!F$2:F$100000, "Iya",
  raw_stack!G$2:G$100000, "&gt;="&amp;DATE(2025,8,1),
  raw_stack!G$2:G$100000, "&lt;="&amp;EOMONTH(DATE(2025,8,1),0)
 ),
 IF(OR(_xlpm.x=0, _xlpm.x=""), "-", _xlpm.x)
)</f>
        <v>-</v>
      </c>
      <c r="S41" s="54" t="str">
        <f>_xlfn.LET(
 _xlpm.x,
 _xlfn.MAXIFS(
  raw_stack!G$2:G$99411,
  raw_stack!D$2:D$99411, G41,
  raw_stack!F$2:F$99411, "Iya",
  raw_stack!G$2:G$99411, "&gt;="&amp;DATE(2025,9,1),
  raw_stack!G$2:G$99411, "&lt;="&amp;EOMONTH(DATE(2025,9,1),0)
 ),
 IF(_xlpm.x=0, "-", _xlpm.x)
)</f>
        <v>-</v>
      </c>
      <c r="T41" s="65" t="str">
        <f>_xlfn.LET(
 _xlpm.x,
 _xlfn.MAXIFS(
  raw_stack!H$2:H$100000,
  raw_stack!D$2:D$100000, G41,
  raw_stack!F$2:F$100000, "Iya",
  raw_stack!G$2:G$100000, "&gt;="&amp;DATE(2025,9,1),
  raw_stack!G$2:G$100000, "&lt;="&amp;EOMONTH(DATE(2025,9,1),0)
 ),
 IF(OR(_xlpm.x=0, _xlpm.x=""), "-", _xlpm.x)
)</f>
        <v>-</v>
      </c>
      <c r="U41" s="54" t="str">
        <f>_xlfn.LET(
 _xlpm.x,
 _xlfn.MAXIFS(
  raw_stack!G$2:G$99411,
  raw_stack!D$2:D$99411, G41,
  raw_stack!F$2:F$99411, "Iya",
  raw_stack!G$2:G$99411, "&gt;="&amp;DATE(2025,10,1),
  raw_stack!G$2:G$99411, "&lt;="&amp;EOMONTH(DATE(2025,10,1),0)
 ),
 IF(_xlpm.x=0, "-", _xlpm.x)
)</f>
        <v>-</v>
      </c>
      <c r="V41" s="65" t="str">
        <f>_xlfn.LET(
 _xlpm.x,
 _xlfn.MAXIFS(
  raw_stack!H$2:H$100000,
  raw_stack!D$2:D$100000, G41,
  raw_stack!F$2:F$100000, "Iya",
  raw_stack!G$2:G$100000, "&gt;="&amp;DATE(2025,10,1),
  raw_stack!G$2:G$100000, "&lt;="&amp;EOMONTH(DATE(2025,10,1),0)
 ),
 IF(OR(_xlpm.x=0, _xlpm.x=""), "-", _xlpm.x)
)</f>
        <v>-</v>
      </c>
      <c r="W41" s="55">
        <f>_xlfn.LET(
 _xlpm.x,
 _xlfn.MAXIFS(
  raw_stack!G$2:G$99411,
  raw_stack!D$2:D$99411, G41,
  raw_stack!F$2:F$99411, "Iya",
  raw_stack!G$2:G$99411, "&gt;="&amp;DATE(2025,11,1),
  raw_stack!G$2:G$99411, "&lt;="&amp;EOMONTH(DATE(2025,11,1),0)
 ),
 IF(_xlpm.x=0, "-", _xlpm.x)
)</f>
        <v>45968</v>
      </c>
      <c r="X41" s="56">
        <f>_xlfn.LET(
 _xlpm.x,
 _xlfn.MAXIFS(
  raw_stack!H$2:H$100000,
  raw_stack!D$2:D$100000, G41,
  raw_stack!F$2:F$100000, "Iya",
  raw_stack!G$2:G$100000, "&gt;="&amp;DATE(2025,11,1),
  raw_stack!G$2:G$100000, "&lt;="&amp;EOMONTH(DATE(2025,11,1),0)
 ),
 IF(OR(_xlpm.x=0, _xlpm.x=""), "-", _xlpm.x)
)</f>
        <v>54320</v>
      </c>
      <c r="Y41" s="55" t="str">
        <f>_xlfn.LET(
 _xlpm.x,
 _xlfn.MAXIFS(
  raw_stack!G$2:G$99411,
  raw_stack!D$2:D$99411, G41,
  raw_stack!F$2:F$99411, "Iya",
  raw_stack!G$2:G$99411, "&gt;="&amp;DATE(2025,12,1),
  raw_stack!G$2:G$99411, "&lt;="&amp;EOMONTH(DATE(2025,12,1),0)
 ),
 IF(_xlpm.x=0, "-", _xlpm.x)
)</f>
        <v>-</v>
      </c>
      <c r="Z41" s="56" t="str">
        <f>_xlfn.LET(
 _xlpm.x,
 _xlfn.MAXIFS(
  raw_stack!H$2:H$100000,
  raw_stack!D$2:D$100000, G41,
  raw_stack!F$2:F$100000, "Iya",
  raw_stack!G$2:G$100000, "&gt;="&amp;DATE(2025,12,1),
  raw_stack!G$2:G$100000, "&lt;="&amp;EOMONTH(DATE(2025,12,1),0)
 ),
 IF(OR(_xlpm.x=0, _xlpm.x=""), "-", _xlpm.x)
)</f>
        <v>-</v>
      </c>
      <c r="AA41" s="55">
        <f>_xlfn.LET(
 _xlpm.x,
 _xlfn.MAXIFS(
  raw_stack!G$2:G$99411,
  raw_stack!D$2:D$99411, G41,
  raw_stack!F$2:F$99411, "Iya",
  raw_stack!G$2:G$99411, "&gt;="&amp;DATE(2026,1,1),
  raw_stack!G$2:G$99411, "&lt;="&amp;EOMONTH(DATE(2026,1,1),0)
 ),
 IF(_xlpm.x=0, "-", _xlpm.x)
)</f>
        <v>46048</v>
      </c>
      <c r="AB41" s="56">
        <f>_xlfn.LET(
 _xlpm.x,
 _xlfn.MAXIFS(
  raw_stack!H$2:H$100000,
  raw_stack!D$2:D$100000, G41,
  raw_stack!F$2:F$100000, "Iya",
  raw_stack!G$2:G$100000, "&gt;="&amp;DATE(2026,1,1),
  raw_stack!G$2:G$100000, "&lt;="&amp;EOMONTH(DATE(2026,1,1),0)
 ),
 IF(OR(_xlpm.x=0, _xlpm.x=""), "-", _xlpm.x)
)</f>
        <v>53954</v>
      </c>
      <c r="AC41" s="55" t="str">
        <f>_xlfn.LET(
 _xlpm.x,
 _xlfn.MAXIFS(
  raw_stack!G$2:G$99411,
  raw_stack!D$2:D$99411, G41,
  raw_stack!F$2:F$99411, "Iya",
  raw_stack!G$2:G$99411, "&gt;="&amp;DATE(2026,2,1),
  raw_stack!G$2:G$99411, "&lt;="&amp;EOMONTH(DATE(2026,2,1),0)
 ),
 IF(_xlpm.x=0, "-", _xlpm.x)
)</f>
        <v>-</v>
      </c>
      <c r="AD41" s="56" t="str">
        <f>_xlfn.LET(
 _xlpm.x,
 _xlfn.MAXIFS(
  raw_stack!H$2:H$100000,
  raw_stack!D$2:D$100000, G41,
  raw_stack!F$2:F$100000, "Iya",
  raw_stack!G$2:G$100000, "&gt;="&amp;DATE(2026,2,1),
  raw_stack!G$2:G$100000, "&lt;="&amp;EOMONTH(DATE(2026,2,1),0)
 ),
 IF(OR(_xlpm.x=0, _xlpm.x=""), "-", _xlpm.x)
)</f>
        <v>-</v>
      </c>
      <c r="AE41" s="55" t="str">
        <f>_xlfn.LET(
 _xlpm.x,
 _xlfn.MAXIFS(
  raw_stack!G$2:G$100000,
  raw_stack!D$2:D$100000, G41,
  raw_stack!F$2:F$100000, "Iya",
  raw_stack!G$2:G$100000, "&gt;="&amp;DATE(2026,3,1),
  raw_stack!G$2:G$100000, "&lt;="&amp;EOMONTH(DATE(2026,3,1),0)
 ),
 IF(_xlpm.x=0, "-", _xlpm.x)
)</f>
        <v>-</v>
      </c>
      <c r="AF41" s="56" t="str">
        <f>_xlfn.LET(
 _xlpm.x,
 _xlfn.MAXIFS(
  raw_stack!H$2:H$100000,
  raw_stack!D$2:D$100000, G41,
  raw_stack!F$2:F$100000, "Iya",
  raw_stack!G$2:G$100000, "&gt;="&amp;DATE(2026,3,1),
  raw_stack!G$2:G$100000, "&lt;="&amp;EOMONTH(DATE(2026,3,1),0)
 ),
 IF(OR(_xlpm.x=0, _xlpm.x=""), "-", _xlpm.x)
)</f>
        <v>-</v>
      </c>
      <c r="AG41" s="55" t="str">
        <f>_xlfn.LET(
 _xlpm.x,
 _xlfn.MAXIFS(
  raw_stack!G$2:G$100000,
  raw_stack!D$2:D$100000, G41,
  raw_stack!F$2:F$100000, "Iya",
  raw_stack!G$2:G$100000, "&gt;="&amp;DATE(2026,4,1),
  raw_stack!G$2:G$100000, "&lt;="&amp;EOMONTH(DATE(2026,4,1),0)
 ),
 IF(_xlpm.x=0, "-", _xlpm.x)
)</f>
        <v>-</v>
      </c>
      <c r="AH41" s="56" t="str">
        <f>_xlfn.LET(
 _xlpm.x,
 _xlfn.MAXIFS(
  raw_stack!H$2:H$100000,
  raw_stack!D$2:D$100000, G41,
  raw_stack!F$2:F$100000, "Iya",
  raw_stack!G$2:G$100000, "&gt;="&amp;DATE(2026,4,1),
  raw_stack!G$2:G$100000, "&lt;="&amp;EOMONTH(DATE(2026,4,1),0)
 ),
 IF(OR(_xlpm.x=0, _xlpm.x=""), "-", _xlpm.x)
)</f>
        <v>-</v>
      </c>
    </row>
    <row r="42" spans="1:34">
      <c r="A42" s="48">
        <v>41</v>
      </c>
      <c r="B42" s="49" t="str">
        <f t="shared" si="0"/>
        <v>14214</v>
      </c>
      <c r="C42" s="50" t="s">
        <v>46</v>
      </c>
      <c r="D42" s="51" t="s">
        <v>492</v>
      </c>
      <c r="E42" s="51" t="s">
        <v>51</v>
      </c>
      <c r="F42" s="49" t="s">
        <v>117</v>
      </c>
      <c r="G42" s="49" t="s">
        <v>158</v>
      </c>
      <c r="H42" s="49" t="s">
        <v>48</v>
      </c>
      <c r="I42" s="49" t="s">
        <v>52</v>
      </c>
      <c r="J42" s="52">
        <v>4100000</v>
      </c>
      <c r="K42" s="53">
        <v>45068</v>
      </c>
      <c r="L42" s="53">
        <v>46163</v>
      </c>
      <c r="M42" s="53">
        <v>46102</v>
      </c>
      <c r="N42" s="49" t="s">
        <v>50</v>
      </c>
      <c r="O42" s="54" t="str">
        <f>_xlfn.LET(
 _xlpm.x,
 _xlfn.MAXIFS(
  raw_stack!G$2:G$100000,
  raw_stack!D$2:D$100000, G42,
  raw_stack!F$2:F$100000, "Iya",
  raw_stack!G$2:G$100000, "&gt;="&amp;DATE(2025,7,1),
  raw_stack!G$2:G$100000, "&lt;="&amp;EOMONTH(DATE(2025,7,1),0)
 ),
 IF(_xlpm.x=0, "-", _xlpm.x)
)</f>
        <v>-</v>
      </c>
      <c r="P42" s="65" t="str">
        <f>_xlfn.LET(
 _xlpm.x,
 _xlfn.MAXIFS(
  raw_stack!H$2:H$100000,
  raw_stack!D$2:D$100000, G42,
  raw_stack!F$2:F$100000, "Iya",
  raw_stack!G$2:G$100000, "&gt;="&amp;DATE(2025,7,1),
  raw_stack!G$2:G$100000, "&lt;="&amp;EOMONTH(DATE(2025,7,1),0)
 ),
 IF(OR(_xlpm.x=0, _xlpm.x=""), "-", _xlpm.x)
)</f>
        <v>-</v>
      </c>
      <c r="Q42" s="54">
        <f>_xlfn.LET(
 _xlpm.x,
 _xlfn.MAXIFS(
  raw_stack!G$2:G$99411,
  raw_stack!D$2:D$99411, G42,
  raw_stack!F$2:F$99411, "Iya",
  raw_stack!G$2:G$99411, "&gt;="&amp;DATE(2025,8,1),
  raw_stack!G$2:G$99411, "&lt;="&amp;EOMONTH(DATE(2025,8,1),0)
 ),
 IF(_xlpm.x=0, "-", _xlpm.x)
)</f>
        <v>45875</v>
      </c>
      <c r="R42" s="65">
        <f>_xlfn.LET(
 _xlpm.x,
 _xlfn.MAXIFS(
  raw_stack!H$2:H$100000,
  raw_stack!D$2:D$100000, G42,
  raw_stack!F$2:F$100000, "Iya",
  raw_stack!G$2:G$100000, "&gt;="&amp;DATE(2025,8,1),
  raw_stack!G$2:G$100000, "&lt;="&amp;EOMONTH(DATE(2025,8,1),0)
 ),
 IF(OR(_xlpm.x=0, _xlpm.x=""), "-", _xlpm.x)
)</f>
        <v>60652</v>
      </c>
      <c r="S42" s="54" t="str">
        <f>_xlfn.LET(
 _xlpm.x,
 _xlfn.MAXIFS(
  raw_stack!G$2:G$99411,
  raw_stack!D$2:D$99411, G42,
  raw_stack!F$2:F$99411, "Iya",
  raw_stack!G$2:G$99411, "&gt;="&amp;DATE(2025,9,1),
  raw_stack!G$2:G$99411, "&lt;="&amp;EOMONTH(DATE(2025,9,1),0)
 ),
 IF(_xlpm.x=0, "-", _xlpm.x)
)</f>
        <v>-</v>
      </c>
      <c r="T42" s="65" t="str">
        <f>_xlfn.LET(
 _xlpm.x,
 _xlfn.MAXIFS(
  raw_stack!H$2:H$100000,
  raw_stack!D$2:D$100000, G42,
  raw_stack!F$2:F$100000, "Iya",
  raw_stack!G$2:G$100000, "&gt;="&amp;DATE(2025,9,1),
  raw_stack!G$2:G$100000, "&lt;="&amp;EOMONTH(DATE(2025,9,1),0)
 ),
 IF(OR(_xlpm.x=0, _xlpm.x=""), "-", _xlpm.x)
)</f>
        <v>-</v>
      </c>
      <c r="U42" s="54" t="str">
        <f>_xlfn.LET(
 _xlpm.x,
 _xlfn.MAXIFS(
  raw_stack!G$2:G$99411,
  raw_stack!D$2:D$99411, G42,
  raw_stack!F$2:F$99411, "Iya",
  raw_stack!G$2:G$99411, "&gt;="&amp;DATE(2025,10,1),
  raw_stack!G$2:G$99411, "&lt;="&amp;EOMONTH(DATE(2025,10,1),0)
 ),
 IF(_xlpm.x=0, "-", _xlpm.x)
)</f>
        <v>-</v>
      </c>
      <c r="V42" s="65" t="str">
        <f>_xlfn.LET(
 _xlpm.x,
 _xlfn.MAXIFS(
  raw_stack!H$2:H$100000,
  raw_stack!D$2:D$100000, G42,
  raw_stack!F$2:F$100000, "Iya",
  raw_stack!G$2:G$100000, "&gt;="&amp;DATE(2025,10,1),
  raw_stack!G$2:G$100000, "&lt;="&amp;EOMONTH(DATE(2025,10,1),0)
 ),
 IF(OR(_xlpm.x=0, _xlpm.x=""), "-", _xlpm.x)
)</f>
        <v>-</v>
      </c>
      <c r="W42" s="55" t="str">
        <f>_xlfn.LET(
 _xlpm.x,
 _xlfn.MAXIFS(
  raw_stack!G$2:G$99411,
  raw_stack!D$2:D$99411, G42,
  raw_stack!F$2:F$99411, "Iya",
  raw_stack!G$2:G$99411, "&gt;="&amp;DATE(2025,11,1),
  raw_stack!G$2:G$99411, "&lt;="&amp;EOMONTH(DATE(2025,11,1),0)
 ),
 IF(_xlpm.x=0, "-", _xlpm.x)
)</f>
        <v>-</v>
      </c>
      <c r="X42" s="56" t="str">
        <f>_xlfn.LET(
 _xlpm.x,
 _xlfn.MAXIFS(
  raw_stack!H$2:H$100000,
  raw_stack!D$2:D$100000, G42,
  raw_stack!F$2:F$100000, "Iya",
  raw_stack!G$2:G$100000, "&gt;="&amp;DATE(2025,11,1),
  raw_stack!G$2:G$100000, "&lt;="&amp;EOMONTH(DATE(2025,11,1),0)
 ),
 IF(OR(_xlpm.x=0, _xlpm.x=""), "-", _xlpm.x)
)</f>
        <v>-</v>
      </c>
      <c r="Y42" s="55" t="str">
        <f>_xlfn.LET(
 _xlpm.x,
 _xlfn.MAXIFS(
  raw_stack!G$2:G$99411,
  raw_stack!D$2:D$99411, G42,
  raw_stack!F$2:F$99411, "Iya",
  raw_stack!G$2:G$99411, "&gt;="&amp;DATE(2025,12,1),
  raw_stack!G$2:G$99411, "&lt;="&amp;EOMONTH(DATE(2025,12,1),0)
 ),
 IF(_xlpm.x=0, "-", _xlpm.x)
)</f>
        <v>-</v>
      </c>
      <c r="Z42" s="56" t="str">
        <f>_xlfn.LET(
 _xlpm.x,
 _xlfn.MAXIFS(
  raw_stack!H$2:H$100000,
  raw_stack!D$2:D$100000, G42,
  raw_stack!F$2:F$100000, "Iya",
  raw_stack!G$2:G$100000, "&gt;="&amp;DATE(2025,12,1),
  raw_stack!G$2:G$100000, "&lt;="&amp;EOMONTH(DATE(2025,12,1),0)
 ),
 IF(OR(_xlpm.x=0, _xlpm.x=""), "-", _xlpm.x)
)</f>
        <v>-</v>
      </c>
      <c r="AA42" s="55" t="str">
        <f>_xlfn.LET(
 _xlpm.x,
 _xlfn.MAXIFS(
  raw_stack!G$2:G$99411,
  raw_stack!D$2:D$99411, G42,
  raw_stack!F$2:F$99411, "Iya",
  raw_stack!G$2:G$99411, "&gt;="&amp;DATE(2026,1,1),
  raw_stack!G$2:G$99411, "&lt;="&amp;EOMONTH(DATE(2026,1,1),0)
 ),
 IF(_xlpm.x=0, "-", _xlpm.x)
)</f>
        <v>-</v>
      </c>
      <c r="AB42" s="56" t="str">
        <f>_xlfn.LET(
 _xlpm.x,
 _xlfn.MAXIFS(
  raw_stack!H$2:H$100000,
  raw_stack!D$2:D$100000, G42,
  raw_stack!F$2:F$100000, "Iya",
  raw_stack!G$2:G$100000, "&gt;="&amp;DATE(2026,1,1),
  raw_stack!G$2:G$100000, "&lt;="&amp;EOMONTH(DATE(2026,1,1),0)
 ),
 IF(OR(_xlpm.x=0, _xlpm.x=""), "-", _xlpm.x)
)</f>
        <v>-</v>
      </c>
      <c r="AC42" s="55" t="str">
        <f>_xlfn.LET(
 _xlpm.x,
 _xlfn.MAXIFS(
  raw_stack!G$2:G$99411,
  raw_stack!D$2:D$99411, G42,
  raw_stack!F$2:F$99411, "Iya",
  raw_stack!G$2:G$99411, "&gt;="&amp;DATE(2026,2,1),
  raw_stack!G$2:G$99411, "&lt;="&amp;EOMONTH(DATE(2026,2,1),0)
 ),
 IF(_xlpm.x=0, "-", _xlpm.x)
)</f>
        <v>-</v>
      </c>
      <c r="AD42" s="56" t="str">
        <f>_xlfn.LET(
 _xlpm.x,
 _xlfn.MAXIFS(
  raw_stack!H$2:H$100000,
  raw_stack!D$2:D$100000, G42,
  raw_stack!F$2:F$100000, "Iya",
  raw_stack!G$2:G$100000, "&gt;="&amp;DATE(2026,2,1),
  raw_stack!G$2:G$100000, "&lt;="&amp;EOMONTH(DATE(2026,2,1),0)
 ),
 IF(OR(_xlpm.x=0, _xlpm.x=""), "-", _xlpm.x)
)</f>
        <v>-</v>
      </c>
      <c r="AE42" s="55" t="str">
        <f>_xlfn.LET(
 _xlpm.x,
 _xlfn.MAXIFS(
  raw_stack!G$2:G$100000,
  raw_stack!D$2:D$100000, G42,
  raw_stack!F$2:F$100000, "Iya",
  raw_stack!G$2:G$100000, "&gt;="&amp;DATE(2026,3,1),
  raw_stack!G$2:G$100000, "&lt;="&amp;EOMONTH(DATE(2026,3,1),0)
 ),
 IF(_xlpm.x=0, "-", _xlpm.x)
)</f>
        <v>-</v>
      </c>
      <c r="AF42" s="56" t="str">
        <f>_xlfn.LET(
 _xlpm.x,
 _xlfn.MAXIFS(
  raw_stack!H$2:H$100000,
  raw_stack!D$2:D$100000, G42,
  raw_stack!F$2:F$100000, "Iya",
  raw_stack!G$2:G$100000, "&gt;="&amp;DATE(2026,3,1),
  raw_stack!G$2:G$100000, "&lt;="&amp;EOMONTH(DATE(2026,3,1),0)
 ),
 IF(OR(_xlpm.x=0, _xlpm.x=""), "-", _xlpm.x)
)</f>
        <v>-</v>
      </c>
      <c r="AG42" s="55" t="str">
        <f>_xlfn.LET(
 _xlpm.x,
 _xlfn.MAXIFS(
  raw_stack!G$2:G$100000,
  raw_stack!D$2:D$100000, G42,
  raw_stack!F$2:F$100000, "Iya",
  raw_stack!G$2:G$100000, "&gt;="&amp;DATE(2026,4,1),
  raw_stack!G$2:G$100000, "&lt;="&amp;EOMONTH(DATE(2026,4,1),0)
 ),
 IF(_xlpm.x=0, "-", _xlpm.x)
)</f>
        <v>-</v>
      </c>
      <c r="AH42" s="56" t="str">
        <f>_xlfn.LET(
 _xlpm.x,
 _xlfn.MAXIFS(
  raw_stack!H$2:H$100000,
  raw_stack!D$2:D$100000, G42,
  raw_stack!F$2:F$100000, "Iya",
  raw_stack!G$2:G$100000, "&gt;="&amp;DATE(2026,4,1),
  raw_stack!G$2:G$100000, "&lt;="&amp;EOMONTH(DATE(2026,4,1),0)
 ),
 IF(OR(_xlpm.x=0, _xlpm.x=""), "-", _xlpm.x)
)</f>
        <v>-</v>
      </c>
    </row>
    <row r="43" spans="1:34">
      <c r="A43" s="48">
        <v>42</v>
      </c>
      <c r="B43" s="49" t="str">
        <f t="shared" si="0"/>
        <v>95425</v>
      </c>
      <c r="C43" s="50" t="s">
        <v>46</v>
      </c>
      <c r="D43" s="51" t="s">
        <v>493</v>
      </c>
      <c r="E43" s="51" t="s">
        <v>53</v>
      </c>
      <c r="F43" s="49" t="s">
        <v>117</v>
      </c>
      <c r="G43" s="49" t="s">
        <v>159</v>
      </c>
      <c r="H43" s="49" t="s">
        <v>48</v>
      </c>
      <c r="I43" s="49" t="s">
        <v>52</v>
      </c>
      <c r="J43" s="52">
        <v>5575000</v>
      </c>
      <c r="K43" s="53">
        <v>45069</v>
      </c>
      <c r="L43" s="53">
        <v>46164</v>
      </c>
      <c r="M43" s="53">
        <v>46075</v>
      </c>
      <c r="N43" s="49" t="s">
        <v>50</v>
      </c>
      <c r="O43" s="54" t="str">
        <f>_xlfn.LET(
 _xlpm.x,
 _xlfn.MAXIFS(
  raw_stack!G$2:G$100000,
  raw_stack!D$2:D$100000, G43,
  raw_stack!F$2:F$100000, "Iya",
  raw_stack!G$2:G$100000, "&gt;="&amp;DATE(2025,7,1),
  raw_stack!G$2:G$100000, "&lt;="&amp;EOMONTH(DATE(2025,7,1),0)
 ),
 IF(_xlpm.x=0, "-", _xlpm.x)
)</f>
        <v>-</v>
      </c>
      <c r="P43" s="65" t="str">
        <f>_xlfn.LET(
 _xlpm.x,
 _xlfn.MAXIFS(
  raw_stack!H$2:H$100000,
  raw_stack!D$2:D$100000, G43,
  raw_stack!F$2:F$100000, "Iya",
  raw_stack!G$2:G$100000, "&gt;="&amp;DATE(2025,7,1),
  raw_stack!G$2:G$100000, "&lt;="&amp;EOMONTH(DATE(2025,7,1),0)
 ),
 IF(OR(_xlpm.x=0, _xlpm.x=""), "-", _xlpm.x)
)</f>
        <v>-</v>
      </c>
      <c r="Q43" s="54" t="str">
        <f>_xlfn.LET(
 _xlpm.x,
 _xlfn.MAXIFS(
  raw_stack!G$2:G$99411,
  raw_stack!D$2:D$99411, G43,
  raw_stack!F$2:F$99411, "Iya",
  raw_stack!G$2:G$99411, "&gt;="&amp;DATE(2025,8,1),
  raw_stack!G$2:G$99411, "&lt;="&amp;EOMONTH(DATE(2025,8,1),0)
 ),
 IF(_xlpm.x=0, "-", _xlpm.x)
)</f>
        <v>-</v>
      </c>
      <c r="R43" s="65" t="str">
        <f>_xlfn.LET(
 _xlpm.x,
 _xlfn.MAXIFS(
  raw_stack!H$2:H$100000,
  raw_stack!D$2:D$100000, G43,
  raw_stack!F$2:F$100000, "Iya",
  raw_stack!G$2:G$100000, "&gt;="&amp;DATE(2025,8,1),
  raw_stack!G$2:G$100000, "&lt;="&amp;EOMONTH(DATE(2025,8,1),0)
 ),
 IF(OR(_xlpm.x=0, _xlpm.x=""), "-", _xlpm.x)
)</f>
        <v>-</v>
      </c>
      <c r="S43" s="54" t="str">
        <f>_xlfn.LET(
 _xlpm.x,
 _xlfn.MAXIFS(
  raw_stack!G$2:G$99411,
  raw_stack!D$2:D$99411, G43,
  raw_stack!F$2:F$99411, "Iya",
  raw_stack!G$2:G$99411, "&gt;="&amp;DATE(2025,9,1),
  raw_stack!G$2:G$99411, "&lt;="&amp;EOMONTH(DATE(2025,9,1),0)
 ),
 IF(_xlpm.x=0, "-", _xlpm.x)
)</f>
        <v>-</v>
      </c>
      <c r="T43" s="65" t="str">
        <f>_xlfn.LET(
 _xlpm.x,
 _xlfn.MAXIFS(
  raw_stack!H$2:H$100000,
  raw_stack!D$2:D$100000, G43,
  raw_stack!F$2:F$100000, "Iya",
  raw_stack!G$2:G$100000, "&gt;="&amp;DATE(2025,9,1),
  raw_stack!G$2:G$100000, "&lt;="&amp;EOMONTH(DATE(2025,9,1),0)
 ),
 IF(OR(_xlpm.x=0, _xlpm.x=""), "-", _xlpm.x)
)</f>
        <v>-</v>
      </c>
      <c r="U43" s="54" t="str">
        <f>_xlfn.LET(
 _xlpm.x,
 _xlfn.MAXIFS(
  raw_stack!G$2:G$99411,
  raw_stack!D$2:D$99411, G43,
  raw_stack!F$2:F$99411, "Iya",
  raw_stack!G$2:G$99411, "&gt;="&amp;DATE(2025,10,1),
  raw_stack!G$2:G$99411, "&lt;="&amp;EOMONTH(DATE(2025,10,1),0)
 ),
 IF(_xlpm.x=0, "-", _xlpm.x)
)</f>
        <v>-</v>
      </c>
      <c r="V43" s="65" t="str">
        <f>_xlfn.LET(
 _xlpm.x,
 _xlfn.MAXIFS(
  raw_stack!H$2:H$100000,
  raw_stack!D$2:D$100000, G43,
  raw_stack!F$2:F$100000, "Iya",
  raw_stack!G$2:G$100000, "&gt;="&amp;DATE(2025,10,1),
  raw_stack!G$2:G$100000, "&lt;="&amp;EOMONTH(DATE(2025,10,1),0)
 ),
 IF(OR(_xlpm.x=0, _xlpm.x=""), "-", _xlpm.x)
)</f>
        <v>-</v>
      </c>
      <c r="W43" s="55" t="str">
        <f>_xlfn.LET(
 _xlpm.x,
 _xlfn.MAXIFS(
  raw_stack!G$2:G$99411,
  raw_stack!D$2:D$99411, G43,
  raw_stack!F$2:F$99411, "Iya",
  raw_stack!G$2:G$99411, "&gt;="&amp;DATE(2025,11,1),
  raw_stack!G$2:G$99411, "&lt;="&amp;EOMONTH(DATE(2025,11,1),0)
 ),
 IF(_xlpm.x=0, "-", _xlpm.x)
)</f>
        <v>-</v>
      </c>
      <c r="X43" s="56" t="str">
        <f>_xlfn.LET(
 _xlpm.x,
 _xlfn.MAXIFS(
  raw_stack!H$2:H$100000,
  raw_stack!D$2:D$100000, G43,
  raw_stack!F$2:F$100000, "Iya",
  raw_stack!G$2:G$100000, "&gt;="&amp;DATE(2025,11,1),
  raw_stack!G$2:G$100000, "&lt;="&amp;EOMONTH(DATE(2025,11,1),0)
 ),
 IF(OR(_xlpm.x=0, _xlpm.x=""), "-", _xlpm.x)
)</f>
        <v>-</v>
      </c>
      <c r="Y43" s="55" t="str">
        <f>_xlfn.LET(
 _xlpm.x,
 _xlfn.MAXIFS(
  raw_stack!G$2:G$99411,
  raw_stack!D$2:D$99411, G43,
  raw_stack!F$2:F$99411, "Iya",
  raw_stack!G$2:G$99411, "&gt;="&amp;DATE(2025,12,1),
  raw_stack!G$2:G$99411, "&lt;="&amp;EOMONTH(DATE(2025,12,1),0)
 ),
 IF(_xlpm.x=0, "-", _xlpm.x)
)</f>
        <v>-</v>
      </c>
      <c r="Z43" s="56" t="str">
        <f>_xlfn.LET(
 _xlpm.x,
 _xlfn.MAXIFS(
  raw_stack!H$2:H$100000,
  raw_stack!D$2:D$100000, G43,
  raw_stack!F$2:F$100000, "Iya",
  raw_stack!G$2:G$100000, "&gt;="&amp;DATE(2025,12,1),
  raw_stack!G$2:G$100000, "&lt;="&amp;EOMONTH(DATE(2025,12,1),0)
 ),
 IF(OR(_xlpm.x=0, _xlpm.x=""), "-", _xlpm.x)
)</f>
        <v>-</v>
      </c>
      <c r="AA43" s="55">
        <f>_xlfn.LET(
 _xlpm.x,
 _xlfn.MAXIFS(
  raw_stack!G$2:G$99411,
  raw_stack!D$2:D$99411, G43,
  raw_stack!F$2:F$99411, "Iya",
  raw_stack!G$2:G$99411, "&gt;="&amp;DATE(2026,1,1),
  raw_stack!G$2:G$99411, "&lt;="&amp;EOMONTH(DATE(2026,1,1),0)
 ),
 IF(_xlpm.x=0, "-", _xlpm.x)
)</f>
        <v>46042</v>
      </c>
      <c r="AB43" s="56">
        <f>_xlfn.LET(
 _xlpm.x,
 _xlfn.MAXIFS(
  raw_stack!H$2:H$100000,
  raw_stack!D$2:D$100000, G43,
  raw_stack!F$2:F$100000, "Iya",
  raw_stack!G$2:G$100000, "&gt;="&amp;DATE(2026,1,1),
  raw_stack!G$2:G$100000, "&lt;="&amp;EOMONTH(DATE(2026,1,1),0)
 ),
 IF(OR(_xlpm.x=0, _xlpm.x=""), "-", _xlpm.x)
)</f>
        <v>43635</v>
      </c>
      <c r="AC43" s="55" t="str">
        <f>_xlfn.LET(
 _xlpm.x,
 _xlfn.MAXIFS(
  raw_stack!G$2:G$99411,
  raw_stack!D$2:D$99411, G43,
  raw_stack!F$2:F$99411, "Iya",
  raw_stack!G$2:G$99411, "&gt;="&amp;DATE(2026,2,1),
  raw_stack!G$2:G$99411, "&lt;="&amp;EOMONTH(DATE(2026,2,1),0)
 ),
 IF(_xlpm.x=0, "-", _xlpm.x)
)</f>
        <v>-</v>
      </c>
      <c r="AD43" s="56" t="str">
        <f>_xlfn.LET(
 _xlpm.x,
 _xlfn.MAXIFS(
  raw_stack!H$2:H$100000,
  raw_stack!D$2:D$100000, G43,
  raw_stack!F$2:F$100000, "Iya",
  raw_stack!G$2:G$100000, "&gt;="&amp;DATE(2026,2,1),
  raw_stack!G$2:G$100000, "&lt;="&amp;EOMONTH(DATE(2026,2,1),0)
 ),
 IF(OR(_xlpm.x=0, _xlpm.x=""), "-", _xlpm.x)
)</f>
        <v>-</v>
      </c>
      <c r="AE43" s="55" t="str">
        <f>_xlfn.LET(
 _xlpm.x,
 _xlfn.MAXIFS(
  raw_stack!G$2:G$100000,
  raw_stack!D$2:D$100000, G43,
  raw_stack!F$2:F$100000, "Iya",
  raw_stack!G$2:G$100000, "&gt;="&amp;DATE(2026,3,1),
  raw_stack!G$2:G$100000, "&lt;="&amp;EOMONTH(DATE(2026,3,1),0)
 ),
 IF(_xlpm.x=0, "-", _xlpm.x)
)</f>
        <v>-</v>
      </c>
      <c r="AF43" s="56" t="str">
        <f>_xlfn.LET(
 _xlpm.x,
 _xlfn.MAXIFS(
  raw_stack!H$2:H$100000,
  raw_stack!D$2:D$100000, G43,
  raw_stack!F$2:F$100000, "Iya",
  raw_stack!G$2:G$100000, "&gt;="&amp;DATE(2026,3,1),
  raw_stack!G$2:G$100000, "&lt;="&amp;EOMONTH(DATE(2026,3,1),0)
 ),
 IF(OR(_xlpm.x=0, _xlpm.x=""), "-", _xlpm.x)
)</f>
        <v>-</v>
      </c>
      <c r="AG43" s="55" t="str">
        <f>_xlfn.LET(
 _xlpm.x,
 _xlfn.MAXIFS(
  raw_stack!G$2:G$100000,
  raw_stack!D$2:D$100000, G43,
  raw_stack!F$2:F$100000, "Iya",
  raw_stack!G$2:G$100000, "&gt;="&amp;DATE(2026,4,1),
  raw_stack!G$2:G$100000, "&lt;="&amp;EOMONTH(DATE(2026,4,1),0)
 ),
 IF(_xlpm.x=0, "-", _xlpm.x)
)</f>
        <v>-</v>
      </c>
      <c r="AH43" s="56" t="str">
        <f>_xlfn.LET(
 _xlpm.x,
 _xlfn.MAXIFS(
  raw_stack!H$2:H$100000,
  raw_stack!D$2:D$100000, G43,
  raw_stack!F$2:F$100000, "Iya",
  raw_stack!G$2:G$100000, "&gt;="&amp;DATE(2026,4,1),
  raw_stack!G$2:G$100000, "&lt;="&amp;EOMONTH(DATE(2026,4,1),0)
 ),
 IF(OR(_xlpm.x=0, _xlpm.x=""), "-", _xlpm.x)
)</f>
        <v>-</v>
      </c>
    </row>
    <row r="44" spans="1:34">
      <c r="A44" s="48">
        <v>43</v>
      </c>
      <c r="B44" s="49" t="str">
        <f t="shared" si="0"/>
        <v>14028</v>
      </c>
      <c r="C44" s="50" t="s">
        <v>46</v>
      </c>
      <c r="D44" s="51" t="s">
        <v>494</v>
      </c>
      <c r="E44" s="51" t="s">
        <v>56</v>
      </c>
      <c r="F44" s="49" t="s">
        <v>117</v>
      </c>
      <c r="G44" s="49" t="s">
        <v>160</v>
      </c>
      <c r="H44" s="49" t="s">
        <v>48</v>
      </c>
      <c r="I44" s="49" t="s">
        <v>52</v>
      </c>
      <c r="J44" s="52">
        <v>6415000</v>
      </c>
      <c r="K44" s="53">
        <v>45984</v>
      </c>
      <c r="L44" s="53">
        <v>46164</v>
      </c>
      <c r="M44" s="53">
        <v>46044</v>
      </c>
      <c r="N44" s="49" t="s">
        <v>50</v>
      </c>
      <c r="O44" s="54">
        <f>_xlfn.LET(
 _xlpm.x,
 _xlfn.MAXIFS(
  raw_stack!G$2:G$100000,
  raw_stack!D$2:D$100000, G44,
  raw_stack!F$2:F$100000, "Iya",
  raw_stack!G$2:G$100000, "&gt;="&amp;DATE(2025,7,1),
  raw_stack!G$2:G$100000, "&lt;="&amp;EOMONTH(DATE(2025,7,1),0)
 ),
 IF(_xlpm.x=0, "-", _xlpm.x)
)</f>
        <v>45866</v>
      </c>
      <c r="P44" s="65">
        <f>_xlfn.LET(
 _xlpm.x,
 _xlfn.MAXIFS(
  raw_stack!H$2:H$100000,
  raw_stack!D$2:D$100000, G44,
  raw_stack!F$2:F$100000, "Iya",
  raw_stack!G$2:G$100000, "&gt;="&amp;DATE(2025,7,1),
  raw_stack!G$2:G$100000, "&lt;="&amp;EOMONTH(DATE(2025,7,1),0)
 ),
 IF(OR(_xlpm.x=0, _xlpm.x=""), "-", _xlpm.x)
)</f>
        <v>36935</v>
      </c>
      <c r="Q44" s="54" t="str">
        <f>_xlfn.LET(
 _xlpm.x,
 _xlfn.MAXIFS(
  raw_stack!G$2:G$99411,
  raw_stack!D$2:D$99411, G44,
  raw_stack!F$2:F$99411, "Iya",
  raw_stack!G$2:G$99411, "&gt;="&amp;DATE(2025,8,1),
  raw_stack!G$2:G$99411, "&lt;="&amp;EOMONTH(DATE(2025,8,1),0)
 ),
 IF(_xlpm.x=0, "-", _xlpm.x)
)</f>
        <v>-</v>
      </c>
      <c r="R44" s="65" t="str">
        <f>_xlfn.LET(
 _xlpm.x,
 _xlfn.MAXIFS(
  raw_stack!H$2:H$100000,
  raw_stack!D$2:D$100000, G44,
  raw_stack!F$2:F$100000, "Iya",
  raw_stack!G$2:G$100000, "&gt;="&amp;DATE(2025,8,1),
  raw_stack!G$2:G$100000, "&lt;="&amp;EOMONTH(DATE(2025,8,1),0)
 ),
 IF(OR(_xlpm.x=0, _xlpm.x=""), "-", _xlpm.x)
)</f>
        <v>-</v>
      </c>
      <c r="S44" s="54" t="str">
        <f>_xlfn.LET(
 _xlpm.x,
 _xlfn.MAXIFS(
  raw_stack!G$2:G$99411,
  raw_stack!D$2:D$99411, G44,
  raw_stack!F$2:F$99411, "Iya",
  raw_stack!G$2:G$99411, "&gt;="&amp;DATE(2025,9,1),
  raw_stack!G$2:G$99411, "&lt;="&amp;EOMONTH(DATE(2025,9,1),0)
 ),
 IF(_xlpm.x=0, "-", _xlpm.x)
)</f>
        <v>-</v>
      </c>
      <c r="T44" s="65" t="str">
        <f>_xlfn.LET(
 _xlpm.x,
 _xlfn.MAXIFS(
  raw_stack!H$2:H$100000,
  raw_stack!D$2:D$100000, G44,
  raw_stack!F$2:F$100000, "Iya",
  raw_stack!G$2:G$100000, "&gt;="&amp;DATE(2025,9,1),
  raw_stack!G$2:G$100000, "&lt;="&amp;EOMONTH(DATE(2025,9,1),0)
 ),
 IF(OR(_xlpm.x=0, _xlpm.x=""), "-", _xlpm.x)
)</f>
        <v>-</v>
      </c>
      <c r="U44" s="54" t="str">
        <f>_xlfn.LET(
 _xlpm.x,
 _xlfn.MAXIFS(
  raw_stack!G$2:G$99411,
  raw_stack!D$2:D$99411, G44,
  raw_stack!F$2:F$99411, "Iya",
  raw_stack!G$2:G$99411, "&gt;="&amp;DATE(2025,10,1),
  raw_stack!G$2:G$99411, "&lt;="&amp;EOMONTH(DATE(2025,10,1),0)
 ),
 IF(_xlpm.x=0, "-", _xlpm.x)
)</f>
        <v>-</v>
      </c>
      <c r="V44" s="65" t="str">
        <f>_xlfn.LET(
 _xlpm.x,
 _xlfn.MAXIFS(
  raw_stack!H$2:H$100000,
  raw_stack!D$2:D$100000, G44,
  raw_stack!F$2:F$100000, "Iya",
  raw_stack!G$2:G$100000, "&gt;="&amp;DATE(2025,10,1),
  raw_stack!G$2:G$100000, "&lt;="&amp;EOMONTH(DATE(2025,10,1),0)
 ),
 IF(OR(_xlpm.x=0, _xlpm.x=""), "-", _xlpm.x)
)</f>
        <v>-</v>
      </c>
      <c r="W44" s="55" t="str">
        <f>_xlfn.LET(
 _xlpm.x,
 _xlfn.MAXIFS(
  raw_stack!G$2:G$99411,
  raw_stack!D$2:D$99411, G44,
  raw_stack!F$2:F$99411, "Iya",
  raw_stack!G$2:G$99411, "&gt;="&amp;DATE(2025,11,1),
  raw_stack!G$2:G$99411, "&lt;="&amp;EOMONTH(DATE(2025,11,1),0)
 ),
 IF(_xlpm.x=0, "-", _xlpm.x)
)</f>
        <v>-</v>
      </c>
      <c r="X44" s="56" t="str">
        <f>_xlfn.LET(
 _xlpm.x,
 _xlfn.MAXIFS(
  raw_stack!H$2:H$100000,
  raw_stack!D$2:D$100000, G44,
  raw_stack!F$2:F$100000, "Iya",
  raw_stack!G$2:G$100000, "&gt;="&amp;DATE(2025,11,1),
  raw_stack!G$2:G$100000, "&lt;="&amp;EOMONTH(DATE(2025,11,1),0)
 ),
 IF(OR(_xlpm.x=0, _xlpm.x=""), "-", _xlpm.x)
)</f>
        <v>-</v>
      </c>
      <c r="Y44" s="55" t="str">
        <f>_xlfn.LET(
 _xlpm.x,
 _xlfn.MAXIFS(
  raw_stack!G$2:G$99411,
  raw_stack!D$2:D$99411, G44,
  raw_stack!F$2:F$99411, "Iya",
  raw_stack!G$2:G$99411, "&gt;="&amp;DATE(2025,12,1),
  raw_stack!G$2:G$99411, "&lt;="&amp;EOMONTH(DATE(2025,12,1),0)
 ),
 IF(_xlpm.x=0, "-", _xlpm.x)
)</f>
        <v>-</v>
      </c>
      <c r="Z44" s="56" t="str">
        <f>_xlfn.LET(
 _xlpm.x,
 _xlfn.MAXIFS(
  raw_stack!H$2:H$100000,
  raw_stack!D$2:D$100000, G44,
  raw_stack!F$2:F$100000, "Iya",
  raw_stack!G$2:G$100000, "&gt;="&amp;DATE(2025,12,1),
  raw_stack!G$2:G$100000, "&lt;="&amp;EOMONTH(DATE(2025,12,1),0)
 ),
 IF(OR(_xlpm.x=0, _xlpm.x=""), "-", _xlpm.x)
)</f>
        <v>-</v>
      </c>
      <c r="AA44" s="55" t="str">
        <f>_xlfn.LET(
 _xlpm.x,
 _xlfn.MAXIFS(
  raw_stack!G$2:G$99411,
  raw_stack!D$2:D$99411, G44,
  raw_stack!F$2:F$99411, "Iya",
  raw_stack!G$2:G$99411, "&gt;="&amp;DATE(2026,1,1),
  raw_stack!G$2:G$99411, "&lt;="&amp;EOMONTH(DATE(2026,1,1),0)
 ),
 IF(_xlpm.x=0, "-", _xlpm.x)
)</f>
        <v>-</v>
      </c>
      <c r="AB44" s="56" t="str">
        <f>_xlfn.LET(
 _xlpm.x,
 _xlfn.MAXIFS(
  raw_stack!H$2:H$100000,
  raw_stack!D$2:D$100000, G44,
  raw_stack!F$2:F$100000, "Iya",
  raw_stack!G$2:G$100000, "&gt;="&amp;DATE(2026,1,1),
  raw_stack!G$2:G$100000, "&lt;="&amp;EOMONTH(DATE(2026,1,1),0)
 ),
 IF(OR(_xlpm.x=0, _xlpm.x=""), "-", _xlpm.x)
)</f>
        <v>-</v>
      </c>
      <c r="AC44" s="55" t="str">
        <f>_xlfn.LET(
 _xlpm.x,
 _xlfn.MAXIFS(
  raw_stack!G$2:G$99411,
  raw_stack!D$2:D$99411, G44,
  raw_stack!F$2:F$99411, "Iya",
  raw_stack!G$2:G$99411, "&gt;="&amp;DATE(2026,2,1),
  raw_stack!G$2:G$99411, "&lt;="&amp;EOMONTH(DATE(2026,2,1),0)
 ),
 IF(_xlpm.x=0, "-", _xlpm.x)
)</f>
        <v>-</v>
      </c>
      <c r="AD44" s="56" t="str">
        <f>_xlfn.LET(
 _xlpm.x,
 _xlfn.MAXIFS(
  raw_stack!H$2:H$100000,
  raw_stack!D$2:D$100000, G44,
  raw_stack!F$2:F$100000, "Iya",
  raw_stack!G$2:G$100000, "&gt;="&amp;DATE(2026,2,1),
  raw_stack!G$2:G$100000, "&lt;="&amp;EOMONTH(DATE(2026,2,1),0)
 ),
 IF(OR(_xlpm.x=0, _xlpm.x=""), "-", _xlpm.x)
)</f>
        <v>-</v>
      </c>
      <c r="AE44" s="55" t="str">
        <f>_xlfn.LET(
 _xlpm.x,
 _xlfn.MAXIFS(
  raw_stack!G$2:G$100000,
  raw_stack!D$2:D$100000, G44,
  raw_stack!F$2:F$100000, "Iya",
  raw_stack!G$2:G$100000, "&gt;="&amp;DATE(2026,3,1),
  raw_stack!G$2:G$100000, "&lt;="&amp;EOMONTH(DATE(2026,3,1),0)
 ),
 IF(_xlpm.x=0, "-", _xlpm.x)
)</f>
        <v>-</v>
      </c>
      <c r="AF44" s="56" t="str">
        <f>_xlfn.LET(
 _xlpm.x,
 _xlfn.MAXIFS(
  raw_stack!H$2:H$100000,
  raw_stack!D$2:D$100000, G44,
  raw_stack!F$2:F$100000, "Iya",
  raw_stack!G$2:G$100000, "&gt;="&amp;DATE(2026,3,1),
  raw_stack!G$2:G$100000, "&lt;="&amp;EOMONTH(DATE(2026,3,1),0)
 ),
 IF(OR(_xlpm.x=0, _xlpm.x=""), "-", _xlpm.x)
)</f>
        <v>-</v>
      </c>
      <c r="AG44" s="55" t="str">
        <f>_xlfn.LET(
 _xlpm.x,
 _xlfn.MAXIFS(
  raw_stack!G$2:G$100000,
  raw_stack!D$2:D$100000, G44,
  raw_stack!F$2:F$100000, "Iya",
  raw_stack!G$2:G$100000, "&gt;="&amp;DATE(2026,4,1),
  raw_stack!G$2:G$100000, "&lt;="&amp;EOMONTH(DATE(2026,4,1),0)
 ),
 IF(_xlpm.x=0, "-", _xlpm.x)
)</f>
        <v>-</v>
      </c>
      <c r="AH44" s="56" t="str">
        <f>_xlfn.LET(
 _xlpm.x,
 _xlfn.MAXIFS(
  raw_stack!H$2:H$100000,
  raw_stack!D$2:D$100000, G44,
  raw_stack!F$2:F$100000, "Iya",
  raw_stack!G$2:G$100000, "&gt;="&amp;DATE(2026,4,1),
  raw_stack!G$2:G$100000, "&lt;="&amp;EOMONTH(DATE(2026,4,1),0)
 ),
 IF(OR(_xlpm.x=0, _xlpm.x=""), "-", _xlpm.x)
)</f>
        <v>-</v>
      </c>
    </row>
    <row r="45" spans="1:34">
      <c r="A45" s="48">
        <v>44</v>
      </c>
      <c r="B45" s="49" t="str">
        <f t="shared" si="0"/>
        <v>88046</v>
      </c>
      <c r="C45" s="50" t="s">
        <v>46</v>
      </c>
      <c r="D45" s="51" t="s">
        <v>495</v>
      </c>
      <c r="E45" s="51" t="s">
        <v>53</v>
      </c>
      <c r="F45" s="49" t="s">
        <v>117</v>
      </c>
      <c r="G45" s="49" t="s">
        <v>161</v>
      </c>
      <c r="H45" s="49" t="s">
        <v>48</v>
      </c>
      <c r="I45" s="49" t="s">
        <v>52</v>
      </c>
      <c r="J45" s="52">
        <v>3850000</v>
      </c>
      <c r="K45" s="53">
        <v>45070</v>
      </c>
      <c r="L45" s="53">
        <v>46165</v>
      </c>
      <c r="M45" s="53">
        <v>46104</v>
      </c>
      <c r="N45" s="49" t="s">
        <v>50</v>
      </c>
      <c r="O45" s="54">
        <f>_xlfn.LET(
 _xlpm.x,
 _xlfn.MAXIFS(
  raw_stack!G$2:G$100000,
  raw_stack!D$2:D$100000, G45,
  raw_stack!F$2:F$100000, "Iya",
  raw_stack!G$2:G$100000, "&gt;="&amp;DATE(2025,7,1),
  raw_stack!G$2:G$100000, "&lt;="&amp;EOMONTH(DATE(2025,7,1),0)
 ),
 IF(_xlpm.x=0, "-", _xlpm.x)
)</f>
        <v>45841</v>
      </c>
      <c r="P45" s="65">
        <f>_xlfn.LET(
 _xlpm.x,
 _xlfn.MAXIFS(
  raw_stack!H$2:H$100000,
  raw_stack!D$2:D$100000, G45,
  raw_stack!F$2:F$100000, "Iya",
  raw_stack!G$2:G$100000, "&gt;="&amp;DATE(2025,7,1),
  raw_stack!G$2:G$100000, "&lt;="&amp;EOMONTH(DATE(2025,7,1),0)
 ),
 IF(OR(_xlpm.x=0, _xlpm.x=""), "-", _xlpm.x)
)</f>
        <v>27581</v>
      </c>
      <c r="Q45" s="54" t="str">
        <f>_xlfn.LET(
 _xlpm.x,
 _xlfn.MAXIFS(
  raw_stack!G$2:G$99411,
  raw_stack!D$2:D$99411, G45,
  raw_stack!F$2:F$99411, "Iya",
  raw_stack!G$2:G$99411, "&gt;="&amp;DATE(2025,8,1),
  raw_stack!G$2:G$99411, "&lt;="&amp;EOMONTH(DATE(2025,8,1),0)
 ),
 IF(_xlpm.x=0, "-", _xlpm.x)
)</f>
        <v>-</v>
      </c>
      <c r="R45" s="65" t="str">
        <f>_xlfn.LET(
 _xlpm.x,
 _xlfn.MAXIFS(
  raw_stack!H$2:H$100000,
  raw_stack!D$2:D$100000, G45,
  raw_stack!F$2:F$100000, "Iya",
  raw_stack!G$2:G$100000, "&gt;="&amp;DATE(2025,8,1),
  raw_stack!G$2:G$100000, "&lt;="&amp;EOMONTH(DATE(2025,8,1),0)
 ),
 IF(OR(_xlpm.x=0, _xlpm.x=""), "-", _xlpm.x)
)</f>
        <v>-</v>
      </c>
      <c r="S45" s="54" t="str">
        <f>_xlfn.LET(
 _xlpm.x,
 _xlfn.MAXIFS(
  raw_stack!G$2:G$99411,
  raw_stack!D$2:D$99411, G45,
  raw_stack!F$2:F$99411, "Iya",
  raw_stack!G$2:G$99411, "&gt;="&amp;DATE(2025,9,1),
  raw_stack!G$2:G$99411, "&lt;="&amp;EOMONTH(DATE(2025,9,1),0)
 ),
 IF(_xlpm.x=0, "-", _xlpm.x)
)</f>
        <v>-</v>
      </c>
      <c r="T45" s="65" t="str">
        <f>_xlfn.LET(
 _xlpm.x,
 _xlfn.MAXIFS(
  raw_stack!H$2:H$100000,
  raw_stack!D$2:D$100000, G45,
  raw_stack!F$2:F$100000, "Iya",
  raw_stack!G$2:G$100000, "&gt;="&amp;DATE(2025,9,1),
  raw_stack!G$2:G$100000, "&lt;="&amp;EOMONTH(DATE(2025,9,1),0)
 ),
 IF(OR(_xlpm.x=0, _xlpm.x=""), "-", _xlpm.x)
)</f>
        <v>-</v>
      </c>
      <c r="U45" s="54">
        <f>_xlfn.LET(
 _xlpm.x,
 _xlfn.MAXIFS(
  raw_stack!G$2:G$99411,
  raw_stack!D$2:D$99411, G45,
  raw_stack!F$2:F$99411, "Iya",
  raw_stack!G$2:G$99411, "&gt;="&amp;DATE(2025,10,1),
  raw_stack!G$2:G$99411, "&lt;="&amp;EOMONTH(DATE(2025,10,1),0)
 ),
 IF(_xlpm.x=0, "-", _xlpm.x)
)</f>
        <v>45953</v>
      </c>
      <c r="V45" s="65">
        <f>_xlfn.LET(
 _xlpm.x,
 _xlfn.MAXIFS(
  raw_stack!H$2:H$100000,
  raw_stack!D$2:D$100000, G45,
  raw_stack!F$2:F$100000, "Iya",
  raw_stack!G$2:G$100000, "&gt;="&amp;DATE(2025,10,1),
  raw_stack!G$2:G$100000, "&lt;="&amp;EOMONTH(DATE(2025,10,1),0)
 ),
 IF(OR(_xlpm.x=0, _xlpm.x=""), "-", _xlpm.x)
)</f>
        <v>29882</v>
      </c>
      <c r="W45" s="55" t="str">
        <f>_xlfn.LET(
 _xlpm.x,
 _xlfn.MAXIFS(
  raw_stack!G$2:G$99411,
  raw_stack!D$2:D$99411, G45,
  raw_stack!F$2:F$99411, "Iya",
  raw_stack!G$2:G$99411, "&gt;="&amp;DATE(2025,11,1),
  raw_stack!G$2:G$99411, "&lt;="&amp;EOMONTH(DATE(2025,11,1),0)
 ),
 IF(_xlpm.x=0, "-", _xlpm.x)
)</f>
        <v>-</v>
      </c>
      <c r="X45" s="56" t="str">
        <f>_xlfn.LET(
 _xlpm.x,
 _xlfn.MAXIFS(
  raw_stack!H$2:H$100000,
  raw_stack!D$2:D$100000, G45,
  raw_stack!F$2:F$100000, "Iya",
  raw_stack!G$2:G$100000, "&gt;="&amp;DATE(2025,11,1),
  raw_stack!G$2:G$100000, "&lt;="&amp;EOMONTH(DATE(2025,11,1),0)
 ),
 IF(OR(_xlpm.x=0, _xlpm.x=""), "-", _xlpm.x)
)</f>
        <v>-</v>
      </c>
      <c r="Y45" s="55" t="str">
        <f>_xlfn.LET(
 _xlpm.x,
 _xlfn.MAXIFS(
  raw_stack!G$2:G$99411,
  raw_stack!D$2:D$99411, G45,
  raw_stack!F$2:F$99411, "Iya",
  raw_stack!G$2:G$99411, "&gt;="&amp;DATE(2025,12,1),
  raw_stack!G$2:G$99411, "&lt;="&amp;EOMONTH(DATE(2025,12,1),0)
 ),
 IF(_xlpm.x=0, "-", _xlpm.x)
)</f>
        <v>-</v>
      </c>
      <c r="Z45" s="56" t="str">
        <f>_xlfn.LET(
 _xlpm.x,
 _xlfn.MAXIFS(
  raw_stack!H$2:H$100000,
  raw_stack!D$2:D$100000, G45,
  raw_stack!F$2:F$100000, "Iya",
  raw_stack!G$2:G$100000, "&gt;="&amp;DATE(2025,12,1),
  raw_stack!G$2:G$100000, "&lt;="&amp;EOMONTH(DATE(2025,12,1),0)
 ),
 IF(OR(_xlpm.x=0, _xlpm.x=""), "-", _xlpm.x)
)</f>
        <v>-</v>
      </c>
      <c r="AA45" s="55" t="str">
        <f>_xlfn.LET(
 _xlpm.x,
 _xlfn.MAXIFS(
  raw_stack!G$2:G$99411,
  raw_stack!D$2:D$99411, G45,
  raw_stack!F$2:F$99411, "Iya",
  raw_stack!G$2:G$99411, "&gt;="&amp;DATE(2026,1,1),
  raw_stack!G$2:G$99411, "&lt;="&amp;EOMONTH(DATE(2026,1,1),0)
 ),
 IF(_xlpm.x=0, "-", _xlpm.x)
)</f>
        <v>-</v>
      </c>
      <c r="AB45" s="56" t="str">
        <f>_xlfn.LET(
 _xlpm.x,
 _xlfn.MAXIFS(
  raw_stack!H$2:H$100000,
  raw_stack!D$2:D$100000, G45,
  raw_stack!F$2:F$100000, "Iya",
  raw_stack!G$2:G$100000, "&gt;="&amp;DATE(2026,1,1),
  raw_stack!G$2:G$100000, "&lt;="&amp;EOMONTH(DATE(2026,1,1),0)
 ),
 IF(OR(_xlpm.x=0, _xlpm.x=""), "-", _xlpm.x)
)</f>
        <v>-</v>
      </c>
      <c r="AC45" s="55" t="str">
        <f>_xlfn.LET(
 _xlpm.x,
 _xlfn.MAXIFS(
  raw_stack!G$2:G$99411,
  raw_stack!D$2:D$99411, G45,
  raw_stack!F$2:F$99411, "Iya",
  raw_stack!G$2:G$99411, "&gt;="&amp;DATE(2026,2,1),
  raw_stack!G$2:G$99411, "&lt;="&amp;EOMONTH(DATE(2026,2,1),0)
 ),
 IF(_xlpm.x=0, "-", _xlpm.x)
)</f>
        <v>-</v>
      </c>
      <c r="AD45" s="56" t="str">
        <f>_xlfn.LET(
 _xlpm.x,
 _xlfn.MAXIFS(
  raw_stack!H$2:H$100000,
  raw_stack!D$2:D$100000, G45,
  raw_stack!F$2:F$100000, "Iya",
  raw_stack!G$2:G$100000, "&gt;="&amp;DATE(2026,2,1),
  raw_stack!G$2:G$100000, "&lt;="&amp;EOMONTH(DATE(2026,2,1),0)
 ),
 IF(OR(_xlpm.x=0, _xlpm.x=""), "-", _xlpm.x)
)</f>
        <v>-</v>
      </c>
      <c r="AE45" s="55" t="str">
        <f>_xlfn.LET(
 _xlpm.x,
 _xlfn.MAXIFS(
  raw_stack!G$2:G$100000,
  raw_stack!D$2:D$100000, G45,
  raw_stack!F$2:F$100000, "Iya",
  raw_stack!G$2:G$100000, "&gt;="&amp;DATE(2026,3,1),
  raw_stack!G$2:G$100000, "&lt;="&amp;EOMONTH(DATE(2026,3,1),0)
 ),
 IF(_xlpm.x=0, "-", _xlpm.x)
)</f>
        <v>-</v>
      </c>
      <c r="AF45" s="56" t="str">
        <f>_xlfn.LET(
 _xlpm.x,
 _xlfn.MAXIFS(
  raw_stack!H$2:H$100000,
  raw_stack!D$2:D$100000, G45,
  raw_stack!F$2:F$100000, "Iya",
  raw_stack!G$2:G$100000, "&gt;="&amp;DATE(2026,3,1),
  raw_stack!G$2:G$100000, "&lt;="&amp;EOMONTH(DATE(2026,3,1),0)
 ),
 IF(OR(_xlpm.x=0, _xlpm.x=""), "-", _xlpm.x)
)</f>
        <v>-</v>
      </c>
      <c r="AG45" s="55" t="str">
        <f>_xlfn.LET(
 _xlpm.x,
 _xlfn.MAXIFS(
  raw_stack!G$2:G$100000,
  raw_stack!D$2:D$100000, G45,
  raw_stack!F$2:F$100000, "Iya",
  raw_stack!G$2:G$100000, "&gt;="&amp;DATE(2026,4,1),
  raw_stack!G$2:G$100000, "&lt;="&amp;EOMONTH(DATE(2026,4,1),0)
 ),
 IF(_xlpm.x=0, "-", _xlpm.x)
)</f>
        <v>-</v>
      </c>
      <c r="AH45" s="56" t="str">
        <f>_xlfn.LET(
 _xlpm.x,
 _xlfn.MAXIFS(
  raw_stack!H$2:H$100000,
  raw_stack!D$2:D$100000, G45,
  raw_stack!F$2:F$100000, "Iya",
  raw_stack!G$2:G$100000, "&gt;="&amp;DATE(2026,4,1),
  raw_stack!G$2:G$100000, "&lt;="&amp;EOMONTH(DATE(2026,4,1),0)
 ),
 IF(OR(_xlpm.x=0, _xlpm.x=""), "-", _xlpm.x)
)</f>
        <v>-</v>
      </c>
    </row>
    <row r="46" spans="1:34">
      <c r="A46" s="48">
        <v>45</v>
      </c>
      <c r="B46" s="49" t="str">
        <f t="shared" si="0"/>
        <v>83865</v>
      </c>
      <c r="C46" s="50" t="s">
        <v>46</v>
      </c>
      <c r="D46" s="51" t="s">
        <v>496</v>
      </c>
      <c r="E46" s="51" t="s">
        <v>56</v>
      </c>
      <c r="F46" s="49" t="s">
        <v>117</v>
      </c>
      <c r="G46" s="49" t="s">
        <v>162</v>
      </c>
      <c r="H46" s="49" t="s">
        <v>48</v>
      </c>
      <c r="I46" s="49" t="s">
        <v>52</v>
      </c>
      <c r="J46" s="52">
        <v>7310000</v>
      </c>
      <c r="K46" s="53">
        <v>45070</v>
      </c>
      <c r="L46" s="53">
        <v>46165</v>
      </c>
      <c r="M46" s="53">
        <v>46104</v>
      </c>
      <c r="N46" s="49" t="s">
        <v>50</v>
      </c>
      <c r="O46" s="54">
        <f>_xlfn.LET(
 _xlpm.x,
 _xlfn.MAXIFS(
  raw_stack!G$2:G$100000,
  raw_stack!D$2:D$100000, G46,
  raw_stack!F$2:F$100000, "Iya",
  raw_stack!G$2:G$100000, "&gt;="&amp;DATE(2025,7,1),
  raw_stack!G$2:G$100000, "&lt;="&amp;EOMONTH(DATE(2025,7,1),0)
 ),
 IF(_xlpm.x=0, "-", _xlpm.x)
)</f>
        <v>45849</v>
      </c>
      <c r="P46" s="65">
        <f>_xlfn.LET(
 _xlpm.x,
 _xlfn.MAXIFS(
  raw_stack!H$2:H$100000,
  raw_stack!D$2:D$100000, G46,
  raw_stack!F$2:F$100000, "Iya",
  raw_stack!G$2:G$100000, "&gt;="&amp;DATE(2025,7,1),
  raw_stack!G$2:G$100000, "&lt;="&amp;EOMONTH(DATE(2025,7,1),0)
 ),
 IF(OR(_xlpm.x=0, _xlpm.x=""), "-", _xlpm.x)
)</f>
        <v>38552</v>
      </c>
      <c r="Q46" s="54">
        <f>_xlfn.LET(
 _xlpm.x,
 _xlfn.MAXIFS(
  raw_stack!G$2:G$99411,
  raw_stack!D$2:D$99411, G46,
  raw_stack!F$2:F$99411, "Iya",
  raw_stack!G$2:G$99411, "&gt;="&amp;DATE(2025,8,1),
  raw_stack!G$2:G$99411, "&lt;="&amp;EOMONTH(DATE(2025,8,1),0)
 ),
 IF(_xlpm.x=0, "-", _xlpm.x)
)</f>
        <v>45880</v>
      </c>
      <c r="R46" s="65">
        <f>_xlfn.LET(
 _xlpm.x,
 _xlfn.MAXIFS(
  raw_stack!H$2:H$100000,
  raw_stack!D$2:D$100000, G46,
  raw_stack!F$2:F$100000, "Iya",
  raw_stack!G$2:G$100000, "&gt;="&amp;DATE(2025,8,1),
  raw_stack!G$2:G$100000, "&lt;="&amp;EOMONTH(DATE(2025,8,1),0)
 ),
 IF(OR(_xlpm.x=0, _xlpm.x=""), "-", _xlpm.x)
)</f>
        <v>34566</v>
      </c>
      <c r="S46" s="54" t="str">
        <f>_xlfn.LET(
 _xlpm.x,
 _xlfn.MAXIFS(
  raw_stack!G$2:G$99411,
  raw_stack!D$2:D$99411, G46,
  raw_stack!F$2:F$99411, "Iya",
  raw_stack!G$2:G$99411, "&gt;="&amp;DATE(2025,9,1),
  raw_stack!G$2:G$99411, "&lt;="&amp;EOMONTH(DATE(2025,9,1),0)
 ),
 IF(_xlpm.x=0, "-", _xlpm.x)
)</f>
        <v>-</v>
      </c>
      <c r="T46" s="65" t="str">
        <f>_xlfn.LET(
 _xlpm.x,
 _xlfn.MAXIFS(
  raw_stack!H$2:H$100000,
  raw_stack!D$2:D$100000, G46,
  raw_stack!F$2:F$100000, "Iya",
  raw_stack!G$2:G$100000, "&gt;="&amp;DATE(2025,9,1),
  raw_stack!G$2:G$100000, "&lt;="&amp;EOMONTH(DATE(2025,9,1),0)
 ),
 IF(OR(_xlpm.x=0, _xlpm.x=""), "-", _xlpm.x)
)</f>
        <v>-</v>
      </c>
      <c r="U46" s="54" t="str">
        <f>_xlfn.LET(
 _xlpm.x,
 _xlfn.MAXIFS(
  raw_stack!G$2:G$99411,
  raw_stack!D$2:D$99411, G46,
  raw_stack!F$2:F$99411, "Iya",
  raw_stack!G$2:G$99411, "&gt;="&amp;DATE(2025,10,1),
  raw_stack!G$2:G$99411, "&lt;="&amp;EOMONTH(DATE(2025,10,1),0)
 ),
 IF(_xlpm.x=0, "-", _xlpm.x)
)</f>
        <v>-</v>
      </c>
      <c r="V46" s="65" t="str">
        <f>_xlfn.LET(
 _xlpm.x,
 _xlfn.MAXIFS(
  raw_stack!H$2:H$100000,
  raw_stack!D$2:D$100000, G46,
  raw_stack!F$2:F$100000, "Iya",
  raw_stack!G$2:G$100000, "&gt;="&amp;DATE(2025,10,1),
  raw_stack!G$2:G$100000, "&lt;="&amp;EOMONTH(DATE(2025,10,1),0)
 ),
 IF(OR(_xlpm.x=0, _xlpm.x=""), "-", _xlpm.x)
)</f>
        <v>-</v>
      </c>
      <c r="W46" s="55" t="str">
        <f>_xlfn.LET(
 _xlpm.x,
 _xlfn.MAXIFS(
  raw_stack!G$2:G$99411,
  raw_stack!D$2:D$99411, G46,
  raw_stack!F$2:F$99411, "Iya",
  raw_stack!G$2:G$99411, "&gt;="&amp;DATE(2025,11,1),
  raw_stack!G$2:G$99411, "&lt;="&amp;EOMONTH(DATE(2025,11,1),0)
 ),
 IF(_xlpm.x=0, "-", _xlpm.x)
)</f>
        <v>-</v>
      </c>
      <c r="X46" s="56" t="str">
        <f>_xlfn.LET(
 _xlpm.x,
 _xlfn.MAXIFS(
  raw_stack!H$2:H$100000,
  raw_stack!D$2:D$100000, G46,
  raw_stack!F$2:F$100000, "Iya",
  raw_stack!G$2:G$100000, "&gt;="&amp;DATE(2025,11,1),
  raw_stack!G$2:G$100000, "&lt;="&amp;EOMONTH(DATE(2025,11,1),0)
 ),
 IF(OR(_xlpm.x=0, _xlpm.x=""), "-", _xlpm.x)
)</f>
        <v>-</v>
      </c>
      <c r="Y46" s="55" t="str">
        <f>_xlfn.LET(
 _xlpm.x,
 _xlfn.MAXIFS(
  raw_stack!G$2:G$99411,
  raw_stack!D$2:D$99411, G46,
  raw_stack!F$2:F$99411, "Iya",
  raw_stack!G$2:G$99411, "&gt;="&amp;DATE(2025,12,1),
  raw_stack!G$2:G$99411, "&lt;="&amp;EOMONTH(DATE(2025,12,1),0)
 ),
 IF(_xlpm.x=0, "-", _xlpm.x)
)</f>
        <v>-</v>
      </c>
      <c r="Z46" s="56" t="str">
        <f>_xlfn.LET(
 _xlpm.x,
 _xlfn.MAXIFS(
  raw_stack!H$2:H$100000,
  raw_stack!D$2:D$100000, G46,
  raw_stack!F$2:F$100000, "Iya",
  raw_stack!G$2:G$100000, "&gt;="&amp;DATE(2025,12,1),
  raw_stack!G$2:G$100000, "&lt;="&amp;EOMONTH(DATE(2025,12,1),0)
 ),
 IF(OR(_xlpm.x=0, _xlpm.x=""), "-", _xlpm.x)
)</f>
        <v>-</v>
      </c>
      <c r="AA46" s="55" t="str">
        <f>_xlfn.LET(
 _xlpm.x,
 _xlfn.MAXIFS(
  raw_stack!G$2:G$99411,
  raw_stack!D$2:D$99411, G46,
  raw_stack!F$2:F$99411, "Iya",
  raw_stack!G$2:G$99411, "&gt;="&amp;DATE(2026,1,1),
  raw_stack!G$2:G$99411, "&lt;="&amp;EOMONTH(DATE(2026,1,1),0)
 ),
 IF(_xlpm.x=0, "-", _xlpm.x)
)</f>
        <v>-</v>
      </c>
      <c r="AB46" s="56" t="str">
        <f>_xlfn.LET(
 _xlpm.x,
 _xlfn.MAXIFS(
  raw_stack!H$2:H$100000,
  raw_stack!D$2:D$100000, G46,
  raw_stack!F$2:F$100000, "Iya",
  raw_stack!G$2:G$100000, "&gt;="&amp;DATE(2026,1,1),
  raw_stack!G$2:G$100000, "&lt;="&amp;EOMONTH(DATE(2026,1,1),0)
 ),
 IF(OR(_xlpm.x=0, _xlpm.x=""), "-", _xlpm.x)
)</f>
        <v>-</v>
      </c>
      <c r="AC46" s="55">
        <f>_xlfn.LET(
 _xlpm.x,
 _xlfn.MAXIFS(
  raw_stack!G$2:G$99411,
  raw_stack!D$2:D$99411, G46,
  raw_stack!F$2:F$99411, "Iya",
  raw_stack!G$2:G$99411, "&gt;="&amp;DATE(2026,2,1),
  raw_stack!G$2:G$99411, "&lt;="&amp;EOMONTH(DATE(2026,2,1),0)
 ),
 IF(_xlpm.x=0, "-", _xlpm.x)
)</f>
        <v>46076</v>
      </c>
      <c r="AD46" s="56">
        <f>_xlfn.LET(
 _xlpm.x,
 _xlfn.MAXIFS(
  raw_stack!H$2:H$100000,
  raw_stack!D$2:D$100000, G46,
  raw_stack!F$2:F$100000, "Iya",
  raw_stack!G$2:G$100000, "&gt;="&amp;DATE(2026,2,1),
  raw_stack!G$2:G$100000, "&lt;="&amp;EOMONTH(DATE(2026,2,1),0)
 ),
 IF(OR(_xlpm.x=0, _xlpm.x=""), "-", _xlpm.x)
)</f>
        <v>38590</v>
      </c>
      <c r="AE46" s="55" t="str">
        <f>_xlfn.LET(
 _xlpm.x,
 _xlfn.MAXIFS(
  raw_stack!G$2:G$100000,
  raw_stack!D$2:D$100000, G46,
  raw_stack!F$2:F$100000, "Iya",
  raw_stack!G$2:G$100000, "&gt;="&amp;DATE(2026,3,1),
  raw_stack!G$2:G$100000, "&lt;="&amp;EOMONTH(DATE(2026,3,1),0)
 ),
 IF(_xlpm.x=0, "-", _xlpm.x)
)</f>
        <v>-</v>
      </c>
      <c r="AF46" s="56" t="str">
        <f>_xlfn.LET(
 _xlpm.x,
 _xlfn.MAXIFS(
  raw_stack!H$2:H$100000,
  raw_stack!D$2:D$100000, G46,
  raw_stack!F$2:F$100000, "Iya",
  raw_stack!G$2:G$100000, "&gt;="&amp;DATE(2026,3,1),
  raw_stack!G$2:G$100000, "&lt;="&amp;EOMONTH(DATE(2026,3,1),0)
 ),
 IF(OR(_xlpm.x=0, _xlpm.x=""), "-", _xlpm.x)
)</f>
        <v>-</v>
      </c>
      <c r="AG46" s="55" t="str">
        <f>_xlfn.LET(
 _xlpm.x,
 _xlfn.MAXIFS(
  raw_stack!G$2:G$100000,
  raw_stack!D$2:D$100000, G46,
  raw_stack!F$2:F$100000, "Iya",
  raw_stack!G$2:G$100000, "&gt;="&amp;DATE(2026,4,1),
  raw_stack!G$2:G$100000, "&lt;="&amp;EOMONTH(DATE(2026,4,1),0)
 ),
 IF(_xlpm.x=0, "-", _xlpm.x)
)</f>
        <v>-</v>
      </c>
      <c r="AH46" s="56" t="str">
        <f>_xlfn.LET(
 _xlpm.x,
 _xlfn.MAXIFS(
  raw_stack!H$2:H$100000,
  raw_stack!D$2:D$100000, G46,
  raw_stack!F$2:F$100000, "Iya",
  raw_stack!G$2:G$100000, "&gt;="&amp;DATE(2026,4,1),
  raw_stack!G$2:G$100000, "&lt;="&amp;EOMONTH(DATE(2026,4,1),0)
 ),
 IF(OR(_xlpm.x=0, _xlpm.x=""), "-", _xlpm.x)
)</f>
        <v>-</v>
      </c>
    </row>
    <row r="47" spans="1:34">
      <c r="A47" s="48">
        <v>46</v>
      </c>
      <c r="B47" s="49" t="str">
        <f t="shared" si="0"/>
        <v>87006</v>
      </c>
      <c r="C47" s="50" t="s">
        <v>46</v>
      </c>
      <c r="D47" s="51" t="s">
        <v>497</v>
      </c>
      <c r="E47" s="51" t="s">
        <v>51</v>
      </c>
      <c r="F47" s="49" t="s">
        <v>117</v>
      </c>
      <c r="G47" s="49" t="s">
        <v>163</v>
      </c>
      <c r="H47" s="49" t="s">
        <v>48</v>
      </c>
      <c r="I47" s="49" t="s">
        <v>52</v>
      </c>
      <c r="J47" s="52">
        <v>4105000</v>
      </c>
      <c r="K47" s="53">
        <v>45071</v>
      </c>
      <c r="L47" s="53">
        <v>46166</v>
      </c>
      <c r="M47" s="53">
        <v>46105</v>
      </c>
      <c r="N47" s="49" t="s">
        <v>50</v>
      </c>
      <c r="O47" s="54">
        <f>_xlfn.LET(
 _xlpm.x,
 _xlfn.MAXIFS(
  raw_stack!G$2:G$100000,
  raw_stack!D$2:D$100000, G47,
  raw_stack!F$2:F$100000, "Iya",
  raw_stack!G$2:G$100000, "&gt;="&amp;DATE(2025,7,1),
  raw_stack!G$2:G$100000, "&lt;="&amp;EOMONTH(DATE(2025,7,1),0)
 ),
 IF(_xlpm.x=0, "-", _xlpm.x)
)</f>
        <v>45861</v>
      </c>
      <c r="P47" s="65">
        <f>_xlfn.LET(
 _xlpm.x,
 _xlfn.MAXIFS(
  raw_stack!H$2:H$100000,
  raw_stack!D$2:D$100000, G47,
  raw_stack!F$2:F$100000, "Iya",
  raw_stack!G$2:G$100000, "&gt;="&amp;DATE(2025,7,1),
  raw_stack!G$2:G$100000, "&lt;="&amp;EOMONTH(DATE(2025,7,1),0)
 ),
 IF(OR(_xlpm.x=0, _xlpm.x=""), "-", _xlpm.x)
)</f>
        <v>15915</v>
      </c>
      <c r="Q47" s="54" t="str">
        <f>_xlfn.LET(
 _xlpm.x,
 _xlfn.MAXIFS(
  raw_stack!G$2:G$99411,
  raw_stack!D$2:D$99411, G47,
  raw_stack!F$2:F$99411, "Iya",
  raw_stack!G$2:G$99411, "&gt;="&amp;DATE(2025,8,1),
  raw_stack!G$2:G$99411, "&lt;="&amp;EOMONTH(DATE(2025,8,1),0)
 ),
 IF(_xlpm.x=0, "-", _xlpm.x)
)</f>
        <v>-</v>
      </c>
      <c r="R47" s="65" t="str">
        <f>_xlfn.LET(
 _xlpm.x,
 _xlfn.MAXIFS(
  raw_stack!H$2:H$100000,
  raw_stack!D$2:D$100000, G47,
  raw_stack!F$2:F$100000, "Iya",
  raw_stack!G$2:G$100000, "&gt;="&amp;DATE(2025,8,1),
  raw_stack!G$2:G$100000, "&lt;="&amp;EOMONTH(DATE(2025,8,1),0)
 ),
 IF(OR(_xlpm.x=0, _xlpm.x=""), "-", _xlpm.x)
)</f>
        <v>-</v>
      </c>
      <c r="S47" s="54" t="str">
        <f>_xlfn.LET(
 _xlpm.x,
 _xlfn.MAXIFS(
  raw_stack!G$2:G$99411,
  raw_stack!D$2:D$99411, G47,
  raw_stack!F$2:F$99411, "Iya",
  raw_stack!G$2:G$99411, "&gt;="&amp;DATE(2025,9,1),
  raw_stack!G$2:G$99411, "&lt;="&amp;EOMONTH(DATE(2025,9,1),0)
 ),
 IF(_xlpm.x=0, "-", _xlpm.x)
)</f>
        <v>-</v>
      </c>
      <c r="T47" s="65" t="str">
        <f>_xlfn.LET(
 _xlpm.x,
 _xlfn.MAXIFS(
  raw_stack!H$2:H$100000,
  raw_stack!D$2:D$100000, G47,
  raw_stack!F$2:F$100000, "Iya",
  raw_stack!G$2:G$100000, "&gt;="&amp;DATE(2025,9,1),
  raw_stack!G$2:G$100000, "&lt;="&amp;EOMONTH(DATE(2025,9,1),0)
 ),
 IF(OR(_xlpm.x=0, _xlpm.x=""), "-", _xlpm.x)
)</f>
        <v>-</v>
      </c>
      <c r="U47" s="54" t="str">
        <f>_xlfn.LET(
 _xlpm.x,
 _xlfn.MAXIFS(
  raw_stack!G$2:G$99411,
  raw_stack!D$2:D$99411, G47,
  raw_stack!F$2:F$99411, "Iya",
  raw_stack!G$2:G$99411, "&gt;="&amp;DATE(2025,10,1),
  raw_stack!G$2:G$99411, "&lt;="&amp;EOMONTH(DATE(2025,10,1),0)
 ),
 IF(_xlpm.x=0, "-", _xlpm.x)
)</f>
        <v>-</v>
      </c>
      <c r="V47" s="65" t="str">
        <f>_xlfn.LET(
 _xlpm.x,
 _xlfn.MAXIFS(
  raw_stack!H$2:H$100000,
  raw_stack!D$2:D$100000, G47,
  raw_stack!F$2:F$100000, "Iya",
  raw_stack!G$2:G$100000, "&gt;="&amp;DATE(2025,10,1),
  raw_stack!G$2:G$100000, "&lt;="&amp;EOMONTH(DATE(2025,10,1),0)
 ),
 IF(OR(_xlpm.x=0, _xlpm.x=""), "-", _xlpm.x)
)</f>
        <v>-</v>
      </c>
      <c r="W47" s="55" t="str">
        <f>_xlfn.LET(
 _xlpm.x,
 _xlfn.MAXIFS(
  raw_stack!G$2:G$99411,
  raw_stack!D$2:D$99411, G47,
  raw_stack!F$2:F$99411, "Iya",
  raw_stack!G$2:G$99411, "&gt;="&amp;DATE(2025,11,1),
  raw_stack!G$2:G$99411, "&lt;="&amp;EOMONTH(DATE(2025,11,1),0)
 ),
 IF(_xlpm.x=0, "-", _xlpm.x)
)</f>
        <v>-</v>
      </c>
      <c r="X47" s="56" t="str">
        <f>_xlfn.LET(
 _xlpm.x,
 _xlfn.MAXIFS(
  raw_stack!H$2:H$100000,
  raw_stack!D$2:D$100000, G47,
  raw_stack!F$2:F$100000, "Iya",
  raw_stack!G$2:G$100000, "&gt;="&amp;DATE(2025,11,1),
  raw_stack!G$2:G$100000, "&lt;="&amp;EOMONTH(DATE(2025,11,1),0)
 ),
 IF(OR(_xlpm.x=0, _xlpm.x=""), "-", _xlpm.x)
)</f>
        <v>-</v>
      </c>
      <c r="Y47" s="55" t="str">
        <f>_xlfn.LET(
 _xlpm.x,
 _xlfn.MAXIFS(
  raw_stack!G$2:G$99411,
  raw_stack!D$2:D$99411, G47,
  raw_stack!F$2:F$99411, "Iya",
  raw_stack!G$2:G$99411, "&gt;="&amp;DATE(2025,12,1),
  raw_stack!G$2:G$99411, "&lt;="&amp;EOMONTH(DATE(2025,12,1),0)
 ),
 IF(_xlpm.x=0, "-", _xlpm.x)
)</f>
        <v>-</v>
      </c>
      <c r="Z47" s="56" t="str">
        <f>_xlfn.LET(
 _xlpm.x,
 _xlfn.MAXIFS(
  raw_stack!H$2:H$100000,
  raw_stack!D$2:D$100000, G47,
  raw_stack!F$2:F$100000, "Iya",
  raw_stack!G$2:G$100000, "&gt;="&amp;DATE(2025,12,1),
  raw_stack!G$2:G$100000, "&lt;="&amp;EOMONTH(DATE(2025,12,1),0)
 ),
 IF(OR(_xlpm.x=0, _xlpm.x=""), "-", _xlpm.x)
)</f>
        <v>-</v>
      </c>
      <c r="AA47" s="55" t="str">
        <f>_xlfn.LET(
 _xlpm.x,
 _xlfn.MAXIFS(
  raw_stack!G$2:G$99411,
  raw_stack!D$2:D$99411, G47,
  raw_stack!F$2:F$99411, "Iya",
  raw_stack!G$2:G$99411, "&gt;="&amp;DATE(2026,1,1),
  raw_stack!G$2:G$99411, "&lt;="&amp;EOMONTH(DATE(2026,1,1),0)
 ),
 IF(_xlpm.x=0, "-", _xlpm.x)
)</f>
        <v>-</v>
      </c>
      <c r="AB47" s="56" t="str">
        <f>_xlfn.LET(
 _xlpm.x,
 _xlfn.MAXIFS(
  raw_stack!H$2:H$100000,
  raw_stack!D$2:D$100000, G47,
  raw_stack!F$2:F$100000, "Iya",
  raw_stack!G$2:G$100000, "&gt;="&amp;DATE(2026,1,1),
  raw_stack!G$2:G$100000, "&lt;="&amp;EOMONTH(DATE(2026,1,1),0)
 ),
 IF(OR(_xlpm.x=0, _xlpm.x=""), "-", _xlpm.x)
)</f>
        <v>-</v>
      </c>
      <c r="AC47" s="55" t="str">
        <f>_xlfn.LET(
 _xlpm.x,
 _xlfn.MAXIFS(
  raw_stack!G$2:G$99411,
  raw_stack!D$2:D$99411, G47,
  raw_stack!F$2:F$99411, "Iya",
  raw_stack!G$2:G$99411, "&gt;="&amp;DATE(2026,2,1),
  raw_stack!G$2:G$99411, "&lt;="&amp;EOMONTH(DATE(2026,2,1),0)
 ),
 IF(_xlpm.x=0, "-", _xlpm.x)
)</f>
        <v>-</v>
      </c>
      <c r="AD47" s="56" t="str">
        <f>_xlfn.LET(
 _xlpm.x,
 _xlfn.MAXIFS(
  raw_stack!H$2:H$100000,
  raw_stack!D$2:D$100000, G47,
  raw_stack!F$2:F$100000, "Iya",
  raw_stack!G$2:G$100000, "&gt;="&amp;DATE(2026,2,1),
  raw_stack!G$2:G$100000, "&lt;="&amp;EOMONTH(DATE(2026,2,1),0)
 ),
 IF(OR(_xlpm.x=0, _xlpm.x=""), "-", _xlpm.x)
)</f>
        <v>-</v>
      </c>
      <c r="AE47" s="55" t="str">
        <f>_xlfn.LET(
 _xlpm.x,
 _xlfn.MAXIFS(
  raw_stack!G$2:G$100000,
  raw_stack!D$2:D$100000, G47,
  raw_stack!F$2:F$100000, "Iya",
  raw_stack!G$2:G$100000, "&gt;="&amp;DATE(2026,3,1),
  raw_stack!G$2:G$100000, "&lt;="&amp;EOMONTH(DATE(2026,3,1),0)
 ),
 IF(_xlpm.x=0, "-", _xlpm.x)
)</f>
        <v>-</v>
      </c>
      <c r="AF47" s="56" t="str">
        <f>_xlfn.LET(
 _xlpm.x,
 _xlfn.MAXIFS(
  raw_stack!H$2:H$100000,
  raw_stack!D$2:D$100000, G47,
  raw_stack!F$2:F$100000, "Iya",
  raw_stack!G$2:G$100000, "&gt;="&amp;DATE(2026,3,1),
  raw_stack!G$2:G$100000, "&lt;="&amp;EOMONTH(DATE(2026,3,1),0)
 ),
 IF(OR(_xlpm.x=0, _xlpm.x=""), "-", _xlpm.x)
)</f>
        <v>-</v>
      </c>
      <c r="AG47" s="55" t="str">
        <f>_xlfn.LET(
 _xlpm.x,
 _xlfn.MAXIFS(
  raw_stack!G$2:G$100000,
  raw_stack!D$2:D$100000, G47,
  raw_stack!F$2:F$100000, "Iya",
  raw_stack!G$2:G$100000, "&gt;="&amp;DATE(2026,4,1),
  raw_stack!G$2:G$100000, "&lt;="&amp;EOMONTH(DATE(2026,4,1),0)
 ),
 IF(_xlpm.x=0, "-", _xlpm.x)
)</f>
        <v>-</v>
      </c>
      <c r="AH47" s="56" t="str">
        <f>_xlfn.LET(
 _xlpm.x,
 _xlfn.MAXIFS(
  raw_stack!H$2:H$100000,
  raw_stack!D$2:D$100000, G47,
  raw_stack!F$2:F$100000, "Iya",
  raw_stack!G$2:G$100000, "&gt;="&amp;DATE(2026,4,1),
  raw_stack!G$2:G$100000, "&lt;="&amp;EOMONTH(DATE(2026,4,1),0)
 ),
 IF(OR(_xlpm.x=0, _xlpm.x=""), "-", _xlpm.x)
)</f>
        <v>-</v>
      </c>
    </row>
    <row r="48" spans="1:34">
      <c r="A48" s="48">
        <v>47</v>
      </c>
      <c r="B48" s="49" t="str">
        <f t="shared" si="0"/>
        <v>27458</v>
      </c>
      <c r="C48" s="50" t="s">
        <v>46</v>
      </c>
      <c r="D48" s="51" t="s">
        <v>498</v>
      </c>
      <c r="E48" s="51" t="s">
        <v>54</v>
      </c>
      <c r="F48" s="49" t="s">
        <v>117</v>
      </c>
      <c r="G48" s="49" t="s">
        <v>164</v>
      </c>
      <c r="H48" s="49" t="s">
        <v>48</v>
      </c>
      <c r="I48" s="49" t="s">
        <v>52</v>
      </c>
      <c r="J48" s="52">
        <v>6475000</v>
      </c>
      <c r="K48" s="53">
        <v>45990</v>
      </c>
      <c r="L48" s="53">
        <v>46170</v>
      </c>
      <c r="M48" s="53">
        <v>46050</v>
      </c>
      <c r="N48" s="49" t="s">
        <v>50</v>
      </c>
      <c r="O48" s="54">
        <f>_xlfn.LET(
 _xlpm.x,
 _xlfn.MAXIFS(
  raw_stack!G$2:G$100000,
  raw_stack!D$2:D$100000, G48,
  raw_stack!F$2:F$100000, "Iya",
  raw_stack!G$2:G$100000, "&gt;="&amp;DATE(2025,7,1),
  raw_stack!G$2:G$100000, "&lt;="&amp;EOMONTH(DATE(2025,7,1),0)
 ),
 IF(_xlpm.x=0, "-", _xlpm.x)
)</f>
        <v>45845</v>
      </c>
      <c r="P48" s="65">
        <f>_xlfn.LET(
 _xlpm.x,
 _xlfn.MAXIFS(
  raw_stack!H$2:H$100000,
  raw_stack!D$2:D$100000, G48,
  raw_stack!F$2:F$100000, "Iya",
  raw_stack!G$2:G$100000, "&gt;="&amp;DATE(2025,7,1),
  raw_stack!G$2:G$100000, "&lt;="&amp;EOMONTH(DATE(2025,7,1),0)
 ),
 IF(OR(_xlpm.x=0, _xlpm.x=""), "-", _xlpm.x)
)</f>
        <v>82798</v>
      </c>
      <c r="Q48" s="54" t="str">
        <f>_xlfn.LET(
 _xlpm.x,
 _xlfn.MAXIFS(
  raw_stack!G$2:G$99411,
  raw_stack!D$2:D$99411, G48,
  raw_stack!F$2:F$99411, "Iya",
  raw_stack!G$2:G$99411, "&gt;="&amp;DATE(2025,8,1),
  raw_stack!G$2:G$99411, "&lt;="&amp;EOMONTH(DATE(2025,8,1),0)
 ),
 IF(_xlpm.x=0, "-", _xlpm.x)
)</f>
        <v>-</v>
      </c>
      <c r="R48" s="65" t="str">
        <f>_xlfn.LET(
 _xlpm.x,
 _xlfn.MAXIFS(
  raw_stack!H$2:H$100000,
  raw_stack!D$2:D$100000, G48,
  raw_stack!F$2:F$100000, "Iya",
  raw_stack!G$2:G$100000, "&gt;="&amp;DATE(2025,8,1),
  raw_stack!G$2:G$100000, "&lt;="&amp;EOMONTH(DATE(2025,8,1),0)
 ),
 IF(OR(_xlpm.x=0, _xlpm.x=""), "-", _xlpm.x)
)</f>
        <v>-</v>
      </c>
      <c r="S48" s="54">
        <f>_xlfn.LET(
 _xlpm.x,
 _xlfn.MAXIFS(
  raw_stack!G$2:G$99411,
  raw_stack!D$2:D$99411, G48,
  raw_stack!F$2:F$99411, "Iya",
  raw_stack!G$2:G$99411, "&gt;="&amp;DATE(2025,9,1),
  raw_stack!G$2:G$99411, "&lt;="&amp;EOMONTH(DATE(2025,9,1),0)
 ),
 IF(_xlpm.x=0, "-", _xlpm.x)
)</f>
        <v>45903</v>
      </c>
      <c r="T48" s="65">
        <f>_xlfn.LET(
 _xlpm.x,
 _xlfn.MAXIFS(
  raw_stack!H$2:H$100000,
  raw_stack!D$2:D$100000, G48,
  raw_stack!F$2:F$100000, "Iya",
  raw_stack!G$2:G$100000, "&gt;="&amp;DATE(2025,9,1),
  raw_stack!G$2:G$100000, "&lt;="&amp;EOMONTH(DATE(2025,9,1),0)
 ),
 IF(OR(_xlpm.x=0, _xlpm.x=""), "-", _xlpm.x)
)</f>
        <v>79504</v>
      </c>
      <c r="U48" s="54">
        <f>_xlfn.LET(
 _xlpm.x,
 _xlfn.MAXIFS(
  raw_stack!G$2:G$99411,
  raw_stack!D$2:D$99411, G48,
  raw_stack!F$2:F$99411, "Iya",
  raw_stack!G$2:G$99411, "&gt;="&amp;DATE(2025,10,1),
  raw_stack!G$2:G$99411, "&lt;="&amp;EOMONTH(DATE(2025,10,1),0)
 ),
 IF(_xlpm.x=0, "-", _xlpm.x)
)</f>
        <v>45952</v>
      </c>
      <c r="V48" s="65">
        <f>_xlfn.LET(
 _xlpm.x,
 _xlfn.MAXIFS(
  raw_stack!H$2:H$100000,
  raw_stack!D$2:D$100000, G48,
  raw_stack!F$2:F$100000, "Iya",
  raw_stack!G$2:G$100000, "&gt;="&amp;DATE(2025,10,1),
  raw_stack!G$2:G$100000, "&lt;="&amp;EOMONTH(DATE(2025,10,1),0)
 ),
 IF(OR(_xlpm.x=0, _xlpm.x=""), "-", _xlpm.x)
)</f>
        <v>96276</v>
      </c>
      <c r="W48" s="55" t="str">
        <f>_xlfn.LET(
 _xlpm.x,
 _xlfn.MAXIFS(
  raw_stack!G$2:G$99411,
  raw_stack!D$2:D$99411, G48,
  raw_stack!F$2:F$99411, "Iya",
  raw_stack!G$2:G$99411, "&gt;="&amp;DATE(2025,11,1),
  raw_stack!G$2:G$99411, "&lt;="&amp;EOMONTH(DATE(2025,11,1),0)
 ),
 IF(_xlpm.x=0, "-", _xlpm.x)
)</f>
        <v>-</v>
      </c>
      <c r="X48" s="56" t="str">
        <f>_xlfn.LET(
 _xlpm.x,
 _xlfn.MAXIFS(
  raw_stack!H$2:H$100000,
  raw_stack!D$2:D$100000, G48,
  raw_stack!F$2:F$100000, "Iya",
  raw_stack!G$2:G$100000, "&gt;="&amp;DATE(2025,11,1),
  raw_stack!G$2:G$100000, "&lt;="&amp;EOMONTH(DATE(2025,11,1),0)
 ),
 IF(OR(_xlpm.x=0, _xlpm.x=""), "-", _xlpm.x)
)</f>
        <v>-</v>
      </c>
      <c r="Y48" s="55">
        <f>_xlfn.LET(
 _xlpm.x,
 _xlfn.MAXIFS(
  raw_stack!G$2:G$99411,
  raw_stack!D$2:D$99411, G48,
  raw_stack!F$2:F$99411, "Iya",
  raw_stack!G$2:G$99411, "&gt;="&amp;DATE(2025,12,1),
  raw_stack!G$2:G$99411, "&lt;="&amp;EOMONTH(DATE(2025,12,1),0)
 ),
 IF(_xlpm.x=0, "-", _xlpm.x)
)</f>
        <v>46013</v>
      </c>
      <c r="Z48" s="56">
        <f>_xlfn.LET(
 _xlpm.x,
 _xlfn.MAXIFS(
  raw_stack!H$2:H$100000,
  raw_stack!D$2:D$100000, G48,
  raw_stack!F$2:F$100000, "Iya",
  raw_stack!G$2:G$100000, "&gt;="&amp;DATE(2025,12,1),
  raw_stack!G$2:G$100000, "&lt;="&amp;EOMONTH(DATE(2025,12,1),0)
 ),
 IF(OR(_xlpm.x=0, _xlpm.x=""), "-", _xlpm.x)
)</f>
        <v>94758</v>
      </c>
      <c r="AA48" s="55" t="str">
        <f>_xlfn.LET(
 _xlpm.x,
 _xlfn.MAXIFS(
  raw_stack!G$2:G$99411,
  raw_stack!D$2:D$99411, G48,
  raw_stack!F$2:F$99411, "Iya",
  raw_stack!G$2:G$99411, "&gt;="&amp;DATE(2026,1,1),
  raw_stack!G$2:G$99411, "&lt;="&amp;EOMONTH(DATE(2026,1,1),0)
 ),
 IF(_xlpm.x=0, "-", _xlpm.x)
)</f>
        <v>-</v>
      </c>
      <c r="AB48" s="56" t="str">
        <f>_xlfn.LET(
 _xlpm.x,
 _xlfn.MAXIFS(
  raw_stack!H$2:H$100000,
  raw_stack!D$2:D$100000, G48,
  raw_stack!F$2:F$100000, "Iya",
  raw_stack!G$2:G$100000, "&gt;="&amp;DATE(2026,1,1),
  raw_stack!G$2:G$100000, "&lt;="&amp;EOMONTH(DATE(2026,1,1),0)
 ),
 IF(OR(_xlpm.x=0, _xlpm.x=""), "-", _xlpm.x)
)</f>
        <v>-</v>
      </c>
      <c r="AC48" s="55" t="str">
        <f>_xlfn.LET(
 _xlpm.x,
 _xlfn.MAXIFS(
  raw_stack!G$2:G$99411,
  raw_stack!D$2:D$99411, G48,
  raw_stack!F$2:F$99411, "Iya",
  raw_stack!G$2:G$99411, "&gt;="&amp;DATE(2026,2,1),
  raw_stack!G$2:G$99411, "&lt;="&amp;EOMONTH(DATE(2026,2,1),0)
 ),
 IF(_xlpm.x=0, "-", _xlpm.x)
)</f>
        <v>-</v>
      </c>
      <c r="AD48" s="56" t="str">
        <f>_xlfn.LET(
 _xlpm.x,
 _xlfn.MAXIFS(
  raw_stack!H$2:H$100000,
  raw_stack!D$2:D$100000, G48,
  raw_stack!F$2:F$100000, "Iya",
  raw_stack!G$2:G$100000, "&gt;="&amp;DATE(2026,2,1),
  raw_stack!G$2:G$100000, "&lt;="&amp;EOMONTH(DATE(2026,2,1),0)
 ),
 IF(OR(_xlpm.x=0, _xlpm.x=""), "-", _xlpm.x)
)</f>
        <v>-</v>
      </c>
      <c r="AE48" s="55" t="str">
        <f>_xlfn.LET(
 _xlpm.x,
 _xlfn.MAXIFS(
  raw_stack!G$2:G$100000,
  raw_stack!D$2:D$100000, G48,
  raw_stack!F$2:F$100000, "Iya",
  raw_stack!G$2:G$100000, "&gt;="&amp;DATE(2026,3,1),
  raw_stack!G$2:G$100000, "&lt;="&amp;EOMONTH(DATE(2026,3,1),0)
 ),
 IF(_xlpm.x=0, "-", _xlpm.x)
)</f>
        <v>-</v>
      </c>
      <c r="AF48" s="56" t="str">
        <f>_xlfn.LET(
 _xlpm.x,
 _xlfn.MAXIFS(
  raw_stack!H$2:H$100000,
  raw_stack!D$2:D$100000, G48,
  raw_stack!F$2:F$100000, "Iya",
  raw_stack!G$2:G$100000, "&gt;="&amp;DATE(2026,3,1),
  raw_stack!G$2:G$100000, "&lt;="&amp;EOMONTH(DATE(2026,3,1),0)
 ),
 IF(OR(_xlpm.x=0, _xlpm.x=""), "-", _xlpm.x)
)</f>
        <v>-</v>
      </c>
      <c r="AG48" s="55" t="str">
        <f>_xlfn.LET(
 _xlpm.x,
 _xlfn.MAXIFS(
  raw_stack!G$2:G$100000,
  raw_stack!D$2:D$100000, G48,
  raw_stack!F$2:F$100000, "Iya",
  raw_stack!G$2:G$100000, "&gt;="&amp;DATE(2026,4,1),
  raw_stack!G$2:G$100000, "&lt;="&amp;EOMONTH(DATE(2026,4,1),0)
 ),
 IF(_xlpm.x=0, "-", _xlpm.x)
)</f>
        <v>-</v>
      </c>
      <c r="AH48" s="56" t="str">
        <f>_xlfn.LET(
 _xlpm.x,
 _xlfn.MAXIFS(
  raw_stack!H$2:H$100000,
  raw_stack!D$2:D$100000, G48,
  raw_stack!F$2:F$100000, "Iya",
  raw_stack!G$2:G$100000, "&gt;="&amp;DATE(2026,4,1),
  raw_stack!G$2:G$100000, "&lt;="&amp;EOMONTH(DATE(2026,4,1),0)
 ),
 IF(OR(_xlpm.x=0, _xlpm.x=""), "-", _xlpm.x)
)</f>
        <v>-</v>
      </c>
    </row>
    <row r="49" spans="1:34">
      <c r="A49" s="48">
        <v>48</v>
      </c>
      <c r="B49" s="49" t="str">
        <f t="shared" si="0"/>
        <v>75394</v>
      </c>
      <c r="C49" s="50" t="s">
        <v>46</v>
      </c>
      <c r="D49" s="51" t="s">
        <v>499</v>
      </c>
      <c r="E49" s="51" t="s">
        <v>47</v>
      </c>
      <c r="F49" s="49" t="s">
        <v>117</v>
      </c>
      <c r="G49" s="49" t="s">
        <v>165</v>
      </c>
      <c r="H49" s="49" t="s">
        <v>48</v>
      </c>
      <c r="I49" s="49" t="s">
        <v>49</v>
      </c>
      <c r="J49" s="52">
        <v>4375000</v>
      </c>
      <c r="K49" s="53">
        <v>45078</v>
      </c>
      <c r="L49" s="53">
        <v>46173</v>
      </c>
      <c r="M49" s="53">
        <v>46081</v>
      </c>
      <c r="N49" s="49" t="s">
        <v>50</v>
      </c>
      <c r="O49" s="54" t="str">
        <f>_xlfn.LET(
 _xlpm.x,
 _xlfn.MAXIFS(
  raw_stack!G$2:G$100000,
  raw_stack!D$2:D$100000, G49,
  raw_stack!F$2:F$100000, "Iya",
  raw_stack!G$2:G$100000, "&gt;="&amp;DATE(2025,7,1),
  raw_stack!G$2:G$100000, "&lt;="&amp;EOMONTH(DATE(2025,7,1),0)
 ),
 IF(_xlpm.x=0, "-", _xlpm.x)
)</f>
        <v>-</v>
      </c>
      <c r="P49" s="65" t="str">
        <f>_xlfn.LET(
 _xlpm.x,
 _xlfn.MAXIFS(
  raw_stack!H$2:H$100000,
  raw_stack!D$2:D$100000, G49,
  raw_stack!F$2:F$100000, "Iya",
  raw_stack!G$2:G$100000, "&gt;="&amp;DATE(2025,7,1),
  raw_stack!G$2:G$100000, "&lt;="&amp;EOMONTH(DATE(2025,7,1),0)
 ),
 IF(OR(_xlpm.x=0, _xlpm.x=""), "-", _xlpm.x)
)</f>
        <v>-</v>
      </c>
      <c r="Q49" s="54" t="str">
        <f>_xlfn.LET(
 _xlpm.x,
 _xlfn.MAXIFS(
  raw_stack!G$2:G$99411,
  raw_stack!D$2:D$99411, G49,
  raw_stack!F$2:F$99411, "Iya",
  raw_stack!G$2:G$99411, "&gt;="&amp;DATE(2025,8,1),
  raw_stack!G$2:G$99411, "&lt;="&amp;EOMONTH(DATE(2025,8,1),0)
 ),
 IF(_xlpm.x=0, "-", _xlpm.x)
)</f>
        <v>-</v>
      </c>
      <c r="R49" s="65" t="str">
        <f>_xlfn.LET(
 _xlpm.x,
 _xlfn.MAXIFS(
  raw_stack!H$2:H$100000,
  raw_stack!D$2:D$100000, G49,
  raw_stack!F$2:F$100000, "Iya",
  raw_stack!G$2:G$100000, "&gt;="&amp;DATE(2025,8,1),
  raw_stack!G$2:G$100000, "&lt;="&amp;EOMONTH(DATE(2025,8,1),0)
 ),
 IF(OR(_xlpm.x=0, _xlpm.x=""), "-", _xlpm.x)
)</f>
        <v>-</v>
      </c>
      <c r="S49" s="54" t="str">
        <f>_xlfn.LET(
 _xlpm.x,
 _xlfn.MAXIFS(
  raw_stack!G$2:G$99411,
  raw_stack!D$2:D$99411, G49,
  raw_stack!F$2:F$99411, "Iya",
  raw_stack!G$2:G$99411, "&gt;="&amp;DATE(2025,9,1),
  raw_stack!G$2:G$99411, "&lt;="&amp;EOMONTH(DATE(2025,9,1),0)
 ),
 IF(_xlpm.x=0, "-", _xlpm.x)
)</f>
        <v>-</v>
      </c>
      <c r="T49" s="65" t="str">
        <f>_xlfn.LET(
 _xlpm.x,
 _xlfn.MAXIFS(
  raw_stack!H$2:H$100000,
  raw_stack!D$2:D$100000, G49,
  raw_stack!F$2:F$100000, "Iya",
  raw_stack!G$2:G$100000, "&gt;="&amp;DATE(2025,9,1),
  raw_stack!G$2:G$100000, "&lt;="&amp;EOMONTH(DATE(2025,9,1),0)
 ),
 IF(OR(_xlpm.x=0, _xlpm.x=""), "-", _xlpm.x)
)</f>
        <v>-</v>
      </c>
      <c r="U49" s="54">
        <f>_xlfn.LET(
 _xlpm.x,
 _xlfn.MAXIFS(
  raw_stack!G$2:G$99411,
  raw_stack!D$2:D$99411, G49,
  raw_stack!F$2:F$99411, "Iya",
  raw_stack!G$2:G$99411, "&gt;="&amp;DATE(2025,10,1),
  raw_stack!G$2:G$99411, "&lt;="&amp;EOMONTH(DATE(2025,10,1),0)
 ),
 IF(_xlpm.x=0, "-", _xlpm.x)
)</f>
        <v>45953</v>
      </c>
      <c r="V49" s="65">
        <f>_xlfn.LET(
 _xlpm.x,
 _xlfn.MAXIFS(
  raw_stack!H$2:H$100000,
  raw_stack!D$2:D$100000, G49,
  raw_stack!F$2:F$100000, "Iya",
  raw_stack!G$2:G$100000, "&gt;="&amp;DATE(2025,10,1),
  raw_stack!G$2:G$100000, "&lt;="&amp;EOMONTH(DATE(2025,10,1),0)
 ),
 IF(OR(_xlpm.x=0, _xlpm.x=""), "-", _xlpm.x)
)</f>
        <v>41876</v>
      </c>
      <c r="W49" s="55" t="str">
        <f>_xlfn.LET(
 _xlpm.x,
 _xlfn.MAXIFS(
  raw_stack!G$2:G$99411,
  raw_stack!D$2:D$99411, G49,
  raw_stack!F$2:F$99411, "Iya",
  raw_stack!G$2:G$99411, "&gt;="&amp;DATE(2025,11,1),
  raw_stack!G$2:G$99411, "&lt;="&amp;EOMONTH(DATE(2025,11,1),0)
 ),
 IF(_xlpm.x=0, "-", _xlpm.x)
)</f>
        <v>-</v>
      </c>
      <c r="X49" s="56" t="str">
        <f>_xlfn.LET(
 _xlpm.x,
 _xlfn.MAXIFS(
  raw_stack!H$2:H$100000,
  raw_stack!D$2:D$100000, G49,
  raw_stack!F$2:F$100000, "Iya",
  raw_stack!G$2:G$100000, "&gt;="&amp;DATE(2025,11,1),
  raw_stack!G$2:G$100000, "&lt;="&amp;EOMONTH(DATE(2025,11,1),0)
 ),
 IF(OR(_xlpm.x=0, _xlpm.x=""), "-", _xlpm.x)
)</f>
        <v>-</v>
      </c>
      <c r="Y49" s="55" t="str">
        <f>_xlfn.LET(
 _xlpm.x,
 _xlfn.MAXIFS(
  raw_stack!G$2:G$99411,
  raw_stack!D$2:D$99411, G49,
  raw_stack!F$2:F$99411, "Iya",
  raw_stack!G$2:G$99411, "&gt;="&amp;DATE(2025,12,1),
  raw_stack!G$2:G$99411, "&lt;="&amp;EOMONTH(DATE(2025,12,1),0)
 ),
 IF(_xlpm.x=0, "-", _xlpm.x)
)</f>
        <v>-</v>
      </c>
      <c r="Z49" s="56" t="str">
        <f>_xlfn.LET(
 _xlpm.x,
 _xlfn.MAXIFS(
  raw_stack!H$2:H$100000,
  raw_stack!D$2:D$100000, G49,
  raw_stack!F$2:F$100000, "Iya",
  raw_stack!G$2:G$100000, "&gt;="&amp;DATE(2025,12,1),
  raw_stack!G$2:G$100000, "&lt;="&amp;EOMONTH(DATE(2025,12,1),0)
 ),
 IF(OR(_xlpm.x=0, _xlpm.x=""), "-", _xlpm.x)
)</f>
        <v>-</v>
      </c>
      <c r="AA49" s="55" t="str">
        <f>_xlfn.LET(
 _xlpm.x,
 _xlfn.MAXIFS(
  raw_stack!G$2:G$99411,
  raw_stack!D$2:D$99411, G49,
  raw_stack!F$2:F$99411, "Iya",
  raw_stack!G$2:G$99411, "&gt;="&amp;DATE(2026,1,1),
  raw_stack!G$2:G$99411, "&lt;="&amp;EOMONTH(DATE(2026,1,1),0)
 ),
 IF(_xlpm.x=0, "-", _xlpm.x)
)</f>
        <v>-</v>
      </c>
      <c r="AB49" s="56" t="str">
        <f>_xlfn.LET(
 _xlpm.x,
 _xlfn.MAXIFS(
  raw_stack!H$2:H$100000,
  raw_stack!D$2:D$100000, G49,
  raw_stack!F$2:F$100000, "Iya",
  raw_stack!G$2:G$100000, "&gt;="&amp;DATE(2026,1,1),
  raw_stack!G$2:G$100000, "&lt;="&amp;EOMONTH(DATE(2026,1,1),0)
 ),
 IF(OR(_xlpm.x=0, _xlpm.x=""), "-", _xlpm.x)
)</f>
        <v>-</v>
      </c>
      <c r="AC49" s="55" t="str">
        <f>_xlfn.LET(
 _xlpm.x,
 _xlfn.MAXIFS(
  raw_stack!G$2:G$99411,
  raw_stack!D$2:D$99411, G49,
  raw_stack!F$2:F$99411, "Iya",
  raw_stack!G$2:G$99411, "&gt;="&amp;DATE(2026,2,1),
  raw_stack!G$2:G$99411, "&lt;="&amp;EOMONTH(DATE(2026,2,1),0)
 ),
 IF(_xlpm.x=0, "-", _xlpm.x)
)</f>
        <v>-</v>
      </c>
      <c r="AD49" s="56" t="str">
        <f>_xlfn.LET(
 _xlpm.x,
 _xlfn.MAXIFS(
  raw_stack!H$2:H$100000,
  raw_stack!D$2:D$100000, G49,
  raw_stack!F$2:F$100000, "Iya",
  raw_stack!G$2:G$100000, "&gt;="&amp;DATE(2026,2,1),
  raw_stack!G$2:G$100000, "&lt;="&amp;EOMONTH(DATE(2026,2,1),0)
 ),
 IF(OR(_xlpm.x=0, _xlpm.x=""), "-", _xlpm.x)
)</f>
        <v>-</v>
      </c>
      <c r="AE49" s="55" t="str">
        <f>_xlfn.LET(
 _xlpm.x,
 _xlfn.MAXIFS(
  raw_stack!G$2:G$100000,
  raw_stack!D$2:D$100000, G49,
  raw_stack!F$2:F$100000, "Iya",
  raw_stack!G$2:G$100000, "&gt;="&amp;DATE(2026,3,1),
  raw_stack!G$2:G$100000, "&lt;="&amp;EOMONTH(DATE(2026,3,1),0)
 ),
 IF(_xlpm.x=0, "-", _xlpm.x)
)</f>
        <v>-</v>
      </c>
      <c r="AF49" s="56" t="str">
        <f>_xlfn.LET(
 _xlpm.x,
 _xlfn.MAXIFS(
  raw_stack!H$2:H$100000,
  raw_stack!D$2:D$100000, G49,
  raw_stack!F$2:F$100000, "Iya",
  raw_stack!G$2:G$100000, "&gt;="&amp;DATE(2026,3,1),
  raw_stack!G$2:G$100000, "&lt;="&amp;EOMONTH(DATE(2026,3,1),0)
 ),
 IF(OR(_xlpm.x=0, _xlpm.x=""), "-", _xlpm.x)
)</f>
        <v>-</v>
      </c>
      <c r="AG49" s="55">
        <f>_xlfn.LET(
 _xlpm.x,
 _xlfn.MAXIFS(
  raw_stack!G$2:G$100000,
  raw_stack!D$2:D$100000, G49,
  raw_stack!F$2:F$100000, "Iya",
  raw_stack!G$2:G$100000, "&gt;="&amp;DATE(2026,4,1),
  raw_stack!G$2:G$100000, "&lt;="&amp;EOMONTH(DATE(2026,4,1),0)
 ),
 IF(_xlpm.x=0, "-", _xlpm.x)
)</f>
        <v>46126</v>
      </c>
      <c r="AH49" s="56">
        <f>_xlfn.LET(
 _xlpm.x,
 _xlfn.MAXIFS(
  raw_stack!H$2:H$100000,
  raw_stack!D$2:D$100000, G49,
  raw_stack!F$2:F$100000, "Iya",
  raw_stack!G$2:G$100000, "&gt;="&amp;DATE(2026,4,1),
  raw_stack!G$2:G$100000, "&lt;="&amp;EOMONTH(DATE(2026,4,1),0)
 ),
 IF(OR(_xlpm.x=0, _xlpm.x=""), "-", _xlpm.x)
)</f>
        <v>38797</v>
      </c>
    </row>
    <row r="50" spans="1:34">
      <c r="A50" s="48">
        <v>49</v>
      </c>
      <c r="B50" s="49" t="str">
        <f t="shared" si="0"/>
        <v>84357</v>
      </c>
      <c r="C50" s="50" t="s">
        <v>46</v>
      </c>
      <c r="D50" s="51" t="s">
        <v>500</v>
      </c>
      <c r="E50" s="51" t="s">
        <v>56</v>
      </c>
      <c r="F50" s="49" t="s">
        <v>117</v>
      </c>
      <c r="G50" s="49" t="s">
        <v>166</v>
      </c>
      <c r="H50" s="49" t="s">
        <v>48</v>
      </c>
      <c r="I50" s="49" t="s">
        <v>52</v>
      </c>
      <c r="J50" s="52">
        <v>6810000</v>
      </c>
      <c r="K50" s="53">
        <v>45992</v>
      </c>
      <c r="L50" s="53">
        <v>46173</v>
      </c>
      <c r="M50" s="53">
        <v>46081</v>
      </c>
      <c r="N50" s="49" t="s">
        <v>50</v>
      </c>
      <c r="O50" s="54">
        <f>_xlfn.LET(
 _xlpm.x,
 _xlfn.MAXIFS(
  raw_stack!G$2:G$100000,
  raw_stack!D$2:D$100000, G50,
  raw_stack!F$2:F$100000, "Iya",
  raw_stack!G$2:G$100000, "&gt;="&amp;DATE(2025,7,1),
  raw_stack!G$2:G$100000, "&lt;="&amp;EOMONTH(DATE(2025,7,1),0)
 ),
 IF(_xlpm.x=0, "-", _xlpm.x)
)</f>
        <v>45845</v>
      </c>
      <c r="P50" s="65">
        <f>_xlfn.LET(
 _xlpm.x,
 _xlfn.MAXIFS(
  raw_stack!H$2:H$100000,
  raw_stack!D$2:D$100000, G50,
  raw_stack!F$2:F$100000, "Iya",
  raw_stack!G$2:G$100000, "&gt;="&amp;DATE(2025,7,1),
  raw_stack!G$2:G$100000, "&lt;="&amp;EOMONTH(DATE(2025,7,1),0)
 ),
 IF(OR(_xlpm.x=0, _xlpm.x=""), "-", _xlpm.x)
)</f>
        <v>32273</v>
      </c>
      <c r="Q50" s="54" t="str">
        <f>_xlfn.LET(
 _xlpm.x,
 _xlfn.MAXIFS(
  raw_stack!G$2:G$99411,
  raw_stack!D$2:D$99411, G50,
  raw_stack!F$2:F$99411, "Iya",
  raw_stack!G$2:G$99411, "&gt;="&amp;DATE(2025,8,1),
  raw_stack!G$2:G$99411, "&lt;="&amp;EOMONTH(DATE(2025,8,1),0)
 ),
 IF(_xlpm.x=0, "-", _xlpm.x)
)</f>
        <v>-</v>
      </c>
      <c r="R50" s="65" t="str">
        <f>_xlfn.LET(
 _xlpm.x,
 _xlfn.MAXIFS(
  raw_stack!H$2:H$100000,
  raw_stack!D$2:D$100000, G50,
  raw_stack!F$2:F$100000, "Iya",
  raw_stack!G$2:G$100000, "&gt;="&amp;DATE(2025,8,1),
  raw_stack!G$2:G$100000, "&lt;="&amp;EOMONTH(DATE(2025,8,1),0)
 ),
 IF(OR(_xlpm.x=0, _xlpm.x=""), "-", _xlpm.x)
)</f>
        <v>-</v>
      </c>
      <c r="S50" s="54" t="str">
        <f>_xlfn.LET(
 _xlpm.x,
 _xlfn.MAXIFS(
  raw_stack!G$2:G$99411,
  raw_stack!D$2:D$99411, G50,
  raw_stack!F$2:F$99411, "Iya",
  raw_stack!G$2:G$99411, "&gt;="&amp;DATE(2025,9,1),
  raw_stack!G$2:G$99411, "&lt;="&amp;EOMONTH(DATE(2025,9,1),0)
 ),
 IF(_xlpm.x=0, "-", _xlpm.x)
)</f>
        <v>-</v>
      </c>
      <c r="T50" s="65" t="str">
        <f>_xlfn.LET(
 _xlpm.x,
 _xlfn.MAXIFS(
  raw_stack!H$2:H$100000,
  raw_stack!D$2:D$100000, G50,
  raw_stack!F$2:F$100000, "Iya",
  raw_stack!G$2:G$100000, "&gt;="&amp;DATE(2025,9,1),
  raw_stack!G$2:G$100000, "&lt;="&amp;EOMONTH(DATE(2025,9,1),0)
 ),
 IF(OR(_xlpm.x=0, _xlpm.x=""), "-", _xlpm.x)
)</f>
        <v>-</v>
      </c>
      <c r="U50" s="54">
        <f>_xlfn.LET(
 _xlpm.x,
 _xlfn.MAXIFS(
  raw_stack!G$2:G$99411,
  raw_stack!D$2:D$99411, G50,
  raw_stack!F$2:F$99411, "Iya",
  raw_stack!G$2:G$99411, "&gt;="&amp;DATE(2025,10,1),
  raw_stack!G$2:G$99411, "&lt;="&amp;EOMONTH(DATE(2025,10,1),0)
 ),
 IF(_xlpm.x=0, "-", _xlpm.x)
)</f>
        <v>45953</v>
      </c>
      <c r="V50" s="65">
        <f>_xlfn.LET(
 _xlpm.x,
 _xlfn.MAXIFS(
  raw_stack!H$2:H$100000,
  raw_stack!D$2:D$100000, G50,
  raw_stack!F$2:F$100000, "Iya",
  raw_stack!G$2:G$100000, "&gt;="&amp;DATE(2025,10,1),
  raw_stack!G$2:G$100000, "&lt;="&amp;EOMONTH(DATE(2025,10,1),0)
 ),
 IF(OR(_xlpm.x=0, _xlpm.x=""), "-", _xlpm.x)
)</f>
        <v>34814</v>
      </c>
      <c r="W50" s="55" t="str">
        <f>_xlfn.LET(
 _xlpm.x,
 _xlfn.MAXIFS(
  raw_stack!G$2:G$99411,
  raw_stack!D$2:D$99411, G50,
  raw_stack!F$2:F$99411, "Iya",
  raw_stack!G$2:G$99411, "&gt;="&amp;DATE(2025,11,1),
  raw_stack!G$2:G$99411, "&lt;="&amp;EOMONTH(DATE(2025,11,1),0)
 ),
 IF(_xlpm.x=0, "-", _xlpm.x)
)</f>
        <v>-</v>
      </c>
      <c r="X50" s="56" t="str">
        <f>_xlfn.LET(
 _xlpm.x,
 _xlfn.MAXIFS(
  raw_stack!H$2:H$100000,
  raw_stack!D$2:D$100000, G50,
  raw_stack!F$2:F$100000, "Iya",
  raw_stack!G$2:G$100000, "&gt;="&amp;DATE(2025,11,1),
  raw_stack!G$2:G$100000, "&lt;="&amp;EOMONTH(DATE(2025,11,1),0)
 ),
 IF(OR(_xlpm.x=0, _xlpm.x=""), "-", _xlpm.x)
)</f>
        <v>-</v>
      </c>
      <c r="Y50" s="55" t="str">
        <f>_xlfn.LET(
 _xlpm.x,
 _xlfn.MAXIFS(
  raw_stack!G$2:G$99411,
  raw_stack!D$2:D$99411, G50,
  raw_stack!F$2:F$99411, "Iya",
  raw_stack!G$2:G$99411, "&gt;="&amp;DATE(2025,12,1),
  raw_stack!G$2:G$99411, "&lt;="&amp;EOMONTH(DATE(2025,12,1),0)
 ),
 IF(_xlpm.x=0, "-", _xlpm.x)
)</f>
        <v>-</v>
      </c>
      <c r="Z50" s="56" t="str">
        <f>_xlfn.LET(
 _xlpm.x,
 _xlfn.MAXIFS(
  raw_stack!H$2:H$100000,
  raw_stack!D$2:D$100000, G50,
  raw_stack!F$2:F$100000, "Iya",
  raw_stack!G$2:G$100000, "&gt;="&amp;DATE(2025,12,1),
  raw_stack!G$2:G$100000, "&lt;="&amp;EOMONTH(DATE(2025,12,1),0)
 ),
 IF(OR(_xlpm.x=0, _xlpm.x=""), "-", _xlpm.x)
)</f>
        <v>-</v>
      </c>
      <c r="AA50" s="55" t="str">
        <f>_xlfn.LET(
 _xlpm.x,
 _xlfn.MAXIFS(
  raw_stack!G$2:G$99411,
  raw_stack!D$2:D$99411, G50,
  raw_stack!F$2:F$99411, "Iya",
  raw_stack!G$2:G$99411, "&gt;="&amp;DATE(2026,1,1),
  raw_stack!G$2:G$99411, "&lt;="&amp;EOMONTH(DATE(2026,1,1),0)
 ),
 IF(_xlpm.x=0, "-", _xlpm.x)
)</f>
        <v>-</v>
      </c>
      <c r="AB50" s="56" t="str">
        <f>_xlfn.LET(
 _xlpm.x,
 _xlfn.MAXIFS(
  raw_stack!H$2:H$100000,
  raw_stack!D$2:D$100000, G50,
  raw_stack!F$2:F$100000, "Iya",
  raw_stack!G$2:G$100000, "&gt;="&amp;DATE(2026,1,1),
  raw_stack!G$2:G$100000, "&lt;="&amp;EOMONTH(DATE(2026,1,1),0)
 ),
 IF(OR(_xlpm.x=0, _xlpm.x=""), "-", _xlpm.x)
)</f>
        <v>-</v>
      </c>
      <c r="AC50" s="55" t="str">
        <f>_xlfn.LET(
 _xlpm.x,
 _xlfn.MAXIFS(
  raw_stack!G$2:G$99411,
  raw_stack!D$2:D$99411, G50,
  raw_stack!F$2:F$99411, "Iya",
  raw_stack!G$2:G$99411, "&gt;="&amp;DATE(2026,2,1),
  raw_stack!G$2:G$99411, "&lt;="&amp;EOMONTH(DATE(2026,2,1),0)
 ),
 IF(_xlpm.x=0, "-", _xlpm.x)
)</f>
        <v>-</v>
      </c>
      <c r="AD50" s="56" t="str">
        <f>_xlfn.LET(
 _xlpm.x,
 _xlfn.MAXIFS(
  raw_stack!H$2:H$100000,
  raw_stack!D$2:D$100000, G50,
  raw_stack!F$2:F$100000, "Iya",
  raw_stack!G$2:G$100000, "&gt;="&amp;DATE(2026,2,1),
  raw_stack!G$2:G$100000, "&lt;="&amp;EOMONTH(DATE(2026,2,1),0)
 ),
 IF(OR(_xlpm.x=0, _xlpm.x=""), "-", _xlpm.x)
)</f>
        <v>-</v>
      </c>
      <c r="AE50" s="55" t="str">
        <f>_xlfn.LET(
 _xlpm.x,
 _xlfn.MAXIFS(
  raw_stack!G$2:G$100000,
  raw_stack!D$2:D$100000, G50,
  raw_stack!F$2:F$100000, "Iya",
  raw_stack!G$2:G$100000, "&gt;="&amp;DATE(2026,3,1),
  raw_stack!G$2:G$100000, "&lt;="&amp;EOMONTH(DATE(2026,3,1),0)
 ),
 IF(_xlpm.x=0, "-", _xlpm.x)
)</f>
        <v>-</v>
      </c>
      <c r="AF50" s="56" t="str">
        <f>_xlfn.LET(
 _xlpm.x,
 _xlfn.MAXIFS(
  raw_stack!H$2:H$100000,
  raw_stack!D$2:D$100000, G50,
  raw_stack!F$2:F$100000, "Iya",
  raw_stack!G$2:G$100000, "&gt;="&amp;DATE(2026,3,1),
  raw_stack!G$2:G$100000, "&lt;="&amp;EOMONTH(DATE(2026,3,1),0)
 ),
 IF(OR(_xlpm.x=0, _xlpm.x=""), "-", _xlpm.x)
)</f>
        <v>-</v>
      </c>
      <c r="AG50" s="55" t="str">
        <f>_xlfn.LET(
 _xlpm.x,
 _xlfn.MAXIFS(
  raw_stack!G$2:G$100000,
  raw_stack!D$2:D$100000, G50,
  raw_stack!F$2:F$100000, "Iya",
  raw_stack!G$2:G$100000, "&gt;="&amp;DATE(2026,4,1),
  raw_stack!G$2:G$100000, "&lt;="&amp;EOMONTH(DATE(2026,4,1),0)
 ),
 IF(_xlpm.x=0, "-", _xlpm.x)
)</f>
        <v>-</v>
      </c>
      <c r="AH50" s="56" t="str">
        <f>_xlfn.LET(
 _xlpm.x,
 _xlfn.MAXIFS(
  raw_stack!H$2:H$100000,
  raw_stack!D$2:D$100000, G50,
  raw_stack!F$2:F$100000, "Iya",
  raw_stack!G$2:G$100000, "&gt;="&amp;DATE(2026,4,1),
  raw_stack!G$2:G$100000, "&lt;="&amp;EOMONTH(DATE(2026,4,1),0)
 ),
 IF(OR(_xlpm.x=0, _xlpm.x=""), "-", _xlpm.x)
)</f>
        <v>-</v>
      </c>
    </row>
    <row r="51" spans="1:34">
      <c r="A51" s="48">
        <v>50</v>
      </c>
      <c r="B51" s="49" t="str">
        <f t="shared" si="0"/>
        <v>39196</v>
      </c>
      <c r="C51" s="50" t="s">
        <v>46</v>
      </c>
      <c r="D51" s="51" t="s">
        <v>501</v>
      </c>
      <c r="E51" s="51" t="s">
        <v>51</v>
      </c>
      <c r="F51" s="49" t="s">
        <v>117</v>
      </c>
      <c r="G51" s="49" t="s">
        <v>167</v>
      </c>
      <c r="H51" s="49" t="s">
        <v>48</v>
      </c>
      <c r="I51" s="49" t="s">
        <v>52</v>
      </c>
      <c r="J51" s="52">
        <v>3380000</v>
      </c>
      <c r="K51" s="53">
        <v>45993</v>
      </c>
      <c r="L51" s="53">
        <v>46174</v>
      </c>
      <c r="M51" s="53">
        <v>46054</v>
      </c>
      <c r="N51" s="49" t="s">
        <v>50</v>
      </c>
      <c r="O51" s="54">
        <f>_xlfn.LET(
 _xlpm.x,
 _xlfn.MAXIFS(
  raw_stack!G$2:G$100000,
  raw_stack!D$2:D$100000, G51,
  raw_stack!F$2:F$100000, "Iya",
  raw_stack!G$2:G$100000, "&gt;="&amp;DATE(2025,7,1),
  raw_stack!G$2:G$100000, "&lt;="&amp;EOMONTH(DATE(2025,7,1),0)
 ),
 IF(_xlpm.x=0, "-", _xlpm.x)
)</f>
        <v>45841</v>
      </c>
      <c r="P51" s="65">
        <f>_xlfn.LET(
 _xlpm.x,
 _xlfn.MAXIFS(
  raw_stack!H$2:H$100000,
  raw_stack!D$2:D$100000, G51,
  raw_stack!F$2:F$100000, "Iya",
  raw_stack!G$2:G$100000, "&gt;="&amp;DATE(2025,7,1),
  raw_stack!G$2:G$100000, "&lt;="&amp;EOMONTH(DATE(2025,7,1),0)
 ),
 IF(OR(_xlpm.x=0, _xlpm.x=""), "-", _xlpm.x)
)</f>
        <v>32053</v>
      </c>
      <c r="Q51" s="54" t="str">
        <f>_xlfn.LET(
 _xlpm.x,
 _xlfn.MAXIFS(
  raw_stack!G$2:G$99411,
  raw_stack!D$2:D$99411, G51,
  raw_stack!F$2:F$99411, "Iya",
  raw_stack!G$2:G$99411, "&gt;="&amp;DATE(2025,8,1),
  raw_stack!G$2:G$99411, "&lt;="&amp;EOMONTH(DATE(2025,8,1),0)
 ),
 IF(_xlpm.x=0, "-", _xlpm.x)
)</f>
        <v>-</v>
      </c>
      <c r="R51" s="65" t="str">
        <f>_xlfn.LET(
 _xlpm.x,
 _xlfn.MAXIFS(
  raw_stack!H$2:H$100000,
  raw_stack!D$2:D$100000, G51,
  raw_stack!F$2:F$100000, "Iya",
  raw_stack!G$2:G$100000, "&gt;="&amp;DATE(2025,8,1),
  raw_stack!G$2:G$100000, "&lt;="&amp;EOMONTH(DATE(2025,8,1),0)
 ),
 IF(OR(_xlpm.x=0, _xlpm.x=""), "-", _xlpm.x)
)</f>
        <v>-</v>
      </c>
      <c r="S51" s="54" t="str">
        <f>_xlfn.LET(
 _xlpm.x,
 _xlfn.MAXIFS(
  raw_stack!G$2:G$99411,
  raw_stack!D$2:D$99411, G51,
  raw_stack!F$2:F$99411, "Iya",
  raw_stack!G$2:G$99411, "&gt;="&amp;DATE(2025,9,1),
  raw_stack!G$2:G$99411, "&lt;="&amp;EOMONTH(DATE(2025,9,1),0)
 ),
 IF(_xlpm.x=0, "-", _xlpm.x)
)</f>
        <v>-</v>
      </c>
      <c r="T51" s="65" t="str">
        <f>_xlfn.LET(
 _xlpm.x,
 _xlfn.MAXIFS(
  raw_stack!H$2:H$100000,
  raw_stack!D$2:D$100000, G51,
  raw_stack!F$2:F$100000, "Iya",
  raw_stack!G$2:G$100000, "&gt;="&amp;DATE(2025,9,1),
  raw_stack!G$2:G$100000, "&lt;="&amp;EOMONTH(DATE(2025,9,1),0)
 ),
 IF(OR(_xlpm.x=0, _xlpm.x=""), "-", _xlpm.x)
)</f>
        <v>-</v>
      </c>
      <c r="U51" s="54" t="str">
        <f>_xlfn.LET(
 _xlpm.x,
 _xlfn.MAXIFS(
  raw_stack!G$2:G$99411,
  raw_stack!D$2:D$99411, G51,
  raw_stack!F$2:F$99411, "Iya",
  raw_stack!G$2:G$99411, "&gt;="&amp;DATE(2025,10,1),
  raw_stack!G$2:G$99411, "&lt;="&amp;EOMONTH(DATE(2025,10,1),0)
 ),
 IF(_xlpm.x=0, "-", _xlpm.x)
)</f>
        <v>-</v>
      </c>
      <c r="V51" s="65" t="str">
        <f>_xlfn.LET(
 _xlpm.x,
 _xlfn.MAXIFS(
  raw_stack!H$2:H$100000,
  raw_stack!D$2:D$100000, G51,
  raw_stack!F$2:F$100000, "Iya",
  raw_stack!G$2:G$100000, "&gt;="&amp;DATE(2025,10,1),
  raw_stack!G$2:G$100000, "&lt;="&amp;EOMONTH(DATE(2025,10,1),0)
 ),
 IF(OR(_xlpm.x=0, _xlpm.x=""), "-", _xlpm.x)
)</f>
        <v>-</v>
      </c>
      <c r="W51" s="55" t="str">
        <f>_xlfn.LET(
 _xlpm.x,
 _xlfn.MAXIFS(
  raw_stack!G$2:G$99411,
  raw_stack!D$2:D$99411, G51,
  raw_stack!F$2:F$99411, "Iya",
  raw_stack!G$2:G$99411, "&gt;="&amp;DATE(2025,11,1),
  raw_stack!G$2:G$99411, "&lt;="&amp;EOMONTH(DATE(2025,11,1),0)
 ),
 IF(_xlpm.x=0, "-", _xlpm.x)
)</f>
        <v>-</v>
      </c>
      <c r="X51" s="56" t="str">
        <f>_xlfn.LET(
 _xlpm.x,
 _xlfn.MAXIFS(
  raw_stack!H$2:H$100000,
  raw_stack!D$2:D$100000, G51,
  raw_stack!F$2:F$100000, "Iya",
  raw_stack!G$2:G$100000, "&gt;="&amp;DATE(2025,11,1),
  raw_stack!G$2:G$100000, "&lt;="&amp;EOMONTH(DATE(2025,11,1),0)
 ),
 IF(OR(_xlpm.x=0, _xlpm.x=""), "-", _xlpm.x)
)</f>
        <v>-</v>
      </c>
      <c r="Y51" s="55" t="str">
        <f>_xlfn.LET(
 _xlpm.x,
 _xlfn.MAXIFS(
  raw_stack!G$2:G$99411,
  raw_stack!D$2:D$99411, G51,
  raw_stack!F$2:F$99411, "Iya",
  raw_stack!G$2:G$99411, "&gt;="&amp;DATE(2025,12,1),
  raw_stack!G$2:G$99411, "&lt;="&amp;EOMONTH(DATE(2025,12,1),0)
 ),
 IF(_xlpm.x=0, "-", _xlpm.x)
)</f>
        <v>-</v>
      </c>
      <c r="Z51" s="56" t="str">
        <f>_xlfn.LET(
 _xlpm.x,
 _xlfn.MAXIFS(
  raw_stack!H$2:H$100000,
  raw_stack!D$2:D$100000, G51,
  raw_stack!F$2:F$100000, "Iya",
  raw_stack!G$2:G$100000, "&gt;="&amp;DATE(2025,12,1),
  raw_stack!G$2:G$100000, "&lt;="&amp;EOMONTH(DATE(2025,12,1),0)
 ),
 IF(OR(_xlpm.x=0, _xlpm.x=""), "-", _xlpm.x)
)</f>
        <v>-</v>
      </c>
      <c r="AA51" s="55" t="str">
        <f>_xlfn.LET(
 _xlpm.x,
 _xlfn.MAXIFS(
  raw_stack!G$2:G$99411,
  raw_stack!D$2:D$99411, G51,
  raw_stack!F$2:F$99411, "Iya",
  raw_stack!G$2:G$99411, "&gt;="&amp;DATE(2026,1,1),
  raw_stack!G$2:G$99411, "&lt;="&amp;EOMONTH(DATE(2026,1,1),0)
 ),
 IF(_xlpm.x=0, "-", _xlpm.x)
)</f>
        <v>-</v>
      </c>
      <c r="AB51" s="56" t="str">
        <f>_xlfn.LET(
 _xlpm.x,
 _xlfn.MAXIFS(
  raw_stack!H$2:H$100000,
  raw_stack!D$2:D$100000, G51,
  raw_stack!F$2:F$100000, "Iya",
  raw_stack!G$2:G$100000, "&gt;="&amp;DATE(2026,1,1),
  raw_stack!G$2:G$100000, "&lt;="&amp;EOMONTH(DATE(2026,1,1),0)
 ),
 IF(OR(_xlpm.x=0, _xlpm.x=""), "-", _xlpm.x)
)</f>
        <v>-</v>
      </c>
      <c r="AC51" s="55" t="str">
        <f>_xlfn.LET(
 _xlpm.x,
 _xlfn.MAXIFS(
  raw_stack!G$2:G$99411,
  raw_stack!D$2:D$99411, G51,
  raw_stack!F$2:F$99411, "Iya",
  raw_stack!G$2:G$99411, "&gt;="&amp;DATE(2026,2,1),
  raw_stack!G$2:G$99411, "&lt;="&amp;EOMONTH(DATE(2026,2,1),0)
 ),
 IF(_xlpm.x=0, "-", _xlpm.x)
)</f>
        <v>-</v>
      </c>
      <c r="AD51" s="56" t="str">
        <f>_xlfn.LET(
 _xlpm.x,
 _xlfn.MAXIFS(
  raw_stack!H$2:H$100000,
  raw_stack!D$2:D$100000, G51,
  raw_stack!F$2:F$100000, "Iya",
  raw_stack!G$2:G$100000, "&gt;="&amp;DATE(2026,2,1),
  raw_stack!G$2:G$100000, "&lt;="&amp;EOMONTH(DATE(2026,2,1),0)
 ),
 IF(OR(_xlpm.x=0, _xlpm.x=""), "-", _xlpm.x)
)</f>
        <v>-</v>
      </c>
      <c r="AE51" s="55" t="str">
        <f>_xlfn.LET(
 _xlpm.x,
 _xlfn.MAXIFS(
  raw_stack!G$2:G$100000,
  raw_stack!D$2:D$100000, G51,
  raw_stack!F$2:F$100000, "Iya",
  raw_stack!G$2:G$100000, "&gt;="&amp;DATE(2026,3,1),
  raw_stack!G$2:G$100000, "&lt;="&amp;EOMONTH(DATE(2026,3,1),0)
 ),
 IF(_xlpm.x=0, "-", _xlpm.x)
)</f>
        <v>-</v>
      </c>
      <c r="AF51" s="56" t="str">
        <f>_xlfn.LET(
 _xlpm.x,
 _xlfn.MAXIFS(
  raw_stack!H$2:H$100000,
  raw_stack!D$2:D$100000, G51,
  raw_stack!F$2:F$100000, "Iya",
  raw_stack!G$2:G$100000, "&gt;="&amp;DATE(2026,3,1),
  raw_stack!G$2:G$100000, "&lt;="&amp;EOMONTH(DATE(2026,3,1),0)
 ),
 IF(OR(_xlpm.x=0, _xlpm.x=""), "-", _xlpm.x)
)</f>
        <v>-</v>
      </c>
      <c r="AG51" s="55" t="str">
        <f>_xlfn.LET(
 _xlpm.x,
 _xlfn.MAXIFS(
  raw_stack!G$2:G$100000,
  raw_stack!D$2:D$100000, G51,
  raw_stack!F$2:F$100000, "Iya",
  raw_stack!G$2:G$100000, "&gt;="&amp;DATE(2026,4,1),
  raw_stack!G$2:G$100000, "&lt;="&amp;EOMONTH(DATE(2026,4,1),0)
 ),
 IF(_xlpm.x=0, "-", _xlpm.x)
)</f>
        <v>-</v>
      </c>
      <c r="AH51" s="56" t="str">
        <f>_xlfn.LET(
 _xlpm.x,
 _xlfn.MAXIFS(
  raw_stack!H$2:H$100000,
  raw_stack!D$2:D$100000, G51,
  raw_stack!F$2:F$100000, "Iya",
  raw_stack!G$2:G$100000, "&gt;="&amp;DATE(2026,4,1),
  raw_stack!G$2:G$100000, "&lt;="&amp;EOMONTH(DATE(2026,4,1),0)
 ),
 IF(OR(_xlpm.x=0, _xlpm.x=""), "-", _xlpm.x)
)</f>
        <v>-</v>
      </c>
    </row>
    <row r="52" spans="1:34">
      <c r="A52" s="48">
        <v>51</v>
      </c>
      <c r="B52" s="49" t="str">
        <f t="shared" si="0"/>
        <v>35756</v>
      </c>
      <c r="C52" s="50" t="s">
        <v>46</v>
      </c>
      <c r="D52" s="51" t="s">
        <v>502</v>
      </c>
      <c r="E52" s="51" t="s">
        <v>54</v>
      </c>
      <c r="F52" s="49" t="s">
        <v>117</v>
      </c>
      <c r="G52" s="49" t="s">
        <v>168</v>
      </c>
      <c r="H52" s="49" t="s">
        <v>48</v>
      </c>
      <c r="I52" s="49" t="s">
        <v>52</v>
      </c>
      <c r="J52" s="52">
        <v>6500000</v>
      </c>
      <c r="K52" s="53">
        <v>45089</v>
      </c>
      <c r="L52" s="53">
        <v>46184</v>
      </c>
      <c r="M52" s="53">
        <v>46092</v>
      </c>
      <c r="N52" s="49" t="s">
        <v>50</v>
      </c>
      <c r="O52" s="54" t="str">
        <f>_xlfn.LET(
 _xlpm.x,
 _xlfn.MAXIFS(
  raw_stack!G$2:G$100000,
  raw_stack!D$2:D$100000, G52,
  raw_stack!F$2:F$100000, "Iya",
  raw_stack!G$2:G$100000, "&gt;="&amp;DATE(2025,7,1),
  raw_stack!G$2:G$100000, "&lt;="&amp;EOMONTH(DATE(2025,7,1),0)
 ),
 IF(_xlpm.x=0, "-", _xlpm.x)
)</f>
        <v>-</v>
      </c>
      <c r="P52" s="65" t="str">
        <f>_xlfn.LET(
 _xlpm.x,
 _xlfn.MAXIFS(
  raw_stack!H$2:H$100000,
  raw_stack!D$2:D$100000, G52,
  raw_stack!F$2:F$100000, "Iya",
  raw_stack!G$2:G$100000, "&gt;="&amp;DATE(2025,7,1),
  raw_stack!G$2:G$100000, "&lt;="&amp;EOMONTH(DATE(2025,7,1),0)
 ),
 IF(OR(_xlpm.x=0, _xlpm.x=""), "-", _xlpm.x)
)</f>
        <v>-</v>
      </c>
      <c r="Q52" s="54" t="str">
        <f>_xlfn.LET(
 _xlpm.x,
 _xlfn.MAXIFS(
  raw_stack!G$2:G$99411,
  raw_stack!D$2:D$99411, G52,
  raw_stack!F$2:F$99411, "Iya",
  raw_stack!G$2:G$99411, "&gt;="&amp;DATE(2025,8,1),
  raw_stack!G$2:G$99411, "&lt;="&amp;EOMONTH(DATE(2025,8,1),0)
 ),
 IF(_xlpm.x=0, "-", _xlpm.x)
)</f>
        <v>-</v>
      </c>
      <c r="R52" s="65" t="str">
        <f>_xlfn.LET(
 _xlpm.x,
 _xlfn.MAXIFS(
  raw_stack!H$2:H$100000,
  raw_stack!D$2:D$100000, G52,
  raw_stack!F$2:F$100000, "Iya",
  raw_stack!G$2:G$100000, "&gt;="&amp;DATE(2025,8,1),
  raw_stack!G$2:G$100000, "&lt;="&amp;EOMONTH(DATE(2025,8,1),0)
 ),
 IF(OR(_xlpm.x=0, _xlpm.x=""), "-", _xlpm.x)
)</f>
        <v>-</v>
      </c>
      <c r="S52" s="54" t="str">
        <f>_xlfn.LET(
 _xlpm.x,
 _xlfn.MAXIFS(
  raw_stack!G$2:G$99411,
  raw_stack!D$2:D$99411, G52,
  raw_stack!F$2:F$99411, "Iya",
  raw_stack!G$2:G$99411, "&gt;="&amp;DATE(2025,9,1),
  raw_stack!G$2:G$99411, "&lt;="&amp;EOMONTH(DATE(2025,9,1),0)
 ),
 IF(_xlpm.x=0, "-", _xlpm.x)
)</f>
        <v>-</v>
      </c>
      <c r="T52" s="65" t="str">
        <f>_xlfn.LET(
 _xlpm.x,
 _xlfn.MAXIFS(
  raw_stack!H$2:H$100000,
  raw_stack!D$2:D$100000, G52,
  raw_stack!F$2:F$100000, "Iya",
  raw_stack!G$2:G$100000, "&gt;="&amp;DATE(2025,9,1),
  raw_stack!G$2:G$100000, "&lt;="&amp;EOMONTH(DATE(2025,9,1),0)
 ),
 IF(OR(_xlpm.x=0, _xlpm.x=""), "-", _xlpm.x)
)</f>
        <v>-</v>
      </c>
      <c r="U52" s="54">
        <f>_xlfn.LET(
 _xlpm.x,
 _xlfn.MAXIFS(
  raw_stack!G$2:G$99411,
  raw_stack!D$2:D$99411, G52,
  raw_stack!F$2:F$99411, "Iya",
  raw_stack!G$2:G$99411, "&gt;="&amp;DATE(2025,10,1),
  raw_stack!G$2:G$99411, "&lt;="&amp;EOMONTH(DATE(2025,10,1),0)
 ),
 IF(_xlpm.x=0, "-", _xlpm.x)
)</f>
        <v>45957</v>
      </c>
      <c r="V52" s="65">
        <f>_xlfn.LET(
 _xlpm.x,
 _xlfn.MAXIFS(
  raw_stack!H$2:H$100000,
  raw_stack!D$2:D$100000, G52,
  raw_stack!F$2:F$100000, "Iya",
  raw_stack!G$2:G$100000, "&gt;="&amp;DATE(2025,10,1),
  raw_stack!G$2:G$100000, "&lt;="&amp;EOMONTH(DATE(2025,10,1),0)
 ),
 IF(OR(_xlpm.x=0, _xlpm.x=""), "-", _xlpm.x)
)</f>
        <v>71917</v>
      </c>
      <c r="W52" s="55" t="str">
        <f>_xlfn.LET(
 _xlpm.x,
 _xlfn.MAXIFS(
  raw_stack!G$2:G$99411,
  raw_stack!D$2:D$99411, G52,
  raw_stack!F$2:F$99411, "Iya",
  raw_stack!G$2:G$99411, "&gt;="&amp;DATE(2025,11,1),
  raw_stack!G$2:G$99411, "&lt;="&amp;EOMONTH(DATE(2025,11,1),0)
 ),
 IF(_xlpm.x=0, "-", _xlpm.x)
)</f>
        <v>-</v>
      </c>
      <c r="X52" s="56" t="str">
        <f>_xlfn.LET(
 _xlpm.x,
 _xlfn.MAXIFS(
  raw_stack!H$2:H$100000,
  raw_stack!D$2:D$100000, G52,
  raw_stack!F$2:F$100000, "Iya",
  raw_stack!G$2:G$100000, "&gt;="&amp;DATE(2025,11,1),
  raw_stack!G$2:G$100000, "&lt;="&amp;EOMONTH(DATE(2025,11,1),0)
 ),
 IF(OR(_xlpm.x=0, _xlpm.x=""), "-", _xlpm.x)
)</f>
        <v>-</v>
      </c>
      <c r="Y52" s="55" t="str">
        <f>_xlfn.LET(
 _xlpm.x,
 _xlfn.MAXIFS(
  raw_stack!G$2:G$99411,
  raw_stack!D$2:D$99411, G52,
  raw_stack!F$2:F$99411, "Iya",
  raw_stack!G$2:G$99411, "&gt;="&amp;DATE(2025,12,1),
  raw_stack!G$2:G$99411, "&lt;="&amp;EOMONTH(DATE(2025,12,1),0)
 ),
 IF(_xlpm.x=0, "-", _xlpm.x)
)</f>
        <v>-</v>
      </c>
      <c r="Z52" s="56" t="str">
        <f>_xlfn.LET(
 _xlpm.x,
 _xlfn.MAXIFS(
  raw_stack!H$2:H$100000,
  raw_stack!D$2:D$100000, G52,
  raw_stack!F$2:F$100000, "Iya",
  raw_stack!G$2:G$100000, "&gt;="&amp;DATE(2025,12,1),
  raw_stack!G$2:G$100000, "&lt;="&amp;EOMONTH(DATE(2025,12,1),0)
 ),
 IF(OR(_xlpm.x=0, _xlpm.x=""), "-", _xlpm.x)
)</f>
        <v>-</v>
      </c>
      <c r="AA52" s="55" t="str">
        <f>_xlfn.LET(
 _xlpm.x,
 _xlfn.MAXIFS(
  raw_stack!G$2:G$99411,
  raw_stack!D$2:D$99411, G52,
  raw_stack!F$2:F$99411, "Iya",
  raw_stack!G$2:G$99411, "&gt;="&amp;DATE(2026,1,1),
  raw_stack!G$2:G$99411, "&lt;="&amp;EOMONTH(DATE(2026,1,1),0)
 ),
 IF(_xlpm.x=0, "-", _xlpm.x)
)</f>
        <v>-</v>
      </c>
      <c r="AB52" s="56" t="str">
        <f>_xlfn.LET(
 _xlpm.x,
 _xlfn.MAXIFS(
  raw_stack!H$2:H$100000,
  raw_stack!D$2:D$100000, G52,
  raw_stack!F$2:F$100000, "Iya",
  raw_stack!G$2:G$100000, "&gt;="&amp;DATE(2026,1,1),
  raw_stack!G$2:G$100000, "&lt;="&amp;EOMONTH(DATE(2026,1,1),0)
 ),
 IF(OR(_xlpm.x=0, _xlpm.x=""), "-", _xlpm.x)
)</f>
        <v>-</v>
      </c>
      <c r="AC52" s="55" t="str">
        <f>_xlfn.LET(
 _xlpm.x,
 _xlfn.MAXIFS(
  raw_stack!G$2:G$99411,
  raw_stack!D$2:D$99411, G52,
  raw_stack!F$2:F$99411, "Iya",
  raw_stack!G$2:G$99411, "&gt;="&amp;DATE(2026,2,1),
  raw_stack!G$2:G$99411, "&lt;="&amp;EOMONTH(DATE(2026,2,1),0)
 ),
 IF(_xlpm.x=0, "-", _xlpm.x)
)</f>
        <v>-</v>
      </c>
      <c r="AD52" s="56" t="str">
        <f>_xlfn.LET(
 _xlpm.x,
 _xlfn.MAXIFS(
  raw_stack!H$2:H$100000,
  raw_stack!D$2:D$100000, G52,
  raw_stack!F$2:F$100000, "Iya",
  raw_stack!G$2:G$100000, "&gt;="&amp;DATE(2026,2,1),
  raw_stack!G$2:G$100000, "&lt;="&amp;EOMONTH(DATE(2026,2,1),0)
 ),
 IF(OR(_xlpm.x=0, _xlpm.x=""), "-", _xlpm.x)
)</f>
        <v>-</v>
      </c>
      <c r="AE52" s="55" t="str">
        <f>_xlfn.LET(
 _xlpm.x,
 _xlfn.MAXIFS(
  raw_stack!G$2:G$100000,
  raw_stack!D$2:D$100000, G52,
  raw_stack!F$2:F$100000, "Iya",
  raw_stack!G$2:G$100000, "&gt;="&amp;DATE(2026,3,1),
  raw_stack!G$2:G$100000, "&lt;="&amp;EOMONTH(DATE(2026,3,1),0)
 ),
 IF(_xlpm.x=0, "-", _xlpm.x)
)</f>
        <v>-</v>
      </c>
      <c r="AF52" s="56" t="str">
        <f>_xlfn.LET(
 _xlpm.x,
 _xlfn.MAXIFS(
  raw_stack!H$2:H$100000,
  raw_stack!D$2:D$100000, G52,
  raw_stack!F$2:F$100000, "Iya",
  raw_stack!G$2:G$100000, "&gt;="&amp;DATE(2026,3,1),
  raw_stack!G$2:G$100000, "&lt;="&amp;EOMONTH(DATE(2026,3,1),0)
 ),
 IF(OR(_xlpm.x=0, _xlpm.x=""), "-", _xlpm.x)
)</f>
        <v>-</v>
      </c>
      <c r="AG52" s="55" t="str">
        <f>_xlfn.LET(
 _xlpm.x,
 _xlfn.MAXIFS(
  raw_stack!G$2:G$100000,
  raw_stack!D$2:D$100000, G52,
  raw_stack!F$2:F$100000, "Iya",
  raw_stack!G$2:G$100000, "&gt;="&amp;DATE(2026,4,1),
  raw_stack!G$2:G$100000, "&lt;="&amp;EOMONTH(DATE(2026,4,1),0)
 ),
 IF(_xlpm.x=0, "-", _xlpm.x)
)</f>
        <v>-</v>
      </c>
      <c r="AH52" s="56" t="str">
        <f>_xlfn.LET(
 _xlpm.x,
 _xlfn.MAXIFS(
  raw_stack!H$2:H$100000,
  raw_stack!D$2:D$100000, G52,
  raw_stack!F$2:F$100000, "Iya",
  raw_stack!G$2:G$100000, "&gt;="&amp;DATE(2026,4,1),
  raw_stack!G$2:G$100000, "&lt;="&amp;EOMONTH(DATE(2026,4,1),0)
 ),
 IF(OR(_xlpm.x=0, _xlpm.x=""), "-", _xlpm.x)
)</f>
        <v>-</v>
      </c>
    </row>
    <row r="53" spans="1:34">
      <c r="A53" s="48">
        <v>52</v>
      </c>
      <c r="B53" s="49" t="str">
        <f t="shared" si="0"/>
        <v>31566</v>
      </c>
      <c r="C53" s="50" t="s">
        <v>46</v>
      </c>
      <c r="D53" s="51" t="s">
        <v>503</v>
      </c>
      <c r="E53" s="51" t="s">
        <v>54</v>
      </c>
      <c r="F53" s="49" t="s">
        <v>117</v>
      </c>
      <c r="G53" s="49" t="s">
        <v>169</v>
      </c>
      <c r="H53" s="49" t="s">
        <v>48</v>
      </c>
      <c r="I53" s="49" t="s">
        <v>52</v>
      </c>
      <c r="J53" s="52">
        <v>6450000</v>
      </c>
      <c r="K53" s="53">
        <v>45093</v>
      </c>
      <c r="L53" s="53">
        <v>46188</v>
      </c>
      <c r="M53" s="53">
        <v>46037</v>
      </c>
      <c r="N53" s="49" t="s">
        <v>50</v>
      </c>
      <c r="O53" s="54" t="str">
        <f>_xlfn.LET(
 _xlpm.x,
 _xlfn.MAXIFS(
  raw_stack!G$2:G$100000,
  raw_stack!D$2:D$100000, G53,
  raw_stack!F$2:F$100000, "Iya",
  raw_stack!G$2:G$100000, "&gt;="&amp;DATE(2025,7,1),
  raw_stack!G$2:G$100000, "&lt;="&amp;EOMONTH(DATE(2025,7,1),0)
 ),
 IF(_xlpm.x=0, "-", _xlpm.x)
)</f>
        <v>-</v>
      </c>
      <c r="P53" s="65" t="str">
        <f>_xlfn.LET(
 _xlpm.x,
 _xlfn.MAXIFS(
  raw_stack!H$2:H$100000,
  raw_stack!D$2:D$100000, G53,
  raw_stack!F$2:F$100000, "Iya",
  raw_stack!G$2:G$100000, "&gt;="&amp;DATE(2025,7,1),
  raw_stack!G$2:G$100000, "&lt;="&amp;EOMONTH(DATE(2025,7,1),0)
 ),
 IF(OR(_xlpm.x=0, _xlpm.x=""), "-", _xlpm.x)
)</f>
        <v>-</v>
      </c>
      <c r="Q53" s="54">
        <f>_xlfn.LET(
 _xlpm.x,
 _xlfn.MAXIFS(
  raw_stack!G$2:G$99411,
  raw_stack!D$2:D$99411, G53,
  raw_stack!F$2:F$99411, "Iya",
  raw_stack!G$2:G$99411, "&gt;="&amp;DATE(2025,8,1),
  raw_stack!G$2:G$99411, "&lt;="&amp;EOMONTH(DATE(2025,8,1),0)
 ),
 IF(_xlpm.x=0, "-", _xlpm.x)
)</f>
        <v>45874</v>
      </c>
      <c r="R53" s="65">
        <f>_xlfn.LET(
 _xlpm.x,
 _xlfn.MAXIFS(
  raw_stack!H$2:H$100000,
  raw_stack!D$2:D$100000, G53,
  raw_stack!F$2:F$100000, "Iya",
  raw_stack!G$2:G$100000, "&gt;="&amp;DATE(2025,8,1),
  raw_stack!G$2:G$100000, "&lt;="&amp;EOMONTH(DATE(2025,8,1),0)
 ),
 IF(OR(_xlpm.x=0, _xlpm.x=""), "-", _xlpm.x)
)</f>
        <v>90432</v>
      </c>
      <c r="S53" s="54" t="str">
        <f>_xlfn.LET(
 _xlpm.x,
 _xlfn.MAXIFS(
  raw_stack!G$2:G$99411,
  raw_stack!D$2:D$99411, G53,
  raw_stack!F$2:F$99411, "Iya",
  raw_stack!G$2:G$99411, "&gt;="&amp;DATE(2025,9,1),
  raw_stack!G$2:G$99411, "&lt;="&amp;EOMONTH(DATE(2025,9,1),0)
 ),
 IF(_xlpm.x=0, "-", _xlpm.x)
)</f>
        <v>-</v>
      </c>
      <c r="T53" s="65" t="str">
        <f>_xlfn.LET(
 _xlpm.x,
 _xlfn.MAXIFS(
  raw_stack!H$2:H$100000,
  raw_stack!D$2:D$100000, G53,
  raw_stack!F$2:F$100000, "Iya",
  raw_stack!G$2:G$100000, "&gt;="&amp;DATE(2025,9,1),
  raw_stack!G$2:G$100000, "&lt;="&amp;EOMONTH(DATE(2025,9,1),0)
 ),
 IF(OR(_xlpm.x=0, _xlpm.x=""), "-", _xlpm.x)
)</f>
        <v>-</v>
      </c>
      <c r="U53" s="54">
        <f>_xlfn.LET(
 _xlpm.x,
 _xlfn.MAXIFS(
  raw_stack!G$2:G$99411,
  raw_stack!D$2:D$99411, G53,
  raw_stack!F$2:F$99411, "Iya",
  raw_stack!G$2:G$99411, "&gt;="&amp;DATE(2025,10,1),
  raw_stack!G$2:G$99411, "&lt;="&amp;EOMONTH(DATE(2025,10,1),0)
 ),
 IF(_xlpm.x=0, "-", _xlpm.x)
)</f>
        <v>45931</v>
      </c>
      <c r="V53" s="65">
        <f>_xlfn.LET(
 _xlpm.x,
 _xlfn.MAXIFS(
  raw_stack!H$2:H$100000,
  raw_stack!D$2:D$100000, G53,
  raw_stack!F$2:F$100000, "Iya",
  raw_stack!G$2:G$100000, "&gt;="&amp;DATE(2025,10,1),
  raw_stack!G$2:G$100000, "&lt;="&amp;EOMONTH(DATE(2025,10,1),0)
 ),
 IF(OR(_xlpm.x=0, _xlpm.x=""), "-", _xlpm.x)
)</f>
        <v>98311</v>
      </c>
      <c r="W53" s="55" t="str">
        <f>_xlfn.LET(
 _xlpm.x,
 _xlfn.MAXIFS(
  raw_stack!G$2:G$99411,
  raw_stack!D$2:D$99411, G53,
  raw_stack!F$2:F$99411, "Iya",
  raw_stack!G$2:G$99411, "&gt;="&amp;DATE(2025,11,1),
  raw_stack!G$2:G$99411, "&lt;="&amp;EOMONTH(DATE(2025,11,1),0)
 ),
 IF(_xlpm.x=0, "-", _xlpm.x)
)</f>
        <v>-</v>
      </c>
      <c r="X53" s="56" t="str">
        <f>_xlfn.LET(
 _xlpm.x,
 _xlfn.MAXIFS(
  raw_stack!H$2:H$100000,
  raw_stack!D$2:D$100000, G53,
  raw_stack!F$2:F$100000, "Iya",
  raw_stack!G$2:G$100000, "&gt;="&amp;DATE(2025,11,1),
  raw_stack!G$2:G$100000, "&lt;="&amp;EOMONTH(DATE(2025,11,1),0)
 ),
 IF(OR(_xlpm.x=0, _xlpm.x=""), "-", _xlpm.x)
)</f>
        <v>-</v>
      </c>
      <c r="Y53" s="55">
        <f>_xlfn.LET(
 _xlpm.x,
 _xlfn.MAXIFS(
  raw_stack!G$2:G$99411,
  raw_stack!D$2:D$99411, G53,
  raw_stack!F$2:F$99411, "Iya",
  raw_stack!G$2:G$99411, "&gt;="&amp;DATE(2025,12,1),
  raw_stack!G$2:G$99411, "&lt;="&amp;EOMONTH(DATE(2025,12,1),0)
 ),
 IF(_xlpm.x=0, "-", _xlpm.x)
)</f>
        <v>46015</v>
      </c>
      <c r="Z53" s="56">
        <f>_xlfn.LET(
 _xlpm.x,
 _xlfn.MAXIFS(
  raw_stack!H$2:H$100000,
  raw_stack!D$2:D$100000, G53,
  raw_stack!F$2:F$100000, "Iya",
  raw_stack!G$2:G$100000, "&gt;="&amp;DATE(2025,12,1),
  raw_stack!G$2:G$100000, "&lt;="&amp;EOMONTH(DATE(2025,12,1),0)
 ),
 IF(OR(_xlpm.x=0, _xlpm.x=""), "-", _xlpm.x)
)</f>
        <v>112724</v>
      </c>
      <c r="AA53" s="55" t="str">
        <f>_xlfn.LET(
 _xlpm.x,
 _xlfn.MAXIFS(
  raw_stack!G$2:G$99411,
  raw_stack!D$2:D$99411, G53,
  raw_stack!F$2:F$99411, "Iya",
  raw_stack!G$2:G$99411, "&gt;="&amp;DATE(2026,1,1),
  raw_stack!G$2:G$99411, "&lt;="&amp;EOMONTH(DATE(2026,1,1),0)
 ),
 IF(_xlpm.x=0, "-", _xlpm.x)
)</f>
        <v>-</v>
      </c>
      <c r="AB53" s="56" t="str">
        <f>_xlfn.LET(
 _xlpm.x,
 _xlfn.MAXIFS(
  raw_stack!H$2:H$100000,
  raw_stack!D$2:D$100000, G53,
  raw_stack!F$2:F$100000, "Iya",
  raw_stack!G$2:G$100000, "&gt;="&amp;DATE(2026,1,1),
  raw_stack!G$2:G$100000, "&lt;="&amp;EOMONTH(DATE(2026,1,1),0)
 ),
 IF(OR(_xlpm.x=0, _xlpm.x=""), "-", _xlpm.x)
)</f>
        <v>-</v>
      </c>
      <c r="AC53" s="55" t="str">
        <f>_xlfn.LET(
 _xlpm.x,
 _xlfn.MAXIFS(
  raw_stack!G$2:G$99411,
  raw_stack!D$2:D$99411, G53,
  raw_stack!F$2:F$99411, "Iya",
  raw_stack!G$2:G$99411, "&gt;="&amp;DATE(2026,2,1),
  raw_stack!G$2:G$99411, "&lt;="&amp;EOMONTH(DATE(2026,2,1),0)
 ),
 IF(_xlpm.x=0, "-", _xlpm.x)
)</f>
        <v>-</v>
      </c>
      <c r="AD53" s="56" t="str">
        <f>_xlfn.LET(
 _xlpm.x,
 _xlfn.MAXIFS(
  raw_stack!H$2:H$100000,
  raw_stack!D$2:D$100000, G53,
  raw_stack!F$2:F$100000, "Iya",
  raw_stack!G$2:G$100000, "&gt;="&amp;DATE(2026,2,1),
  raw_stack!G$2:G$100000, "&lt;="&amp;EOMONTH(DATE(2026,2,1),0)
 ),
 IF(OR(_xlpm.x=0, _xlpm.x=""), "-", _xlpm.x)
)</f>
        <v>-</v>
      </c>
      <c r="AE53" s="55">
        <f>_xlfn.LET(
 _xlpm.x,
 _xlfn.MAXIFS(
  raw_stack!G$2:G$100000,
  raw_stack!D$2:D$100000, G53,
  raw_stack!F$2:F$100000, "Iya",
  raw_stack!G$2:G$100000, "&gt;="&amp;DATE(2026,3,1),
  raw_stack!G$2:G$100000, "&lt;="&amp;EOMONTH(DATE(2026,3,1),0)
 ),
 IF(_xlpm.x=0, "-", _xlpm.x)
)</f>
        <v>46097</v>
      </c>
      <c r="AF53" s="56">
        <f>_xlfn.LET(
 _xlpm.x,
 _xlfn.MAXIFS(
  raw_stack!H$2:H$100000,
  raw_stack!D$2:D$100000, G53,
  raw_stack!F$2:F$100000, "Iya",
  raw_stack!G$2:G$100000, "&gt;="&amp;DATE(2026,3,1),
  raw_stack!G$2:G$100000, "&lt;="&amp;EOMONTH(DATE(2026,3,1),0)
 ),
 IF(OR(_xlpm.x=0, _xlpm.x=""), "-", _xlpm.x)
)</f>
        <v>101040</v>
      </c>
      <c r="AG53" s="55" t="str">
        <f>_xlfn.LET(
 _xlpm.x,
 _xlfn.MAXIFS(
  raw_stack!G$2:G$100000,
  raw_stack!D$2:D$100000, G53,
  raw_stack!F$2:F$100000, "Iya",
  raw_stack!G$2:G$100000, "&gt;="&amp;DATE(2026,4,1),
  raw_stack!G$2:G$100000, "&lt;="&amp;EOMONTH(DATE(2026,4,1),0)
 ),
 IF(_xlpm.x=0, "-", _xlpm.x)
)</f>
        <v>-</v>
      </c>
      <c r="AH53" s="56" t="str">
        <f>_xlfn.LET(
 _xlpm.x,
 _xlfn.MAXIFS(
  raw_stack!H$2:H$100000,
  raw_stack!D$2:D$100000, G53,
  raw_stack!F$2:F$100000, "Iya",
  raw_stack!G$2:G$100000, "&gt;="&amp;DATE(2026,4,1),
  raw_stack!G$2:G$100000, "&lt;="&amp;EOMONTH(DATE(2026,4,1),0)
 ),
 IF(OR(_xlpm.x=0, _xlpm.x=""), "-", _xlpm.x)
)</f>
        <v>-</v>
      </c>
    </row>
    <row r="54" spans="1:34">
      <c r="A54" s="48">
        <v>53</v>
      </c>
      <c r="B54" s="49" t="str">
        <f t="shared" si="0"/>
        <v>25152</v>
      </c>
      <c r="C54" s="50" t="s">
        <v>46</v>
      </c>
      <c r="D54" s="51" t="s">
        <v>504</v>
      </c>
      <c r="E54" s="51" t="s">
        <v>51</v>
      </c>
      <c r="F54" s="49" t="s">
        <v>117</v>
      </c>
      <c r="G54" s="49" t="s">
        <v>170</v>
      </c>
      <c r="H54" s="49" t="s">
        <v>48</v>
      </c>
      <c r="I54" s="49" t="s">
        <v>52</v>
      </c>
      <c r="J54" s="52">
        <v>4105000</v>
      </c>
      <c r="K54" s="53">
        <v>45093</v>
      </c>
      <c r="L54" s="53">
        <v>46188</v>
      </c>
      <c r="M54" s="53">
        <v>46096</v>
      </c>
      <c r="N54" s="49" t="s">
        <v>50</v>
      </c>
      <c r="O54" s="54" t="str">
        <f>_xlfn.LET(
 _xlpm.x,
 _xlfn.MAXIFS(
  raw_stack!G$2:G$100000,
  raw_stack!D$2:D$100000, G54,
  raw_stack!F$2:F$100000, "Iya",
  raw_stack!G$2:G$100000, "&gt;="&amp;DATE(2025,7,1),
  raw_stack!G$2:G$100000, "&lt;="&amp;EOMONTH(DATE(2025,7,1),0)
 ),
 IF(_xlpm.x=0, "-", _xlpm.x)
)</f>
        <v>-</v>
      </c>
      <c r="P54" s="65" t="str">
        <f>_xlfn.LET(
 _xlpm.x,
 _xlfn.MAXIFS(
  raw_stack!H$2:H$100000,
  raw_stack!D$2:D$100000, G54,
  raw_stack!F$2:F$100000, "Iya",
  raw_stack!G$2:G$100000, "&gt;="&amp;DATE(2025,7,1),
  raw_stack!G$2:G$100000, "&lt;="&amp;EOMONTH(DATE(2025,7,1),0)
 ),
 IF(OR(_xlpm.x=0, _xlpm.x=""), "-", _xlpm.x)
)</f>
        <v>-</v>
      </c>
      <c r="Q54" s="54" t="str">
        <f>_xlfn.LET(
 _xlpm.x,
 _xlfn.MAXIFS(
  raw_stack!G$2:G$99411,
  raw_stack!D$2:D$99411, G54,
  raw_stack!F$2:F$99411, "Iya",
  raw_stack!G$2:G$99411, "&gt;="&amp;DATE(2025,8,1),
  raw_stack!G$2:G$99411, "&lt;="&amp;EOMONTH(DATE(2025,8,1),0)
 ),
 IF(_xlpm.x=0, "-", _xlpm.x)
)</f>
        <v>-</v>
      </c>
      <c r="R54" s="65" t="str">
        <f>_xlfn.LET(
 _xlpm.x,
 _xlfn.MAXIFS(
  raw_stack!H$2:H$100000,
  raw_stack!D$2:D$100000, G54,
  raw_stack!F$2:F$100000, "Iya",
  raw_stack!G$2:G$100000, "&gt;="&amp;DATE(2025,8,1),
  raw_stack!G$2:G$100000, "&lt;="&amp;EOMONTH(DATE(2025,8,1),0)
 ),
 IF(OR(_xlpm.x=0, _xlpm.x=""), "-", _xlpm.x)
)</f>
        <v>-</v>
      </c>
      <c r="S54" s="54" t="str">
        <f>_xlfn.LET(
 _xlpm.x,
 _xlfn.MAXIFS(
  raw_stack!G$2:G$99411,
  raw_stack!D$2:D$99411, G54,
  raw_stack!F$2:F$99411, "Iya",
  raw_stack!G$2:G$99411, "&gt;="&amp;DATE(2025,9,1),
  raw_stack!G$2:G$99411, "&lt;="&amp;EOMONTH(DATE(2025,9,1),0)
 ),
 IF(_xlpm.x=0, "-", _xlpm.x)
)</f>
        <v>-</v>
      </c>
      <c r="T54" s="65" t="str">
        <f>_xlfn.LET(
 _xlpm.x,
 _xlfn.MAXIFS(
  raw_stack!H$2:H$100000,
  raw_stack!D$2:D$100000, G54,
  raw_stack!F$2:F$100000, "Iya",
  raw_stack!G$2:G$100000, "&gt;="&amp;DATE(2025,9,1),
  raw_stack!G$2:G$100000, "&lt;="&amp;EOMONTH(DATE(2025,9,1),0)
 ),
 IF(OR(_xlpm.x=0, _xlpm.x=""), "-", _xlpm.x)
)</f>
        <v>-</v>
      </c>
      <c r="U54" s="54">
        <f>_xlfn.LET(
 _xlpm.x,
 _xlfn.MAXIFS(
  raw_stack!G$2:G$99411,
  raw_stack!D$2:D$99411, G54,
  raw_stack!F$2:F$99411, "Iya",
  raw_stack!G$2:G$99411, "&gt;="&amp;DATE(2025,10,1),
  raw_stack!G$2:G$99411, "&lt;="&amp;EOMONTH(DATE(2025,10,1),0)
 ),
 IF(_xlpm.x=0, "-", _xlpm.x)
)</f>
        <v>45960</v>
      </c>
      <c r="V54" s="65">
        <f>_xlfn.LET(
 _xlpm.x,
 _xlfn.MAXIFS(
  raw_stack!H$2:H$100000,
  raw_stack!D$2:D$100000, G54,
  raw_stack!F$2:F$100000, "Iya",
  raw_stack!G$2:G$100000, "&gt;="&amp;DATE(2025,10,1),
  raw_stack!G$2:G$100000, "&lt;="&amp;EOMONTH(DATE(2025,10,1),0)
 ),
 IF(OR(_xlpm.x=0, _xlpm.x=""), "-", _xlpm.x)
)</f>
        <v>63907</v>
      </c>
      <c r="W54" s="55" t="str">
        <f>_xlfn.LET(
 _xlpm.x,
 _xlfn.MAXIFS(
  raw_stack!G$2:G$99411,
  raw_stack!D$2:D$99411, G54,
  raw_stack!F$2:F$99411, "Iya",
  raw_stack!G$2:G$99411, "&gt;="&amp;DATE(2025,11,1),
  raw_stack!G$2:G$99411, "&lt;="&amp;EOMONTH(DATE(2025,11,1),0)
 ),
 IF(_xlpm.x=0, "-", _xlpm.x)
)</f>
        <v>-</v>
      </c>
      <c r="X54" s="56" t="str">
        <f>_xlfn.LET(
 _xlpm.x,
 _xlfn.MAXIFS(
  raw_stack!H$2:H$100000,
  raw_stack!D$2:D$100000, G54,
  raw_stack!F$2:F$100000, "Iya",
  raw_stack!G$2:G$100000, "&gt;="&amp;DATE(2025,11,1),
  raw_stack!G$2:G$100000, "&lt;="&amp;EOMONTH(DATE(2025,11,1),0)
 ),
 IF(OR(_xlpm.x=0, _xlpm.x=""), "-", _xlpm.x)
)</f>
        <v>-</v>
      </c>
      <c r="Y54" s="55" t="str">
        <f>_xlfn.LET(
 _xlpm.x,
 _xlfn.MAXIFS(
  raw_stack!G$2:G$99411,
  raw_stack!D$2:D$99411, G54,
  raw_stack!F$2:F$99411, "Iya",
  raw_stack!G$2:G$99411, "&gt;="&amp;DATE(2025,12,1),
  raw_stack!G$2:G$99411, "&lt;="&amp;EOMONTH(DATE(2025,12,1),0)
 ),
 IF(_xlpm.x=0, "-", _xlpm.x)
)</f>
        <v>-</v>
      </c>
      <c r="Z54" s="56" t="str">
        <f>_xlfn.LET(
 _xlpm.x,
 _xlfn.MAXIFS(
  raw_stack!H$2:H$100000,
  raw_stack!D$2:D$100000, G54,
  raw_stack!F$2:F$100000, "Iya",
  raw_stack!G$2:G$100000, "&gt;="&amp;DATE(2025,12,1),
  raw_stack!G$2:G$100000, "&lt;="&amp;EOMONTH(DATE(2025,12,1),0)
 ),
 IF(OR(_xlpm.x=0, _xlpm.x=""), "-", _xlpm.x)
)</f>
        <v>-</v>
      </c>
      <c r="AA54" s="55" t="str">
        <f>_xlfn.LET(
 _xlpm.x,
 _xlfn.MAXIFS(
  raw_stack!G$2:G$99411,
  raw_stack!D$2:D$99411, G54,
  raw_stack!F$2:F$99411, "Iya",
  raw_stack!G$2:G$99411, "&gt;="&amp;DATE(2026,1,1),
  raw_stack!G$2:G$99411, "&lt;="&amp;EOMONTH(DATE(2026,1,1),0)
 ),
 IF(_xlpm.x=0, "-", _xlpm.x)
)</f>
        <v>-</v>
      </c>
      <c r="AB54" s="56" t="str">
        <f>_xlfn.LET(
 _xlpm.x,
 _xlfn.MAXIFS(
  raw_stack!H$2:H$100000,
  raw_stack!D$2:D$100000, G54,
  raw_stack!F$2:F$100000, "Iya",
  raw_stack!G$2:G$100000, "&gt;="&amp;DATE(2026,1,1),
  raw_stack!G$2:G$100000, "&lt;="&amp;EOMONTH(DATE(2026,1,1),0)
 ),
 IF(OR(_xlpm.x=0, _xlpm.x=""), "-", _xlpm.x)
)</f>
        <v>-</v>
      </c>
      <c r="AC54" s="55" t="str">
        <f>_xlfn.LET(
 _xlpm.x,
 _xlfn.MAXIFS(
  raw_stack!G$2:G$99411,
  raw_stack!D$2:D$99411, G54,
  raw_stack!F$2:F$99411, "Iya",
  raw_stack!G$2:G$99411, "&gt;="&amp;DATE(2026,2,1),
  raw_stack!G$2:G$99411, "&lt;="&amp;EOMONTH(DATE(2026,2,1),0)
 ),
 IF(_xlpm.x=0, "-", _xlpm.x)
)</f>
        <v>-</v>
      </c>
      <c r="AD54" s="56" t="str">
        <f>_xlfn.LET(
 _xlpm.x,
 _xlfn.MAXIFS(
  raw_stack!H$2:H$100000,
  raw_stack!D$2:D$100000, G54,
  raw_stack!F$2:F$100000, "Iya",
  raw_stack!G$2:G$100000, "&gt;="&amp;DATE(2026,2,1),
  raw_stack!G$2:G$100000, "&lt;="&amp;EOMONTH(DATE(2026,2,1),0)
 ),
 IF(OR(_xlpm.x=0, _xlpm.x=""), "-", _xlpm.x)
)</f>
        <v>-</v>
      </c>
      <c r="AE54" s="55" t="str">
        <f>_xlfn.LET(
 _xlpm.x,
 _xlfn.MAXIFS(
  raw_stack!G$2:G$100000,
  raw_stack!D$2:D$100000, G54,
  raw_stack!F$2:F$100000, "Iya",
  raw_stack!G$2:G$100000, "&gt;="&amp;DATE(2026,3,1),
  raw_stack!G$2:G$100000, "&lt;="&amp;EOMONTH(DATE(2026,3,1),0)
 ),
 IF(_xlpm.x=0, "-", _xlpm.x)
)</f>
        <v>-</v>
      </c>
      <c r="AF54" s="56" t="str">
        <f>_xlfn.LET(
 _xlpm.x,
 _xlfn.MAXIFS(
  raw_stack!H$2:H$100000,
  raw_stack!D$2:D$100000, G54,
  raw_stack!F$2:F$100000, "Iya",
  raw_stack!G$2:G$100000, "&gt;="&amp;DATE(2026,3,1),
  raw_stack!G$2:G$100000, "&lt;="&amp;EOMONTH(DATE(2026,3,1),0)
 ),
 IF(OR(_xlpm.x=0, _xlpm.x=""), "-", _xlpm.x)
)</f>
        <v>-</v>
      </c>
      <c r="AG54" s="55" t="str">
        <f>_xlfn.LET(
 _xlpm.x,
 _xlfn.MAXIFS(
  raw_stack!G$2:G$100000,
  raw_stack!D$2:D$100000, G54,
  raw_stack!F$2:F$100000, "Iya",
  raw_stack!G$2:G$100000, "&gt;="&amp;DATE(2026,4,1),
  raw_stack!G$2:G$100000, "&lt;="&amp;EOMONTH(DATE(2026,4,1),0)
 ),
 IF(_xlpm.x=0, "-", _xlpm.x)
)</f>
        <v>-</v>
      </c>
      <c r="AH54" s="56" t="str">
        <f>_xlfn.LET(
 _xlpm.x,
 _xlfn.MAXIFS(
  raw_stack!H$2:H$100000,
  raw_stack!D$2:D$100000, G54,
  raw_stack!F$2:F$100000, "Iya",
  raw_stack!G$2:G$100000, "&gt;="&amp;DATE(2026,4,1),
  raw_stack!G$2:G$100000, "&lt;="&amp;EOMONTH(DATE(2026,4,1),0)
 ),
 IF(OR(_xlpm.x=0, _xlpm.x=""), "-", _xlpm.x)
)</f>
        <v>-</v>
      </c>
    </row>
    <row r="55" spans="1:34">
      <c r="A55" s="48">
        <v>54</v>
      </c>
      <c r="B55" s="49" t="str">
        <f t="shared" si="0"/>
        <v>20624</v>
      </c>
      <c r="C55" s="50" t="s">
        <v>46</v>
      </c>
      <c r="D55" s="51" t="s">
        <v>505</v>
      </c>
      <c r="E55" s="51" t="s">
        <v>54</v>
      </c>
      <c r="F55" s="49" t="s">
        <v>117</v>
      </c>
      <c r="G55" s="49" t="s">
        <v>171</v>
      </c>
      <c r="H55" s="49" t="s">
        <v>48</v>
      </c>
      <c r="I55" s="49" t="s">
        <v>52</v>
      </c>
      <c r="J55" s="52">
        <v>5950000</v>
      </c>
      <c r="K55" s="53">
        <v>46011</v>
      </c>
      <c r="L55" s="53">
        <v>46192</v>
      </c>
      <c r="M55" s="53">
        <v>46041</v>
      </c>
      <c r="N55" s="49" t="s">
        <v>50</v>
      </c>
      <c r="O55" s="54" t="str">
        <f>_xlfn.LET(
 _xlpm.x,
 _xlfn.MAXIFS(
  raw_stack!G$2:G$100000,
  raw_stack!D$2:D$100000, G55,
  raw_stack!F$2:F$100000, "Iya",
  raw_stack!G$2:G$100000, "&gt;="&amp;DATE(2025,7,1),
  raw_stack!G$2:G$100000, "&lt;="&amp;EOMONTH(DATE(2025,7,1),0)
 ),
 IF(_xlpm.x=0, "-", _xlpm.x)
)</f>
        <v>-</v>
      </c>
      <c r="P55" s="65" t="str">
        <f>_xlfn.LET(
 _xlpm.x,
 _xlfn.MAXIFS(
  raw_stack!H$2:H$100000,
  raw_stack!D$2:D$100000, G55,
  raw_stack!F$2:F$100000, "Iya",
  raw_stack!G$2:G$100000, "&gt;="&amp;DATE(2025,7,1),
  raw_stack!G$2:G$100000, "&lt;="&amp;EOMONTH(DATE(2025,7,1),0)
 ),
 IF(OR(_xlpm.x=0, _xlpm.x=""), "-", _xlpm.x)
)</f>
        <v>-</v>
      </c>
      <c r="Q55" s="54" t="str">
        <f>_xlfn.LET(
 _xlpm.x,
 _xlfn.MAXIFS(
  raw_stack!G$2:G$99411,
  raw_stack!D$2:D$99411, G55,
  raw_stack!F$2:F$99411, "Iya",
  raw_stack!G$2:G$99411, "&gt;="&amp;DATE(2025,8,1),
  raw_stack!G$2:G$99411, "&lt;="&amp;EOMONTH(DATE(2025,8,1),0)
 ),
 IF(_xlpm.x=0, "-", _xlpm.x)
)</f>
        <v>-</v>
      </c>
      <c r="R55" s="65" t="str">
        <f>_xlfn.LET(
 _xlpm.x,
 _xlfn.MAXIFS(
  raw_stack!H$2:H$100000,
  raw_stack!D$2:D$100000, G55,
  raw_stack!F$2:F$100000, "Iya",
  raw_stack!G$2:G$100000, "&gt;="&amp;DATE(2025,8,1),
  raw_stack!G$2:G$100000, "&lt;="&amp;EOMONTH(DATE(2025,8,1),0)
 ),
 IF(OR(_xlpm.x=0, _xlpm.x=""), "-", _xlpm.x)
)</f>
        <v>-</v>
      </c>
      <c r="S55" s="54">
        <f>_xlfn.LET(
 _xlpm.x,
 _xlfn.MAXIFS(
  raw_stack!G$2:G$99411,
  raw_stack!D$2:D$99411, G55,
  raw_stack!F$2:F$99411, "Iya",
  raw_stack!G$2:G$99411, "&gt;="&amp;DATE(2025,9,1),
  raw_stack!G$2:G$99411, "&lt;="&amp;EOMONTH(DATE(2025,9,1),0)
 ),
 IF(_xlpm.x=0, "-", _xlpm.x)
)</f>
        <v>45909</v>
      </c>
      <c r="T55" s="65">
        <f>_xlfn.LET(
 _xlpm.x,
 _xlfn.MAXIFS(
  raw_stack!H$2:H$100000,
  raw_stack!D$2:D$100000, G55,
  raw_stack!F$2:F$100000, "Iya",
  raw_stack!G$2:G$100000, "&gt;="&amp;DATE(2025,9,1),
  raw_stack!G$2:G$100000, "&lt;="&amp;EOMONTH(DATE(2025,9,1),0)
 ),
 IF(OR(_xlpm.x=0, _xlpm.x=""), "-", _xlpm.x)
)</f>
        <v>74313</v>
      </c>
      <c r="U55" s="54" t="str">
        <f>_xlfn.LET(
 _xlpm.x,
 _xlfn.MAXIFS(
  raw_stack!G$2:G$99411,
  raw_stack!D$2:D$99411, G55,
  raw_stack!F$2:F$99411, "Iya",
  raw_stack!G$2:G$99411, "&gt;="&amp;DATE(2025,10,1),
  raw_stack!G$2:G$99411, "&lt;="&amp;EOMONTH(DATE(2025,10,1),0)
 ),
 IF(_xlpm.x=0, "-", _xlpm.x)
)</f>
        <v>-</v>
      </c>
      <c r="V55" s="65" t="str">
        <f>_xlfn.LET(
 _xlpm.x,
 _xlfn.MAXIFS(
  raw_stack!H$2:H$100000,
  raw_stack!D$2:D$100000, G55,
  raw_stack!F$2:F$100000, "Iya",
  raw_stack!G$2:G$100000, "&gt;="&amp;DATE(2025,10,1),
  raw_stack!G$2:G$100000, "&lt;="&amp;EOMONTH(DATE(2025,10,1),0)
 ),
 IF(OR(_xlpm.x=0, _xlpm.x=""), "-", _xlpm.x)
)</f>
        <v>-</v>
      </c>
      <c r="W55" s="55" t="str">
        <f>_xlfn.LET(
 _xlpm.x,
 _xlfn.MAXIFS(
  raw_stack!G$2:G$99411,
  raw_stack!D$2:D$99411, G55,
  raw_stack!F$2:F$99411, "Iya",
  raw_stack!G$2:G$99411, "&gt;="&amp;DATE(2025,11,1),
  raw_stack!G$2:G$99411, "&lt;="&amp;EOMONTH(DATE(2025,11,1),0)
 ),
 IF(_xlpm.x=0, "-", _xlpm.x)
)</f>
        <v>-</v>
      </c>
      <c r="X55" s="56" t="str">
        <f>_xlfn.LET(
 _xlpm.x,
 _xlfn.MAXIFS(
  raw_stack!H$2:H$100000,
  raw_stack!D$2:D$100000, G55,
  raw_stack!F$2:F$100000, "Iya",
  raw_stack!G$2:G$100000, "&gt;="&amp;DATE(2025,11,1),
  raw_stack!G$2:G$100000, "&lt;="&amp;EOMONTH(DATE(2025,11,1),0)
 ),
 IF(OR(_xlpm.x=0, _xlpm.x=""), "-", _xlpm.x)
)</f>
        <v>-</v>
      </c>
      <c r="Y55" s="55">
        <f>_xlfn.LET(
 _xlpm.x,
 _xlfn.MAXIFS(
  raw_stack!G$2:G$99411,
  raw_stack!D$2:D$99411, G55,
  raw_stack!F$2:F$99411, "Iya",
  raw_stack!G$2:G$99411, "&gt;="&amp;DATE(2025,12,1),
  raw_stack!G$2:G$99411, "&lt;="&amp;EOMONTH(DATE(2025,12,1),0)
 ),
 IF(_xlpm.x=0, "-", _xlpm.x)
)</f>
        <v>46000</v>
      </c>
      <c r="Z55" s="56">
        <f>_xlfn.LET(
 _xlpm.x,
 _xlfn.MAXIFS(
  raw_stack!H$2:H$100000,
  raw_stack!D$2:D$100000, G55,
  raw_stack!F$2:F$100000, "Iya",
  raw_stack!G$2:G$100000, "&gt;="&amp;DATE(2025,12,1),
  raw_stack!G$2:G$100000, "&lt;="&amp;EOMONTH(DATE(2025,12,1),0)
 ),
 IF(OR(_xlpm.x=0, _xlpm.x=""), "-", _xlpm.x)
)</f>
        <v>85936</v>
      </c>
      <c r="AA55" s="55" t="str">
        <f>_xlfn.LET(
 _xlpm.x,
 _xlfn.MAXIFS(
  raw_stack!G$2:G$99411,
  raw_stack!D$2:D$99411, G55,
  raw_stack!F$2:F$99411, "Iya",
  raw_stack!G$2:G$99411, "&gt;="&amp;DATE(2026,1,1),
  raw_stack!G$2:G$99411, "&lt;="&amp;EOMONTH(DATE(2026,1,1),0)
 ),
 IF(_xlpm.x=0, "-", _xlpm.x)
)</f>
        <v>-</v>
      </c>
      <c r="AB55" s="56" t="str">
        <f>_xlfn.LET(
 _xlpm.x,
 _xlfn.MAXIFS(
  raw_stack!H$2:H$100000,
  raw_stack!D$2:D$100000, G55,
  raw_stack!F$2:F$100000, "Iya",
  raw_stack!G$2:G$100000, "&gt;="&amp;DATE(2026,1,1),
  raw_stack!G$2:G$100000, "&lt;="&amp;EOMONTH(DATE(2026,1,1),0)
 ),
 IF(OR(_xlpm.x=0, _xlpm.x=""), "-", _xlpm.x)
)</f>
        <v>-</v>
      </c>
      <c r="AC55" s="55" t="str">
        <f>_xlfn.LET(
 _xlpm.x,
 _xlfn.MAXIFS(
  raw_stack!G$2:G$99411,
  raw_stack!D$2:D$99411, G55,
  raw_stack!F$2:F$99411, "Iya",
  raw_stack!G$2:G$99411, "&gt;="&amp;DATE(2026,2,1),
  raw_stack!G$2:G$99411, "&lt;="&amp;EOMONTH(DATE(2026,2,1),0)
 ),
 IF(_xlpm.x=0, "-", _xlpm.x)
)</f>
        <v>-</v>
      </c>
      <c r="AD55" s="56" t="str">
        <f>_xlfn.LET(
 _xlpm.x,
 _xlfn.MAXIFS(
  raw_stack!H$2:H$100000,
  raw_stack!D$2:D$100000, G55,
  raw_stack!F$2:F$100000, "Iya",
  raw_stack!G$2:G$100000, "&gt;="&amp;DATE(2026,2,1),
  raw_stack!G$2:G$100000, "&lt;="&amp;EOMONTH(DATE(2026,2,1),0)
 ),
 IF(OR(_xlpm.x=0, _xlpm.x=""), "-", _xlpm.x)
)</f>
        <v>-</v>
      </c>
      <c r="AE55" s="55">
        <f>_xlfn.LET(
 _xlpm.x,
 _xlfn.MAXIFS(
  raw_stack!G$2:G$100000,
  raw_stack!D$2:D$100000, G55,
  raw_stack!F$2:F$100000, "Iya",
  raw_stack!G$2:G$100000, "&gt;="&amp;DATE(2026,3,1),
  raw_stack!G$2:G$100000, "&lt;="&amp;EOMONTH(DATE(2026,3,1),0)
 ),
 IF(_xlpm.x=0, "-", _xlpm.x)
)</f>
        <v>46093</v>
      </c>
      <c r="AF55" s="56">
        <f>_xlfn.LET(
 _xlpm.x,
 _xlfn.MAXIFS(
  raw_stack!H$2:H$100000,
  raw_stack!D$2:D$100000, G55,
  raw_stack!F$2:F$100000, "Iya",
  raw_stack!G$2:G$100000, "&gt;="&amp;DATE(2026,3,1),
  raw_stack!G$2:G$100000, "&lt;="&amp;EOMONTH(DATE(2026,3,1),0)
 ),
 IF(OR(_xlpm.x=0, _xlpm.x=""), "-", _xlpm.x)
)</f>
        <v>90157</v>
      </c>
      <c r="AG55" s="55" t="str">
        <f>_xlfn.LET(
 _xlpm.x,
 _xlfn.MAXIFS(
  raw_stack!G$2:G$100000,
  raw_stack!D$2:D$100000, G55,
  raw_stack!F$2:F$100000, "Iya",
  raw_stack!G$2:G$100000, "&gt;="&amp;DATE(2026,4,1),
  raw_stack!G$2:G$100000, "&lt;="&amp;EOMONTH(DATE(2026,4,1),0)
 ),
 IF(_xlpm.x=0, "-", _xlpm.x)
)</f>
        <v>-</v>
      </c>
      <c r="AH55" s="56" t="str">
        <f>_xlfn.LET(
 _xlpm.x,
 _xlfn.MAXIFS(
  raw_stack!H$2:H$100000,
  raw_stack!D$2:D$100000, G55,
  raw_stack!F$2:F$100000, "Iya",
  raw_stack!G$2:G$100000, "&gt;="&amp;DATE(2026,4,1),
  raw_stack!G$2:G$100000, "&lt;="&amp;EOMONTH(DATE(2026,4,1),0)
 ),
 IF(OR(_xlpm.x=0, _xlpm.x=""), "-", _xlpm.x)
)</f>
        <v>-</v>
      </c>
    </row>
    <row r="56" spans="1:34">
      <c r="A56" s="48">
        <v>55</v>
      </c>
      <c r="B56" s="49" t="str">
        <f t="shared" si="0"/>
        <v>14599</v>
      </c>
      <c r="C56" s="50" t="s">
        <v>46</v>
      </c>
      <c r="D56" s="51" t="s">
        <v>506</v>
      </c>
      <c r="E56" s="51" t="s">
        <v>56</v>
      </c>
      <c r="F56" s="49" t="s">
        <v>117</v>
      </c>
      <c r="G56" s="49" t="s">
        <v>172</v>
      </c>
      <c r="H56" s="49" t="s">
        <v>48</v>
      </c>
      <c r="I56" s="49" t="s">
        <v>52</v>
      </c>
      <c r="J56" s="52">
        <v>6915000</v>
      </c>
      <c r="K56" s="53">
        <v>45098</v>
      </c>
      <c r="L56" s="53">
        <v>46193</v>
      </c>
      <c r="M56" s="53">
        <v>46101</v>
      </c>
      <c r="N56" s="49" t="s">
        <v>50</v>
      </c>
      <c r="O56" s="54" t="str">
        <f>_xlfn.LET(
 _xlpm.x,
 _xlfn.MAXIFS(
  raw_stack!G$2:G$100000,
  raw_stack!D$2:D$100000, G56,
  raw_stack!F$2:F$100000, "Iya",
  raw_stack!G$2:G$100000, "&gt;="&amp;DATE(2025,7,1),
  raw_stack!G$2:G$100000, "&lt;="&amp;EOMONTH(DATE(2025,7,1),0)
 ),
 IF(_xlpm.x=0, "-", _xlpm.x)
)</f>
        <v>-</v>
      </c>
      <c r="P56" s="65" t="str">
        <f>_xlfn.LET(
 _xlpm.x,
 _xlfn.MAXIFS(
  raw_stack!H$2:H$100000,
  raw_stack!D$2:D$100000, G56,
  raw_stack!F$2:F$100000, "Iya",
  raw_stack!G$2:G$100000, "&gt;="&amp;DATE(2025,7,1),
  raw_stack!G$2:G$100000, "&lt;="&amp;EOMONTH(DATE(2025,7,1),0)
 ),
 IF(OR(_xlpm.x=0, _xlpm.x=""), "-", _xlpm.x)
)</f>
        <v>-</v>
      </c>
      <c r="Q56" s="54">
        <f>_xlfn.LET(
 _xlpm.x,
 _xlfn.MAXIFS(
  raw_stack!G$2:G$99411,
  raw_stack!D$2:D$99411, G56,
  raw_stack!F$2:F$99411, "Iya",
  raw_stack!G$2:G$99411, "&gt;="&amp;DATE(2025,8,1),
  raw_stack!G$2:G$99411, "&lt;="&amp;EOMONTH(DATE(2025,8,1),0)
 ),
 IF(_xlpm.x=0, "-", _xlpm.x)
)</f>
        <v>45887</v>
      </c>
      <c r="R56" s="65">
        <f>_xlfn.LET(
 _xlpm.x,
 _xlfn.MAXIFS(
  raw_stack!H$2:H$100000,
  raw_stack!D$2:D$100000, G56,
  raw_stack!F$2:F$100000, "Iya",
  raw_stack!G$2:G$100000, "&gt;="&amp;DATE(2025,8,1),
  raw_stack!G$2:G$100000, "&lt;="&amp;EOMONTH(DATE(2025,8,1),0)
 ),
 IF(OR(_xlpm.x=0, _xlpm.x=""), "-", _xlpm.x)
)</f>
        <v>21996</v>
      </c>
      <c r="S56" s="54">
        <f>_xlfn.LET(
 _xlpm.x,
 _xlfn.MAXIFS(
  raw_stack!G$2:G$99411,
  raw_stack!D$2:D$99411, G56,
  raw_stack!F$2:F$99411, "Iya",
  raw_stack!G$2:G$99411, "&gt;="&amp;DATE(2025,9,1),
  raw_stack!G$2:G$99411, "&lt;="&amp;EOMONTH(DATE(2025,9,1),0)
 ),
 IF(_xlpm.x=0, "-", _xlpm.x)
)</f>
        <v>45912</v>
      </c>
      <c r="T56" s="65">
        <f>_xlfn.LET(
 _xlpm.x,
 _xlfn.MAXIFS(
  raw_stack!H$2:H$100000,
  raw_stack!D$2:D$100000, G56,
  raw_stack!F$2:F$100000, "Iya",
  raw_stack!G$2:G$100000, "&gt;="&amp;DATE(2025,9,1),
  raw_stack!G$2:G$100000, "&lt;="&amp;EOMONTH(DATE(2025,9,1),0)
 ),
 IF(OR(_xlpm.x=0, _xlpm.x=""), "-", _xlpm.x)
)</f>
        <v>23084</v>
      </c>
      <c r="U56" s="54" t="str">
        <f>_xlfn.LET(
 _xlpm.x,
 _xlfn.MAXIFS(
  raw_stack!G$2:G$99411,
  raw_stack!D$2:D$99411, G56,
  raw_stack!F$2:F$99411, "Iya",
  raw_stack!G$2:G$99411, "&gt;="&amp;DATE(2025,10,1),
  raw_stack!G$2:G$99411, "&lt;="&amp;EOMONTH(DATE(2025,10,1),0)
 ),
 IF(_xlpm.x=0, "-", _xlpm.x)
)</f>
        <v>-</v>
      </c>
      <c r="V56" s="65" t="str">
        <f>_xlfn.LET(
 _xlpm.x,
 _xlfn.MAXIFS(
  raw_stack!H$2:H$100000,
  raw_stack!D$2:D$100000, G56,
  raw_stack!F$2:F$100000, "Iya",
  raw_stack!G$2:G$100000, "&gt;="&amp;DATE(2025,10,1),
  raw_stack!G$2:G$100000, "&lt;="&amp;EOMONTH(DATE(2025,10,1),0)
 ),
 IF(OR(_xlpm.x=0, _xlpm.x=""), "-", _xlpm.x)
)</f>
        <v>-</v>
      </c>
      <c r="W56" s="55" t="str">
        <f>_xlfn.LET(
 _xlpm.x,
 _xlfn.MAXIFS(
  raw_stack!G$2:G$99411,
  raw_stack!D$2:D$99411, G56,
  raw_stack!F$2:F$99411, "Iya",
  raw_stack!G$2:G$99411, "&gt;="&amp;DATE(2025,11,1),
  raw_stack!G$2:G$99411, "&lt;="&amp;EOMONTH(DATE(2025,11,1),0)
 ),
 IF(_xlpm.x=0, "-", _xlpm.x)
)</f>
        <v>-</v>
      </c>
      <c r="X56" s="56" t="str">
        <f>_xlfn.LET(
 _xlpm.x,
 _xlfn.MAXIFS(
  raw_stack!H$2:H$100000,
  raw_stack!D$2:D$100000, G56,
  raw_stack!F$2:F$100000, "Iya",
  raw_stack!G$2:G$100000, "&gt;="&amp;DATE(2025,11,1),
  raw_stack!G$2:G$100000, "&lt;="&amp;EOMONTH(DATE(2025,11,1),0)
 ),
 IF(OR(_xlpm.x=0, _xlpm.x=""), "-", _xlpm.x)
)</f>
        <v>-</v>
      </c>
      <c r="Y56" s="55" t="str">
        <f>_xlfn.LET(
 _xlpm.x,
 _xlfn.MAXIFS(
  raw_stack!G$2:G$99411,
  raw_stack!D$2:D$99411, G56,
  raw_stack!F$2:F$99411, "Iya",
  raw_stack!G$2:G$99411, "&gt;="&amp;DATE(2025,12,1),
  raw_stack!G$2:G$99411, "&lt;="&amp;EOMONTH(DATE(2025,12,1),0)
 ),
 IF(_xlpm.x=0, "-", _xlpm.x)
)</f>
        <v>-</v>
      </c>
      <c r="Z56" s="56" t="str">
        <f>_xlfn.LET(
 _xlpm.x,
 _xlfn.MAXIFS(
  raw_stack!H$2:H$100000,
  raw_stack!D$2:D$100000, G56,
  raw_stack!F$2:F$100000, "Iya",
  raw_stack!G$2:G$100000, "&gt;="&amp;DATE(2025,12,1),
  raw_stack!G$2:G$100000, "&lt;="&amp;EOMONTH(DATE(2025,12,1),0)
 ),
 IF(OR(_xlpm.x=0, _xlpm.x=""), "-", _xlpm.x)
)</f>
        <v>-</v>
      </c>
      <c r="AA56" s="55" t="str">
        <f>_xlfn.LET(
 _xlpm.x,
 _xlfn.MAXIFS(
  raw_stack!G$2:G$99411,
  raw_stack!D$2:D$99411, G56,
  raw_stack!F$2:F$99411, "Iya",
  raw_stack!G$2:G$99411, "&gt;="&amp;DATE(2026,1,1),
  raw_stack!G$2:G$99411, "&lt;="&amp;EOMONTH(DATE(2026,1,1),0)
 ),
 IF(_xlpm.x=0, "-", _xlpm.x)
)</f>
        <v>-</v>
      </c>
      <c r="AB56" s="56" t="str">
        <f>_xlfn.LET(
 _xlpm.x,
 _xlfn.MAXIFS(
  raw_stack!H$2:H$100000,
  raw_stack!D$2:D$100000, G56,
  raw_stack!F$2:F$100000, "Iya",
  raw_stack!G$2:G$100000, "&gt;="&amp;DATE(2026,1,1),
  raw_stack!G$2:G$100000, "&lt;="&amp;EOMONTH(DATE(2026,1,1),0)
 ),
 IF(OR(_xlpm.x=0, _xlpm.x=""), "-", _xlpm.x)
)</f>
        <v>-</v>
      </c>
      <c r="AC56" s="55" t="str">
        <f>_xlfn.LET(
 _xlpm.x,
 _xlfn.MAXIFS(
  raw_stack!G$2:G$99411,
  raw_stack!D$2:D$99411, G56,
  raw_stack!F$2:F$99411, "Iya",
  raw_stack!G$2:G$99411, "&gt;="&amp;DATE(2026,2,1),
  raw_stack!G$2:G$99411, "&lt;="&amp;EOMONTH(DATE(2026,2,1),0)
 ),
 IF(_xlpm.x=0, "-", _xlpm.x)
)</f>
        <v>-</v>
      </c>
      <c r="AD56" s="56" t="str">
        <f>_xlfn.LET(
 _xlpm.x,
 _xlfn.MAXIFS(
  raw_stack!H$2:H$100000,
  raw_stack!D$2:D$100000, G56,
  raw_stack!F$2:F$100000, "Iya",
  raw_stack!G$2:G$100000, "&gt;="&amp;DATE(2026,2,1),
  raw_stack!G$2:G$100000, "&lt;="&amp;EOMONTH(DATE(2026,2,1),0)
 ),
 IF(OR(_xlpm.x=0, _xlpm.x=""), "-", _xlpm.x)
)</f>
        <v>-</v>
      </c>
      <c r="AE56" s="55" t="str">
        <f>_xlfn.LET(
 _xlpm.x,
 _xlfn.MAXIFS(
  raw_stack!G$2:G$100000,
  raw_stack!D$2:D$100000, G56,
  raw_stack!F$2:F$100000, "Iya",
  raw_stack!G$2:G$100000, "&gt;="&amp;DATE(2026,3,1),
  raw_stack!G$2:G$100000, "&lt;="&amp;EOMONTH(DATE(2026,3,1),0)
 ),
 IF(_xlpm.x=0, "-", _xlpm.x)
)</f>
        <v>-</v>
      </c>
      <c r="AF56" s="56" t="str">
        <f>_xlfn.LET(
 _xlpm.x,
 _xlfn.MAXIFS(
  raw_stack!H$2:H$100000,
  raw_stack!D$2:D$100000, G56,
  raw_stack!F$2:F$100000, "Iya",
  raw_stack!G$2:G$100000, "&gt;="&amp;DATE(2026,3,1),
  raw_stack!G$2:G$100000, "&lt;="&amp;EOMONTH(DATE(2026,3,1),0)
 ),
 IF(OR(_xlpm.x=0, _xlpm.x=""), "-", _xlpm.x)
)</f>
        <v>-</v>
      </c>
      <c r="AG56" s="55" t="str">
        <f>_xlfn.LET(
 _xlpm.x,
 _xlfn.MAXIFS(
  raw_stack!G$2:G$100000,
  raw_stack!D$2:D$100000, G56,
  raw_stack!F$2:F$100000, "Iya",
  raw_stack!G$2:G$100000, "&gt;="&amp;DATE(2026,4,1),
  raw_stack!G$2:G$100000, "&lt;="&amp;EOMONTH(DATE(2026,4,1),0)
 ),
 IF(_xlpm.x=0, "-", _xlpm.x)
)</f>
        <v>-</v>
      </c>
      <c r="AH56" s="56" t="str">
        <f>_xlfn.LET(
 _xlpm.x,
 _xlfn.MAXIFS(
  raw_stack!H$2:H$100000,
  raw_stack!D$2:D$100000, G56,
  raw_stack!F$2:F$100000, "Iya",
  raw_stack!G$2:G$100000, "&gt;="&amp;DATE(2026,4,1),
  raw_stack!G$2:G$100000, "&lt;="&amp;EOMONTH(DATE(2026,4,1),0)
 ),
 IF(OR(_xlpm.x=0, _xlpm.x=""), "-", _xlpm.x)
)</f>
        <v>-</v>
      </c>
    </row>
    <row r="57" spans="1:34">
      <c r="A57" s="48">
        <v>56</v>
      </c>
      <c r="B57" s="49" t="str">
        <f t="shared" si="0"/>
        <v>13032</v>
      </c>
      <c r="C57" s="50" t="s">
        <v>46</v>
      </c>
      <c r="D57" s="51" t="s">
        <v>507</v>
      </c>
      <c r="E57" s="51" t="s">
        <v>47</v>
      </c>
      <c r="F57" s="49" t="s">
        <v>117</v>
      </c>
      <c r="G57" s="49" t="s">
        <v>173</v>
      </c>
      <c r="H57" s="49" t="s">
        <v>48</v>
      </c>
      <c r="I57" s="49" t="s">
        <v>49</v>
      </c>
      <c r="J57" s="52">
        <v>4495000</v>
      </c>
      <c r="K57" s="53">
        <v>45102</v>
      </c>
      <c r="L57" s="53">
        <v>46197</v>
      </c>
      <c r="M57" s="53">
        <v>46077</v>
      </c>
      <c r="N57" s="49" t="s">
        <v>50</v>
      </c>
      <c r="O57" s="54" t="str">
        <f>_xlfn.LET(
 _xlpm.x,
 _xlfn.MAXIFS(
  raw_stack!G$2:G$100000,
  raw_stack!D$2:D$100000, G57,
  raw_stack!F$2:F$100000, "Iya",
  raw_stack!G$2:G$100000, "&gt;="&amp;DATE(2025,7,1),
  raw_stack!G$2:G$100000, "&lt;="&amp;EOMONTH(DATE(2025,7,1),0)
 ),
 IF(_xlpm.x=0, "-", _xlpm.x)
)</f>
        <v>-</v>
      </c>
      <c r="P57" s="65" t="str">
        <f>_xlfn.LET(
 _xlpm.x,
 _xlfn.MAXIFS(
  raw_stack!H$2:H$100000,
  raw_stack!D$2:D$100000, G57,
  raw_stack!F$2:F$100000, "Iya",
  raw_stack!G$2:G$100000, "&gt;="&amp;DATE(2025,7,1),
  raw_stack!G$2:G$100000, "&lt;="&amp;EOMONTH(DATE(2025,7,1),0)
 ),
 IF(OR(_xlpm.x=0, _xlpm.x=""), "-", _xlpm.x)
)</f>
        <v>-</v>
      </c>
      <c r="Q57" s="54">
        <f>_xlfn.LET(
 _xlpm.x,
 _xlfn.MAXIFS(
  raw_stack!G$2:G$99411,
  raw_stack!D$2:D$99411, G57,
  raw_stack!F$2:F$99411, "Iya",
  raw_stack!G$2:G$99411, "&gt;="&amp;DATE(2025,8,1),
  raw_stack!G$2:G$99411, "&lt;="&amp;EOMONTH(DATE(2025,8,1),0)
 ),
 IF(_xlpm.x=0, "-", _xlpm.x)
)</f>
        <v>45881</v>
      </c>
      <c r="R57" s="65">
        <f>_xlfn.LET(
 _xlpm.x,
 _xlfn.MAXIFS(
  raw_stack!H$2:H$100000,
  raw_stack!D$2:D$100000, G57,
  raw_stack!F$2:F$100000, "Iya",
  raw_stack!G$2:G$100000, "&gt;="&amp;DATE(2025,8,1),
  raw_stack!G$2:G$100000, "&lt;="&amp;EOMONTH(DATE(2025,8,1),0)
 ),
 IF(OR(_xlpm.x=0, _xlpm.x=""), "-", _xlpm.x)
)</f>
        <v>58630</v>
      </c>
      <c r="S57" s="54" t="str">
        <f>_xlfn.LET(
 _xlpm.x,
 _xlfn.MAXIFS(
  raw_stack!G$2:G$99411,
  raw_stack!D$2:D$99411, G57,
  raw_stack!F$2:F$99411, "Iya",
  raw_stack!G$2:G$99411, "&gt;="&amp;DATE(2025,9,1),
  raw_stack!G$2:G$99411, "&lt;="&amp;EOMONTH(DATE(2025,9,1),0)
 ),
 IF(_xlpm.x=0, "-", _xlpm.x)
)</f>
        <v>-</v>
      </c>
      <c r="T57" s="65" t="str">
        <f>_xlfn.LET(
 _xlpm.x,
 _xlfn.MAXIFS(
  raw_stack!H$2:H$100000,
  raw_stack!D$2:D$100000, G57,
  raw_stack!F$2:F$100000, "Iya",
  raw_stack!G$2:G$100000, "&gt;="&amp;DATE(2025,9,1),
  raw_stack!G$2:G$100000, "&lt;="&amp;EOMONTH(DATE(2025,9,1),0)
 ),
 IF(OR(_xlpm.x=0, _xlpm.x=""), "-", _xlpm.x)
)</f>
        <v>-</v>
      </c>
      <c r="U57" s="54" t="str">
        <f>_xlfn.LET(
 _xlpm.x,
 _xlfn.MAXIFS(
  raw_stack!G$2:G$99411,
  raw_stack!D$2:D$99411, G57,
  raw_stack!F$2:F$99411, "Iya",
  raw_stack!G$2:G$99411, "&gt;="&amp;DATE(2025,10,1),
  raw_stack!G$2:G$99411, "&lt;="&amp;EOMONTH(DATE(2025,10,1),0)
 ),
 IF(_xlpm.x=0, "-", _xlpm.x)
)</f>
        <v>-</v>
      </c>
      <c r="V57" s="65" t="str">
        <f>_xlfn.LET(
 _xlpm.x,
 _xlfn.MAXIFS(
  raw_stack!H$2:H$100000,
  raw_stack!D$2:D$100000, G57,
  raw_stack!F$2:F$100000, "Iya",
  raw_stack!G$2:G$100000, "&gt;="&amp;DATE(2025,10,1),
  raw_stack!G$2:G$100000, "&lt;="&amp;EOMONTH(DATE(2025,10,1),0)
 ),
 IF(OR(_xlpm.x=0, _xlpm.x=""), "-", _xlpm.x)
)</f>
        <v>-</v>
      </c>
      <c r="W57" s="55" t="str">
        <f>_xlfn.LET(
 _xlpm.x,
 _xlfn.MAXIFS(
  raw_stack!G$2:G$99411,
  raw_stack!D$2:D$99411, G57,
  raw_stack!F$2:F$99411, "Iya",
  raw_stack!G$2:G$99411, "&gt;="&amp;DATE(2025,11,1),
  raw_stack!G$2:G$99411, "&lt;="&amp;EOMONTH(DATE(2025,11,1),0)
 ),
 IF(_xlpm.x=0, "-", _xlpm.x)
)</f>
        <v>-</v>
      </c>
      <c r="X57" s="56" t="str">
        <f>_xlfn.LET(
 _xlpm.x,
 _xlfn.MAXIFS(
  raw_stack!H$2:H$100000,
  raw_stack!D$2:D$100000, G57,
  raw_stack!F$2:F$100000, "Iya",
  raw_stack!G$2:G$100000, "&gt;="&amp;DATE(2025,11,1),
  raw_stack!G$2:G$100000, "&lt;="&amp;EOMONTH(DATE(2025,11,1),0)
 ),
 IF(OR(_xlpm.x=0, _xlpm.x=""), "-", _xlpm.x)
)</f>
        <v>-</v>
      </c>
      <c r="Y57" s="55" t="str">
        <f>_xlfn.LET(
 _xlpm.x,
 _xlfn.MAXIFS(
  raw_stack!G$2:G$99411,
  raw_stack!D$2:D$99411, G57,
  raw_stack!F$2:F$99411, "Iya",
  raw_stack!G$2:G$99411, "&gt;="&amp;DATE(2025,12,1),
  raw_stack!G$2:G$99411, "&lt;="&amp;EOMONTH(DATE(2025,12,1),0)
 ),
 IF(_xlpm.x=0, "-", _xlpm.x)
)</f>
        <v>-</v>
      </c>
      <c r="Z57" s="56" t="str">
        <f>_xlfn.LET(
 _xlpm.x,
 _xlfn.MAXIFS(
  raw_stack!H$2:H$100000,
  raw_stack!D$2:D$100000, G57,
  raw_stack!F$2:F$100000, "Iya",
  raw_stack!G$2:G$100000, "&gt;="&amp;DATE(2025,12,1),
  raw_stack!G$2:G$100000, "&lt;="&amp;EOMONTH(DATE(2025,12,1),0)
 ),
 IF(OR(_xlpm.x=0, _xlpm.x=""), "-", _xlpm.x)
)</f>
        <v>-</v>
      </c>
      <c r="AA57" s="55" t="str">
        <f>_xlfn.LET(
 _xlpm.x,
 _xlfn.MAXIFS(
  raw_stack!G$2:G$99411,
  raw_stack!D$2:D$99411, G57,
  raw_stack!F$2:F$99411, "Iya",
  raw_stack!G$2:G$99411, "&gt;="&amp;DATE(2026,1,1),
  raw_stack!G$2:G$99411, "&lt;="&amp;EOMONTH(DATE(2026,1,1),0)
 ),
 IF(_xlpm.x=0, "-", _xlpm.x)
)</f>
        <v>-</v>
      </c>
      <c r="AB57" s="56" t="str">
        <f>_xlfn.LET(
 _xlpm.x,
 _xlfn.MAXIFS(
  raw_stack!H$2:H$100000,
  raw_stack!D$2:D$100000, G57,
  raw_stack!F$2:F$100000, "Iya",
  raw_stack!G$2:G$100000, "&gt;="&amp;DATE(2026,1,1),
  raw_stack!G$2:G$100000, "&lt;="&amp;EOMONTH(DATE(2026,1,1),0)
 ),
 IF(OR(_xlpm.x=0, _xlpm.x=""), "-", _xlpm.x)
)</f>
        <v>-</v>
      </c>
      <c r="AC57" s="55" t="str">
        <f>_xlfn.LET(
 _xlpm.x,
 _xlfn.MAXIFS(
  raw_stack!G$2:G$99411,
  raw_stack!D$2:D$99411, G57,
  raw_stack!F$2:F$99411, "Iya",
  raw_stack!G$2:G$99411, "&gt;="&amp;DATE(2026,2,1),
  raw_stack!G$2:G$99411, "&lt;="&amp;EOMONTH(DATE(2026,2,1),0)
 ),
 IF(_xlpm.x=0, "-", _xlpm.x)
)</f>
        <v>-</v>
      </c>
      <c r="AD57" s="56" t="str">
        <f>_xlfn.LET(
 _xlpm.x,
 _xlfn.MAXIFS(
  raw_stack!H$2:H$100000,
  raw_stack!D$2:D$100000, G57,
  raw_stack!F$2:F$100000, "Iya",
  raw_stack!G$2:G$100000, "&gt;="&amp;DATE(2026,2,1),
  raw_stack!G$2:G$100000, "&lt;="&amp;EOMONTH(DATE(2026,2,1),0)
 ),
 IF(OR(_xlpm.x=0, _xlpm.x=""), "-", _xlpm.x)
)</f>
        <v>-</v>
      </c>
      <c r="AE57" s="55" t="str">
        <f>_xlfn.LET(
 _xlpm.x,
 _xlfn.MAXIFS(
  raw_stack!G$2:G$100000,
  raw_stack!D$2:D$100000, G57,
  raw_stack!F$2:F$100000, "Iya",
  raw_stack!G$2:G$100000, "&gt;="&amp;DATE(2026,3,1),
  raw_stack!G$2:G$100000, "&lt;="&amp;EOMONTH(DATE(2026,3,1),0)
 ),
 IF(_xlpm.x=0, "-", _xlpm.x)
)</f>
        <v>-</v>
      </c>
      <c r="AF57" s="56" t="str">
        <f>_xlfn.LET(
 _xlpm.x,
 _xlfn.MAXIFS(
  raw_stack!H$2:H$100000,
  raw_stack!D$2:D$100000, G57,
  raw_stack!F$2:F$100000, "Iya",
  raw_stack!G$2:G$100000, "&gt;="&amp;DATE(2026,3,1),
  raw_stack!G$2:G$100000, "&lt;="&amp;EOMONTH(DATE(2026,3,1),0)
 ),
 IF(OR(_xlpm.x=0, _xlpm.x=""), "-", _xlpm.x)
)</f>
        <v>-</v>
      </c>
      <c r="AG57" s="55" t="str">
        <f>_xlfn.LET(
 _xlpm.x,
 _xlfn.MAXIFS(
  raw_stack!G$2:G$100000,
  raw_stack!D$2:D$100000, G57,
  raw_stack!F$2:F$100000, "Iya",
  raw_stack!G$2:G$100000, "&gt;="&amp;DATE(2026,4,1),
  raw_stack!G$2:G$100000, "&lt;="&amp;EOMONTH(DATE(2026,4,1),0)
 ),
 IF(_xlpm.x=0, "-", _xlpm.x)
)</f>
        <v>-</v>
      </c>
      <c r="AH57" s="56" t="str">
        <f>_xlfn.LET(
 _xlpm.x,
 _xlfn.MAXIFS(
  raw_stack!H$2:H$100000,
  raw_stack!D$2:D$100000, G57,
  raw_stack!F$2:F$100000, "Iya",
  raw_stack!G$2:G$100000, "&gt;="&amp;DATE(2026,4,1),
  raw_stack!G$2:G$100000, "&lt;="&amp;EOMONTH(DATE(2026,4,1),0)
 ),
 IF(OR(_xlpm.x=0, _xlpm.x=""), "-", _xlpm.x)
)</f>
        <v>-</v>
      </c>
    </row>
    <row r="58" spans="1:34">
      <c r="A58" s="48">
        <v>57</v>
      </c>
      <c r="B58" s="49" t="str">
        <f t="shared" si="0"/>
        <v>46643</v>
      </c>
      <c r="C58" s="50" t="s">
        <v>46</v>
      </c>
      <c r="D58" s="51" t="s">
        <v>508</v>
      </c>
      <c r="E58" s="51" t="s">
        <v>54</v>
      </c>
      <c r="F58" s="49" t="s">
        <v>117</v>
      </c>
      <c r="G58" s="49" t="s">
        <v>174</v>
      </c>
      <c r="H58" s="49" t="s">
        <v>48</v>
      </c>
      <c r="I58" s="49" t="s">
        <v>52</v>
      </c>
      <c r="J58" s="52">
        <v>7675000</v>
      </c>
      <c r="K58" s="53">
        <v>46018</v>
      </c>
      <c r="L58" s="53">
        <v>46199</v>
      </c>
      <c r="M58" s="53">
        <v>46079</v>
      </c>
      <c r="N58" s="49" t="s">
        <v>50</v>
      </c>
      <c r="O58" s="54" t="str">
        <f>_xlfn.LET(
 _xlpm.x,
 _xlfn.MAXIFS(
  raw_stack!G$2:G$100000,
  raw_stack!D$2:D$100000, G58,
  raw_stack!F$2:F$100000, "Iya",
  raw_stack!G$2:G$100000, "&gt;="&amp;DATE(2025,7,1),
  raw_stack!G$2:G$100000, "&lt;="&amp;EOMONTH(DATE(2025,7,1),0)
 ),
 IF(_xlpm.x=0, "-", _xlpm.x)
)</f>
        <v>-</v>
      </c>
      <c r="P58" s="65" t="str">
        <f>_xlfn.LET(
 _xlpm.x,
 _xlfn.MAXIFS(
  raw_stack!H$2:H$100000,
  raw_stack!D$2:D$100000, G58,
  raw_stack!F$2:F$100000, "Iya",
  raw_stack!G$2:G$100000, "&gt;="&amp;DATE(2025,7,1),
  raw_stack!G$2:G$100000, "&lt;="&amp;EOMONTH(DATE(2025,7,1),0)
 ),
 IF(OR(_xlpm.x=0, _xlpm.x=""), "-", _xlpm.x)
)</f>
        <v>-</v>
      </c>
      <c r="Q58" s="54" t="str">
        <f>_xlfn.LET(
 _xlpm.x,
 _xlfn.MAXIFS(
  raw_stack!G$2:G$99411,
  raw_stack!D$2:D$99411, G58,
  raw_stack!F$2:F$99411, "Iya",
  raw_stack!G$2:G$99411, "&gt;="&amp;DATE(2025,8,1),
  raw_stack!G$2:G$99411, "&lt;="&amp;EOMONTH(DATE(2025,8,1),0)
 ),
 IF(_xlpm.x=0, "-", _xlpm.x)
)</f>
        <v>-</v>
      </c>
      <c r="R58" s="65" t="str">
        <f>_xlfn.LET(
 _xlpm.x,
 _xlfn.MAXIFS(
  raw_stack!H$2:H$100000,
  raw_stack!D$2:D$100000, G58,
  raw_stack!F$2:F$100000, "Iya",
  raw_stack!G$2:G$100000, "&gt;="&amp;DATE(2025,8,1),
  raw_stack!G$2:G$100000, "&lt;="&amp;EOMONTH(DATE(2025,8,1),0)
 ),
 IF(OR(_xlpm.x=0, _xlpm.x=""), "-", _xlpm.x)
)</f>
        <v>-</v>
      </c>
      <c r="S58" s="54">
        <f>_xlfn.LET(
 _xlpm.x,
 _xlfn.MAXIFS(
  raw_stack!G$2:G$99411,
  raw_stack!D$2:D$99411, G58,
  raw_stack!F$2:F$99411, "Iya",
  raw_stack!G$2:G$99411, "&gt;="&amp;DATE(2025,9,1),
  raw_stack!G$2:G$99411, "&lt;="&amp;EOMONTH(DATE(2025,9,1),0)
 ),
 IF(_xlpm.x=0, "-", _xlpm.x)
)</f>
        <v>45915</v>
      </c>
      <c r="T58" s="65">
        <f>_xlfn.LET(
 _xlpm.x,
 _xlfn.MAXIFS(
  raw_stack!H$2:H$100000,
  raw_stack!D$2:D$100000, G58,
  raw_stack!F$2:F$100000, "Iya",
  raw_stack!G$2:G$100000, "&gt;="&amp;DATE(2025,9,1),
  raw_stack!G$2:G$100000, "&lt;="&amp;EOMONTH(DATE(2025,9,1),0)
 ),
 IF(OR(_xlpm.x=0, _xlpm.x=""), "-", _xlpm.x)
)</f>
        <v>55694</v>
      </c>
      <c r="U58" s="54" t="str">
        <f>_xlfn.LET(
 _xlpm.x,
 _xlfn.MAXIFS(
  raw_stack!G$2:G$99411,
  raw_stack!D$2:D$99411, G58,
  raw_stack!F$2:F$99411, "Iya",
  raw_stack!G$2:G$99411, "&gt;="&amp;DATE(2025,10,1),
  raw_stack!G$2:G$99411, "&lt;="&amp;EOMONTH(DATE(2025,10,1),0)
 ),
 IF(_xlpm.x=0, "-", _xlpm.x)
)</f>
        <v>-</v>
      </c>
      <c r="V58" s="65" t="str">
        <f>_xlfn.LET(
 _xlpm.x,
 _xlfn.MAXIFS(
  raw_stack!H$2:H$100000,
  raw_stack!D$2:D$100000, G58,
  raw_stack!F$2:F$100000, "Iya",
  raw_stack!G$2:G$100000, "&gt;="&amp;DATE(2025,10,1),
  raw_stack!G$2:G$100000, "&lt;="&amp;EOMONTH(DATE(2025,10,1),0)
 ),
 IF(OR(_xlpm.x=0, _xlpm.x=""), "-", _xlpm.x)
)</f>
        <v>-</v>
      </c>
      <c r="W58" s="55" t="str">
        <f>_xlfn.LET(
 _xlpm.x,
 _xlfn.MAXIFS(
  raw_stack!G$2:G$99411,
  raw_stack!D$2:D$99411, G58,
  raw_stack!F$2:F$99411, "Iya",
  raw_stack!G$2:G$99411, "&gt;="&amp;DATE(2025,11,1),
  raw_stack!G$2:G$99411, "&lt;="&amp;EOMONTH(DATE(2025,11,1),0)
 ),
 IF(_xlpm.x=0, "-", _xlpm.x)
)</f>
        <v>-</v>
      </c>
      <c r="X58" s="56" t="str">
        <f>_xlfn.LET(
 _xlpm.x,
 _xlfn.MAXIFS(
  raw_stack!H$2:H$100000,
  raw_stack!D$2:D$100000, G58,
  raw_stack!F$2:F$100000, "Iya",
  raw_stack!G$2:G$100000, "&gt;="&amp;DATE(2025,11,1),
  raw_stack!G$2:G$100000, "&lt;="&amp;EOMONTH(DATE(2025,11,1),0)
 ),
 IF(OR(_xlpm.x=0, _xlpm.x=""), "-", _xlpm.x)
)</f>
        <v>-</v>
      </c>
      <c r="Y58" s="55" t="str">
        <f>_xlfn.LET(
 _xlpm.x,
 _xlfn.MAXIFS(
  raw_stack!G$2:G$99411,
  raw_stack!D$2:D$99411, G58,
  raw_stack!F$2:F$99411, "Iya",
  raw_stack!G$2:G$99411, "&gt;="&amp;DATE(2025,12,1),
  raw_stack!G$2:G$99411, "&lt;="&amp;EOMONTH(DATE(2025,12,1),0)
 ),
 IF(_xlpm.x=0, "-", _xlpm.x)
)</f>
        <v>-</v>
      </c>
      <c r="Z58" s="56" t="str">
        <f>_xlfn.LET(
 _xlpm.x,
 _xlfn.MAXIFS(
  raw_stack!H$2:H$100000,
  raw_stack!D$2:D$100000, G58,
  raw_stack!F$2:F$100000, "Iya",
  raw_stack!G$2:G$100000, "&gt;="&amp;DATE(2025,12,1),
  raw_stack!G$2:G$100000, "&lt;="&amp;EOMONTH(DATE(2025,12,1),0)
 ),
 IF(OR(_xlpm.x=0, _xlpm.x=""), "-", _xlpm.x)
)</f>
        <v>-</v>
      </c>
      <c r="AA58" s="55">
        <f>_xlfn.LET(
 _xlpm.x,
 _xlfn.MAXIFS(
  raw_stack!G$2:G$99411,
  raw_stack!D$2:D$99411, G58,
  raw_stack!F$2:F$99411, "Iya",
  raw_stack!G$2:G$99411, "&gt;="&amp;DATE(2026,1,1),
  raw_stack!G$2:G$99411, "&lt;="&amp;EOMONTH(DATE(2026,1,1),0)
 ),
 IF(_xlpm.x=0, "-", _xlpm.x)
)</f>
        <v>46038</v>
      </c>
      <c r="AB58" s="56">
        <f>_xlfn.LET(
 _xlpm.x,
 _xlfn.MAXIFS(
  raw_stack!H$2:H$100000,
  raw_stack!D$2:D$100000, G58,
  raw_stack!F$2:F$100000, "Iya",
  raw_stack!G$2:G$100000, "&gt;="&amp;DATE(2026,1,1),
  raw_stack!G$2:G$100000, "&lt;="&amp;EOMONTH(DATE(2026,1,1),0)
 ),
 IF(OR(_xlpm.x=0, _xlpm.x=""), "-", _xlpm.x)
)</f>
        <v>55474</v>
      </c>
      <c r="AC58" s="55" t="str">
        <f>_xlfn.LET(
 _xlpm.x,
 _xlfn.MAXIFS(
  raw_stack!G$2:G$99411,
  raw_stack!D$2:D$99411, G58,
  raw_stack!F$2:F$99411, "Iya",
  raw_stack!G$2:G$99411, "&gt;="&amp;DATE(2026,2,1),
  raw_stack!G$2:G$99411, "&lt;="&amp;EOMONTH(DATE(2026,2,1),0)
 ),
 IF(_xlpm.x=0, "-", _xlpm.x)
)</f>
        <v>-</v>
      </c>
      <c r="AD58" s="56" t="str">
        <f>_xlfn.LET(
 _xlpm.x,
 _xlfn.MAXIFS(
  raw_stack!H$2:H$100000,
  raw_stack!D$2:D$100000, G58,
  raw_stack!F$2:F$100000, "Iya",
  raw_stack!G$2:G$100000, "&gt;="&amp;DATE(2026,2,1),
  raw_stack!G$2:G$100000, "&lt;="&amp;EOMONTH(DATE(2026,2,1),0)
 ),
 IF(OR(_xlpm.x=0, _xlpm.x=""), "-", _xlpm.x)
)</f>
        <v>-</v>
      </c>
      <c r="AE58" s="55">
        <f>_xlfn.LET(
 _xlpm.x,
 _xlfn.MAXIFS(
  raw_stack!G$2:G$100000,
  raw_stack!D$2:D$100000, G58,
  raw_stack!F$2:F$100000, "Iya",
  raw_stack!G$2:G$100000, "&gt;="&amp;DATE(2026,3,1),
  raw_stack!G$2:G$100000, "&lt;="&amp;EOMONTH(DATE(2026,3,1),0)
 ),
 IF(_xlpm.x=0, "-", _xlpm.x)
)</f>
        <v>46096</v>
      </c>
      <c r="AF58" s="56">
        <f>_xlfn.LET(
 _xlpm.x,
 _xlfn.MAXIFS(
  raw_stack!H$2:H$100000,
  raw_stack!D$2:D$100000, G58,
  raw_stack!F$2:F$100000, "Iya",
  raw_stack!G$2:G$100000, "&gt;="&amp;DATE(2026,3,1),
  raw_stack!G$2:G$100000, "&lt;="&amp;EOMONTH(DATE(2026,3,1),0)
 ),
 IF(OR(_xlpm.x=0, _xlpm.x=""), "-", _xlpm.x)
)</f>
        <v>50653</v>
      </c>
      <c r="AG58" s="55" t="str">
        <f>_xlfn.LET(
 _xlpm.x,
 _xlfn.MAXIFS(
  raw_stack!G$2:G$100000,
  raw_stack!D$2:D$100000, G58,
  raw_stack!F$2:F$100000, "Iya",
  raw_stack!G$2:G$100000, "&gt;="&amp;DATE(2026,4,1),
  raw_stack!G$2:G$100000, "&lt;="&amp;EOMONTH(DATE(2026,4,1),0)
 ),
 IF(_xlpm.x=0, "-", _xlpm.x)
)</f>
        <v>-</v>
      </c>
      <c r="AH58" s="56" t="str">
        <f>_xlfn.LET(
 _xlpm.x,
 _xlfn.MAXIFS(
  raw_stack!H$2:H$100000,
  raw_stack!D$2:D$100000, G58,
  raw_stack!F$2:F$100000, "Iya",
  raw_stack!G$2:G$100000, "&gt;="&amp;DATE(2026,4,1),
  raw_stack!G$2:G$100000, "&lt;="&amp;EOMONTH(DATE(2026,4,1),0)
 ),
 IF(OR(_xlpm.x=0, _xlpm.x=""), "-", _xlpm.x)
)</f>
        <v>-</v>
      </c>
    </row>
    <row r="59" spans="1:34">
      <c r="A59" s="48">
        <v>58</v>
      </c>
      <c r="B59" s="49" t="str">
        <f t="shared" si="0"/>
        <v>66198</v>
      </c>
      <c r="C59" s="50" t="s">
        <v>46</v>
      </c>
      <c r="D59" s="51" t="s">
        <v>509</v>
      </c>
      <c r="E59" s="51" t="s">
        <v>51</v>
      </c>
      <c r="F59" s="49" t="s">
        <v>117</v>
      </c>
      <c r="G59" s="49" t="s">
        <v>175</v>
      </c>
      <c r="H59" s="49" t="s">
        <v>48</v>
      </c>
      <c r="I59" s="49" t="s">
        <v>52</v>
      </c>
      <c r="J59" s="52">
        <v>3380000</v>
      </c>
      <c r="K59" s="53">
        <v>46022</v>
      </c>
      <c r="L59" s="53">
        <v>46202</v>
      </c>
      <c r="M59" s="53">
        <v>46080</v>
      </c>
      <c r="N59" s="49" t="s">
        <v>50</v>
      </c>
      <c r="O59" s="54" t="str">
        <f>_xlfn.LET(
 _xlpm.x,
 _xlfn.MAXIFS(
  raw_stack!G$2:G$100000,
  raw_stack!D$2:D$100000, G59,
  raw_stack!F$2:F$100000, "Iya",
  raw_stack!G$2:G$100000, "&gt;="&amp;DATE(2025,7,1),
  raw_stack!G$2:G$100000, "&lt;="&amp;EOMONTH(DATE(2025,7,1),0)
 ),
 IF(_xlpm.x=0, "-", _xlpm.x)
)</f>
        <v>-</v>
      </c>
      <c r="P59" s="65" t="str">
        <f>_xlfn.LET(
 _xlpm.x,
 _xlfn.MAXIFS(
  raw_stack!H$2:H$100000,
  raw_stack!D$2:D$100000, G59,
  raw_stack!F$2:F$100000, "Iya",
  raw_stack!G$2:G$100000, "&gt;="&amp;DATE(2025,7,1),
  raw_stack!G$2:G$100000, "&lt;="&amp;EOMONTH(DATE(2025,7,1),0)
 ),
 IF(OR(_xlpm.x=0, _xlpm.x=""), "-", _xlpm.x)
)</f>
        <v>-</v>
      </c>
      <c r="Q59" s="54" t="str">
        <f>_xlfn.LET(
 _xlpm.x,
 _xlfn.MAXIFS(
  raw_stack!G$2:G$99411,
  raw_stack!D$2:D$99411, G59,
  raw_stack!F$2:F$99411, "Iya",
  raw_stack!G$2:G$99411, "&gt;="&amp;DATE(2025,8,1),
  raw_stack!G$2:G$99411, "&lt;="&amp;EOMONTH(DATE(2025,8,1),0)
 ),
 IF(_xlpm.x=0, "-", _xlpm.x)
)</f>
        <v>-</v>
      </c>
      <c r="R59" s="65" t="str">
        <f>_xlfn.LET(
 _xlpm.x,
 _xlfn.MAXIFS(
  raw_stack!H$2:H$100000,
  raw_stack!D$2:D$100000, G59,
  raw_stack!F$2:F$100000, "Iya",
  raw_stack!G$2:G$100000, "&gt;="&amp;DATE(2025,8,1),
  raw_stack!G$2:G$100000, "&lt;="&amp;EOMONTH(DATE(2025,8,1),0)
 ),
 IF(OR(_xlpm.x=0, _xlpm.x=""), "-", _xlpm.x)
)</f>
        <v>-</v>
      </c>
      <c r="S59" s="54">
        <f>_xlfn.LET(
 _xlpm.x,
 _xlfn.MAXIFS(
  raw_stack!G$2:G$99411,
  raw_stack!D$2:D$99411, G59,
  raw_stack!F$2:F$99411, "Iya",
  raw_stack!G$2:G$99411, "&gt;="&amp;DATE(2025,9,1),
  raw_stack!G$2:G$99411, "&lt;="&amp;EOMONTH(DATE(2025,9,1),0)
 ),
 IF(_xlpm.x=0, "-", _xlpm.x)
)</f>
        <v>45926</v>
      </c>
      <c r="T59" s="65">
        <f>_xlfn.LET(
 _xlpm.x,
 _xlfn.MAXIFS(
  raw_stack!H$2:H$100000,
  raw_stack!D$2:D$100000, G59,
  raw_stack!F$2:F$100000, "Iya",
  raw_stack!G$2:G$100000, "&gt;="&amp;DATE(2025,9,1),
  raw_stack!G$2:G$100000, "&lt;="&amp;EOMONTH(DATE(2025,9,1),0)
 ),
 IF(OR(_xlpm.x=0, _xlpm.x=""), "-", _xlpm.x)
)</f>
        <v>42535</v>
      </c>
      <c r="U59" s="54" t="str">
        <f>_xlfn.LET(
 _xlpm.x,
 _xlfn.MAXIFS(
  raw_stack!G$2:G$99411,
  raw_stack!D$2:D$99411, G59,
  raw_stack!F$2:F$99411, "Iya",
  raw_stack!G$2:G$99411, "&gt;="&amp;DATE(2025,10,1),
  raw_stack!G$2:G$99411, "&lt;="&amp;EOMONTH(DATE(2025,10,1),0)
 ),
 IF(_xlpm.x=0, "-", _xlpm.x)
)</f>
        <v>-</v>
      </c>
      <c r="V59" s="65" t="str">
        <f>_xlfn.LET(
 _xlpm.x,
 _xlfn.MAXIFS(
  raw_stack!H$2:H$100000,
  raw_stack!D$2:D$100000, G59,
  raw_stack!F$2:F$100000, "Iya",
  raw_stack!G$2:G$100000, "&gt;="&amp;DATE(2025,10,1),
  raw_stack!G$2:G$100000, "&lt;="&amp;EOMONTH(DATE(2025,10,1),0)
 ),
 IF(OR(_xlpm.x=0, _xlpm.x=""), "-", _xlpm.x)
)</f>
        <v>-</v>
      </c>
      <c r="W59" s="55" t="str">
        <f>_xlfn.LET(
 _xlpm.x,
 _xlfn.MAXIFS(
  raw_stack!G$2:G$99411,
  raw_stack!D$2:D$99411, G59,
  raw_stack!F$2:F$99411, "Iya",
  raw_stack!G$2:G$99411, "&gt;="&amp;DATE(2025,11,1),
  raw_stack!G$2:G$99411, "&lt;="&amp;EOMONTH(DATE(2025,11,1),0)
 ),
 IF(_xlpm.x=0, "-", _xlpm.x)
)</f>
        <v>-</v>
      </c>
      <c r="X59" s="56" t="str">
        <f>_xlfn.LET(
 _xlpm.x,
 _xlfn.MAXIFS(
  raw_stack!H$2:H$100000,
  raw_stack!D$2:D$100000, G59,
  raw_stack!F$2:F$100000, "Iya",
  raw_stack!G$2:G$100000, "&gt;="&amp;DATE(2025,11,1),
  raw_stack!G$2:G$100000, "&lt;="&amp;EOMONTH(DATE(2025,11,1),0)
 ),
 IF(OR(_xlpm.x=0, _xlpm.x=""), "-", _xlpm.x)
)</f>
        <v>-</v>
      </c>
      <c r="Y59" s="55" t="str">
        <f>_xlfn.LET(
 _xlpm.x,
 _xlfn.MAXIFS(
  raw_stack!G$2:G$99411,
  raw_stack!D$2:D$99411, G59,
  raw_stack!F$2:F$99411, "Iya",
  raw_stack!G$2:G$99411, "&gt;="&amp;DATE(2025,12,1),
  raw_stack!G$2:G$99411, "&lt;="&amp;EOMONTH(DATE(2025,12,1),0)
 ),
 IF(_xlpm.x=0, "-", _xlpm.x)
)</f>
        <v>-</v>
      </c>
      <c r="Z59" s="56" t="str">
        <f>_xlfn.LET(
 _xlpm.x,
 _xlfn.MAXIFS(
  raw_stack!H$2:H$100000,
  raw_stack!D$2:D$100000, G59,
  raw_stack!F$2:F$100000, "Iya",
  raw_stack!G$2:G$100000, "&gt;="&amp;DATE(2025,12,1),
  raw_stack!G$2:G$100000, "&lt;="&amp;EOMONTH(DATE(2025,12,1),0)
 ),
 IF(OR(_xlpm.x=0, _xlpm.x=""), "-", _xlpm.x)
)</f>
        <v>-</v>
      </c>
      <c r="AA59" s="55" t="str">
        <f>_xlfn.LET(
 _xlpm.x,
 _xlfn.MAXIFS(
  raw_stack!G$2:G$99411,
  raw_stack!D$2:D$99411, G59,
  raw_stack!F$2:F$99411, "Iya",
  raw_stack!G$2:G$99411, "&gt;="&amp;DATE(2026,1,1),
  raw_stack!G$2:G$99411, "&lt;="&amp;EOMONTH(DATE(2026,1,1),0)
 ),
 IF(_xlpm.x=0, "-", _xlpm.x)
)</f>
        <v>-</v>
      </c>
      <c r="AB59" s="56" t="str">
        <f>_xlfn.LET(
 _xlpm.x,
 _xlfn.MAXIFS(
  raw_stack!H$2:H$100000,
  raw_stack!D$2:D$100000, G59,
  raw_stack!F$2:F$100000, "Iya",
  raw_stack!G$2:G$100000, "&gt;="&amp;DATE(2026,1,1),
  raw_stack!G$2:G$100000, "&lt;="&amp;EOMONTH(DATE(2026,1,1),0)
 ),
 IF(OR(_xlpm.x=0, _xlpm.x=""), "-", _xlpm.x)
)</f>
        <v>-</v>
      </c>
      <c r="AC59" s="55" t="str">
        <f>_xlfn.LET(
 _xlpm.x,
 _xlfn.MAXIFS(
  raw_stack!G$2:G$99411,
  raw_stack!D$2:D$99411, G59,
  raw_stack!F$2:F$99411, "Iya",
  raw_stack!G$2:G$99411, "&gt;="&amp;DATE(2026,2,1),
  raw_stack!G$2:G$99411, "&lt;="&amp;EOMONTH(DATE(2026,2,1),0)
 ),
 IF(_xlpm.x=0, "-", _xlpm.x)
)</f>
        <v>-</v>
      </c>
      <c r="AD59" s="56" t="str">
        <f>_xlfn.LET(
 _xlpm.x,
 _xlfn.MAXIFS(
  raw_stack!H$2:H$100000,
  raw_stack!D$2:D$100000, G59,
  raw_stack!F$2:F$100000, "Iya",
  raw_stack!G$2:G$100000, "&gt;="&amp;DATE(2026,2,1),
  raw_stack!G$2:G$100000, "&lt;="&amp;EOMONTH(DATE(2026,2,1),0)
 ),
 IF(OR(_xlpm.x=0, _xlpm.x=""), "-", _xlpm.x)
)</f>
        <v>-</v>
      </c>
      <c r="AE59" s="55" t="str">
        <f>_xlfn.LET(
 _xlpm.x,
 _xlfn.MAXIFS(
  raw_stack!G$2:G$100000,
  raw_stack!D$2:D$100000, G59,
  raw_stack!F$2:F$100000, "Iya",
  raw_stack!G$2:G$100000, "&gt;="&amp;DATE(2026,3,1),
  raw_stack!G$2:G$100000, "&lt;="&amp;EOMONTH(DATE(2026,3,1),0)
 ),
 IF(_xlpm.x=0, "-", _xlpm.x)
)</f>
        <v>-</v>
      </c>
      <c r="AF59" s="56" t="str">
        <f>_xlfn.LET(
 _xlpm.x,
 _xlfn.MAXIFS(
  raw_stack!H$2:H$100000,
  raw_stack!D$2:D$100000, G59,
  raw_stack!F$2:F$100000, "Iya",
  raw_stack!G$2:G$100000, "&gt;="&amp;DATE(2026,3,1),
  raw_stack!G$2:G$100000, "&lt;="&amp;EOMONTH(DATE(2026,3,1),0)
 ),
 IF(OR(_xlpm.x=0, _xlpm.x=""), "-", _xlpm.x)
)</f>
        <v>-</v>
      </c>
      <c r="AG59" s="55" t="str">
        <f>_xlfn.LET(
 _xlpm.x,
 _xlfn.MAXIFS(
  raw_stack!G$2:G$100000,
  raw_stack!D$2:D$100000, G59,
  raw_stack!F$2:F$100000, "Iya",
  raw_stack!G$2:G$100000, "&gt;="&amp;DATE(2026,4,1),
  raw_stack!G$2:G$100000, "&lt;="&amp;EOMONTH(DATE(2026,4,1),0)
 ),
 IF(_xlpm.x=0, "-", _xlpm.x)
)</f>
        <v>-</v>
      </c>
      <c r="AH59" s="56" t="str">
        <f>_xlfn.LET(
 _xlpm.x,
 _xlfn.MAXIFS(
  raw_stack!H$2:H$100000,
  raw_stack!D$2:D$100000, G59,
  raw_stack!F$2:F$100000, "Iya",
  raw_stack!G$2:G$100000, "&gt;="&amp;DATE(2026,4,1),
  raw_stack!G$2:G$100000, "&lt;="&amp;EOMONTH(DATE(2026,4,1),0)
 ),
 IF(OR(_xlpm.x=0, _xlpm.x=""), "-", _xlpm.x)
)</f>
        <v>-</v>
      </c>
    </row>
    <row r="60" spans="1:34">
      <c r="A60" s="48">
        <v>59</v>
      </c>
      <c r="B60" s="49" t="str">
        <f t="shared" si="0"/>
        <v>90392</v>
      </c>
      <c r="C60" s="50" t="s">
        <v>46</v>
      </c>
      <c r="D60" s="51" t="s">
        <v>467</v>
      </c>
      <c r="E60" s="51" t="s">
        <v>51</v>
      </c>
      <c r="F60" s="49" t="s">
        <v>117</v>
      </c>
      <c r="G60" s="49" t="s">
        <v>176</v>
      </c>
      <c r="H60" s="49" t="s">
        <v>48</v>
      </c>
      <c r="I60" s="49" t="s">
        <v>52</v>
      </c>
      <c r="J60" s="52">
        <v>3600000</v>
      </c>
      <c r="K60" s="53">
        <v>46023</v>
      </c>
      <c r="L60" s="53">
        <v>46203</v>
      </c>
      <c r="M60" s="53">
        <v>46081</v>
      </c>
      <c r="N60" s="49" t="s">
        <v>50</v>
      </c>
      <c r="O60" s="54" t="str">
        <f>_xlfn.LET(
 _xlpm.x,
 _xlfn.MAXIFS(
  raw_stack!G$2:G$100000,
  raw_stack!D$2:D$100000, G60,
  raw_stack!F$2:F$100000, "Iya",
  raw_stack!G$2:G$100000, "&gt;="&amp;DATE(2025,7,1),
  raw_stack!G$2:G$100000, "&lt;="&amp;EOMONTH(DATE(2025,7,1),0)
 ),
 IF(_xlpm.x=0, "-", _xlpm.x)
)</f>
        <v>-</v>
      </c>
      <c r="P60" s="65" t="str">
        <f>_xlfn.LET(
 _xlpm.x,
 _xlfn.MAXIFS(
  raw_stack!H$2:H$100000,
  raw_stack!D$2:D$100000, G60,
  raw_stack!F$2:F$100000, "Iya",
  raw_stack!G$2:G$100000, "&gt;="&amp;DATE(2025,7,1),
  raw_stack!G$2:G$100000, "&lt;="&amp;EOMONTH(DATE(2025,7,1),0)
 ),
 IF(OR(_xlpm.x=0, _xlpm.x=""), "-", _xlpm.x)
)</f>
        <v>-</v>
      </c>
      <c r="Q60" s="54" t="str">
        <f>_xlfn.LET(
 _xlpm.x,
 _xlfn.MAXIFS(
  raw_stack!G$2:G$99411,
  raw_stack!D$2:D$99411, G60,
  raw_stack!F$2:F$99411, "Iya",
  raw_stack!G$2:G$99411, "&gt;="&amp;DATE(2025,8,1),
  raw_stack!G$2:G$99411, "&lt;="&amp;EOMONTH(DATE(2025,8,1),0)
 ),
 IF(_xlpm.x=0, "-", _xlpm.x)
)</f>
        <v>-</v>
      </c>
      <c r="R60" s="65" t="str">
        <f>_xlfn.LET(
 _xlpm.x,
 _xlfn.MAXIFS(
  raw_stack!H$2:H$100000,
  raw_stack!D$2:D$100000, G60,
  raw_stack!F$2:F$100000, "Iya",
  raw_stack!G$2:G$100000, "&gt;="&amp;DATE(2025,8,1),
  raw_stack!G$2:G$100000, "&lt;="&amp;EOMONTH(DATE(2025,8,1),0)
 ),
 IF(OR(_xlpm.x=0, _xlpm.x=""), "-", _xlpm.x)
)</f>
        <v>-</v>
      </c>
      <c r="S60" s="54" t="str">
        <f>_xlfn.LET(
 _xlpm.x,
 _xlfn.MAXIFS(
  raw_stack!G$2:G$99411,
  raw_stack!D$2:D$99411, G60,
  raw_stack!F$2:F$99411, "Iya",
  raw_stack!G$2:G$99411, "&gt;="&amp;DATE(2025,9,1),
  raw_stack!G$2:G$99411, "&lt;="&amp;EOMONTH(DATE(2025,9,1),0)
 ),
 IF(_xlpm.x=0, "-", _xlpm.x)
)</f>
        <v>-</v>
      </c>
      <c r="T60" s="65" t="str">
        <f>_xlfn.LET(
 _xlpm.x,
 _xlfn.MAXIFS(
  raw_stack!H$2:H$100000,
  raw_stack!D$2:D$100000, G60,
  raw_stack!F$2:F$100000, "Iya",
  raw_stack!G$2:G$100000, "&gt;="&amp;DATE(2025,9,1),
  raw_stack!G$2:G$100000, "&lt;="&amp;EOMONTH(DATE(2025,9,1),0)
 ),
 IF(OR(_xlpm.x=0, _xlpm.x=""), "-", _xlpm.x)
)</f>
        <v>-</v>
      </c>
      <c r="U60" s="54" t="str">
        <f>_xlfn.LET(
 _xlpm.x,
 _xlfn.MAXIFS(
  raw_stack!G$2:G$99411,
  raw_stack!D$2:D$99411, G60,
  raw_stack!F$2:F$99411, "Iya",
  raw_stack!G$2:G$99411, "&gt;="&amp;DATE(2025,10,1),
  raw_stack!G$2:G$99411, "&lt;="&amp;EOMONTH(DATE(2025,10,1),0)
 ),
 IF(_xlpm.x=0, "-", _xlpm.x)
)</f>
        <v>-</v>
      </c>
      <c r="V60" s="65" t="str">
        <f>_xlfn.LET(
 _xlpm.x,
 _xlfn.MAXIFS(
  raw_stack!H$2:H$100000,
  raw_stack!D$2:D$100000, G60,
  raw_stack!F$2:F$100000, "Iya",
  raw_stack!G$2:G$100000, "&gt;="&amp;DATE(2025,10,1),
  raw_stack!G$2:G$100000, "&lt;="&amp;EOMONTH(DATE(2025,10,1),0)
 ),
 IF(OR(_xlpm.x=0, _xlpm.x=""), "-", _xlpm.x)
)</f>
        <v>-</v>
      </c>
      <c r="W60" s="55">
        <f>_xlfn.LET(
 _xlpm.x,
 _xlfn.MAXIFS(
  raw_stack!G$2:G$99411,
  raw_stack!D$2:D$99411, G60,
  raw_stack!F$2:F$99411, "Iya",
  raw_stack!G$2:G$99411, "&gt;="&amp;DATE(2025,11,1),
  raw_stack!G$2:G$99411, "&lt;="&amp;EOMONTH(DATE(2025,11,1),0)
 ),
 IF(_xlpm.x=0, "-", _xlpm.x)
)</f>
        <v>45982</v>
      </c>
      <c r="X60" s="56">
        <f>_xlfn.LET(
 _xlpm.x,
 _xlfn.MAXIFS(
  raw_stack!H$2:H$100000,
  raw_stack!D$2:D$100000, G60,
  raw_stack!F$2:F$100000, "Iya",
  raw_stack!G$2:G$100000, "&gt;="&amp;DATE(2025,11,1),
  raw_stack!G$2:G$100000, "&lt;="&amp;EOMONTH(DATE(2025,11,1),0)
 ),
 IF(OR(_xlpm.x=0, _xlpm.x=""), "-", _xlpm.x)
)</f>
        <v>38247</v>
      </c>
      <c r="Y60" s="55" t="str">
        <f>_xlfn.LET(
 _xlpm.x,
 _xlfn.MAXIFS(
  raw_stack!G$2:G$99411,
  raw_stack!D$2:D$99411, G60,
  raw_stack!F$2:F$99411, "Iya",
  raw_stack!G$2:G$99411, "&gt;="&amp;DATE(2025,12,1),
  raw_stack!G$2:G$99411, "&lt;="&amp;EOMONTH(DATE(2025,12,1),0)
 ),
 IF(_xlpm.x=0, "-", _xlpm.x)
)</f>
        <v>-</v>
      </c>
      <c r="Z60" s="56" t="str">
        <f>_xlfn.LET(
 _xlpm.x,
 _xlfn.MAXIFS(
  raw_stack!H$2:H$100000,
  raw_stack!D$2:D$100000, G60,
  raw_stack!F$2:F$100000, "Iya",
  raw_stack!G$2:G$100000, "&gt;="&amp;DATE(2025,12,1),
  raw_stack!G$2:G$100000, "&lt;="&amp;EOMONTH(DATE(2025,12,1),0)
 ),
 IF(OR(_xlpm.x=0, _xlpm.x=""), "-", _xlpm.x)
)</f>
        <v>-</v>
      </c>
      <c r="AA60" s="55" t="str">
        <f>_xlfn.LET(
 _xlpm.x,
 _xlfn.MAXIFS(
  raw_stack!G$2:G$99411,
  raw_stack!D$2:D$99411, G60,
  raw_stack!F$2:F$99411, "Iya",
  raw_stack!G$2:G$99411, "&gt;="&amp;DATE(2026,1,1),
  raw_stack!G$2:G$99411, "&lt;="&amp;EOMONTH(DATE(2026,1,1),0)
 ),
 IF(_xlpm.x=0, "-", _xlpm.x)
)</f>
        <v>-</v>
      </c>
      <c r="AB60" s="56" t="str">
        <f>_xlfn.LET(
 _xlpm.x,
 _xlfn.MAXIFS(
  raw_stack!H$2:H$100000,
  raw_stack!D$2:D$100000, G60,
  raw_stack!F$2:F$100000, "Iya",
  raw_stack!G$2:G$100000, "&gt;="&amp;DATE(2026,1,1),
  raw_stack!G$2:G$100000, "&lt;="&amp;EOMONTH(DATE(2026,1,1),0)
 ),
 IF(OR(_xlpm.x=0, _xlpm.x=""), "-", _xlpm.x)
)</f>
        <v>-</v>
      </c>
      <c r="AC60" s="55" t="str">
        <f>_xlfn.LET(
 _xlpm.x,
 _xlfn.MAXIFS(
  raw_stack!G$2:G$99411,
  raw_stack!D$2:D$99411, G60,
  raw_stack!F$2:F$99411, "Iya",
  raw_stack!G$2:G$99411, "&gt;="&amp;DATE(2026,2,1),
  raw_stack!G$2:G$99411, "&lt;="&amp;EOMONTH(DATE(2026,2,1),0)
 ),
 IF(_xlpm.x=0, "-", _xlpm.x)
)</f>
        <v>-</v>
      </c>
      <c r="AD60" s="56" t="str">
        <f>_xlfn.LET(
 _xlpm.x,
 _xlfn.MAXIFS(
  raw_stack!H$2:H$100000,
  raw_stack!D$2:D$100000, G60,
  raw_stack!F$2:F$100000, "Iya",
  raw_stack!G$2:G$100000, "&gt;="&amp;DATE(2026,2,1),
  raw_stack!G$2:G$100000, "&lt;="&amp;EOMONTH(DATE(2026,2,1),0)
 ),
 IF(OR(_xlpm.x=0, _xlpm.x=""), "-", _xlpm.x)
)</f>
        <v>-</v>
      </c>
      <c r="AE60" s="55" t="str">
        <f>_xlfn.LET(
 _xlpm.x,
 _xlfn.MAXIFS(
  raw_stack!G$2:G$100000,
  raw_stack!D$2:D$100000, G60,
  raw_stack!F$2:F$100000, "Iya",
  raw_stack!G$2:G$100000, "&gt;="&amp;DATE(2026,3,1),
  raw_stack!G$2:G$100000, "&lt;="&amp;EOMONTH(DATE(2026,3,1),0)
 ),
 IF(_xlpm.x=0, "-", _xlpm.x)
)</f>
        <v>-</v>
      </c>
      <c r="AF60" s="56" t="str">
        <f>_xlfn.LET(
 _xlpm.x,
 _xlfn.MAXIFS(
  raw_stack!H$2:H$100000,
  raw_stack!D$2:D$100000, G60,
  raw_stack!F$2:F$100000, "Iya",
  raw_stack!G$2:G$100000, "&gt;="&amp;DATE(2026,3,1),
  raw_stack!G$2:G$100000, "&lt;="&amp;EOMONTH(DATE(2026,3,1),0)
 ),
 IF(OR(_xlpm.x=0, _xlpm.x=""), "-", _xlpm.x)
)</f>
        <v>-</v>
      </c>
      <c r="AG60" s="55" t="str">
        <f>_xlfn.LET(
 _xlpm.x,
 _xlfn.MAXIFS(
  raw_stack!G$2:G$100000,
  raw_stack!D$2:D$100000, G60,
  raw_stack!F$2:F$100000, "Iya",
  raw_stack!G$2:G$100000, "&gt;="&amp;DATE(2026,4,1),
  raw_stack!G$2:G$100000, "&lt;="&amp;EOMONTH(DATE(2026,4,1),0)
 ),
 IF(_xlpm.x=0, "-", _xlpm.x)
)</f>
        <v>-</v>
      </c>
      <c r="AH60" s="56" t="str">
        <f>_xlfn.LET(
 _xlpm.x,
 _xlfn.MAXIFS(
  raw_stack!H$2:H$100000,
  raw_stack!D$2:D$100000, G60,
  raw_stack!F$2:F$100000, "Iya",
  raw_stack!G$2:G$100000, "&gt;="&amp;DATE(2026,4,1),
  raw_stack!G$2:G$100000, "&lt;="&amp;EOMONTH(DATE(2026,4,1),0)
 ),
 IF(OR(_xlpm.x=0, _xlpm.x=""), "-", _xlpm.x)
)</f>
        <v>-</v>
      </c>
    </row>
    <row r="61" spans="1:34">
      <c r="A61" s="48">
        <v>60</v>
      </c>
      <c r="B61" s="49" t="str">
        <f t="shared" si="0"/>
        <v>31340</v>
      </c>
      <c r="C61" s="50" t="s">
        <v>46</v>
      </c>
      <c r="D61" s="51" t="s">
        <v>510</v>
      </c>
      <c r="E61" s="51" t="s">
        <v>56</v>
      </c>
      <c r="F61" s="49" t="s">
        <v>117</v>
      </c>
      <c r="G61" s="49" t="s">
        <v>177</v>
      </c>
      <c r="H61" s="49" t="s">
        <v>48</v>
      </c>
      <c r="I61" s="49" t="s">
        <v>52</v>
      </c>
      <c r="J61" s="52">
        <v>6475000</v>
      </c>
      <c r="K61" s="53">
        <v>46023</v>
      </c>
      <c r="L61" s="53">
        <v>46203</v>
      </c>
      <c r="M61" s="53">
        <v>46081</v>
      </c>
      <c r="N61" s="49" t="s">
        <v>50</v>
      </c>
      <c r="O61" s="54" t="str">
        <f>_xlfn.LET(
 _xlpm.x,
 _xlfn.MAXIFS(
  raw_stack!G$2:G$100000,
  raw_stack!D$2:D$100000, G61,
  raw_stack!F$2:F$100000, "Iya",
  raw_stack!G$2:G$100000, "&gt;="&amp;DATE(2025,7,1),
  raw_stack!G$2:G$100000, "&lt;="&amp;EOMONTH(DATE(2025,7,1),0)
 ),
 IF(_xlpm.x=0, "-", _xlpm.x)
)</f>
        <v>-</v>
      </c>
      <c r="P61" s="65" t="str">
        <f>_xlfn.LET(
 _xlpm.x,
 _xlfn.MAXIFS(
  raw_stack!H$2:H$100000,
  raw_stack!D$2:D$100000, G61,
  raw_stack!F$2:F$100000, "Iya",
  raw_stack!G$2:G$100000, "&gt;="&amp;DATE(2025,7,1),
  raw_stack!G$2:G$100000, "&lt;="&amp;EOMONTH(DATE(2025,7,1),0)
 ),
 IF(OR(_xlpm.x=0, _xlpm.x=""), "-", _xlpm.x)
)</f>
        <v>-</v>
      </c>
      <c r="Q61" s="54" t="str">
        <f>_xlfn.LET(
 _xlpm.x,
 _xlfn.MAXIFS(
  raw_stack!G$2:G$99411,
  raw_stack!D$2:D$99411, G61,
  raw_stack!F$2:F$99411, "Iya",
  raw_stack!G$2:G$99411, "&gt;="&amp;DATE(2025,8,1),
  raw_stack!G$2:G$99411, "&lt;="&amp;EOMONTH(DATE(2025,8,1),0)
 ),
 IF(_xlpm.x=0, "-", _xlpm.x)
)</f>
        <v>-</v>
      </c>
      <c r="R61" s="65" t="str">
        <f>_xlfn.LET(
 _xlpm.x,
 _xlfn.MAXIFS(
  raw_stack!H$2:H$100000,
  raw_stack!D$2:D$100000, G61,
  raw_stack!F$2:F$100000, "Iya",
  raw_stack!G$2:G$100000, "&gt;="&amp;DATE(2025,8,1),
  raw_stack!G$2:G$100000, "&lt;="&amp;EOMONTH(DATE(2025,8,1),0)
 ),
 IF(OR(_xlpm.x=0, _xlpm.x=""), "-", _xlpm.x)
)</f>
        <v>-</v>
      </c>
      <c r="S61" s="54" t="str">
        <f>_xlfn.LET(
 _xlpm.x,
 _xlfn.MAXIFS(
  raw_stack!G$2:G$99411,
  raw_stack!D$2:D$99411, G61,
  raw_stack!F$2:F$99411, "Iya",
  raw_stack!G$2:G$99411, "&gt;="&amp;DATE(2025,9,1),
  raw_stack!G$2:G$99411, "&lt;="&amp;EOMONTH(DATE(2025,9,1),0)
 ),
 IF(_xlpm.x=0, "-", _xlpm.x)
)</f>
        <v>-</v>
      </c>
      <c r="T61" s="65" t="str">
        <f>_xlfn.LET(
 _xlpm.x,
 _xlfn.MAXIFS(
  raw_stack!H$2:H$100000,
  raw_stack!D$2:D$100000, G61,
  raw_stack!F$2:F$100000, "Iya",
  raw_stack!G$2:G$100000, "&gt;="&amp;DATE(2025,9,1),
  raw_stack!G$2:G$100000, "&lt;="&amp;EOMONTH(DATE(2025,9,1),0)
 ),
 IF(OR(_xlpm.x=0, _xlpm.x=""), "-", _xlpm.x)
)</f>
        <v>-</v>
      </c>
      <c r="U61" s="54">
        <f>_xlfn.LET(
 _xlpm.x,
 _xlfn.MAXIFS(
  raw_stack!G$2:G$99411,
  raw_stack!D$2:D$99411, G61,
  raw_stack!F$2:F$99411, "Iya",
  raw_stack!G$2:G$99411, "&gt;="&amp;DATE(2025,10,1),
  raw_stack!G$2:G$99411, "&lt;="&amp;EOMONTH(DATE(2025,10,1),0)
 ),
 IF(_xlpm.x=0, "-", _xlpm.x)
)</f>
        <v>45933</v>
      </c>
      <c r="V61" s="65">
        <f>_xlfn.LET(
 _xlpm.x,
 _xlfn.MAXIFS(
  raw_stack!H$2:H$100000,
  raw_stack!D$2:D$100000, G61,
  raw_stack!F$2:F$100000, "Iya",
  raw_stack!G$2:G$100000, "&gt;="&amp;DATE(2025,10,1),
  raw_stack!G$2:G$100000, "&lt;="&amp;EOMONTH(DATE(2025,10,1),0)
 ),
 IF(OR(_xlpm.x=0, _xlpm.x=""), "-", _xlpm.x)
)</f>
        <v>49551</v>
      </c>
      <c r="W61" s="55" t="str">
        <f>_xlfn.LET(
 _xlpm.x,
 _xlfn.MAXIFS(
  raw_stack!G$2:G$99411,
  raw_stack!D$2:D$99411, G61,
  raw_stack!F$2:F$99411, "Iya",
  raw_stack!G$2:G$99411, "&gt;="&amp;DATE(2025,11,1),
  raw_stack!G$2:G$99411, "&lt;="&amp;EOMONTH(DATE(2025,11,1),0)
 ),
 IF(_xlpm.x=0, "-", _xlpm.x)
)</f>
        <v>-</v>
      </c>
      <c r="X61" s="56" t="str">
        <f>_xlfn.LET(
 _xlpm.x,
 _xlfn.MAXIFS(
  raw_stack!H$2:H$100000,
  raw_stack!D$2:D$100000, G61,
  raw_stack!F$2:F$100000, "Iya",
  raw_stack!G$2:G$100000, "&gt;="&amp;DATE(2025,11,1),
  raw_stack!G$2:G$100000, "&lt;="&amp;EOMONTH(DATE(2025,11,1),0)
 ),
 IF(OR(_xlpm.x=0, _xlpm.x=""), "-", _xlpm.x)
)</f>
        <v>-</v>
      </c>
      <c r="Y61" s="55">
        <f>_xlfn.LET(
 _xlpm.x,
 _xlfn.MAXIFS(
  raw_stack!G$2:G$99411,
  raw_stack!D$2:D$99411, G61,
  raw_stack!F$2:F$99411, "Iya",
  raw_stack!G$2:G$99411, "&gt;="&amp;DATE(2025,12,1),
  raw_stack!G$2:G$99411, "&lt;="&amp;EOMONTH(DATE(2025,12,1),0)
 ),
 IF(_xlpm.x=0, "-", _xlpm.x)
)</f>
        <v>46013</v>
      </c>
      <c r="Z61" s="56">
        <f>_xlfn.LET(
 _xlpm.x,
 _xlfn.MAXIFS(
  raw_stack!H$2:H$100000,
  raw_stack!D$2:D$100000, G61,
  raw_stack!F$2:F$100000, "Iya",
  raw_stack!G$2:G$100000, "&gt;="&amp;DATE(2025,12,1),
  raw_stack!G$2:G$100000, "&lt;="&amp;EOMONTH(DATE(2025,12,1),0)
 ),
 IF(OR(_xlpm.x=0, _xlpm.x=""), "-", _xlpm.x)
)</f>
        <v>49356</v>
      </c>
      <c r="AA61" s="55" t="str">
        <f>_xlfn.LET(
 _xlpm.x,
 _xlfn.MAXIFS(
  raw_stack!G$2:G$99411,
  raw_stack!D$2:D$99411, G61,
  raw_stack!F$2:F$99411, "Iya",
  raw_stack!G$2:G$99411, "&gt;="&amp;DATE(2026,1,1),
  raw_stack!G$2:G$99411, "&lt;="&amp;EOMONTH(DATE(2026,1,1),0)
 ),
 IF(_xlpm.x=0, "-", _xlpm.x)
)</f>
        <v>-</v>
      </c>
      <c r="AB61" s="56" t="str">
        <f>_xlfn.LET(
 _xlpm.x,
 _xlfn.MAXIFS(
  raw_stack!H$2:H$100000,
  raw_stack!D$2:D$100000, G61,
  raw_stack!F$2:F$100000, "Iya",
  raw_stack!G$2:G$100000, "&gt;="&amp;DATE(2026,1,1),
  raw_stack!G$2:G$100000, "&lt;="&amp;EOMONTH(DATE(2026,1,1),0)
 ),
 IF(OR(_xlpm.x=0, _xlpm.x=""), "-", _xlpm.x)
)</f>
        <v>-</v>
      </c>
      <c r="AC61" s="55" t="str">
        <f>_xlfn.LET(
 _xlpm.x,
 _xlfn.MAXIFS(
  raw_stack!G$2:G$99411,
  raw_stack!D$2:D$99411, G61,
  raw_stack!F$2:F$99411, "Iya",
  raw_stack!G$2:G$99411, "&gt;="&amp;DATE(2026,2,1),
  raw_stack!G$2:G$99411, "&lt;="&amp;EOMONTH(DATE(2026,2,1),0)
 ),
 IF(_xlpm.x=0, "-", _xlpm.x)
)</f>
        <v>-</v>
      </c>
      <c r="AD61" s="56" t="str">
        <f>_xlfn.LET(
 _xlpm.x,
 _xlfn.MAXIFS(
  raw_stack!H$2:H$100000,
  raw_stack!D$2:D$100000, G61,
  raw_stack!F$2:F$100000, "Iya",
  raw_stack!G$2:G$100000, "&gt;="&amp;DATE(2026,2,1),
  raw_stack!G$2:G$100000, "&lt;="&amp;EOMONTH(DATE(2026,2,1),0)
 ),
 IF(OR(_xlpm.x=0, _xlpm.x=""), "-", _xlpm.x)
)</f>
        <v>-</v>
      </c>
      <c r="AE61" s="55" t="str">
        <f>_xlfn.LET(
 _xlpm.x,
 _xlfn.MAXIFS(
  raw_stack!G$2:G$100000,
  raw_stack!D$2:D$100000, G61,
  raw_stack!F$2:F$100000, "Iya",
  raw_stack!G$2:G$100000, "&gt;="&amp;DATE(2026,3,1),
  raw_stack!G$2:G$100000, "&lt;="&amp;EOMONTH(DATE(2026,3,1),0)
 ),
 IF(_xlpm.x=0, "-", _xlpm.x)
)</f>
        <v>-</v>
      </c>
      <c r="AF61" s="56" t="str">
        <f>_xlfn.LET(
 _xlpm.x,
 _xlfn.MAXIFS(
  raw_stack!H$2:H$100000,
  raw_stack!D$2:D$100000, G61,
  raw_stack!F$2:F$100000, "Iya",
  raw_stack!G$2:G$100000, "&gt;="&amp;DATE(2026,3,1),
  raw_stack!G$2:G$100000, "&lt;="&amp;EOMONTH(DATE(2026,3,1),0)
 ),
 IF(OR(_xlpm.x=0, _xlpm.x=""), "-", _xlpm.x)
)</f>
        <v>-</v>
      </c>
      <c r="AG61" s="55" t="str">
        <f>_xlfn.LET(
 _xlpm.x,
 _xlfn.MAXIFS(
  raw_stack!G$2:G$100000,
  raw_stack!D$2:D$100000, G61,
  raw_stack!F$2:F$100000, "Iya",
  raw_stack!G$2:G$100000, "&gt;="&amp;DATE(2026,4,1),
  raw_stack!G$2:G$100000, "&lt;="&amp;EOMONTH(DATE(2026,4,1),0)
 ),
 IF(_xlpm.x=0, "-", _xlpm.x)
)</f>
        <v>-</v>
      </c>
      <c r="AH61" s="56" t="str">
        <f>_xlfn.LET(
 _xlpm.x,
 _xlfn.MAXIFS(
  raw_stack!H$2:H$100000,
  raw_stack!D$2:D$100000, G61,
  raw_stack!F$2:F$100000, "Iya",
  raw_stack!G$2:G$100000, "&gt;="&amp;DATE(2026,4,1),
  raw_stack!G$2:G$100000, "&lt;="&amp;EOMONTH(DATE(2026,4,1),0)
 ),
 IF(OR(_xlpm.x=0, _xlpm.x=""), "-", _xlpm.x)
)</f>
        <v>-</v>
      </c>
    </row>
    <row r="62" spans="1:34">
      <c r="A62" s="48">
        <v>61</v>
      </c>
      <c r="B62" s="49" t="str">
        <f t="shared" si="0"/>
        <v>10915</v>
      </c>
      <c r="C62" s="50" t="s">
        <v>46</v>
      </c>
      <c r="D62" s="51" t="s">
        <v>511</v>
      </c>
      <c r="E62" s="51" t="s">
        <v>47</v>
      </c>
      <c r="F62" s="49" t="s">
        <v>117</v>
      </c>
      <c r="G62" s="49" t="s">
        <v>178</v>
      </c>
      <c r="H62" s="49" t="s">
        <v>48</v>
      </c>
      <c r="I62" s="49" t="s">
        <v>49</v>
      </c>
      <c r="J62" s="52">
        <v>4425000</v>
      </c>
      <c r="K62" s="53">
        <v>45108</v>
      </c>
      <c r="L62" s="53">
        <v>46203</v>
      </c>
      <c r="M62" s="53">
        <v>46053</v>
      </c>
      <c r="N62" s="49" t="s">
        <v>50</v>
      </c>
      <c r="O62" s="54" t="str">
        <f>_xlfn.LET(
 _xlpm.x,
 _xlfn.MAXIFS(
  raw_stack!G$2:G$100000,
  raw_stack!D$2:D$100000, G62,
  raw_stack!F$2:F$100000, "Iya",
  raw_stack!G$2:G$100000, "&gt;="&amp;DATE(2025,7,1),
  raw_stack!G$2:G$100000, "&lt;="&amp;EOMONTH(DATE(2025,7,1),0)
 ),
 IF(_xlpm.x=0, "-", _xlpm.x)
)</f>
        <v>-</v>
      </c>
      <c r="P62" s="65" t="str">
        <f>_xlfn.LET(
 _xlpm.x,
 _xlfn.MAXIFS(
  raw_stack!H$2:H$100000,
  raw_stack!D$2:D$100000, G62,
  raw_stack!F$2:F$100000, "Iya",
  raw_stack!G$2:G$100000, "&gt;="&amp;DATE(2025,7,1),
  raw_stack!G$2:G$100000, "&lt;="&amp;EOMONTH(DATE(2025,7,1),0)
 ),
 IF(OR(_xlpm.x=0, _xlpm.x=""), "-", _xlpm.x)
)</f>
        <v>-</v>
      </c>
      <c r="Q62" s="54" t="str">
        <f>_xlfn.LET(
 _xlpm.x,
 _xlfn.MAXIFS(
  raw_stack!G$2:G$99411,
  raw_stack!D$2:D$99411, G62,
  raw_stack!F$2:F$99411, "Iya",
  raw_stack!G$2:G$99411, "&gt;="&amp;DATE(2025,8,1),
  raw_stack!G$2:G$99411, "&lt;="&amp;EOMONTH(DATE(2025,8,1),0)
 ),
 IF(_xlpm.x=0, "-", _xlpm.x)
)</f>
        <v>-</v>
      </c>
      <c r="R62" s="65" t="str">
        <f>_xlfn.LET(
 _xlpm.x,
 _xlfn.MAXIFS(
  raw_stack!H$2:H$100000,
  raw_stack!D$2:D$100000, G62,
  raw_stack!F$2:F$100000, "Iya",
  raw_stack!G$2:G$100000, "&gt;="&amp;DATE(2025,8,1),
  raw_stack!G$2:G$100000, "&lt;="&amp;EOMONTH(DATE(2025,8,1),0)
 ),
 IF(OR(_xlpm.x=0, _xlpm.x=""), "-", _xlpm.x)
)</f>
        <v>-</v>
      </c>
      <c r="S62" s="54" t="str">
        <f>_xlfn.LET(
 _xlpm.x,
 _xlfn.MAXIFS(
  raw_stack!G$2:G$99411,
  raw_stack!D$2:D$99411, G62,
  raw_stack!F$2:F$99411, "Iya",
  raw_stack!G$2:G$99411, "&gt;="&amp;DATE(2025,9,1),
  raw_stack!G$2:G$99411, "&lt;="&amp;EOMONTH(DATE(2025,9,1),0)
 ),
 IF(_xlpm.x=0, "-", _xlpm.x)
)</f>
        <v>-</v>
      </c>
      <c r="T62" s="65" t="str">
        <f>_xlfn.LET(
 _xlpm.x,
 _xlfn.MAXIFS(
  raw_stack!H$2:H$100000,
  raw_stack!D$2:D$100000, G62,
  raw_stack!F$2:F$100000, "Iya",
  raw_stack!G$2:G$100000, "&gt;="&amp;DATE(2025,9,1),
  raw_stack!G$2:G$100000, "&lt;="&amp;EOMONTH(DATE(2025,9,1),0)
 ),
 IF(OR(_xlpm.x=0, _xlpm.x=""), "-", _xlpm.x)
)</f>
        <v>-</v>
      </c>
      <c r="U62" s="54" t="str">
        <f>_xlfn.LET(
 _xlpm.x,
 _xlfn.MAXIFS(
  raw_stack!G$2:G$99411,
  raw_stack!D$2:D$99411, G62,
  raw_stack!F$2:F$99411, "Iya",
  raw_stack!G$2:G$99411, "&gt;="&amp;DATE(2025,10,1),
  raw_stack!G$2:G$99411, "&lt;="&amp;EOMONTH(DATE(2025,10,1),0)
 ),
 IF(_xlpm.x=0, "-", _xlpm.x)
)</f>
        <v>-</v>
      </c>
      <c r="V62" s="65" t="str">
        <f>_xlfn.LET(
 _xlpm.x,
 _xlfn.MAXIFS(
  raw_stack!H$2:H$100000,
  raw_stack!D$2:D$100000, G62,
  raw_stack!F$2:F$100000, "Iya",
  raw_stack!G$2:G$100000, "&gt;="&amp;DATE(2025,10,1),
  raw_stack!G$2:G$100000, "&lt;="&amp;EOMONTH(DATE(2025,10,1),0)
 ),
 IF(OR(_xlpm.x=0, _xlpm.x=""), "-", _xlpm.x)
)</f>
        <v>-</v>
      </c>
      <c r="W62" s="55" t="str">
        <f>_xlfn.LET(
 _xlpm.x,
 _xlfn.MAXIFS(
  raw_stack!G$2:G$99411,
  raw_stack!D$2:D$99411, G62,
  raw_stack!F$2:F$99411, "Iya",
  raw_stack!G$2:G$99411, "&gt;="&amp;DATE(2025,11,1),
  raw_stack!G$2:G$99411, "&lt;="&amp;EOMONTH(DATE(2025,11,1),0)
 ),
 IF(_xlpm.x=0, "-", _xlpm.x)
)</f>
        <v>-</v>
      </c>
      <c r="X62" s="56" t="str">
        <f>_xlfn.LET(
 _xlpm.x,
 _xlfn.MAXIFS(
  raw_stack!H$2:H$100000,
  raw_stack!D$2:D$100000, G62,
  raw_stack!F$2:F$100000, "Iya",
  raw_stack!G$2:G$100000, "&gt;="&amp;DATE(2025,11,1),
  raw_stack!G$2:G$100000, "&lt;="&amp;EOMONTH(DATE(2025,11,1),0)
 ),
 IF(OR(_xlpm.x=0, _xlpm.x=""), "-", _xlpm.x)
)</f>
        <v>-</v>
      </c>
      <c r="Y62" s="55" t="str">
        <f>_xlfn.LET(
 _xlpm.x,
 _xlfn.MAXIFS(
  raw_stack!G$2:G$99411,
  raw_stack!D$2:D$99411, G62,
  raw_stack!F$2:F$99411, "Iya",
  raw_stack!G$2:G$99411, "&gt;="&amp;DATE(2025,12,1),
  raw_stack!G$2:G$99411, "&lt;="&amp;EOMONTH(DATE(2025,12,1),0)
 ),
 IF(_xlpm.x=0, "-", _xlpm.x)
)</f>
        <v>-</v>
      </c>
      <c r="Z62" s="56" t="str">
        <f>_xlfn.LET(
 _xlpm.x,
 _xlfn.MAXIFS(
  raw_stack!H$2:H$100000,
  raw_stack!D$2:D$100000, G62,
  raw_stack!F$2:F$100000, "Iya",
  raw_stack!G$2:G$100000, "&gt;="&amp;DATE(2025,12,1),
  raw_stack!G$2:G$100000, "&lt;="&amp;EOMONTH(DATE(2025,12,1),0)
 ),
 IF(OR(_xlpm.x=0, _xlpm.x=""), "-", _xlpm.x)
)</f>
        <v>-</v>
      </c>
      <c r="AA62" s="55" t="str">
        <f>_xlfn.LET(
 _xlpm.x,
 _xlfn.MAXIFS(
  raw_stack!G$2:G$99411,
  raw_stack!D$2:D$99411, G62,
  raw_stack!F$2:F$99411, "Iya",
  raw_stack!G$2:G$99411, "&gt;="&amp;DATE(2026,1,1),
  raw_stack!G$2:G$99411, "&lt;="&amp;EOMONTH(DATE(2026,1,1),0)
 ),
 IF(_xlpm.x=0, "-", _xlpm.x)
)</f>
        <v>-</v>
      </c>
      <c r="AB62" s="56" t="str">
        <f>_xlfn.LET(
 _xlpm.x,
 _xlfn.MAXIFS(
  raw_stack!H$2:H$100000,
  raw_stack!D$2:D$100000, G62,
  raw_stack!F$2:F$100000, "Iya",
  raw_stack!G$2:G$100000, "&gt;="&amp;DATE(2026,1,1),
  raw_stack!G$2:G$100000, "&lt;="&amp;EOMONTH(DATE(2026,1,1),0)
 ),
 IF(OR(_xlpm.x=0, _xlpm.x=""), "-", _xlpm.x)
)</f>
        <v>-</v>
      </c>
      <c r="AC62" s="55" t="str">
        <f>_xlfn.LET(
 _xlpm.x,
 _xlfn.MAXIFS(
  raw_stack!G$2:G$99411,
  raw_stack!D$2:D$99411, G62,
  raw_stack!F$2:F$99411, "Iya",
  raw_stack!G$2:G$99411, "&gt;="&amp;DATE(2026,2,1),
  raw_stack!G$2:G$99411, "&lt;="&amp;EOMONTH(DATE(2026,2,1),0)
 ),
 IF(_xlpm.x=0, "-", _xlpm.x)
)</f>
        <v>-</v>
      </c>
      <c r="AD62" s="56" t="str">
        <f>_xlfn.LET(
 _xlpm.x,
 _xlfn.MAXIFS(
  raw_stack!H$2:H$100000,
  raw_stack!D$2:D$100000, G62,
  raw_stack!F$2:F$100000, "Iya",
  raw_stack!G$2:G$100000, "&gt;="&amp;DATE(2026,2,1),
  raw_stack!G$2:G$100000, "&lt;="&amp;EOMONTH(DATE(2026,2,1),0)
 ),
 IF(OR(_xlpm.x=0, _xlpm.x=""), "-", _xlpm.x)
)</f>
        <v>-</v>
      </c>
      <c r="AE62" s="55" t="str">
        <f>_xlfn.LET(
 _xlpm.x,
 _xlfn.MAXIFS(
  raw_stack!G$2:G$100000,
  raw_stack!D$2:D$100000, G62,
  raw_stack!F$2:F$100000, "Iya",
  raw_stack!G$2:G$100000, "&gt;="&amp;DATE(2026,3,1),
  raw_stack!G$2:G$100000, "&lt;="&amp;EOMONTH(DATE(2026,3,1),0)
 ),
 IF(_xlpm.x=0, "-", _xlpm.x)
)</f>
        <v>-</v>
      </c>
      <c r="AF62" s="56" t="str">
        <f>_xlfn.LET(
 _xlpm.x,
 _xlfn.MAXIFS(
  raw_stack!H$2:H$100000,
  raw_stack!D$2:D$100000, G62,
  raw_stack!F$2:F$100000, "Iya",
  raw_stack!G$2:G$100000, "&gt;="&amp;DATE(2026,3,1),
  raw_stack!G$2:G$100000, "&lt;="&amp;EOMONTH(DATE(2026,3,1),0)
 ),
 IF(OR(_xlpm.x=0, _xlpm.x=""), "-", _xlpm.x)
)</f>
        <v>-</v>
      </c>
      <c r="AG62" s="55" t="str">
        <f>_xlfn.LET(
 _xlpm.x,
 _xlfn.MAXIFS(
  raw_stack!G$2:G$100000,
  raw_stack!D$2:D$100000, G62,
  raw_stack!F$2:F$100000, "Iya",
  raw_stack!G$2:G$100000, "&gt;="&amp;DATE(2026,4,1),
  raw_stack!G$2:G$100000, "&lt;="&amp;EOMONTH(DATE(2026,4,1),0)
 ),
 IF(_xlpm.x=0, "-", _xlpm.x)
)</f>
        <v>-</v>
      </c>
      <c r="AH62" s="56" t="str">
        <f>_xlfn.LET(
 _xlpm.x,
 _xlfn.MAXIFS(
  raw_stack!H$2:H$100000,
  raw_stack!D$2:D$100000, G62,
  raw_stack!F$2:F$100000, "Iya",
  raw_stack!G$2:G$100000, "&gt;="&amp;DATE(2026,4,1),
  raw_stack!G$2:G$100000, "&lt;="&amp;EOMONTH(DATE(2026,4,1),0)
 ),
 IF(OR(_xlpm.x=0, _xlpm.x=""), "-", _xlpm.x)
)</f>
        <v>-</v>
      </c>
    </row>
    <row r="63" spans="1:34">
      <c r="A63" s="48">
        <v>62</v>
      </c>
      <c r="B63" s="49" t="str">
        <f t="shared" si="0"/>
        <v>54360</v>
      </c>
      <c r="C63" s="50" t="s">
        <v>46</v>
      </c>
      <c r="D63" s="51" t="s">
        <v>512</v>
      </c>
      <c r="E63" s="51" t="s">
        <v>54</v>
      </c>
      <c r="F63" s="49" t="s">
        <v>117</v>
      </c>
      <c r="G63" s="49" t="s">
        <v>179</v>
      </c>
      <c r="H63" s="49" t="s">
        <v>48</v>
      </c>
      <c r="I63" s="49" t="s">
        <v>52</v>
      </c>
      <c r="J63" s="52">
        <v>5950000</v>
      </c>
      <c r="K63" s="53">
        <v>46024</v>
      </c>
      <c r="L63" s="53">
        <v>46204</v>
      </c>
      <c r="M63" s="53">
        <v>46054</v>
      </c>
      <c r="N63" s="49" t="s">
        <v>50</v>
      </c>
      <c r="O63" s="54" t="str">
        <f>_xlfn.LET(
 _xlpm.x,
 _xlfn.MAXIFS(
  raw_stack!G$2:G$100000,
  raw_stack!D$2:D$100000, G63,
  raw_stack!F$2:F$100000, "Iya",
  raw_stack!G$2:G$100000, "&gt;="&amp;DATE(2025,7,1),
  raw_stack!G$2:G$100000, "&lt;="&amp;EOMONTH(DATE(2025,7,1),0)
 ),
 IF(_xlpm.x=0, "-", _xlpm.x)
)</f>
        <v>-</v>
      </c>
      <c r="P63" s="65" t="str">
        <f>_xlfn.LET(
 _xlpm.x,
 _xlfn.MAXIFS(
  raw_stack!H$2:H$100000,
  raw_stack!D$2:D$100000, G63,
  raw_stack!F$2:F$100000, "Iya",
  raw_stack!G$2:G$100000, "&gt;="&amp;DATE(2025,7,1),
  raw_stack!G$2:G$100000, "&lt;="&amp;EOMONTH(DATE(2025,7,1),0)
 ),
 IF(OR(_xlpm.x=0, _xlpm.x=""), "-", _xlpm.x)
)</f>
        <v>-</v>
      </c>
      <c r="Q63" s="54">
        <f>_xlfn.LET(
 _xlpm.x,
 _xlfn.MAXIFS(
  raw_stack!G$2:G$99411,
  raw_stack!D$2:D$99411, G63,
  raw_stack!F$2:F$99411, "Iya",
  raw_stack!G$2:G$99411, "&gt;="&amp;DATE(2025,8,1),
  raw_stack!G$2:G$99411, "&lt;="&amp;EOMONTH(DATE(2025,8,1),0)
 ),
 IF(_xlpm.x=0, "-", _xlpm.x)
)</f>
        <v>45877</v>
      </c>
      <c r="R63" s="65">
        <f>_xlfn.LET(
 _xlpm.x,
 _xlfn.MAXIFS(
  raw_stack!H$2:H$100000,
  raw_stack!D$2:D$100000, G63,
  raw_stack!F$2:F$100000, "Iya",
  raw_stack!G$2:G$100000, "&gt;="&amp;DATE(2025,8,1),
  raw_stack!G$2:G$100000, "&lt;="&amp;EOMONTH(DATE(2025,8,1),0)
 ),
 IF(OR(_xlpm.x=0, _xlpm.x=""), "-", _xlpm.x)
)</f>
        <v>64469</v>
      </c>
      <c r="S63" s="54" t="str">
        <f>_xlfn.LET(
 _xlpm.x,
 _xlfn.MAXIFS(
  raw_stack!G$2:G$99411,
  raw_stack!D$2:D$99411, G63,
  raw_stack!F$2:F$99411, "Iya",
  raw_stack!G$2:G$99411, "&gt;="&amp;DATE(2025,9,1),
  raw_stack!G$2:G$99411, "&lt;="&amp;EOMONTH(DATE(2025,9,1),0)
 ),
 IF(_xlpm.x=0, "-", _xlpm.x)
)</f>
        <v>-</v>
      </c>
      <c r="T63" s="65" t="str">
        <f>_xlfn.LET(
 _xlpm.x,
 _xlfn.MAXIFS(
  raw_stack!H$2:H$100000,
  raw_stack!D$2:D$100000, G63,
  raw_stack!F$2:F$100000, "Iya",
  raw_stack!G$2:G$100000, "&gt;="&amp;DATE(2025,9,1),
  raw_stack!G$2:G$100000, "&lt;="&amp;EOMONTH(DATE(2025,9,1),0)
 ),
 IF(OR(_xlpm.x=0, _xlpm.x=""), "-", _xlpm.x)
)</f>
        <v>-</v>
      </c>
      <c r="U63" s="54" t="str">
        <f>_xlfn.LET(
 _xlpm.x,
 _xlfn.MAXIFS(
  raw_stack!G$2:G$99411,
  raw_stack!D$2:D$99411, G63,
  raw_stack!F$2:F$99411, "Iya",
  raw_stack!G$2:G$99411, "&gt;="&amp;DATE(2025,10,1),
  raw_stack!G$2:G$99411, "&lt;="&amp;EOMONTH(DATE(2025,10,1),0)
 ),
 IF(_xlpm.x=0, "-", _xlpm.x)
)</f>
        <v>-</v>
      </c>
      <c r="V63" s="65" t="str">
        <f>_xlfn.LET(
 _xlpm.x,
 _xlfn.MAXIFS(
  raw_stack!H$2:H$100000,
  raw_stack!D$2:D$100000, G63,
  raw_stack!F$2:F$100000, "Iya",
  raw_stack!G$2:G$100000, "&gt;="&amp;DATE(2025,10,1),
  raw_stack!G$2:G$100000, "&lt;="&amp;EOMONTH(DATE(2025,10,1),0)
 ),
 IF(OR(_xlpm.x=0, _xlpm.x=""), "-", _xlpm.x)
)</f>
        <v>-</v>
      </c>
      <c r="W63" s="55" t="str">
        <f>_xlfn.LET(
 _xlpm.x,
 _xlfn.MAXIFS(
  raw_stack!G$2:G$99411,
  raw_stack!D$2:D$99411, G63,
  raw_stack!F$2:F$99411, "Iya",
  raw_stack!G$2:G$99411, "&gt;="&amp;DATE(2025,11,1),
  raw_stack!G$2:G$99411, "&lt;="&amp;EOMONTH(DATE(2025,11,1),0)
 ),
 IF(_xlpm.x=0, "-", _xlpm.x)
)</f>
        <v>-</v>
      </c>
      <c r="X63" s="56" t="str">
        <f>_xlfn.LET(
 _xlpm.x,
 _xlfn.MAXIFS(
  raw_stack!H$2:H$100000,
  raw_stack!D$2:D$100000, G63,
  raw_stack!F$2:F$100000, "Iya",
  raw_stack!G$2:G$100000, "&gt;="&amp;DATE(2025,11,1),
  raw_stack!G$2:G$100000, "&lt;="&amp;EOMONTH(DATE(2025,11,1),0)
 ),
 IF(OR(_xlpm.x=0, _xlpm.x=""), "-", _xlpm.x)
)</f>
        <v>-</v>
      </c>
      <c r="Y63" s="55" t="str">
        <f>_xlfn.LET(
 _xlpm.x,
 _xlfn.MAXIFS(
  raw_stack!G$2:G$99411,
  raw_stack!D$2:D$99411, G63,
  raw_stack!F$2:F$99411, "Iya",
  raw_stack!G$2:G$99411, "&gt;="&amp;DATE(2025,12,1),
  raw_stack!G$2:G$99411, "&lt;="&amp;EOMONTH(DATE(2025,12,1),0)
 ),
 IF(_xlpm.x=0, "-", _xlpm.x)
)</f>
        <v>-</v>
      </c>
      <c r="Z63" s="56" t="str">
        <f>_xlfn.LET(
 _xlpm.x,
 _xlfn.MAXIFS(
  raw_stack!H$2:H$100000,
  raw_stack!D$2:D$100000, G63,
  raw_stack!F$2:F$100000, "Iya",
  raw_stack!G$2:G$100000, "&gt;="&amp;DATE(2025,12,1),
  raw_stack!G$2:G$100000, "&lt;="&amp;EOMONTH(DATE(2025,12,1),0)
 ),
 IF(OR(_xlpm.x=0, _xlpm.x=""), "-", _xlpm.x)
)</f>
        <v>-</v>
      </c>
      <c r="AA63" s="55" t="str">
        <f>_xlfn.LET(
 _xlpm.x,
 _xlfn.MAXIFS(
  raw_stack!G$2:G$99411,
  raw_stack!D$2:D$99411, G63,
  raw_stack!F$2:F$99411, "Iya",
  raw_stack!G$2:G$99411, "&gt;="&amp;DATE(2026,1,1),
  raw_stack!G$2:G$99411, "&lt;="&amp;EOMONTH(DATE(2026,1,1),0)
 ),
 IF(_xlpm.x=0, "-", _xlpm.x)
)</f>
        <v>-</v>
      </c>
      <c r="AB63" s="56" t="str">
        <f>_xlfn.LET(
 _xlpm.x,
 _xlfn.MAXIFS(
  raw_stack!H$2:H$100000,
  raw_stack!D$2:D$100000, G63,
  raw_stack!F$2:F$100000, "Iya",
  raw_stack!G$2:G$100000, "&gt;="&amp;DATE(2026,1,1),
  raw_stack!G$2:G$100000, "&lt;="&amp;EOMONTH(DATE(2026,1,1),0)
 ),
 IF(OR(_xlpm.x=0, _xlpm.x=""), "-", _xlpm.x)
)</f>
        <v>-</v>
      </c>
      <c r="AC63" s="55">
        <f>_xlfn.LET(
 _xlpm.x,
 _xlfn.MAXIFS(
  raw_stack!G$2:G$99411,
  raw_stack!D$2:D$99411, G63,
  raw_stack!F$2:F$99411, "Iya",
  raw_stack!G$2:G$99411, "&gt;="&amp;DATE(2026,2,1),
  raw_stack!G$2:G$99411, "&lt;="&amp;EOMONTH(DATE(2026,2,1),0)
 ),
 IF(_xlpm.x=0, "-", _xlpm.x)
)</f>
        <v>46064</v>
      </c>
      <c r="AD63" s="56">
        <f>_xlfn.LET(
 _xlpm.x,
 _xlfn.MAXIFS(
  raw_stack!H$2:H$100000,
  raw_stack!D$2:D$100000, G63,
  raw_stack!F$2:F$100000, "Iya",
  raw_stack!G$2:G$100000, "&gt;="&amp;DATE(2026,2,1),
  raw_stack!G$2:G$100000, "&lt;="&amp;EOMONTH(DATE(2026,2,1),0)
 ),
 IF(OR(_xlpm.x=0, _xlpm.x=""), "-", _xlpm.x)
)</f>
        <v>72161</v>
      </c>
      <c r="AE63" s="55" t="str">
        <f>_xlfn.LET(
 _xlpm.x,
 _xlfn.MAXIFS(
  raw_stack!G$2:G$100000,
  raw_stack!D$2:D$100000, G63,
  raw_stack!F$2:F$100000, "Iya",
  raw_stack!G$2:G$100000, "&gt;="&amp;DATE(2026,3,1),
  raw_stack!G$2:G$100000, "&lt;="&amp;EOMONTH(DATE(2026,3,1),0)
 ),
 IF(_xlpm.x=0, "-", _xlpm.x)
)</f>
        <v>-</v>
      </c>
      <c r="AF63" s="56" t="str">
        <f>_xlfn.LET(
 _xlpm.x,
 _xlfn.MAXIFS(
  raw_stack!H$2:H$100000,
  raw_stack!D$2:D$100000, G63,
  raw_stack!F$2:F$100000, "Iya",
  raw_stack!G$2:G$100000, "&gt;="&amp;DATE(2026,3,1),
  raw_stack!G$2:G$100000, "&lt;="&amp;EOMONTH(DATE(2026,3,1),0)
 ),
 IF(OR(_xlpm.x=0, _xlpm.x=""), "-", _xlpm.x)
)</f>
        <v>-</v>
      </c>
      <c r="AG63" s="55" t="str">
        <f>_xlfn.LET(
 _xlpm.x,
 _xlfn.MAXIFS(
  raw_stack!G$2:G$100000,
  raw_stack!D$2:D$100000, G63,
  raw_stack!F$2:F$100000, "Iya",
  raw_stack!G$2:G$100000, "&gt;="&amp;DATE(2026,4,1),
  raw_stack!G$2:G$100000, "&lt;="&amp;EOMONTH(DATE(2026,4,1),0)
 ),
 IF(_xlpm.x=0, "-", _xlpm.x)
)</f>
        <v>-</v>
      </c>
      <c r="AH63" s="56" t="str">
        <f>_xlfn.LET(
 _xlpm.x,
 _xlfn.MAXIFS(
  raw_stack!H$2:H$100000,
  raw_stack!D$2:D$100000, G63,
  raw_stack!F$2:F$100000, "Iya",
  raw_stack!G$2:G$100000, "&gt;="&amp;DATE(2026,4,1),
  raw_stack!G$2:G$100000, "&lt;="&amp;EOMONTH(DATE(2026,4,1),0)
 ),
 IF(OR(_xlpm.x=0, _xlpm.x=""), "-", _xlpm.x)
)</f>
        <v>-</v>
      </c>
    </row>
    <row r="64" spans="1:34">
      <c r="A64" s="48">
        <v>63</v>
      </c>
      <c r="B64" s="49" t="str">
        <f t="shared" ref="B64:B122" si="1">LEFT(D64,5)</f>
        <v>25052</v>
      </c>
      <c r="C64" s="50" t="s">
        <v>46</v>
      </c>
      <c r="D64" s="51" t="s">
        <v>513</v>
      </c>
      <c r="E64" s="51" t="s">
        <v>53</v>
      </c>
      <c r="F64" s="49" t="s">
        <v>117</v>
      </c>
      <c r="G64" s="49" t="s">
        <v>180</v>
      </c>
      <c r="H64" s="49" t="s">
        <v>48</v>
      </c>
      <c r="I64" s="49" t="s">
        <v>52</v>
      </c>
      <c r="J64" s="52">
        <v>3850000</v>
      </c>
      <c r="K64" s="53">
        <v>45113</v>
      </c>
      <c r="L64" s="53">
        <v>46208</v>
      </c>
      <c r="M64" s="53">
        <v>46086</v>
      </c>
      <c r="N64" s="49" t="s">
        <v>50</v>
      </c>
      <c r="O64" s="54" t="str">
        <f>_xlfn.LET(
 _xlpm.x,
 _xlfn.MAXIFS(
  raw_stack!G$2:G$100000,
  raw_stack!D$2:D$100000, G64,
  raw_stack!F$2:F$100000, "Iya",
  raw_stack!G$2:G$100000, "&gt;="&amp;DATE(2025,7,1),
  raw_stack!G$2:G$100000, "&lt;="&amp;EOMONTH(DATE(2025,7,1),0)
 ),
 IF(_xlpm.x=0, "-", _xlpm.x)
)</f>
        <v>-</v>
      </c>
      <c r="P64" s="65" t="str">
        <f>_xlfn.LET(
 _xlpm.x,
 _xlfn.MAXIFS(
  raw_stack!H$2:H$100000,
  raw_stack!D$2:D$100000, G64,
  raw_stack!F$2:F$100000, "Iya",
  raw_stack!G$2:G$100000, "&gt;="&amp;DATE(2025,7,1),
  raw_stack!G$2:G$100000, "&lt;="&amp;EOMONTH(DATE(2025,7,1),0)
 ),
 IF(OR(_xlpm.x=0, _xlpm.x=""), "-", _xlpm.x)
)</f>
        <v>-</v>
      </c>
      <c r="Q64" s="54" t="str">
        <f>_xlfn.LET(
 _xlpm.x,
 _xlfn.MAXIFS(
  raw_stack!G$2:G$99411,
  raw_stack!D$2:D$99411, G64,
  raw_stack!F$2:F$99411, "Iya",
  raw_stack!G$2:G$99411, "&gt;="&amp;DATE(2025,8,1),
  raw_stack!G$2:G$99411, "&lt;="&amp;EOMONTH(DATE(2025,8,1),0)
 ),
 IF(_xlpm.x=0, "-", _xlpm.x)
)</f>
        <v>-</v>
      </c>
      <c r="R64" s="65" t="str">
        <f>_xlfn.LET(
 _xlpm.x,
 _xlfn.MAXIFS(
  raw_stack!H$2:H$100000,
  raw_stack!D$2:D$100000, G64,
  raw_stack!F$2:F$100000, "Iya",
  raw_stack!G$2:G$100000, "&gt;="&amp;DATE(2025,8,1),
  raw_stack!G$2:G$100000, "&lt;="&amp;EOMONTH(DATE(2025,8,1),0)
 ),
 IF(OR(_xlpm.x=0, _xlpm.x=""), "-", _xlpm.x)
)</f>
        <v>-</v>
      </c>
      <c r="S64" s="54" t="str">
        <f>_xlfn.LET(
 _xlpm.x,
 _xlfn.MAXIFS(
  raw_stack!G$2:G$99411,
  raw_stack!D$2:D$99411, G64,
  raw_stack!F$2:F$99411, "Iya",
  raw_stack!G$2:G$99411, "&gt;="&amp;DATE(2025,9,1),
  raw_stack!G$2:G$99411, "&lt;="&amp;EOMONTH(DATE(2025,9,1),0)
 ),
 IF(_xlpm.x=0, "-", _xlpm.x)
)</f>
        <v>-</v>
      </c>
      <c r="T64" s="65" t="str">
        <f>_xlfn.LET(
 _xlpm.x,
 _xlfn.MAXIFS(
  raw_stack!H$2:H$100000,
  raw_stack!D$2:D$100000, G64,
  raw_stack!F$2:F$100000, "Iya",
  raw_stack!G$2:G$100000, "&gt;="&amp;DATE(2025,9,1),
  raw_stack!G$2:G$100000, "&lt;="&amp;EOMONTH(DATE(2025,9,1),0)
 ),
 IF(OR(_xlpm.x=0, _xlpm.x=""), "-", _xlpm.x)
)</f>
        <v>-</v>
      </c>
      <c r="U64" s="54" t="str">
        <f>_xlfn.LET(
 _xlpm.x,
 _xlfn.MAXIFS(
  raw_stack!G$2:G$99411,
  raw_stack!D$2:D$99411, G64,
  raw_stack!F$2:F$99411, "Iya",
  raw_stack!G$2:G$99411, "&gt;="&amp;DATE(2025,10,1),
  raw_stack!G$2:G$99411, "&lt;="&amp;EOMONTH(DATE(2025,10,1),0)
 ),
 IF(_xlpm.x=0, "-", _xlpm.x)
)</f>
        <v>-</v>
      </c>
      <c r="V64" s="65" t="str">
        <f>_xlfn.LET(
 _xlpm.x,
 _xlfn.MAXIFS(
  raw_stack!H$2:H$100000,
  raw_stack!D$2:D$100000, G64,
  raw_stack!F$2:F$100000, "Iya",
  raw_stack!G$2:G$100000, "&gt;="&amp;DATE(2025,10,1),
  raw_stack!G$2:G$100000, "&lt;="&amp;EOMONTH(DATE(2025,10,1),0)
 ),
 IF(OR(_xlpm.x=0, _xlpm.x=""), "-", _xlpm.x)
)</f>
        <v>-</v>
      </c>
      <c r="W64" s="55">
        <f>_xlfn.LET(
 _xlpm.x,
 _xlfn.MAXIFS(
  raw_stack!G$2:G$99411,
  raw_stack!D$2:D$99411, G64,
  raw_stack!F$2:F$99411, "Iya",
  raw_stack!G$2:G$99411, "&gt;="&amp;DATE(2025,11,1),
  raw_stack!G$2:G$99411, "&lt;="&amp;EOMONTH(DATE(2025,11,1),0)
 ),
 IF(_xlpm.x=0, "-", _xlpm.x)
)</f>
        <v>45962</v>
      </c>
      <c r="X64" s="56">
        <f>_xlfn.LET(
 _xlpm.x,
 _xlfn.MAXIFS(
  raw_stack!H$2:H$100000,
  raw_stack!D$2:D$100000, G64,
  raw_stack!F$2:F$100000, "Iya",
  raw_stack!G$2:G$100000, "&gt;="&amp;DATE(2025,11,1),
  raw_stack!G$2:G$100000, "&lt;="&amp;EOMONTH(DATE(2025,11,1),0)
 ),
 IF(OR(_xlpm.x=0, _xlpm.x=""), "-", _xlpm.x)
)</f>
        <v>36122</v>
      </c>
      <c r="Y64" s="55" t="str">
        <f>_xlfn.LET(
 _xlpm.x,
 _xlfn.MAXIFS(
  raw_stack!G$2:G$99411,
  raw_stack!D$2:D$99411, G64,
  raw_stack!F$2:F$99411, "Iya",
  raw_stack!G$2:G$99411, "&gt;="&amp;DATE(2025,12,1),
  raw_stack!G$2:G$99411, "&lt;="&amp;EOMONTH(DATE(2025,12,1),0)
 ),
 IF(_xlpm.x=0, "-", _xlpm.x)
)</f>
        <v>-</v>
      </c>
      <c r="Z64" s="56" t="str">
        <f>_xlfn.LET(
 _xlpm.x,
 _xlfn.MAXIFS(
  raw_stack!H$2:H$100000,
  raw_stack!D$2:D$100000, G64,
  raw_stack!F$2:F$100000, "Iya",
  raw_stack!G$2:G$100000, "&gt;="&amp;DATE(2025,12,1),
  raw_stack!G$2:G$100000, "&lt;="&amp;EOMONTH(DATE(2025,12,1),0)
 ),
 IF(OR(_xlpm.x=0, _xlpm.x=""), "-", _xlpm.x)
)</f>
        <v>-</v>
      </c>
      <c r="AA64" s="55" t="str">
        <f>_xlfn.LET(
 _xlpm.x,
 _xlfn.MAXIFS(
  raw_stack!G$2:G$99411,
  raw_stack!D$2:D$99411, G64,
  raw_stack!F$2:F$99411, "Iya",
  raw_stack!G$2:G$99411, "&gt;="&amp;DATE(2026,1,1),
  raw_stack!G$2:G$99411, "&lt;="&amp;EOMONTH(DATE(2026,1,1),0)
 ),
 IF(_xlpm.x=0, "-", _xlpm.x)
)</f>
        <v>-</v>
      </c>
      <c r="AB64" s="56" t="str">
        <f>_xlfn.LET(
 _xlpm.x,
 _xlfn.MAXIFS(
  raw_stack!H$2:H$100000,
  raw_stack!D$2:D$100000, G64,
  raw_stack!F$2:F$100000, "Iya",
  raw_stack!G$2:G$100000, "&gt;="&amp;DATE(2026,1,1),
  raw_stack!G$2:G$100000, "&lt;="&amp;EOMONTH(DATE(2026,1,1),0)
 ),
 IF(OR(_xlpm.x=0, _xlpm.x=""), "-", _xlpm.x)
)</f>
        <v>-</v>
      </c>
      <c r="AC64" s="55" t="str">
        <f>_xlfn.LET(
 _xlpm.x,
 _xlfn.MAXIFS(
  raw_stack!G$2:G$99411,
  raw_stack!D$2:D$99411, G64,
  raw_stack!F$2:F$99411, "Iya",
  raw_stack!G$2:G$99411, "&gt;="&amp;DATE(2026,2,1),
  raw_stack!G$2:G$99411, "&lt;="&amp;EOMONTH(DATE(2026,2,1),0)
 ),
 IF(_xlpm.x=0, "-", _xlpm.x)
)</f>
        <v>-</v>
      </c>
      <c r="AD64" s="56" t="str">
        <f>_xlfn.LET(
 _xlpm.x,
 _xlfn.MAXIFS(
  raw_stack!H$2:H$100000,
  raw_stack!D$2:D$100000, G64,
  raw_stack!F$2:F$100000, "Iya",
  raw_stack!G$2:G$100000, "&gt;="&amp;DATE(2026,2,1),
  raw_stack!G$2:G$100000, "&lt;="&amp;EOMONTH(DATE(2026,2,1),0)
 ),
 IF(OR(_xlpm.x=0, _xlpm.x=""), "-", _xlpm.x)
)</f>
        <v>-</v>
      </c>
      <c r="AE64" s="55" t="str">
        <f>_xlfn.LET(
 _xlpm.x,
 _xlfn.MAXIFS(
  raw_stack!G$2:G$100000,
  raw_stack!D$2:D$100000, G64,
  raw_stack!F$2:F$100000, "Iya",
  raw_stack!G$2:G$100000, "&gt;="&amp;DATE(2026,3,1),
  raw_stack!G$2:G$100000, "&lt;="&amp;EOMONTH(DATE(2026,3,1),0)
 ),
 IF(_xlpm.x=0, "-", _xlpm.x)
)</f>
        <v>-</v>
      </c>
      <c r="AF64" s="56" t="str">
        <f>_xlfn.LET(
 _xlpm.x,
 _xlfn.MAXIFS(
  raw_stack!H$2:H$100000,
  raw_stack!D$2:D$100000, G64,
  raw_stack!F$2:F$100000, "Iya",
  raw_stack!G$2:G$100000, "&gt;="&amp;DATE(2026,3,1),
  raw_stack!G$2:G$100000, "&lt;="&amp;EOMONTH(DATE(2026,3,1),0)
 ),
 IF(OR(_xlpm.x=0, _xlpm.x=""), "-", _xlpm.x)
)</f>
        <v>-</v>
      </c>
      <c r="AG64" s="55" t="str">
        <f>_xlfn.LET(
 _xlpm.x,
 _xlfn.MAXIFS(
  raw_stack!G$2:G$100000,
  raw_stack!D$2:D$100000, G64,
  raw_stack!F$2:F$100000, "Iya",
  raw_stack!G$2:G$100000, "&gt;="&amp;DATE(2026,4,1),
  raw_stack!G$2:G$100000, "&lt;="&amp;EOMONTH(DATE(2026,4,1),0)
 ),
 IF(_xlpm.x=0, "-", _xlpm.x)
)</f>
        <v>-</v>
      </c>
      <c r="AH64" s="56" t="str">
        <f>_xlfn.LET(
 _xlpm.x,
 _xlfn.MAXIFS(
  raw_stack!H$2:H$100000,
  raw_stack!D$2:D$100000, G64,
  raw_stack!F$2:F$100000, "Iya",
  raw_stack!G$2:G$100000, "&gt;="&amp;DATE(2026,4,1),
  raw_stack!G$2:G$100000, "&lt;="&amp;EOMONTH(DATE(2026,4,1),0)
 ),
 IF(OR(_xlpm.x=0, _xlpm.x=""), "-", _xlpm.x)
)</f>
        <v>-</v>
      </c>
    </row>
    <row r="65" spans="1:34">
      <c r="A65" s="48">
        <v>64</v>
      </c>
      <c r="B65" s="49" t="str">
        <f t="shared" si="1"/>
        <v>95987</v>
      </c>
      <c r="C65" s="50" t="s">
        <v>46</v>
      </c>
      <c r="D65" s="51" t="s">
        <v>514</v>
      </c>
      <c r="E65" s="51" t="s">
        <v>53</v>
      </c>
      <c r="F65" s="49" t="s">
        <v>117</v>
      </c>
      <c r="G65" s="49" t="s">
        <v>181</v>
      </c>
      <c r="H65" s="49" t="s">
        <v>48</v>
      </c>
      <c r="I65" s="49" t="s">
        <v>52</v>
      </c>
      <c r="J65" s="52">
        <v>5075000</v>
      </c>
      <c r="K65" s="53">
        <v>46028</v>
      </c>
      <c r="L65" s="53">
        <v>46208</v>
      </c>
      <c r="M65" s="53">
        <v>46058</v>
      </c>
      <c r="N65" s="49" t="s">
        <v>50</v>
      </c>
      <c r="O65" s="54" t="str">
        <f>_xlfn.LET(
 _xlpm.x,
 _xlfn.MAXIFS(
  raw_stack!G$2:G$100000,
  raw_stack!D$2:D$100000, G65,
  raw_stack!F$2:F$100000, "Iya",
  raw_stack!G$2:G$100000, "&gt;="&amp;DATE(2025,7,1),
  raw_stack!G$2:G$100000, "&lt;="&amp;EOMONTH(DATE(2025,7,1),0)
 ),
 IF(_xlpm.x=0, "-", _xlpm.x)
)</f>
        <v>-</v>
      </c>
      <c r="P65" s="65" t="str">
        <f>_xlfn.LET(
 _xlpm.x,
 _xlfn.MAXIFS(
  raw_stack!H$2:H$100000,
  raw_stack!D$2:D$100000, G65,
  raw_stack!F$2:F$100000, "Iya",
  raw_stack!G$2:G$100000, "&gt;="&amp;DATE(2025,7,1),
  raw_stack!G$2:G$100000, "&lt;="&amp;EOMONTH(DATE(2025,7,1),0)
 ),
 IF(OR(_xlpm.x=0, _xlpm.x=""), "-", _xlpm.x)
)</f>
        <v>-</v>
      </c>
      <c r="Q65" s="54" t="str">
        <f>_xlfn.LET(
 _xlpm.x,
 _xlfn.MAXIFS(
  raw_stack!G$2:G$99411,
  raw_stack!D$2:D$99411, G65,
  raw_stack!F$2:F$99411, "Iya",
  raw_stack!G$2:G$99411, "&gt;="&amp;DATE(2025,8,1),
  raw_stack!G$2:G$99411, "&lt;="&amp;EOMONTH(DATE(2025,8,1),0)
 ),
 IF(_xlpm.x=0, "-", _xlpm.x)
)</f>
        <v>-</v>
      </c>
      <c r="R65" s="65" t="str">
        <f>_xlfn.LET(
 _xlpm.x,
 _xlfn.MAXIFS(
  raw_stack!H$2:H$100000,
  raw_stack!D$2:D$100000, G65,
  raw_stack!F$2:F$100000, "Iya",
  raw_stack!G$2:G$100000, "&gt;="&amp;DATE(2025,8,1),
  raw_stack!G$2:G$100000, "&lt;="&amp;EOMONTH(DATE(2025,8,1),0)
 ),
 IF(OR(_xlpm.x=0, _xlpm.x=""), "-", _xlpm.x)
)</f>
        <v>-</v>
      </c>
      <c r="S65" s="54" t="str">
        <f>_xlfn.LET(
 _xlpm.x,
 _xlfn.MAXIFS(
  raw_stack!G$2:G$99411,
  raw_stack!D$2:D$99411, G65,
  raw_stack!F$2:F$99411, "Iya",
  raw_stack!G$2:G$99411, "&gt;="&amp;DATE(2025,9,1),
  raw_stack!G$2:G$99411, "&lt;="&amp;EOMONTH(DATE(2025,9,1),0)
 ),
 IF(_xlpm.x=0, "-", _xlpm.x)
)</f>
        <v>-</v>
      </c>
      <c r="T65" s="65" t="str">
        <f>_xlfn.LET(
 _xlpm.x,
 _xlfn.MAXIFS(
  raw_stack!H$2:H$100000,
  raw_stack!D$2:D$100000, G65,
  raw_stack!F$2:F$100000, "Iya",
  raw_stack!G$2:G$100000, "&gt;="&amp;DATE(2025,9,1),
  raw_stack!G$2:G$100000, "&lt;="&amp;EOMONTH(DATE(2025,9,1),0)
 ),
 IF(OR(_xlpm.x=0, _xlpm.x=""), "-", _xlpm.x)
)</f>
        <v>-</v>
      </c>
      <c r="U65" s="54" t="str">
        <f>_xlfn.LET(
 _xlpm.x,
 _xlfn.MAXIFS(
  raw_stack!G$2:G$99411,
  raw_stack!D$2:D$99411, G65,
  raw_stack!F$2:F$99411, "Iya",
  raw_stack!G$2:G$99411, "&gt;="&amp;DATE(2025,10,1),
  raw_stack!G$2:G$99411, "&lt;="&amp;EOMONTH(DATE(2025,10,1),0)
 ),
 IF(_xlpm.x=0, "-", _xlpm.x)
)</f>
        <v>-</v>
      </c>
      <c r="V65" s="65" t="str">
        <f>_xlfn.LET(
 _xlpm.x,
 _xlfn.MAXIFS(
  raw_stack!H$2:H$100000,
  raw_stack!D$2:D$100000, G65,
  raw_stack!F$2:F$100000, "Iya",
  raw_stack!G$2:G$100000, "&gt;="&amp;DATE(2025,10,1),
  raw_stack!G$2:G$100000, "&lt;="&amp;EOMONTH(DATE(2025,10,1),0)
 ),
 IF(OR(_xlpm.x=0, _xlpm.x=""), "-", _xlpm.x)
)</f>
        <v>-</v>
      </c>
      <c r="W65" s="55" t="str">
        <f>_xlfn.LET(
 _xlpm.x,
 _xlfn.MAXIFS(
  raw_stack!G$2:G$99411,
  raw_stack!D$2:D$99411, G65,
  raw_stack!F$2:F$99411, "Iya",
  raw_stack!G$2:G$99411, "&gt;="&amp;DATE(2025,11,1),
  raw_stack!G$2:G$99411, "&lt;="&amp;EOMONTH(DATE(2025,11,1),0)
 ),
 IF(_xlpm.x=0, "-", _xlpm.x)
)</f>
        <v>-</v>
      </c>
      <c r="X65" s="56" t="str">
        <f>_xlfn.LET(
 _xlpm.x,
 _xlfn.MAXIFS(
  raw_stack!H$2:H$100000,
  raw_stack!D$2:D$100000, G65,
  raw_stack!F$2:F$100000, "Iya",
  raw_stack!G$2:G$100000, "&gt;="&amp;DATE(2025,11,1),
  raw_stack!G$2:G$100000, "&lt;="&amp;EOMONTH(DATE(2025,11,1),0)
 ),
 IF(OR(_xlpm.x=0, _xlpm.x=""), "-", _xlpm.x)
)</f>
        <v>-</v>
      </c>
      <c r="Y65" s="55">
        <f>_xlfn.LET(
 _xlpm.x,
 _xlfn.MAXIFS(
  raw_stack!G$2:G$99411,
  raw_stack!D$2:D$99411, G65,
  raw_stack!F$2:F$99411, "Iya",
  raw_stack!G$2:G$99411, "&gt;="&amp;DATE(2025,12,1),
  raw_stack!G$2:G$99411, "&lt;="&amp;EOMONTH(DATE(2025,12,1),0)
 ),
 IF(_xlpm.x=0, "-", _xlpm.x)
)</f>
        <v>45996</v>
      </c>
      <c r="Z65" s="56">
        <f>_xlfn.LET(
 _xlpm.x,
 _xlfn.MAXIFS(
  raw_stack!H$2:H$100000,
  raw_stack!D$2:D$100000, G65,
  raw_stack!F$2:F$100000, "Iya",
  raw_stack!G$2:G$100000, "&gt;="&amp;DATE(2025,12,1),
  raw_stack!G$2:G$100000, "&lt;="&amp;EOMONTH(DATE(2025,12,1),0)
 ),
 IF(OR(_xlpm.x=0, _xlpm.x=""), "-", _xlpm.x)
)</f>
        <v>34123</v>
      </c>
      <c r="AA65" s="55" t="str">
        <f>_xlfn.LET(
 _xlpm.x,
 _xlfn.MAXIFS(
  raw_stack!G$2:G$99411,
  raw_stack!D$2:D$99411, G65,
  raw_stack!F$2:F$99411, "Iya",
  raw_stack!G$2:G$99411, "&gt;="&amp;DATE(2026,1,1),
  raw_stack!G$2:G$99411, "&lt;="&amp;EOMONTH(DATE(2026,1,1),0)
 ),
 IF(_xlpm.x=0, "-", _xlpm.x)
)</f>
        <v>-</v>
      </c>
      <c r="AB65" s="56" t="str">
        <f>_xlfn.LET(
 _xlpm.x,
 _xlfn.MAXIFS(
  raw_stack!H$2:H$100000,
  raw_stack!D$2:D$100000, G65,
  raw_stack!F$2:F$100000, "Iya",
  raw_stack!G$2:G$100000, "&gt;="&amp;DATE(2026,1,1),
  raw_stack!G$2:G$100000, "&lt;="&amp;EOMONTH(DATE(2026,1,1),0)
 ),
 IF(OR(_xlpm.x=0, _xlpm.x=""), "-", _xlpm.x)
)</f>
        <v>-</v>
      </c>
      <c r="AC65" s="55" t="str">
        <f>_xlfn.LET(
 _xlpm.x,
 _xlfn.MAXIFS(
  raw_stack!G$2:G$99411,
  raw_stack!D$2:D$99411, G65,
  raw_stack!F$2:F$99411, "Iya",
  raw_stack!G$2:G$99411, "&gt;="&amp;DATE(2026,2,1),
  raw_stack!G$2:G$99411, "&lt;="&amp;EOMONTH(DATE(2026,2,1),0)
 ),
 IF(_xlpm.x=0, "-", _xlpm.x)
)</f>
        <v>-</v>
      </c>
      <c r="AD65" s="56" t="str">
        <f>_xlfn.LET(
 _xlpm.x,
 _xlfn.MAXIFS(
  raw_stack!H$2:H$100000,
  raw_stack!D$2:D$100000, G65,
  raw_stack!F$2:F$100000, "Iya",
  raw_stack!G$2:G$100000, "&gt;="&amp;DATE(2026,2,1),
  raw_stack!G$2:G$100000, "&lt;="&amp;EOMONTH(DATE(2026,2,1),0)
 ),
 IF(OR(_xlpm.x=0, _xlpm.x=""), "-", _xlpm.x)
)</f>
        <v>-</v>
      </c>
      <c r="AE65" s="55" t="str">
        <f>_xlfn.LET(
 _xlpm.x,
 _xlfn.MAXIFS(
  raw_stack!G$2:G$100000,
  raw_stack!D$2:D$100000, G65,
  raw_stack!F$2:F$100000, "Iya",
  raw_stack!G$2:G$100000, "&gt;="&amp;DATE(2026,3,1),
  raw_stack!G$2:G$100000, "&lt;="&amp;EOMONTH(DATE(2026,3,1),0)
 ),
 IF(_xlpm.x=0, "-", _xlpm.x)
)</f>
        <v>-</v>
      </c>
      <c r="AF65" s="56" t="str">
        <f>_xlfn.LET(
 _xlpm.x,
 _xlfn.MAXIFS(
  raw_stack!H$2:H$100000,
  raw_stack!D$2:D$100000, G65,
  raw_stack!F$2:F$100000, "Iya",
  raw_stack!G$2:G$100000, "&gt;="&amp;DATE(2026,3,1),
  raw_stack!G$2:G$100000, "&lt;="&amp;EOMONTH(DATE(2026,3,1),0)
 ),
 IF(OR(_xlpm.x=0, _xlpm.x=""), "-", _xlpm.x)
)</f>
        <v>-</v>
      </c>
      <c r="AG65" s="55" t="str">
        <f>_xlfn.LET(
 _xlpm.x,
 _xlfn.MAXIFS(
  raw_stack!G$2:G$100000,
  raw_stack!D$2:D$100000, G65,
  raw_stack!F$2:F$100000, "Iya",
  raw_stack!G$2:G$100000, "&gt;="&amp;DATE(2026,4,1),
  raw_stack!G$2:G$100000, "&lt;="&amp;EOMONTH(DATE(2026,4,1),0)
 ),
 IF(_xlpm.x=0, "-", _xlpm.x)
)</f>
        <v>-</v>
      </c>
      <c r="AH65" s="56" t="str">
        <f>_xlfn.LET(
 _xlpm.x,
 _xlfn.MAXIFS(
  raw_stack!H$2:H$100000,
  raw_stack!D$2:D$100000, G65,
  raw_stack!F$2:F$100000, "Iya",
  raw_stack!G$2:G$100000, "&gt;="&amp;DATE(2026,4,1),
  raw_stack!G$2:G$100000, "&lt;="&amp;EOMONTH(DATE(2026,4,1),0)
 ),
 IF(OR(_xlpm.x=0, _xlpm.x=""), "-", _xlpm.x)
)</f>
        <v>-</v>
      </c>
    </row>
    <row r="66" spans="1:34">
      <c r="A66" s="48">
        <v>65</v>
      </c>
      <c r="B66" s="49" t="str">
        <f t="shared" si="1"/>
        <v>71063</v>
      </c>
      <c r="C66" s="50" t="s">
        <v>46</v>
      </c>
      <c r="D66" s="51" t="s">
        <v>515</v>
      </c>
      <c r="E66" s="51" t="s">
        <v>51</v>
      </c>
      <c r="F66" s="49" t="s">
        <v>117</v>
      </c>
      <c r="G66" s="49" t="s">
        <v>182</v>
      </c>
      <c r="H66" s="49" t="s">
        <v>48</v>
      </c>
      <c r="I66" s="49" t="s">
        <v>52</v>
      </c>
      <c r="J66" s="52">
        <v>3880000</v>
      </c>
      <c r="K66" s="53">
        <v>45121</v>
      </c>
      <c r="L66" s="53">
        <v>46216</v>
      </c>
      <c r="M66" s="53">
        <v>46094</v>
      </c>
      <c r="N66" s="49" t="s">
        <v>50</v>
      </c>
      <c r="O66" s="54" t="str">
        <f>_xlfn.LET(
 _xlpm.x,
 _xlfn.MAXIFS(
  raw_stack!G$2:G$100000,
  raw_stack!D$2:D$100000, G66,
  raw_stack!F$2:F$100000, "Iya",
  raw_stack!G$2:G$100000, "&gt;="&amp;DATE(2025,7,1),
  raw_stack!G$2:G$100000, "&lt;="&amp;EOMONTH(DATE(2025,7,1),0)
 ),
 IF(_xlpm.x=0, "-", _xlpm.x)
)</f>
        <v>-</v>
      </c>
      <c r="P66" s="65" t="str">
        <f>_xlfn.LET(
 _xlpm.x,
 _xlfn.MAXIFS(
  raw_stack!H$2:H$100000,
  raw_stack!D$2:D$100000, G66,
  raw_stack!F$2:F$100000, "Iya",
  raw_stack!G$2:G$100000, "&gt;="&amp;DATE(2025,7,1),
  raw_stack!G$2:G$100000, "&lt;="&amp;EOMONTH(DATE(2025,7,1),0)
 ),
 IF(OR(_xlpm.x=0, _xlpm.x=""), "-", _xlpm.x)
)</f>
        <v>-</v>
      </c>
      <c r="Q66" s="54">
        <f>_xlfn.LET(
 _xlpm.x,
 _xlfn.MAXIFS(
  raw_stack!G$2:G$99411,
  raw_stack!D$2:D$99411, G66,
  raw_stack!F$2:F$99411, "Iya",
  raw_stack!G$2:G$99411, "&gt;="&amp;DATE(2025,8,1),
  raw_stack!G$2:G$99411, "&lt;="&amp;EOMONTH(DATE(2025,8,1),0)
 ),
 IF(_xlpm.x=0, "-", _xlpm.x)
)</f>
        <v>45895</v>
      </c>
      <c r="R66" s="65">
        <f>_xlfn.LET(
 _xlpm.x,
 _xlfn.MAXIFS(
  raw_stack!H$2:H$100000,
  raw_stack!D$2:D$100000, G66,
  raw_stack!F$2:F$100000, "Iya",
  raw_stack!G$2:G$100000, "&gt;="&amp;DATE(2025,8,1),
  raw_stack!G$2:G$100000, "&lt;="&amp;EOMONTH(DATE(2025,8,1),0)
 ),
 IF(OR(_xlpm.x=0, _xlpm.x=""), "-", _xlpm.x)
)</f>
        <v>48511</v>
      </c>
      <c r="S66" s="54" t="str">
        <f>_xlfn.LET(
 _xlpm.x,
 _xlfn.MAXIFS(
  raw_stack!G$2:G$99411,
  raw_stack!D$2:D$99411, G66,
  raw_stack!F$2:F$99411, "Iya",
  raw_stack!G$2:G$99411, "&gt;="&amp;DATE(2025,9,1),
  raw_stack!G$2:G$99411, "&lt;="&amp;EOMONTH(DATE(2025,9,1),0)
 ),
 IF(_xlpm.x=0, "-", _xlpm.x)
)</f>
        <v>-</v>
      </c>
      <c r="T66" s="65" t="str">
        <f>_xlfn.LET(
 _xlpm.x,
 _xlfn.MAXIFS(
  raw_stack!H$2:H$100000,
  raw_stack!D$2:D$100000, G66,
  raw_stack!F$2:F$100000, "Iya",
  raw_stack!G$2:G$100000, "&gt;="&amp;DATE(2025,9,1),
  raw_stack!G$2:G$100000, "&lt;="&amp;EOMONTH(DATE(2025,9,1),0)
 ),
 IF(OR(_xlpm.x=0, _xlpm.x=""), "-", _xlpm.x)
)</f>
        <v>-</v>
      </c>
      <c r="U66" s="54" t="str">
        <f>_xlfn.LET(
 _xlpm.x,
 _xlfn.MAXIFS(
  raw_stack!G$2:G$99411,
  raw_stack!D$2:D$99411, G66,
  raw_stack!F$2:F$99411, "Iya",
  raw_stack!G$2:G$99411, "&gt;="&amp;DATE(2025,10,1),
  raw_stack!G$2:G$99411, "&lt;="&amp;EOMONTH(DATE(2025,10,1),0)
 ),
 IF(_xlpm.x=0, "-", _xlpm.x)
)</f>
        <v>-</v>
      </c>
      <c r="V66" s="65" t="str">
        <f>_xlfn.LET(
 _xlpm.x,
 _xlfn.MAXIFS(
  raw_stack!H$2:H$100000,
  raw_stack!D$2:D$100000, G66,
  raw_stack!F$2:F$100000, "Iya",
  raw_stack!G$2:G$100000, "&gt;="&amp;DATE(2025,10,1),
  raw_stack!G$2:G$100000, "&lt;="&amp;EOMONTH(DATE(2025,10,1),0)
 ),
 IF(OR(_xlpm.x=0, _xlpm.x=""), "-", _xlpm.x)
)</f>
        <v>-</v>
      </c>
      <c r="W66" s="55" t="str">
        <f>_xlfn.LET(
 _xlpm.x,
 _xlfn.MAXIFS(
  raw_stack!G$2:G$99411,
  raw_stack!D$2:D$99411, G66,
  raw_stack!F$2:F$99411, "Iya",
  raw_stack!G$2:G$99411, "&gt;="&amp;DATE(2025,11,1),
  raw_stack!G$2:G$99411, "&lt;="&amp;EOMONTH(DATE(2025,11,1),0)
 ),
 IF(_xlpm.x=0, "-", _xlpm.x)
)</f>
        <v>-</v>
      </c>
      <c r="X66" s="56" t="str">
        <f>_xlfn.LET(
 _xlpm.x,
 _xlfn.MAXIFS(
  raw_stack!H$2:H$100000,
  raw_stack!D$2:D$100000, G66,
  raw_stack!F$2:F$100000, "Iya",
  raw_stack!G$2:G$100000, "&gt;="&amp;DATE(2025,11,1),
  raw_stack!G$2:G$100000, "&lt;="&amp;EOMONTH(DATE(2025,11,1),0)
 ),
 IF(OR(_xlpm.x=0, _xlpm.x=""), "-", _xlpm.x)
)</f>
        <v>-</v>
      </c>
      <c r="Y66" s="55" t="str">
        <f>_xlfn.LET(
 _xlpm.x,
 _xlfn.MAXIFS(
  raw_stack!G$2:G$99411,
  raw_stack!D$2:D$99411, G66,
  raw_stack!F$2:F$99411, "Iya",
  raw_stack!G$2:G$99411, "&gt;="&amp;DATE(2025,12,1),
  raw_stack!G$2:G$99411, "&lt;="&amp;EOMONTH(DATE(2025,12,1),0)
 ),
 IF(_xlpm.x=0, "-", _xlpm.x)
)</f>
        <v>-</v>
      </c>
      <c r="Z66" s="56" t="str">
        <f>_xlfn.LET(
 _xlpm.x,
 _xlfn.MAXIFS(
  raw_stack!H$2:H$100000,
  raw_stack!D$2:D$100000, G66,
  raw_stack!F$2:F$100000, "Iya",
  raw_stack!G$2:G$100000, "&gt;="&amp;DATE(2025,12,1),
  raw_stack!G$2:G$100000, "&lt;="&amp;EOMONTH(DATE(2025,12,1),0)
 ),
 IF(OR(_xlpm.x=0, _xlpm.x=""), "-", _xlpm.x)
)</f>
        <v>-</v>
      </c>
      <c r="AA66" s="55" t="str">
        <f>_xlfn.LET(
 _xlpm.x,
 _xlfn.MAXIFS(
  raw_stack!G$2:G$99411,
  raw_stack!D$2:D$99411, G66,
  raw_stack!F$2:F$99411, "Iya",
  raw_stack!G$2:G$99411, "&gt;="&amp;DATE(2026,1,1),
  raw_stack!G$2:G$99411, "&lt;="&amp;EOMONTH(DATE(2026,1,1),0)
 ),
 IF(_xlpm.x=0, "-", _xlpm.x)
)</f>
        <v>-</v>
      </c>
      <c r="AB66" s="56" t="str">
        <f>_xlfn.LET(
 _xlpm.x,
 _xlfn.MAXIFS(
  raw_stack!H$2:H$100000,
  raw_stack!D$2:D$100000, G66,
  raw_stack!F$2:F$100000, "Iya",
  raw_stack!G$2:G$100000, "&gt;="&amp;DATE(2026,1,1),
  raw_stack!G$2:G$100000, "&lt;="&amp;EOMONTH(DATE(2026,1,1),0)
 ),
 IF(OR(_xlpm.x=0, _xlpm.x=""), "-", _xlpm.x)
)</f>
        <v>-</v>
      </c>
      <c r="AC66" s="55" t="str">
        <f>_xlfn.LET(
 _xlpm.x,
 _xlfn.MAXIFS(
  raw_stack!G$2:G$99411,
  raw_stack!D$2:D$99411, G66,
  raw_stack!F$2:F$99411, "Iya",
  raw_stack!G$2:G$99411, "&gt;="&amp;DATE(2026,2,1),
  raw_stack!G$2:G$99411, "&lt;="&amp;EOMONTH(DATE(2026,2,1),0)
 ),
 IF(_xlpm.x=0, "-", _xlpm.x)
)</f>
        <v>-</v>
      </c>
      <c r="AD66" s="56" t="str">
        <f>_xlfn.LET(
 _xlpm.x,
 _xlfn.MAXIFS(
  raw_stack!H$2:H$100000,
  raw_stack!D$2:D$100000, G66,
  raw_stack!F$2:F$100000, "Iya",
  raw_stack!G$2:G$100000, "&gt;="&amp;DATE(2026,2,1),
  raw_stack!G$2:G$100000, "&lt;="&amp;EOMONTH(DATE(2026,2,1),0)
 ),
 IF(OR(_xlpm.x=0, _xlpm.x=""), "-", _xlpm.x)
)</f>
        <v>-</v>
      </c>
      <c r="AE66" s="55" t="str">
        <f>_xlfn.LET(
 _xlpm.x,
 _xlfn.MAXIFS(
  raw_stack!G$2:G$100000,
  raw_stack!D$2:D$100000, G66,
  raw_stack!F$2:F$100000, "Iya",
  raw_stack!G$2:G$100000, "&gt;="&amp;DATE(2026,3,1),
  raw_stack!G$2:G$100000, "&lt;="&amp;EOMONTH(DATE(2026,3,1),0)
 ),
 IF(_xlpm.x=0, "-", _xlpm.x)
)</f>
        <v>-</v>
      </c>
      <c r="AF66" s="56" t="str">
        <f>_xlfn.LET(
 _xlpm.x,
 _xlfn.MAXIFS(
  raw_stack!H$2:H$100000,
  raw_stack!D$2:D$100000, G66,
  raw_stack!F$2:F$100000, "Iya",
  raw_stack!G$2:G$100000, "&gt;="&amp;DATE(2026,3,1),
  raw_stack!G$2:G$100000, "&lt;="&amp;EOMONTH(DATE(2026,3,1),0)
 ),
 IF(OR(_xlpm.x=0, _xlpm.x=""), "-", _xlpm.x)
)</f>
        <v>-</v>
      </c>
      <c r="AG66" s="55" t="str">
        <f>_xlfn.LET(
 _xlpm.x,
 _xlfn.MAXIFS(
  raw_stack!G$2:G$100000,
  raw_stack!D$2:D$100000, G66,
  raw_stack!F$2:F$100000, "Iya",
  raw_stack!G$2:G$100000, "&gt;="&amp;DATE(2026,4,1),
  raw_stack!G$2:G$100000, "&lt;="&amp;EOMONTH(DATE(2026,4,1),0)
 ),
 IF(_xlpm.x=0, "-", _xlpm.x)
)</f>
        <v>-</v>
      </c>
      <c r="AH66" s="56" t="str">
        <f>_xlfn.LET(
 _xlpm.x,
 _xlfn.MAXIFS(
  raw_stack!H$2:H$100000,
  raw_stack!D$2:D$100000, G66,
  raw_stack!F$2:F$100000, "Iya",
  raw_stack!G$2:G$100000, "&gt;="&amp;DATE(2026,4,1),
  raw_stack!G$2:G$100000, "&lt;="&amp;EOMONTH(DATE(2026,4,1),0)
 ),
 IF(OR(_xlpm.x=0, _xlpm.x=""), "-", _xlpm.x)
)</f>
        <v>-</v>
      </c>
    </row>
    <row r="67" spans="1:34">
      <c r="A67" s="48">
        <v>66</v>
      </c>
      <c r="B67" s="49" t="str">
        <f t="shared" si="1"/>
        <v>24232</v>
      </c>
      <c r="C67" s="50" t="s">
        <v>46</v>
      </c>
      <c r="D67" s="51" t="s">
        <v>516</v>
      </c>
      <c r="E67" s="51" t="s">
        <v>54</v>
      </c>
      <c r="F67" s="49" t="s">
        <v>117</v>
      </c>
      <c r="G67" s="49" t="s">
        <v>183</v>
      </c>
      <c r="H67" s="49" t="s">
        <v>48</v>
      </c>
      <c r="I67" s="49" t="s">
        <v>52</v>
      </c>
      <c r="J67" s="52">
        <v>5950000</v>
      </c>
      <c r="K67" s="53">
        <v>46037</v>
      </c>
      <c r="L67" s="53">
        <v>46217</v>
      </c>
      <c r="M67" s="53">
        <v>46067</v>
      </c>
      <c r="N67" s="49" t="s">
        <v>50</v>
      </c>
      <c r="O67" s="54" t="str">
        <f>_xlfn.LET(
 _xlpm.x,
 _xlfn.MAXIFS(
  raw_stack!G$2:G$100000,
  raw_stack!D$2:D$100000, G67,
  raw_stack!F$2:F$100000, "Iya",
  raw_stack!G$2:G$100000, "&gt;="&amp;DATE(2025,7,1),
  raw_stack!G$2:G$100000, "&lt;="&amp;EOMONTH(DATE(2025,7,1),0)
 ),
 IF(_xlpm.x=0, "-", _xlpm.x)
)</f>
        <v>-</v>
      </c>
      <c r="P67" s="65" t="str">
        <f>_xlfn.LET(
 _xlpm.x,
 _xlfn.MAXIFS(
  raw_stack!H$2:H$100000,
  raw_stack!D$2:D$100000, G67,
  raw_stack!F$2:F$100000, "Iya",
  raw_stack!G$2:G$100000, "&gt;="&amp;DATE(2025,7,1),
  raw_stack!G$2:G$100000, "&lt;="&amp;EOMONTH(DATE(2025,7,1),0)
 ),
 IF(OR(_xlpm.x=0, _xlpm.x=""), "-", _xlpm.x)
)</f>
        <v>-</v>
      </c>
      <c r="Q67" s="54">
        <f>_xlfn.LET(
 _xlpm.x,
 _xlfn.MAXIFS(
  raw_stack!G$2:G$99411,
  raw_stack!D$2:D$99411, G67,
  raw_stack!F$2:F$99411, "Iya",
  raw_stack!G$2:G$99411, "&gt;="&amp;DATE(2025,8,1),
  raw_stack!G$2:G$99411, "&lt;="&amp;EOMONTH(DATE(2025,8,1),0)
 ),
 IF(_xlpm.x=0, "-", _xlpm.x)
)</f>
        <v>45876</v>
      </c>
      <c r="R67" s="65">
        <f>_xlfn.LET(
 _xlpm.x,
 _xlfn.MAXIFS(
  raw_stack!H$2:H$100000,
  raw_stack!D$2:D$100000, G67,
  raw_stack!F$2:F$100000, "Iya",
  raw_stack!G$2:G$100000, "&gt;="&amp;DATE(2025,8,1),
  raw_stack!G$2:G$100000, "&lt;="&amp;EOMONTH(DATE(2025,8,1),0)
 ),
 IF(OR(_xlpm.x=0, _xlpm.x=""), "-", _xlpm.x)
)</f>
        <v>55359</v>
      </c>
      <c r="S67" s="54" t="str">
        <f>_xlfn.LET(
 _xlpm.x,
 _xlfn.MAXIFS(
  raw_stack!G$2:G$99411,
  raw_stack!D$2:D$99411, G67,
  raw_stack!F$2:F$99411, "Iya",
  raw_stack!G$2:G$99411, "&gt;="&amp;DATE(2025,9,1),
  raw_stack!G$2:G$99411, "&lt;="&amp;EOMONTH(DATE(2025,9,1),0)
 ),
 IF(_xlpm.x=0, "-", _xlpm.x)
)</f>
        <v>-</v>
      </c>
      <c r="T67" s="65" t="str">
        <f>_xlfn.LET(
 _xlpm.x,
 _xlfn.MAXIFS(
  raw_stack!H$2:H$100000,
  raw_stack!D$2:D$100000, G67,
  raw_stack!F$2:F$100000, "Iya",
  raw_stack!G$2:G$100000, "&gt;="&amp;DATE(2025,9,1),
  raw_stack!G$2:G$100000, "&lt;="&amp;EOMONTH(DATE(2025,9,1),0)
 ),
 IF(OR(_xlpm.x=0, _xlpm.x=""), "-", _xlpm.x)
)</f>
        <v>-</v>
      </c>
      <c r="U67" s="54" t="str">
        <f>_xlfn.LET(
 _xlpm.x,
 _xlfn.MAXIFS(
  raw_stack!G$2:G$99411,
  raw_stack!D$2:D$99411, G67,
  raw_stack!F$2:F$99411, "Iya",
  raw_stack!G$2:G$99411, "&gt;="&amp;DATE(2025,10,1),
  raw_stack!G$2:G$99411, "&lt;="&amp;EOMONTH(DATE(2025,10,1),0)
 ),
 IF(_xlpm.x=0, "-", _xlpm.x)
)</f>
        <v>-</v>
      </c>
      <c r="V67" s="65" t="str">
        <f>_xlfn.LET(
 _xlpm.x,
 _xlfn.MAXIFS(
  raw_stack!H$2:H$100000,
  raw_stack!D$2:D$100000, G67,
  raw_stack!F$2:F$100000, "Iya",
  raw_stack!G$2:G$100000, "&gt;="&amp;DATE(2025,10,1),
  raw_stack!G$2:G$100000, "&lt;="&amp;EOMONTH(DATE(2025,10,1),0)
 ),
 IF(OR(_xlpm.x=0, _xlpm.x=""), "-", _xlpm.x)
)</f>
        <v>-</v>
      </c>
      <c r="W67" s="55" t="str">
        <f>_xlfn.LET(
 _xlpm.x,
 _xlfn.MAXIFS(
  raw_stack!G$2:G$99411,
  raw_stack!D$2:D$99411, G67,
  raw_stack!F$2:F$99411, "Iya",
  raw_stack!G$2:G$99411, "&gt;="&amp;DATE(2025,11,1),
  raw_stack!G$2:G$99411, "&lt;="&amp;EOMONTH(DATE(2025,11,1),0)
 ),
 IF(_xlpm.x=0, "-", _xlpm.x)
)</f>
        <v>-</v>
      </c>
      <c r="X67" s="56" t="str">
        <f>_xlfn.LET(
 _xlpm.x,
 _xlfn.MAXIFS(
  raw_stack!H$2:H$100000,
  raw_stack!D$2:D$100000, G67,
  raw_stack!F$2:F$100000, "Iya",
  raw_stack!G$2:G$100000, "&gt;="&amp;DATE(2025,11,1),
  raw_stack!G$2:G$100000, "&lt;="&amp;EOMONTH(DATE(2025,11,1),0)
 ),
 IF(OR(_xlpm.x=0, _xlpm.x=""), "-", _xlpm.x)
)</f>
        <v>-</v>
      </c>
      <c r="Y67" s="55" t="str">
        <f>_xlfn.LET(
 _xlpm.x,
 _xlfn.MAXIFS(
  raw_stack!G$2:G$99411,
  raw_stack!D$2:D$99411, G67,
  raw_stack!F$2:F$99411, "Iya",
  raw_stack!G$2:G$99411, "&gt;="&amp;DATE(2025,12,1),
  raw_stack!G$2:G$99411, "&lt;="&amp;EOMONTH(DATE(2025,12,1),0)
 ),
 IF(_xlpm.x=0, "-", _xlpm.x)
)</f>
        <v>-</v>
      </c>
      <c r="Z67" s="56" t="str">
        <f>_xlfn.LET(
 _xlpm.x,
 _xlfn.MAXIFS(
  raw_stack!H$2:H$100000,
  raw_stack!D$2:D$100000, G67,
  raw_stack!F$2:F$100000, "Iya",
  raw_stack!G$2:G$100000, "&gt;="&amp;DATE(2025,12,1),
  raw_stack!G$2:G$100000, "&lt;="&amp;EOMONTH(DATE(2025,12,1),0)
 ),
 IF(OR(_xlpm.x=0, _xlpm.x=""), "-", _xlpm.x)
)</f>
        <v>-</v>
      </c>
      <c r="AA67" s="55">
        <f>_xlfn.LET(
 _xlpm.x,
 _xlfn.MAXIFS(
  raw_stack!G$2:G$99411,
  raw_stack!D$2:D$99411, G67,
  raw_stack!F$2:F$99411, "Iya",
  raw_stack!G$2:G$99411, "&gt;="&amp;DATE(2026,1,1),
  raw_stack!G$2:G$99411, "&lt;="&amp;EOMONTH(DATE(2026,1,1),0)
 ),
 IF(_xlpm.x=0, "-", _xlpm.x)
)</f>
        <v>46044</v>
      </c>
      <c r="AB67" s="56">
        <f>_xlfn.LET(
 _xlpm.x,
 _xlfn.MAXIFS(
  raw_stack!H$2:H$100000,
  raw_stack!D$2:D$100000, G67,
  raw_stack!F$2:F$100000, "Iya",
  raw_stack!G$2:G$100000, "&gt;="&amp;DATE(2026,1,1),
  raw_stack!G$2:G$100000, "&lt;="&amp;EOMONTH(DATE(2026,1,1),0)
 ),
 IF(OR(_xlpm.x=0, _xlpm.x=""), "-", _xlpm.x)
)</f>
        <v>58962</v>
      </c>
      <c r="AC67" s="55" t="str">
        <f>_xlfn.LET(
 _xlpm.x,
 _xlfn.MAXIFS(
  raw_stack!G$2:G$99411,
  raw_stack!D$2:D$99411, G67,
  raw_stack!F$2:F$99411, "Iya",
  raw_stack!G$2:G$99411, "&gt;="&amp;DATE(2026,2,1),
  raw_stack!G$2:G$99411, "&lt;="&amp;EOMONTH(DATE(2026,2,1),0)
 ),
 IF(_xlpm.x=0, "-", _xlpm.x)
)</f>
        <v>-</v>
      </c>
      <c r="AD67" s="56" t="str">
        <f>_xlfn.LET(
 _xlpm.x,
 _xlfn.MAXIFS(
  raw_stack!H$2:H$100000,
  raw_stack!D$2:D$100000, G67,
  raw_stack!F$2:F$100000, "Iya",
  raw_stack!G$2:G$100000, "&gt;="&amp;DATE(2026,2,1),
  raw_stack!G$2:G$100000, "&lt;="&amp;EOMONTH(DATE(2026,2,1),0)
 ),
 IF(OR(_xlpm.x=0, _xlpm.x=""), "-", _xlpm.x)
)</f>
        <v>-</v>
      </c>
      <c r="AE67" s="55" t="str">
        <f>_xlfn.LET(
 _xlpm.x,
 _xlfn.MAXIFS(
  raw_stack!G$2:G$100000,
  raw_stack!D$2:D$100000, G67,
  raw_stack!F$2:F$100000, "Iya",
  raw_stack!G$2:G$100000, "&gt;="&amp;DATE(2026,3,1),
  raw_stack!G$2:G$100000, "&lt;="&amp;EOMONTH(DATE(2026,3,1),0)
 ),
 IF(_xlpm.x=0, "-", _xlpm.x)
)</f>
        <v>-</v>
      </c>
      <c r="AF67" s="56" t="str">
        <f>_xlfn.LET(
 _xlpm.x,
 _xlfn.MAXIFS(
  raw_stack!H$2:H$100000,
  raw_stack!D$2:D$100000, G67,
  raw_stack!F$2:F$100000, "Iya",
  raw_stack!G$2:G$100000, "&gt;="&amp;DATE(2026,3,1),
  raw_stack!G$2:G$100000, "&lt;="&amp;EOMONTH(DATE(2026,3,1),0)
 ),
 IF(OR(_xlpm.x=0, _xlpm.x=""), "-", _xlpm.x)
)</f>
        <v>-</v>
      </c>
      <c r="AG67" s="55">
        <f>_xlfn.LET(
 _xlpm.x,
 _xlfn.MAXIFS(
  raw_stack!G$2:G$100000,
  raw_stack!D$2:D$100000, G67,
  raw_stack!F$2:F$100000, "Iya",
  raw_stack!G$2:G$100000, "&gt;="&amp;DATE(2026,4,1),
  raw_stack!G$2:G$100000, "&lt;="&amp;EOMONTH(DATE(2026,4,1),0)
 ),
 IF(_xlpm.x=0, "-", _xlpm.x)
)</f>
        <v>46121</v>
      </c>
      <c r="AH67" s="56">
        <f>_xlfn.LET(
 _xlpm.x,
 _xlfn.MAXIFS(
  raw_stack!H$2:H$100000,
  raw_stack!D$2:D$100000, G67,
  raw_stack!F$2:F$100000, "Iya",
  raw_stack!G$2:G$100000, "&gt;="&amp;DATE(2026,4,1),
  raw_stack!G$2:G$100000, "&lt;="&amp;EOMONTH(DATE(2026,4,1),0)
 ),
 IF(OR(_xlpm.x=0, _xlpm.x=""), "-", _xlpm.x)
)</f>
        <v>56854</v>
      </c>
    </row>
    <row r="68" spans="1:34">
      <c r="A68" s="48">
        <v>67</v>
      </c>
      <c r="B68" s="49" t="str">
        <f t="shared" si="1"/>
        <v>61828</v>
      </c>
      <c r="C68" s="50" t="s">
        <v>46</v>
      </c>
      <c r="D68" s="51" t="s">
        <v>517</v>
      </c>
      <c r="E68" s="51" t="s">
        <v>51</v>
      </c>
      <c r="F68" s="49" t="s">
        <v>117</v>
      </c>
      <c r="G68" s="49" t="s">
        <v>184</v>
      </c>
      <c r="H68" s="49" t="s">
        <v>48</v>
      </c>
      <c r="I68" s="49" t="s">
        <v>52</v>
      </c>
      <c r="J68" s="52">
        <v>3605000</v>
      </c>
      <c r="K68" s="53">
        <v>46041</v>
      </c>
      <c r="L68" s="53">
        <v>46221</v>
      </c>
      <c r="M68" s="53">
        <v>46071</v>
      </c>
      <c r="N68" s="49" t="s">
        <v>50</v>
      </c>
      <c r="O68" s="54" t="str">
        <f>_xlfn.LET(
 _xlpm.x,
 _xlfn.MAXIFS(
  raw_stack!G$2:G$100000,
  raw_stack!D$2:D$100000, G68,
  raw_stack!F$2:F$100000, "Iya",
  raw_stack!G$2:G$100000, "&gt;="&amp;DATE(2025,7,1),
  raw_stack!G$2:G$100000, "&lt;="&amp;EOMONTH(DATE(2025,7,1),0)
 ),
 IF(_xlpm.x=0, "-", _xlpm.x)
)</f>
        <v>-</v>
      </c>
      <c r="P68" s="65" t="str">
        <f>_xlfn.LET(
 _xlpm.x,
 _xlfn.MAXIFS(
  raw_stack!H$2:H$100000,
  raw_stack!D$2:D$100000, G68,
  raw_stack!F$2:F$100000, "Iya",
  raw_stack!G$2:G$100000, "&gt;="&amp;DATE(2025,7,1),
  raw_stack!G$2:G$100000, "&lt;="&amp;EOMONTH(DATE(2025,7,1),0)
 ),
 IF(OR(_xlpm.x=0, _xlpm.x=""), "-", _xlpm.x)
)</f>
        <v>-</v>
      </c>
      <c r="Q68" s="54" t="str">
        <f>_xlfn.LET(
 _xlpm.x,
 _xlfn.MAXIFS(
  raw_stack!G$2:G$99411,
  raw_stack!D$2:D$99411, G68,
  raw_stack!F$2:F$99411, "Iya",
  raw_stack!G$2:G$99411, "&gt;="&amp;DATE(2025,8,1),
  raw_stack!G$2:G$99411, "&lt;="&amp;EOMONTH(DATE(2025,8,1),0)
 ),
 IF(_xlpm.x=0, "-", _xlpm.x)
)</f>
        <v>-</v>
      </c>
      <c r="R68" s="65" t="str">
        <f>_xlfn.LET(
 _xlpm.x,
 _xlfn.MAXIFS(
  raw_stack!H$2:H$100000,
  raw_stack!D$2:D$100000, G68,
  raw_stack!F$2:F$100000, "Iya",
  raw_stack!G$2:G$100000, "&gt;="&amp;DATE(2025,8,1),
  raw_stack!G$2:G$100000, "&lt;="&amp;EOMONTH(DATE(2025,8,1),0)
 ),
 IF(OR(_xlpm.x=0, _xlpm.x=""), "-", _xlpm.x)
)</f>
        <v>-</v>
      </c>
      <c r="S68" s="54" t="str">
        <f>_xlfn.LET(
 _xlpm.x,
 _xlfn.MAXIFS(
  raw_stack!G$2:G$99411,
  raw_stack!D$2:D$99411, G68,
  raw_stack!F$2:F$99411, "Iya",
  raw_stack!G$2:G$99411, "&gt;="&amp;DATE(2025,9,1),
  raw_stack!G$2:G$99411, "&lt;="&amp;EOMONTH(DATE(2025,9,1),0)
 ),
 IF(_xlpm.x=0, "-", _xlpm.x)
)</f>
        <v>-</v>
      </c>
      <c r="T68" s="65" t="str">
        <f>_xlfn.LET(
 _xlpm.x,
 _xlfn.MAXIFS(
  raw_stack!H$2:H$100000,
  raw_stack!D$2:D$100000, G68,
  raw_stack!F$2:F$100000, "Iya",
  raw_stack!G$2:G$100000, "&gt;="&amp;DATE(2025,9,1),
  raw_stack!G$2:G$100000, "&lt;="&amp;EOMONTH(DATE(2025,9,1),0)
 ),
 IF(OR(_xlpm.x=0, _xlpm.x=""), "-", _xlpm.x)
)</f>
        <v>-</v>
      </c>
      <c r="U68" s="54">
        <f>_xlfn.LET(
 _xlpm.x,
 _xlfn.MAXIFS(
  raw_stack!G$2:G$99411,
  raw_stack!D$2:D$99411, G68,
  raw_stack!F$2:F$99411, "Iya",
  raw_stack!G$2:G$99411, "&gt;="&amp;DATE(2025,10,1),
  raw_stack!G$2:G$99411, "&lt;="&amp;EOMONTH(DATE(2025,10,1),0)
 ),
 IF(_xlpm.x=0, "-", _xlpm.x)
)</f>
        <v>45944</v>
      </c>
      <c r="V68" s="65">
        <f>_xlfn.LET(
 _xlpm.x,
 _xlfn.MAXIFS(
  raw_stack!H$2:H$100000,
  raw_stack!D$2:D$100000, G68,
  raw_stack!F$2:F$100000, "Iya",
  raw_stack!G$2:G$100000, "&gt;="&amp;DATE(2025,10,1),
  raw_stack!G$2:G$100000, "&lt;="&amp;EOMONTH(DATE(2025,10,1),0)
 ),
 IF(OR(_xlpm.x=0, _xlpm.x=""), "-", _xlpm.x)
)</f>
        <v>61978</v>
      </c>
      <c r="W68" s="55" t="str">
        <f>_xlfn.LET(
 _xlpm.x,
 _xlfn.MAXIFS(
  raw_stack!G$2:G$99411,
  raw_stack!D$2:D$99411, G68,
  raw_stack!F$2:F$99411, "Iya",
  raw_stack!G$2:G$99411, "&gt;="&amp;DATE(2025,11,1),
  raw_stack!G$2:G$99411, "&lt;="&amp;EOMONTH(DATE(2025,11,1),0)
 ),
 IF(_xlpm.x=0, "-", _xlpm.x)
)</f>
        <v>-</v>
      </c>
      <c r="X68" s="56" t="str">
        <f>_xlfn.LET(
 _xlpm.x,
 _xlfn.MAXIFS(
  raw_stack!H$2:H$100000,
  raw_stack!D$2:D$100000, G68,
  raw_stack!F$2:F$100000, "Iya",
  raw_stack!G$2:G$100000, "&gt;="&amp;DATE(2025,11,1),
  raw_stack!G$2:G$100000, "&lt;="&amp;EOMONTH(DATE(2025,11,1),0)
 ),
 IF(OR(_xlpm.x=0, _xlpm.x=""), "-", _xlpm.x)
)</f>
        <v>-</v>
      </c>
      <c r="Y68" s="55" t="str">
        <f>_xlfn.LET(
 _xlpm.x,
 _xlfn.MAXIFS(
  raw_stack!G$2:G$99411,
  raw_stack!D$2:D$99411, G68,
  raw_stack!F$2:F$99411, "Iya",
  raw_stack!G$2:G$99411, "&gt;="&amp;DATE(2025,12,1),
  raw_stack!G$2:G$99411, "&lt;="&amp;EOMONTH(DATE(2025,12,1),0)
 ),
 IF(_xlpm.x=0, "-", _xlpm.x)
)</f>
        <v>-</v>
      </c>
      <c r="Z68" s="56" t="str">
        <f>_xlfn.LET(
 _xlpm.x,
 _xlfn.MAXIFS(
  raw_stack!H$2:H$100000,
  raw_stack!D$2:D$100000, G68,
  raw_stack!F$2:F$100000, "Iya",
  raw_stack!G$2:G$100000, "&gt;="&amp;DATE(2025,12,1),
  raw_stack!G$2:G$100000, "&lt;="&amp;EOMONTH(DATE(2025,12,1),0)
 ),
 IF(OR(_xlpm.x=0, _xlpm.x=""), "-", _xlpm.x)
)</f>
        <v>-</v>
      </c>
      <c r="AA68" s="55" t="str">
        <f>_xlfn.LET(
 _xlpm.x,
 _xlfn.MAXIFS(
  raw_stack!G$2:G$99411,
  raw_stack!D$2:D$99411, G68,
  raw_stack!F$2:F$99411, "Iya",
  raw_stack!G$2:G$99411, "&gt;="&amp;DATE(2026,1,1),
  raw_stack!G$2:G$99411, "&lt;="&amp;EOMONTH(DATE(2026,1,1),0)
 ),
 IF(_xlpm.x=0, "-", _xlpm.x)
)</f>
        <v>-</v>
      </c>
      <c r="AB68" s="56" t="str">
        <f>_xlfn.LET(
 _xlpm.x,
 _xlfn.MAXIFS(
  raw_stack!H$2:H$100000,
  raw_stack!D$2:D$100000, G68,
  raw_stack!F$2:F$100000, "Iya",
  raw_stack!G$2:G$100000, "&gt;="&amp;DATE(2026,1,1),
  raw_stack!G$2:G$100000, "&lt;="&amp;EOMONTH(DATE(2026,1,1),0)
 ),
 IF(OR(_xlpm.x=0, _xlpm.x=""), "-", _xlpm.x)
)</f>
        <v>-</v>
      </c>
      <c r="AC68" s="55" t="str">
        <f>_xlfn.LET(
 _xlpm.x,
 _xlfn.MAXIFS(
  raw_stack!G$2:G$99411,
  raw_stack!D$2:D$99411, G68,
  raw_stack!F$2:F$99411, "Iya",
  raw_stack!G$2:G$99411, "&gt;="&amp;DATE(2026,2,1),
  raw_stack!G$2:G$99411, "&lt;="&amp;EOMONTH(DATE(2026,2,1),0)
 ),
 IF(_xlpm.x=0, "-", _xlpm.x)
)</f>
        <v>-</v>
      </c>
      <c r="AD68" s="56" t="str">
        <f>_xlfn.LET(
 _xlpm.x,
 _xlfn.MAXIFS(
  raw_stack!H$2:H$100000,
  raw_stack!D$2:D$100000, G68,
  raw_stack!F$2:F$100000, "Iya",
  raw_stack!G$2:G$100000, "&gt;="&amp;DATE(2026,2,1),
  raw_stack!G$2:G$100000, "&lt;="&amp;EOMONTH(DATE(2026,2,1),0)
 ),
 IF(OR(_xlpm.x=0, _xlpm.x=""), "-", _xlpm.x)
)</f>
        <v>-</v>
      </c>
      <c r="AE68" s="55" t="str">
        <f>_xlfn.LET(
 _xlpm.x,
 _xlfn.MAXIFS(
  raw_stack!G$2:G$100000,
  raw_stack!D$2:D$100000, G68,
  raw_stack!F$2:F$100000, "Iya",
  raw_stack!G$2:G$100000, "&gt;="&amp;DATE(2026,3,1),
  raw_stack!G$2:G$100000, "&lt;="&amp;EOMONTH(DATE(2026,3,1),0)
 ),
 IF(_xlpm.x=0, "-", _xlpm.x)
)</f>
        <v>-</v>
      </c>
      <c r="AF68" s="56" t="str">
        <f>_xlfn.LET(
 _xlpm.x,
 _xlfn.MAXIFS(
  raw_stack!H$2:H$100000,
  raw_stack!D$2:D$100000, G68,
  raw_stack!F$2:F$100000, "Iya",
  raw_stack!G$2:G$100000, "&gt;="&amp;DATE(2026,3,1),
  raw_stack!G$2:G$100000, "&lt;="&amp;EOMONTH(DATE(2026,3,1),0)
 ),
 IF(OR(_xlpm.x=0, _xlpm.x=""), "-", _xlpm.x)
)</f>
        <v>-</v>
      </c>
      <c r="AG68" s="55">
        <f>_xlfn.LET(
 _xlpm.x,
 _xlfn.MAXIFS(
  raw_stack!G$2:G$100000,
  raw_stack!D$2:D$100000, G68,
  raw_stack!F$2:F$100000, "Iya",
  raw_stack!G$2:G$100000, "&gt;="&amp;DATE(2026,4,1),
  raw_stack!G$2:G$100000, "&lt;="&amp;EOMONTH(DATE(2026,4,1),0)
 ),
 IF(_xlpm.x=0, "-", _xlpm.x)
)</f>
        <v>46116</v>
      </c>
      <c r="AH68" s="56">
        <f>_xlfn.LET(
 _xlpm.x,
 _xlfn.MAXIFS(
  raw_stack!H$2:H$100000,
  raw_stack!D$2:D$100000, G68,
  raw_stack!F$2:F$100000, "Iya",
  raw_stack!G$2:G$100000, "&gt;="&amp;DATE(2026,4,1),
  raw_stack!G$2:G$100000, "&lt;="&amp;EOMONTH(DATE(2026,4,1),0)
 ),
 IF(OR(_xlpm.x=0, _xlpm.x=""), "-", _xlpm.x)
)</f>
        <v>65160</v>
      </c>
    </row>
    <row r="69" spans="1:34">
      <c r="A69" s="48">
        <v>68</v>
      </c>
      <c r="B69" s="49" t="str">
        <f t="shared" si="1"/>
        <v>91251</v>
      </c>
      <c r="C69" s="50" t="s">
        <v>46</v>
      </c>
      <c r="D69" s="51" t="s">
        <v>518</v>
      </c>
      <c r="E69" s="51" t="s">
        <v>56</v>
      </c>
      <c r="F69" s="49" t="s">
        <v>117</v>
      </c>
      <c r="G69" s="49" t="s">
        <v>185</v>
      </c>
      <c r="H69" s="49" t="s">
        <v>48</v>
      </c>
      <c r="I69" s="49" t="s">
        <v>52</v>
      </c>
      <c r="J69" s="52">
        <v>6820000</v>
      </c>
      <c r="K69" s="53">
        <v>45127</v>
      </c>
      <c r="L69" s="53">
        <v>46222</v>
      </c>
      <c r="M69" s="53">
        <v>46100</v>
      </c>
      <c r="N69" s="49" t="s">
        <v>50</v>
      </c>
      <c r="O69" s="54" t="str">
        <f>_xlfn.LET(
 _xlpm.x,
 _xlfn.MAXIFS(
  raw_stack!G$2:G$100000,
  raw_stack!D$2:D$100000, G69,
  raw_stack!F$2:F$100000, "Iya",
  raw_stack!G$2:G$100000, "&gt;="&amp;DATE(2025,7,1),
  raw_stack!G$2:G$100000, "&lt;="&amp;EOMONTH(DATE(2025,7,1),0)
 ),
 IF(_xlpm.x=0, "-", _xlpm.x)
)</f>
        <v>-</v>
      </c>
      <c r="P69" s="65" t="str">
        <f>_xlfn.LET(
 _xlpm.x,
 _xlfn.MAXIFS(
  raw_stack!H$2:H$100000,
  raw_stack!D$2:D$100000, G69,
  raw_stack!F$2:F$100000, "Iya",
  raw_stack!G$2:G$100000, "&gt;="&amp;DATE(2025,7,1),
  raw_stack!G$2:G$100000, "&lt;="&amp;EOMONTH(DATE(2025,7,1),0)
 ),
 IF(OR(_xlpm.x=0, _xlpm.x=""), "-", _xlpm.x)
)</f>
        <v>-</v>
      </c>
      <c r="Q69" s="54">
        <f>_xlfn.LET(
 _xlpm.x,
 _xlfn.MAXIFS(
  raw_stack!G$2:G$99411,
  raw_stack!D$2:D$99411, G69,
  raw_stack!F$2:F$99411, "Iya",
  raw_stack!G$2:G$99411, "&gt;="&amp;DATE(2025,8,1),
  raw_stack!G$2:G$99411, "&lt;="&amp;EOMONTH(DATE(2025,8,1),0)
 ),
 IF(_xlpm.x=0, "-", _xlpm.x)
)</f>
        <v>45888</v>
      </c>
      <c r="R69" s="65">
        <f>_xlfn.LET(
 _xlpm.x,
 _xlfn.MAXIFS(
  raw_stack!H$2:H$100000,
  raw_stack!D$2:D$100000, G69,
  raw_stack!F$2:F$100000, "Iya",
  raw_stack!G$2:G$100000, "&gt;="&amp;DATE(2025,8,1),
  raw_stack!G$2:G$100000, "&lt;="&amp;EOMONTH(DATE(2025,8,1),0)
 ),
 IF(OR(_xlpm.x=0, _xlpm.x=""), "-", _xlpm.x)
)</f>
        <v>49717</v>
      </c>
      <c r="S69" s="54">
        <f>_xlfn.LET(
 _xlpm.x,
 _xlfn.MAXIFS(
  raw_stack!G$2:G$99411,
  raw_stack!D$2:D$99411, G69,
  raw_stack!F$2:F$99411, "Iya",
  raw_stack!G$2:G$99411, "&gt;="&amp;DATE(2025,9,1),
  raw_stack!G$2:G$99411, "&lt;="&amp;EOMONTH(DATE(2025,9,1),0)
 ),
 IF(_xlpm.x=0, "-", _xlpm.x)
)</f>
        <v>45909</v>
      </c>
      <c r="T69" s="65">
        <f>_xlfn.LET(
 _xlpm.x,
 _xlfn.MAXIFS(
  raw_stack!H$2:H$100000,
  raw_stack!D$2:D$100000, G69,
  raw_stack!F$2:F$100000, "Iya",
  raw_stack!G$2:G$100000, "&gt;="&amp;DATE(2025,9,1),
  raw_stack!G$2:G$100000, "&lt;="&amp;EOMONTH(DATE(2025,9,1),0)
 ),
 IF(OR(_xlpm.x=0, _xlpm.x=""), "-", _xlpm.x)
)</f>
        <v>55444</v>
      </c>
      <c r="U69" s="54" t="str">
        <f>_xlfn.LET(
 _xlpm.x,
 _xlfn.MAXIFS(
  raw_stack!G$2:G$99411,
  raw_stack!D$2:D$99411, G69,
  raw_stack!F$2:F$99411, "Iya",
  raw_stack!G$2:G$99411, "&gt;="&amp;DATE(2025,10,1),
  raw_stack!G$2:G$99411, "&lt;="&amp;EOMONTH(DATE(2025,10,1),0)
 ),
 IF(_xlpm.x=0, "-", _xlpm.x)
)</f>
        <v>-</v>
      </c>
      <c r="V69" s="65" t="str">
        <f>_xlfn.LET(
 _xlpm.x,
 _xlfn.MAXIFS(
  raw_stack!H$2:H$100000,
  raw_stack!D$2:D$100000, G69,
  raw_stack!F$2:F$100000, "Iya",
  raw_stack!G$2:G$100000, "&gt;="&amp;DATE(2025,10,1),
  raw_stack!G$2:G$100000, "&lt;="&amp;EOMONTH(DATE(2025,10,1),0)
 ),
 IF(OR(_xlpm.x=0, _xlpm.x=""), "-", _xlpm.x)
)</f>
        <v>-</v>
      </c>
      <c r="W69" s="55">
        <f>_xlfn.LET(
 _xlpm.x,
 _xlfn.MAXIFS(
  raw_stack!G$2:G$99411,
  raw_stack!D$2:D$99411, G69,
  raw_stack!F$2:F$99411, "Iya",
  raw_stack!G$2:G$99411, "&gt;="&amp;DATE(2025,11,1),
  raw_stack!G$2:G$99411, "&lt;="&amp;EOMONTH(DATE(2025,11,1),0)
 ),
 IF(_xlpm.x=0, "-", _xlpm.x)
)</f>
        <v>45983</v>
      </c>
      <c r="X69" s="56">
        <f>_xlfn.LET(
 _xlpm.x,
 _xlfn.MAXIFS(
  raw_stack!H$2:H$100000,
  raw_stack!D$2:D$100000, G69,
  raw_stack!F$2:F$100000, "Iya",
  raw_stack!G$2:G$100000, "&gt;="&amp;DATE(2025,11,1),
  raw_stack!G$2:G$100000, "&lt;="&amp;EOMONTH(DATE(2025,11,1),0)
 ),
 IF(OR(_xlpm.x=0, _xlpm.x=""), "-", _xlpm.x)
)</f>
        <v>62498</v>
      </c>
      <c r="Y69" s="55" t="str">
        <f>_xlfn.LET(
 _xlpm.x,
 _xlfn.MAXIFS(
  raw_stack!G$2:G$99411,
  raw_stack!D$2:D$99411, G69,
  raw_stack!F$2:F$99411, "Iya",
  raw_stack!G$2:G$99411, "&gt;="&amp;DATE(2025,12,1),
  raw_stack!G$2:G$99411, "&lt;="&amp;EOMONTH(DATE(2025,12,1),0)
 ),
 IF(_xlpm.x=0, "-", _xlpm.x)
)</f>
        <v>-</v>
      </c>
      <c r="Z69" s="56" t="str">
        <f>_xlfn.LET(
 _xlpm.x,
 _xlfn.MAXIFS(
  raw_stack!H$2:H$100000,
  raw_stack!D$2:D$100000, G69,
  raw_stack!F$2:F$100000, "Iya",
  raw_stack!G$2:G$100000, "&gt;="&amp;DATE(2025,12,1),
  raw_stack!G$2:G$100000, "&lt;="&amp;EOMONTH(DATE(2025,12,1),0)
 ),
 IF(OR(_xlpm.x=0, _xlpm.x=""), "-", _xlpm.x)
)</f>
        <v>-</v>
      </c>
      <c r="AA69" s="55" t="str">
        <f>_xlfn.LET(
 _xlpm.x,
 _xlfn.MAXIFS(
  raw_stack!G$2:G$99411,
  raw_stack!D$2:D$99411, G69,
  raw_stack!F$2:F$99411, "Iya",
  raw_stack!G$2:G$99411, "&gt;="&amp;DATE(2026,1,1),
  raw_stack!G$2:G$99411, "&lt;="&amp;EOMONTH(DATE(2026,1,1),0)
 ),
 IF(_xlpm.x=0, "-", _xlpm.x)
)</f>
        <v>-</v>
      </c>
      <c r="AB69" s="56" t="str">
        <f>_xlfn.LET(
 _xlpm.x,
 _xlfn.MAXIFS(
  raw_stack!H$2:H$100000,
  raw_stack!D$2:D$100000, G69,
  raw_stack!F$2:F$100000, "Iya",
  raw_stack!G$2:G$100000, "&gt;="&amp;DATE(2026,1,1),
  raw_stack!G$2:G$100000, "&lt;="&amp;EOMONTH(DATE(2026,1,1),0)
 ),
 IF(OR(_xlpm.x=0, _xlpm.x=""), "-", _xlpm.x)
)</f>
        <v>-</v>
      </c>
      <c r="AC69" s="55" t="str">
        <f>_xlfn.LET(
 _xlpm.x,
 _xlfn.MAXIFS(
  raw_stack!G$2:G$99411,
  raw_stack!D$2:D$99411, G69,
  raw_stack!F$2:F$99411, "Iya",
  raw_stack!G$2:G$99411, "&gt;="&amp;DATE(2026,2,1),
  raw_stack!G$2:G$99411, "&lt;="&amp;EOMONTH(DATE(2026,2,1),0)
 ),
 IF(_xlpm.x=0, "-", _xlpm.x)
)</f>
        <v>-</v>
      </c>
      <c r="AD69" s="56" t="str">
        <f>_xlfn.LET(
 _xlpm.x,
 _xlfn.MAXIFS(
  raw_stack!H$2:H$100000,
  raw_stack!D$2:D$100000, G69,
  raw_stack!F$2:F$100000, "Iya",
  raw_stack!G$2:G$100000, "&gt;="&amp;DATE(2026,2,1),
  raw_stack!G$2:G$100000, "&lt;="&amp;EOMONTH(DATE(2026,2,1),0)
 ),
 IF(OR(_xlpm.x=0, _xlpm.x=""), "-", _xlpm.x)
)</f>
        <v>-</v>
      </c>
      <c r="AE69" s="55" t="str">
        <f>_xlfn.LET(
 _xlpm.x,
 _xlfn.MAXIFS(
  raw_stack!G$2:G$100000,
  raw_stack!D$2:D$100000, G69,
  raw_stack!F$2:F$100000, "Iya",
  raw_stack!G$2:G$100000, "&gt;="&amp;DATE(2026,3,1),
  raw_stack!G$2:G$100000, "&lt;="&amp;EOMONTH(DATE(2026,3,1),0)
 ),
 IF(_xlpm.x=0, "-", _xlpm.x)
)</f>
        <v>-</v>
      </c>
      <c r="AF69" s="56" t="str">
        <f>_xlfn.LET(
 _xlpm.x,
 _xlfn.MAXIFS(
  raw_stack!H$2:H$100000,
  raw_stack!D$2:D$100000, G69,
  raw_stack!F$2:F$100000, "Iya",
  raw_stack!G$2:G$100000, "&gt;="&amp;DATE(2026,3,1),
  raw_stack!G$2:G$100000, "&lt;="&amp;EOMONTH(DATE(2026,3,1),0)
 ),
 IF(OR(_xlpm.x=0, _xlpm.x=""), "-", _xlpm.x)
)</f>
        <v>-</v>
      </c>
      <c r="AG69" s="55" t="str">
        <f>_xlfn.LET(
 _xlpm.x,
 _xlfn.MAXIFS(
  raw_stack!G$2:G$100000,
  raw_stack!D$2:D$100000, G69,
  raw_stack!F$2:F$100000, "Iya",
  raw_stack!G$2:G$100000, "&gt;="&amp;DATE(2026,4,1),
  raw_stack!G$2:G$100000, "&lt;="&amp;EOMONTH(DATE(2026,4,1),0)
 ),
 IF(_xlpm.x=0, "-", _xlpm.x)
)</f>
        <v>-</v>
      </c>
      <c r="AH69" s="56" t="str">
        <f>_xlfn.LET(
 _xlpm.x,
 _xlfn.MAXIFS(
  raw_stack!H$2:H$100000,
  raw_stack!D$2:D$100000, G69,
  raw_stack!F$2:F$100000, "Iya",
  raw_stack!G$2:G$100000, "&gt;="&amp;DATE(2026,4,1),
  raw_stack!G$2:G$100000, "&lt;="&amp;EOMONTH(DATE(2026,4,1),0)
 ),
 IF(OR(_xlpm.x=0, _xlpm.x=""), "-", _xlpm.x)
)</f>
        <v>-</v>
      </c>
    </row>
    <row r="70" spans="1:34">
      <c r="A70" s="48">
        <v>69</v>
      </c>
      <c r="B70" s="49" t="str">
        <f t="shared" si="1"/>
        <v>98608</v>
      </c>
      <c r="C70" s="50" t="s">
        <v>46</v>
      </c>
      <c r="D70" s="51" t="s">
        <v>519</v>
      </c>
      <c r="E70" s="51" t="s">
        <v>51</v>
      </c>
      <c r="F70" s="49" t="s">
        <v>117</v>
      </c>
      <c r="G70" s="49" t="s">
        <v>186</v>
      </c>
      <c r="H70" s="49" t="s">
        <v>48</v>
      </c>
      <c r="I70" s="49" t="s">
        <v>52</v>
      </c>
      <c r="J70" s="52">
        <v>4950000</v>
      </c>
      <c r="K70" s="53">
        <v>46045</v>
      </c>
      <c r="L70" s="53">
        <v>46225</v>
      </c>
      <c r="M70" s="53">
        <v>46075</v>
      </c>
      <c r="N70" s="49" t="s">
        <v>50</v>
      </c>
      <c r="O70" s="54" t="str">
        <f>_xlfn.LET(
 _xlpm.x,
 _xlfn.MAXIFS(
  raw_stack!G$2:G$100000,
  raw_stack!D$2:D$100000, G70,
  raw_stack!F$2:F$100000, "Iya",
  raw_stack!G$2:G$100000, "&gt;="&amp;DATE(2025,7,1),
  raw_stack!G$2:G$100000, "&lt;="&amp;EOMONTH(DATE(2025,7,1),0)
 ),
 IF(_xlpm.x=0, "-", _xlpm.x)
)</f>
        <v>-</v>
      </c>
      <c r="P70" s="65" t="str">
        <f>_xlfn.LET(
 _xlpm.x,
 _xlfn.MAXIFS(
  raw_stack!H$2:H$100000,
  raw_stack!D$2:D$100000, G70,
  raw_stack!F$2:F$100000, "Iya",
  raw_stack!G$2:G$100000, "&gt;="&amp;DATE(2025,7,1),
  raw_stack!G$2:G$100000, "&lt;="&amp;EOMONTH(DATE(2025,7,1),0)
 ),
 IF(OR(_xlpm.x=0, _xlpm.x=""), "-", _xlpm.x)
)</f>
        <v>-</v>
      </c>
      <c r="Q70" s="54">
        <f>_xlfn.LET(
 _xlpm.x,
 _xlfn.MAXIFS(
  raw_stack!G$2:G$99411,
  raw_stack!D$2:D$99411, G70,
  raw_stack!F$2:F$99411, "Iya",
  raw_stack!G$2:G$99411, "&gt;="&amp;DATE(2025,8,1),
  raw_stack!G$2:G$99411, "&lt;="&amp;EOMONTH(DATE(2025,8,1),0)
 ),
 IF(_xlpm.x=0, "-", _xlpm.x)
)</f>
        <v>45889</v>
      </c>
      <c r="R70" s="65">
        <f>_xlfn.LET(
 _xlpm.x,
 _xlfn.MAXIFS(
  raw_stack!H$2:H$100000,
  raw_stack!D$2:D$100000, G70,
  raw_stack!F$2:F$100000, "Iya",
  raw_stack!G$2:G$100000, "&gt;="&amp;DATE(2025,8,1),
  raw_stack!G$2:G$100000, "&lt;="&amp;EOMONTH(DATE(2025,8,1),0)
 ),
 IF(OR(_xlpm.x=0, _xlpm.x=""), "-", _xlpm.x)
)</f>
        <v>22197</v>
      </c>
      <c r="S70" s="54" t="str">
        <f>_xlfn.LET(
 _xlpm.x,
 _xlfn.MAXIFS(
  raw_stack!G$2:G$99411,
  raw_stack!D$2:D$99411, G70,
  raw_stack!F$2:F$99411, "Iya",
  raw_stack!G$2:G$99411, "&gt;="&amp;DATE(2025,9,1),
  raw_stack!G$2:G$99411, "&lt;="&amp;EOMONTH(DATE(2025,9,1),0)
 ),
 IF(_xlpm.x=0, "-", _xlpm.x)
)</f>
        <v>-</v>
      </c>
      <c r="T70" s="65" t="str">
        <f>_xlfn.LET(
 _xlpm.x,
 _xlfn.MAXIFS(
  raw_stack!H$2:H$100000,
  raw_stack!D$2:D$100000, G70,
  raw_stack!F$2:F$100000, "Iya",
  raw_stack!G$2:G$100000, "&gt;="&amp;DATE(2025,9,1),
  raw_stack!G$2:G$100000, "&lt;="&amp;EOMONTH(DATE(2025,9,1),0)
 ),
 IF(OR(_xlpm.x=0, _xlpm.x=""), "-", _xlpm.x)
)</f>
        <v>-</v>
      </c>
      <c r="U70" s="54" t="str">
        <f>_xlfn.LET(
 _xlpm.x,
 _xlfn.MAXIFS(
  raw_stack!G$2:G$99411,
  raw_stack!D$2:D$99411, G70,
  raw_stack!F$2:F$99411, "Iya",
  raw_stack!G$2:G$99411, "&gt;="&amp;DATE(2025,10,1),
  raw_stack!G$2:G$99411, "&lt;="&amp;EOMONTH(DATE(2025,10,1),0)
 ),
 IF(_xlpm.x=0, "-", _xlpm.x)
)</f>
        <v>-</v>
      </c>
      <c r="V70" s="65" t="str">
        <f>_xlfn.LET(
 _xlpm.x,
 _xlfn.MAXIFS(
  raw_stack!H$2:H$100000,
  raw_stack!D$2:D$100000, G70,
  raw_stack!F$2:F$100000, "Iya",
  raw_stack!G$2:G$100000, "&gt;="&amp;DATE(2025,10,1),
  raw_stack!G$2:G$100000, "&lt;="&amp;EOMONTH(DATE(2025,10,1),0)
 ),
 IF(OR(_xlpm.x=0, _xlpm.x=""), "-", _xlpm.x)
)</f>
        <v>-</v>
      </c>
      <c r="W70" s="55" t="str">
        <f>_xlfn.LET(
 _xlpm.x,
 _xlfn.MAXIFS(
  raw_stack!G$2:G$99411,
  raw_stack!D$2:D$99411, G70,
  raw_stack!F$2:F$99411, "Iya",
  raw_stack!G$2:G$99411, "&gt;="&amp;DATE(2025,11,1),
  raw_stack!G$2:G$99411, "&lt;="&amp;EOMONTH(DATE(2025,11,1),0)
 ),
 IF(_xlpm.x=0, "-", _xlpm.x)
)</f>
        <v>-</v>
      </c>
      <c r="X70" s="56" t="str">
        <f>_xlfn.LET(
 _xlpm.x,
 _xlfn.MAXIFS(
  raw_stack!H$2:H$100000,
  raw_stack!D$2:D$100000, G70,
  raw_stack!F$2:F$100000, "Iya",
  raw_stack!G$2:G$100000, "&gt;="&amp;DATE(2025,11,1),
  raw_stack!G$2:G$100000, "&lt;="&amp;EOMONTH(DATE(2025,11,1),0)
 ),
 IF(OR(_xlpm.x=0, _xlpm.x=""), "-", _xlpm.x)
)</f>
        <v>-</v>
      </c>
      <c r="Y70" s="55" t="str">
        <f>_xlfn.LET(
 _xlpm.x,
 _xlfn.MAXIFS(
  raw_stack!G$2:G$99411,
  raw_stack!D$2:D$99411, G70,
  raw_stack!F$2:F$99411, "Iya",
  raw_stack!G$2:G$99411, "&gt;="&amp;DATE(2025,12,1),
  raw_stack!G$2:G$99411, "&lt;="&amp;EOMONTH(DATE(2025,12,1),0)
 ),
 IF(_xlpm.x=0, "-", _xlpm.x)
)</f>
        <v>-</v>
      </c>
      <c r="Z70" s="56" t="str">
        <f>_xlfn.LET(
 _xlpm.x,
 _xlfn.MAXIFS(
  raw_stack!H$2:H$100000,
  raw_stack!D$2:D$100000, G70,
  raw_stack!F$2:F$100000, "Iya",
  raw_stack!G$2:G$100000, "&gt;="&amp;DATE(2025,12,1),
  raw_stack!G$2:G$100000, "&lt;="&amp;EOMONTH(DATE(2025,12,1),0)
 ),
 IF(OR(_xlpm.x=0, _xlpm.x=""), "-", _xlpm.x)
)</f>
        <v>-</v>
      </c>
      <c r="AA70" s="55" t="str">
        <f>_xlfn.LET(
 _xlpm.x,
 _xlfn.MAXIFS(
  raw_stack!G$2:G$99411,
  raw_stack!D$2:D$99411, G70,
  raw_stack!F$2:F$99411, "Iya",
  raw_stack!G$2:G$99411, "&gt;="&amp;DATE(2026,1,1),
  raw_stack!G$2:G$99411, "&lt;="&amp;EOMONTH(DATE(2026,1,1),0)
 ),
 IF(_xlpm.x=0, "-", _xlpm.x)
)</f>
        <v>-</v>
      </c>
      <c r="AB70" s="56" t="str">
        <f>_xlfn.LET(
 _xlpm.x,
 _xlfn.MAXIFS(
  raw_stack!H$2:H$100000,
  raw_stack!D$2:D$100000, G70,
  raw_stack!F$2:F$100000, "Iya",
  raw_stack!G$2:G$100000, "&gt;="&amp;DATE(2026,1,1),
  raw_stack!G$2:G$100000, "&lt;="&amp;EOMONTH(DATE(2026,1,1),0)
 ),
 IF(OR(_xlpm.x=0, _xlpm.x=""), "-", _xlpm.x)
)</f>
        <v>-</v>
      </c>
      <c r="AC70" s="55" t="str">
        <f>_xlfn.LET(
 _xlpm.x,
 _xlfn.MAXIFS(
  raw_stack!G$2:G$99411,
  raw_stack!D$2:D$99411, G70,
  raw_stack!F$2:F$99411, "Iya",
  raw_stack!G$2:G$99411, "&gt;="&amp;DATE(2026,2,1),
  raw_stack!G$2:G$99411, "&lt;="&amp;EOMONTH(DATE(2026,2,1),0)
 ),
 IF(_xlpm.x=0, "-", _xlpm.x)
)</f>
        <v>-</v>
      </c>
      <c r="AD70" s="56" t="str">
        <f>_xlfn.LET(
 _xlpm.x,
 _xlfn.MAXIFS(
  raw_stack!H$2:H$100000,
  raw_stack!D$2:D$100000, G70,
  raw_stack!F$2:F$100000, "Iya",
  raw_stack!G$2:G$100000, "&gt;="&amp;DATE(2026,2,1),
  raw_stack!G$2:G$100000, "&lt;="&amp;EOMONTH(DATE(2026,2,1),0)
 ),
 IF(OR(_xlpm.x=0, _xlpm.x=""), "-", _xlpm.x)
)</f>
        <v>-</v>
      </c>
      <c r="AE70" s="55" t="str">
        <f>_xlfn.LET(
 _xlpm.x,
 _xlfn.MAXIFS(
  raw_stack!G$2:G$100000,
  raw_stack!D$2:D$100000, G70,
  raw_stack!F$2:F$100000, "Iya",
  raw_stack!G$2:G$100000, "&gt;="&amp;DATE(2026,3,1),
  raw_stack!G$2:G$100000, "&lt;="&amp;EOMONTH(DATE(2026,3,1),0)
 ),
 IF(_xlpm.x=0, "-", _xlpm.x)
)</f>
        <v>-</v>
      </c>
      <c r="AF70" s="56" t="str">
        <f>_xlfn.LET(
 _xlpm.x,
 _xlfn.MAXIFS(
  raw_stack!H$2:H$100000,
  raw_stack!D$2:D$100000, G70,
  raw_stack!F$2:F$100000, "Iya",
  raw_stack!G$2:G$100000, "&gt;="&amp;DATE(2026,3,1),
  raw_stack!G$2:G$100000, "&lt;="&amp;EOMONTH(DATE(2026,3,1),0)
 ),
 IF(OR(_xlpm.x=0, _xlpm.x=""), "-", _xlpm.x)
)</f>
        <v>-</v>
      </c>
      <c r="AG70" s="55" t="str">
        <f>_xlfn.LET(
 _xlpm.x,
 _xlfn.MAXIFS(
  raw_stack!G$2:G$100000,
  raw_stack!D$2:D$100000, G70,
  raw_stack!F$2:F$100000, "Iya",
  raw_stack!G$2:G$100000, "&gt;="&amp;DATE(2026,4,1),
  raw_stack!G$2:G$100000, "&lt;="&amp;EOMONTH(DATE(2026,4,1),0)
 ),
 IF(_xlpm.x=0, "-", _xlpm.x)
)</f>
        <v>-</v>
      </c>
      <c r="AH70" s="56" t="str">
        <f>_xlfn.LET(
 _xlpm.x,
 _xlfn.MAXIFS(
  raw_stack!H$2:H$100000,
  raw_stack!D$2:D$100000, G70,
  raw_stack!F$2:F$100000, "Iya",
  raw_stack!G$2:G$100000, "&gt;="&amp;DATE(2026,4,1),
  raw_stack!G$2:G$100000, "&lt;="&amp;EOMONTH(DATE(2026,4,1),0)
 ),
 IF(OR(_xlpm.x=0, _xlpm.x=""), "-", _xlpm.x)
)</f>
        <v>-</v>
      </c>
    </row>
    <row r="71" spans="1:34">
      <c r="A71" s="48">
        <v>70</v>
      </c>
      <c r="B71" s="49" t="str">
        <f t="shared" si="1"/>
        <v>69055</v>
      </c>
      <c r="C71" s="50" t="s">
        <v>46</v>
      </c>
      <c r="D71" s="51" t="s">
        <v>520</v>
      </c>
      <c r="E71" s="51" t="s">
        <v>53</v>
      </c>
      <c r="F71" s="49" t="s">
        <v>117</v>
      </c>
      <c r="G71" s="49" t="s">
        <v>187</v>
      </c>
      <c r="H71" s="49" t="s">
        <v>48</v>
      </c>
      <c r="I71" s="49" t="s">
        <v>52</v>
      </c>
      <c r="J71" s="52">
        <v>3850000</v>
      </c>
      <c r="K71" s="53">
        <v>45133</v>
      </c>
      <c r="L71" s="53">
        <v>46228</v>
      </c>
      <c r="M71" s="53">
        <v>46078</v>
      </c>
      <c r="N71" s="49" t="s">
        <v>50</v>
      </c>
      <c r="O71" s="54" t="str">
        <f>_xlfn.LET(
 _xlpm.x,
 _xlfn.MAXIFS(
  raw_stack!G$2:G$100000,
  raw_stack!D$2:D$100000, G71,
  raw_stack!F$2:F$100000, "Iya",
  raw_stack!G$2:G$100000, "&gt;="&amp;DATE(2025,7,1),
  raw_stack!G$2:G$100000, "&lt;="&amp;EOMONTH(DATE(2025,7,1),0)
 ),
 IF(_xlpm.x=0, "-", _xlpm.x)
)</f>
        <v>-</v>
      </c>
      <c r="P71" s="65" t="str">
        <f>_xlfn.LET(
 _xlpm.x,
 _xlfn.MAXIFS(
  raw_stack!H$2:H$100000,
  raw_stack!D$2:D$100000, G71,
  raw_stack!F$2:F$100000, "Iya",
  raw_stack!G$2:G$100000, "&gt;="&amp;DATE(2025,7,1),
  raw_stack!G$2:G$100000, "&lt;="&amp;EOMONTH(DATE(2025,7,1),0)
 ),
 IF(OR(_xlpm.x=0, _xlpm.x=""), "-", _xlpm.x)
)</f>
        <v>-</v>
      </c>
      <c r="Q71" s="54" t="str">
        <f>_xlfn.LET(
 _xlpm.x,
 _xlfn.MAXIFS(
  raw_stack!G$2:G$99411,
  raw_stack!D$2:D$99411, G71,
  raw_stack!F$2:F$99411, "Iya",
  raw_stack!G$2:G$99411, "&gt;="&amp;DATE(2025,8,1),
  raw_stack!G$2:G$99411, "&lt;="&amp;EOMONTH(DATE(2025,8,1),0)
 ),
 IF(_xlpm.x=0, "-", _xlpm.x)
)</f>
        <v>-</v>
      </c>
      <c r="R71" s="65" t="str">
        <f>_xlfn.LET(
 _xlpm.x,
 _xlfn.MAXIFS(
  raw_stack!H$2:H$100000,
  raw_stack!D$2:D$100000, G71,
  raw_stack!F$2:F$100000, "Iya",
  raw_stack!G$2:G$100000, "&gt;="&amp;DATE(2025,8,1),
  raw_stack!G$2:G$100000, "&lt;="&amp;EOMONTH(DATE(2025,8,1),0)
 ),
 IF(OR(_xlpm.x=0, _xlpm.x=""), "-", _xlpm.x)
)</f>
        <v>-</v>
      </c>
      <c r="S71" s="54" t="str">
        <f>_xlfn.LET(
 _xlpm.x,
 _xlfn.MAXIFS(
  raw_stack!G$2:G$99411,
  raw_stack!D$2:D$99411, G71,
  raw_stack!F$2:F$99411, "Iya",
  raw_stack!G$2:G$99411, "&gt;="&amp;DATE(2025,9,1),
  raw_stack!G$2:G$99411, "&lt;="&amp;EOMONTH(DATE(2025,9,1),0)
 ),
 IF(_xlpm.x=0, "-", _xlpm.x)
)</f>
        <v>-</v>
      </c>
      <c r="T71" s="65" t="str">
        <f>_xlfn.LET(
 _xlpm.x,
 _xlfn.MAXIFS(
  raw_stack!H$2:H$100000,
  raw_stack!D$2:D$100000, G71,
  raw_stack!F$2:F$100000, "Iya",
  raw_stack!G$2:G$100000, "&gt;="&amp;DATE(2025,9,1),
  raw_stack!G$2:G$100000, "&lt;="&amp;EOMONTH(DATE(2025,9,1),0)
 ),
 IF(OR(_xlpm.x=0, _xlpm.x=""), "-", _xlpm.x)
)</f>
        <v>-</v>
      </c>
      <c r="U71" s="54" t="str">
        <f>_xlfn.LET(
 _xlpm.x,
 _xlfn.MAXIFS(
  raw_stack!G$2:G$99411,
  raw_stack!D$2:D$99411, G71,
  raw_stack!F$2:F$99411, "Iya",
  raw_stack!G$2:G$99411, "&gt;="&amp;DATE(2025,10,1),
  raw_stack!G$2:G$99411, "&lt;="&amp;EOMONTH(DATE(2025,10,1),0)
 ),
 IF(_xlpm.x=0, "-", _xlpm.x)
)</f>
        <v>-</v>
      </c>
      <c r="V71" s="65" t="str">
        <f>_xlfn.LET(
 _xlpm.x,
 _xlfn.MAXIFS(
  raw_stack!H$2:H$100000,
  raw_stack!D$2:D$100000, G71,
  raw_stack!F$2:F$100000, "Iya",
  raw_stack!G$2:G$100000, "&gt;="&amp;DATE(2025,10,1),
  raw_stack!G$2:G$100000, "&lt;="&amp;EOMONTH(DATE(2025,10,1),0)
 ),
 IF(OR(_xlpm.x=0, _xlpm.x=""), "-", _xlpm.x)
)</f>
        <v>-</v>
      </c>
      <c r="W71" s="55" t="str">
        <f>_xlfn.LET(
 _xlpm.x,
 _xlfn.MAXIFS(
  raw_stack!G$2:G$99411,
  raw_stack!D$2:D$99411, G71,
  raw_stack!F$2:F$99411, "Iya",
  raw_stack!G$2:G$99411, "&gt;="&amp;DATE(2025,11,1),
  raw_stack!G$2:G$99411, "&lt;="&amp;EOMONTH(DATE(2025,11,1),0)
 ),
 IF(_xlpm.x=0, "-", _xlpm.x)
)</f>
        <v>-</v>
      </c>
      <c r="X71" s="56" t="str">
        <f>_xlfn.LET(
 _xlpm.x,
 _xlfn.MAXIFS(
  raw_stack!H$2:H$100000,
  raw_stack!D$2:D$100000, G71,
  raw_stack!F$2:F$100000, "Iya",
  raw_stack!G$2:G$100000, "&gt;="&amp;DATE(2025,11,1),
  raw_stack!G$2:G$100000, "&lt;="&amp;EOMONTH(DATE(2025,11,1),0)
 ),
 IF(OR(_xlpm.x=0, _xlpm.x=""), "-", _xlpm.x)
)</f>
        <v>-</v>
      </c>
      <c r="Y71" s="55" t="str">
        <f>_xlfn.LET(
 _xlpm.x,
 _xlfn.MAXIFS(
  raw_stack!G$2:G$99411,
  raw_stack!D$2:D$99411, G71,
  raw_stack!F$2:F$99411, "Iya",
  raw_stack!G$2:G$99411, "&gt;="&amp;DATE(2025,12,1),
  raw_stack!G$2:G$99411, "&lt;="&amp;EOMONTH(DATE(2025,12,1),0)
 ),
 IF(_xlpm.x=0, "-", _xlpm.x)
)</f>
        <v>-</v>
      </c>
      <c r="Z71" s="56" t="str">
        <f>_xlfn.LET(
 _xlpm.x,
 _xlfn.MAXIFS(
  raw_stack!H$2:H$100000,
  raw_stack!D$2:D$100000, G71,
  raw_stack!F$2:F$100000, "Iya",
  raw_stack!G$2:G$100000, "&gt;="&amp;DATE(2025,12,1),
  raw_stack!G$2:G$100000, "&lt;="&amp;EOMONTH(DATE(2025,12,1),0)
 ),
 IF(OR(_xlpm.x=0, _xlpm.x=""), "-", _xlpm.x)
)</f>
        <v>-</v>
      </c>
      <c r="AA71" s="55" t="str">
        <f>_xlfn.LET(
 _xlpm.x,
 _xlfn.MAXIFS(
  raw_stack!G$2:G$99411,
  raw_stack!D$2:D$99411, G71,
  raw_stack!F$2:F$99411, "Iya",
  raw_stack!G$2:G$99411, "&gt;="&amp;DATE(2026,1,1),
  raw_stack!G$2:G$99411, "&lt;="&amp;EOMONTH(DATE(2026,1,1),0)
 ),
 IF(_xlpm.x=0, "-", _xlpm.x)
)</f>
        <v>-</v>
      </c>
      <c r="AB71" s="56" t="str">
        <f>_xlfn.LET(
 _xlpm.x,
 _xlfn.MAXIFS(
  raw_stack!H$2:H$100000,
  raw_stack!D$2:D$100000, G71,
  raw_stack!F$2:F$100000, "Iya",
  raw_stack!G$2:G$100000, "&gt;="&amp;DATE(2026,1,1),
  raw_stack!G$2:G$100000, "&lt;="&amp;EOMONTH(DATE(2026,1,1),0)
 ),
 IF(OR(_xlpm.x=0, _xlpm.x=""), "-", _xlpm.x)
)</f>
        <v>-</v>
      </c>
      <c r="AC71" s="55" t="str">
        <f>_xlfn.LET(
 _xlpm.x,
 _xlfn.MAXIFS(
  raw_stack!G$2:G$99411,
  raw_stack!D$2:D$99411, G71,
  raw_stack!F$2:F$99411, "Iya",
  raw_stack!G$2:G$99411, "&gt;="&amp;DATE(2026,2,1),
  raw_stack!G$2:G$99411, "&lt;="&amp;EOMONTH(DATE(2026,2,1),0)
 ),
 IF(_xlpm.x=0, "-", _xlpm.x)
)</f>
        <v>-</v>
      </c>
      <c r="AD71" s="56" t="str">
        <f>_xlfn.LET(
 _xlpm.x,
 _xlfn.MAXIFS(
  raw_stack!H$2:H$100000,
  raw_stack!D$2:D$100000, G71,
  raw_stack!F$2:F$100000, "Iya",
  raw_stack!G$2:G$100000, "&gt;="&amp;DATE(2026,2,1),
  raw_stack!G$2:G$100000, "&lt;="&amp;EOMONTH(DATE(2026,2,1),0)
 ),
 IF(OR(_xlpm.x=0, _xlpm.x=""), "-", _xlpm.x)
)</f>
        <v>-</v>
      </c>
      <c r="AE71" s="55" t="str">
        <f>_xlfn.LET(
 _xlpm.x,
 _xlfn.MAXIFS(
  raw_stack!G$2:G$100000,
  raw_stack!D$2:D$100000, G71,
  raw_stack!F$2:F$100000, "Iya",
  raw_stack!G$2:G$100000, "&gt;="&amp;DATE(2026,3,1),
  raw_stack!G$2:G$100000, "&lt;="&amp;EOMONTH(DATE(2026,3,1),0)
 ),
 IF(_xlpm.x=0, "-", _xlpm.x)
)</f>
        <v>-</v>
      </c>
      <c r="AF71" s="56" t="str">
        <f>_xlfn.LET(
 _xlpm.x,
 _xlfn.MAXIFS(
  raw_stack!H$2:H$100000,
  raw_stack!D$2:D$100000, G71,
  raw_stack!F$2:F$100000, "Iya",
  raw_stack!G$2:G$100000, "&gt;="&amp;DATE(2026,3,1),
  raw_stack!G$2:G$100000, "&lt;="&amp;EOMONTH(DATE(2026,3,1),0)
 ),
 IF(OR(_xlpm.x=0, _xlpm.x=""), "-", _xlpm.x)
)</f>
        <v>-</v>
      </c>
      <c r="AG71" s="55" t="str">
        <f>_xlfn.LET(
 _xlpm.x,
 _xlfn.MAXIFS(
  raw_stack!G$2:G$100000,
  raw_stack!D$2:D$100000, G71,
  raw_stack!F$2:F$100000, "Iya",
  raw_stack!G$2:G$100000, "&gt;="&amp;DATE(2026,4,1),
  raw_stack!G$2:G$100000, "&lt;="&amp;EOMONTH(DATE(2026,4,1),0)
 ),
 IF(_xlpm.x=0, "-", _xlpm.x)
)</f>
        <v>-</v>
      </c>
      <c r="AH71" s="56" t="str">
        <f>_xlfn.LET(
 _xlpm.x,
 _xlfn.MAXIFS(
  raw_stack!H$2:H$100000,
  raw_stack!D$2:D$100000, G71,
  raw_stack!F$2:F$100000, "Iya",
  raw_stack!G$2:G$100000, "&gt;="&amp;DATE(2026,4,1),
  raw_stack!G$2:G$100000, "&lt;="&amp;EOMONTH(DATE(2026,4,1),0)
 ),
 IF(OR(_xlpm.x=0, _xlpm.x=""), "-", _xlpm.x)
)</f>
        <v>-</v>
      </c>
    </row>
    <row r="72" spans="1:34">
      <c r="A72" s="48">
        <v>71</v>
      </c>
      <c r="B72" s="49" t="str">
        <f t="shared" si="1"/>
        <v>11165</v>
      </c>
      <c r="C72" s="50" t="s">
        <v>46</v>
      </c>
      <c r="D72" s="51" t="s">
        <v>521</v>
      </c>
      <c r="E72" s="51" t="s">
        <v>51</v>
      </c>
      <c r="F72" s="49" t="s">
        <v>117</v>
      </c>
      <c r="G72" s="49" t="s">
        <v>188</v>
      </c>
      <c r="H72" s="49" t="s">
        <v>48</v>
      </c>
      <c r="I72" s="49" t="s">
        <v>52</v>
      </c>
      <c r="J72" s="52">
        <v>4100000</v>
      </c>
      <c r="K72" s="53">
        <v>45134</v>
      </c>
      <c r="L72" s="53">
        <v>46229</v>
      </c>
      <c r="M72" s="53">
        <v>46107</v>
      </c>
      <c r="N72" s="49" t="s">
        <v>50</v>
      </c>
      <c r="O72" s="54" t="str">
        <f>_xlfn.LET(
 _xlpm.x,
 _xlfn.MAXIFS(
  raw_stack!G$2:G$100000,
  raw_stack!D$2:D$100000, G72,
  raw_stack!F$2:F$100000, "Iya",
  raw_stack!G$2:G$100000, "&gt;="&amp;DATE(2025,7,1),
  raw_stack!G$2:G$100000, "&lt;="&amp;EOMONTH(DATE(2025,7,1),0)
 ),
 IF(_xlpm.x=0, "-", _xlpm.x)
)</f>
        <v>-</v>
      </c>
      <c r="P72" s="65" t="str">
        <f>_xlfn.LET(
 _xlpm.x,
 _xlfn.MAXIFS(
  raw_stack!H$2:H$100000,
  raw_stack!D$2:D$100000, G72,
  raw_stack!F$2:F$100000, "Iya",
  raw_stack!G$2:G$100000, "&gt;="&amp;DATE(2025,7,1),
  raw_stack!G$2:G$100000, "&lt;="&amp;EOMONTH(DATE(2025,7,1),0)
 ),
 IF(OR(_xlpm.x=0, _xlpm.x=""), "-", _xlpm.x)
)</f>
        <v>-</v>
      </c>
      <c r="Q72" s="54" t="str">
        <f>_xlfn.LET(
 _xlpm.x,
 _xlfn.MAXIFS(
  raw_stack!G$2:G$99411,
  raw_stack!D$2:D$99411, G72,
  raw_stack!F$2:F$99411, "Iya",
  raw_stack!G$2:G$99411, "&gt;="&amp;DATE(2025,8,1),
  raw_stack!G$2:G$99411, "&lt;="&amp;EOMONTH(DATE(2025,8,1),0)
 ),
 IF(_xlpm.x=0, "-", _xlpm.x)
)</f>
        <v>-</v>
      </c>
      <c r="R72" s="65" t="str">
        <f>_xlfn.LET(
 _xlpm.x,
 _xlfn.MAXIFS(
  raw_stack!H$2:H$100000,
  raw_stack!D$2:D$100000, G72,
  raw_stack!F$2:F$100000, "Iya",
  raw_stack!G$2:G$100000, "&gt;="&amp;DATE(2025,8,1),
  raw_stack!G$2:G$100000, "&lt;="&amp;EOMONTH(DATE(2025,8,1),0)
 ),
 IF(OR(_xlpm.x=0, _xlpm.x=""), "-", _xlpm.x)
)</f>
        <v>-</v>
      </c>
      <c r="S72" s="54" t="str">
        <f>_xlfn.LET(
 _xlpm.x,
 _xlfn.MAXIFS(
  raw_stack!G$2:G$99411,
  raw_stack!D$2:D$99411, G72,
  raw_stack!F$2:F$99411, "Iya",
  raw_stack!G$2:G$99411, "&gt;="&amp;DATE(2025,9,1),
  raw_stack!G$2:G$99411, "&lt;="&amp;EOMONTH(DATE(2025,9,1),0)
 ),
 IF(_xlpm.x=0, "-", _xlpm.x)
)</f>
        <v>-</v>
      </c>
      <c r="T72" s="65" t="str">
        <f>_xlfn.LET(
 _xlpm.x,
 _xlfn.MAXIFS(
  raw_stack!H$2:H$100000,
  raw_stack!D$2:D$100000, G72,
  raw_stack!F$2:F$100000, "Iya",
  raw_stack!G$2:G$100000, "&gt;="&amp;DATE(2025,9,1),
  raw_stack!G$2:G$100000, "&lt;="&amp;EOMONTH(DATE(2025,9,1),0)
 ),
 IF(OR(_xlpm.x=0, _xlpm.x=""), "-", _xlpm.x)
)</f>
        <v>-</v>
      </c>
      <c r="U72" s="54">
        <f>_xlfn.LET(
 _xlpm.x,
 _xlfn.MAXIFS(
  raw_stack!G$2:G$99411,
  raw_stack!D$2:D$99411, G72,
  raw_stack!F$2:F$99411, "Iya",
  raw_stack!G$2:G$99411, "&gt;="&amp;DATE(2025,10,1),
  raw_stack!G$2:G$99411, "&lt;="&amp;EOMONTH(DATE(2025,10,1),0)
 ),
 IF(_xlpm.x=0, "-", _xlpm.x)
)</f>
        <v>45934</v>
      </c>
      <c r="V72" s="65">
        <f>_xlfn.LET(
 _xlpm.x,
 _xlfn.MAXIFS(
  raw_stack!H$2:H$100000,
  raw_stack!D$2:D$100000, G72,
  raw_stack!F$2:F$100000, "Iya",
  raw_stack!G$2:G$100000, "&gt;="&amp;DATE(2025,10,1),
  raw_stack!G$2:G$100000, "&lt;="&amp;EOMONTH(DATE(2025,10,1),0)
 ),
 IF(OR(_xlpm.x=0, _xlpm.x=""), "-", _xlpm.x)
)</f>
        <v>60356</v>
      </c>
      <c r="W72" s="55" t="str">
        <f>_xlfn.LET(
 _xlpm.x,
 _xlfn.MAXIFS(
  raw_stack!G$2:G$99411,
  raw_stack!D$2:D$99411, G72,
  raw_stack!F$2:F$99411, "Iya",
  raw_stack!G$2:G$99411, "&gt;="&amp;DATE(2025,11,1),
  raw_stack!G$2:G$99411, "&lt;="&amp;EOMONTH(DATE(2025,11,1),0)
 ),
 IF(_xlpm.x=0, "-", _xlpm.x)
)</f>
        <v>-</v>
      </c>
      <c r="X72" s="56" t="str">
        <f>_xlfn.LET(
 _xlpm.x,
 _xlfn.MAXIFS(
  raw_stack!H$2:H$100000,
  raw_stack!D$2:D$100000, G72,
  raw_stack!F$2:F$100000, "Iya",
  raw_stack!G$2:G$100000, "&gt;="&amp;DATE(2025,11,1),
  raw_stack!G$2:G$100000, "&lt;="&amp;EOMONTH(DATE(2025,11,1),0)
 ),
 IF(OR(_xlpm.x=0, _xlpm.x=""), "-", _xlpm.x)
)</f>
        <v>-</v>
      </c>
      <c r="Y72" s="55" t="str">
        <f>_xlfn.LET(
 _xlpm.x,
 _xlfn.MAXIFS(
  raw_stack!G$2:G$99411,
  raw_stack!D$2:D$99411, G72,
  raw_stack!F$2:F$99411, "Iya",
  raw_stack!G$2:G$99411, "&gt;="&amp;DATE(2025,12,1),
  raw_stack!G$2:G$99411, "&lt;="&amp;EOMONTH(DATE(2025,12,1),0)
 ),
 IF(_xlpm.x=0, "-", _xlpm.x)
)</f>
        <v>-</v>
      </c>
      <c r="Z72" s="56" t="str">
        <f>_xlfn.LET(
 _xlpm.x,
 _xlfn.MAXIFS(
  raw_stack!H$2:H$100000,
  raw_stack!D$2:D$100000, G72,
  raw_stack!F$2:F$100000, "Iya",
  raw_stack!G$2:G$100000, "&gt;="&amp;DATE(2025,12,1),
  raw_stack!G$2:G$100000, "&lt;="&amp;EOMONTH(DATE(2025,12,1),0)
 ),
 IF(OR(_xlpm.x=0, _xlpm.x=""), "-", _xlpm.x)
)</f>
        <v>-</v>
      </c>
      <c r="AA72" s="55" t="str">
        <f>_xlfn.LET(
 _xlpm.x,
 _xlfn.MAXIFS(
  raw_stack!G$2:G$99411,
  raw_stack!D$2:D$99411, G72,
  raw_stack!F$2:F$99411, "Iya",
  raw_stack!G$2:G$99411, "&gt;="&amp;DATE(2026,1,1),
  raw_stack!G$2:G$99411, "&lt;="&amp;EOMONTH(DATE(2026,1,1),0)
 ),
 IF(_xlpm.x=0, "-", _xlpm.x)
)</f>
        <v>-</v>
      </c>
      <c r="AB72" s="56" t="str">
        <f>_xlfn.LET(
 _xlpm.x,
 _xlfn.MAXIFS(
  raw_stack!H$2:H$100000,
  raw_stack!D$2:D$100000, G72,
  raw_stack!F$2:F$100000, "Iya",
  raw_stack!G$2:G$100000, "&gt;="&amp;DATE(2026,1,1),
  raw_stack!G$2:G$100000, "&lt;="&amp;EOMONTH(DATE(2026,1,1),0)
 ),
 IF(OR(_xlpm.x=0, _xlpm.x=""), "-", _xlpm.x)
)</f>
        <v>-</v>
      </c>
      <c r="AC72" s="55" t="str">
        <f>_xlfn.LET(
 _xlpm.x,
 _xlfn.MAXIFS(
  raw_stack!G$2:G$99411,
  raw_stack!D$2:D$99411, G72,
  raw_stack!F$2:F$99411, "Iya",
  raw_stack!G$2:G$99411, "&gt;="&amp;DATE(2026,2,1),
  raw_stack!G$2:G$99411, "&lt;="&amp;EOMONTH(DATE(2026,2,1),0)
 ),
 IF(_xlpm.x=0, "-", _xlpm.x)
)</f>
        <v>-</v>
      </c>
      <c r="AD72" s="56" t="str">
        <f>_xlfn.LET(
 _xlpm.x,
 _xlfn.MAXIFS(
  raw_stack!H$2:H$100000,
  raw_stack!D$2:D$100000, G72,
  raw_stack!F$2:F$100000, "Iya",
  raw_stack!G$2:G$100000, "&gt;="&amp;DATE(2026,2,1),
  raw_stack!G$2:G$100000, "&lt;="&amp;EOMONTH(DATE(2026,2,1),0)
 ),
 IF(OR(_xlpm.x=0, _xlpm.x=""), "-", _xlpm.x)
)</f>
        <v>-</v>
      </c>
      <c r="AE72" s="55" t="str">
        <f>_xlfn.LET(
 _xlpm.x,
 _xlfn.MAXIFS(
  raw_stack!G$2:G$100000,
  raw_stack!D$2:D$100000, G72,
  raw_stack!F$2:F$100000, "Iya",
  raw_stack!G$2:G$100000, "&gt;="&amp;DATE(2026,3,1),
  raw_stack!G$2:G$100000, "&lt;="&amp;EOMONTH(DATE(2026,3,1),0)
 ),
 IF(_xlpm.x=0, "-", _xlpm.x)
)</f>
        <v>-</v>
      </c>
      <c r="AF72" s="56" t="str">
        <f>_xlfn.LET(
 _xlpm.x,
 _xlfn.MAXIFS(
  raw_stack!H$2:H$100000,
  raw_stack!D$2:D$100000, G72,
  raw_stack!F$2:F$100000, "Iya",
  raw_stack!G$2:G$100000, "&gt;="&amp;DATE(2026,3,1),
  raw_stack!G$2:G$100000, "&lt;="&amp;EOMONTH(DATE(2026,3,1),0)
 ),
 IF(OR(_xlpm.x=0, _xlpm.x=""), "-", _xlpm.x)
)</f>
        <v>-</v>
      </c>
      <c r="AG72" s="55" t="str">
        <f>_xlfn.LET(
 _xlpm.x,
 _xlfn.MAXIFS(
  raw_stack!G$2:G$100000,
  raw_stack!D$2:D$100000, G72,
  raw_stack!F$2:F$100000, "Iya",
  raw_stack!G$2:G$100000, "&gt;="&amp;DATE(2026,4,1),
  raw_stack!G$2:G$100000, "&lt;="&amp;EOMONTH(DATE(2026,4,1),0)
 ),
 IF(_xlpm.x=0, "-", _xlpm.x)
)</f>
        <v>-</v>
      </c>
      <c r="AH72" s="56" t="str">
        <f>_xlfn.LET(
 _xlpm.x,
 _xlfn.MAXIFS(
  raw_stack!H$2:H$100000,
  raw_stack!D$2:D$100000, G72,
  raw_stack!F$2:F$100000, "Iya",
  raw_stack!G$2:G$100000, "&gt;="&amp;DATE(2026,4,1),
  raw_stack!G$2:G$100000, "&lt;="&amp;EOMONTH(DATE(2026,4,1),0)
 ),
 IF(OR(_xlpm.x=0, _xlpm.x=""), "-", _xlpm.x)
)</f>
        <v>-</v>
      </c>
    </row>
    <row r="73" spans="1:34">
      <c r="A73" s="48">
        <v>72</v>
      </c>
      <c r="B73" s="49" t="str">
        <f t="shared" si="1"/>
        <v>60455</v>
      </c>
      <c r="C73" s="50" t="s">
        <v>46</v>
      </c>
      <c r="D73" s="51" t="s">
        <v>522</v>
      </c>
      <c r="E73" s="51" t="s">
        <v>56</v>
      </c>
      <c r="F73" s="49" t="s">
        <v>117</v>
      </c>
      <c r="G73" s="49" t="s">
        <v>189</v>
      </c>
      <c r="H73" s="49" t="s">
        <v>48</v>
      </c>
      <c r="I73" s="49" t="s">
        <v>52</v>
      </c>
      <c r="J73" s="52">
        <v>5950000</v>
      </c>
      <c r="K73" s="53">
        <v>46062</v>
      </c>
      <c r="L73" s="53">
        <v>46242</v>
      </c>
      <c r="M73" s="53"/>
      <c r="N73" s="49" t="s">
        <v>50</v>
      </c>
      <c r="O73" s="54">
        <f>_xlfn.LET(
 _xlpm.x,
 _xlfn.MAXIFS(
  raw_stack!G$2:G$100000,
  raw_stack!D$2:D$100000, G73,
  raw_stack!F$2:F$100000, "Iya",
  raw_stack!G$2:G$100000, "&gt;="&amp;DATE(2025,7,1),
  raw_stack!G$2:G$100000, "&lt;="&amp;EOMONTH(DATE(2025,7,1),0)
 ),
 IF(_xlpm.x=0, "-", _xlpm.x)
)</f>
        <v>45847</v>
      </c>
      <c r="P73" s="65">
        <f>_xlfn.LET(
 _xlpm.x,
 _xlfn.MAXIFS(
  raw_stack!H$2:H$100000,
  raw_stack!D$2:D$100000, G73,
  raw_stack!F$2:F$100000, "Iya",
  raw_stack!G$2:G$100000, "&gt;="&amp;DATE(2025,7,1),
  raw_stack!G$2:G$100000, "&lt;="&amp;EOMONTH(DATE(2025,7,1),0)
 ),
 IF(OR(_xlpm.x=0, _xlpm.x=""), "-", _xlpm.x)
)</f>
        <v>26758</v>
      </c>
      <c r="Q73" s="54" t="str">
        <f>_xlfn.LET(
 _xlpm.x,
 _xlfn.MAXIFS(
  raw_stack!G$2:G$99411,
  raw_stack!D$2:D$99411, G73,
  raw_stack!F$2:F$99411, "Iya",
  raw_stack!G$2:G$99411, "&gt;="&amp;DATE(2025,8,1),
  raw_stack!G$2:G$99411, "&lt;="&amp;EOMONTH(DATE(2025,8,1),0)
 ),
 IF(_xlpm.x=0, "-", _xlpm.x)
)</f>
        <v>-</v>
      </c>
      <c r="R73" s="65" t="str">
        <f>_xlfn.LET(
 _xlpm.x,
 _xlfn.MAXIFS(
  raw_stack!H$2:H$100000,
  raw_stack!D$2:D$100000, G73,
  raw_stack!F$2:F$100000, "Iya",
  raw_stack!G$2:G$100000, "&gt;="&amp;DATE(2025,8,1),
  raw_stack!G$2:G$100000, "&lt;="&amp;EOMONTH(DATE(2025,8,1),0)
 ),
 IF(OR(_xlpm.x=0, _xlpm.x=""), "-", _xlpm.x)
)</f>
        <v>-</v>
      </c>
      <c r="S73" s="54" t="str">
        <f>_xlfn.LET(
 _xlpm.x,
 _xlfn.MAXIFS(
  raw_stack!G$2:G$99411,
  raw_stack!D$2:D$99411, G73,
  raw_stack!F$2:F$99411, "Iya",
  raw_stack!G$2:G$99411, "&gt;="&amp;DATE(2025,9,1),
  raw_stack!G$2:G$99411, "&lt;="&amp;EOMONTH(DATE(2025,9,1),0)
 ),
 IF(_xlpm.x=0, "-", _xlpm.x)
)</f>
        <v>-</v>
      </c>
      <c r="T73" s="65" t="str">
        <f>_xlfn.LET(
 _xlpm.x,
 _xlfn.MAXIFS(
  raw_stack!H$2:H$100000,
  raw_stack!D$2:D$100000, G73,
  raw_stack!F$2:F$100000, "Iya",
  raw_stack!G$2:G$100000, "&gt;="&amp;DATE(2025,9,1),
  raw_stack!G$2:G$100000, "&lt;="&amp;EOMONTH(DATE(2025,9,1),0)
 ),
 IF(OR(_xlpm.x=0, _xlpm.x=""), "-", _xlpm.x)
)</f>
        <v>-</v>
      </c>
      <c r="U73" s="54">
        <f>_xlfn.LET(
 _xlpm.x,
 _xlfn.MAXIFS(
  raw_stack!G$2:G$99411,
  raw_stack!D$2:D$99411, G73,
  raw_stack!F$2:F$99411, "Iya",
  raw_stack!G$2:G$99411, "&gt;="&amp;DATE(2025,10,1),
  raw_stack!G$2:G$99411, "&lt;="&amp;EOMONTH(DATE(2025,10,1),0)
 ),
 IF(_xlpm.x=0, "-", _xlpm.x)
)</f>
        <v>45939</v>
      </c>
      <c r="V73" s="65">
        <f>_xlfn.LET(
 _xlpm.x,
 _xlfn.MAXIFS(
  raw_stack!H$2:H$100000,
  raw_stack!D$2:D$100000, G73,
  raw_stack!F$2:F$100000, "Iya",
  raw_stack!G$2:G$100000, "&gt;="&amp;DATE(2025,10,1),
  raw_stack!G$2:G$100000, "&lt;="&amp;EOMONTH(DATE(2025,10,1),0)
 ),
 IF(OR(_xlpm.x=0, _xlpm.x=""), "-", _xlpm.x)
)</f>
        <v>26996</v>
      </c>
      <c r="W73" s="55" t="str">
        <f>_xlfn.LET(
 _xlpm.x,
 _xlfn.MAXIFS(
  raw_stack!G$2:G$99411,
  raw_stack!D$2:D$99411, G73,
  raw_stack!F$2:F$99411, "Iya",
  raw_stack!G$2:G$99411, "&gt;="&amp;DATE(2025,11,1),
  raw_stack!G$2:G$99411, "&lt;="&amp;EOMONTH(DATE(2025,11,1),0)
 ),
 IF(_xlpm.x=0, "-", _xlpm.x)
)</f>
        <v>-</v>
      </c>
      <c r="X73" s="56" t="str">
        <f>_xlfn.LET(
 _xlpm.x,
 _xlfn.MAXIFS(
  raw_stack!H$2:H$100000,
  raw_stack!D$2:D$100000, G73,
  raw_stack!F$2:F$100000, "Iya",
  raw_stack!G$2:G$100000, "&gt;="&amp;DATE(2025,11,1),
  raw_stack!G$2:G$100000, "&lt;="&amp;EOMONTH(DATE(2025,11,1),0)
 ),
 IF(OR(_xlpm.x=0, _xlpm.x=""), "-", _xlpm.x)
)</f>
        <v>-</v>
      </c>
      <c r="Y73" s="55" t="str">
        <f>_xlfn.LET(
 _xlpm.x,
 _xlfn.MAXIFS(
  raw_stack!G$2:G$99411,
  raw_stack!D$2:D$99411, G73,
  raw_stack!F$2:F$99411, "Iya",
  raw_stack!G$2:G$99411, "&gt;="&amp;DATE(2025,12,1),
  raw_stack!G$2:G$99411, "&lt;="&amp;EOMONTH(DATE(2025,12,1),0)
 ),
 IF(_xlpm.x=0, "-", _xlpm.x)
)</f>
        <v>-</v>
      </c>
      <c r="Z73" s="56" t="str">
        <f>_xlfn.LET(
 _xlpm.x,
 _xlfn.MAXIFS(
  raw_stack!H$2:H$100000,
  raw_stack!D$2:D$100000, G73,
  raw_stack!F$2:F$100000, "Iya",
  raw_stack!G$2:G$100000, "&gt;="&amp;DATE(2025,12,1),
  raw_stack!G$2:G$100000, "&lt;="&amp;EOMONTH(DATE(2025,12,1),0)
 ),
 IF(OR(_xlpm.x=0, _xlpm.x=""), "-", _xlpm.x)
)</f>
        <v>-</v>
      </c>
      <c r="AA73" s="55">
        <f>_xlfn.LET(
 _xlpm.x,
 _xlfn.MAXIFS(
  raw_stack!G$2:G$99411,
  raw_stack!D$2:D$99411, G73,
  raw_stack!F$2:F$99411, "Iya",
  raw_stack!G$2:G$99411, "&gt;="&amp;DATE(2026,1,1),
  raw_stack!G$2:G$99411, "&lt;="&amp;EOMONTH(DATE(2026,1,1),0)
 ),
 IF(_xlpm.x=0, "-", _xlpm.x)
)</f>
        <v>46035</v>
      </c>
      <c r="AB73" s="56">
        <f>_xlfn.LET(
 _xlpm.x,
 _xlfn.MAXIFS(
  raw_stack!H$2:H$100000,
  raw_stack!D$2:D$100000, G73,
  raw_stack!F$2:F$100000, "Iya",
  raw_stack!G$2:G$100000, "&gt;="&amp;DATE(2026,1,1),
  raw_stack!G$2:G$100000, "&lt;="&amp;EOMONTH(DATE(2026,1,1),0)
 ),
 IF(OR(_xlpm.x=0, _xlpm.x=""), "-", _xlpm.x)
)</f>
        <v>25355</v>
      </c>
      <c r="AC73" s="55" t="str">
        <f>_xlfn.LET(
 _xlpm.x,
 _xlfn.MAXIFS(
  raw_stack!G$2:G$99411,
  raw_stack!D$2:D$99411, G73,
  raw_stack!F$2:F$99411, "Iya",
  raw_stack!G$2:G$99411, "&gt;="&amp;DATE(2026,2,1),
  raw_stack!G$2:G$99411, "&lt;="&amp;EOMONTH(DATE(2026,2,1),0)
 ),
 IF(_xlpm.x=0, "-", _xlpm.x)
)</f>
        <v>-</v>
      </c>
      <c r="AD73" s="56" t="str">
        <f>_xlfn.LET(
 _xlpm.x,
 _xlfn.MAXIFS(
  raw_stack!H$2:H$100000,
  raw_stack!D$2:D$100000, G73,
  raw_stack!F$2:F$100000, "Iya",
  raw_stack!G$2:G$100000, "&gt;="&amp;DATE(2026,2,1),
  raw_stack!G$2:G$100000, "&lt;="&amp;EOMONTH(DATE(2026,2,1),0)
 ),
 IF(OR(_xlpm.x=0, _xlpm.x=""), "-", _xlpm.x)
)</f>
        <v>-</v>
      </c>
      <c r="AE73" s="55" t="str">
        <f>_xlfn.LET(
 _xlpm.x,
 _xlfn.MAXIFS(
  raw_stack!G$2:G$100000,
  raw_stack!D$2:D$100000, G73,
  raw_stack!F$2:F$100000, "Iya",
  raw_stack!G$2:G$100000, "&gt;="&amp;DATE(2026,3,1),
  raw_stack!G$2:G$100000, "&lt;="&amp;EOMONTH(DATE(2026,3,1),0)
 ),
 IF(_xlpm.x=0, "-", _xlpm.x)
)</f>
        <v>-</v>
      </c>
      <c r="AF73" s="56" t="str">
        <f>_xlfn.LET(
 _xlpm.x,
 _xlfn.MAXIFS(
  raw_stack!H$2:H$100000,
  raw_stack!D$2:D$100000, G73,
  raw_stack!F$2:F$100000, "Iya",
  raw_stack!G$2:G$100000, "&gt;="&amp;DATE(2026,3,1),
  raw_stack!G$2:G$100000, "&lt;="&amp;EOMONTH(DATE(2026,3,1),0)
 ),
 IF(OR(_xlpm.x=0, _xlpm.x=""), "-", _xlpm.x)
)</f>
        <v>-</v>
      </c>
      <c r="AG73" s="55" t="str">
        <f>_xlfn.LET(
 _xlpm.x,
 _xlfn.MAXIFS(
  raw_stack!G$2:G$100000,
  raw_stack!D$2:D$100000, G73,
  raw_stack!F$2:F$100000, "Iya",
  raw_stack!G$2:G$100000, "&gt;="&amp;DATE(2026,4,1),
  raw_stack!G$2:G$100000, "&lt;="&amp;EOMONTH(DATE(2026,4,1),0)
 ),
 IF(_xlpm.x=0, "-", _xlpm.x)
)</f>
        <v>-</v>
      </c>
      <c r="AH73" s="56" t="str">
        <f>_xlfn.LET(
 _xlpm.x,
 _xlfn.MAXIFS(
  raw_stack!H$2:H$100000,
  raw_stack!D$2:D$100000, G73,
  raw_stack!F$2:F$100000, "Iya",
  raw_stack!G$2:G$100000, "&gt;="&amp;DATE(2026,4,1),
  raw_stack!G$2:G$100000, "&lt;="&amp;EOMONTH(DATE(2026,4,1),0)
 ),
 IF(OR(_xlpm.x=0, _xlpm.x=""), "-", _xlpm.x)
)</f>
        <v>-</v>
      </c>
    </row>
    <row r="74" spans="1:34">
      <c r="A74" s="48">
        <v>73</v>
      </c>
      <c r="B74" s="49" t="str">
        <f t="shared" si="1"/>
        <v>43172</v>
      </c>
      <c r="C74" s="50" t="s">
        <v>46</v>
      </c>
      <c r="D74" s="51" t="s">
        <v>523</v>
      </c>
      <c r="E74" s="51" t="s">
        <v>51</v>
      </c>
      <c r="F74" s="49" t="s">
        <v>117</v>
      </c>
      <c r="G74" s="49" t="s">
        <v>190</v>
      </c>
      <c r="H74" s="49" t="s">
        <v>48</v>
      </c>
      <c r="I74" s="49" t="s">
        <v>52</v>
      </c>
      <c r="J74" s="52">
        <v>4100000</v>
      </c>
      <c r="K74" s="53">
        <v>45135</v>
      </c>
      <c r="L74" s="53">
        <v>46230</v>
      </c>
      <c r="M74" s="53">
        <v>46108</v>
      </c>
      <c r="N74" s="49" t="s">
        <v>50</v>
      </c>
      <c r="O74" s="54" t="str">
        <f>_xlfn.LET(
 _xlpm.x,
 _xlfn.MAXIFS(
  raw_stack!G$2:G$100000,
  raw_stack!D$2:D$100000, G74,
  raw_stack!F$2:F$100000, "Iya",
  raw_stack!G$2:G$100000, "&gt;="&amp;DATE(2025,7,1),
  raw_stack!G$2:G$100000, "&lt;="&amp;EOMONTH(DATE(2025,7,1),0)
 ),
 IF(_xlpm.x=0, "-", _xlpm.x)
)</f>
        <v>-</v>
      </c>
      <c r="P74" s="65" t="str">
        <f>_xlfn.LET(
 _xlpm.x,
 _xlfn.MAXIFS(
  raw_stack!H$2:H$100000,
  raw_stack!D$2:D$100000, G74,
  raw_stack!F$2:F$100000, "Iya",
  raw_stack!G$2:G$100000, "&gt;="&amp;DATE(2025,7,1),
  raw_stack!G$2:G$100000, "&lt;="&amp;EOMONTH(DATE(2025,7,1),0)
 ),
 IF(OR(_xlpm.x=0, _xlpm.x=""), "-", _xlpm.x)
)</f>
        <v>-</v>
      </c>
      <c r="Q74" s="54" t="str">
        <f>_xlfn.LET(
 _xlpm.x,
 _xlfn.MAXIFS(
  raw_stack!G$2:G$99411,
  raw_stack!D$2:D$99411, G74,
  raw_stack!F$2:F$99411, "Iya",
  raw_stack!G$2:G$99411, "&gt;="&amp;DATE(2025,8,1),
  raw_stack!G$2:G$99411, "&lt;="&amp;EOMONTH(DATE(2025,8,1),0)
 ),
 IF(_xlpm.x=0, "-", _xlpm.x)
)</f>
        <v>-</v>
      </c>
      <c r="R74" s="65" t="str">
        <f>_xlfn.LET(
 _xlpm.x,
 _xlfn.MAXIFS(
  raw_stack!H$2:H$100000,
  raw_stack!D$2:D$100000, G74,
  raw_stack!F$2:F$100000, "Iya",
  raw_stack!G$2:G$100000, "&gt;="&amp;DATE(2025,8,1),
  raw_stack!G$2:G$100000, "&lt;="&amp;EOMONTH(DATE(2025,8,1),0)
 ),
 IF(OR(_xlpm.x=0, _xlpm.x=""), "-", _xlpm.x)
)</f>
        <v>-</v>
      </c>
      <c r="S74" s="54">
        <f>_xlfn.LET(
 _xlpm.x,
 _xlfn.MAXIFS(
  raw_stack!G$2:G$99411,
  raw_stack!D$2:D$99411, G74,
  raw_stack!F$2:F$99411, "Iya",
  raw_stack!G$2:G$99411, "&gt;="&amp;DATE(2025,9,1),
  raw_stack!G$2:G$99411, "&lt;="&amp;EOMONTH(DATE(2025,9,1),0)
 ),
 IF(_xlpm.x=0, "-", _xlpm.x)
)</f>
        <v>45911</v>
      </c>
      <c r="T74" s="65">
        <f>_xlfn.LET(
 _xlpm.x,
 _xlfn.MAXIFS(
  raw_stack!H$2:H$100000,
  raw_stack!D$2:D$100000, G74,
  raw_stack!F$2:F$100000, "Iya",
  raw_stack!G$2:G$100000, "&gt;="&amp;DATE(2025,9,1),
  raw_stack!G$2:G$100000, "&lt;="&amp;EOMONTH(DATE(2025,9,1),0)
 ),
 IF(OR(_xlpm.x=0, _xlpm.x=""), "-", _xlpm.x)
)</f>
        <v>32789</v>
      </c>
      <c r="U74" s="54" t="str">
        <f>_xlfn.LET(
 _xlpm.x,
 _xlfn.MAXIFS(
  raw_stack!G$2:G$99411,
  raw_stack!D$2:D$99411, G74,
  raw_stack!F$2:F$99411, "Iya",
  raw_stack!G$2:G$99411, "&gt;="&amp;DATE(2025,10,1),
  raw_stack!G$2:G$99411, "&lt;="&amp;EOMONTH(DATE(2025,10,1),0)
 ),
 IF(_xlpm.x=0, "-", _xlpm.x)
)</f>
        <v>-</v>
      </c>
      <c r="V74" s="65" t="str">
        <f>_xlfn.LET(
 _xlpm.x,
 _xlfn.MAXIFS(
  raw_stack!H$2:H$100000,
  raw_stack!D$2:D$100000, G74,
  raw_stack!F$2:F$100000, "Iya",
  raw_stack!G$2:G$100000, "&gt;="&amp;DATE(2025,10,1),
  raw_stack!G$2:G$100000, "&lt;="&amp;EOMONTH(DATE(2025,10,1),0)
 ),
 IF(OR(_xlpm.x=0, _xlpm.x=""), "-", _xlpm.x)
)</f>
        <v>-</v>
      </c>
      <c r="W74" s="55" t="str">
        <f>_xlfn.LET(
 _xlpm.x,
 _xlfn.MAXIFS(
  raw_stack!G$2:G$99411,
  raw_stack!D$2:D$99411, G74,
  raw_stack!F$2:F$99411, "Iya",
  raw_stack!G$2:G$99411, "&gt;="&amp;DATE(2025,11,1),
  raw_stack!G$2:G$99411, "&lt;="&amp;EOMONTH(DATE(2025,11,1),0)
 ),
 IF(_xlpm.x=0, "-", _xlpm.x)
)</f>
        <v>-</v>
      </c>
      <c r="X74" s="56" t="str">
        <f>_xlfn.LET(
 _xlpm.x,
 _xlfn.MAXIFS(
  raw_stack!H$2:H$100000,
  raw_stack!D$2:D$100000, G74,
  raw_stack!F$2:F$100000, "Iya",
  raw_stack!G$2:G$100000, "&gt;="&amp;DATE(2025,11,1),
  raw_stack!G$2:G$100000, "&lt;="&amp;EOMONTH(DATE(2025,11,1),0)
 ),
 IF(OR(_xlpm.x=0, _xlpm.x=""), "-", _xlpm.x)
)</f>
        <v>-</v>
      </c>
      <c r="Y74" s="55" t="str">
        <f>_xlfn.LET(
 _xlpm.x,
 _xlfn.MAXIFS(
  raw_stack!G$2:G$99411,
  raw_stack!D$2:D$99411, G74,
  raw_stack!F$2:F$99411, "Iya",
  raw_stack!G$2:G$99411, "&gt;="&amp;DATE(2025,12,1),
  raw_stack!G$2:G$99411, "&lt;="&amp;EOMONTH(DATE(2025,12,1),0)
 ),
 IF(_xlpm.x=0, "-", _xlpm.x)
)</f>
        <v>-</v>
      </c>
      <c r="Z74" s="56" t="str">
        <f>_xlfn.LET(
 _xlpm.x,
 _xlfn.MAXIFS(
  raw_stack!H$2:H$100000,
  raw_stack!D$2:D$100000, G74,
  raw_stack!F$2:F$100000, "Iya",
  raw_stack!G$2:G$100000, "&gt;="&amp;DATE(2025,12,1),
  raw_stack!G$2:G$100000, "&lt;="&amp;EOMONTH(DATE(2025,12,1),0)
 ),
 IF(OR(_xlpm.x=0, _xlpm.x=""), "-", _xlpm.x)
)</f>
        <v>-</v>
      </c>
      <c r="AA74" s="55" t="str">
        <f>_xlfn.LET(
 _xlpm.x,
 _xlfn.MAXIFS(
  raw_stack!G$2:G$99411,
  raw_stack!D$2:D$99411, G74,
  raw_stack!F$2:F$99411, "Iya",
  raw_stack!G$2:G$99411, "&gt;="&amp;DATE(2026,1,1),
  raw_stack!G$2:G$99411, "&lt;="&amp;EOMONTH(DATE(2026,1,1),0)
 ),
 IF(_xlpm.x=0, "-", _xlpm.x)
)</f>
        <v>-</v>
      </c>
      <c r="AB74" s="56" t="str">
        <f>_xlfn.LET(
 _xlpm.x,
 _xlfn.MAXIFS(
  raw_stack!H$2:H$100000,
  raw_stack!D$2:D$100000, G74,
  raw_stack!F$2:F$100000, "Iya",
  raw_stack!G$2:G$100000, "&gt;="&amp;DATE(2026,1,1),
  raw_stack!G$2:G$100000, "&lt;="&amp;EOMONTH(DATE(2026,1,1),0)
 ),
 IF(OR(_xlpm.x=0, _xlpm.x=""), "-", _xlpm.x)
)</f>
        <v>-</v>
      </c>
      <c r="AC74" s="55" t="str">
        <f>_xlfn.LET(
 _xlpm.x,
 _xlfn.MAXIFS(
  raw_stack!G$2:G$99411,
  raw_stack!D$2:D$99411, G74,
  raw_stack!F$2:F$99411, "Iya",
  raw_stack!G$2:G$99411, "&gt;="&amp;DATE(2026,2,1),
  raw_stack!G$2:G$99411, "&lt;="&amp;EOMONTH(DATE(2026,2,1),0)
 ),
 IF(_xlpm.x=0, "-", _xlpm.x)
)</f>
        <v>-</v>
      </c>
      <c r="AD74" s="56" t="str">
        <f>_xlfn.LET(
 _xlpm.x,
 _xlfn.MAXIFS(
  raw_stack!H$2:H$100000,
  raw_stack!D$2:D$100000, G74,
  raw_stack!F$2:F$100000, "Iya",
  raw_stack!G$2:G$100000, "&gt;="&amp;DATE(2026,2,1),
  raw_stack!G$2:G$100000, "&lt;="&amp;EOMONTH(DATE(2026,2,1),0)
 ),
 IF(OR(_xlpm.x=0, _xlpm.x=""), "-", _xlpm.x)
)</f>
        <v>-</v>
      </c>
      <c r="AE74" s="55" t="str">
        <f>_xlfn.LET(
 _xlpm.x,
 _xlfn.MAXIFS(
  raw_stack!G$2:G$100000,
  raw_stack!D$2:D$100000, G74,
  raw_stack!F$2:F$100000, "Iya",
  raw_stack!G$2:G$100000, "&gt;="&amp;DATE(2026,3,1),
  raw_stack!G$2:G$100000, "&lt;="&amp;EOMONTH(DATE(2026,3,1),0)
 ),
 IF(_xlpm.x=0, "-", _xlpm.x)
)</f>
        <v>-</v>
      </c>
      <c r="AF74" s="56" t="str">
        <f>_xlfn.LET(
 _xlpm.x,
 _xlfn.MAXIFS(
  raw_stack!H$2:H$100000,
  raw_stack!D$2:D$100000, G74,
  raw_stack!F$2:F$100000, "Iya",
  raw_stack!G$2:G$100000, "&gt;="&amp;DATE(2026,3,1),
  raw_stack!G$2:G$100000, "&lt;="&amp;EOMONTH(DATE(2026,3,1),0)
 ),
 IF(OR(_xlpm.x=0, _xlpm.x=""), "-", _xlpm.x)
)</f>
        <v>-</v>
      </c>
      <c r="AG74" s="55" t="str">
        <f>_xlfn.LET(
 _xlpm.x,
 _xlfn.MAXIFS(
  raw_stack!G$2:G$100000,
  raw_stack!D$2:D$100000, G74,
  raw_stack!F$2:F$100000, "Iya",
  raw_stack!G$2:G$100000, "&gt;="&amp;DATE(2026,4,1),
  raw_stack!G$2:G$100000, "&lt;="&amp;EOMONTH(DATE(2026,4,1),0)
 ),
 IF(_xlpm.x=0, "-", _xlpm.x)
)</f>
        <v>-</v>
      </c>
      <c r="AH74" s="56" t="str">
        <f>_xlfn.LET(
 _xlpm.x,
 _xlfn.MAXIFS(
  raw_stack!H$2:H$100000,
  raw_stack!D$2:D$100000, G74,
  raw_stack!F$2:F$100000, "Iya",
  raw_stack!G$2:G$100000, "&gt;="&amp;DATE(2026,4,1),
  raw_stack!G$2:G$100000, "&lt;="&amp;EOMONTH(DATE(2026,4,1),0)
 ),
 IF(OR(_xlpm.x=0, _xlpm.x=""), "-", _xlpm.x)
)</f>
        <v>-</v>
      </c>
    </row>
    <row r="75" spans="1:34">
      <c r="A75" s="48">
        <v>74</v>
      </c>
      <c r="B75" s="49" t="str">
        <f t="shared" si="1"/>
        <v>38577</v>
      </c>
      <c r="C75" s="50" t="s">
        <v>46</v>
      </c>
      <c r="D75" s="51" t="s">
        <v>524</v>
      </c>
      <c r="E75" s="51" t="s">
        <v>47</v>
      </c>
      <c r="F75" s="49" t="s">
        <v>117</v>
      </c>
      <c r="G75" s="49" t="s">
        <v>191</v>
      </c>
      <c r="H75" s="49" t="s">
        <v>48</v>
      </c>
      <c r="I75" s="49" t="s">
        <v>49</v>
      </c>
      <c r="J75" s="52">
        <v>5000000</v>
      </c>
      <c r="K75" s="53">
        <v>45136</v>
      </c>
      <c r="L75" s="53">
        <v>46231</v>
      </c>
      <c r="M75" s="53">
        <v>46080</v>
      </c>
      <c r="N75" s="49" t="s">
        <v>50</v>
      </c>
      <c r="O75" s="54" t="str">
        <f>_xlfn.LET(
 _xlpm.x,
 _xlfn.MAXIFS(
  raw_stack!G$2:G$100000,
  raw_stack!D$2:D$100000, G75,
  raw_stack!F$2:F$100000, "Iya",
  raw_stack!G$2:G$100000, "&gt;="&amp;DATE(2025,7,1),
  raw_stack!G$2:G$100000, "&lt;="&amp;EOMONTH(DATE(2025,7,1),0)
 ),
 IF(_xlpm.x=0, "-", _xlpm.x)
)</f>
        <v>-</v>
      </c>
      <c r="P75" s="65" t="str">
        <f>_xlfn.LET(
 _xlpm.x,
 _xlfn.MAXIFS(
  raw_stack!H$2:H$100000,
  raw_stack!D$2:D$100000, G75,
  raw_stack!F$2:F$100000, "Iya",
  raw_stack!G$2:G$100000, "&gt;="&amp;DATE(2025,7,1),
  raw_stack!G$2:G$100000, "&lt;="&amp;EOMONTH(DATE(2025,7,1),0)
 ),
 IF(OR(_xlpm.x=0, _xlpm.x=""), "-", _xlpm.x)
)</f>
        <v>-</v>
      </c>
      <c r="Q75" s="54" t="str">
        <f>_xlfn.LET(
 _xlpm.x,
 _xlfn.MAXIFS(
  raw_stack!G$2:G$99411,
  raw_stack!D$2:D$99411, G75,
  raw_stack!F$2:F$99411, "Iya",
  raw_stack!G$2:G$99411, "&gt;="&amp;DATE(2025,8,1),
  raw_stack!G$2:G$99411, "&lt;="&amp;EOMONTH(DATE(2025,8,1),0)
 ),
 IF(_xlpm.x=0, "-", _xlpm.x)
)</f>
        <v>-</v>
      </c>
      <c r="R75" s="65" t="str">
        <f>_xlfn.LET(
 _xlpm.x,
 _xlfn.MAXIFS(
  raw_stack!H$2:H$100000,
  raw_stack!D$2:D$100000, G75,
  raw_stack!F$2:F$100000, "Iya",
  raw_stack!G$2:G$100000, "&gt;="&amp;DATE(2025,8,1),
  raw_stack!G$2:G$100000, "&lt;="&amp;EOMONTH(DATE(2025,8,1),0)
 ),
 IF(OR(_xlpm.x=0, _xlpm.x=""), "-", _xlpm.x)
)</f>
        <v>-</v>
      </c>
      <c r="S75" s="54" t="str">
        <f>_xlfn.LET(
 _xlpm.x,
 _xlfn.MAXIFS(
  raw_stack!G$2:G$99411,
  raw_stack!D$2:D$99411, G75,
  raw_stack!F$2:F$99411, "Iya",
  raw_stack!G$2:G$99411, "&gt;="&amp;DATE(2025,9,1),
  raw_stack!G$2:G$99411, "&lt;="&amp;EOMONTH(DATE(2025,9,1),0)
 ),
 IF(_xlpm.x=0, "-", _xlpm.x)
)</f>
        <v>-</v>
      </c>
      <c r="T75" s="65" t="str">
        <f>_xlfn.LET(
 _xlpm.x,
 _xlfn.MAXIFS(
  raw_stack!H$2:H$100000,
  raw_stack!D$2:D$100000, G75,
  raw_stack!F$2:F$100000, "Iya",
  raw_stack!G$2:G$100000, "&gt;="&amp;DATE(2025,9,1),
  raw_stack!G$2:G$100000, "&lt;="&amp;EOMONTH(DATE(2025,9,1),0)
 ),
 IF(OR(_xlpm.x=0, _xlpm.x=""), "-", _xlpm.x)
)</f>
        <v>-</v>
      </c>
      <c r="U75" s="54" t="str">
        <f>_xlfn.LET(
 _xlpm.x,
 _xlfn.MAXIFS(
  raw_stack!G$2:G$99411,
  raw_stack!D$2:D$99411, G75,
  raw_stack!F$2:F$99411, "Iya",
  raw_stack!G$2:G$99411, "&gt;="&amp;DATE(2025,10,1),
  raw_stack!G$2:G$99411, "&lt;="&amp;EOMONTH(DATE(2025,10,1),0)
 ),
 IF(_xlpm.x=0, "-", _xlpm.x)
)</f>
        <v>-</v>
      </c>
      <c r="V75" s="65" t="str">
        <f>_xlfn.LET(
 _xlpm.x,
 _xlfn.MAXIFS(
  raw_stack!H$2:H$100000,
  raw_stack!D$2:D$100000, G75,
  raw_stack!F$2:F$100000, "Iya",
  raw_stack!G$2:G$100000, "&gt;="&amp;DATE(2025,10,1),
  raw_stack!G$2:G$100000, "&lt;="&amp;EOMONTH(DATE(2025,10,1),0)
 ),
 IF(OR(_xlpm.x=0, _xlpm.x=""), "-", _xlpm.x)
)</f>
        <v>-</v>
      </c>
      <c r="W75" s="55">
        <f>_xlfn.LET(
 _xlpm.x,
 _xlfn.MAXIFS(
  raw_stack!G$2:G$99411,
  raw_stack!D$2:D$99411, G75,
  raw_stack!F$2:F$99411, "Iya",
  raw_stack!G$2:G$99411, "&gt;="&amp;DATE(2025,11,1),
  raw_stack!G$2:G$99411, "&lt;="&amp;EOMONTH(DATE(2025,11,1),0)
 ),
 IF(_xlpm.x=0, "-", _xlpm.x)
)</f>
        <v>45970</v>
      </c>
      <c r="X75" s="56">
        <f>_xlfn.LET(
 _xlpm.x,
 _xlfn.MAXIFS(
  raw_stack!H$2:H$100000,
  raw_stack!D$2:D$100000, G75,
  raw_stack!F$2:F$100000, "Iya",
  raw_stack!G$2:G$100000, "&gt;="&amp;DATE(2025,11,1),
  raw_stack!G$2:G$100000, "&lt;="&amp;EOMONTH(DATE(2025,11,1),0)
 ),
 IF(OR(_xlpm.x=0, _xlpm.x=""), "-", _xlpm.x)
)</f>
        <v>55205</v>
      </c>
      <c r="Y75" s="55" t="str">
        <f>_xlfn.LET(
 _xlpm.x,
 _xlfn.MAXIFS(
  raw_stack!G$2:G$99411,
  raw_stack!D$2:D$99411, G75,
  raw_stack!F$2:F$99411, "Iya",
  raw_stack!G$2:G$99411, "&gt;="&amp;DATE(2025,12,1),
  raw_stack!G$2:G$99411, "&lt;="&amp;EOMONTH(DATE(2025,12,1),0)
 ),
 IF(_xlpm.x=0, "-", _xlpm.x)
)</f>
        <v>-</v>
      </c>
      <c r="Z75" s="56" t="str">
        <f>_xlfn.LET(
 _xlpm.x,
 _xlfn.MAXIFS(
  raw_stack!H$2:H$100000,
  raw_stack!D$2:D$100000, G75,
  raw_stack!F$2:F$100000, "Iya",
  raw_stack!G$2:G$100000, "&gt;="&amp;DATE(2025,12,1),
  raw_stack!G$2:G$100000, "&lt;="&amp;EOMONTH(DATE(2025,12,1),0)
 ),
 IF(OR(_xlpm.x=0, _xlpm.x=""), "-", _xlpm.x)
)</f>
        <v>-</v>
      </c>
      <c r="AA75" s="55" t="str">
        <f>_xlfn.LET(
 _xlpm.x,
 _xlfn.MAXIFS(
  raw_stack!G$2:G$99411,
  raw_stack!D$2:D$99411, G75,
  raw_stack!F$2:F$99411, "Iya",
  raw_stack!G$2:G$99411, "&gt;="&amp;DATE(2026,1,1),
  raw_stack!G$2:G$99411, "&lt;="&amp;EOMONTH(DATE(2026,1,1),0)
 ),
 IF(_xlpm.x=0, "-", _xlpm.x)
)</f>
        <v>-</v>
      </c>
      <c r="AB75" s="56" t="str">
        <f>_xlfn.LET(
 _xlpm.x,
 _xlfn.MAXIFS(
  raw_stack!H$2:H$100000,
  raw_stack!D$2:D$100000, G75,
  raw_stack!F$2:F$100000, "Iya",
  raw_stack!G$2:G$100000, "&gt;="&amp;DATE(2026,1,1),
  raw_stack!G$2:G$100000, "&lt;="&amp;EOMONTH(DATE(2026,1,1),0)
 ),
 IF(OR(_xlpm.x=0, _xlpm.x=""), "-", _xlpm.x)
)</f>
        <v>-</v>
      </c>
      <c r="AC75" s="55" t="str">
        <f>_xlfn.LET(
 _xlpm.x,
 _xlfn.MAXIFS(
  raw_stack!G$2:G$99411,
  raw_stack!D$2:D$99411, G75,
  raw_stack!F$2:F$99411, "Iya",
  raw_stack!G$2:G$99411, "&gt;="&amp;DATE(2026,2,1),
  raw_stack!G$2:G$99411, "&lt;="&amp;EOMONTH(DATE(2026,2,1),0)
 ),
 IF(_xlpm.x=0, "-", _xlpm.x)
)</f>
        <v>-</v>
      </c>
      <c r="AD75" s="56" t="str">
        <f>_xlfn.LET(
 _xlpm.x,
 _xlfn.MAXIFS(
  raw_stack!H$2:H$100000,
  raw_stack!D$2:D$100000, G75,
  raw_stack!F$2:F$100000, "Iya",
  raw_stack!G$2:G$100000, "&gt;="&amp;DATE(2026,2,1),
  raw_stack!G$2:G$100000, "&lt;="&amp;EOMONTH(DATE(2026,2,1),0)
 ),
 IF(OR(_xlpm.x=0, _xlpm.x=""), "-", _xlpm.x)
)</f>
        <v>-</v>
      </c>
      <c r="AE75" s="55" t="str">
        <f>_xlfn.LET(
 _xlpm.x,
 _xlfn.MAXIFS(
  raw_stack!G$2:G$100000,
  raw_stack!D$2:D$100000, G75,
  raw_stack!F$2:F$100000, "Iya",
  raw_stack!G$2:G$100000, "&gt;="&amp;DATE(2026,3,1),
  raw_stack!G$2:G$100000, "&lt;="&amp;EOMONTH(DATE(2026,3,1),0)
 ),
 IF(_xlpm.x=0, "-", _xlpm.x)
)</f>
        <v>-</v>
      </c>
      <c r="AF75" s="56" t="str">
        <f>_xlfn.LET(
 _xlpm.x,
 _xlfn.MAXIFS(
  raw_stack!H$2:H$100000,
  raw_stack!D$2:D$100000, G75,
  raw_stack!F$2:F$100000, "Iya",
  raw_stack!G$2:G$100000, "&gt;="&amp;DATE(2026,3,1),
  raw_stack!G$2:G$100000, "&lt;="&amp;EOMONTH(DATE(2026,3,1),0)
 ),
 IF(OR(_xlpm.x=0, _xlpm.x=""), "-", _xlpm.x)
)</f>
        <v>-</v>
      </c>
      <c r="AG75" s="55" t="str">
        <f>_xlfn.LET(
 _xlpm.x,
 _xlfn.MAXIFS(
  raw_stack!G$2:G$100000,
  raw_stack!D$2:D$100000, G75,
  raw_stack!F$2:F$100000, "Iya",
  raw_stack!G$2:G$100000, "&gt;="&amp;DATE(2026,4,1),
  raw_stack!G$2:G$100000, "&lt;="&amp;EOMONTH(DATE(2026,4,1),0)
 ),
 IF(_xlpm.x=0, "-", _xlpm.x)
)</f>
        <v>-</v>
      </c>
      <c r="AH75" s="56" t="str">
        <f>_xlfn.LET(
 _xlpm.x,
 _xlfn.MAXIFS(
  raw_stack!H$2:H$100000,
  raw_stack!D$2:D$100000, G75,
  raw_stack!F$2:F$100000, "Iya",
  raw_stack!G$2:G$100000, "&gt;="&amp;DATE(2026,4,1),
  raw_stack!G$2:G$100000, "&lt;="&amp;EOMONTH(DATE(2026,4,1),0)
 ),
 IF(OR(_xlpm.x=0, _xlpm.x=""), "-", _xlpm.x)
)</f>
        <v>-</v>
      </c>
    </row>
    <row r="76" spans="1:34">
      <c r="A76" s="48">
        <v>75</v>
      </c>
      <c r="B76" s="49" t="str">
        <f t="shared" si="1"/>
        <v>10597</v>
      </c>
      <c r="C76" s="50" t="s">
        <v>46</v>
      </c>
      <c r="D76" s="51" t="s">
        <v>525</v>
      </c>
      <c r="E76" s="51" t="s">
        <v>53</v>
      </c>
      <c r="F76" s="49" t="s">
        <v>117</v>
      </c>
      <c r="G76" s="49" t="s">
        <v>192</v>
      </c>
      <c r="H76" s="49" t="s">
        <v>48</v>
      </c>
      <c r="I76" s="49" t="s">
        <v>52</v>
      </c>
      <c r="J76" s="52">
        <v>5575000</v>
      </c>
      <c r="K76" s="53">
        <v>45108</v>
      </c>
      <c r="L76" s="53">
        <v>46234</v>
      </c>
      <c r="M76" s="53">
        <v>46112</v>
      </c>
      <c r="N76" s="49" t="s">
        <v>50</v>
      </c>
      <c r="O76" s="54">
        <f>_xlfn.LET(
 _xlpm.x,
 _xlfn.MAXIFS(
  raw_stack!G$2:G$100000,
  raw_stack!D$2:D$100000, G76,
  raw_stack!F$2:F$100000, "Iya",
  raw_stack!G$2:G$100000, "&gt;="&amp;DATE(2025,7,1),
  raw_stack!G$2:G$100000, "&lt;="&amp;EOMONTH(DATE(2025,7,1),0)
 ),
 IF(_xlpm.x=0, "-", _xlpm.x)
)</f>
        <v>45859</v>
      </c>
      <c r="P76" s="65">
        <f>_xlfn.LET(
 _xlpm.x,
 _xlfn.MAXIFS(
  raw_stack!H$2:H$100000,
  raw_stack!D$2:D$100000, G76,
  raw_stack!F$2:F$100000, "Iya",
  raw_stack!G$2:G$100000, "&gt;="&amp;DATE(2025,7,1),
  raw_stack!G$2:G$100000, "&lt;="&amp;EOMONTH(DATE(2025,7,1),0)
 ),
 IF(OR(_xlpm.x=0, _xlpm.x=""), "-", _xlpm.x)
)</f>
        <v>83521</v>
      </c>
      <c r="Q76" s="54" t="str">
        <f>_xlfn.LET(
 _xlpm.x,
 _xlfn.MAXIFS(
  raw_stack!G$2:G$99411,
  raw_stack!D$2:D$99411, G76,
  raw_stack!F$2:F$99411, "Iya",
  raw_stack!G$2:G$99411, "&gt;="&amp;DATE(2025,8,1),
  raw_stack!G$2:G$99411, "&lt;="&amp;EOMONTH(DATE(2025,8,1),0)
 ),
 IF(_xlpm.x=0, "-", _xlpm.x)
)</f>
        <v>-</v>
      </c>
      <c r="R76" s="65" t="str">
        <f>_xlfn.LET(
 _xlpm.x,
 _xlfn.MAXIFS(
  raw_stack!H$2:H$100000,
  raw_stack!D$2:D$100000, G76,
  raw_stack!F$2:F$100000, "Iya",
  raw_stack!G$2:G$100000, "&gt;="&amp;DATE(2025,8,1),
  raw_stack!G$2:G$100000, "&lt;="&amp;EOMONTH(DATE(2025,8,1),0)
 ),
 IF(OR(_xlpm.x=0, _xlpm.x=""), "-", _xlpm.x)
)</f>
        <v>-</v>
      </c>
      <c r="S76" s="54">
        <f>_xlfn.LET(
 _xlpm.x,
 _xlfn.MAXIFS(
  raw_stack!G$2:G$99411,
  raw_stack!D$2:D$99411, G76,
  raw_stack!F$2:F$99411, "Iya",
  raw_stack!G$2:G$99411, "&gt;="&amp;DATE(2025,9,1),
  raw_stack!G$2:G$99411, "&lt;="&amp;EOMONTH(DATE(2025,9,1),0)
 ),
 IF(_xlpm.x=0, "-", _xlpm.x)
)</f>
        <v>45911</v>
      </c>
      <c r="T76" s="65">
        <f>_xlfn.LET(
 _xlpm.x,
 _xlfn.MAXIFS(
  raw_stack!H$2:H$100000,
  raw_stack!D$2:D$100000, G76,
  raw_stack!F$2:F$100000, "Iya",
  raw_stack!G$2:G$100000, "&gt;="&amp;DATE(2025,9,1),
  raw_stack!G$2:G$100000, "&lt;="&amp;EOMONTH(DATE(2025,9,1),0)
 ),
 IF(OR(_xlpm.x=0, _xlpm.x=""), "-", _xlpm.x)
)</f>
        <v>108130</v>
      </c>
      <c r="U76" s="54" t="str">
        <f>_xlfn.LET(
 _xlpm.x,
 _xlfn.MAXIFS(
  raw_stack!G$2:G$99411,
  raw_stack!D$2:D$99411, G76,
  raw_stack!F$2:F$99411, "Iya",
  raw_stack!G$2:G$99411, "&gt;="&amp;DATE(2025,10,1),
  raw_stack!G$2:G$99411, "&lt;="&amp;EOMONTH(DATE(2025,10,1),0)
 ),
 IF(_xlpm.x=0, "-", _xlpm.x)
)</f>
        <v>-</v>
      </c>
      <c r="V76" s="65" t="str">
        <f>_xlfn.LET(
 _xlpm.x,
 _xlfn.MAXIFS(
  raw_stack!H$2:H$100000,
  raw_stack!D$2:D$100000, G76,
  raw_stack!F$2:F$100000, "Iya",
  raw_stack!G$2:G$100000, "&gt;="&amp;DATE(2025,10,1),
  raw_stack!G$2:G$100000, "&lt;="&amp;EOMONTH(DATE(2025,10,1),0)
 ),
 IF(OR(_xlpm.x=0, _xlpm.x=""), "-", _xlpm.x)
)</f>
        <v>-</v>
      </c>
      <c r="W76" s="55" t="str">
        <f>_xlfn.LET(
 _xlpm.x,
 _xlfn.MAXIFS(
  raw_stack!G$2:G$99411,
  raw_stack!D$2:D$99411, G76,
  raw_stack!F$2:F$99411, "Iya",
  raw_stack!G$2:G$99411, "&gt;="&amp;DATE(2025,11,1),
  raw_stack!G$2:G$99411, "&lt;="&amp;EOMONTH(DATE(2025,11,1),0)
 ),
 IF(_xlpm.x=0, "-", _xlpm.x)
)</f>
        <v>-</v>
      </c>
      <c r="X76" s="56" t="str">
        <f>_xlfn.LET(
 _xlpm.x,
 _xlfn.MAXIFS(
  raw_stack!H$2:H$100000,
  raw_stack!D$2:D$100000, G76,
  raw_stack!F$2:F$100000, "Iya",
  raw_stack!G$2:G$100000, "&gt;="&amp;DATE(2025,11,1),
  raw_stack!G$2:G$100000, "&lt;="&amp;EOMONTH(DATE(2025,11,1),0)
 ),
 IF(OR(_xlpm.x=0, _xlpm.x=""), "-", _xlpm.x)
)</f>
        <v>-</v>
      </c>
      <c r="Y76" s="55">
        <f>_xlfn.LET(
 _xlpm.x,
 _xlfn.MAXIFS(
  raw_stack!G$2:G$99411,
  raw_stack!D$2:D$99411, G76,
  raw_stack!F$2:F$99411, "Iya",
  raw_stack!G$2:G$99411, "&gt;="&amp;DATE(2025,12,1),
  raw_stack!G$2:G$99411, "&lt;="&amp;EOMONTH(DATE(2025,12,1),0)
 ),
 IF(_xlpm.x=0, "-", _xlpm.x)
)</f>
        <v>46008</v>
      </c>
      <c r="Z76" s="56">
        <f>_xlfn.LET(
 _xlpm.x,
 _xlfn.MAXIFS(
  raw_stack!H$2:H$100000,
  raw_stack!D$2:D$100000, G76,
  raw_stack!F$2:F$100000, "Iya",
  raw_stack!G$2:G$100000, "&gt;="&amp;DATE(2025,12,1),
  raw_stack!G$2:G$100000, "&lt;="&amp;EOMONTH(DATE(2025,12,1),0)
 ),
 IF(OR(_xlpm.x=0, _xlpm.x=""), "-", _xlpm.x)
)</f>
        <v>96665</v>
      </c>
      <c r="AA76" s="55" t="str">
        <f>_xlfn.LET(
 _xlpm.x,
 _xlfn.MAXIFS(
  raw_stack!G$2:G$99411,
  raw_stack!D$2:D$99411, G76,
  raw_stack!F$2:F$99411, "Iya",
  raw_stack!G$2:G$99411, "&gt;="&amp;DATE(2026,1,1),
  raw_stack!G$2:G$99411, "&lt;="&amp;EOMONTH(DATE(2026,1,1),0)
 ),
 IF(_xlpm.x=0, "-", _xlpm.x)
)</f>
        <v>-</v>
      </c>
      <c r="AB76" s="56" t="str">
        <f>_xlfn.LET(
 _xlpm.x,
 _xlfn.MAXIFS(
  raw_stack!H$2:H$100000,
  raw_stack!D$2:D$100000, G76,
  raw_stack!F$2:F$100000, "Iya",
  raw_stack!G$2:G$100000, "&gt;="&amp;DATE(2026,1,1),
  raw_stack!G$2:G$100000, "&lt;="&amp;EOMONTH(DATE(2026,1,1),0)
 ),
 IF(OR(_xlpm.x=0, _xlpm.x=""), "-", _xlpm.x)
)</f>
        <v>-</v>
      </c>
      <c r="AC76" s="55" t="str">
        <f>_xlfn.LET(
 _xlpm.x,
 _xlfn.MAXIFS(
  raw_stack!G$2:G$99411,
  raw_stack!D$2:D$99411, G76,
  raw_stack!F$2:F$99411, "Iya",
  raw_stack!G$2:G$99411, "&gt;="&amp;DATE(2026,2,1),
  raw_stack!G$2:G$99411, "&lt;="&amp;EOMONTH(DATE(2026,2,1),0)
 ),
 IF(_xlpm.x=0, "-", _xlpm.x)
)</f>
        <v>-</v>
      </c>
      <c r="AD76" s="56" t="str">
        <f>_xlfn.LET(
 _xlpm.x,
 _xlfn.MAXIFS(
  raw_stack!H$2:H$100000,
  raw_stack!D$2:D$100000, G76,
  raw_stack!F$2:F$100000, "Iya",
  raw_stack!G$2:G$100000, "&gt;="&amp;DATE(2026,2,1),
  raw_stack!G$2:G$100000, "&lt;="&amp;EOMONTH(DATE(2026,2,1),0)
 ),
 IF(OR(_xlpm.x=0, _xlpm.x=""), "-", _xlpm.x)
)</f>
        <v>-</v>
      </c>
      <c r="AE76" s="55" t="str">
        <f>_xlfn.LET(
 _xlpm.x,
 _xlfn.MAXIFS(
  raw_stack!G$2:G$100000,
  raw_stack!D$2:D$100000, G76,
  raw_stack!F$2:F$100000, "Iya",
  raw_stack!G$2:G$100000, "&gt;="&amp;DATE(2026,3,1),
  raw_stack!G$2:G$100000, "&lt;="&amp;EOMONTH(DATE(2026,3,1),0)
 ),
 IF(_xlpm.x=0, "-", _xlpm.x)
)</f>
        <v>-</v>
      </c>
      <c r="AF76" s="56" t="str">
        <f>_xlfn.LET(
 _xlpm.x,
 _xlfn.MAXIFS(
  raw_stack!H$2:H$100000,
  raw_stack!D$2:D$100000, G76,
  raw_stack!F$2:F$100000, "Iya",
  raw_stack!G$2:G$100000, "&gt;="&amp;DATE(2026,3,1),
  raw_stack!G$2:G$100000, "&lt;="&amp;EOMONTH(DATE(2026,3,1),0)
 ),
 IF(OR(_xlpm.x=0, _xlpm.x=""), "-", _xlpm.x)
)</f>
        <v>-</v>
      </c>
      <c r="AG76" s="55">
        <f>_xlfn.LET(
 _xlpm.x,
 _xlfn.MAXIFS(
  raw_stack!G$2:G$100000,
  raw_stack!D$2:D$100000, G76,
  raw_stack!F$2:F$100000, "Iya",
  raw_stack!G$2:G$100000, "&gt;="&amp;DATE(2026,4,1),
  raw_stack!G$2:G$100000, "&lt;="&amp;EOMONTH(DATE(2026,4,1),0)
 ),
 IF(_xlpm.x=0, "-", _xlpm.x)
)</f>
        <v>46118</v>
      </c>
      <c r="AH76" s="56">
        <f>_xlfn.LET(
 _xlpm.x,
 _xlfn.MAXIFS(
  raw_stack!H$2:H$100000,
  raw_stack!D$2:D$100000, G76,
  raw_stack!F$2:F$100000, "Iya",
  raw_stack!G$2:G$100000, "&gt;="&amp;DATE(2026,4,1),
  raw_stack!G$2:G$100000, "&lt;="&amp;EOMONTH(DATE(2026,4,1),0)
 ),
 IF(OR(_xlpm.x=0, _xlpm.x=""), "-", _xlpm.x)
)</f>
        <v>119398</v>
      </c>
    </row>
    <row r="77" spans="1:34">
      <c r="A77" s="48">
        <v>76</v>
      </c>
      <c r="B77" s="49" t="str">
        <f t="shared" si="1"/>
        <v>44362</v>
      </c>
      <c r="C77" s="50" t="s">
        <v>46</v>
      </c>
      <c r="D77" s="51" t="s">
        <v>526</v>
      </c>
      <c r="E77" s="51" t="s">
        <v>47</v>
      </c>
      <c r="F77" s="49" t="s">
        <v>117</v>
      </c>
      <c r="G77" s="49" t="s">
        <v>193</v>
      </c>
      <c r="H77" s="49" t="s">
        <v>48</v>
      </c>
      <c r="I77" s="49" t="s">
        <v>49</v>
      </c>
      <c r="J77" s="52">
        <v>4375000</v>
      </c>
      <c r="K77" s="53">
        <v>45144</v>
      </c>
      <c r="L77" s="53">
        <v>46239</v>
      </c>
      <c r="M77" s="53">
        <v>46086</v>
      </c>
      <c r="N77" s="49" t="s">
        <v>50</v>
      </c>
      <c r="O77" s="54" t="str">
        <f>_xlfn.LET(
 _xlpm.x,
 _xlfn.MAXIFS(
  raw_stack!G$2:G$100000,
  raw_stack!D$2:D$100000, G77,
  raw_stack!F$2:F$100000, "Iya",
  raw_stack!G$2:G$100000, "&gt;="&amp;DATE(2025,7,1),
  raw_stack!G$2:G$100000, "&lt;="&amp;EOMONTH(DATE(2025,7,1),0)
 ),
 IF(_xlpm.x=0, "-", _xlpm.x)
)</f>
        <v>-</v>
      </c>
      <c r="P77" s="65" t="str">
        <f>_xlfn.LET(
 _xlpm.x,
 _xlfn.MAXIFS(
  raw_stack!H$2:H$100000,
  raw_stack!D$2:D$100000, G77,
  raw_stack!F$2:F$100000, "Iya",
  raw_stack!G$2:G$100000, "&gt;="&amp;DATE(2025,7,1),
  raw_stack!G$2:G$100000, "&lt;="&amp;EOMONTH(DATE(2025,7,1),0)
 ),
 IF(OR(_xlpm.x=0, _xlpm.x=""), "-", _xlpm.x)
)</f>
        <v>-</v>
      </c>
      <c r="Q77" s="54" t="str">
        <f>_xlfn.LET(
 _xlpm.x,
 _xlfn.MAXIFS(
  raw_stack!G$2:G$99411,
  raw_stack!D$2:D$99411, G77,
  raw_stack!F$2:F$99411, "Iya",
  raw_stack!G$2:G$99411, "&gt;="&amp;DATE(2025,8,1),
  raw_stack!G$2:G$99411, "&lt;="&amp;EOMONTH(DATE(2025,8,1),0)
 ),
 IF(_xlpm.x=0, "-", _xlpm.x)
)</f>
        <v>-</v>
      </c>
      <c r="R77" s="65" t="str">
        <f>_xlfn.LET(
 _xlpm.x,
 _xlfn.MAXIFS(
  raw_stack!H$2:H$100000,
  raw_stack!D$2:D$100000, G77,
  raw_stack!F$2:F$100000, "Iya",
  raw_stack!G$2:G$100000, "&gt;="&amp;DATE(2025,8,1),
  raw_stack!G$2:G$100000, "&lt;="&amp;EOMONTH(DATE(2025,8,1),0)
 ),
 IF(OR(_xlpm.x=0, _xlpm.x=""), "-", _xlpm.x)
)</f>
        <v>-</v>
      </c>
      <c r="S77" s="54" t="str">
        <f>_xlfn.LET(
 _xlpm.x,
 _xlfn.MAXIFS(
  raw_stack!G$2:G$99411,
  raw_stack!D$2:D$99411, G77,
  raw_stack!F$2:F$99411, "Iya",
  raw_stack!G$2:G$99411, "&gt;="&amp;DATE(2025,9,1),
  raw_stack!G$2:G$99411, "&lt;="&amp;EOMONTH(DATE(2025,9,1),0)
 ),
 IF(_xlpm.x=0, "-", _xlpm.x)
)</f>
        <v>-</v>
      </c>
      <c r="T77" s="65" t="str">
        <f>_xlfn.LET(
 _xlpm.x,
 _xlfn.MAXIFS(
  raw_stack!H$2:H$100000,
  raw_stack!D$2:D$100000, G77,
  raw_stack!F$2:F$100000, "Iya",
  raw_stack!G$2:G$100000, "&gt;="&amp;DATE(2025,9,1),
  raw_stack!G$2:G$100000, "&lt;="&amp;EOMONTH(DATE(2025,9,1),0)
 ),
 IF(OR(_xlpm.x=0, _xlpm.x=""), "-", _xlpm.x)
)</f>
        <v>-</v>
      </c>
      <c r="U77" s="54" t="str">
        <f>_xlfn.LET(
 _xlpm.x,
 _xlfn.MAXIFS(
  raw_stack!G$2:G$99411,
  raw_stack!D$2:D$99411, G77,
  raw_stack!F$2:F$99411, "Iya",
  raw_stack!G$2:G$99411, "&gt;="&amp;DATE(2025,10,1),
  raw_stack!G$2:G$99411, "&lt;="&amp;EOMONTH(DATE(2025,10,1),0)
 ),
 IF(_xlpm.x=0, "-", _xlpm.x)
)</f>
        <v>-</v>
      </c>
      <c r="V77" s="65" t="str">
        <f>_xlfn.LET(
 _xlpm.x,
 _xlfn.MAXIFS(
  raw_stack!H$2:H$100000,
  raw_stack!D$2:D$100000, G77,
  raw_stack!F$2:F$100000, "Iya",
  raw_stack!G$2:G$100000, "&gt;="&amp;DATE(2025,10,1),
  raw_stack!G$2:G$100000, "&lt;="&amp;EOMONTH(DATE(2025,10,1),0)
 ),
 IF(OR(_xlpm.x=0, _xlpm.x=""), "-", _xlpm.x)
)</f>
        <v>-</v>
      </c>
      <c r="W77" s="55">
        <f>_xlfn.LET(
 _xlpm.x,
 _xlfn.MAXIFS(
  raw_stack!G$2:G$99411,
  raw_stack!D$2:D$99411, G77,
  raw_stack!F$2:F$99411, "Iya",
  raw_stack!G$2:G$99411, "&gt;="&amp;DATE(2025,11,1),
  raw_stack!G$2:G$99411, "&lt;="&amp;EOMONTH(DATE(2025,11,1),0)
 ),
 IF(_xlpm.x=0, "-", _xlpm.x)
)</f>
        <v>45979</v>
      </c>
      <c r="X77" s="56">
        <f>_xlfn.LET(
 _xlpm.x,
 _xlfn.MAXIFS(
  raw_stack!H$2:H$100000,
  raw_stack!D$2:D$100000, G77,
  raw_stack!F$2:F$100000, "Iya",
  raw_stack!G$2:G$100000, "&gt;="&amp;DATE(2025,11,1),
  raw_stack!G$2:G$100000, "&lt;="&amp;EOMONTH(DATE(2025,11,1),0)
 ),
 IF(OR(_xlpm.x=0, _xlpm.x=""), "-", _xlpm.x)
)</f>
        <v>37659</v>
      </c>
      <c r="Y77" s="55" t="str">
        <f>_xlfn.LET(
 _xlpm.x,
 _xlfn.MAXIFS(
  raw_stack!G$2:G$99411,
  raw_stack!D$2:D$99411, G77,
  raw_stack!F$2:F$99411, "Iya",
  raw_stack!G$2:G$99411, "&gt;="&amp;DATE(2025,12,1),
  raw_stack!G$2:G$99411, "&lt;="&amp;EOMONTH(DATE(2025,12,1),0)
 ),
 IF(_xlpm.x=0, "-", _xlpm.x)
)</f>
        <v>-</v>
      </c>
      <c r="Z77" s="56" t="str">
        <f>_xlfn.LET(
 _xlpm.x,
 _xlfn.MAXIFS(
  raw_stack!H$2:H$100000,
  raw_stack!D$2:D$100000, G77,
  raw_stack!F$2:F$100000, "Iya",
  raw_stack!G$2:G$100000, "&gt;="&amp;DATE(2025,12,1),
  raw_stack!G$2:G$100000, "&lt;="&amp;EOMONTH(DATE(2025,12,1),0)
 ),
 IF(OR(_xlpm.x=0, _xlpm.x=""), "-", _xlpm.x)
)</f>
        <v>-</v>
      </c>
      <c r="AA77" s="55" t="str">
        <f>_xlfn.LET(
 _xlpm.x,
 _xlfn.MAXIFS(
  raw_stack!G$2:G$99411,
  raw_stack!D$2:D$99411, G77,
  raw_stack!F$2:F$99411, "Iya",
  raw_stack!G$2:G$99411, "&gt;="&amp;DATE(2026,1,1),
  raw_stack!G$2:G$99411, "&lt;="&amp;EOMONTH(DATE(2026,1,1),0)
 ),
 IF(_xlpm.x=0, "-", _xlpm.x)
)</f>
        <v>-</v>
      </c>
      <c r="AB77" s="56" t="str">
        <f>_xlfn.LET(
 _xlpm.x,
 _xlfn.MAXIFS(
  raw_stack!H$2:H$100000,
  raw_stack!D$2:D$100000, G77,
  raw_stack!F$2:F$100000, "Iya",
  raw_stack!G$2:G$100000, "&gt;="&amp;DATE(2026,1,1),
  raw_stack!G$2:G$100000, "&lt;="&amp;EOMONTH(DATE(2026,1,1),0)
 ),
 IF(OR(_xlpm.x=0, _xlpm.x=""), "-", _xlpm.x)
)</f>
        <v>-</v>
      </c>
      <c r="AC77" s="55" t="str">
        <f>_xlfn.LET(
 _xlpm.x,
 _xlfn.MAXIFS(
  raw_stack!G$2:G$99411,
  raw_stack!D$2:D$99411, G77,
  raw_stack!F$2:F$99411, "Iya",
  raw_stack!G$2:G$99411, "&gt;="&amp;DATE(2026,2,1),
  raw_stack!G$2:G$99411, "&lt;="&amp;EOMONTH(DATE(2026,2,1),0)
 ),
 IF(_xlpm.x=0, "-", _xlpm.x)
)</f>
        <v>-</v>
      </c>
      <c r="AD77" s="56" t="str">
        <f>_xlfn.LET(
 _xlpm.x,
 _xlfn.MAXIFS(
  raw_stack!H$2:H$100000,
  raw_stack!D$2:D$100000, G77,
  raw_stack!F$2:F$100000, "Iya",
  raw_stack!G$2:G$100000, "&gt;="&amp;DATE(2026,2,1),
  raw_stack!G$2:G$100000, "&lt;="&amp;EOMONTH(DATE(2026,2,1),0)
 ),
 IF(OR(_xlpm.x=0, _xlpm.x=""), "-", _xlpm.x)
)</f>
        <v>-</v>
      </c>
      <c r="AE77" s="55" t="str">
        <f>_xlfn.LET(
 _xlpm.x,
 _xlfn.MAXIFS(
  raw_stack!G$2:G$100000,
  raw_stack!D$2:D$100000, G77,
  raw_stack!F$2:F$100000, "Iya",
  raw_stack!G$2:G$100000, "&gt;="&amp;DATE(2026,3,1),
  raw_stack!G$2:G$100000, "&lt;="&amp;EOMONTH(DATE(2026,3,1),0)
 ),
 IF(_xlpm.x=0, "-", _xlpm.x)
)</f>
        <v>-</v>
      </c>
      <c r="AF77" s="56" t="str">
        <f>_xlfn.LET(
 _xlpm.x,
 _xlfn.MAXIFS(
  raw_stack!H$2:H$100000,
  raw_stack!D$2:D$100000, G77,
  raw_stack!F$2:F$100000, "Iya",
  raw_stack!G$2:G$100000, "&gt;="&amp;DATE(2026,3,1),
  raw_stack!G$2:G$100000, "&lt;="&amp;EOMONTH(DATE(2026,3,1),0)
 ),
 IF(OR(_xlpm.x=0, _xlpm.x=""), "-", _xlpm.x)
)</f>
        <v>-</v>
      </c>
      <c r="AG77" s="55" t="str">
        <f>_xlfn.LET(
 _xlpm.x,
 _xlfn.MAXIFS(
  raw_stack!G$2:G$100000,
  raw_stack!D$2:D$100000, G77,
  raw_stack!F$2:F$100000, "Iya",
  raw_stack!G$2:G$100000, "&gt;="&amp;DATE(2026,4,1),
  raw_stack!G$2:G$100000, "&lt;="&amp;EOMONTH(DATE(2026,4,1),0)
 ),
 IF(_xlpm.x=0, "-", _xlpm.x)
)</f>
        <v>-</v>
      </c>
      <c r="AH77" s="56" t="str">
        <f>_xlfn.LET(
 _xlpm.x,
 _xlfn.MAXIFS(
  raw_stack!H$2:H$100000,
  raw_stack!D$2:D$100000, G77,
  raw_stack!F$2:F$100000, "Iya",
  raw_stack!G$2:G$100000, "&gt;="&amp;DATE(2026,4,1),
  raw_stack!G$2:G$100000, "&lt;="&amp;EOMONTH(DATE(2026,4,1),0)
 ),
 IF(OR(_xlpm.x=0, _xlpm.x=""), "-", _xlpm.x)
)</f>
        <v>-</v>
      </c>
    </row>
    <row r="78" spans="1:34">
      <c r="A78" s="48">
        <v>77</v>
      </c>
      <c r="B78" s="49" t="str">
        <f t="shared" si="1"/>
        <v>40259</v>
      </c>
      <c r="C78" s="50" t="s">
        <v>46</v>
      </c>
      <c r="D78" s="51" t="s">
        <v>527</v>
      </c>
      <c r="E78" s="51" t="s">
        <v>51</v>
      </c>
      <c r="F78" s="49" t="s">
        <v>117</v>
      </c>
      <c r="G78" s="49" t="s">
        <v>194</v>
      </c>
      <c r="H78" s="49" t="s">
        <v>48</v>
      </c>
      <c r="I78" s="49" t="s">
        <v>52</v>
      </c>
      <c r="J78" s="52">
        <v>3380000</v>
      </c>
      <c r="K78" s="53">
        <v>46062</v>
      </c>
      <c r="L78" s="53">
        <v>46242</v>
      </c>
      <c r="M78" s="53">
        <v>46089</v>
      </c>
      <c r="N78" s="49" t="s">
        <v>50</v>
      </c>
      <c r="O78" s="54" t="str">
        <f>_xlfn.LET(
 _xlpm.x,
 _xlfn.MAXIFS(
  raw_stack!G$2:G$100000,
  raw_stack!D$2:D$100000, G78,
  raw_stack!F$2:F$100000, "Iya",
  raw_stack!G$2:G$100000, "&gt;="&amp;DATE(2025,7,1),
  raw_stack!G$2:G$100000, "&lt;="&amp;EOMONTH(DATE(2025,7,1),0)
 ),
 IF(_xlpm.x=0, "-", _xlpm.x)
)</f>
        <v>-</v>
      </c>
      <c r="P78" s="65" t="str">
        <f>_xlfn.LET(
 _xlpm.x,
 _xlfn.MAXIFS(
  raw_stack!H$2:H$100000,
  raw_stack!D$2:D$100000, G78,
  raw_stack!F$2:F$100000, "Iya",
  raw_stack!G$2:G$100000, "&gt;="&amp;DATE(2025,7,1),
  raw_stack!G$2:G$100000, "&lt;="&amp;EOMONTH(DATE(2025,7,1),0)
 ),
 IF(OR(_xlpm.x=0, _xlpm.x=""), "-", _xlpm.x)
)</f>
        <v>-</v>
      </c>
      <c r="Q78" s="54" t="str">
        <f>_xlfn.LET(
 _xlpm.x,
 _xlfn.MAXIFS(
  raw_stack!G$2:G$99411,
  raw_stack!D$2:D$99411, G78,
  raw_stack!F$2:F$99411, "Iya",
  raw_stack!G$2:G$99411, "&gt;="&amp;DATE(2025,8,1),
  raw_stack!G$2:G$99411, "&lt;="&amp;EOMONTH(DATE(2025,8,1),0)
 ),
 IF(_xlpm.x=0, "-", _xlpm.x)
)</f>
        <v>-</v>
      </c>
      <c r="R78" s="65" t="str">
        <f>_xlfn.LET(
 _xlpm.x,
 _xlfn.MAXIFS(
  raw_stack!H$2:H$100000,
  raw_stack!D$2:D$100000, G78,
  raw_stack!F$2:F$100000, "Iya",
  raw_stack!G$2:G$100000, "&gt;="&amp;DATE(2025,8,1),
  raw_stack!G$2:G$100000, "&lt;="&amp;EOMONTH(DATE(2025,8,1),0)
 ),
 IF(OR(_xlpm.x=0, _xlpm.x=""), "-", _xlpm.x)
)</f>
        <v>-</v>
      </c>
      <c r="S78" s="54" t="str">
        <f>_xlfn.LET(
 _xlpm.x,
 _xlfn.MAXIFS(
  raw_stack!G$2:G$99411,
  raw_stack!D$2:D$99411, G78,
  raw_stack!F$2:F$99411, "Iya",
  raw_stack!G$2:G$99411, "&gt;="&amp;DATE(2025,9,1),
  raw_stack!G$2:G$99411, "&lt;="&amp;EOMONTH(DATE(2025,9,1),0)
 ),
 IF(_xlpm.x=0, "-", _xlpm.x)
)</f>
        <v>-</v>
      </c>
      <c r="T78" s="65" t="str">
        <f>_xlfn.LET(
 _xlpm.x,
 _xlfn.MAXIFS(
  raw_stack!H$2:H$100000,
  raw_stack!D$2:D$100000, G78,
  raw_stack!F$2:F$100000, "Iya",
  raw_stack!G$2:G$100000, "&gt;="&amp;DATE(2025,9,1),
  raw_stack!G$2:G$100000, "&lt;="&amp;EOMONTH(DATE(2025,9,1),0)
 ),
 IF(OR(_xlpm.x=0, _xlpm.x=""), "-", _xlpm.x)
)</f>
        <v>-</v>
      </c>
      <c r="U78" s="54" t="str">
        <f>_xlfn.LET(
 _xlpm.x,
 _xlfn.MAXIFS(
  raw_stack!G$2:G$99411,
  raw_stack!D$2:D$99411, G78,
  raw_stack!F$2:F$99411, "Iya",
  raw_stack!G$2:G$99411, "&gt;="&amp;DATE(2025,10,1),
  raw_stack!G$2:G$99411, "&lt;="&amp;EOMONTH(DATE(2025,10,1),0)
 ),
 IF(_xlpm.x=0, "-", _xlpm.x)
)</f>
        <v>-</v>
      </c>
      <c r="V78" s="65" t="str">
        <f>_xlfn.LET(
 _xlpm.x,
 _xlfn.MAXIFS(
  raw_stack!H$2:H$100000,
  raw_stack!D$2:D$100000, G78,
  raw_stack!F$2:F$100000, "Iya",
  raw_stack!G$2:G$100000, "&gt;="&amp;DATE(2025,10,1),
  raw_stack!G$2:G$100000, "&lt;="&amp;EOMONTH(DATE(2025,10,1),0)
 ),
 IF(OR(_xlpm.x=0, _xlpm.x=""), "-", _xlpm.x)
)</f>
        <v>-</v>
      </c>
      <c r="W78" s="55" t="str">
        <f>_xlfn.LET(
 _xlpm.x,
 _xlfn.MAXIFS(
  raw_stack!G$2:G$99411,
  raw_stack!D$2:D$99411, G78,
  raw_stack!F$2:F$99411, "Iya",
  raw_stack!G$2:G$99411, "&gt;="&amp;DATE(2025,11,1),
  raw_stack!G$2:G$99411, "&lt;="&amp;EOMONTH(DATE(2025,11,1),0)
 ),
 IF(_xlpm.x=0, "-", _xlpm.x)
)</f>
        <v>-</v>
      </c>
      <c r="X78" s="56" t="str">
        <f>_xlfn.LET(
 _xlpm.x,
 _xlfn.MAXIFS(
  raw_stack!H$2:H$100000,
  raw_stack!D$2:D$100000, G78,
  raw_stack!F$2:F$100000, "Iya",
  raw_stack!G$2:G$100000, "&gt;="&amp;DATE(2025,11,1),
  raw_stack!G$2:G$100000, "&lt;="&amp;EOMONTH(DATE(2025,11,1),0)
 ),
 IF(OR(_xlpm.x=0, _xlpm.x=""), "-", _xlpm.x)
)</f>
        <v>-</v>
      </c>
      <c r="Y78" s="55">
        <f>_xlfn.LET(
 _xlpm.x,
 _xlfn.MAXIFS(
  raw_stack!G$2:G$99411,
  raw_stack!D$2:D$99411, G78,
  raw_stack!F$2:F$99411, "Iya",
  raw_stack!G$2:G$99411, "&gt;="&amp;DATE(2025,12,1),
  raw_stack!G$2:G$99411, "&lt;="&amp;EOMONTH(DATE(2025,12,1),0)
 ),
 IF(_xlpm.x=0, "-", _xlpm.x)
)</f>
        <v>46008</v>
      </c>
      <c r="Z78" s="56">
        <f>_xlfn.LET(
 _xlpm.x,
 _xlfn.MAXIFS(
  raw_stack!H$2:H$100000,
  raw_stack!D$2:D$100000, G78,
  raw_stack!F$2:F$100000, "Iya",
  raw_stack!G$2:G$100000, "&gt;="&amp;DATE(2025,12,1),
  raw_stack!G$2:G$100000, "&lt;="&amp;EOMONTH(DATE(2025,12,1),0)
 ),
 IF(OR(_xlpm.x=0, _xlpm.x=""), "-", _xlpm.x)
)</f>
        <v>63171</v>
      </c>
      <c r="AA78" s="55" t="str">
        <f>_xlfn.LET(
 _xlpm.x,
 _xlfn.MAXIFS(
  raw_stack!G$2:G$99411,
  raw_stack!D$2:D$99411, G78,
  raw_stack!F$2:F$99411, "Iya",
  raw_stack!G$2:G$99411, "&gt;="&amp;DATE(2026,1,1),
  raw_stack!G$2:G$99411, "&lt;="&amp;EOMONTH(DATE(2026,1,1),0)
 ),
 IF(_xlpm.x=0, "-", _xlpm.x)
)</f>
        <v>-</v>
      </c>
      <c r="AB78" s="56" t="str">
        <f>_xlfn.LET(
 _xlpm.x,
 _xlfn.MAXIFS(
  raw_stack!H$2:H$100000,
  raw_stack!D$2:D$100000, G78,
  raw_stack!F$2:F$100000, "Iya",
  raw_stack!G$2:G$100000, "&gt;="&amp;DATE(2026,1,1),
  raw_stack!G$2:G$100000, "&lt;="&amp;EOMONTH(DATE(2026,1,1),0)
 ),
 IF(OR(_xlpm.x=0, _xlpm.x=""), "-", _xlpm.x)
)</f>
        <v>-</v>
      </c>
      <c r="AC78" s="55" t="str">
        <f>_xlfn.LET(
 _xlpm.x,
 _xlfn.MAXIFS(
  raw_stack!G$2:G$99411,
  raw_stack!D$2:D$99411, G78,
  raw_stack!F$2:F$99411, "Iya",
  raw_stack!G$2:G$99411, "&gt;="&amp;DATE(2026,2,1),
  raw_stack!G$2:G$99411, "&lt;="&amp;EOMONTH(DATE(2026,2,1),0)
 ),
 IF(_xlpm.x=0, "-", _xlpm.x)
)</f>
        <v>-</v>
      </c>
      <c r="AD78" s="56" t="str">
        <f>_xlfn.LET(
 _xlpm.x,
 _xlfn.MAXIFS(
  raw_stack!H$2:H$100000,
  raw_stack!D$2:D$100000, G78,
  raw_stack!F$2:F$100000, "Iya",
  raw_stack!G$2:G$100000, "&gt;="&amp;DATE(2026,2,1),
  raw_stack!G$2:G$100000, "&lt;="&amp;EOMONTH(DATE(2026,2,1),0)
 ),
 IF(OR(_xlpm.x=0, _xlpm.x=""), "-", _xlpm.x)
)</f>
        <v>-</v>
      </c>
      <c r="AE78" s="55" t="str">
        <f>_xlfn.LET(
 _xlpm.x,
 _xlfn.MAXIFS(
  raw_stack!G$2:G$100000,
  raw_stack!D$2:D$100000, G78,
  raw_stack!F$2:F$100000, "Iya",
  raw_stack!G$2:G$100000, "&gt;="&amp;DATE(2026,3,1),
  raw_stack!G$2:G$100000, "&lt;="&amp;EOMONTH(DATE(2026,3,1),0)
 ),
 IF(_xlpm.x=0, "-", _xlpm.x)
)</f>
        <v>-</v>
      </c>
      <c r="AF78" s="56" t="str">
        <f>_xlfn.LET(
 _xlpm.x,
 _xlfn.MAXIFS(
  raw_stack!H$2:H$100000,
  raw_stack!D$2:D$100000, G78,
  raw_stack!F$2:F$100000, "Iya",
  raw_stack!G$2:G$100000, "&gt;="&amp;DATE(2026,3,1),
  raw_stack!G$2:G$100000, "&lt;="&amp;EOMONTH(DATE(2026,3,1),0)
 ),
 IF(OR(_xlpm.x=0, _xlpm.x=""), "-", _xlpm.x)
)</f>
        <v>-</v>
      </c>
      <c r="AG78" s="55" t="str">
        <f>_xlfn.LET(
 _xlpm.x,
 _xlfn.MAXIFS(
  raw_stack!G$2:G$100000,
  raw_stack!D$2:D$100000, G78,
  raw_stack!F$2:F$100000, "Iya",
  raw_stack!G$2:G$100000, "&gt;="&amp;DATE(2026,4,1),
  raw_stack!G$2:G$100000, "&lt;="&amp;EOMONTH(DATE(2026,4,1),0)
 ),
 IF(_xlpm.x=0, "-", _xlpm.x)
)</f>
        <v>-</v>
      </c>
      <c r="AH78" s="56" t="str">
        <f>_xlfn.LET(
 _xlpm.x,
 _xlfn.MAXIFS(
  raw_stack!H$2:H$100000,
  raw_stack!D$2:D$100000, G78,
  raw_stack!F$2:F$100000, "Iya",
  raw_stack!G$2:G$100000, "&gt;="&amp;DATE(2026,4,1),
  raw_stack!G$2:G$100000, "&lt;="&amp;EOMONTH(DATE(2026,4,1),0)
 ),
 IF(OR(_xlpm.x=0, _xlpm.x=""), "-", _xlpm.x)
)</f>
        <v>-</v>
      </c>
    </row>
    <row r="79" spans="1:34">
      <c r="A79" s="48">
        <v>78</v>
      </c>
      <c r="B79" s="49" t="str">
        <f t="shared" si="1"/>
        <v>27693</v>
      </c>
      <c r="C79" s="50" t="s">
        <v>46</v>
      </c>
      <c r="D79" s="51" t="s">
        <v>528</v>
      </c>
      <c r="E79" s="51" t="s">
        <v>47</v>
      </c>
      <c r="F79" s="49" t="s">
        <v>117</v>
      </c>
      <c r="G79" s="49" t="s">
        <v>195</v>
      </c>
      <c r="H79" s="49" t="s">
        <v>48</v>
      </c>
      <c r="I79" s="49" t="s">
        <v>49</v>
      </c>
      <c r="J79" s="52">
        <v>4495000</v>
      </c>
      <c r="K79" s="53">
        <v>45149</v>
      </c>
      <c r="L79" s="53">
        <v>46244</v>
      </c>
      <c r="M79" s="53">
        <v>46063</v>
      </c>
      <c r="N79" s="49" t="s">
        <v>50</v>
      </c>
      <c r="O79" s="54" t="str">
        <f>_xlfn.LET(
 _xlpm.x,
 _xlfn.MAXIFS(
  raw_stack!G$2:G$100000,
  raw_stack!D$2:D$100000, G79,
  raw_stack!F$2:F$100000, "Iya",
  raw_stack!G$2:G$100000, "&gt;="&amp;DATE(2025,7,1),
  raw_stack!G$2:G$100000, "&lt;="&amp;EOMONTH(DATE(2025,7,1),0)
 ),
 IF(_xlpm.x=0, "-", _xlpm.x)
)</f>
        <v>-</v>
      </c>
      <c r="P79" s="65" t="str">
        <f>_xlfn.LET(
 _xlpm.x,
 _xlfn.MAXIFS(
  raw_stack!H$2:H$100000,
  raw_stack!D$2:D$100000, G79,
  raw_stack!F$2:F$100000, "Iya",
  raw_stack!G$2:G$100000, "&gt;="&amp;DATE(2025,7,1),
  raw_stack!G$2:G$100000, "&lt;="&amp;EOMONTH(DATE(2025,7,1),0)
 ),
 IF(OR(_xlpm.x=0, _xlpm.x=""), "-", _xlpm.x)
)</f>
        <v>-</v>
      </c>
      <c r="Q79" s="54" t="str">
        <f>_xlfn.LET(
 _xlpm.x,
 _xlfn.MAXIFS(
  raw_stack!G$2:G$99411,
  raw_stack!D$2:D$99411, G79,
  raw_stack!F$2:F$99411, "Iya",
  raw_stack!G$2:G$99411, "&gt;="&amp;DATE(2025,8,1),
  raw_stack!G$2:G$99411, "&lt;="&amp;EOMONTH(DATE(2025,8,1),0)
 ),
 IF(_xlpm.x=0, "-", _xlpm.x)
)</f>
        <v>-</v>
      </c>
      <c r="R79" s="65" t="str">
        <f>_xlfn.LET(
 _xlpm.x,
 _xlfn.MAXIFS(
  raw_stack!H$2:H$100000,
  raw_stack!D$2:D$100000, G79,
  raw_stack!F$2:F$100000, "Iya",
  raw_stack!G$2:G$100000, "&gt;="&amp;DATE(2025,8,1),
  raw_stack!G$2:G$100000, "&lt;="&amp;EOMONTH(DATE(2025,8,1),0)
 ),
 IF(OR(_xlpm.x=0, _xlpm.x=""), "-", _xlpm.x)
)</f>
        <v>-</v>
      </c>
      <c r="S79" s="54" t="str">
        <f>_xlfn.LET(
 _xlpm.x,
 _xlfn.MAXIFS(
  raw_stack!G$2:G$99411,
  raw_stack!D$2:D$99411, G79,
  raw_stack!F$2:F$99411, "Iya",
  raw_stack!G$2:G$99411, "&gt;="&amp;DATE(2025,9,1),
  raw_stack!G$2:G$99411, "&lt;="&amp;EOMONTH(DATE(2025,9,1),0)
 ),
 IF(_xlpm.x=0, "-", _xlpm.x)
)</f>
        <v>-</v>
      </c>
      <c r="T79" s="65" t="str">
        <f>_xlfn.LET(
 _xlpm.x,
 _xlfn.MAXIFS(
  raw_stack!H$2:H$100000,
  raw_stack!D$2:D$100000, G79,
  raw_stack!F$2:F$100000, "Iya",
  raw_stack!G$2:G$100000, "&gt;="&amp;DATE(2025,9,1),
  raw_stack!G$2:G$100000, "&lt;="&amp;EOMONTH(DATE(2025,9,1),0)
 ),
 IF(OR(_xlpm.x=0, _xlpm.x=""), "-", _xlpm.x)
)</f>
        <v>-</v>
      </c>
      <c r="U79" s="54" t="str">
        <f>_xlfn.LET(
 _xlpm.x,
 _xlfn.MAXIFS(
  raw_stack!G$2:G$99411,
  raw_stack!D$2:D$99411, G79,
  raw_stack!F$2:F$99411, "Iya",
  raw_stack!G$2:G$99411, "&gt;="&amp;DATE(2025,10,1),
  raw_stack!G$2:G$99411, "&lt;="&amp;EOMONTH(DATE(2025,10,1),0)
 ),
 IF(_xlpm.x=0, "-", _xlpm.x)
)</f>
        <v>-</v>
      </c>
      <c r="V79" s="65" t="str">
        <f>_xlfn.LET(
 _xlpm.x,
 _xlfn.MAXIFS(
  raw_stack!H$2:H$100000,
  raw_stack!D$2:D$100000, G79,
  raw_stack!F$2:F$100000, "Iya",
  raw_stack!G$2:G$100000, "&gt;="&amp;DATE(2025,10,1),
  raw_stack!G$2:G$100000, "&lt;="&amp;EOMONTH(DATE(2025,10,1),0)
 ),
 IF(OR(_xlpm.x=0, _xlpm.x=""), "-", _xlpm.x)
)</f>
        <v>-</v>
      </c>
      <c r="W79" s="55">
        <f>_xlfn.LET(
 _xlpm.x,
 _xlfn.MAXIFS(
  raw_stack!G$2:G$99411,
  raw_stack!D$2:D$99411, G79,
  raw_stack!F$2:F$99411, "Iya",
  raw_stack!G$2:G$99411, "&gt;="&amp;DATE(2025,11,1),
  raw_stack!G$2:G$99411, "&lt;="&amp;EOMONTH(DATE(2025,11,1),0)
 ),
 IF(_xlpm.x=0, "-", _xlpm.x)
)</f>
        <v>45973</v>
      </c>
      <c r="X79" s="56">
        <f>_xlfn.LET(
 _xlpm.x,
 _xlfn.MAXIFS(
  raw_stack!H$2:H$100000,
  raw_stack!D$2:D$100000, G79,
  raw_stack!F$2:F$100000, "Iya",
  raw_stack!G$2:G$100000, "&gt;="&amp;DATE(2025,11,1),
  raw_stack!G$2:G$100000, "&lt;="&amp;EOMONTH(DATE(2025,11,1),0)
 ),
 IF(OR(_xlpm.x=0, _xlpm.x=""), "-", _xlpm.x)
)</f>
        <v>51023</v>
      </c>
      <c r="Y79" s="55">
        <f>_xlfn.LET(
 _xlpm.x,
 _xlfn.MAXIFS(
  raw_stack!G$2:G$99411,
  raw_stack!D$2:D$99411, G79,
  raw_stack!F$2:F$99411, "Iya",
  raw_stack!G$2:G$99411, "&gt;="&amp;DATE(2025,12,1),
  raw_stack!G$2:G$99411, "&lt;="&amp;EOMONTH(DATE(2025,12,1),0)
 ),
 IF(_xlpm.x=0, "-", _xlpm.x)
)</f>
        <v>46002</v>
      </c>
      <c r="Z79" s="56">
        <f>_xlfn.LET(
 _xlpm.x,
 _xlfn.MAXIFS(
  raw_stack!H$2:H$100000,
  raw_stack!D$2:D$100000, G79,
  raw_stack!F$2:F$100000, "Iya",
  raw_stack!G$2:G$100000, "&gt;="&amp;DATE(2025,12,1),
  raw_stack!G$2:G$100000, "&lt;="&amp;EOMONTH(DATE(2025,12,1),0)
 ),
 IF(OR(_xlpm.x=0, _xlpm.x=""), "-", _xlpm.x)
)</f>
        <v>44087</v>
      </c>
      <c r="AA79" s="55" t="str">
        <f>_xlfn.LET(
 _xlpm.x,
 _xlfn.MAXIFS(
  raw_stack!G$2:G$99411,
  raw_stack!D$2:D$99411, G79,
  raw_stack!F$2:F$99411, "Iya",
  raw_stack!G$2:G$99411, "&gt;="&amp;DATE(2026,1,1),
  raw_stack!G$2:G$99411, "&lt;="&amp;EOMONTH(DATE(2026,1,1),0)
 ),
 IF(_xlpm.x=0, "-", _xlpm.x)
)</f>
        <v>-</v>
      </c>
      <c r="AB79" s="56" t="str">
        <f>_xlfn.LET(
 _xlpm.x,
 _xlfn.MAXIFS(
  raw_stack!H$2:H$100000,
  raw_stack!D$2:D$100000, G79,
  raw_stack!F$2:F$100000, "Iya",
  raw_stack!G$2:G$100000, "&gt;="&amp;DATE(2026,1,1),
  raw_stack!G$2:G$100000, "&lt;="&amp;EOMONTH(DATE(2026,1,1),0)
 ),
 IF(OR(_xlpm.x=0, _xlpm.x=""), "-", _xlpm.x)
)</f>
        <v>-</v>
      </c>
      <c r="AC79" s="55" t="str">
        <f>_xlfn.LET(
 _xlpm.x,
 _xlfn.MAXIFS(
  raw_stack!G$2:G$99411,
  raw_stack!D$2:D$99411, G79,
  raw_stack!F$2:F$99411, "Iya",
  raw_stack!G$2:G$99411, "&gt;="&amp;DATE(2026,2,1),
  raw_stack!G$2:G$99411, "&lt;="&amp;EOMONTH(DATE(2026,2,1),0)
 ),
 IF(_xlpm.x=0, "-", _xlpm.x)
)</f>
        <v>-</v>
      </c>
      <c r="AD79" s="56" t="str">
        <f>_xlfn.LET(
 _xlpm.x,
 _xlfn.MAXIFS(
  raw_stack!H$2:H$100000,
  raw_stack!D$2:D$100000, G79,
  raw_stack!F$2:F$100000, "Iya",
  raw_stack!G$2:G$100000, "&gt;="&amp;DATE(2026,2,1),
  raw_stack!G$2:G$100000, "&lt;="&amp;EOMONTH(DATE(2026,2,1),0)
 ),
 IF(OR(_xlpm.x=0, _xlpm.x=""), "-", _xlpm.x)
)</f>
        <v>-</v>
      </c>
      <c r="AE79" s="55">
        <f>_xlfn.LET(
 _xlpm.x,
 _xlfn.MAXIFS(
  raw_stack!G$2:G$100000,
  raw_stack!D$2:D$100000, G79,
  raw_stack!F$2:F$100000, "Iya",
  raw_stack!G$2:G$100000, "&gt;="&amp;DATE(2026,3,1),
  raw_stack!G$2:G$100000, "&lt;="&amp;EOMONTH(DATE(2026,3,1),0)
 ),
 IF(_xlpm.x=0, "-", _xlpm.x)
)</f>
        <v>46092</v>
      </c>
      <c r="AF79" s="56">
        <f>_xlfn.LET(
 _xlpm.x,
 _xlfn.MAXIFS(
  raw_stack!H$2:H$100000,
  raw_stack!D$2:D$100000, G79,
  raw_stack!F$2:F$100000, "Iya",
  raw_stack!G$2:G$100000, "&gt;="&amp;DATE(2026,3,1),
  raw_stack!G$2:G$100000, "&lt;="&amp;EOMONTH(DATE(2026,3,1),0)
 ),
 IF(OR(_xlpm.x=0, _xlpm.x=""), "-", _xlpm.x)
)</f>
        <v>50071</v>
      </c>
      <c r="AG79" s="55" t="str">
        <f>_xlfn.LET(
 _xlpm.x,
 _xlfn.MAXIFS(
  raw_stack!G$2:G$100000,
  raw_stack!D$2:D$100000, G79,
  raw_stack!F$2:F$100000, "Iya",
  raw_stack!G$2:G$100000, "&gt;="&amp;DATE(2026,4,1),
  raw_stack!G$2:G$100000, "&lt;="&amp;EOMONTH(DATE(2026,4,1),0)
 ),
 IF(_xlpm.x=0, "-", _xlpm.x)
)</f>
        <v>-</v>
      </c>
      <c r="AH79" s="56" t="str">
        <f>_xlfn.LET(
 _xlpm.x,
 _xlfn.MAXIFS(
  raw_stack!H$2:H$100000,
  raw_stack!D$2:D$100000, G79,
  raw_stack!F$2:F$100000, "Iya",
  raw_stack!G$2:G$100000, "&gt;="&amp;DATE(2026,4,1),
  raw_stack!G$2:G$100000, "&lt;="&amp;EOMONTH(DATE(2026,4,1),0)
 ),
 IF(OR(_xlpm.x=0, _xlpm.x=""), "-", _xlpm.x)
)</f>
        <v>-</v>
      </c>
    </row>
    <row r="80" spans="1:34">
      <c r="A80" s="48">
        <v>79</v>
      </c>
      <c r="B80" s="49" t="str">
        <f t="shared" si="1"/>
        <v>72402</v>
      </c>
      <c r="C80" s="50" t="s">
        <v>46</v>
      </c>
      <c r="D80" s="51" t="s">
        <v>529</v>
      </c>
      <c r="E80" s="51" t="s">
        <v>51</v>
      </c>
      <c r="F80" s="49" t="s">
        <v>117</v>
      </c>
      <c r="G80" s="49" t="s">
        <v>196</v>
      </c>
      <c r="H80" s="49" t="s">
        <v>48</v>
      </c>
      <c r="I80" s="49" t="s">
        <v>52</v>
      </c>
      <c r="J80" s="52">
        <v>4100000</v>
      </c>
      <c r="K80" s="53">
        <v>45150</v>
      </c>
      <c r="L80" s="53">
        <v>46245</v>
      </c>
      <c r="M80" s="53">
        <v>46092</v>
      </c>
      <c r="N80" s="49" t="s">
        <v>50</v>
      </c>
      <c r="O80" s="54" t="str">
        <f>_xlfn.LET(
 _xlpm.x,
 _xlfn.MAXIFS(
  raw_stack!G$2:G$100000,
  raw_stack!D$2:D$100000, G80,
  raw_stack!F$2:F$100000, "Iya",
  raw_stack!G$2:G$100000, "&gt;="&amp;DATE(2025,7,1),
  raw_stack!G$2:G$100000, "&lt;="&amp;EOMONTH(DATE(2025,7,1),0)
 ),
 IF(_xlpm.x=0, "-", _xlpm.x)
)</f>
        <v>-</v>
      </c>
      <c r="P80" s="65" t="str">
        <f>_xlfn.LET(
 _xlpm.x,
 _xlfn.MAXIFS(
  raw_stack!H$2:H$100000,
  raw_stack!D$2:D$100000, G80,
  raw_stack!F$2:F$100000, "Iya",
  raw_stack!G$2:G$100000, "&gt;="&amp;DATE(2025,7,1),
  raw_stack!G$2:G$100000, "&lt;="&amp;EOMONTH(DATE(2025,7,1),0)
 ),
 IF(OR(_xlpm.x=0, _xlpm.x=""), "-", _xlpm.x)
)</f>
        <v>-</v>
      </c>
      <c r="Q80" s="54" t="str">
        <f>_xlfn.LET(
 _xlpm.x,
 _xlfn.MAXIFS(
  raw_stack!G$2:G$99411,
  raw_stack!D$2:D$99411, G80,
  raw_stack!F$2:F$99411, "Iya",
  raw_stack!G$2:G$99411, "&gt;="&amp;DATE(2025,8,1),
  raw_stack!G$2:G$99411, "&lt;="&amp;EOMONTH(DATE(2025,8,1),0)
 ),
 IF(_xlpm.x=0, "-", _xlpm.x)
)</f>
        <v>-</v>
      </c>
      <c r="R80" s="65" t="str">
        <f>_xlfn.LET(
 _xlpm.x,
 _xlfn.MAXIFS(
  raw_stack!H$2:H$100000,
  raw_stack!D$2:D$100000, G80,
  raw_stack!F$2:F$100000, "Iya",
  raw_stack!G$2:G$100000, "&gt;="&amp;DATE(2025,8,1),
  raw_stack!G$2:G$100000, "&lt;="&amp;EOMONTH(DATE(2025,8,1),0)
 ),
 IF(OR(_xlpm.x=0, _xlpm.x=""), "-", _xlpm.x)
)</f>
        <v>-</v>
      </c>
      <c r="S80" s="54">
        <f>_xlfn.LET(
 _xlpm.x,
 _xlfn.MAXIFS(
  raw_stack!G$2:G$99411,
  raw_stack!D$2:D$99411, G80,
  raw_stack!F$2:F$99411, "Iya",
  raw_stack!G$2:G$99411, "&gt;="&amp;DATE(2025,9,1),
  raw_stack!G$2:G$99411, "&lt;="&amp;EOMONTH(DATE(2025,9,1),0)
 ),
 IF(_xlpm.x=0, "-", _xlpm.x)
)</f>
        <v>45904</v>
      </c>
      <c r="T80" s="65">
        <f>_xlfn.LET(
 _xlpm.x,
 _xlfn.MAXIFS(
  raw_stack!H$2:H$100000,
  raw_stack!D$2:D$100000, G80,
  raw_stack!F$2:F$100000, "Iya",
  raw_stack!G$2:G$100000, "&gt;="&amp;DATE(2025,9,1),
  raw_stack!G$2:G$100000, "&lt;="&amp;EOMONTH(DATE(2025,9,1),0)
 ),
 IF(OR(_xlpm.x=0, _xlpm.x=""), "-", _xlpm.x)
)</f>
        <v>70397</v>
      </c>
      <c r="U80" s="54" t="str">
        <f>_xlfn.LET(
 _xlpm.x,
 _xlfn.MAXIFS(
  raw_stack!G$2:G$99411,
  raw_stack!D$2:D$99411, G80,
  raw_stack!F$2:F$99411, "Iya",
  raw_stack!G$2:G$99411, "&gt;="&amp;DATE(2025,10,1),
  raw_stack!G$2:G$99411, "&lt;="&amp;EOMONTH(DATE(2025,10,1),0)
 ),
 IF(_xlpm.x=0, "-", _xlpm.x)
)</f>
        <v>-</v>
      </c>
      <c r="V80" s="65" t="str">
        <f>_xlfn.LET(
 _xlpm.x,
 _xlfn.MAXIFS(
  raw_stack!H$2:H$100000,
  raw_stack!D$2:D$100000, G80,
  raw_stack!F$2:F$100000, "Iya",
  raw_stack!G$2:G$100000, "&gt;="&amp;DATE(2025,10,1),
  raw_stack!G$2:G$100000, "&lt;="&amp;EOMONTH(DATE(2025,10,1),0)
 ),
 IF(OR(_xlpm.x=0, _xlpm.x=""), "-", _xlpm.x)
)</f>
        <v>-</v>
      </c>
      <c r="W80" s="55" t="str">
        <f>_xlfn.LET(
 _xlpm.x,
 _xlfn.MAXIFS(
  raw_stack!G$2:G$99411,
  raw_stack!D$2:D$99411, G80,
  raw_stack!F$2:F$99411, "Iya",
  raw_stack!G$2:G$99411, "&gt;="&amp;DATE(2025,11,1),
  raw_stack!G$2:G$99411, "&lt;="&amp;EOMONTH(DATE(2025,11,1),0)
 ),
 IF(_xlpm.x=0, "-", _xlpm.x)
)</f>
        <v>-</v>
      </c>
      <c r="X80" s="56" t="str">
        <f>_xlfn.LET(
 _xlpm.x,
 _xlfn.MAXIFS(
  raw_stack!H$2:H$100000,
  raw_stack!D$2:D$100000, G80,
  raw_stack!F$2:F$100000, "Iya",
  raw_stack!G$2:G$100000, "&gt;="&amp;DATE(2025,11,1),
  raw_stack!G$2:G$100000, "&lt;="&amp;EOMONTH(DATE(2025,11,1),0)
 ),
 IF(OR(_xlpm.x=0, _xlpm.x=""), "-", _xlpm.x)
)</f>
        <v>-</v>
      </c>
      <c r="Y80" s="55" t="str">
        <f>_xlfn.LET(
 _xlpm.x,
 _xlfn.MAXIFS(
  raw_stack!G$2:G$99411,
  raw_stack!D$2:D$99411, G80,
  raw_stack!F$2:F$99411, "Iya",
  raw_stack!G$2:G$99411, "&gt;="&amp;DATE(2025,12,1),
  raw_stack!G$2:G$99411, "&lt;="&amp;EOMONTH(DATE(2025,12,1),0)
 ),
 IF(_xlpm.x=0, "-", _xlpm.x)
)</f>
        <v>-</v>
      </c>
      <c r="Z80" s="56" t="str">
        <f>_xlfn.LET(
 _xlpm.x,
 _xlfn.MAXIFS(
  raw_stack!H$2:H$100000,
  raw_stack!D$2:D$100000, G80,
  raw_stack!F$2:F$100000, "Iya",
  raw_stack!G$2:G$100000, "&gt;="&amp;DATE(2025,12,1),
  raw_stack!G$2:G$100000, "&lt;="&amp;EOMONTH(DATE(2025,12,1),0)
 ),
 IF(OR(_xlpm.x=0, _xlpm.x=""), "-", _xlpm.x)
)</f>
        <v>-</v>
      </c>
      <c r="AA80" s="55" t="str">
        <f>_xlfn.LET(
 _xlpm.x,
 _xlfn.MAXIFS(
  raw_stack!G$2:G$99411,
  raw_stack!D$2:D$99411, G80,
  raw_stack!F$2:F$99411, "Iya",
  raw_stack!G$2:G$99411, "&gt;="&amp;DATE(2026,1,1),
  raw_stack!G$2:G$99411, "&lt;="&amp;EOMONTH(DATE(2026,1,1),0)
 ),
 IF(_xlpm.x=0, "-", _xlpm.x)
)</f>
        <v>-</v>
      </c>
      <c r="AB80" s="56" t="str">
        <f>_xlfn.LET(
 _xlpm.x,
 _xlfn.MAXIFS(
  raw_stack!H$2:H$100000,
  raw_stack!D$2:D$100000, G80,
  raw_stack!F$2:F$100000, "Iya",
  raw_stack!G$2:G$100000, "&gt;="&amp;DATE(2026,1,1),
  raw_stack!G$2:G$100000, "&lt;="&amp;EOMONTH(DATE(2026,1,1),0)
 ),
 IF(OR(_xlpm.x=0, _xlpm.x=""), "-", _xlpm.x)
)</f>
        <v>-</v>
      </c>
      <c r="AC80" s="55" t="str">
        <f>_xlfn.LET(
 _xlpm.x,
 _xlfn.MAXIFS(
  raw_stack!G$2:G$99411,
  raw_stack!D$2:D$99411, G80,
  raw_stack!F$2:F$99411, "Iya",
  raw_stack!G$2:G$99411, "&gt;="&amp;DATE(2026,2,1),
  raw_stack!G$2:G$99411, "&lt;="&amp;EOMONTH(DATE(2026,2,1),0)
 ),
 IF(_xlpm.x=0, "-", _xlpm.x)
)</f>
        <v>-</v>
      </c>
      <c r="AD80" s="56" t="str">
        <f>_xlfn.LET(
 _xlpm.x,
 _xlfn.MAXIFS(
  raw_stack!H$2:H$100000,
  raw_stack!D$2:D$100000, G80,
  raw_stack!F$2:F$100000, "Iya",
  raw_stack!G$2:G$100000, "&gt;="&amp;DATE(2026,2,1),
  raw_stack!G$2:G$100000, "&lt;="&amp;EOMONTH(DATE(2026,2,1),0)
 ),
 IF(OR(_xlpm.x=0, _xlpm.x=""), "-", _xlpm.x)
)</f>
        <v>-</v>
      </c>
      <c r="AE80" s="55" t="str">
        <f>_xlfn.LET(
 _xlpm.x,
 _xlfn.MAXIFS(
  raw_stack!G$2:G$100000,
  raw_stack!D$2:D$100000, G80,
  raw_stack!F$2:F$100000, "Iya",
  raw_stack!G$2:G$100000, "&gt;="&amp;DATE(2026,3,1),
  raw_stack!G$2:G$100000, "&lt;="&amp;EOMONTH(DATE(2026,3,1),0)
 ),
 IF(_xlpm.x=0, "-", _xlpm.x)
)</f>
        <v>-</v>
      </c>
      <c r="AF80" s="56" t="str">
        <f>_xlfn.LET(
 _xlpm.x,
 _xlfn.MAXIFS(
  raw_stack!H$2:H$100000,
  raw_stack!D$2:D$100000, G80,
  raw_stack!F$2:F$100000, "Iya",
  raw_stack!G$2:G$100000, "&gt;="&amp;DATE(2026,3,1),
  raw_stack!G$2:G$100000, "&lt;="&amp;EOMONTH(DATE(2026,3,1),0)
 ),
 IF(OR(_xlpm.x=0, _xlpm.x=""), "-", _xlpm.x)
)</f>
        <v>-</v>
      </c>
      <c r="AG80" s="55" t="str">
        <f>_xlfn.LET(
 _xlpm.x,
 _xlfn.MAXIFS(
  raw_stack!G$2:G$100000,
  raw_stack!D$2:D$100000, G80,
  raw_stack!F$2:F$100000, "Iya",
  raw_stack!G$2:G$100000, "&gt;="&amp;DATE(2026,4,1),
  raw_stack!G$2:G$100000, "&lt;="&amp;EOMONTH(DATE(2026,4,1),0)
 ),
 IF(_xlpm.x=0, "-", _xlpm.x)
)</f>
        <v>-</v>
      </c>
      <c r="AH80" s="56" t="str">
        <f>_xlfn.LET(
 _xlpm.x,
 _xlfn.MAXIFS(
  raw_stack!H$2:H$100000,
  raw_stack!D$2:D$100000, G80,
  raw_stack!F$2:F$100000, "Iya",
  raw_stack!G$2:G$100000, "&gt;="&amp;DATE(2026,4,1),
  raw_stack!G$2:G$100000, "&lt;="&amp;EOMONTH(DATE(2026,4,1),0)
 ),
 IF(OR(_xlpm.x=0, _xlpm.x=""), "-", _xlpm.x)
)</f>
        <v>-</v>
      </c>
    </row>
    <row r="81" spans="1:34">
      <c r="A81" s="48">
        <v>80</v>
      </c>
      <c r="B81" s="49" t="str">
        <f t="shared" si="1"/>
        <v>36094</v>
      </c>
      <c r="C81" s="50" t="s">
        <v>46</v>
      </c>
      <c r="D81" s="51" t="s">
        <v>530</v>
      </c>
      <c r="E81" s="51" t="s">
        <v>53</v>
      </c>
      <c r="F81" s="49" t="s">
        <v>117</v>
      </c>
      <c r="G81" s="49" t="s">
        <v>197</v>
      </c>
      <c r="H81" s="49" t="s">
        <v>48</v>
      </c>
      <c r="I81" s="49" t="s">
        <v>52</v>
      </c>
      <c r="J81" s="52">
        <v>3850000</v>
      </c>
      <c r="K81" s="53">
        <v>45154</v>
      </c>
      <c r="L81" s="53">
        <v>46249</v>
      </c>
      <c r="M81" s="53">
        <v>46096</v>
      </c>
      <c r="N81" s="49" t="s">
        <v>50</v>
      </c>
      <c r="O81" s="54" t="str">
        <f>_xlfn.LET(
 _xlpm.x,
 _xlfn.MAXIFS(
  raw_stack!G$2:G$100000,
  raw_stack!D$2:D$100000, G81,
  raw_stack!F$2:F$100000, "Iya",
  raw_stack!G$2:G$100000, "&gt;="&amp;DATE(2025,7,1),
  raw_stack!G$2:G$100000, "&lt;="&amp;EOMONTH(DATE(2025,7,1),0)
 ),
 IF(_xlpm.x=0, "-", _xlpm.x)
)</f>
        <v>-</v>
      </c>
      <c r="P81" s="65" t="str">
        <f>_xlfn.LET(
 _xlpm.x,
 _xlfn.MAXIFS(
  raw_stack!H$2:H$100000,
  raw_stack!D$2:D$100000, G81,
  raw_stack!F$2:F$100000, "Iya",
  raw_stack!G$2:G$100000, "&gt;="&amp;DATE(2025,7,1),
  raw_stack!G$2:G$100000, "&lt;="&amp;EOMONTH(DATE(2025,7,1),0)
 ),
 IF(OR(_xlpm.x=0, _xlpm.x=""), "-", _xlpm.x)
)</f>
        <v>-</v>
      </c>
      <c r="Q81" s="54">
        <f>_xlfn.LET(
 _xlpm.x,
 _xlfn.MAXIFS(
  raw_stack!G$2:G$99411,
  raw_stack!D$2:D$99411, G81,
  raw_stack!F$2:F$99411, "Iya",
  raw_stack!G$2:G$99411, "&gt;="&amp;DATE(2025,8,1),
  raw_stack!G$2:G$99411, "&lt;="&amp;EOMONTH(DATE(2025,8,1),0)
 ),
 IF(_xlpm.x=0, "-", _xlpm.x)
)</f>
        <v>45898</v>
      </c>
      <c r="R81" s="65">
        <f>_xlfn.LET(
 _xlpm.x,
 _xlfn.MAXIFS(
  raw_stack!H$2:H$100000,
  raw_stack!D$2:D$100000, G81,
  raw_stack!F$2:F$100000, "Iya",
  raw_stack!G$2:G$100000, "&gt;="&amp;DATE(2025,8,1),
  raw_stack!G$2:G$100000, "&lt;="&amp;EOMONTH(DATE(2025,8,1),0)
 ),
 IF(OR(_xlpm.x=0, _xlpm.x=""), "-", _xlpm.x)
)</f>
        <v>32515</v>
      </c>
      <c r="S81" s="54" t="str">
        <f>_xlfn.LET(
 _xlpm.x,
 _xlfn.MAXIFS(
  raw_stack!G$2:G$99411,
  raw_stack!D$2:D$99411, G81,
  raw_stack!F$2:F$99411, "Iya",
  raw_stack!G$2:G$99411, "&gt;="&amp;DATE(2025,9,1),
  raw_stack!G$2:G$99411, "&lt;="&amp;EOMONTH(DATE(2025,9,1),0)
 ),
 IF(_xlpm.x=0, "-", _xlpm.x)
)</f>
        <v>-</v>
      </c>
      <c r="T81" s="65" t="str">
        <f>_xlfn.LET(
 _xlpm.x,
 _xlfn.MAXIFS(
  raw_stack!H$2:H$100000,
  raw_stack!D$2:D$100000, G81,
  raw_stack!F$2:F$100000, "Iya",
  raw_stack!G$2:G$100000, "&gt;="&amp;DATE(2025,9,1),
  raw_stack!G$2:G$100000, "&lt;="&amp;EOMONTH(DATE(2025,9,1),0)
 ),
 IF(OR(_xlpm.x=0, _xlpm.x=""), "-", _xlpm.x)
)</f>
        <v>-</v>
      </c>
      <c r="U81" s="54" t="str">
        <f>_xlfn.LET(
 _xlpm.x,
 _xlfn.MAXIFS(
  raw_stack!G$2:G$99411,
  raw_stack!D$2:D$99411, G81,
  raw_stack!F$2:F$99411, "Iya",
  raw_stack!G$2:G$99411, "&gt;="&amp;DATE(2025,10,1),
  raw_stack!G$2:G$99411, "&lt;="&amp;EOMONTH(DATE(2025,10,1),0)
 ),
 IF(_xlpm.x=0, "-", _xlpm.x)
)</f>
        <v>-</v>
      </c>
      <c r="V81" s="65" t="str">
        <f>_xlfn.LET(
 _xlpm.x,
 _xlfn.MAXIFS(
  raw_stack!H$2:H$100000,
  raw_stack!D$2:D$100000, G81,
  raw_stack!F$2:F$100000, "Iya",
  raw_stack!G$2:G$100000, "&gt;="&amp;DATE(2025,10,1),
  raw_stack!G$2:G$100000, "&lt;="&amp;EOMONTH(DATE(2025,10,1),0)
 ),
 IF(OR(_xlpm.x=0, _xlpm.x=""), "-", _xlpm.x)
)</f>
        <v>-</v>
      </c>
      <c r="W81" s="55" t="str">
        <f>_xlfn.LET(
 _xlpm.x,
 _xlfn.MAXIFS(
  raw_stack!G$2:G$99411,
  raw_stack!D$2:D$99411, G81,
  raw_stack!F$2:F$99411, "Iya",
  raw_stack!G$2:G$99411, "&gt;="&amp;DATE(2025,11,1),
  raw_stack!G$2:G$99411, "&lt;="&amp;EOMONTH(DATE(2025,11,1),0)
 ),
 IF(_xlpm.x=0, "-", _xlpm.x)
)</f>
        <v>-</v>
      </c>
      <c r="X81" s="56" t="str">
        <f>_xlfn.LET(
 _xlpm.x,
 _xlfn.MAXIFS(
  raw_stack!H$2:H$100000,
  raw_stack!D$2:D$100000, G81,
  raw_stack!F$2:F$100000, "Iya",
  raw_stack!G$2:G$100000, "&gt;="&amp;DATE(2025,11,1),
  raw_stack!G$2:G$100000, "&lt;="&amp;EOMONTH(DATE(2025,11,1),0)
 ),
 IF(OR(_xlpm.x=0, _xlpm.x=""), "-", _xlpm.x)
)</f>
        <v>-</v>
      </c>
      <c r="Y81" s="55" t="str">
        <f>_xlfn.LET(
 _xlpm.x,
 _xlfn.MAXIFS(
  raw_stack!G$2:G$99411,
  raw_stack!D$2:D$99411, G81,
  raw_stack!F$2:F$99411, "Iya",
  raw_stack!G$2:G$99411, "&gt;="&amp;DATE(2025,12,1),
  raw_stack!G$2:G$99411, "&lt;="&amp;EOMONTH(DATE(2025,12,1),0)
 ),
 IF(_xlpm.x=0, "-", _xlpm.x)
)</f>
        <v>-</v>
      </c>
      <c r="Z81" s="56" t="str">
        <f>_xlfn.LET(
 _xlpm.x,
 _xlfn.MAXIFS(
  raw_stack!H$2:H$100000,
  raw_stack!D$2:D$100000, G81,
  raw_stack!F$2:F$100000, "Iya",
  raw_stack!G$2:G$100000, "&gt;="&amp;DATE(2025,12,1),
  raw_stack!G$2:G$100000, "&lt;="&amp;EOMONTH(DATE(2025,12,1),0)
 ),
 IF(OR(_xlpm.x=0, _xlpm.x=""), "-", _xlpm.x)
)</f>
        <v>-</v>
      </c>
      <c r="AA81" s="55" t="str">
        <f>_xlfn.LET(
 _xlpm.x,
 _xlfn.MAXIFS(
  raw_stack!G$2:G$99411,
  raw_stack!D$2:D$99411, G81,
  raw_stack!F$2:F$99411, "Iya",
  raw_stack!G$2:G$99411, "&gt;="&amp;DATE(2026,1,1),
  raw_stack!G$2:G$99411, "&lt;="&amp;EOMONTH(DATE(2026,1,1),0)
 ),
 IF(_xlpm.x=0, "-", _xlpm.x)
)</f>
        <v>-</v>
      </c>
      <c r="AB81" s="56" t="str">
        <f>_xlfn.LET(
 _xlpm.x,
 _xlfn.MAXIFS(
  raw_stack!H$2:H$100000,
  raw_stack!D$2:D$100000, G81,
  raw_stack!F$2:F$100000, "Iya",
  raw_stack!G$2:G$100000, "&gt;="&amp;DATE(2026,1,1),
  raw_stack!G$2:G$100000, "&lt;="&amp;EOMONTH(DATE(2026,1,1),0)
 ),
 IF(OR(_xlpm.x=0, _xlpm.x=""), "-", _xlpm.x)
)</f>
        <v>-</v>
      </c>
      <c r="AC81" s="55" t="str">
        <f>_xlfn.LET(
 _xlpm.x,
 _xlfn.MAXIFS(
  raw_stack!G$2:G$99411,
  raw_stack!D$2:D$99411, G81,
  raw_stack!F$2:F$99411, "Iya",
  raw_stack!G$2:G$99411, "&gt;="&amp;DATE(2026,2,1),
  raw_stack!G$2:G$99411, "&lt;="&amp;EOMONTH(DATE(2026,2,1),0)
 ),
 IF(_xlpm.x=0, "-", _xlpm.x)
)</f>
        <v>-</v>
      </c>
      <c r="AD81" s="56" t="str">
        <f>_xlfn.LET(
 _xlpm.x,
 _xlfn.MAXIFS(
  raw_stack!H$2:H$100000,
  raw_stack!D$2:D$100000, G81,
  raw_stack!F$2:F$100000, "Iya",
  raw_stack!G$2:G$100000, "&gt;="&amp;DATE(2026,2,1),
  raw_stack!G$2:G$100000, "&lt;="&amp;EOMONTH(DATE(2026,2,1),0)
 ),
 IF(OR(_xlpm.x=0, _xlpm.x=""), "-", _xlpm.x)
)</f>
        <v>-</v>
      </c>
      <c r="AE81" s="55">
        <f>_xlfn.LET(
 _xlpm.x,
 _xlfn.MAXIFS(
  raw_stack!G$2:G$100000,
  raw_stack!D$2:D$100000, G81,
  raw_stack!F$2:F$100000, "Iya",
  raw_stack!G$2:G$100000, "&gt;="&amp;DATE(2026,3,1),
  raw_stack!G$2:G$100000, "&lt;="&amp;EOMONTH(DATE(2026,3,1),0)
 ),
 IF(_xlpm.x=0, "-", _xlpm.x)
)</f>
        <v>46087</v>
      </c>
      <c r="AF81" s="56">
        <f>_xlfn.LET(
 _xlpm.x,
 _xlfn.MAXIFS(
  raw_stack!H$2:H$100000,
  raw_stack!D$2:D$100000, G81,
  raw_stack!F$2:F$100000, "Iya",
  raw_stack!G$2:G$100000, "&gt;="&amp;DATE(2026,3,1),
  raw_stack!G$2:G$100000, "&lt;="&amp;EOMONTH(DATE(2026,3,1),0)
 ),
 IF(OR(_xlpm.x=0, _xlpm.x=""), "-", _xlpm.x)
)</f>
        <v>33220</v>
      </c>
      <c r="AG81" s="55" t="str">
        <f>_xlfn.LET(
 _xlpm.x,
 _xlfn.MAXIFS(
  raw_stack!G$2:G$100000,
  raw_stack!D$2:D$100000, G81,
  raw_stack!F$2:F$100000, "Iya",
  raw_stack!G$2:G$100000, "&gt;="&amp;DATE(2026,4,1),
  raw_stack!G$2:G$100000, "&lt;="&amp;EOMONTH(DATE(2026,4,1),0)
 ),
 IF(_xlpm.x=0, "-", _xlpm.x)
)</f>
        <v>-</v>
      </c>
      <c r="AH81" s="56" t="str">
        <f>_xlfn.LET(
 _xlpm.x,
 _xlfn.MAXIFS(
  raw_stack!H$2:H$100000,
  raw_stack!D$2:D$100000, G81,
  raw_stack!F$2:F$100000, "Iya",
  raw_stack!G$2:G$100000, "&gt;="&amp;DATE(2026,4,1),
  raw_stack!G$2:G$100000, "&lt;="&amp;EOMONTH(DATE(2026,4,1),0)
 ),
 IF(OR(_xlpm.x=0, _xlpm.x=""), "-", _xlpm.x)
)</f>
        <v>-</v>
      </c>
    </row>
    <row r="82" spans="1:34">
      <c r="A82" s="48">
        <v>81</v>
      </c>
      <c r="B82" s="49" t="str">
        <f t="shared" si="1"/>
        <v>14599</v>
      </c>
      <c r="C82" s="50" t="s">
        <v>46</v>
      </c>
      <c r="D82" s="51" t="s">
        <v>506</v>
      </c>
      <c r="E82" s="51" t="s">
        <v>47</v>
      </c>
      <c r="F82" s="49" t="s">
        <v>117</v>
      </c>
      <c r="G82" s="49" t="s">
        <v>198</v>
      </c>
      <c r="H82" s="49" t="s">
        <v>48</v>
      </c>
      <c r="I82" s="49" t="s">
        <v>49</v>
      </c>
      <c r="J82" s="52">
        <v>4100000</v>
      </c>
      <c r="K82" s="53">
        <v>45887</v>
      </c>
      <c r="L82" s="53">
        <v>46251</v>
      </c>
      <c r="M82" s="53">
        <v>46098</v>
      </c>
      <c r="N82" s="49" t="s">
        <v>50</v>
      </c>
      <c r="O82" s="54" t="str">
        <f>_xlfn.LET(
 _xlpm.x,
 _xlfn.MAXIFS(
  raw_stack!G$2:G$100000,
  raw_stack!D$2:D$100000, G82,
  raw_stack!F$2:F$100000, "Iya",
  raw_stack!G$2:G$100000, "&gt;="&amp;DATE(2025,7,1),
  raw_stack!G$2:G$100000, "&lt;="&amp;EOMONTH(DATE(2025,7,1),0)
 ),
 IF(_xlpm.x=0, "-", _xlpm.x)
)</f>
        <v>-</v>
      </c>
      <c r="P82" s="65" t="str">
        <f>_xlfn.LET(
 _xlpm.x,
 _xlfn.MAXIFS(
  raw_stack!H$2:H$100000,
  raw_stack!D$2:D$100000, G82,
  raw_stack!F$2:F$100000, "Iya",
  raw_stack!G$2:G$100000, "&gt;="&amp;DATE(2025,7,1),
  raw_stack!G$2:G$100000, "&lt;="&amp;EOMONTH(DATE(2025,7,1),0)
 ),
 IF(OR(_xlpm.x=0, _xlpm.x=""), "-", _xlpm.x)
)</f>
        <v>-</v>
      </c>
      <c r="Q82" s="54">
        <f>_xlfn.LET(
 _xlpm.x,
 _xlfn.MAXIFS(
  raw_stack!G$2:G$99411,
  raw_stack!D$2:D$99411, G82,
  raw_stack!F$2:F$99411, "Iya",
  raw_stack!G$2:G$99411, "&gt;="&amp;DATE(2025,8,1),
  raw_stack!G$2:G$99411, "&lt;="&amp;EOMONTH(DATE(2025,8,1),0)
 ),
 IF(_xlpm.x=0, "-", _xlpm.x)
)</f>
        <v>45887</v>
      </c>
      <c r="R82" s="65">
        <f>_xlfn.LET(
 _xlpm.x,
 _xlfn.MAXIFS(
  raw_stack!H$2:H$100000,
  raw_stack!D$2:D$100000, G82,
  raw_stack!F$2:F$100000, "Iya",
  raw_stack!G$2:G$100000, "&gt;="&amp;DATE(2025,8,1),
  raw_stack!G$2:G$100000, "&lt;="&amp;EOMONTH(DATE(2025,8,1),0)
 ),
 IF(OR(_xlpm.x=0, _xlpm.x=""), "-", _xlpm.x)
)</f>
        <v>49843</v>
      </c>
      <c r="S82" s="54" t="str">
        <f>_xlfn.LET(
 _xlpm.x,
 _xlfn.MAXIFS(
  raw_stack!G$2:G$99411,
  raw_stack!D$2:D$99411, G82,
  raw_stack!F$2:F$99411, "Iya",
  raw_stack!G$2:G$99411, "&gt;="&amp;DATE(2025,9,1),
  raw_stack!G$2:G$99411, "&lt;="&amp;EOMONTH(DATE(2025,9,1),0)
 ),
 IF(_xlpm.x=0, "-", _xlpm.x)
)</f>
        <v>-</v>
      </c>
      <c r="T82" s="65" t="str">
        <f>_xlfn.LET(
 _xlpm.x,
 _xlfn.MAXIFS(
  raw_stack!H$2:H$100000,
  raw_stack!D$2:D$100000, G82,
  raw_stack!F$2:F$100000, "Iya",
  raw_stack!G$2:G$100000, "&gt;="&amp;DATE(2025,9,1),
  raw_stack!G$2:G$100000, "&lt;="&amp;EOMONTH(DATE(2025,9,1),0)
 ),
 IF(OR(_xlpm.x=0, _xlpm.x=""), "-", _xlpm.x)
)</f>
        <v>-</v>
      </c>
      <c r="U82" s="54" t="str">
        <f>_xlfn.LET(
 _xlpm.x,
 _xlfn.MAXIFS(
  raw_stack!G$2:G$99411,
  raw_stack!D$2:D$99411, G82,
  raw_stack!F$2:F$99411, "Iya",
  raw_stack!G$2:G$99411, "&gt;="&amp;DATE(2025,10,1),
  raw_stack!G$2:G$99411, "&lt;="&amp;EOMONTH(DATE(2025,10,1),0)
 ),
 IF(_xlpm.x=0, "-", _xlpm.x)
)</f>
        <v>-</v>
      </c>
      <c r="V82" s="65" t="str">
        <f>_xlfn.LET(
 _xlpm.x,
 _xlfn.MAXIFS(
  raw_stack!H$2:H$100000,
  raw_stack!D$2:D$100000, G82,
  raw_stack!F$2:F$100000, "Iya",
  raw_stack!G$2:G$100000, "&gt;="&amp;DATE(2025,10,1),
  raw_stack!G$2:G$100000, "&lt;="&amp;EOMONTH(DATE(2025,10,1),0)
 ),
 IF(OR(_xlpm.x=0, _xlpm.x=""), "-", _xlpm.x)
)</f>
        <v>-</v>
      </c>
      <c r="W82" s="55" t="str">
        <f>_xlfn.LET(
 _xlpm.x,
 _xlfn.MAXIFS(
  raw_stack!G$2:G$99411,
  raw_stack!D$2:D$99411, G82,
  raw_stack!F$2:F$99411, "Iya",
  raw_stack!G$2:G$99411, "&gt;="&amp;DATE(2025,11,1),
  raw_stack!G$2:G$99411, "&lt;="&amp;EOMONTH(DATE(2025,11,1),0)
 ),
 IF(_xlpm.x=0, "-", _xlpm.x)
)</f>
        <v>-</v>
      </c>
      <c r="X82" s="56" t="str">
        <f>_xlfn.LET(
 _xlpm.x,
 _xlfn.MAXIFS(
  raw_stack!H$2:H$100000,
  raw_stack!D$2:D$100000, G82,
  raw_stack!F$2:F$100000, "Iya",
  raw_stack!G$2:G$100000, "&gt;="&amp;DATE(2025,11,1),
  raw_stack!G$2:G$100000, "&lt;="&amp;EOMONTH(DATE(2025,11,1),0)
 ),
 IF(OR(_xlpm.x=0, _xlpm.x=""), "-", _xlpm.x)
)</f>
        <v>-</v>
      </c>
      <c r="Y82" s="55" t="str">
        <f>_xlfn.LET(
 _xlpm.x,
 _xlfn.MAXIFS(
  raw_stack!G$2:G$99411,
  raw_stack!D$2:D$99411, G82,
  raw_stack!F$2:F$99411, "Iya",
  raw_stack!G$2:G$99411, "&gt;="&amp;DATE(2025,12,1),
  raw_stack!G$2:G$99411, "&lt;="&amp;EOMONTH(DATE(2025,12,1),0)
 ),
 IF(_xlpm.x=0, "-", _xlpm.x)
)</f>
        <v>-</v>
      </c>
      <c r="Z82" s="56" t="str">
        <f>_xlfn.LET(
 _xlpm.x,
 _xlfn.MAXIFS(
  raw_stack!H$2:H$100000,
  raw_stack!D$2:D$100000, G82,
  raw_stack!F$2:F$100000, "Iya",
  raw_stack!G$2:G$100000, "&gt;="&amp;DATE(2025,12,1),
  raw_stack!G$2:G$100000, "&lt;="&amp;EOMONTH(DATE(2025,12,1),0)
 ),
 IF(OR(_xlpm.x=0, _xlpm.x=""), "-", _xlpm.x)
)</f>
        <v>-</v>
      </c>
      <c r="AA82" s="55" t="str">
        <f>_xlfn.LET(
 _xlpm.x,
 _xlfn.MAXIFS(
  raw_stack!G$2:G$99411,
  raw_stack!D$2:D$99411, G82,
  raw_stack!F$2:F$99411, "Iya",
  raw_stack!G$2:G$99411, "&gt;="&amp;DATE(2026,1,1),
  raw_stack!G$2:G$99411, "&lt;="&amp;EOMONTH(DATE(2026,1,1),0)
 ),
 IF(_xlpm.x=0, "-", _xlpm.x)
)</f>
        <v>-</v>
      </c>
      <c r="AB82" s="56" t="str">
        <f>_xlfn.LET(
 _xlpm.x,
 _xlfn.MAXIFS(
  raw_stack!H$2:H$100000,
  raw_stack!D$2:D$100000, G82,
  raw_stack!F$2:F$100000, "Iya",
  raw_stack!G$2:G$100000, "&gt;="&amp;DATE(2026,1,1),
  raw_stack!G$2:G$100000, "&lt;="&amp;EOMONTH(DATE(2026,1,1),0)
 ),
 IF(OR(_xlpm.x=0, _xlpm.x=""), "-", _xlpm.x)
)</f>
        <v>-</v>
      </c>
      <c r="AC82" s="55" t="str">
        <f>_xlfn.LET(
 _xlpm.x,
 _xlfn.MAXIFS(
  raw_stack!G$2:G$99411,
  raw_stack!D$2:D$99411, G82,
  raw_stack!F$2:F$99411, "Iya",
  raw_stack!G$2:G$99411, "&gt;="&amp;DATE(2026,2,1),
  raw_stack!G$2:G$99411, "&lt;="&amp;EOMONTH(DATE(2026,2,1),0)
 ),
 IF(_xlpm.x=0, "-", _xlpm.x)
)</f>
        <v>-</v>
      </c>
      <c r="AD82" s="56" t="str">
        <f>_xlfn.LET(
 _xlpm.x,
 _xlfn.MAXIFS(
  raw_stack!H$2:H$100000,
  raw_stack!D$2:D$100000, G82,
  raw_stack!F$2:F$100000, "Iya",
  raw_stack!G$2:G$100000, "&gt;="&amp;DATE(2026,2,1),
  raw_stack!G$2:G$100000, "&lt;="&amp;EOMONTH(DATE(2026,2,1),0)
 ),
 IF(OR(_xlpm.x=0, _xlpm.x=""), "-", _xlpm.x)
)</f>
        <v>-</v>
      </c>
      <c r="AE82" s="55">
        <f>_xlfn.LET(
 _xlpm.x,
 _xlfn.MAXIFS(
  raw_stack!G$2:G$100000,
  raw_stack!D$2:D$100000, G82,
  raw_stack!F$2:F$100000, "Iya",
  raw_stack!G$2:G$100000, "&gt;="&amp;DATE(2026,3,1),
  raw_stack!G$2:G$100000, "&lt;="&amp;EOMONTH(DATE(2026,3,1),0)
 ),
 IF(_xlpm.x=0, "-", _xlpm.x)
)</f>
        <v>46088</v>
      </c>
      <c r="AF82" s="56">
        <f>_xlfn.LET(
 _xlpm.x,
 _xlfn.MAXIFS(
  raw_stack!H$2:H$100000,
  raw_stack!D$2:D$100000, G82,
  raw_stack!F$2:F$100000, "Iya",
  raw_stack!G$2:G$100000, "&gt;="&amp;DATE(2026,3,1),
  raw_stack!G$2:G$100000, "&lt;="&amp;EOMONTH(DATE(2026,3,1),0)
 ),
 IF(OR(_xlpm.x=0, _xlpm.x=""), "-", _xlpm.x)
)</f>
        <v>52947</v>
      </c>
      <c r="AG82" s="55" t="str">
        <f>_xlfn.LET(
 _xlpm.x,
 _xlfn.MAXIFS(
  raw_stack!G$2:G$100000,
  raw_stack!D$2:D$100000, G82,
  raw_stack!F$2:F$100000, "Iya",
  raw_stack!G$2:G$100000, "&gt;="&amp;DATE(2026,4,1),
  raw_stack!G$2:G$100000, "&lt;="&amp;EOMONTH(DATE(2026,4,1),0)
 ),
 IF(_xlpm.x=0, "-", _xlpm.x)
)</f>
        <v>-</v>
      </c>
      <c r="AH82" s="56" t="str">
        <f>_xlfn.LET(
 _xlpm.x,
 _xlfn.MAXIFS(
  raw_stack!H$2:H$100000,
  raw_stack!D$2:D$100000, G82,
  raw_stack!F$2:F$100000, "Iya",
  raw_stack!G$2:G$100000, "&gt;="&amp;DATE(2026,4,1),
  raw_stack!G$2:G$100000, "&lt;="&amp;EOMONTH(DATE(2026,4,1),0)
 ),
 IF(OR(_xlpm.x=0, _xlpm.x=""), "-", _xlpm.x)
)</f>
        <v>-</v>
      </c>
    </row>
    <row r="83" spans="1:34">
      <c r="A83" s="48">
        <v>82</v>
      </c>
      <c r="B83" s="49" t="str">
        <f t="shared" si="1"/>
        <v>20958</v>
      </c>
      <c r="C83" s="50" t="s">
        <v>46</v>
      </c>
      <c r="D83" s="51" t="s">
        <v>531</v>
      </c>
      <c r="E83" s="51" t="s">
        <v>53</v>
      </c>
      <c r="F83" s="49" t="s">
        <v>117</v>
      </c>
      <c r="G83" s="49" t="s">
        <v>199</v>
      </c>
      <c r="H83" s="49" t="s">
        <v>48</v>
      </c>
      <c r="I83" s="49" t="s">
        <v>52</v>
      </c>
      <c r="J83" s="52">
        <v>4000000</v>
      </c>
      <c r="K83" s="53">
        <v>45159</v>
      </c>
      <c r="L83" s="53">
        <v>46254</v>
      </c>
      <c r="M83" s="53">
        <v>46073</v>
      </c>
      <c r="N83" s="49" t="s">
        <v>50</v>
      </c>
      <c r="O83" s="54" t="str">
        <f>_xlfn.LET(
 _xlpm.x,
 _xlfn.MAXIFS(
  raw_stack!G$2:G$100000,
  raw_stack!D$2:D$100000, G83,
  raw_stack!F$2:F$100000, "Iya",
  raw_stack!G$2:G$100000, "&gt;="&amp;DATE(2025,7,1),
  raw_stack!G$2:G$100000, "&lt;="&amp;EOMONTH(DATE(2025,7,1),0)
 ),
 IF(_xlpm.x=0, "-", _xlpm.x)
)</f>
        <v>-</v>
      </c>
      <c r="P83" s="65" t="str">
        <f>_xlfn.LET(
 _xlpm.x,
 _xlfn.MAXIFS(
  raw_stack!H$2:H$100000,
  raw_stack!D$2:D$100000, G83,
  raw_stack!F$2:F$100000, "Iya",
  raw_stack!G$2:G$100000, "&gt;="&amp;DATE(2025,7,1),
  raw_stack!G$2:G$100000, "&lt;="&amp;EOMONTH(DATE(2025,7,1),0)
 ),
 IF(OR(_xlpm.x=0, _xlpm.x=""), "-", _xlpm.x)
)</f>
        <v>-</v>
      </c>
      <c r="Q83" s="54" t="str">
        <f>_xlfn.LET(
 _xlpm.x,
 _xlfn.MAXIFS(
  raw_stack!G$2:G$99411,
  raw_stack!D$2:D$99411, G83,
  raw_stack!F$2:F$99411, "Iya",
  raw_stack!G$2:G$99411, "&gt;="&amp;DATE(2025,8,1),
  raw_stack!G$2:G$99411, "&lt;="&amp;EOMONTH(DATE(2025,8,1),0)
 ),
 IF(_xlpm.x=0, "-", _xlpm.x)
)</f>
        <v>-</v>
      </c>
      <c r="R83" s="65" t="str">
        <f>_xlfn.LET(
 _xlpm.x,
 _xlfn.MAXIFS(
  raw_stack!H$2:H$100000,
  raw_stack!D$2:D$100000, G83,
  raw_stack!F$2:F$100000, "Iya",
  raw_stack!G$2:G$100000, "&gt;="&amp;DATE(2025,8,1),
  raw_stack!G$2:G$100000, "&lt;="&amp;EOMONTH(DATE(2025,8,1),0)
 ),
 IF(OR(_xlpm.x=0, _xlpm.x=""), "-", _xlpm.x)
)</f>
        <v>-</v>
      </c>
      <c r="S83" s="54">
        <f>_xlfn.LET(
 _xlpm.x,
 _xlfn.MAXIFS(
  raw_stack!G$2:G$99411,
  raw_stack!D$2:D$99411, G83,
  raw_stack!F$2:F$99411, "Iya",
  raw_stack!G$2:G$99411, "&gt;="&amp;DATE(2025,9,1),
  raw_stack!G$2:G$99411, "&lt;="&amp;EOMONTH(DATE(2025,9,1),0)
 ),
 IF(_xlpm.x=0, "-", _xlpm.x)
)</f>
        <v>45902</v>
      </c>
      <c r="T83" s="65">
        <f>_xlfn.LET(
 _xlpm.x,
 _xlfn.MAXIFS(
  raw_stack!H$2:H$100000,
  raw_stack!D$2:D$100000, G83,
  raw_stack!F$2:F$100000, "Iya",
  raw_stack!G$2:G$100000, "&gt;="&amp;DATE(2025,9,1),
  raw_stack!G$2:G$100000, "&lt;="&amp;EOMONTH(DATE(2025,9,1),0)
 ),
 IF(OR(_xlpm.x=0, _xlpm.x=""), "-", _xlpm.x)
)</f>
        <v>24299</v>
      </c>
      <c r="U83" s="54" t="str">
        <f>_xlfn.LET(
 _xlpm.x,
 _xlfn.MAXIFS(
  raw_stack!G$2:G$99411,
  raw_stack!D$2:D$99411, G83,
  raw_stack!F$2:F$99411, "Iya",
  raw_stack!G$2:G$99411, "&gt;="&amp;DATE(2025,10,1),
  raw_stack!G$2:G$99411, "&lt;="&amp;EOMONTH(DATE(2025,10,1),0)
 ),
 IF(_xlpm.x=0, "-", _xlpm.x)
)</f>
        <v>-</v>
      </c>
      <c r="V83" s="65" t="str">
        <f>_xlfn.LET(
 _xlpm.x,
 _xlfn.MAXIFS(
  raw_stack!H$2:H$100000,
  raw_stack!D$2:D$100000, G83,
  raw_stack!F$2:F$100000, "Iya",
  raw_stack!G$2:G$100000, "&gt;="&amp;DATE(2025,10,1),
  raw_stack!G$2:G$100000, "&lt;="&amp;EOMONTH(DATE(2025,10,1),0)
 ),
 IF(OR(_xlpm.x=0, _xlpm.x=""), "-", _xlpm.x)
)</f>
        <v>-</v>
      </c>
      <c r="W83" s="55" t="str">
        <f>_xlfn.LET(
 _xlpm.x,
 _xlfn.MAXIFS(
  raw_stack!G$2:G$99411,
  raw_stack!D$2:D$99411, G83,
  raw_stack!F$2:F$99411, "Iya",
  raw_stack!G$2:G$99411, "&gt;="&amp;DATE(2025,11,1),
  raw_stack!G$2:G$99411, "&lt;="&amp;EOMONTH(DATE(2025,11,1),0)
 ),
 IF(_xlpm.x=0, "-", _xlpm.x)
)</f>
        <v>-</v>
      </c>
      <c r="X83" s="56" t="str">
        <f>_xlfn.LET(
 _xlpm.x,
 _xlfn.MAXIFS(
  raw_stack!H$2:H$100000,
  raw_stack!D$2:D$100000, G83,
  raw_stack!F$2:F$100000, "Iya",
  raw_stack!G$2:G$100000, "&gt;="&amp;DATE(2025,11,1),
  raw_stack!G$2:G$100000, "&lt;="&amp;EOMONTH(DATE(2025,11,1),0)
 ),
 IF(OR(_xlpm.x=0, _xlpm.x=""), "-", _xlpm.x)
)</f>
        <v>-</v>
      </c>
      <c r="Y83" s="55" t="str">
        <f>_xlfn.LET(
 _xlpm.x,
 _xlfn.MAXIFS(
  raw_stack!G$2:G$99411,
  raw_stack!D$2:D$99411, G83,
  raw_stack!F$2:F$99411, "Iya",
  raw_stack!G$2:G$99411, "&gt;="&amp;DATE(2025,12,1),
  raw_stack!G$2:G$99411, "&lt;="&amp;EOMONTH(DATE(2025,12,1),0)
 ),
 IF(_xlpm.x=0, "-", _xlpm.x)
)</f>
        <v>-</v>
      </c>
      <c r="Z83" s="56" t="str">
        <f>_xlfn.LET(
 _xlpm.x,
 _xlfn.MAXIFS(
  raw_stack!H$2:H$100000,
  raw_stack!D$2:D$100000, G83,
  raw_stack!F$2:F$100000, "Iya",
  raw_stack!G$2:G$100000, "&gt;="&amp;DATE(2025,12,1),
  raw_stack!G$2:G$100000, "&lt;="&amp;EOMONTH(DATE(2025,12,1),0)
 ),
 IF(OR(_xlpm.x=0, _xlpm.x=""), "-", _xlpm.x)
)</f>
        <v>-</v>
      </c>
      <c r="AA83" s="55" t="str">
        <f>_xlfn.LET(
 _xlpm.x,
 _xlfn.MAXIFS(
  raw_stack!G$2:G$99411,
  raw_stack!D$2:D$99411, G83,
  raw_stack!F$2:F$99411, "Iya",
  raw_stack!G$2:G$99411, "&gt;="&amp;DATE(2026,1,1),
  raw_stack!G$2:G$99411, "&lt;="&amp;EOMONTH(DATE(2026,1,1),0)
 ),
 IF(_xlpm.x=0, "-", _xlpm.x)
)</f>
        <v>-</v>
      </c>
      <c r="AB83" s="56" t="str">
        <f>_xlfn.LET(
 _xlpm.x,
 _xlfn.MAXIFS(
  raw_stack!H$2:H$100000,
  raw_stack!D$2:D$100000, G83,
  raw_stack!F$2:F$100000, "Iya",
  raw_stack!G$2:G$100000, "&gt;="&amp;DATE(2026,1,1),
  raw_stack!G$2:G$100000, "&lt;="&amp;EOMONTH(DATE(2026,1,1),0)
 ),
 IF(OR(_xlpm.x=0, _xlpm.x=""), "-", _xlpm.x)
)</f>
        <v>-</v>
      </c>
      <c r="AC83" s="55" t="str">
        <f>_xlfn.LET(
 _xlpm.x,
 _xlfn.MAXIFS(
  raw_stack!G$2:G$99411,
  raw_stack!D$2:D$99411, G83,
  raw_stack!F$2:F$99411, "Iya",
  raw_stack!G$2:G$99411, "&gt;="&amp;DATE(2026,2,1),
  raw_stack!G$2:G$99411, "&lt;="&amp;EOMONTH(DATE(2026,2,1),0)
 ),
 IF(_xlpm.x=0, "-", _xlpm.x)
)</f>
        <v>-</v>
      </c>
      <c r="AD83" s="56" t="str">
        <f>_xlfn.LET(
 _xlpm.x,
 _xlfn.MAXIFS(
  raw_stack!H$2:H$100000,
  raw_stack!D$2:D$100000, G83,
  raw_stack!F$2:F$100000, "Iya",
  raw_stack!G$2:G$100000, "&gt;="&amp;DATE(2026,2,1),
  raw_stack!G$2:G$100000, "&lt;="&amp;EOMONTH(DATE(2026,2,1),0)
 ),
 IF(OR(_xlpm.x=0, _xlpm.x=""), "-", _xlpm.x)
)</f>
        <v>-</v>
      </c>
      <c r="AE83" s="55" t="str">
        <f>_xlfn.LET(
 _xlpm.x,
 _xlfn.MAXIFS(
  raw_stack!G$2:G$100000,
  raw_stack!D$2:D$100000, G83,
  raw_stack!F$2:F$100000, "Iya",
  raw_stack!G$2:G$100000, "&gt;="&amp;DATE(2026,3,1),
  raw_stack!G$2:G$100000, "&lt;="&amp;EOMONTH(DATE(2026,3,1),0)
 ),
 IF(_xlpm.x=0, "-", _xlpm.x)
)</f>
        <v>-</v>
      </c>
      <c r="AF83" s="56" t="str">
        <f>_xlfn.LET(
 _xlpm.x,
 _xlfn.MAXIFS(
  raw_stack!H$2:H$100000,
  raw_stack!D$2:D$100000, G83,
  raw_stack!F$2:F$100000, "Iya",
  raw_stack!G$2:G$100000, "&gt;="&amp;DATE(2026,3,1),
  raw_stack!G$2:G$100000, "&lt;="&amp;EOMONTH(DATE(2026,3,1),0)
 ),
 IF(OR(_xlpm.x=0, _xlpm.x=""), "-", _xlpm.x)
)</f>
        <v>-</v>
      </c>
      <c r="AG83" s="55" t="str">
        <f>_xlfn.LET(
 _xlpm.x,
 _xlfn.MAXIFS(
  raw_stack!G$2:G$100000,
  raw_stack!D$2:D$100000, G83,
  raw_stack!F$2:F$100000, "Iya",
  raw_stack!G$2:G$100000, "&gt;="&amp;DATE(2026,4,1),
  raw_stack!G$2:G$100000, "&lt;="&amp;EOMONTH(DATE(2026,4,1),0)
 ),
 IF(_xlpm.x=0, "-", _xlpm.x)
)</f>
        <v>-</v>
      </c>
      <c r="AH83" s="56" t="str">
        <f>_xlfn.LET(
 _xlpm.x,
 _xlfn.MAXIFS(
  raw_stack!H$2:H$100000,
  raw_stack!D$2:D$100000, G83,
  raw_stack!F$2:F$100000, "Iya",
  raw_stack!G$2:G$100000, "&gt;="&amp;DATE(2026,4,1),
  raw_stack!G$2:G$100000, "&lt;="&amp;EOMONTH(DATE(2026,4,1),0)
 ),
 IF(OR(_xlpm.x=0, _xlpm.x=""), "-", _xlpm.x)
)</f>
        <v>-</v>
      </c>
    </row>
    <row r="84" spans="1:34">
      <c r="A84" s="48">
        <v>83</v>
      </c>
      <c r="B84" s="49" t="str">
        <f t="shared" si="1"/>
        <v>29309</v>
      </c>
      <c r="C84" s="50" t="s">
        <v>46</v>
      </c>
      <c r="D84" s="51" t="s">
        <v>532</v>
      </c>
      <c r="E84" s="51" t="s">
        <v>47</v>
      </c>
      <c r="F84" s="49" t="s">
        <v>117</v>
      </c>
      <c r="G84" s="49" t="s">
        <v>200</v>
      </c>
      <c r="H84" s="49" t="s">
        <v>48</v>
      </c>
      <c r="I84" s="49" t="s">
        <v>49</v>
      </c>
      <c r="J84" s="52">
        <v>3925000</v>
      </c>
      <c r="K84" s="53">
        <v>45890</v>
      </c>
      <c r="L84" s="53">
        <v>46254</v>
      </c>
      <c r="M84" s="53">
        <v>46043</v>
      </c>
      <c r="N84" s="49" t="s">
        <v>50</v>
      </c>
      <c r="O84" s="54" t="str">
        <f>_xlfn.LET(
 _xlpm.x,
 _xlfn.MAXIFS(
  raw_stack!G$2:G$100000,
  raw_stack!D$2:D$100000, G84,
  raw_stack!F$2:F$100000, "Iya",
  raw_stack!G$2:G$100000, "&gt;="&amp;DATE(2025,7,1),
  raw_stack!G$2:G$100000, "&lt;="&amp;EOMONTH(DATE(2025,7,1),0)
 ),
 IF(_xlpm.x=0, "-", _xlpm.x)
)</f>
        <v>-</v>
      </c>
      <c r="P84" s="65" t="str">
        <f>_xlfn.LET(
 _xlpm.x,
 _xlfn.MAXIFS(
  raw_stack!H$2:H$100000,
  raw_stack!D$2:D$100000, G84,
  raw_stack!F$2:F$100000, "Iya",
  raw_stack!G$2:G$100000, "&gt;="&amp;DATE(2025,7,1),
  raw_stack!G$2:G$100000, "&lt;="&amp;EOMONTH(DATE(2025,7,1),0)
 ),
 IF(OR(_xlpm.x=0, _xlpm.x=""), "-", _xlpm.x)
)</f>
        <v>-</v>
      </c>
      <c r="Q84" s="54" t="str">
        <f>_xlfn.LET(
 _xlpm.x,
 _xlfn.MAXIFS(
  raw_stack!G$2:G$99411,
  raw_stack!D$2:D$99411, G84,
  raw_stack!F$2:F$99411, "Iya",
  raw_stack!G$2:G$99411, "&gt;="&amp;DATE(2025,8,1),
  raw_stack!G$2:G$99411, "&lt;="&amp;EOMONTH(DATE(2025,8,1),0)
 ),
 IF(_xlpm.x=0, "-", _xlpm.x)
)</f>
        <v>-</v>
      </c>
      <c r="R84" s="65" t="str">
        <f>_xlfn.LET(
 _xlpm.x,
 _xlfn.MAXIFS(
  raw_stack!H$2:H$100000,
  raw_stack!D$2:D$100000, G84,
  raw_stack!F$2:F$100000, "Iya",
  raw_stack!G$2:G$100000, "&gt;="&amp;DATE(2025,8,1),
  raw_stack!G$2:G$100000, "&lt;="&amp;EOMONTH(DATE(2025,8,1),0)
 ),
 IF(OR(_xlpm.x=0, _xlpm.x=""), "-", _xlpm.x)
)</f>
        <v>-</v>
      </c>
      <c r="S84" s="54" t="str">
        <f>_xlfn.LET(
 _xlpm.x,
 _xlfn.MAXIFS(
  raw_stack!G$2:G$99411,
  raw_stack!D$2:D$99411, G84,
  raw_stack!F$2:F$99411, "Iya",
  raw_stack!G$2:G$99411, "&gt;="&amp;DATE(2025,9,1),
  raw_stack!G$2:G$99411, "&lt;="&amp;EOMONTH(DATE(2025,9,1),0)
 ),
 IF(_xlpm.x=0, "-", _xlpm.x)
)</f>
        <v>-</v>
      </c>
      <c r="T84" s="65" t="str">
        <f>_xlfn.LET(
 _xlpm.x,
 _xlfn.MAXIFS(
  raw_stack!H$2:H$100000,
  raw_stack!D$2:D$100000, G84,
  raw_stack!F$2:F$100000, "Iya",
  raw_stack!G$2:G$100000, "&gt;="&amp;DATE(2025,9,1),
  raw_stack!G$2:G$100000, "&lt;="&amp;EOMONTH(DATE(2025,9,1),0)
 ),
 IF(OR(_xlpm.x=0, _xlpm.x=""), "-", _xlpm.x)
)</f>
        <v>-</v>
      </c>
      <c r="U84" s="54">
        <f>_xlfn.LET(
 _xlpm.x,
 _xlfn.MAXIFS(
  raw_stack!G$2:G$99411,
  raw_stack!D$2:D$99411, G84,
  raw_stack!F$2:F$99411, "Iya",
  raw_stack!G$2:G$99411, "&gt;="&amp;DATE(2025,10,1),
  raw_stack!G$2:G$99411, "&lt;="&amp;EOMONTH(DATE(2025,10,1),0)
 ),
 IF(_xlpm.x=0, "-", _xlpm.x)
)</f>
        <v>45938</v>
      </c>
      <c r="V84" s="65">
        <f>_xlfn.LET(
 _xlpm.x,
 _xlfn.MAXIFS(
  raw_stack!H$2:H$100000,
  raw_stack!D$2:D$100000, G84,
  raw_stack!F$2:F$100000, "Iya",
  raw_stack!G$2:G$100000, "&gt;="&amp;DATE(2025,10,1),
  raw_stack!G$2:G$100000, "&lt;="&amp;EOMONTH(DATE(2025,10,1),0)
 ),
 IF(OR(_xlpm.x=0, _xlpm.x=""), "-", _xlpm.x)
)</f>
        <v>113889</v>
      </c>
      <c r="W84" s="55" t="str">
        <f>_xlfn.LET(
 _xlpm.x,
 _xlfn.MAXIFS(
  raw_stack!G$2:G$99411,
  raw_stack!D$2:D$99411, G84,
  raw_stack!F$2:F$99411, "Iya",
  raw_stack!G$2:G$99411, "&gt;="&amp;DATE(2025,11,1),
  raw_stack!G$2:G$99411, "&lt;="&amp;EOMONTH(DATE(2025,11,1),0)
 ),
 IF(_xlpm.x=0, "-", _xlpm.x)
)</f>
        <v>-</v>
      </c>
      <c r="X84" s="56" t="str">
        <f>_xlfn.LET(
 _xlpm.x,
 _xlfn.MAXIFS(
  raw_stack!H$2:H$100000,
  raw_stack!D$2:D$100000, G84,
  raw_stack!F$2:F$100000, "Iya",
  raw_stack!G$2:G$100000, "&gt;="&amp;DATE(2025,11,1),
  raw_stack!G$2:G$100000, "&lt;="&amp;EOMONTH(DATE(2025,11,1),0)
 ),
 IF(OR(_xlpm.x=0, _xlpm.x=""), "-", _xlpm.x)
)</f>
        <v>-</v>
      </c>
      <c r="Y84" s="55" t="str">
        <f>_xlfn.LET(
 _xlpm.x,
 _xlfn.MAXIFS(
  raw_stack!G$2:G$99411,
  raw_stack!D$2:D$99411, G84,
  raw_stack!F$2:F$99411, "Iya",
  raw_stack!G$2:G$99411, "&gt;="&amp;DATE(2025,12,1),
  raw_stack!G$2:G$99411, "&lt;="&amp;EOMONTH(DATE(2025,12,1),0)
 ),
 IF(_xlpm.x=0, "-", _xlpm.x)
)</f>
        <v>-</v>
      </c>
      <c r="Z84" s="56" t="str">
        <f>_xlfn.LET(
 _xlpm.x,
 _xlfn.MAXIFS(
  raw_stack!H$2:H$100000,
  raw_stack!D$2:D$100000, G84,
  raw_stack!F$2:F$100000, "Iya",
  raw_stack!G$2:G$100000, "&gt;="&amp;DATE(2025,12,1),
  raw_stack!G$2:G$100000, "&lt;="&amp;EOMONTH(DATE(2025,12,1),0)
 ),
 IF(OR(_xlpm.x=0, _xlpm.x=""), "-", _xlpm.x)
)</f>
        <v>-</v>
      </c>
      <c r="AA84" s="55" t="str">
        <f>_xlfn.LET(
 _xlpm.x,
 _xlfn.MAXIFS(
  raw_stack!G$2:G$99411,
  raw_stack!D$2:D$99411, G84,
  raw_stack!F$2:F$99411, "Iya",
  raw_stack!G$2:G$99411, "&gt;="&amp;DATE(2026,1,1),
  raw_stack!G$2:G$99411, "&lt;="&amp;EOMONTH(DATE(2026,1,1),0)
 ),
 IF(_xlpm.x=0, "-", _xlpm.x)
)</f>
        <v>-</v>
      </c>
      <c r="AB84" s="56" t="str">
        <f>_xlfn.LET(
 _xlpm.x,
 _xlfn.MAXIFS(
  raw_stack!H$2:H$100000,
  raw_stack!D$2:D$100000, G84,
  raw_stack!F$2:F$100000, "Iya",
  raw_stack!G$2:G$100000, "&gt;="&amp;DATE(2026,1,1),
  raw_stack!G$2:G$100000, "&lt;="&amp;EOMONTH(DATE(2026,1,1),0)
 ),
 IF(OR(_xlpm.x=0, _xlpm.x=""), "-", _xlpm.x)
)</f>
        <v>-</v>
      </c>
      <c r="AC84" s="55" t="str">
        <f>_xlfn.LET(
 _xlpm.x,
 _xlfn.MAXIFS(
  raw_stack!G$2:G$99411,
  raw_stack!D$2:D$99411, G84,
  raw_stack!F$2:F$99411, "Iya",
  raw_stack!G$2:G$99411, "&gt;="&amp;DATE(2026,2,1),
  raw_stack!G$2:G$99411, "&lt;="&amp;EOMONTH(DATE(2026,2,1),0)
 ),
 IF(_xlpm.x=0, "-", _xlpm.x)
)</f>
        <v>-</v>
      </c>
      <c r="AD84" s="56" t="str">
        <f>_xlfn.LET(
 _xlpm.x,
 _xlfn.MAXIFS(
  raw_stack!H$2:H$100000,
  raw_stack!D$2:D$100000, G84,
  raw_stack!F$2:F$100000, "Iya",
  raw_stack!G$2:G$100000, "&gt;="&amp;DATE(2026,2,1),
  raw_stack!G$2:G$100000, "&lt;="&amp;EOMONTH(DATE(2026,2,1),0)
 ),
 IF(OR(_xlpm.x=0, _xlpm.x=""), "-", _xlpm.x)
)</f>
        <v>-</v>
      </c>
      <c r="AE84" s="55">
        <f>_xlfn.LET(
 _xlpm.x,
 _xlfn.MAXIFS(
  raw_stack!G$2:G$100000,
  raw_stack!D$2:D$100000, G84,
  raw_stack!F$2:F$100000, "Iya",
  raw_stack!G$2:G$100000, "&gt;="&amp;DATE(2026,3,1),
  raw_stack!G$2:G$100000, "&lt;="&amp;EOMONTH(DATE(2026,3,1),0)
 ),
 IF(_xlpm.x=0, "-", _xlpm.x)
)</f>
        <v>46088</v>
      </c>
      <c r="AF84" s="56">
        <f>_xlfn.LET(
 _xlpm.x,
 _xlfn.MAXIFS(
  raw_stack!H$2:H$100000,
  raw_stack!D$2:D$100000, G84,
  raw_stack!F$2:F$100000, "Iya",
  raw_stack!G$2:G$100000, "&gt;="&amp;DATE(2026,3,1),
  raw_stack!G$2:G$100000, "&lt;="&amp;EOMONTH(DATE(2026,3,1),0)
 ),
 IF(OR(_xlpm.x=0, _xlpm.x=""), "-", _xlpm.x)
)</f>
        <v>117613</v>
      </c>
      <c r="AG84" s="55" t="str">
        <f>_xlfn.LET(
 _xlpm.x,
 _xlfn.MAXIFS(
  raw_stack!G$2:G$100000,
  raw_stack!D$2:D$100000, G84,
  raw_stack!F$2:F$100000, "Iya",
  raw_stack!G$2:G$100000, "&gt;="&amp;DATE(2026,4,1),
  raw_stack!G$2:G$100000, "&lt;="&amp;EOMONTH(DATE(2026,4,1),0)
 ),
 IF(_xlpm.x=0, "-", _xlpm.x)
)</f>
        <v>-</v>
      </c>
      <c r="AH84" s="56" t="str">
        <f>_xlfn.LET(
 _xlpm.x,
 _xlfn.MAXIFS(
  raw_stack!H$2:H$100000,
  raw_stack!D$2:D$100000, G84,
  raw_stack!F$2:F$100000, "Iya",
  raw_stack!G$2:G$100000, "&gt;="&amp;DATE(2026,4,1),
  raw_stack!G$2:G$100000, "&lt;="&amp;EOMONTH(DATE(2026,4,1),0)
 ),
 IF(OR(_xlpm.x=0, _xlpm.x=""), "-", _xlpm.x)
)</f>
        <v>-</v>
      </c>
    </row>
    <row r="85" spans="1:34">
      <c r="A85" s="48">
        <v>84</v>
      </c>
      <c r="B85" s="49" t="str">
        <f t="shared" si="1"/>
        <v>66880</v>
      </c>
      <c r="C85" s="50" t="s">
        <v>46</v>
      </c>
      <c r="D85" s="51" t="s">
        <v>533</v>
      </c>
      <c r="E85" s="51" t="s">
        <v>54</v>
      </c>
      <c r="F85" s="49" t="s">
        <v>117</v>
      </c>
      <c r="G85" s="49" t="s">
        <v>201</v>
      </c>
      <c r="H85" s="49" t="s">
        <v>48</v>
      </c>
      <c r="I85" s="49" t="s">
        <v>52</v>
      </c>
      <c r="J85" s="52">
        <v>6450000</v>
      </c>
      <c r="K85" s="53">
        <v>45163</v>
      </c>
      <c r="L85" s="53">
        <v>46258</v>
      </c>
      <c r="M85" s="53">
        <v>46077</v>
      </c>
      <c r="N85" s="49" t="s">
        <v>50</v>
      </c>
      <c r="O85" s="54" t="str">
        <f>_xlfn.LET(
 _xlpm.x,
 _xlfn.MAXIFS(
  raw_stack!G$2:G$100000,
  raw_stack!D$2:D$100000, G85,
  raw_stack!F$2:F$100000, "Iya",
  raw_stack!G$2:G$100000, "&gt;="&amp;DATE(2025,7,1),
  raw_stack!G$2:G$100000, "&lt;="&amp;EOMONTH(DATE(2025,7,1),0)
 ),
 IF(_xlpm.x=0, "-", _xlpm.x)
)</f>
        <v>-</v>
      </c>
      <c r="P85" s="65" t="str">
        <f>_xlfn.LET(
 _xlpm.x,
 _xlfn.MAXIFS(
  raw_stack!H$2:H$100000,
  raw_stack!D$2:D$100000, G85,
  raw_stack!F$2:F$100000, "Iya",
  raw_stack!G$2:G$100000, "&gt;="&amp;DATE(2025,7,1),
  raw_stack!G$2:G$100000, "&lt;="&amp;EOMONTH(DATE(2025,7,1),0)
 ),
 IF(OR(_xlpm.x=0, _xlpm.x=""), "-", _xlpm.x)
)</f>
        <v>-</v>
      </c>
      <c r="Q85" s="54">
        <f>_xlfn.LET(
 _xlpm.x,
 _xlfn.MAXIFS(
  raw_stack!G$2:G$99411,
  raw_stack!D$2:D$99411, G85,
  raw_stack!F$2:F$99411, "Iya",
  raw_stack!G$2:G$99411, "&gt;="&amp;DATE(2025,8,1),
  raw_stack!G$2:G$99411, "&lt;="&amp;EOMONTH(DATE(2025,8,1),0)
 ),
 IF(_xlpm.x=0, "-", _xlpm.x)
)</f>
        <v>45897</v>
      </c>
      <c r="R85" s="65">
        <f>_xlfn.LET(
 _xlpm.x,
 _xlfn.MAXIFS(
  raw_stack!H$2:H$100000,
  raw_stack!D$2:D$100000, G85,
  raw_stack!F$2:F$100000, "Iya",
  raw_stack!G$2:G$100000, "&gt;="&amp;DATE(2025,8,1),
  raw_stack!G$2:G$100000, "&lt;="&amp;EOMONTH(DATE(2025,8,1),0)
 ),
 IF(OR(_xlpm.x=0, _xlpm.x=""), "-", _xlpm.x)
)</f>
        <v>46284</v>
      </c>
      <c r="S85" s="54">
        <f>_xlfn.LET(
 _xlpm.x,
 _xlfn.MAXIFS(
  raw_stack!G$2:G$99411,
  raw_stack!D$2:D$99411, G85,
  raw_stack!F$2:F$99411, "Iya",
  raw_stack!G$2:G$99411, "&gt;="&amp;DATE(2025,9,1),
  raw_stack!G$2:G$99411, "&lt;="&amp;EOMONTH(DATE(2025,9,1),0)
 ),
 IF(_xlpm.x=0, "-", _xlpm.x)
)</f>
        <v>45924</v>
      </c>
      <c r="T85" s="65">
        <f>_xlfn.LET(
 _xlpm.x,
 _xlfn.MAXIFS(
  raw_stack!H$2:H$100000,
  raw_stack!D$2:D$100000, G85,
  raw_stack!F$2:F$100000, "Iya",
  raw_stack!G$2:G$100000, "&gt;="&amp;DATE(2025,9,1),
  raw_stack!G$2:G$100000, "&lt;="&amp;EOMONTH(DATE(2025,9,1),0)
 ),
 IF(OR(_xlpm.x=0, _xlpm.x=""), "-", _xlpm.x)
)</f>
        <v>53682</v>
      </c>
      <c r="U85" s="54">
        <f>_xlfn.LET(
 _xlpm.x,
 _xlfn.MAXIFS(
  raw_stack!G$2:G$99411,
  raw_stack!D$2:D$99411, G85,
  raw_stack!F$2:F$99411, "Iya",
  raw_stack!G$2:G$99411, "&gt;="&amp;DATE(2025,10,1),
  raw_stack!G$2:G$99411, "&lt;="&amp;EOMONTH(DATE(2025,10,1),0)
 ),
 IF(_xlpm.x=0, "-", _xlpm.x)
)</f>
        <v>45943</v>
      </c>
      <c r="V85" s="65">
        <f>_xlfn.LET(
 _xlpm.x,
 _xlfn.MAXIFS(
  raw_stack!H$2:H$100000,
  raw_stack!D$2:D$100000, G85,
  raw_stack!F$2:F$100000, "Iya",
  raw_stack!G$2:G$100000, "&gt;="&amp;DATE(2025,10,1),
  raw_stack!G$2:G$100000, "&lt;="&amp;EOMONTH(DATE(2025,10,1),0)
 ),
 IF(OR(_xlpm.x=0, _xlpm.x=""), "-", _xlpm.x)
)</f>
        <v>53828</v>
      </c>
      <c r="W85" s="55" t="str">
        <f>_xlfn.LET(
 _xlpm.x,
 _xlfn.MAXIFS(
  raw_stack!G$2:G$99411,
  raw_stack!D$2:D$99411, G85,
  raw_stack!F$2:F$99411, "Iya",
  raw_stack!G$2:G$99411, "&gt;="&amp;DATE(2025,11,1),
  raw_stack!G$2:G$99411, "&lt;="&amp;EOMONTH(DATE(2025,11,1),0)
 ),
 IF(_xlpm.x=0, "-", _xlpm.x)
)</f>
        <v>-</v>
      </c>
      <c r="X85" s="56" t="str">
        <f>_xlfn.LET(
 _xlpm.x,
 _xlfn.MAXIFS(
  raw_stack!H$2:H$100000,
  raw_stack!D$2:D$100000, G85,
  raw_stack!F$2:F$100000, "Iya",
  raw_stack!G$2:G$100000, "&gt;="&amp;DATE(2025,11,1),
  raw_stack!G$2:G$100000, "&lt;="&amp;EOMONTH(DATE(2025,11,1),0)
 ),
 IF(OR(_xlpm.x=0, _xlpm.x=""), "-", _xlpm.x)
)</f>
        <v>-</v>
      </c>
      <c r="Y85" s="55" t="str">
        <f>_xlfn.LET(
 _xlpm.x,
 _xlfn.MAXIFS(
  raw_stack!G$2:G$99411,
  raw_stack!D$2:D$99411, G85,
  raw_stack!F$2:F$99411, "Iya",
  raw_stack!G$2:G$99411, "&gt;="&amp;DATE(2025,12,1),
  raw_stack!G$2:G$99411, "&lt;="&amp;EOMONTH(DATE(2025,12,1),0)
 ),
 IF(_xlpm.x=0, "-", _xlpm.x)
)</f>
        <v>-</v>
      </c>
      <c r="Z85" s="56" t="str">
        <f>_xlfn.LET(
 _xlpm.x,
 _xlfn.MAXIFS(
  raw_stack!H$2:H$100000,
  raw_stack!D$2:D$100000, G85,
  raw_stack!F$2:F$100000, "Iya",
  raw_stack!G$2:G$100000, "&gt;="&amp;DATE(2025,12,1),
  raw_stack!G$2:G$100000, "&lt;="&amp;EOMONTH(DATE(2025,12,1),0)
 ),
 IF(OR(_xlpm.x=0, _xlpm.x=""), "-", _xlpm.x)
)</f>
        <v>-</v>
      </c>
      <c r="AA85" s="55">
        <f>_xlfn.LET(
 _xlpm.x,
 _xlfn.MAXIFS(
  raw_stack!G$2:G$99411,
  raw_stack!D$2:D$99411, G85,
  raw_stack!F$2:F$99411, "Iya",
  raw_stack!G$2:G$99411, "&gt;="&amp;DATE(2026,1,1),
  raw_stack!G$2:G$99411, "&lt;="&amp;EOMONTH(DATE(2026,1,1),0)
 ),
 IF(_xlpm.x=0, "-", _xlpm.x)
)</f>
        <v>46048</v>
      </c>
      <c r="AB85" s="56">
        <f>_xlfn.LET(
 _xlpm.x,
 _xlfn.MAXIFS(
  raw_stack!H$2:H$100000,
  raw_stack!D$2:D$100000, G85,
  raw_stack!F$2:F$100000, "Iya",
  raw_stack!G$2:G$100000, "&gt;="&amp;DATE(2026,1,1),
  raw_stack!G$2:G$100000, "&lt;="&amp;EOMONTH(DATE(2026,1,1),0)
 ),
 IF(OR(_xlpm.x=0, _xlpm.x=""), "-", _xlpm.x)
)</f>
        <v>61600</v>
      </c>
      <c r="AC85" s="55" t="str">
        <f>_xlfn.LET(
 _xlpm.x,
 _xlfn.MAXIFS(
  raw_stack!G$2:G$99411,
  raw_stack!D$2:D$99411, G85,
  raw_stack!F$2:F$99411, "Iya",
  raw_stack!G$2:G$99411, "&gt;="&amp;DATE(2026,2,1),
  raw_stack!G$2:G$99411, "&lt;="&amp;EOMONTH(DATE(2026,2,1),0)
 ),
 IF(_xlpm.x=0, "-", _xlpm.x)
)</f>
        <v>-</v>
      </c>
      <c r="AD85" s="56" t="str">
        <f>_xlfn.LET(
 _xlpm.x,
 _xlfn.MAXIFS(
  raw_stack!H$2:H$100000,
  raw_stack!D$2:D$100000, G85,
  raw_stack!F$2:F$100000, "Iya",
  raw_stack!G$2:G$100000, "&gt;="&amp;DATE(2026,2,1),
  raw_stack!G$2:G$100000, "&lt;="&amp;EOMONTH(DATE(2026,2,1),0)
 ),
 IF(OR(_xlpm.x=0, _xlpm.x=""), "-", _xlpm.x)
)</f>
        <v>-</v>
      </c>
      <c r="AE85" s="55" t="str">
        <f>_xlfn.LET(
 _xlpm.x,
 _xlfn.MAXIFS(
  raw_stack!G$2:G$100000,
  raw_stack!D$2:D$100000, G85,
  raw_stack!F$2:F$100000, "Iya",
  raw_stack!G$2:G$100000, "&gt;="&amp;DATE(2026,3,1),
  raw_stack!G$2:G$100000, "&lt;="&amp;EOMONTH(DATE(2026,3,1),0)
 ),
 IF(_xlpm.x=0, "-", _xlpm.x)
)</f>
        <v>-</v>
      </c>
      <c r="AF85" s="56" t="str">
        <f>_xlfn.LET(
 _xlpm.x,
 _xlfn.MAXIFS(
  raw_stack!H$2:H$100000,
  raw_stack!D$2:D$100000, G85,
  raw_stack!F$2:F$100000, "Iya",
  raw_stack!G$2:G$100000, "&gt;="&amp;DATE(2026,3,1),
  raw_stack!G$2:G$100000, "&lt;="&amp;EOMONTH(DATE(2026,3,1),0)
 ),
 IF(OR(_xlpm.x=0, _xlpm.x=""), "-", _xlpm.x)
)</f>
        <v>-</v>
      </c>
      <c r="AG85" s="55" t="str">
        <f>_xlfn.LET(
 _xlpm.x,
 _xlfn.MAXIFS(
  raw_stack!G$2:G$100000,
  raw_stack!D$2:D$100000, G85,
  raw_stack!F$2:F$100000, "Iya",
  raw_stack!G$2:G$100000, "&gt;="&amp;DATE(2026,4,1),
  raw_stack!G$2:G$100000, "&lt;="&amp;EOMONTH(DATE(2026,4,1),0)
 ),
 IF(_xlpm.x=0, "-", _xlpm.x)
)</f>
        <v>-</v>
      </c>
      <c r="AH85" s="56" t="str">
        <f>_xlfn.LET(
 _xlpm.x,
 _xlfn.MAXIFS(
  raw_stack!H$2:H$100000,
  raw_stack!D$2:D$100000, G85,
  raw_stack!F$2:F$100000, "Iya",
  raw_stack!G$2:G$100000, "&gt;="&amp;DATE(2026,4,1),
  raw_stack!G$2:G$100000, "&lt;="&amp;EOMONTH(DATE(2026,4,1),0)
 ),
 IF(OR(_xlpm.x=0, _xlpm.x=""), "-", _xlpm.x)
)</f>
        <v>-</v>
      </c>
    </row>
    <row r="86" spans="1:34">
      <c r="A86" s="48">
        <v>85</v>
      </c>
      <c r="B86" s="49" t="str">
        <f t="shared" si="1"/>
        <v>92015</v>
      </c>
      <c r="C86" s="50" t="s">
        <v>46</v>
      </c>
      <c r="D86" s="51" t="s">
        <v>534</v>
      </c>
      <c r="E86" s="51" t="s">
        <v>56</v>
      </c>
      <c r="F86" s="49" t="s">
        <v>117</v>
      </c>
      <c r="G86" s="49" t="s">
        <v>202</v>
      </c>
      <c r="H86" s="49" t="s">
        <v>48</v>
      </c>
      <c r="I86" s="49" t="s">
        <v>52</v>
      </c>
      <c r="J86" s="52">
        <v>6915000</v>
      </c>
      <c r="K86" s="53">
        <v>45163</v>
      </c>
      <c r="L86" s="53">
        <v>46258</v>
      </c>
      <c r="M86" s="53">
        <v>46105</v>
      </c>
      <c r="N86" s="49" t="s">
        <v>50</v>
      </c>
      <c r="O86" s="54" t="str">
        <f>_xlfn.LET(
 _xlpm.x,
 _xlfn.MAXIFS(
  raw_stack!G$2:G$100000,
  raw_stack!D$2:D$100000, G86,
  raw_stack!F$2:F$100000, "Iya",
  raw_stack!G$2:G$100000, "&gt;="&amp;DATE(2025,7,1),
  raw_stack!G$2:G$100000, "&lt;="&amp;EOMONTH(DATE(2025,7,1),0)
 ),
 IF(_xlpm.x=0, "-", _xlpm.x)
)</f>
        <v>-</v>
      </c>
      <c r="P86" s="65" t="str">
        <f>_xlfn.LET(
 _xlpm.x,
 _xlfn.MAXIFS(
  raw_stack!H$2:H$100000,
  raw_stack!D$2:D$100000, G86,
  raw_stack!F$2:F$100000, "Iya",
  raw_stack!G$2:G$100000, "&gt;="&amp;DATE(2025,7,1),
  raw_stack!G$2:G$100000, "&lt;="&amp;EOMONTH(DATE(2025,7,1),0)
 ),
 IF(OR(_xlpm.x=0, _xlpm.x=""), "-", _xlpm.x)
)</f>
        <v>-</v>
      </c>
      <c r="Q86" s="54">
        <f>_xlfn.LET(
 _xlpm.x,
 _xlfn.MAXIFS(
  raw_stack!G$2:G$99411,
  raw_stack!D$2:D$99411, G86,
  raw_stack!F$2:F$99411, "Iya",
  raw_stack!G$2:G$99411, "&gt;="&amp;DATE(2025,8,1),
  raw_stack!G$2:G$99411, "&lt;="&amp;EOMONTH(DATE(2025,8,1),0)
 ),
 IF(_xlpm.x=0, "-", _xlpm.x)
)</f>
        <v>45882</v>
      </c>
      <c r="R86" s="65">
        <f>_xlfn.LET(
 _xlpm.x,
 _xlfn.MAXIFS(
  raw_stack!H$2:H$100000,
  raw_stack!D$2:D$100000, G86,
  raw_stack!F$2:F$100000, "Iya",
  raw_stack!G$2:G$100000, "&gt;="&amp;DATE(2025,8,1),
  raw_stack!G$2:G$100000, "&lt;="&amp;EOMONTH(DATE(2025,8,1),0)
 ),
 IF(OR(_xlpm.x=0, _xlpm.x=""), "-", _xlpm.x)
)</f>
        <v>31257</v>
      </c>
      <c r="S86" s="54">
        <f>_xlfn.LET(
 _xlpm.x,
 _xlfn.MAXIFS(
  raw_stack!G$2:G$99411,
  raw_stack!D$2:D$99411, G86,
  raw_stack!F$2:F$99411, "Iya",
  raw_stack!G$2:G$99411, "&gt;="&amp;DATE(2025,9,1),
  raw_stack!G$2:G$99411, "&lt;="&amp;EOMONTH(DATE(2025,9,1),0)
 ),
 IF(_xlpm.x=0, "-", _xlpm.x)
)</f>
        <v>45901</v>
      </c>
      <c r="T86" s="65">
        <f>_xlfn.LET(
 _xlpm.x,
 _xlfn.MAXIFS(
  raw_stack!H$2:H$100000,
  raw_stack!D$2:D$100000, G86,
  raw_stack!F$2:F$100000, "Iya",
  raw_stack!G$2:G$100000, "&gt;="&amp;DATE(2025,9,1),
  raw_stack!G$2:G$100000, "&lt;="&amp;EOMONTH(DATE(2025,9,1),0)
 ),
 IF(OR(_xlpm.x=0, _xlpm.x=""), "-", _xlpm.x)
)</f>
        <v>33485</v>
      </c>
      <c r="U86" s="54" t="str">
        <f>_xlfn.LET(
 _xlpm.x,
 _xlfn.MAXIFS(
  raw_stack!G$2:G$99411,
  raw_stack!D$2:D$99411, G86,
  raw_stack!F$2:F$99411, "Iya",
  raw_stack!G$2:G$99411, "&gt;="&amp;DATE(2025,10,1),
  raw_stack!G$2:G$99411, "&lt;="&amp;EOMONTH(DATE(2025,10,1),0)
 ),
 IF(_xlpm.x=0, "-", _xlpm.x)
)</f>
        <v>-</v>
      </c>
      <c r="V86" s="65" t="str">
        <f>_xlfn.LET(
 _xlpm.x,
 _xlfn.MAXIFS(
  raw_stack!H$2:H$100000,
  raw_stack!D$2:D$100000, G86,
  raw_stack!F$2:F$100000, "Iya",
  raw_stack!G$2:G$100000, "&gt;="&amp;DATE(2025,10,1),
  raw_stack!G$2:G$100000, "&lt;="&amp;EOMONTH(DATE(2025,10,1),0)
 ),
 IF(OR(_xlpm.x=0, _xlpm.x=""), "-", _xlpm.x)
)</f>
        <v>-</v>
      </c>
      <c r="W86" s="55">
        <f>_xlfn.LET(
 _xlpm.x,
 _xlfn.MAXIFS(
  raw_stack!G$2:G$99411,
  raw_stack!D$2:D$99411, G86,
  raw_stack!F$2:F$99411, "Iya",
  raw_stack!G$2:G$99411, "&gt;="&amp;DATE(2025,11,1),
  raw_stack!G$2:G$99411, "&lt;="&amp;EOMONTH(DATE(2025,11,1),0)
 ),
 IF(_xlpm.x=0, "-", _xlpm.x)
)</f>
        <v>45974</v>
      </c>
      <c r="X86" s="56">
        <f>_xlfn.LET(
 _xlpm.x,
 _xlfn.MAXIFS(
  raw_stack!H$2:H$100000,
  raw_stack!D$2:D$100000, G86,
  raw_stack!F$2:F$100000, "Iya",
  raw_stack!G$2:G$100000, "&gt;="&amp;DATE(2025,11,1),
  raw_stack!G$2:G$100000, "&lt;="&amp;EOMONTH(DATE(2025,11,1),0)
 ),
 IF(OR(_xlpm.x=0, _xlpm.x=""), "-", _xlpm.x)
)</f>
        <v>37237</v>
      </c>
      <c r="Y86" s="55" t="str">
        <f>_xlfn.LET(
 _xlpm.x,
 _xlfn.MAXIFS(
  raw_stack!G$2:G$99411,
  raw_stack!D$2:D$99411, G86,
  raw_stack!F$2:F$99411, "Iya",
  raw_stack!G$2:G$99411, "&gt;="&amp;DATE(2025,12,1),
  raw_stack!G$2:G$99411, "&lt;="&amp;EOMONTH(DATE(2025,12,1),0)
 ),
 IF(_xlpm.x=0, "-", _xlpm.x)
)</f>
        <v>-</v>
      </c>
      <c r="Z86" s="56" t="str">
        <f>_xlfn.LET(
 _xlpm.x,
 _xlfn.MAXIFS(
  raw_stack!H$2:H$100000,
  raw_stack!D$2:D$100000, G86,
  raw_stack!F$2:F$100000, "Iya",
  raw_stack!G$2:G$100000, "&gt;="&amp;DATE(2025,12,1),
  raw_stack!G$2:G$100000, "&lt;="&amp;EOMONTH(DATE(2025,12,1),0)
 ),
 IF(OR(_xlpm.x=0, _xlpm.x=""), "-", _xlpm.x)
)</f>
        <v>-</v>
      </c>
      <c r="AA86" s="55" t="str">
        <f>_xlfn.LET(
 _xlpm.x,
 _xlfn.MAXIFS(
  raw_stack!G$2:G$99411,
  raw_stack!D$2:D$99411, G86,
  raw_stack!F$2:F$99411, "Iya",
  raw_stack!G$2:G$99411, "&gt;="&amp;DATE(2026,1,1),
  raw_stack!G$2:G$99411, "&lt;="&amp;EOMONTH(DATE(2026,1,1),0)
 ),
 IF(_xlpm.x=0, "-", _xlpm.x)
)</f>
        <v>-</v>
      </c>
      <c r="AB86" s="56" t="str">
        <f>_xlfn.LET(
 _xlpm.x,
 _xlfn.MAXIFS(
  raw_stack!H$2:H$100000,
  raw_stack!D$2:D$100000, G86,
  raw_stack!F$2:F$100000, "Iya",
  raw_stack!G$2:G$100000, "&gt;="&amp;DATE(2026,1,1),
  raw_stack!G$2:G$100000, "&lt;="&amp;EOMONTH(DATE(2026,1,1),0)
 ),
 IF(OR(_xlpm.x=0, _xlpm.x=""), "-", _xlpm.x)
)</f>
        <v>-</v>
      </c>
      <c r="AC86" s="55" t="str">
        <f>_xlfn.LET(
 _xlpm.x,
 _xlfn.MAXIFS(
  raw_stack!G$2:G$99411,
  raw_stack!D$2:D$99411, G86,
  raw_stack!F$2:F$99411, "Iya",
  raw_stack!G$2:G$99411, "&gt;="&amp;DATE(2026,2,1),
  raw_stack!G$2:G$99411, "&lt;="&amp;EOMONTH(DATE(2026,2,1),0)
 ),
 IF(_xlpm.x=0, "-", _xlpm.x)
)</f>
        <v>-</v>
      </c>
      <c r="AD86" s="56" t="str">
        <f>_xlfn.LET(
 _xlpm.x,
 _xlfn.MAXIFS(
  raw_stack!H$2:H$100000,
  raw_stack!D$2:D$100000, G86,
  raw_stack!F$2:F$100000, "Iya",
  raw_stack!G$2:G$100000, "&gt;="&amp;DATE(2026,2,1),
  raw_stack!G$2:G$100000, "&lt;="&amp;EOMONTH(DATE(2026,2,1),0)
 ),
 IF(OR(_xlpm.x=0, _xlpm.x=""), "-", _xlpm.x)
)</f>
        <v>-</v>
      </c>
      <c r="AE86" s="55" t="str">
        <f>_xlfn.LET(
 _xlpm.x,
 _xlfn.MAXIFS(
  raw_stack!G$2:G$100000,
  raw_stack!D$2:D$100000, G86,
  raw_stack!F$2:F$100000, "Iya",
  raw_stack!G$2:G$100000, "&gt;="&amp;DATE(2026,3,1),
  raw_stack!G$2:G$100000, "&lt;="&amp;EOMONTH(DATE(2026,3,1),0)
 ),
 IF(_xlpm.x=0, "-", _xlpm.x)
)</f>
        <v>-</v>
      </c>
      <c r="AF86" s="56" t="str">
        <f>_xlfn.LET(
 _xlpm.x,
 _xlfn.MAXIFS(
  raw_stack!H$2:H$100000,
  raw_stack!D$2:D$100000, G86,
  raw_stack!F$2:F$100000, "Iya",
  raw_stack!G$2:G$100000, "&gt;="&amp;DATE(2026,3,1),
  raw_stack!G$2:G$100000, "&lt;="&amp;EOMONTH(DATE(2026,3,1),0)
 ),
 IF(OR(_xlpm.x=0, _xlpm.x=""), "-", _xlpm.x)
)</f>
        <v>-</v>
      </c>
      <c r="AG86" s="55">
        <f>_xlfn.LET(
 _xlpm.x,
 _xlfn.MAXIFS(
  raw_stack!G$2:G$100000,
  raw_stack!D$2:D$100000, G86,
  raw_stack!F$2:F$100000, "Iya",
  raw_stack!G$2:G$100000, "&gt;="&amp;DATE(2026,4,1),
  raw_stack!G$2:G$100000, "&lt;="&amp;EOMONTH(DATE(2026,4,1),0)
 ),
 IF(_xlpm.x=0, "-", _xlpm.x)
)</f>
        <v>46123</v>
      </c>
      <c r="AH86" s="56">
        <f>_xlfn.LET(
 _xlpm.x,
 _xlfn.MAXIFS(
  raw_stack!H$2:H$100000,
  raw_stack!D$2:D$100000, G86,
  raw_stack!F$2:F$100000, "Iya",
  raw_stack!G$2:G$100000, "&gt;="&amp;DATE(2026,4,1),
  raw_stack!G$2:G$100000, "&lt;="&amp;EOMONTH(DATE(2026,4,1),0)
 ),
 IF(OR(_xlpm.x=0, _xlpm.x=""), "-", _xlpm.x)
)</f>
        <v>44266</v>
      </c>
    </row>
    <row r="87" spans="1:34">
      <c r="A87" s="48">
        <v>86</v>
      </c>
      <c r="B87" s="49" t="str">
        <f t="shared" si="1"/>
        <v>23490</v>
      </c>
      <c r="C87" s="50" t="s">
        <v>46</v>
      </c>
      <c r="D87" s="51" t="s">
        <v>535</v>
      </c>
      <c r="E87" s="51" t="s">
        <v>56</v>
      </c>
      <c r="F87" s="49" t="s">
        <v>117</v>
      </c>
      <c r="G87" s="49" t="s">
        <v>203</v>
      </c>
      <c r="H87" s="49" t="s">
        <v>48</v>
      </c>
      <c r="I87" s="49" t="s">
        <v>52</v>
      </c>
      <c r="J87" s="52">
        <v>6320000</v>
      </c>
      <c r="K87" s="53">
        <v>46078</v>
      </c>
      <c r="L87" s="53">
        <v>46258</v>
      </c>
      <c r="M87" s="53">
        <v>46105</v>
      </c>
      <c r="N87" s="49" t="s">
        <v>50</v>
      </c>
      <c r="O87" s="54">
        <f>_xlfn.LET(
 _xlpm.x,
 _xlfn.MAXIFS(
  raw_stack!G$2:G$100000,
  raw_stack!D$2:D$100000, G87,
  raw_stack!F$2:F$100000, "Iya",
  raw_stack!G$2:G$100000, "&gt;="&amp;DATE(2025,7,1),
  raw_stack!G$2:G$100000, "&lt;="&amp;EOMONTH(DATE(2025,7,1),0)
 ),
 IF(_xlpm.x=0, "-", _xlpm.x)
)</f>
        <v>45854</v>
      </c>
      <c r="P87" s="65">
        <f>_xlfn.LET(
 _xlpm.x,
 _xlfn.MAXIFS(
  raw_stack!H$2:H$100000,
  raw_stack!D$2:D$100000, G87,
  raw_stack!F$2:F$100000, "Iya",
  raw_stack!G$2:G$100000, "&gt;="&amp;DATE(2025,7,1),
  raw_stack!G$2:G$100000, "&lt;="&amp;EOMONTH(DATE(2025,7,1),0)
 ),
 IF(OR(_xlpm.x=0, _xlpm.x=""), "-", _xlpm.x)
)</f>
        <v>19067</v>
      </c>
      <c r="Q87" s="54" t="str">
        <f>_xlfn.LET(
 _xlpm.x,
 _xlfn.MAXIFS(
  raw_stack!G$2:G$99411,
  raw_stack!D$2:D$99411, G87,
  raw_stack!F$2:F$99411, "Iya",
  raw_stack!G$2:G$99411, "&gt;="&amp;DATE(2025,8,1),
  raw_stack!G$2:G$99411, "&lt;="&amp;EOMONTH(DATE(2025,8,1),0)
 ),
 IF(_xlpm.x=0, "-", _xlpm.x)
)</f>
        <v>-</v>
      </c>
      <c r="R87" s="65" t="str">
        <f>_xlfn.LET(
 _xlpm.x,
 _xlfn.MAXIFS(
  raw_stack!H$2:H$100000,
  raw_stack!D$2:D$100000, G87,
  raw_stack!F$2:F$100000, "Iya",
  raw_stack!G$2:G$100000, "&gt;="&amp;DATE(2025,8,1),
  raw_stack!G$2:G$100000, "&lt;="&amp;EOMONTH(DATE(2025,8,1),0)
 ),
 IF(OR(_xlpm.x=0, _xlpm.x=""), "-", _xlpm.x)
)</f>
        <v>-</v>
      </c>
      <c r="S87" s="54" t="str">
        <f>_xlfn.LET(
 _xlpm.x,
 _xlfn.MAXIFS(
  raw_stack!G$2:G$99411,
  raw_stack!D$2:D$99411, G87,
  raw_stack!F$2:F$99411, "Iya",
  raw_stack!G$2:G$99411, "&gt;="&amp;DATE(2025,9,1),
  raw_stack!G$2:G$99411, "&lt;="&amp;EOMONTH(DATE(2025,9,1),0)
 ),
 IF(_xlpm.x=0, "-", _xlpm.x)
)</f>
        <v>-</v>
      </c>
      <c r="T87" s="65" t="str">
        <f>_xlfn.LET(
 _xlpm.x,
 _xlfn.MAXIFS(
  raw_stack!H$2:H$100000,
  raw_stack!D$2:D$100000, G87,
  raw_stack!F$2:F$100000, "Iya",
  raw_stack!G$2:G$100000, "&gt;="&amp;DATE(2025,9,1),
  raw_stack!G$2:G$100000, "&lt;="&amp;EOMONTH(DATE(2025,9,1),0)
 ),
 IF(OR(_xlpm.x=0, _xlpm.x=""), "-", _xlpm.x)
)</f>
        <v>-</v>
      </c>
      <c r="U87" s="54">
        <f>_xlfn.LET(
 _xlpm.x,
 _xlfn.MAXIFS(
  raw_stack!G$2:G$99411,
  raw_stack!D$2:D$99411, G87,
  raw_stack!F$2:F$99411, "Iya",
  raw_stack!G$2:G$99411, "&gt;="&amp;DATE(2025,10,1),
  raw_stack!G$2:G$99411, "&lt;="&amp;EOMONTH(DATE(2025,10,1),0)
 ),
 IF(_xlpm.x=0, "-", _xlpm.x)
)</f>
        <v>45945</v>
      </c>
      <c r="V87" s="65">
        <f>_xlfn.LET(
 _xlpm.x,
 _xlfn.MAXIFS(
  raw_stack!H$2:H$100000,
  raw_stack!D$2:D$100000, G87,
  raw_stack!F$2:F$100000, "Iya",
  raw_stack!G$2:G$100000, "&gt;="&amp;DATE(2025,10,1),
  raw_stack!G$2:G$100000, "&lt;="&amp;EOMONTH(DATE(2025,10,1),0)
 ),
 IF(OR(_xlpm.x=0, _xlpm.x=""), "-", _xlpm.x)
)</f>
        <v>22689</v>
      </c>
      <c r="W87" s="55">
        <f>_xlfn.LET(
 _xlpm.x,
 _xlfn.MAXIFS(
  raw_stack!G$2:G$99411,
  raw_stack!D$2:D$99411, G87,
  raw_stack!F$2:F$99411, "Iya",
  raw_stack!G$2:G$99411, "&gt;="&amp;DATE(2025,11,1),
  raw_stack!G$2:G$99411, "&lt;="&amp;EOMONTH(DATE(2025,11,1),0)
 ),
 IF(_xlpm.x=0, "-", _xlpm.x)
)</f>
        <v>45980</v>
      </c>
      <c r="X87" s="56">
        <f>_xlfn.LET(
 _xlpm.x,
 _xlfn.MAXIFS(
  raw_stack!H$2:H$100000,
  raw_stack!D$2:D$100000, G87,
  raw_stack!F$2:F$100000, "Iya",
  raw_stack!G$2:G$100000, "&gt;="&amp;DATE(2025,11,1),
  raw_stack!G$2:G$100000, "&lt;="&amp;EOMONTH(DATE(2025,11,1),0)
 ),
 IF(OR(_xlpm.x=0, _xlpm.x=""), "-", _xlpm.x)
)</f>
        <v>23560</v>
      </c>
      <c r="Y87" s="55">
        <f>_xlfn.LET(
 _xlpm.x,
 _xlfn.MAXIFS(
  raw_stack!G$2:G$99411,
  raw_stack!D$2:D$99411, G87,
  raw_stack!F$2:F$99411, "Iya",
  raw_stack!G$2:G$99411, "&gt;="&amp;DATE(2025,12,1),
  raw_stack!G$2:G$99411, "&lt;="&amp;EOMONTH(DATE(2025,12,1),0)
 ),
 IF(_xlpm.x=0, "-", _xlpm.x)
)</f>
        <v>45999</v>
      </c>
      <c r="Z87" s="56">
        <f>_xlfn.LET(
 _xlpm.x,
 _xlfn.MAXIFS(
  raw_stack!H$2:H$100000,
  raw_stack!D$2:D$100000, G87,
  raw_stack!F$2:F$100000, "Iya",
  raw_stack!G$2:G$100000, "&gt;="&amp;DATE(2025,12,1),
  raw_stack!G$2:G$100000, "&lt;="&amp;EOMONTH(DATE(2025,12,1),0)
 ),
 IF(OR(_xlpm.x=0, _xlpm.x=""), "-", _xlpm.x)
)</f>
        <v>23800</v>
      </c>
      <c r="AA87" s="55" t="str">
        <f>_xlfn.LET(
 _xlpm.x,
 _xlfn.MAXIFS(
  raw_stack!G$2:G$99411,
  raw_stack!D$2:D$99411, G87,
  raw_stack!F$2:F$99411, "Iya",
  raw_stack!G$2:G$99411, "&gt;="&amp;DATE(2026,1,1),
  raw_stack!G$2:G$99411, "&lt;="&amp;EOMONTH(DATE(2026,1,1),0)
 ),
 IF(_xlpm.x=0, "-", _xlpm.x)
)</f>
        <v>-</v>
      </c>
      <c r="AB87" s="56" t="str">
        <f>_xlfn.LET(
 _xlpm.x,
 _xlfn.MAXIFS(
  raw_stack!H$2:H$100000,
  raw_stack!D$2:D$100000, G87,
  raw_stack!F$2:F$100000, "Iya",
  raw_stack!G$2:G$100000, "&gt;="&amp;DATE(2026,1,1),
  raw_stack!G$2:G$100000, "&lt;="&amp;EOMONTH(DATE(2026,1,1),0)
 ),
 IF(OR(_xlpm.x=0, _xlpm.x=""), "-", _xlpm.x)
)</f>
        <v>-</v>
      </c>
      <c r="AC87" s="55" t="str">
        <f>_xlfn.LET(
 _xlpm.x,
 _xlfn.MAXIFS(
  raw_stack!G$2:G$99411,
  raw_stack!D$2:D$99411, G87,
  raw_stack!F$2:F$99411, "Iya",
  raw_stack!G$2:G$99411, "&gt;="&amp;DATE(2026,2,1),
  raw_stack!G$2:G$99411, "&lt;="&amp;EOMONTH(DATE(2026,2,1),0)
 ),
 IF(_xlpm.x=0, "-", _xlpm.x)
)</f>
        <v>-</v>
      </c>
      <c r="AD87" s="56" t="str">
        <f>_xlfn.LET(
 _xlpm.x,
 _xlfn.MAXIFS(
  raw_stack!H$2:H$100000,
  raw_stack!D$2:D$100000, G87,
  raw_stack!F$2:F$100000, "Iya",
  raw_stack!G$2:G$100000, "&gt;="&amp;DATE(2026,2,1),
  raw_stack!G$2:G$100000, "&lt;="&amp;EOMONTH(DATE(2026,2,1),0)
 ),
 IF(OR(_xlpm.x=0, _xlpm.x=""), "-", _xlpm.x)
)</f>
        <v>-</v>
      </c>
      <c r="AE87" s="55">
        <f>_xlfn.LET(
 _xlpm.x,
 _xlfn.MAXIFS(
  raw_stack!G$2:G$100000,
  raw_stack!D$2:D$100000, G87,
  raw_stack!F$2:F$100000, "Iya",
  raw_stack!G$2:G$100000, "&gt;="&amp;DATE(2026,3,1),
  raw_stack!G$2:G$100000, "&lt;="&amp;EOMONTH(DATE(2026,3,1),0)
 ),
 IF(_xlpm.x=0, "-", _xlpm.x)
)</f>
        <v>46109</v>
      </c>
      <c r="AF87" s="56">
        <f>_xlfn.LET(
 _xlpm.x,
 _xlfn.MAXIFS(
  raw_stack!H$2:H$100000,
  raw_stack!D$2:D$100000, G87,
  raw_stack!F$2:F$100000, "Iya",
  raw_stack!G$2:G$100000, "&gt;="&amp;DATE(2026,3,1),
  raw_stack!G$2:G$100000, "&lt;="&amp;EOMONTH(DATE(2026,3,1),0)
 ),
 IF(OR(_xlpm.x=0, _xlpm.x=""), "-", _xlpm.x)
)</f>
        <v>24269</v>
      </c>
      <c r="AG87" s="55">
        <f>_xlfn.LET(
 _xlpm.x,
 _xlfn.MAXIFS(
  raw_stack!G$2:G$100000,
  raw_stack!D$2:D$100000, G87,
  raw_stack!F$2:F$100000, "Iya",
  raw_stack!G$2:G$100000, "&gt;="&amp;DATE(2026,4,1),
  raw_stack!G$2:G$100000, "&lt;="&amp;EOMONTH(DATE(2026,4,1),0)
 ),
 IF(_xlpm.x=0, "-", _xlpm.x)
)</f>
        <v>46129</v>
      </c>
      <c r="AH87" s="56">
        <f>_xlfn.LET(
 _xlpm.x,
 _xlfn.MAXIFS(
  raw_stack!H$2:H$100000,
  raw_stack!D$2:D$100000, G87,
  raw_stack!F$2:F$100000, "Iya",
  raw_stack!G$2:G$100000, "&gt;="&amp;DATE(2026,4,1),
  raw_stack!G$2:G$100000, "&lt;="&amp;EOMONTH(DATE(2026,4,1),0)
 ),
 IF(OR(_xlpm.x=0, _xlpm.x=""), "-", _xlpm.x)
)</f>
        <v>24114</v>
      </c>
    </row>
    <row r="88" spans="1:34">
      <c r="A88" s="48">
        <v>87</v>
      </c>
      <c r="B88" s="49" t="str">
        <f t="shared" si="1"/>
        <v>66820</v>
      </c>
      <c r="C88" s="50" t="s">
        <v>46</v>
      </c>
      <c r="D88" s="51" t="s">
        <v>536</v>
      </c>
      <c r="E88" s="51" t="s">
        <v>47</v>
      </c>
      <c r="F88" s="49" t="s">
        <v>117</v>
      </c>
      <c r="G88" s="49" t="s">
        <v>204</v>
      </c>
      <c r="H88" s="49" t="s">
        <v>48</v>
      </c>
      <c r="I88" s="49" t="s">
        <v>49</v>
      </c>
      <c r="J88" s="52">
        <v>3875000</v>
      </c>
      <c r="K88" s="53">
        <v>45912</v>
      </c>
      <c r="L88" s="53">
        <v>46276</v>
      </c>
      <c r="M88" s="53">
        <v>46064</v>
      </c>
      <c r="N88" s="49" t="s">
        <v>50</v>
      </c>
      <c r="O88" s="54" t="str">
        <f>_xlfn.LET(
 _xlpm.x,
 _xlfn.MAXIFS(
  raw_stack!G$2:G$100000,
  raw_stack!D$2:D$100000, G88,
  raw_stack!F$2:F$100000, "Iya",
  raw_stack!G$2:G$100000, "&gt;="&amp;DATE(2025,7,1),
  raw_stack!G$2:G$100000, "&lt;="&amp;EOMONTH(DATE(2025,7,1),0)
 ),
 IF(_xlpm.x=0, "-", _xlpm.x)
)</f>
        <v>-</v>
      </c>
      <c r="P88" s="65" t="str">
        <f>_xlfn.LET(
 _xlpm.x,
 _xlfn.MAXIFS(
  raw_stack!H$2:H$100000,
  raw_stack!D$2:D$100000, G88,
  raw_stack!F$2:F$100000, "Iya",
  raw_stack!G$2:G$100000, "&gt;="&amp;DATE(2025,7,1),
  raw_stack!G$2:G$100000, "&lt;="&amp;EOMONTH(DATE(2025,7,1),0)
 ),
 IF(OR(_xlpm.x=0, _xlpm.x=""), "-", _xlpm.x)
)</f>
        <v>-</v>
      </c>
      <c r="Q88" s="54">
        <f>_xlfn.LET(
 _xlpm.x,
 _xlfn.MAXIFS(
  raw_stack!G$2:G$99411,
  raw_stack!D$2:D$99411, G88,
  raw_stack!F$2:F$99411, "Iya",
  raw_stack!G$2:G$99411, "&gt;="&amp;DATE(2025,8,1),
  raw_stack!G$2:G$99411, "&lt;="&amp;EOMONTH(DATE(2025,8,1),0)
 ),
 IF(_xlpm.x=0, "-", _xlpm.x)
)</f>
        <v>45882</v>
      </c>
      <c r="R88" s="65">
        <f>_xlfn.LET(
 _xlpm.x,
 _xlfn.MAXIFS(
  raw_stack!H$2:H$100000,
  raw_stack!D$2:D$100000, G88,
  raw_stack!F$2:F$100000, "Iya",
  raw_stack!G$2:G$100000, "&gt;="&amp;DATE(2025,8,1),
  raw_stack!G$2:G$100000, "&lt;="&amp;EOMONTH(DATE(2025,8,1),0)
 ),
 IF(OR(_xlpm.x=0, _xlpm.x=""), "-", _xlpm.x)
)</f>
        <v>75646</v>
      </c>
      <c r="S88" s="54">
        <f>_xlfn.LET(
 _xlpm.x,
 _xlfn.MAXIFS(
  raw_stack!G$2:G$99411,
  raw_stack!D$2:D$99411, G88,
  raw_stack!F$2:F$99411, "Iya",
  raw_stack!G$2:G$99411, "&gt;="&amp;DATE(2025,9,1),
  raw_stack!G$2:G$99411, "&lt;="&amp;EOMONTH(DATE(2025,9,1),0)
 ),
 IF(_xlpm.x=0, "-", _xlpm.x)
)</f>
        <v>45902</v>
      </c>
      <c r="T88" s="65">
        <f>_xlfn.LET(
 _xlpm.x,
 _xlfn.MAXIFS(
  raw_stack!H$2:H$100000,
  raw_stack!D$2:D$100000, G88,
  raw_stack!F$2:F$100000, "Iya",
  raw_stack!G$2:G$100000, "&gt;="&amp;DATE(2025,9,1),
  raw_stack!G$2:G$100000, "&lt;="&amp;EOMONTH(DATE(2025,9,1),0)
 ),
 IF(OR(_xlpm.x=0, _xlpm.x=""), "-", _xlpm.x)
)</f>
        <v>87316</v>
      </c>
      <c r="U88" s="54" t="str">
        <f>_xlfn.LET(
 _xlpm.x,
 _xlfn.MAXIFS(
  raw_stack!G$2:G$99411,
  raw_stack!D$2:D$99411, G88,
  raw_stack!F$2:F$99411, "Iya",
  raw_stack!G$2:G$99411, "&gt;="&amp;DATE(2025,10,1),
  raw_stack!G$2:G$99411, "&lt;="&amp;EOMONTH(DATE(2025,10,1),0)
 ),
 IF(_xlpm.x=0, "-", _xlpm.x)
)</f>
        <v>-</v>
      </c>
      <c r="V88" s="65" t="str">
        <f>_xlfn.LET(
 _xlpm.x,
 _xlfn.MAXIFS(
  raw_stack!H$2:H$100000,
  raw_stack!D$2:D$100000, G88,
  raw_stack!F$2:F$100000, "Iya",
  raw_stack!G$2:G$100000, "&gt;="&amp;DATE(2025,10,1),
  raw_stack!G$2:G$100000, "&lt;="&amp;EOMONTH(DATE(2025,10,1),0)
 ),
 IF(OR(_xlpm.x=0, _xlpm.x=""), "-", _xlpm.x)
)</f>
        <v>-</v>
      </c>
      <c r="W88" s="55" t="str">
        <f>_xlfn.LET(
 _xlpm.x,
 _xlfn.MAXIFS(
  raw_stack!G$2:G$99411,
  raw_stack!D$2:D$99411, G88,
  raw_stack!F$2:F$99411, "Iya",
  raw_stack!G$2:G$99411, "&gt;="&amp;DATE(2025,11,1),
  raw_stack!G$2:G$99411, "&lt;="&amp;EOMONTH(DATE(2025,11,1),0)
 ),
 IF(_xlpm.x=0, "-", _xlpm.x)
)</f>
        <v>-</v>
      </c>
      <c r="X88" s="56" t="str">
        <f>_xlfn.LET(
 _xlpm.x,
 _xlfn.MAXIFS(
  raw_stack!H$2:H$100000,
  raw_stack!D$2:D$100000, G88,
  raw_stack!F$2:F$100000, "Iya",
  raw_stack!G$2:G$100000, "&gt;="&amp;DATE(2025,11,1),
  raw_stack!G$2:G$100000, "&lt;="&amp;EOMONTH(DATE(2025,11,1),0)
 ),
 IF(OR(_xlpm.x=0, _xlpm.x=""), "-", _xlpm.x)
)</f>
        <v>-</v>
      </c>
      <c r="Y88" s="55" t="str">
        <f>_xlfn.LET(
 _xlpm.x,
 _xlfn.MAXIFS(
  raw_stack!G$2:G$99411,
  raw_stack!D$2:D$99411, G88,
  raw_stack!F$2:F$99411, "Iya",
  raw_stack!G$2:G$99411, "&gt;="&amp;DATE(2025,12,1),
  raw_stack!G$2:G$99411, "&lt;="&amp;EOMONTH(DATE(2025,12,1),0)
 ),
 IF(_xlpm.x=0, "-", _xlpm.x)
)</f>
        <v>-</v>
      </c>
      <c r="Z88" s="56" t="str">
        <f>_xlfn.LET(
 _xlpm.x,
 _xlfn.MAXIFS(
  raw_stack!H$2:H$100000,
  raw_stack!D$2:D$100000, G88,
  raw_stack!F$2:F$100000, "Iya",
  raw_stack!G$2:G$100000, "&gt;="&amp;DATE(2025,12,1),
  raw_stack!G$2:G$100000, "&lt;="&amp;EOMONTH(DATE(2025,12,1),0)
 ),
 IF(OR(_xlpm.x=0, _xlpm.x=""), "-", _xlpm.x)
)</f>
        <v>-</v>
      </c>
      <c r="AA88" s="55" t="str">
        <f>_xlfn.LET(
 _xlpm.x,
 _xlfn.MAXIFS(
  raw_stack!G$2:G$99411,
  raw_stack!D$2:D$99411, G88,
  raw_stack!F$2:F$99411, "Iya",
  raw_stack!G$2:G$99411, "&gt;="&amp;DATE(2026,1,1),
  raw_stack!G$2:G$99411, "&lt;="&amp;EOMONTH(DATE(2026,1,1),0)
 ),
 IF(_xlpm.x=0, "-", _xlpm.x)
)</f>
        <v>-</v>
      </c>
      <c r="AB88" s="56" t="str">
        <f>_xlfn.LET(
 _xlpm.x,
 _xlfn.MAXIFS(
  raw_stack!H$2:H$100000,
  raw_stack!D$2:D$100000, G88,
  raw_stack!F$2:F$100000, "Iya",
  raw_stack!G$2:G$100000, "&gt;="&amp;DATE(2026,1,1),
  raw_stack!G$2:G$100000, "&lt;="&amp;EOMONTH(DATE(2026,1,1),0)
 ),
 IF(OR(_xlpm.x=0, _xlpm.x=""), "-", _xlpm.x)
)</f>
        <v>-</v>
      </c>
      <c r="AC88" s="55">
        <f>_xlfn.LET(
 _xlpm.x,
 _xlfn.MAXIFS(
  raw_stack!G$2:G$99411,
  raw_stack!D$2:D$99411, G88,
  raw_stack!F$2:F$99411, "Iya",
  raw_stack!G$2:G$99411, "&gt;="&amp;DATE(2026,2,1),
  raw_stack!G$2:G$99411, "&lt;="&amp;EOMONTH(DATE(2026,2,1),0)
 ),
 IF(_xlpm.x=0, "-", _xlpm.x)
)</f>
        <v>46062</v>
      </c>
      <c r="AD88" s="56">
        <f>_xlfn.LET(
 _xlpm.x,
 _xlfn.MAXIFS(
  raw_stack!H$2:H$100000,
  raw_stack!D$2:D$100000, G88,
  raw_stack!F$2:F$100000, "Iya",
  raw_stack!G$2:G$100000, "&gt;="&amp;DATE(2026,2,1),
  raw_stack!G$2:G$100000, "&lt;="&amp;EOMONTH(DATE(2026,2,1),0)
 ),
 IF(OR(_xlpm.x=0, _xlpm.x=""), "-", _xlpm.x)
)</f>
        <v>87347</v>
      </c>
      <c r="AE88" s="55" t="str">
        <f>_xlfn.LET(
 _xlpm.x,
 _xlfn.MAXIFS(
  raw_stack!G$2:G$100000,
  raw_stack!D$2:D$100000, G88,
  raw_stack!F$2:F$100000, "Iya",
  raw_stack!G$2:G$100000, "&gt;="&amp;DATE(2026,3,1),
  raw_stack!G$2:G$100000, "&lt;="&amp;EOMONTH(DATE(2026,3,1),0)
 ),
 IF(_xlpm.x=0, "-", _xlpm.x)
)</f>
        <v>-</v>
      </c>
      <c r="AF88" s="56" t="str">
        <f>_xlfn.LET(
 _xlpm.x,
 _xlfn.MAXIFS(
  raw_stack!H$2:H$100000,
  raw_stack!D$2:D$100000, G88,
  raw_stack!F$2:F$100000, "Iya",
  raw_stack!G$2:G$100000, "&gt;="&amp;DATE(2026,3,1),
  raw_stack!G$2:G$100000, "&lt;="&amp;EOMONTH(DATE(2026,3,1),0)
 ),
 IF(OR(_xlpm.x=0, _xlpm.x=""), "-", _xlpm.x)
)</f>
        <v>-</v>
      </c>
      <c r="AG88" s="55" t="str">
        <f>_xlfn.LET(
 _xlpm.x,
 _xlfn.MAXIFS(
  raw_stack!G$2:G$100000,
  raw_stack!D$2:D$100000, G88,
  raw_stack!F$2:F$100000, "Iya",
  raw_stack!G$2:G$100000, "&gt;="&amp;DATE(2026,4,1),
  raw_stack!G$2:G$100000, "&lt;="&amp;EOMONTH(DATE(2026,4,1),0)
 ),
 IF(_xlpm.x=0, "-", _xlpm.x)
)</f>
        <v>-</v>
      </c>
      <c r="AH88" s="56" t="str">
        <f>_xlfn.LET(
 _xlpm.x,
 _xlfn.MAXIFS(
  raw_stack!H$2:H$100000,
  raw_stack!D$2:D$100000, G88,
  raw_stack!F$2:F$100000, "Iya",
  raw_stack!G$2:G$100000, "&gt;="&amp;DATE(2026,4,1),
  raw_stack!G$2:G$100000, "&lt;="&amp;EOMONTH(DATE(2026,4,1),0)
 ),
 IF(OR(_xlpm.x=0, _xlpm.x=""), "-", _xlpm.x)
)</f>
        <v>-</v>
      </c>
    </row>
    <row r="89" spans="1:34">
      <c r="A89" s="48">
        <v>88</v>
      </c>
      <c r="B89" s="49" t="str">
        <f t="shared" si="1"/>
        <v>20314</v>
      </c>
      <c r="C89" s="50" t="s">
        <v>46</v>
      </c>
      <c r="D89" s="51" t="s">
        <v>537</v>
      </c>
      <c r="E89" s="51" t="s">
        <v>47</v>
      </c>
      <c r="F89" s="49" t="s">
        <v>117</v>
      </c>
      <c r="G89" s="49" t="s">
        <v>205</v>
      </c>
      <c r="H89" s="49" t="s">
        <v>48</v>
      </c>
      <c r="I89" s="49" t="s">
        <v>49</v>
      </c>
      <c r="J89" s="52">
        <v>4495000</v>
      </c>
      <c r="K89" s="53">
        <v>45184</v>
      </c>
      <c r="L89" s="53">
        <v>46279</v>
      </c>
      <c r="M89" s="53">
        <v>46067</v>
      </c>
      <c r="N89" s="49" t="s">
        <v>50</v>
      </c>
      <c r="O89" s="54">
        <f>_xlfn.LET(
 _xlpm.x,
 _xlfn.MAXIFS(
  raw_stack!G$2:G$100000,
  raw_stack!D$2:D$100000, G89,
  raw_stack!F$2:F$100000, "Iya",
  raw_stack!G$2:G$100000, "&gt;="&amp;DATE(2025,7,1),
  raw_stack!G$2:G$100000, "&lt;="&amp;EOMONTH(DATE(2025,7,1),0)
 ),
 IF(_xlpm.x=0, "-", _xlpm.x)
)</f>
        <v>45850</v>
      </c>
      <c r="P89" s="65">
        <f>_xlfn.LET(
 _xlpm.x,
 _xlfn.MAXIFS(
  raw_stack!H$2:H$100000,
  raw_stack!D$2:D$100000, G89,
  raw_stack!F$2:F$100000, "Iya",
  raw_stack!G$2:G$100000, "&gt;="&amp;DATE(2025,7,1),
  raw_stack!G$2:G$100000, "&lt;="&amp;EOMONTH(DATE(2025,7,1),0)
 ),
 IF(OR(_xlpm.x=0, _xlpm.x=""), "-", _xlpm.x)
)</f>
        <v>38659</v>
      </c>
      <c r="Q89" s="54" t="str">
        <f>_xlfn.LET(
 _xlpm.x,
 _xlfn.MAXIFS(
  raw_stack!G$2:G$99411,
  raw_stack!D$2:D$99411, G89,
  raw_stack!F$2:F$99411, "Iya",
  raw_stack!G$2:G$99411, "&gt;="&amp;DATE(2025,8,1),
  raw_stack!G$2:G$99411, "&lt;="&amp;EOMONTH(DATE(2025,8,1),0)
 ),
 IF(_xlpm.x=0, "-", _xlpm.x)
)</f>
        <v>-</v>
      </c>
      <c r="R89" s="65" t="str">
        <f>_xlfn.LET(
 _xlpm.x,
 _xlfn.MAXIFS(
  raw_stack!H$2:H$100000,
  raw_stack!D$2:D$100000, G89,
  raw_stack!F$2:F$100000, "Iya",
  raw_stack!G$2:G$100000, "&gt;="&amp;DATE(2025,8,1),
  raw_stack!G$2:G$100000, "&lt;="&amp;EOMONTH(DATE(2025,8,1),0)
 ),
 IF(OR(_xlpm.x=0, _xlpm.x=""), "-", _xlpm.x)
)</f>
        <v>-</v>
      </c>
      <c r="S89" s="54">
        <f>_xlfn.LET(
 _xlpm.x,
 _xlfn.MAXIFS(
  raw_stack!G$2:G$99411,
  raw_stack!D$2:D$99411, G89,
  raw_stack!F$2:F$99411, "Iya",
  raw_stack!G$2:G$99411, "&gt;="&amp;DATE(2025,9,1),
  raw_stack!G$2:G$99411, "&lt;="&amp;EOMONTH(DATE(2025,9,1),0)
 ),
 IF(_xlpm.x=0, "-", _xlpm.x)
)</f>
        <v>45920</v>
      </c>
      <c r="T89" s="65">
        <f>_xlfn.LET(
 _xlpm.x,
 _xlfn.MAXIFS(
  raw_stack!H$2:H$100000,
  raw_stack!D$2:D$100000, G89,
  raw_stack!F$2:F$100000, "Iya",
  raw_stack!G$2:G$100000, "&gt;="&amp;DATE(2025,9,1),
  raw_stack!G$2:G$100000, "&lt;="&amp;EOMONTH(DATE(2025,9,1),0)
 ),
 IF(OR(_xlpm.x=0, _xlpm.x=""), "-", _xlpm.x)
)</f>
        <v>37203</v>
      </c>
      <c r="U89" s="54" t="str">
        <f>_xlfn.LET(
 _xlpm.x,
 _xlfn.MAXIFS(
  raw_stack!G$2:G$99411,
  raw_stack!D$2:D$99411, G89,
  raw_stack!F$2:F$99411, "Iya",
  raw_stack!G$2:G$99411, "&gt;="&amp;DATE(2025,10,1),
  raw_stack!G$2:G$99411, "&lt;="&amp;EOMONTH(DATE(2025,10,1),0)
 ),
 IF(_xlpm.x=0, "-", _xlpm.x)
)</f>
        <v>-</v>
      </c>
      <c r="V89" s="65" t="str">
        <f>_xlfn.LET(
 _xlpm.x,
 _xlfn.MAXIFS(
  raw_stack!H$2:H$100000,
  raw_stack!D$2:D$100000, G89,
  raw_stack!F$2:F$100000, "Iya",
  raw_stack!G$2:G$100000, "&gt;="&amp;DATE(2025,10,1),
  raw_stack!G$2:G$100000, "&lt;="&amp;EOMONTH(DATE(2025,10,1),0)
 ),
 IF(OR(_xlpm.x=0, _xlpm.x=""), "-", _xlpm.x)
)</f>
        <v>-</v>
      </c>
      <c r="W89" s="55" t="str">
        <f>_xlfn.LET(
 _xlpm.x,
 _xlfn.MAXIFS(
  raw_stack!G$2:G$99411,
  raw_stack!D$2:D$99411, G89,
  raw_stack!F$2:F$99411, "Iya",
  raw_stack!G$2:G$99411, "&gt;="&amp;DATE(2025,11,1),
  raw_stack!G$2:G$99411, "&lt;="&amp;EOMONTH(DATE(2025,11,1),0)
 ),
 IF(_xlpm.x=0, "-", _xlpm.x)
)</f>
        <v>-</v>
      </c>
      <c r="X89" s="56" t="str">
        <f>_xlfn.LET(
 _xlpm.x,
 _xlfn.MAXIFS(
  raw_stack!H$2:H$100000,
  raw_stack!D$2:D$100000, G89,
  raw_stack!F$2:F$100000, "Iya",
  raw_stack!G$2:G$100000, "&gt;="&amp;DATE(2025,11,1),
  raw_stack!G$2:G$100000, "&lt;="&amp;EOMONTH(DATE(2025,11,1),0)
 ),
 IF(OR(_xlpm.x=0, _xlpm.x=""), "-", _xlpm.x)
)</f>
        <v>-</v>
      </c>
      <c r="Y89" s="55" t="str">
        <f>_xlfn.LET(
 _xlpm.x,
 _xlfn.MAXIFS(
  raw_stack!G$2:G$99411,
  raw_stack!D$2:D$99411, G89,
  raw_stack!F$2:F$99411, "Iya",
  raw_stack!G$2:G$99411, "&gt;="&amp;DATE(2025,12,1),
  raw_stack!G$2:G$99411, "&lt;="&amp;EOMONTH(DATE(2025,12,1),0)
 ),
 IF(_xlpm.x=0, "-", _xlpm.x)
)</f>
        <v>-</v>
      </c>
      <c r="Z89" s="56" t="str">
        <f>_xlfn.LET(
 _xlpm.x,
 _xlfn.MAXIFS(
  raw_stack!H$2:H$100000,
  raw_stack!D$2:D$100000, G89,
  raw_stack!F$2:F$100000, "Iya",
  raw_stack!G$2:G$100000, "&gt;="&amp;DATE(2025,12,1),
  raw_stack!G$2:G$100000, "&lt;="&amp;EOMONTH(DATE(2025,12,1),0)
 ),
 IF(OR(_xlpm.x=0, _xlpm.x=""), "-", _xlpm.x)
)</f>
        <v>-</v>
      </c>
      <c r="AA89" s="55" t="str">
        <f>_xlfn.LET(
 _xlpm.x,
 _xlfn.MAXIFS(
  raw_stack!G$2:G$99411,
  raw_stack!D$2:D$99411, G89,
  raw_stack!F$2:F$99411, "Iya",
  raw_stack!G$2:G$99411, "&gt;="&amp;DATE(2026,1,1),
  raw_stack!G$2:G$99411, "&lt;="&amp;EOMONTH(DATE(2026,1,1),0)
 ),
 IF(_xlpm.x=0, "-", _xlpm.x)
)</f>
        <v>-</v>
      </c>
      <c r="AB89" s="56" t="str">
        <f>_xlfn.LET(
 _xlpm.x,
 _xlfn.MAXIFS(
  raw_stack!H$2:H$100000,
  raw_stack!D$2:D$100000, G89,
  raw_stack!F$2:F$100000, "Iya",
  raw_stack!G$2:G$100000, "&gt;="&amp;DATE(2026,1,1),
  raw_stack!G$2:G$100000, "&lt;="&amp;EOMONTH(DATE(2026,1,1),0)
 ),
 IF(OR(_xlpm.x=0, _xlpm.x=""), "-", _xlpm.x)
)</f>
        <v>-</v>
      </c>
      <c r="AC89" s="55" t="str">
        <f>_xlfn.LET(
 _xlpm.x,
 _xlfn.MAXIFS(
  raw_stack!G$2:G$99411,
  raw_stack!D$2:D$99411, G89,
  raw_stack!F$2:F$99411, "Iya",
  raw_stack!G$2:G$99411, "&gt;="&amp;DATE(2026,2,1),
  raw_stack!G$2:G$99411, "&lt;="&amp;EOMONTH(DATE(2026,2,1),0)
 ),
 IF(_xlpm.x=0, "-", _xlpm.x)
)</f>
        <v>-</v>
      </c>
      <c r="AD89" s="56" t="str">
        <f>_xlfn.LET(
 _xlpm.x,
 _xlfn.MAXIFS(
  raw_stack!H$2:H$100000,
  raw_stack!D$2:D$100000, G89,
  raw_stack!F$2:F$100000, "Iya",
  raw_stack!G$2:G$100000, "&gt;="&amp;DATE(2026,2,1),
  raw_stack!G$2:G$100000, "&lt;="&amp;EOMONTH(DATE(2026,2,1),0)
 ),
 IF(OR(_xlpm.x=0, _xlpm.x=""), "-", _xlpm.x)
)</f>
        <v>-</v>
      </c>
      <c r="AE89" s="55" t="str">
        <f>_xlfn.LET(
 _xlpm.x,
 _xlfn.MAXIFS(
  raw_stack!G$2:G$100000,
  raw_stack!D$2:D$100000, G89,
  raw_stack!F$2:F$100000, "Iya",
  raw_stack!G$2:G$100000, "&gt;="&amp;DATE(2026,3,1),
  raw_stack!G$2:G$100000, "&lt;="&amp;EOMONTH(DATE(2026,3,1),0)
 ),
 IF(_xlpm.x=0, "-", _xlpm.x)
)</f>
        <v>-</v>
      </c>
      <c r="AF89" s="56" t="str">
        <f>_xlfn.LET(
 _xlpm.x,
 _xlfn.MAXIFS(
  raw_stack!H$2:H$100000,
  raw_stack!D$2:D$100000, G89,
  raw_stack!F$2:F$100000, "Iya",
  raw_stack!G$2:G$100000, "&gt;="&amp;DATE(2026,3,1),
  raw_stack!G$2:G$100000, "&lt;="&amp;EOMONTH(DATE(2026,3,1),0)
 ),
 IF(OR(_xlpm.x=0, _xlpm.x=""), "-", _xlpm.x)
)</f>
        <v>-</v>
      </c>
      <c r="AG89" s="55" t="str">
        <f>_xlfn.LET(
 _xlpm.x,
 _xlfn.MAXIFS(
  raw_stack!G$2:G$100000,
  raw_stack!D$2:D$100000, G89,
  raw_stack!F$2:F$100000, "Iya",
  raw_stack!G$2:G$100000, "&gt;="&amp;DATE(2026,4,1),
  raw_stack!G$2:G$100000, "&lt;="&amp;EOMONTH(DATE(2026,4,1),0)
 ),
 IF(_xlpm.x=0, "-", _xlpm.x)
)</f>
        <v>-</v>
      </c>
      <c r="AH89" s="56" t="str">
        <f>_xlfn.LET(
 _xlpm.x,
 _xlfn.MAXIFS(
  raw_stack!H$2:H$100000,
  raw_stack!D$2:D$100000, G89,
  raw_stack!F$2:F$100000, "Iya",
  raw_stack!G$2:G$100000, "&gt;="&amp;DATE(2026,4,1),
  raw_stack!G$2:G$100000, "&lt;="&amp;EOMONTH(DATE(2026,4,1),0)
 ),
 IF(OR(_xlpm.x=0, _xlpm.x=""), "-", _xlpm.x)
)</f>
        <v>-</v>
      </c>
    </row>
    <row r="90" spans="1:34">
      <c r="A90" s="48">
        <v>89</v>
      </c>
      <c r="B90" s="49" t="str">
        <f t="shared" si="1"/>
        <v>63313</v>
      </c>
      <c r="C90" s="50" t="s">
        <v>46</v>
      </c>
      <c r="D90" s="51" t="s">
        <v>538</v>
      </c>
      <c r="E90" s="51" t="s">
        <v>53</v>
      </c>
      <c r="F90" s="49" t="s">
        <v>117</v>
      </c>
      <c r="G90" s="49" t="s">
        <v>206</v>
      </c>
      <c r="H90" s="49" t="s">
        <v>48</v>
      </c>
      <c r="I90" s="49" t="s">
        <v>52</v>
      </c>
      <c r="J90" s="52">
        <v>5575000</v>
      </c>
      <c r="K90" s="53">
        <v>45184</v>
      </c>
      <c r="L90" s="53">
        <v>46279</v>
      </c>
      <c r="M90" s="53">
        <v>46067</v>
      </c>
      <c r="N90" s="49" t="s">
        <v>50</v>
      </c>
      <c r="O90" s="54" t="str">
        <f>_xlfn.LET(
 _xlpm.x,
 _xlfn.MAXIFS(
  raw_stack!G$2:G$100000,
  raw_stack!D$2:D$100000, G90,
  raw_stack!F$2:F$100000, "Iya",
  raw_stack!G$2:G$100000, "&gt;="&amp;DATE(2025,7,1),
  raw_stack!G$2:G$100000, "&lt;="&amp;EOMONTH(DATE(2025,7,1),0)
 ),
 IF(_xlpm.x=0, "-", _xlpm.x)
)</f>
        <v>-</v>
      </c>
      <c r="P90" s="65" t="str">
        <f>_xlfn.LET(
 _xlpm.x,
 _xlfn.MAXIFS(
  raw_stack!H$2:H$100000,
  raw_stack!D$2:D$100000, G90,
  raw_stack!F$2:F$100000, "Iya",
  raw_stack!G$2:G$100000, "&gt;="&amp;DATE(2025,7,1),
  raw_stack!G$2:G$100000, "&lt;="&amp;EOMONTH(DATE(2025,7,1),0)
 ),
 IF(OR(_xlpm.x=0, _xlpm.x=""), "-", _xlpm.x)
)</f>
        <v>-</v>
      </c>
      <c r="Q90" s="54" t="str">
        <f>_xlfn.LET(
 _xlpm.x,
 _xlfn.MAXIFS(
  raw_stack!G$2:G$99411,
  raw_stack!D$2:D$99411, G90,
  raw_stack!F$2:F$99411, "Iya",
  raw_stack!G$2:G$99411, "&gt;="&amp;DATE(2025,8,1),
  raw_stack!G$2:G$99411, "&lt;="&amp;EOMONTH(DATE(2025,8,1),0)
 ),
 IF(_xlpm.x=0, "-", _xlpm.x)
)</f>
        <v>-</v>
      </c>
      <c r="R90" s="65" t="str">
        <f>_xlfn.LET(
 _xlpm.x,
 _xlfn.MAXIFS(
  raw_stack!H$2:H$100000,
  raw_stack!D$2:D$100000, G90,
  raw_stack!F$2:F$100000, "Iya",
  raw_stack!G$2:G$100000, "&gt;="&amp;DATE(2025,8,1),
  raw_stack!G$2:G$100000, "&lt;="&amp;EOMONTH(DATE(2025,8,1),0)
 ),
 IF(OR(_xlpm.x=0, _xlpm.x=""), "-", _xlpm.x)
)</f>
        <v>-</v>
      </c>
      <c r="S90" s="54">
        <f>_xlfn.LET(
 _xlpm.x,
 _xlfn.MAXIFS(
  raw_stack!G$2:G$99411,
  raw_stack!D$2:D$99411, G90,
  raw_stack!F$2:F$99411, "Iya",
  raw_stack!G$2:G$99411, "&gt;="&amp;DATE(2025,9,1),
  raw_stack!G$2:G$99411, "&lt;="&amp;EOMONTH(DATE(2025,9,1),0)
 ),
 IF(_xlpm.x=0, "-", _xlpm.x)
)</f>
        <v>45912</v>
      </c>
      <c r="T90" s="65">
        <f>_xlfn.LET(
 _xlpm.x,
 _xlfn.MAXIFS(
  raw_stack!H$2:H$100000,
  raw_stack!D$2:D$100000, G90,
  raw_stack!F$2:F$100000, "Iya",
  raw_stack!G$2:G$100000, "&gt;="&amp;DATE(2025,9,1),
  raw_stack!G$2:G$100000, "&lt;="&amp;EOMONTH(DATE(2025,9,1),0)
 ),
 IF(OR(_xlpm.x=0, _xlpm.x=""), "-", _xlpm.x)
)</f>
        <v>52506</v>
      </c>
      <c r="U90" s="54" t="str">
        <f>_xlfn.LET(
 _xlpm.x,
 _xlfn.MAXIFS(
  raw_stack!G$2:G$99411,
  raw_stack!D$2:D$99411, G90,
  raw_stack!F$2:F$99411, "Iya",
  raw_stack!G$2:G$99411, "&gt;="&amp;DATE(2025,10,1),
  raw_stack!G$2:G$99411, "&lt;="&amp;EOMONTH(DATE(2025,10,1),0)
 ),
 IF(_xlpm.x=0, "-", _xlpm.x)
)</f>
        <v>-</v>
      </c>
      <c r="V90" s="65" t="str">
        <f>_xlfn.LET(
 _xlpm.x,
 _xlfn.MAXIFS(
  raw_stack!H$2:H$100000,
  raw_stack!D$2:D$100000, G90,
  raw_stack!F$2:F$100000, "Iya",
  raw_stack!G$2:G$100000, "&gt;="&amp;DATE(2025,10,1),
  raw_stack!G$2:G$100000, "&lt;="&amp;EOMONTH(DATE(2025,10,1),0)
 ),
 IF(OR(_xlpm.x=0, _xlpm.x=""), "-", _xlpm.x)
)</f>
        <v>-</v>
      </c>
      <c r="W90" s="55" t="str">
        <f>_xlfn.LET(
 _xlpm.x,
 _xlfn.MAXIFS(
  raw_stack!G$2:G$99411,
  raw_stack!D$2:D$99411, G90,
  raw_stack!F$2:F$99411, "Iya",
  raw_stack!G$2:G$99411, "&gt;="&amp;DATE(2025,11,1),
  raw_stack!G$2:G$99411, "&lt;="&amp;EOMONTH(DATE(2025,11,1),0)
 ),
 IF(_xlpm.x=0, "-", _xlpm.x)
)</f>
        <v>-</v>
      </c>
      <c r="X90" s="56" t="str">
        <f>_xlfn.LET(
 _xlpm.x,
 _xlfn.MAXIFS(
  raw_stack!H$2:H$100000,
  raw_stack!D$2:D$100000, G90,
  raw_stack!F$2:F$100000, "Iya",
  raw_stack!G$2:G$100000, "&gt;="&amp;DATE(2025,11,1),
  raw_stack!G$2:G$100000, "&lt;="&amp;EOMONTH(DATE(2025,11,1),0)
 ),
 IF(OR(_xlpm.x=0, _xlpm.x=""), "-", _xlpm.x)
)</f>
        <v>-</v>
      </c>
      <c r="Y90" s="55" t="str">
        <f>_xlfn.LET(
 _xlpm.x,
 _xlfn.MAXIFS(
  raw_stack!G$2:G$99411,
  raw_stack!D$2:D$99411, G90,
  raw_stack!F$2:F$99411, "Iya",
  raw_stack!G$2:G$99411, "&gt;="&amp;DATE(2025,12,1),
  raw_stack!G$2:G$99411, "&lt;="&amp;EOMONTH(DATE(2025,12,1),0)
 ),
 IF(_xlpm.x=0, "-", _xlpm.x)
)</f>
        <v>-</v>
      </c>
      <c r="Z90" s="56" t="str">
        <f>_xlfn.LET(
 _xlpm.x,
 _xlfn.MAXIFS(
  raw_stack!H$2:H$100000,
  raw_stack!D$2:D$100000, G90,
  raw_stack!F$2:F$100000, "Iya",
  raw_stack!G$2:G$100000, "&gt;="&amp;DATE(2025,12,1),
  raw_stack!G$2:G$100000, "&lt;="&amp;EOMONTH(DATE(2025,12,1),0)
 ),
 IF(OR(_xlpm.x=0, _xlpm.x=""), "-", _xlpm.x)
)</f>
        <v>-</v>
      </c>
      <c r="AA90" s="55">
        <f>_xlfn.LET(
 _xlpm.x,
 _xlfn.MAXIFS(
  raw_stack!G$2:G$99411,
  raw_stack!D$2:D$99411, G90,
  raw_stack!F$2:F$99411, "Iya",
  raw_stack!G$2:G$99411, "&gt;="&amp;DATE(2026,1,1),
  raw_stack!G$2:G$99411, "&lt;="&amp;EOMONTH(DATE(2026,1,1),0)
 ),
 IF(_xlpm.x=0, "-", _xlpm.x)
)</f>
        <v>46027</v>
      </c>
      <c r="AB90" s="56">
        <f>_xlfn.LET(
 _xlpm.x,
 _xlfn.MAXIFS(
  raw_stack!H$2:H$100000,
  raw_stack!D$2:D$100000, G90,
  raw_stack!F$2:F$100000, "Iya",
  raw_stack!G$2:G$100000, "&gt;="&amp;DATE(2026,1,1),
  raw_stack!G$2:G$100000, "&lt;="&amp;EOMONTH(DATE(2026,1,1),0)
 ),
 IF(OR(_xlpm.x=0, _xlpm.x=""), "-", _xlpm.x)
)</f>
        <v>55973</v>
      </c>
      <c r="AC90" s="55" t="str">
        <f>_xlfn.LET(
 _xlpm.x,
 _xlfn.MAXIFS(
  raw_stack!G$2:G$99411,
  raw_stack!D$2:D$99411, G90,
  raw_stack!F$2:F$99411, "Iya",
  raw_stack!G$2:G$99411, "&gt;="&amp;DATE(2026,2,1),
  raw_stack!G$2:G$99411, "&lt;="&amp;EOMONTH(DATE(2026,2,1),0)
 ),
 IF(_xlpm.x=0, "-", _xlpm.x)
)</f>
        <v>-</v>
      </c>
      <c r="AD90" s="56" t="str">
        <f>_xlfn.LET(
 _xlpm.x,
 _xlfn.MAXIFS(
  raw_stack!H$2:H$100000,
  raw_stack!D$2:D$100000, G90,
  raw_stack!F$2:F$100000, "Iya",
  raw_stack!G$2:G$100000, "&gt;="&amp;DATE(2026,2,1),
  raw_stack!G$2:G$100000, "&lt;="&amp;EOMONTH(DATE(2026,2,1),0)
 ),
 IF(OR(_xlpm.x=0, _xlpm.x=""), "-", _xlpm.x)
)</f>
        <v>-</v>
      </c>
      <c r="AE90" s="55">
        <f>_xlfn.LET(
 _xlpm.x,
 _xlfn.MAXIFS(
  raw_stack!G$2:G$100000,
  raw_stack!D$2:D$100000, G90,
  raw_stack!F$2:F$100000, "Iya",
  raw_stack!G$2:G$100000, "&gt;="&amp;DATE(2026,3,1),
  raw_stack!G$2:G$100000, "&lt;="&amp;EOMONTH(DATE(2026,3,1),0)
 ),
 IF(_xlpm.x=0, "-", _xlpm.x)
)</f>
        <v>46095</v>
      </c>
      <c r="AF90" s="56">
        <f>_xlfn.LET(
 _xlpm.x,
 _xlfn.MAXIFS(
  raw_stack!H$2:H$100000,
  raw_stack!D$2:D$100000, G90,
  raw_stack!F$2:F$100000, "Iya",
  raw_stack!G$2:G$100000, "&gt;="&amp;DATE(2026,3,1),
  raw_stack!G$2:G$100000, "&lt;="&amp;EOMONTH(DATE(2026,3,1),0)
 ),
 IF(OR(_xlpm.x=0, _xlpm.x=""), "-", _xlpm.x)
)</f>
        <v>58780</v>
      </c>
      <c r="AG90" s="55" t="str">
        <f>_xlfn.LET(
 _xlpm.x,
 _xlfn.MAXIFS(
  raw_stack!G$2:G$100000,
  raw_stack!D$2:D$100000, G90,
  raw_stack!F$2:F$100000, "Iya",
  raw_stack!G$2:G$100000, "&gt;="&amp;DATE(2026,4,1),
  raw_stack!G$2:G$100000, "&lt;="&amp;EOMONTH(DATE(2026,4,1),0)
 ),
 IF(_xlpm.x=0, "-", _xlpm.x)
)</f>
        <v>-</v>
      </c>
      <c r="AH90" s="56" t="str">
        <f>_xlfn.LET(
 _xlpm.x,
 _xlfn.MAXIFS(
  raw_stack!H$2:H$100000,
  raw_stack!D$2:D$100000, G90,
  raw_stack!F$2:F$100000, "Iya",
  raw_stack!G$2:G$100000, "&gt;="&amp;DATE(2026,4,1),
  raw_stack!G$2:G$100000, "&lt;="&amp;EOMONTH(DATE(2026,4,1),0)
 ),
 IF(OR(_xlpm.x=0, _xlpm.x=""), "-", _xlpm.x)
)</f>
        <v>-</v>
      </c>
    </row>
    <row r="91" spans="1:34">
      <c r="A91" s="48">
        <v>90</v>
      </c>
      <c r="B91" s="49" t="str">
        <f t="shared" si="1"/>
        <v>38816</v>
      </c>
      <c r="C91" s="50" t="s">
        <v>46</v>
      </c>
      <c r="D91" s="51" t="s">
        <v>539</v>
      </c>
      <c r="E91" s="51" t="s">
        <v>54</v>
      </c>
      <c r="F91" s="49" t="s">
        <v>117</v>
      </c>
      <c r="G91" s="49" t="s">
        <v>207</v>
      </c>
      <c r="H91" s="49" t="s">
        <v>48</v>
      </c>
      <c r="I91" s="49" t="s">
        <v>52</v>
      </c>
      <c r="J91" s="52">
        <v>6450000</v>
      </c>
      <c r="K91" s="53">
        <v>45188</v>
      </c>
      <c r="L91" s="53">
        <v>46283</v>
      </c>
      <c r="M91" s="53">
        <v>46071</v>
      </c>
      <c r="N91" s="49" t="s">
        <v>50</v>
      </c>
      <c r="O91" s="54" t="str">
        <f>_xlfn.LET(
 _xlpm.x,
 _xlfn.MAXIFS(
  raw_stack!G$2:G$100000,
  raw_stack!D$2:D$100000, G91,
  raw_stack!F$2:F$100000, "Iya",
  raw_stack!G$2:G$100000, "&gt;="&amp;DATE(2025,7,1),
  raw_stack!G$2:G$100000, "&lt;="&amp;EOMONTH(DATE(2025,7,1),0)
 ),
 IF(_xlpm.x=0, "-", _xlpm.x)
)</f>
        <v>-</v>
      </c>
      <c r="P91" s="65" t="str">
        <f>_xlfn.LET(
 _xlpm.x,
 _xlfn.MAXIFS(
  raw_stack!H$2:H$100000,
  raw_stack!D$2:D$100000, G91,
  raw_stack!F$2:F$100000, "Iya",
  raw_stack!G$2:G$100000, "&gt;="&amp;DATE(2025,7,1),
  raw_stack!G$2:G$100000, "&lt;="&amp;EOMONTH(DATE(2025,7,1),0)
 ),
 IF(OR(_xlpm.x=0, _xlpm.x=""), "-", _xlpm.x)
)</f>
        <v>-</v>
      </c>
      <c r="Q91" s="54" t="str">
        <f>_xlfn.LET(
 _xlpm.x,
 _xlfn.MAXIFS(
  raw_stack!G$2:G$99411,
  raw_stack!D$2:D$99411, G91,
  raw_stack!F$2:F$99411, "Iya",
  raw_stack!G$2:G$99411, "&gt;="&amp;DATE(2025,8,1),
  raw_stack!G$2:G$99411, "&lt;="&amp;EOMONTH(DATE(2025,8,1),0)
 ),
 IF(_xlpm.x=0, "-", _xlpm.x)
)</f>
        <v>-</v>
      </c>
      <c r="R91" s="65" t="str">
        <f>_xlfn.LET(
 _xlpm.x,
 _xlfn.MAXIFS(
  raw_stack!H$2:H$100000,
  raw_stack!D$2:D$100000, G91,
  raw_stack!F$2:F$100000, "Iya",
  raw_stack!G$2:G$100000, "&gt;="&amp;DATE(2025,8,1),
  raw_stack!G$2:G$100000, "&lt;="&amp;EOMONTH(DATE(2025,8,1),0)
 ),
 IF(OR(_xlpm.x=0, _xlpm.x=""), "-", _xlpm.x)
)</f>
        <v>-</v>
      </c>
      <c r="S91" s="54">
        <f>_xlfn.LET(
 _xlpm.x,
 _xlfn.MAXIFS(
  raw_stack!G$2:G$99411,
  raw_stack!D$2:D$99411, G91,
  raw_stack!F$2:F$99411, "Iya",
  raw_stack!G$2:G$99411, "&gt;="&amp;DATE(2025,9,1),
  raw_stack!G$2:G$99411, "&lt;="&amp;EOMONTH(DATE(2025,9,1),0)
 ),
 IF(_xlpm.x=0, "-", _xlpm.x)
)</f>
        <v>45911</v>
      </c>
      <c r="T91" s="65">
        <f>_xlfn.LET(
 _xlpm.x,
 _xlfn.MAXIFS(
  raw_stack!H$2:H$100000,
  raw_stack!D$2:D$100000, G91,
  raw_stack!F$2:F$100000, "Iya",
  raw_stack!G$2:G$100000, "&gt;="&amp;DATE(2025,9,1),
  raw_stack!G$2:G$100000, "&lt;="&amp;EOMONTH(DATE(2025,9,1),0)
 ),
 IF(OR(_xlpm.x=0, _xlpm.x=""), "-", _xlpm.x)
)</f>
        <v>44870</v>
      </c>
      <c r="U91" s="54" t="str">
        <f>_xlfn.LET(
 _xlpm.x,
 _xlfn.MAXIFS(
  raw_stack!G$2:G$99411,
  raw_stack!D$2:D$99411, G91,
  raw_stack!F$2:F$99411, "Iya",
  raw_stack!G$2:G$99411, "&gt;="&amp;DATE(2025,10,1),
  raw_stack!G$2:G$99411, "&lt;="&amp;EOMONTH(DATE(2025,10,1),0)
 ),
 IF(_xlpm.x=0, "-", _xlpm.x)
)</f>
        <v>-</v>
      </c>
      <c r="V91" s="65" t="str">
        <f>_xlfn.LET(
 _xlpm.x,
 _xlfn.MAXIFS(
  raw_stack!H$2:H$100000,
  raw_stack!D$2:D$100000, G91,
  raw_stack!F$2:F$100000, "Iya",
  raw_stack!G$2:G$100000, "&gt;="&amp;DATE(2025,10,1),
  raw_stack!G$2:G$100000, "&lt;="&amp;EOMONTH(DATE(2025,10,1),0)
 ),
 IF(OR(_xlpm.x=0, _xlpm.x=""), "-", _xlpm.x)
)</f>
        <v>-</v>
      </c>
      <c r="W91" s="55" t="str">
        <f>_xlfn.LET(
 _xlpm.x,
 _xlfn.MAXIFS(
  raw_stack!G$2:G$99411,
  raw_stack!D$2:D$99411, G91,
  raw_stack!F$2:F$99411, "Iya",
  raw_stack!G$2:G$99411, "&gt;="&amp;DATE(2025,11,1),
  raw_stack!G$2:G$99411, "&lt;="&amp;EOMONTH(DATE(2025,11,1),0)
 ),
 IF(_xlpm.x=0, "-", _xlpm.x)
)</f>
        <v>-</v>
      </c>
      <c r="X91" s="56" t="str">
        <f>_xlfn.LET(
 _xlpm.x,
 _xlfn.MAXIFS(
  raw_stack!H$2:H$100000,
  raw_stack!D$2:D$100000, G91,
  raw_stack!F$2:F$100000, "Iya",
  raw_stack!G$2:G$100000, "&gt;="&amp;DATE(2025,11,1),
  raw_stack!G$2:G$100000, "&lt;="&amp;EOMONTH(DATE(2025,11,1),0)
 ),
 IF(OR(_xlpm.x=0, _xlpm.x=""), "-", _xlpm.x)
)</f>
        <v>-</v>
      </c>
      <c r="Y91" s="55">
        <f>_xlfn.LET(
 _xlpm.x,
 _xlfn.MAXIFS(
  raw_stack!G$2:G$99411,
  raw_stack!D$2:D$99411, G91,
  raw_stack!F$2:F$99411, "Iya",
  raw_stack!G$2:G$99411, "&gt;="&amp;DATE(2025,12,1),
  raw_stack!G$2:G$99411, "&lt;="&amp;EOMONTH(DATE(2025,12,1),0)
 ),
 IF(_xlpm.x=0, "-", _xlpm.x)
)</f>
        <v>46003</v>
      </c>
      <c r="Z91" s="56">
        <f>_xlfn.LET(
 _xlpm.x,
 _xlfn.MAXIFS(
  raw_stack!H$2:H$100000,
  raw_stack!D$2:D$100000, G91,
  raw_stack!F$2:F$100000, "Iya",
  raw_stack!G$2:G$100000, "&gt;="&amp;DATE(2025,12,1),
  raw_stack!G$2:G$100000, "&lt;="&amp;EOMONTH(DATE(2025,12,1),0)
 ),
 IF(OR(_xlpm.x=0, _xlpm.x=""), "-", _xlpm.x)
)</f>
        <v>47363</v>
      </c>
      <c r="AA91" s="55" t="str">
        <f>_xlfn.LET(
 _xlpm.x,
 _xlfn.MAXIFS(
  raw_stack!G$2:G$99411,
  raw_stack!D$2:D$99411, G91,
  raw_stack!F$2:F$99411, "Iya",
  raw_stack!G$2:G$99411, "&gt;="&amp;DATE(2026,1,1),
  raw_stack!G$2:G$99411, "&lt;="&amp;EOMONTH(DATE(2026,1,1),0)
 ),
 IF(_xlpm.x=0, "-", _xlpm.x)
)</f>
        <v>-</v>
      </c>
      <c r="AB91" s="56" t="str">
        <f>_xlfn.LET(
 _xlpm.x,
 _xlfn.MAXIFS(
  raw_stack!H$2:H$100000,
  raw_stack!D$2:D$100000, G91,
  raw_stack!F$2:F$100000, "Iya",
  raw_stack!G$2:G$100000, "&gt;="&amp;DATE(2026,1,1),
  raw_stack!G$2:G$100000, "&lt;="&amp;EOMONTH(DATE(2026,1,1),0)
 ),
 IF(OR(_xlpm.x=0, _xlpm.x=""), "-", _xlpm.x)
)</f>
        <v>-</v>
      </c>
      <c r="AC91" s="55" t="str">
        <f>_xlfn.LET(
 _xlpm.x,
 _xlfn.MAXIFS(
  raw_stack!G$2:G$99411,
  raw_stack!D$2:D$99411, G91,
  raw_stack!F$2:F$99411, "Iya",
  raw_stack!G$2:G$99411, "&gt;="&amp;DATE(2026,2,1),
  raw_stack!G$2:G$99411, "&lt;="&amp;EOMONTH(DATE(2026,2,1),0)
 ),
 IF(_xlpm.x=0, "-", _xlpm.x)
)</f>
        <v>-</v>
      </c>
      <c r="AD91" s="56" t="str">
        <f>_xlfn.LET(
 _xlpm.x,
 _xlfn.MAXIFS(
  raw_stack!H$2:H$100000,
  raw_stack!D$2:D$100000, G91,
  raw_stack!F$2:F$100000, "Iya",
  raw_stack!G$2:G$100000, "&gt;="&amp;DATE(2026,2,1),
  raw_stack!G$2:G$100000, "&lt;="&amp;EOMONTH(DATE(2026,2,1),0)
 ),
 IF(OR(_xlpm.x=0, _xlpm.x=""), "-", _xlpm.x)
)</f>
        <v>-</v>
      </c>
      <c r="AE91" s="55">
        <f>_xlfn.LET(
 _xlpm.x,
 _xlfn.MAXIFS(
  raw_stack!G$2:G$100000,
  raw_stack!D$2:D$100000, G91,
  raw_stack!F$2:F$100000, "Iya",
  raw_stack!G$2:G$100000, "&gt;="&amp;DATE(2026,3,1),
  raw_stack!G$2:G$100000, "&lt;="&amp;EOMONTH(DATE(2026,3,1),0)
 ),
 IF(_xlpm.x=0, "-", _xlpm.x)
)</f>
        <v>46091</v>
      </c>
      <c r="AF91" s="56">
        <f>_xlfn.LET(
 _xlpm.x,
 _xlfn.MAXIFS(
  raw_stack!H$2:H$100000,
  raw_stack!D$2:D$100000, G91,
  raw_stack!F$2:F$100000, "Iya",
  raw_stack!G$2:G$100000, "&gt;="&amp;DATE(2026,3,1),
  raw_stack!G$2:G$100000, "&lt;="&amp;EOMONTH(DATE(2026,3,1),0)
 ),
 IF(OR(_xlpm.x=0, _xlpm.x=""), "-", _xlpm.x)
)</f>
        <v>52630</v>
      </c>
      <c r="AG91" s="55" t="str">
        <f>_xlfn.LET(
 _xlpm.x,
 _xlfn.MAXIFS(
  raw_stack!G$2:G$100000,
  raw_stack!D$2:D$100000, G91,
  raw_stack!F$2:F$100000, "Iya",
  raw_stack!G$2:G$100000, "&gt;="&amp;DATE(2026,4,1),
  raw_stack!G$2:G$100000, "&lt;="&amp;EOMONTH(DATE(2026,4,1),0)
 ),
 IF(_xlpm.x=0, "-", _xlpm.x)
)</f>
        <v>-</v>
      </c>
      <c r="AH91" s="56" t="str">
        <f>_xlfn.LET(
 _xlpm.x,
 _xlfn.MAXIFS(
  raw_stack!H$2:H$100000,
  raw_stack!D$2:D$100000, G91,
  raw_stack!F$2:F$100000, "Iya",
  raw_stack!G$2:G$100000, "&gt;="&amp;DATE(2026,4,1),
  raw_stack!G$2:G$100000, "&lt;="&amp;EOMONTH(DATE(2026,4,1),0)
 ),
 IF(OR(_xlpm.x=0, _xlpm.x=""), "-", _xlpm.x)
)</f>
        <v>-</v>
      </c>
    </row>
    <row r="92" spans="1:34">
      <c r="A92" s="48">
        <v>91</v>
      </c>
      <c r="B92" s="49" t="str">
        <f t="shared" si="1"/>
        <v>35309</v>
      </c>
      <c r="C92" s="50" t="s">
        <v>46</v>
      </c>
      <c r="D92" s="51" t="s">
        <v>540</v>
      </c>
      <c r="E92" s="51" t="s">
        <v>54</v>
      </c>
      <c r="F92" s="49" t="s">
        <v>117</v>
      </c>
      <c r="G92" s="49" t="s">
        <v>208</v>
      </c>
      <c r="H92" s="49" t="s">
        <v>48</v>
      </c>
      <c r="I92" s="49" t="s">
        <v>52</v>
      </c>
      <c r="J92" s="52">
        <v>6450000</v>
      </c>
      <c r="K92" s="53">
        <v>45189</v>
      </c>
      <c r="L92" s="53">
        <v>46284</v>
      </c>
      <c r="M92" s="53">
        <v>46072</v>
      </c>
      <c r="N92" s="49" t="s">
        <v>50</v>
      </c>
      <c r="O92" s="54" t="str">
        <f>_xlfn.LET(
 _xlpm.x,
 _xlfn.MAXIFS(
  raw_stack!G$2:G$100000,
  raw_stack!D$2:D$100000, G92,
  raw_stack!F$2:F$100000, "Iya",
  raw_stack!G$2:G$100000, "&gt;="&amp;DATE(2025,7,1),
  raw_stack!G$2:G$100000, "&lt;="&amp;EOMONTH(DATE(2025,7,1),0)
 ),
 IF(_xlpm.x=0, "-", _xlpm.x)
)</f>
        <v>-</v>
      </c>
      <c r="P92" s="65" t="str">
        <f>_xlfn.LET(
 _xlpm.x,
 _xlfn.MAXIFS(
  raw_stack!H$2:H$100000,
  raw_stack!D$2:D$100000, G92,
  raw_stack!F$2:F$100000, "Iya",
  raw_stack!G$2:G$100000, "&gt;="&amp;DATE(2025,7,1),
  raw_stack!G$2:G$100000, "&lt;="&amp;EOMONTH(DATE(2025,7,1),0)
 ),
 IF(OR(_xlpm.x=0, _xlpm.x=""), "-", _xlpm.x)
)</f>
        <v>-</v>
      </c>
      <c r="Q92" s="54">
        <f>_xlfn.LET(
 _xlpm.x,
 _xlfn.MAXIFS(
  raw_stack!G$2:G$99411,
  raw_stack!D$2:D$99411, G92,
  raw_stack!F$2:F$99411, "Iya",
  raw_stack!G$2:G$99411, "&gt;="&amp;DATE(2025,8,1),
  raw_stack!G$2:G$99411, "&lt;="&amp;EOMONTH(DATE(2025,8,1),0)
 ),
 IF(_xlpm.x=0, "-", _xlpm.x)
)</f>
        <v>45892</v>
      </c>
      <c r="R92" s="65">
        <f>_xlfn.LET(
 _xlpm.x,
 _xlfn.MAXIFS(
  raw_stack!H$2:H$100000,
  raw_stack!D$2:D$100000, G92,
  raw_stack!F$2:F$100000, "Iya",
  raw_stack!G$2:G$100000, "&gt;="&amp;DATE(2025,8,1),
  raw_stack!G$2:G$100000, "&lt;="&amp;EOMONTH(DATE(2025,8,1),0)
 ),
 IF(OR(_xlpm.x=0, _xlpm.x=""), "-", _xlpm.x)
)</f>
        <v>55796</v>
      </c>
      <c r="S92" s="54" t="str">
        <f>_xlfn.LET(
 _xlpm.x,
 _xlfn.MAXIFS(
  raw_stack!G$2:G$99411,
  raw_stack!D$2:D$99411, G92,
  raw_stack!F$2:F$99411, "Iya",
  raw_stack!G$2:G$99411, "&gt;="&amp;DATE(2025,9,1),
  raw_stack!G$2:G$99411, "&lt;="&amp;EOMONTH(DATE(2025,9,1),0)
 ),
 IF(_xlpm.x=0, "-", _xlpm.x)
)</f>
        <v>-</v>
      </c>
      <c r="T92" s="65" t="str">
        <f>_xlfn.LET(
 _xlpm.x,
 _xlfn.MAXIFS(
  raw_stack!H$2:H$100000,
  raw_stack!D$2:D$100000, G92,
  raw_stack!F$2:F$100000, "Iya",
  raw_stack!G$2:G$100000, "&gt;="&amp;DATE(2025,9,1),
  raw_stack!G$2:G$100000, "&lt;="&amp;EOMONTH(DATE(2025,9,1),0)
 ),
 IF(OR(_xlpm.x=0, _xlpm.x=""), "-", _xlpm.x)
)</f>
        <v>-</v>
      </c>
      <c r="U92" s="54">
        <f>_xlfn.LET(
 _xlpm.x,
 _xlfn.MAXIFS(
  raw_stack!G$2:G$99411,
  raw_stack!D$2:D$99411, G92,
  raw_stack!F$2:F$99411, "Iya",
  raw_stack!G$2:G$99411, "&gt;="&amp;DATE(2025,10,1),
  raw_stack!G$2:G$99411, "&lt;="&amp;EOMONTH(DATE(2025,10,1),0)
 ),
 IF(_xlpm.x=0, "-", _xlpm.x)
)</f>
        <v>45938</v>
      </c>
      <c r="V92" s="65">
        <f>_xlfn.LET(
 _xlpm.x,
 _xlfn.MAXIFS(
  raw_stack!H$2:H$100000,
  raw_stack!D$2:D$100000, G92,
  raw_stack!F$2:F$100000, "Iya",
  raw_stack!G$2:G$100000, "&gt;="&amp;DATE(2025,10,1),
  raw_stack!G$2:G$100000, "&lt;="&amp;EOMONTH(DATE(2025,10,1),0)
 ),
 IF(OR(_xlpm.x=0, _xlpm.x=""), "-", _xlpm.x)
)</f>
        <v>68390</v>
      </c>
      <c r="W92" s="55" t="str">
        <f>_xlfn.LET(
 _xlpm.x,
 _xlfn.MAXIFS(
  raw_stack!G$2:G$99411,
  raw_stack!D$2:D$99411, G92,
  raw_stack!F$2:F$99411, "Iya",
  raw_stack!G$2:G$99411, "&gt;="&amp;DATE(2025,11,1),
  raw_stack!G$2:G$99411, "&lt;="&amp;EOMONTH(DATE(2025,11,1),0)
 ),
 IF(_xlpm.x=0, "-", _xlpm.x)
)</f>
        <v>-</v>
      </c>
      <c r="X92" s="56" t="str">
        <f>_xlfn.LET(
 _xlpm.x,
 _xlfn.MAXIFS(
  raw_stack!H$2:H$100000,
  raw_stack!D$2:D$100000, G92,
  raw_stack!F$2:F$100000, "Iya",
  raw_stack!G$2:G$100000, "&gt;="&amp;DATE(2025,11,1),
  raw_stack!G$2:G$100000, "&lt;="&amp;EOMONTH(DATE(2025,11,1),0)
 ),
 IF(OR(_xlpm.x=0, _xlpm.x=""), "-", _xlpm.x)
)</f>
        <v>-</v>
      </c>
      <c r="Y92" s="55" t="str">
        <f>_xlfn.LET(
 _xlpm.x,
 _xlfn.MAXIFS(
  raw_stack!G$2:G$99411,
  raw_stack!D$2:D$99411, G92,
  raw_stack!F$2:F$99411, "Iya",
  raw_stack!G$2:G$99411, "&gt;="&amp;DATE(2025,12,1),
  raw_stack!G$2:G$99411, "&lt;="&amp;EOMONTH(DATE(2025,12,1),0)
 ),
 IF(_xlpm.x=0, "-", _xlpm.x)
)</f>
        <v>-</v>
      </c>
      <c r="Z92" s="56" t="str">
        <f>_xlfn.LET(
 _xlpm.x,
 _xlfn.MAXIFS(
  raw_stack!H$2:H$100000,
  raw_stack!D$2:D$100000, G92,
  raw_stack!F$2:F$100000, "Iya",
  raw_stack!G$2:G$100000, "&gt;="&amp;DATE(2025,12,1),
  raw_stack!G$2:G$100000, "&lt;="&amp;EOMONTH(DATE(2025,12,1),0)
 ),
 IF(OR(_xlpm.x=0, _xlpm.x=""), "-", _xlpm.x)
)</f>
        <v>-</v>
      </c>
      <c r="AA92" s="55" t="str">
        <f>_xlfn.LET(
 _xlpm.x,
 _xlfn.MAXIFS(
  raw_stack!G$2:G$99411,
  raw_stack!D$2:D$99411, G92,
  raw_stack!F$2:F$99411, "Iya",
  raw_stack!G$2:G$99411, "&gt;="&amp;DATE(2026,1,1),
  raw_stack!G$2:G$99411, "&lt;="&amp;EOMONTH(DATE(2026,1,1),0)
 ),
 IF(_xlpm.x=0, "-", _xlpm.x)
)</f>
        <v>-</v>
      </c>
      <c r="AB92" s="56" t="str">
        <f>_xlfn.LET(
 _xlpm.x,
 _xlfn.MAXIFS(
  raw_stack!H$2:H$100000,
  raw_stack!D$2:D$100000, G92,
  raw_stack!F$2:F$100000, "Iya",
  raw_stack!G$2:G$100000, "&gt;="&amp;DATE(2026,1,1),
  raw_stack!G$2:G$100000, "&lt;="&amp;EOMONTH(DATE(2026,1,1),0)
 ),
 IF(OR(_xlpm.x=0, _xlpm.x=""), "-", _xlpm.x)
)</f>
        <v>-</v>
      </c>
      <c r="AC92" s="55" t="str">
        <f>_xlfn.LET(
 _xlpm.x,
 _xlfn.MAXIFS(
  raw_stack!G$2:G$99411,
  raw_stack!D$2:D$99411, G92,
  raw_stack!F$2:F$99411, "Iya",
  raw_stack!G$2:G$99411, "&gt;="&amp;DATE(2026,2,1),
  raw_stack!G$2:G$99411, "&lt;="&amp;EOMONTH(DATE(2026,2,1),0)
 ),
 IF(_xlpm.x=0, "-", _xlpm.x)
)</f>
        <v>-</v>
      </c>
      <c r="AD92" s="56" t="str">
        <f>_xlfn.LET(
 _xlpm.x,
 _xlfn.MAXIFS(
  raw_stack!H$2:H$100000,
  raw_stack!D$2:D$100000, G92,
  raw_stack!F$2:F$100000, "Iya",
  raw_stack!G$2:G$100000, "&gt;="&amp;DATE(2026,2,1),
  raw_stack!G$2:G$100000, "&lt;="&amp;EOMONTH(DATE(2026,2,1),0)
 ),
 IF(OR(_xlpm.x=0, _xlpm.x=""), "-", _xlpm.x)
)</f>
        <v>-</v>
      </c>
      <c r="AE92" s="55">
        <f>_xlfn.LET(
 _xlpm.x,
 _xlfn.MAXIFS(
  raw_stack!G$2:G$100000,
  raw_stack!D$2:D$100000, G92,
  raw_stack!F$2:F$100000, "Iya",
  raw_stack!G$2:G$100000, "&gt;="&amp;DATE(2026,3,1),
  raw_stack!G$2:G$100000, "&lt;="&amp;EOMONTH(DATE(2026,3,1),0)
 ),
 IF(_xlpm.x=0, "-", _xlpm.x)
)</f>
        <v>46097</v>
      </c>
      <c r="AF92" s="56">
        <f>_xlfn.LET(
 _xlpm.x,
 _xlfn.MAXIFS(
  raw_stack!H$2:H$100000,
  raw_stack!D$2:D$100000, G92,
  raw_stack!F$2:F$100000, "Iya",
  raw_stack!G$2:G$100000, "&gt;="&amp;DATE(2026,3,1),
  raw_stack!G$2:G$100000, "&lt;="&amp;EOMONTH(DATE(2026,3,1),0)
 ),
 IF(OR(_xlpm.x=0, _xlpm.x=""), "-", _xlpm.x)
)</f>
        <v>69785</v>
      </c>
      <c r="AG92" s="55" t="str">
        <f>_xlfn.LET(
 _xlpm.x,
 _xlfn.MAXIFS(
  raw_stack!G$2:G$100000,
  raw_stack!D$2:D$100000, G92,
  raw_stack!F$2:F$100000, "Iya",
  raw_stack!G$2:G$100000, "&gt;="&amp;DATE(2026,4,1),
  raw_stack!G$2:G$100000, "&lt;="&amp;EOMONTH(DATE(2026,4,1),0)
 ),
 IF(_xlpm.x=0, "-", _xlpm.x)
)</f>
        <v>-</v>
      </c>
      <c r="AH92" s="56" t="str">
        <f>_xlfn.LET(
 _xlpm.x,
 _xlfn.MAXIFS(
  raw_stack!H$2:H$100000,
  raw_stack!D$2:D$100000, G92,
  raw_stack!F$2:F$100000, "Iya",
  raw_stack!G$2:G$100000, "&gt;="&amp;DATE(2026,4,1),
  raw_stack!G$2:G$100000, "&lt;="&amp;EOMONTH(DATE(2026,4,1),0)
 ),
 IF(OR(_xlpm.x=0, _xlpm.x=""), "-", _xlpm.x)
)</f>
        <v>-</v>
      </c>
    </row>
    <row r="93" spans="1:34">
      <c r="A93" s="48">
        <v>92</v>
      </c>
      <c r="B93" s="49" t="str">
        <f t="shared" si="1"/>
        <v>23490</v>
      </c>
      <c r="C93" s="50" t="s">
        <v>46</v>
      </c>
      <c r="D93" s="51" t="s">
        <v>535</v>
      </c>
      <c r="E93" s="51" t="s">
        <v>47</v>
      </c>
      <c r="F93" s="49" t="s">
        <v>117</v>
      </c>
      <c r="G93" s="49" t="s">
        <v>209</v>
      </c>
      <c r="H93" s="49" t="s">
        <v>48</v>
      </c>
      <c r="I93" s="49" t="s">
        <v>49</v>
      </c>
      <c r="J93" s="52">
        <v>4100000</v>
      </c>
      <c r="K93" s="53">
        <v>45929</v>
      </c>
      <c r="L93" s="53">
        <v>46293</v>
      </c>
      <c r="M93" s="53">
        <v>46080</v>
      </c>
      <c r="N93" s="49" t="s">
        <v>50</v>
      </c>
      <c r="O93" s="54" t="str">
        <f>_xlfn.LET(
 _xlpm.x,
 _xlfn.MAXIFS(
  raw_stack!G$2:G$100000,
  raw_stack!D$2:D$100000, G93,
  raw_stack!F$2:F$100000, "Iya",
  raw_stack!G$2:G$100000, "&gt;="&amp;DATE(2025,7,1),
  raw_stack!G$2:G$100000, "&lt;="&amp;EOMONTH(DATE(2025,7,1),0)
 ),
 IF(_xlpm.x=0, "-", _xlpm.x)
)</f>
        <v>-</v>
      </c>
      <c r="P93" s="65" t="str">
        <f>_xlfn.LET(
 _xlpm.x,
 _xlfn.MAXIFS(
  raw_stack!H$2:H$100000,
  raw_stack!D$2:D$100000, G93,
  raw_stack!F$2:F$100000, "Iya",
  raw_stack!G$2:G$100000, "&gt;="&amp;DATE(2025,7,1),
  raw_stack!G$2:G$100000, "&lt;="&amp;EOMONTH(DATE(2025,7,1),0)
 ),
 IF(OR(_xlpm.x=0, _xlpm.x=""), "-", _xlpm.x)
)</f>
        <v>-</v>
      </c>
      <c r="Q93" s="54" t="str">
        <f>_xlfn.LET(
 _xlpm.x,
 _xlfn.MAXIFS(
  raw_stack!G$2:G$99411,
  raw_stack!D$2:D$99411, G93,
  raw_stack!F$2:F$99411, "Iya",
  raw_stack!G$2:G$99411, "&gt;="&amp;DATE(2025,8,1),
  raw_stack!G$2:G$99411, "&lt;="&amp;EOMONTH(DATE(2025,8,1),0)
 ),
 IF(_xlpm.x=0, "-", _xlpm.x)
)</f>
        <v>-</v>
      </c>
      <c r="R93" s="65" t="str">
        <f>_xlfn.LET(
 _xlpm.x,
 _xlfn.MAXIFS(
  raw_stack!H$2:H$100000,
  raw_stack!D$2:D$100000, G93,
  raw_stack!F$2:F$100000, "Iya",
  raw_stack!G$2:G$100000, "&gt;="&amp;DATE(2025,8,1),
  raw_stack!G$2:G$100000, "&lt;="&amp;EOMONTH(DATE(2025,8,1),0)
 ),
 IF(OR(_xlpm.x=0, _xlpm.x=""), "-", _xlpm.x)
)</f>
        <v>-</v>
      </c>
      <c r="S93" s="54" t="str">
        <f>_xlfn.LET(
 _xlpm.x,
 _xlfn.MAXIFS(
  raw_stack!G$2:G$99411,
  raw_stack!D$2:D$99411, G93,
  raw_stack!F$2:F$99411, "Iya",
  raw_stack!G$2:G$99411, "&gt;="&amp;DATE(2025,9,1),
  raw_stack!G$2:G$99411, "&lt;="&amp;EOMONTH(DATE(2025,9,1),0)
 ),
 IF(_xlpm.x=0, "-", _xlpm.x)
)</f>
        <v>-</v>
      </c>
      <c r="T93" s="65" t="str">
        <f>_xlfn.LET(
 _xlpm.x,
 _xlfn.MAXIFS(
  raw_stack!H$2:H$100000,
  raw_stack!D$2:D$100000, G93,
  raw_stack!F$2:F$100000, "Iya",
  raw_stack!G$2:G$100000, "&gt;="&amp;DATE(2025,9,1),
  raw_stack!G$2:G$100000, "&lt;="&amp;EOMONTH(DATE(2025,9,1),0)
 ),
 IF(OR(_xlpm.x=0, _xlpm.x=""), "-", _xlpm.x)
)</f>
        <v>-</v>
      </c>
      <c r="U93" s="54">
        <f>_xlfn.LET(
 _xlpm.x,
 _xlfn.MAXIFS(
  raw_stack!G$2:G$99411,
  raw_stack!D$2:D$99411, G93,
  raw_stack!F$2:F$99411, "Iya",
  raw_stack!G$2:G$99411, "&gt;="&amp;DATE(2025,10,1),
  raw_stack!G$2:G$99411, "&lt;="&amp;EOMONTH(DATE(2025,10,1),0)
 ),
 IF(_xlpm.x=0, "-", _xlpm.x)
)</f>
        <v>45946</v>
      </c>
      <c r="V93" s="65">
        <f>_xlfn.LET(
 _xlpm.x,
 _xlfn.MAXIFS(
  raw_stack!H$2:H$100000,
  raw_stack!D$2:D$100000, G93,
  raw_stack!F$2:F$100000, "Iya",
  raw_stack!G$2:G$100000, "&gt;="&amp;DATE(2025,10,1),
  raw_stack!G$2:G$100000, "&lt;="&amp;EOMONTH(DATE(2025,10,1),0)
 ),
 IF(OR(_xlpm.x=0, _xlpm.x=""), "-", _xlpm.x)
)</f>
        <v>93039</v>
      </c>
      <c r="W93" s="55" t="str">
        <f>_xlfn.LET(
 _xlpm.x,
 _xlfn.MAXIFS(
  raw_stack!G$2:G$99411,
  raw_stack!D$2:D$99411, G93,
  raw_stack!F$2:F$99411, "Iya",
  raw_stack!G$2:G$99411, "&gt;="&amp;DATE(2025,11,1),
  raw_stack!G$2:G$99411, "&lt;="&amp;EOMONTH(DATE(2025,11,1),0)
 ),
 IF(_xlpm.x=0, "-", _xlpm.x)
)</f>
        <v>-</v>
      </c>
      <c r="X93" s="56" t="str">
        <f>_xlfn.LET(
 _xlpm.x,
 _xlfn.MAXIFS(
  raw_stack!H$2:H$100000,
  raw_stack!D$2:D$100000, G93,
  raw_stack!F$2:F$100000, "Iya",
  raw_stack!G$2:G$100000, "&gt;="&amp;DATE(2025,11,1),
  raw_stack!G$2:G$100000, "&lt;="&amp;EOMONTH(DATE(2025,11,1),0)
 ),
 IF(OR(_xlpm.x=0, _xlpm.x=""), "-", _xlpm.x)
)</f>
        <v>-</v>
      </c>
      <c r="Y93" s="55">
        <f>_xlfn.LET(
 _xlpm.x,
 _xlfn.MAXIFS(
  raw_stack!G$2:G$99411,
  raw_stack!D$2:D$99411, G93,
  raw_stack!F$2:F$99411, "Iya",
  raw_stack!G$2:G$99411, "&gt;="&amp;DATE(2025,12,1),
  raw_stack!G$2:G$99411, "&lt;="&amp;EOMONTH(DATE(2025,12,1),0)
 ),
 IF(_xlpm.x=0, "-", _xlpm.x)
)</f>
        <v>45992</v>
      </c>
      <c r="Z93" s="56">
        <f>_xlfn.LET(
 _xlpm.x,
 _xlfn.MAXIFS(
  raw_stack!H$2:H$100000,
  raw_stack!D$2:D$100000, G93,
  raw_stack!F$2:F$100000, "Iya",
  raw_stack!G$2:G$100000, "&gt;="&amp;DATE(2025,12,1),
  raw_stack!G$2:G$100000, "&lt;="&amp;EOMONTH(DATE(2025,12,1),0)
 ),
 IF(OR(_xlpm.x=0, _xlpm.x=""), "-", _xlpm.x)
)</f>
        <v>73428</v>
      </c>
      <c r="AA93" s="55" t="str">
        <f>_xlfn.LET(
 _xlpm.x,
 _xlfn.MAXIFS(
  raw_stack!G$2:G$99411,
  raw_stack!D$2:D$99411, G93,
  raw_stack!F$2:F$99411, "Iya",
  raw_stack!G$2:G$99411, "&gt;="&amp;DATE(2026,1,1),
  raw_stack!G$2:G$99411, "&lt;="&amp;EOMONTH(DATE(2026,1,1),0)
 ),
 IF(_xlpm.x=0, "-", _xlpm.x)
)</f>
        <v>-</v>
      </c>
      <c r="AB93" s="56" t="str">
        <f>_xlfn.LET(
 _xlpm.x,
 _xlfn.MAXIFS(
  raw_stack!H$2:H$100000,
  raw_stack!D$2:D$100000, G93,
  raw_stack!F$2:F$100000, "Iya",
  raw_stack!G$2:G$100000, "&gt;="&amp;DATE(2026,1,1),
  raw_stack!G$2:G$100000, "&lt;="&amp;EOMONTH(DATE(2026,1,1),0)
 ),
 IF(OR(_xlpm.x=0, _xlpm.x=""), "-", _xlpm.x)
)</f>
        <v>-</v>
      </c>
      <c r="AC93" s="55" t="str">
        <f>_xlfn.LET(
 _xlpm.x,
 _xlfn.MAXIFS(
  raw_stack!G$2:G$99411,
  raw_stack!D$2:D$99411, G93,
  raw_stack!F$2:F$99411, "Iya",
  raw_stack!G$2:G$99411, "&gt;="&amp;DATE(2026,2,1),
  raw_stack!G$2:G$99411, "&lt;="&amp;EOMONTH(DATE(2026,2,1),0)
 ),
 IF(_xlpm.x=0, "-", _xlpm.x)
)</f>
        <v>-</v>
      </c>
      <c r="AD93" s="56" t="str">
        <f>_xlfn.LET(
 _xlpm.x,
 _xlfn.MAXIFS(
  raw_stack!H$2:H$100000,
  raw_stack!D$2:D$100000, G93,
  raw_stack!F$2:F$100000, "Iya",
  raw_stack!G$2:G$100000, "&gt;="&amp;DATE(2026,2,1),
  raw_stack!G$2:G$100000, "&lt;="&amp;EOMONTH(DATE(2026,2,1),0)
 ),
 IF(OR(_xlpm.x=0, _xlpm.x=""), "-", _xlpm.x)
)</f>
        <v>-</v>
      </c>
      <c r="AE93" s="55" t="str">
        <f>_xlfn.LET(
 _xlpm.x,
 _xlfn.MAXIFS(
  raw_stack!G$2:G$100000,
  raw_stack!D$2:D$100000, G93,
  raw_stack!F$2:F$100000, "Iya",
  raw_stack!G$2:G$100000, "&gt;="&amp;DATE(2026,3,1),
  raw_stack!G$2:G$100000, "&lt;="&amp;EOMONTH(DATE(2026,3,1),0)
 ),
 IF(_xlpm.x=0, "-", _xlpm.x)
)</f>
        <v>-</v>
      </c>
      <c r="AF93" s="56" t="str">
        <f>_xlfn.LET(
 _xlpm.x,
 _xlfn.MAXIFS(
  raw_stack!H$2:H$100000,
  raw_stack!D$2:D$100000, G93,
  raw_stack!F$2:F$100000, "Iya",
  raw_stack!G$2:G$100000, "&gt;="&amp;DATE(2026,3,1),
  raw_stack!G$2:G$100000, "&lt;="&amp;EOMONTH(DATE(2026,3,1),0)
 ),
 IF(OR(_xlpm.x=0, _xlpm.x=""), "-", _xlpm.x)
)</f>
        <v>-</v>
      </c>
      <c r="AG93" s="55">
        <f>_xlfn.LET(
 _xlpm.x,
 _xlfn.MAXIFS(
  raw_stack!G$2:G$100000,
  raw_stack!D$2:D$100000, G93,
  raw_stack!F$2:F$100000, "Iya",
  raw_stack!G$2:G$100000, "&gt;="&amp;DATE(2026,4,1),
  raw_stack!G$2:G$100000, "&lt;="&amp;EOMONTH(DATE(2026,4,1),0)
 ),
 IF(_xlpm.x=0, "-", _xlpm.x)
)</f>
        <v>46118</v>
      </c>
      <c r="AH93" s="56">
        <f>_xlfn.LET(
 _xlpm.x,
 _xlfn.MAXIFS(
  raw_stack!H$2:H$100000,
  raw_stack!D$2:D$100000, G93,
  raw_stack!F$2:F$100000, "Iya",
  raw_stack!G$2:G$100000, "&gt;="&amp;DATE(2026,4,1),
  raw_stack!G$2:G$100000, "&lt;="&amp;EOMONTH(DATE(2026,4,1),0)
 ),
 IF(OR(_xlpm.x=0, _xlpm.x=""), "-", _xlpm.x)
)</f>
        <v>93018</v>
      </c>
    </row>
    <row r="94" spans="1:34">
      <c r="A94" s="48">
        <v>93</v>
      </c>
      <c r="B94" s="49" t="str">
        <f t="shared" si="1"/>
        <v>12292</v>
      </c>
      <c r="C94" s="50" t="s">
        <v>46</v>
      </c>
      <c r="D94" s="51" t="s">
        <v>541</v>
      </c>
      <c r="E94" s="51" t="s">
        <v>53</v>
      </c>
      <c r="F94" s="49" t="s">
        <v>117</v>
      </c>
      <c r="G94" s="49" t="s">
        <v>210</v>
      </c>
      <c r="H94" s="49" t="s">
        <v>48</v>
      </c>
      <c r="I94" s="49" t="s">
        <v>52</v>
      </c>
      <c r="J94" s="52">
        <v>5500000</v>
      </c>
      <c r="K94" s="53">
        <v>45200</v>
      </c>
      <c r="L94" s="53">
        <v>46295</v>
      </c>
      <c r="M94" s="53">
        <v>46081</v>
      </c>
      <c r="N94" s="49" t="s">
        <v>50</v>
      </c>
      <c r="O94" s="54">
        <f>_xlfn.LET(
 _xlpm.x,
 _xlfn.MAXIFS(
  raw_stack!G$2:G$100000,
  raw_stack!D$2:D$100000, G94,
  raw_stack!F$2:F$100000, "Iya",
  raw_stack!G$2:G$100000, "&gt;="&amp;DATE(2025,7,1),
  raw_stack!G$2:G$100000, "&lt;="&amp;EOMONTH(DATE(2025,7,1),0)
 ),
 IF(_xlpm.x=0, "-", _xlpm.x)
)</f>
        <v>45862</v>
      </c>
      <c r="P94" s="65">
        <f>_xlfn.LET(
 _xlpm.x,
 _xlfn.MAXIFS(
  raw_stack!H$2:H$100000,
  raw_stack!D$2:D$100000, G94,
  raw_stack!F$2:F$100000, "Iya",
  raw_stack!G$2:G$100000, "&gt;="&amp;DATE(2025,7,1),
  raw_stack!G$2:G$100000, "&lt;="&amp;EOMONTH(DATE(2025,7,1),0)
 ),
 IF(OR(_xlpm.x=0, _xlpm.x=""), "-", _xlpm.x)
)</f>
        <v>57753</v>
      </c>
      <c r="Q94" s="54" t="str">
        <f>_xlfn.LET(
 _xlpm.x,
 _xlfn.MAXIFS(
  raw_stack!G$2:G$99411,
  raw_stack!D$2:D$99411, G94,
  raw_stack!F$2:F$99411, "Iya",
  raw_stack!G$2:G$99411, "&gt;="&amp;DATE(2025,8,1),
  raw_stack!G$2:G$99411, "&lt;="&amp;EOMONTH(DATE(2025,8,1),0)
 ),
 IF(_xlpm.x=0, "-", _xlpm.x)
)</f>
        <v>-</v>
      </c>
      <c r="R94" s="65" t="str">
        <f>_xlfn.LET(
 _xlpm.x,
 _xlfn.MAXIFS(
  raw_stack!H$2:H$100000,
  raw_stack!D$2:D$100000, G94,
  raw_stack!F$2:F$100000, "Iya",
  raw_stack!G$2:G$100000, "&gt;="&amp;DATE(2025,8,1),
  raw_stack!G$2:G$100000, "&lt;="&amp;EOMONTH(DATE(2025,8,1),0)
 ),
 IF(OR(_xlpm.x=0, _xlpm.x=""), "-", _xlpm.x)
)</f>
        <v>-</v>
      </c>
      <c r="S94" s="54" t="str">
        <f>_xlfn.LET(
 _xlpm.x,
 _xlfn.MAXIFS(
  raw_stack!G$2:G$99411,
  raw_stack!D$2:D$99411, G94,
  raw_stack!F$2:F$99411, "Iya",
  raw_stack!G$2:G$99411, "&gt;="&amp;DATE(2025,9,1),
  raw_stack!G$2:G$99411, "&lt;="&amp;EOMONTH(DATE(2025,9,1),0)
 ),
 IF(_xlpm.x=0, "-", _xlpm.x)
)</f>
        <v>-</v>
      </c>
      <c r="T94" s="65" t="str">
        <f>_xlfn.LET(
 _xlpm.x,
 _xlfn.MAXIFS(
  raw_stack!H$2:H$100000,
  raw_stack!D$2:D$100000, G94,
  raw_stack!F$2:F$100000, "Iya",
  raw_stack!G$2:G$100000, "&gt;="&amp;DATE(2025,9,1),
  raw_stack!G$2:G$100000, "&lt;="&amp;EOMONTH(DATE(2025,9,1),0)
 ),
 IF(OR(_xlpm.x=0, _xlpm.x=""), "-", _xlpm.x)
)</f>
        <v>-</v>
      </c>
      <c r="U94" s="54" t="str">
        <f>_xlfn.LET(
 _xlpm.x,
 _xlfn.MAXIFS(
  raw_stack!G$2:G$99411,
  raw_stack!D$2:D$99411, G94,
  raw_stack!F$2:F$99411, "Iya",
  raw_stack!G$2:G$99411, "&gt;="&amp;DATE(2025,10,1),
  raw_stack!G$2:G$99411, "&lt;="&amp;EOMONTH(DATE(2025,10,1),0)
 ),
 IF(_xlpm.x=0, "-", _xlpm.x)
)</f>
        <v>-</v>
      </c>
      <c r="V94" s="65" t="str">
        <f>_xlfn.LET(
 _xlpm.x,
 _xlfn.MAXIFS(
  raw_stack!H$2:H$100000,
  raw_stack!D$2:D$100000, G94,
  raw_stack!F$2:F$100000, "Iya",
  raw_stack!G$2:G$100000, "&gt;="&amp;DATE(2025,10,1),
  raw_stack!G$2:G$100000, "&lt;="&amp;EOMONTH(DATE(2025,10,1),0)
 ),
 IF(OR(_xlpm.x=0, _xlpm.x=""), "-", _xlpm.x)
)</f>
        <v>-</v>
      </c>
      <c r="W94" s="55" t="str">
        <f>_xlfn.LET(
 _xlpm.x,
 _xlfn.MAXIFS(
  raw_stack!G$2:G$99411,
  raw_stack!D$2:D$99411, G94,
  raw_stack!F$2:F$99411, "Iya",
  raw_stack!G$2:G$99411, "&gt;="&amp;DATE(2025,11,1),
  raw_stack!G$2:G$99411, "&lt;="&amp;EOMONTH(DATE(2025,11,1),0)
 ),
 IF(_xlpm.x=0, "-", _xlpm.x)
)</f>
        <v>-</v>
      </c>
      <c r="X94" s="56" t="str">
        <f>_xlfn.LET(
 _xlpm.x,
 _xlfn.MAXIFS(
  raw_stack!H$2:H$100000,
  raw_stack!D$2:D$100000, G94,
  raw_stack!F$2:F$100000, "Iya",
  raw_stack!G$2:G$100000, "&gt;="&amp;DATE(2025,11,1),
  raw_stack!G$2:G$100000, "&lt;="&amp;EOMONTH(DATE(2025,11,1),0)
 ),
 IF(OR(_xlpm.x=0, _xlpm.x=""), "-", _xlpm.x)
)</f>
        <v>-</v>
      </c>
      <c r="Y94" s="55" t="str">
        <f>_xlfn.LET(
 _xlpm.x,
 _xlfn.MAXIFS(
  raw_stack!G$2:G$99411,
  raw_stack!D$2:D$99411, G94,
  raw_stack!F$2:F$99411, "Iya",
  raw_stack!G$2:G$99411, "&gt;="&amp;DATE(2025,12,1),
  raw_stack!G$2:G$99411, "&lt;="&amp;EOMONTH(DATE(2025,12,1),0)
 ),
 IF(_xlpm.x=0, "-", _xlpm.x)
)</f>
        <v>-</v>
      </c>
      <c r="Z94" s="56" t="str">
        <f>_xlfn.LET(
 _xlpm.x,
 _xlfn.MAXIFS(
  raw_stack!H$2:H$100000,
  raw_stack!D$2:D$100000, G94,
  raw_stack!F$2:F$100000, "Iya",
  raw_stack!G$2:G$100000, "&gt;="&amp;DATE(2025,12,1),
  raw_stack!G$2:G$100000, "&lt;="&amp;EOMONTH(DATE(2025,12,1),0)
 ),
 IF(OR(_xlpm.x=0, _xlpm.x=""), "-", _xlpm.x)
)</f>
        <v>-</v>
      </c>
      <c r="AA94" s="55">
        <f>_xlfn.LET(
 _xlpm.x,
 _xlfn.MAXIFS(
  raw_stack!G$2:G$99411,
  raw_stack!D$2:D$99411, G94,
  raw_stack!F$2:F$99411, "Iya",
  raw_stack!G$2:G$99411, "&gt;="&amp;DATE(2026,1,1),
  raw_stack!G$2:G$99411, "&lt;="&amp;EOMONTH(DATE(2026,1,1),0)
 ),
 IF(_xlpm.x=0, "-", _xlpm.x)
)</f>
        <v>46051</v>
      </c>
      <c r="AB94" s="56">
        <f>_xlfn.LET(
 _xlpm.x,
 _xlfn.MAXIFS(
  raw_stack!H$2:H$100000,
  raw_stack!D$2:D$100000, G94,
  raw_stack!F$2:F$100000, "Iya",
  raw_stack!G$2:G$100000, "&gt;="&amp;DATE(2026,1,1),
  raw_stack!G$2:G$100000, "&lt;="&amp;EOMONTH(DATE(2026,1,1),0)
 ),
 IF(OR(_xlpm.x=0, _xlpm.x=""), "-", _xlpm.x)
)</f>
        <v>55044</v>
      </c>
      <c r="AC94" s="55" t="str">
        <f>_xlfn.LET(
 _xlpm.x,
 _xlfn.MAXIFS(
  raw_stack!G$2:G$99411,
  raw_stack!D$2:D$99411, G94,
  raw_stack!F$2:F$99411, "Iya",
  raw_stack!G$2:G$99411, "&gt;="&amp;DATE(2026,2,1),
  raw_stack!G$2:G$99411, "&lt;="&amp;EOMONTH(DATE(2026,2,1),0)
 ),
 IF(_xlpm.x=0, "-", _xlpm.x)
)</f>
        <v>-</v>
      </c>
      <c r="AD94" s="56" t="str">
        <f>_xlfn.LET(
 _xlpm.x,
 _xlfn.MAXIFS(
  raw_stack!H$2:H$100000,
  raw_stack!D$2:D$100000, G94,
  raw_stack!F$2:F$100000, "Iya",
  raw_stack!G$2:G$100000, "&gt;="&amp;DATE(2026,2,1),
  raw_stack!G$2:G$100000, "&lt;="&amp;EOMONTH(DATE(2026,2,1),0)
 ),
 IF(OR(_xlpm.x=0, _xlpm.x=""), "-", _xlpm.x)
)</f>
        <v>-</v>
      </c>
      <c r="AE94" s="55" t="str">
        <f>_xlfn.LET(
 _xlpm.x,
 _xlfn.MAXIFS(
  raw_stack!G$2:G$100000,
  raw_stack!D$2:D$100000, G94,
  raw_stack!F$2:F$100000, "Iya",
  raw_stack!G$2:G$100000, "&gt;="&amp;DATE(2026,3,1),
  raw_stack!G$2:G$100000, "&lt;="&amp;EOMONTH(DATE(2026,3,1),0)
 ),
 IF(_xlpm.x=0, "-", _xlpm.x)
)</f>
        <v>-</v>
      </c>
      <c r="AF94" s="56" t="str">
        <f>_xlfn.LET(
 _xlpm.x,
 _xlfn.MAXIFS(
  raw_stack!H$2:H$100000,
  raw_stack!D$2:D$100000, G94,
  raw_stack!F$2:F$100000, "Iya",
  raw_stack!G$2:G$100000, "&gt;="&amp;DATE(2026,3,1),
  raw_stack!G$2:G$100000, "&lt;="&amp;EOMONTH(DATE(2026,3,1),0)
 ),
 IF(OR(_xlpm.x=0, _xlpm.x=""), "-", _xlpm.x)
)</f>
        <v>-</v>
      </c>
      <c r="AG94" s="55" t="str">
        <f>_xlfn.LET(
 _xlpm.x,
 _xlfn.MAXIFS(
  raw_stack!G$2:G$100000,
  raw_stack!D$2:D$100000, G94,
  raw_stack!F$2:F$100000, "Iya",
  raw_stack!G$2:G$100000, "&gt;="&amp;DATE(2026,4,1),
  raw_stack!G$2:G$100000, "&lt;="&amp;EOMONTH(DATE(2026,4,1),0)
 ),
 IF(_xlpm.x=0, "-", _xlpm.x)
)</f>
        <v>-</v>
      </c>
      <c r="AH94" s="56" t="str">
        <f>_xlfn.LET(
 _xlpm.x,
 _xlfn.MAXIFS(
  raw_stack!H$2:H$100000,
  raw_stack!D$2:D$100000, G94,
  raw_stack!F$2:F$100000, "Iya",
  raw_stack!G$2:G$100000, "&gt;="&amp;DATE(2026,4,1),
  raw_stack!G$2:G$100000, "&lt;="&amp;EOMONTH(DATE(2026,4,1),0)
 ),
 IF(OR(_xlpm.x=0, _xlpm.x=""), "-", _xlpm.x)
)</f>
        <v>-</v>
      </c>
    </row>
    <row r="95" spans="1:34">
      <c r="A95" s="48">
        <v>94</v>
      </c>
      <c r="B95" s="49" t="str">
        <f t="shared" si="1"/>
        <v>17741</v>
      </c>
      <c r="C95" s="50" t="s">
        <v>46</v>
      </c>
      <c r="D95" s="51" t="s">
        <v>542</v>
      </c>
      <c r="E95" s="51" t="s">
        <v>54</v>
      </c>
      <c r="F95" s="49" t="s">
        <v>117</v>
      </c>
      <c r="G95" s="49" t="s">
        <v>211</v>
      </c>
      <c r="H95" s="49" t="s">
        <v>48</v>
      </c>
      <c r="I95" s="49" t="s">
        <v>52</v>
      </c>
      <c r="J95" s="52">
        <v>6450000</v>
      </c>
      <c r="K95" s="53">
        <v>45204</v>
      </c>
      <c r="L95" s="53">
        <v>46299</v>
      </c>
      <c r="M95" s="53">
        <v>46057</v>
      </c>
      <c r="N95" s="49" t="s">
        <v>50</v>
      </c>
      <c r="O95" s="54" t="str">
        <f>_xlfn.LET(
 _xlpm.x,
 _xlfn.MAXIFS(
  raw_stack!G$2:G$100000,
  raw_stack!D$2:D$100000, G95,
  raw_stack!F$2:F$100000, "Iya",
  raw_stack!G$2:G$100000, "&gt;="&amp;DATE(2025,7,1),
  raw_stack!G$2:G$100000, "&lt;="&amp;EOMONTH(DATE(2025,7,1),0)
 ),
 IF(_xlpm.x=0, "-", _xlpm.x)
)</f>
        <v>-</v>
      </c>
      <c r="P95" s="65" t="str">
        <f>_xlfn.LET(
 _xlpm.x,
 _xlfn.MAXIFS(
  raw_stack!H$2:H$100000,
  raw_stack!D$2:D$100000, G95,
  raw_stack!F$2:F$100000, "Iya",
  raw_stack!G$2:G$100000, "&gt;="&amp;DATE(2025,7,1),
  raw_stack!G$2:G$100000, "&lt;="&amp;EOMONTH(DATE(2025,7,1),0)
 ),
 IF(OR(_xlpm.x=0, _xlpm.x=""), "-", _xlpm.x)
)</f>
        <v>-</v>
      </c>
      <c r="Q95" s="54">
        <f>_xlfn.LET(
 _xlpm.x,
 _xlfn.MAXIFS(
  raw_stack!G$2:G$99411,
  raw_stack!D$2:D$99411, G95,
  raw_stack!F$2:F$99411, "Iya",
  raw_stack!G$2:G$99411, "&gt;="&amp;DATE(2025,8,1),
  raw_stack!G$2:G$99411, "&lt;="&amp;EOMONTH(DATE(2025,8,1),0)
 ),
 IF(_xlpm.x=0, "-", _xlpm.x)
)</f>
        <v>45882</v>
      </c>
      <c r="R95" s="65">
        <f>_xlfn.LET(
 _xlpm.x,
 _xlfn.MAXIFS(
  raw_stack!H$2:H$100000,
  raw_stack!D$2:D$100000, G95,
  raw_stack!F$2:F$100000, "Iya",
  raw_stack!G$2:G$100000, "&gt;="&amp;DATE(2025,8,1),
  raw_stack!G$2:G$100000, "&lt;="&amp;EOMONTH(DATE(2025,8,1),0)
 ),
 IF(OR(_xlpm.x=0, _xlpm.x=""), "-", _xlpm.x)
)</f>
        <v>26209</v>
      </c>
      <c r="S95" s="54" t="str">
        <f>_xlfn.LET(
 _xlpm.x,
 _xlfn.MAXIFS(
  raw_stack!G$2:G$99411,
  raw_stack!D$2:D$99411, G95,
  raw_stack!F$2:F$99411, "Iya",
  raw_stack!G$2:G$99411, "&gt;="&amp;DATE(2025,9,1),
  raw_stack!G$2:G$99411, "&lt;="&amp;EOMONTH(DATE(2025,9,1),0)
 ),
 IF(_xlpm.x=0, "-", _xlpm.x)
)</f>
        <v>-</v>
      </c>
      <c r="T95" s="65" t="str">
        <f>_xlfn.LET(
 _xlpm.x,
 _xlfn.MAXIFS(
  raw_stack!H$2:H$100000,
  raw_stack!D$2:D$100000, G95,
  raw_stack!F$2:F$100000, "Iya",
  raw_stack!G$2:G$100000, "&gt;="&amp;DATE(2025,9,1),
  raw_stack!G$2:G$100000, "&lt;="&amp;EOMONTH(DATE(2025,9,1),0)
 ),
 IF(OR(_xlpm.x=0, _xlpm.x=""), "-", _xlpm.x)
)</f>
        <v>-</v>
      </c>
      <c r="U95" s="54" t="str">
        <f>_xlfn.LET(
 _xlpm.x,
 _xlfn.MAXIFS(
  raw_stack!G$2:G$99411,
  raw_stack!D$2:D$99411, G95,
  raw_stack!F$2:F$99411, "Iya",
  raw_stack!G$2:G$99411, "&gt;="&amp;DATE(2025,10,1),
  raw_stack!G$2:G$99411, "&lt;="&amp;EOMONTH(DATE(2025,10,1),0)
 ),
 IF(_xlpm.x=0, "-", _xlpm.x)
)</f>
        <v>-</v>
      </c>
      <c r="V95" s="65" t="str">
        <f>_xlfn.LET(
 _xlpm.x,
 _xlfn.MAXIFS(
  raw_stack!H$2:H$100000,
  raw_stack!D$2:D$100000, G95,
  raw_stack!F$2:F$100000, "Iya",
  raw_stack!G$2:G$100000, "&gt;="&amp;DATE(2025,10,1),
  raw_stack!G$2:G$100000, "&lt;="&amp;EOMONTH(DATE(2025,10,1),0)
 ),
 IF(OR(_xlpm.x=0, _xlpm.x=""), "-", _xlpm.x)
)</f>
        <v>-</v>
      </c>
      <c r="W95" s="55" t="str">
        <f>_xlfn.LET(
 _xlpm.x,
 _xlfn.MAXIFS(
  raw_stack!G$2:G$99411,
  raw_stack!D$2:D$99411, G95,
  raw_stack!F$2:F$99411, "Iya",
  raw_stack!G$2:G$99411, "&gt;="&amp;DATE(2025,11,1),
  raw_stack!G$2:G$99411, "&lt;="&amp;EOMONTH(DATE(2025,11,1),0)
 ),
 IF(_xlpm.x=0, "-", _xlpm.x)
)</f>
        <v>-</v>
      </c>
      <c r="X95" s="56" t="str">
        <f>_xlfn.LET(
 _xlpm.x,
 _xlfn.MAXIFS(
  raw_stack!H$2:H$100000,
  raw_stack!D$2:D$100000, G95,
  raw_stack!F$2:F$100000, "Iya",
  raw_stack!G$2:G$100000, "&gt;="&amp;DATE(2025,11,1),
  raw_stack!G$2:G$100000, "&lt;="&amp;EOMONTH(DATE(2025,11,1),0)
 ),
 IF(OR(_xlpm.x=0, _xlpm.x=""), "-", _xlpm.x)
)</f>
        <v>-</v>
      </c>
      <c r="Y95" s="55">
        <f>_xlfn.LET(
 _xlpm.x,
 _xlfn.MAXIFS(
  raw_stack!G$2:G$99411,
  raw_stack!D$2:D$99411, G95,
  raw_stack!F$2:F$99411, "Iya",
  raw_stack!G$2:G$99411, "&gt;="&amp;DATE(2025,12,1),
  raw_stack!G$2:G$99411, "&lt;="&amp;EOMONTH(DATE(2025,12,1),0)
 ),
 IF(_xlpm.x=0, "-", _xlpm.x)
)</f>
        <v>45995</v>
      </c>
      <c r="Z95" s="56">
        <f>_xlfn.LET(
 _xlpm.x,
 _xlfn.MAXIFS(
  raw_stack!H$2:H$100000,
  raw_stack!D$2:D$100000, G95,
  raw_stack!F$2:F$100000, "Iya",
  raw_stack!G$2:G$100000, "&gt;="&amp;DATE(2025,12,1),
  raw_stack!G$2:G$100000, "&lt;="&amp;EOMONTH(DATE(2025,12,1),0)
 ),
 IF(OR(_xlpm.x=0, _xlpm.x=""), "-", _xlpm.x)
)</f>
        <v>27720</v>
      </c>
      <c r="AA95" s="55" t="str">
        <f>_xlfn.LET(
 _xlpm.x,
 _xlfn.MAXIFS(
  raw_stack!G$2:G$99411,
  raw_stack!D$2:D$99411, G95,
  raw_stack!F$2:F$99411, "Iya",
  raw_stack!G$2:G$99411, "&gt;="&amp;DATE(2026,1,1),
  raw_stack!G$2:G$99411, "&lt;="&amp;EOMONTH(DATE(2026,1,1),0)
 ),
 IF(_xlpm.x=0, "-", _xlpm.x)
)</f>
        <v>-</v>
      </c>
      <c r="AB95" s="56" t="str">
        <f>_xlfn.LET(
 _xlpm.x,
 _xlfn.MAXIFS(
  raw_stack!H$2:H$100000,
  raw_stack!D$2:D$100000, G95,
  raw_stack!F$2:F$100000, "Iya",
  raw_stack!G$2:G$100000, "&gt;="&amp;DATE(2026,1,1),
  raw_stack!G$2:G$100000, "&lt;="&amp;EOMONTH(DATE(2026,1,1),0)
 ),
 IF(OR(_xlpm.x=0, _xlpm.x=""), "-", _xlpm.x)
)</f>
        <v>-</v>
      </c>
      <c r="AC95" s="55">
        <f>_xlfn.LET(
 _xlpm.x,
 _xlfn.MAXIFS(
  raw_stack!G$2:G$99411,
  raw_stack!D$2:D$99411, G95,
  raw_stack!F$2:F$99411, "Iya",
  raw_stack!G$2:G$99411, "&gt;="&amp;DATE(2026,2,1),
  raw_stack!G$2:G$99411, "&lt;="&amp;EOMONTH(DATE(2026,2,1),0)
 ),
 IF(_xlpm.x=0, "-", _xlpm.x)
)</f>
        <v>46066</v>
      </c>
      <c r="AD95" s="56">
        <f>_xlfn.LET(
 _xlpm.x,
 _xlfn.MAXIFS(
  raw_stack!H$2:H$100000,
  raw_stack!D$2:D$100000, G95,
  raw_stack!F$2:F$100000, "Iya",
  raw_stack!G$2:G$100000, "&gt;="&amp;DATE(2026,2,1),
  raw_stack!G$2:G$100000, "&lt;="&amp;EOMONTH(DATE(2026,2,1),0)
 ),
 IF(OR(_xlpm.x=0, _xlpm.x=""), "-", _xlpm.x)
)</f>
        <v>31478</v>
      </c>
      <c r="AE95" s="55" t="str">
        <f>_xlfn.LET(
 _xlpm.x,
 _xlfn.MAXIFS(
  raw_stack!G$2:G$100000,
  raw_stack!D$2:D$100000, G95,
  raw_stack!F$2:F$100000, "Iya",
  raw_stack!G$2:G$100000, "&gt;="&amp;DATE(2026,3,1),
  raw_stack!G$2:G$100000, "&lt;="&amp;EOMONTH(DATE(2026,3,1),0)
 ),
 IF(_xlpm.x=0, "-", _xlpm.x)
)</f>
        <v>-</v>
      </c>
      <c r="AF95" s="56" t="str">
        <f>_xlfn.LET(
 _xlpm.x,
 _xlfn.MAXIFS(
  raw_stack!H$2:H$100000,
  raw_stack!D$2:D$100000, G95,
  raw_stack!F$2:F$100000, "Iya",
  raw_stack!G$2:G$100000, "&gt;="&amp;DATE(2026,3,1),
  raw_stack!G$2:G$100000, "&lt;="&amp;EOMONTH(DATE(2026,3,1),0)
 ),
 IF(OR(_xlpm.x=0, _xlpm.x=""), "-", _xlpm.x)
)</f>
        <v>-</v>
      </c>
      <c r="AG95" s="55" t="str">
        <f>_xlfn.LET(
 _xlpm.x,
 _xlfn.MAXIFS(
  raw_stack!G$2:G$100000,
  raw_stack!D$2:D$100000, G95,
  raw_stack!F$2:F$100000, "Iya",
  raw_stack!G$2:G$100000, "&gt;="&amp;DATE(2026,4,1),
  raw_stack!G$2:G$100000, "&lt;="&amp;EOMONTH(DATE(2026,4,1),0)
 ),
 IF(_xlpm.x=0, "-", _xlpm.x)
)</f>
        <v>-</v>
      </c>
      <c r="AH95" s="56" t="str">
        <f>_xlfn.LET(
 _xlpm.x,
 _xlfn.MAXIFS(
  raw_stack!H$2:H$100000,
  raw_stack!D$2:D$100000, G95,
  raw_stack!F$2:F$100000, "Iya",
  raw_stack!G$2:G$100000, "&gt;="&amp;DATE(2026,4,1),
  raw_stack!G$2:G$100000, "&lt;="&amp;EOMONTH(DATE(2026,4,1),0)
 ),
 IF(OR(_xlpm.x=0, _xlpm.x=""), "-", _xlpm.x)
)</f>
        <v>-</v>
      </c>
    </row>
    <row r="96" spans="1:34">
      <c r="A96" s="48">
        <v>95</v>
      </c>
      <c r="B96" s="49" t="str">
        <f t="shared" si="1"/>
        <v>90846</v>
      </c>
      <c r="C96" s="50" t="s">
        <v>46</v>
      </c>
      <c r="D96" s="51" t="s">
        <v>543</v>
      </c>
      <c r="E96" s="51" t="s">
        <v>54</v>
      </c>
      <c r="F96" s="49" t="s">
        <v>117</v>
      </c>
      <c r="G96" s="49" t="s">
        <v>212</v>
      </c>
      <c r="H96" s="49" t="s">
        <v>48</v>
      </c>
      <c r="I96" s="49" t="s">
        <v>52</v>
      </c>
      <c r="J96" s="52">
        <v>6450000</v>
      </c>
      <c r="K96" s="53">
        <v>45204</v>
      </c>
      <c r="L96" s="53">
        <v>46299</v>
      </c>
      <c r="M96" s="53">
        <v>46057</v>
      </c>
      <c r="N96" s="49" t="s">
        <v>50</v>
      </c>
      <c r="O96" s="54" t="str">
        <f>_xlfn.LET(
 _xlpm.x,
 _xlfn.MAXIFS(
  raw_stack!G$2:G$100000,
  raw_stack!D$2:D$100000, G96,
  raw_stack!F$2:F$100000, "Iya",
  raw_stack!G$2:G$100000, "&gt;="&amp;DATE(2025,7,1),
  raw_stack!G$2:G$100000, "&lt;="&amp;EOMONTH(DATE(2025,7,1),0)
 ),
 IF(_xlpm.x=0, "-", _xlpm.x)
)</f>
        <v>-</v>
      </c>
      <c r="P96" s="65" t="str">
        <f>_xlfn.LET(
 _xlpm.x,
 _xlfn.MAXIFS(
  raw_stack!H$2:H$100000,
  raw_stack!D$2:D$100000, G96,
  raw_stack!F$2:F$100000, "Iya",
  raw_stack!G$2:G$100000, "&gt;="&amp;DATE(2025,7,1),
  raw_stack!G$2:G$100000, "&lt;="&amp;EOMONTH(DATE(2025,7,1),0)
 ),
 IF(OR(_xlpm.x=0, _xlpm.x=""), "-", _xlpm.x)
)</f>
        <v>-</v>
      </c>
      <c r="Q96" s="54" t="str">
        <f>_xlfn.LET(
 _xlpm.x,
 _xlfn.MAXIFS(
  raw_stack!G$2:G$99411,
  raw_stack!D$2:D$99411, G96,
  raw_stack!F$2:F$99411, "Iya",
  raw_stack!G$2:G$99411, "&gt;="&amp;DATE(2025,8,1),
  raw_stack!G$2:G$99411, "&lt;="&amp;EOMONTH(DATE(2025,8,1),0)
 ),
 IF(_xlpm.x=0, "-", _xlpm.x)
)</f>
        <v>-</v>
      </c>
      <c r="R96" s="65" t="str">
        <f>_xlfn.LET(
 _xlpm.x,
 _xlfn.MAXIFS(
  raw_stack!H$2:H$100000,
  raw_stack!D$2:D$100000, G96,
  raw_stack!F$2:F$100000, "Iya",
  raw_stack!G$2:G$100000, "&gt;="&amp;DATE(2025,8,1),
  raw_stack!G$2:G$100000, "&lt;="&amp;EOMONTH(DATE(2025,8,1),0)
 ),
 IF(OR(_xlpm.x=0, _xlpm.x=""), "-", _xlpm.x)
)</f>
        <v>-</v>
      </c>
      <c r="S96" s="54" t="str">
        <f>_xlfn.LET(
 _xlpm.x,
 _xlfn.MAXIFS(
  raw_stack!G$2:G$99411,
  raw_stack!D$2:D$99411, G96,
  raw_stack!F$2:F$99411, "Iya",
  raw_stack!G$2:G$99411, "&gt;="&amp;DATE(2025,9,1),
  raw_stack!G$2:G$99411, "&lt;="&amp;EOMONTH(DATE(2025,9,1),0)
 ),
 IF(_xlpm.x=0, "-", _xlpm.x)
)</f>
        <v>-</v>
      </c>
      <c r="T96" s="65" t="str">
        <f>_xlfn.LET(
 _xlpm.x,
 _xlfn.MAXIFS(
  raw_stack!H$2:H$100000,
  raw_stack!D$2:D$100000, G96,
  raw_stack!F$2:F$100000, "Iya",
  raw_stack!G$2:G$100000, "&gt;="&amp;DATE(2025,9,1),
  raw_stack!G$2:G$100000, "&lt;="&amp;EOMONTH(DATE(2025,9,1),0)
 ),
 IF(OR(_xlpm.x=0, _xlpm.x=""), "-", _xlpm.x)
)</f>
        <v>-</v>
      </c>
      <c r="U96" s="54">
        <f>_xlfn.LET(
 _xlpm.x,
 _xlfn.MAXIFS(
  raw_stack!G$2:G$99411,
  raw_stack!D$2:D$99411, G96,
  raw_stack!F$2:F$99411, "Iya",
  raw_stack!G$2:G$99411, "&gt;="&amp;DATE(2025,10,1),
  raw_stack!G$2:G$99411, "&lt;="&amp;EOMONTH(DATE(2025,10,1),0)
 ),
 IF(_xlpm.x=0, "-", _xlpm.x)
)</f>
        <v>45954</v>
      </c>
      <c r="V96" s="65">
        <f>_xlfn.LET(
 _xlpm.x,
 _xlfn.MAXIFS(
  raw_stack!H$2:H$100000,
  raw_stack!D$2:D$100000, G96,
  raw_stack!F$2:F$100000, "Iya",
  raw_stack!G$2:G$100000, "&gt;="&amp;DATE(2025,10,1),
  raw_stack!G$2:G$100000, "&lt;="&amp;EOMONTH(DATE(2025,10,1),0)
 ),
 IF(OR(_xlpm.x=0, _xlpm.x=""), "-", _xlpm.x)
)</f>
        <v>74299</v>
      </c>
      <c r="W96" s="55" t="str">
        <f>_xlfn.LET(
 _xlpm.x,
 _xlfn.MAXIFS(
  raw_stack!G$2:G$99411,
  raw_stack!D$2:D$99411, G96,
  raw_stack!F$2:F$99411, "Iya",
  raw_stack!G$2:G$99411, "&gt;="&amp;DATE(2025,11,1),
  raw_stack!G$2:G$99411, "&lt;="&amp;EOMONTH(DATE(2025,11,1),0)
 ),
 IF(_xlpm.x=0, "-", _xlpm.x)
)</f>
        <v>-</v>
      </c>
      <c r="X96" s="56" t="str">
        <f>_xlfn.LET(
 _xlpm.x,
 _xlfn.MAXIFS(
  raw_stack!H$2:H$100000,
  raw_stack!D$2:D$100000, G96,
  raw_stack!F$2:F$100000, "Iya",
  raw_stack!G$2:G$100000, "&gt;="&amp;DATE(2025,11,1),
  raw_stack!G$2:G$100000, "&lt;="&amp;EOMONTH(DATE(2025,11,1),0)
 ),
 IF(OR(_xlpm.x=0, _xlpm.x=""), "-", _xlpm.x)
)</f>
        <v>-</v>
      </c>
      <c r="Y96" s="55" t="str">
        <f>_xlfn.LET(
 _xlpm.x,
 _xlfn.MAXIFS(
  raw_stack!G$2:G$99411,
  raw_stack!D$2:D$99411, G96,
  raw_stack!F$2:F$99411, "Iya",
  raw_stack!G$2:G$99411, "&gt;="&amp;DATE(2025,12,1),
  raw_stack!G$2:G$99411, "&lt;="&amp;EOMONTH(DATE(2025,12,1),0)
 ),
 IF(_xlpm.x=0, "-", _xlpm.x)
)</f>
        <v>-</v>
      </c>
      <c r="Z96" s="56" t="str">
        <f>_xlfn.LET(
 _xlpm.x,
 _xlfn.MAXIFS(
  raw_stack!H$2:H$100000,
  raw_stack!D$2:D$100000, G96,
  raw_stack!F$2:F$100000, "Iya",
  raw_stack!G$2:G$100000, "&gt;="&amp;DATE(2025,12,1),
  raw_stack!G$2:G$100000, "&lt;="&amp;EOMONTH(DATE(2025,12,1),0)
 ),
 IF(OR(_xlpm.x=0, _xlpm.x=""), "-", _xlpm.x)
)</f>
        <v>-</v>
      </c>
      <c r="AA96" s="55" t="str">
        <f>_xlfn.LET(
 _xlpm.x,
 _xlfn.MAXIFS(
  raw_stack!G$2:G$99411,
  raw_stack!D$2:D$99411, G96,
  raw_stack!F$2:F$99411, "Iya",
  raw_stack!G$2:G$99411, "&gt;="&amp;DATE(2026,1,1),
  raw_stack!G$2:G$99411, "&lt;="&amp;EOMONTH(DATE(2026,1,1),0)
 ),
 IF(_xlpm.x=0, "-", _xlpm.x)
)</f>
        <v>-</v>
      </c>
      <c r="AB96" s="56" t="str">
        <f>_xlfn.LET(
 _xlpm.x,
 _xlfn.MAXIFS(
  raw_stack!H$2:H$100000,
  raw_stack!D$2:D$100000, G96,
  raw_stack!F$2:F$100000, "Iya",
  raw_stack!G$2:G$100000, "&gt;="&amp;DATE(2026,1,1),
  raw_stack!G$2:G$100000, "&lt;="&amp;EOMONTH(DATE(2026,1,1),0)
 ),
 IF(OR(_xlpm.x=0, _xlpm.x=""), "-", _xlpm.x)
)</f>
        <v>-</v>
      </c>
      <c r="AC96" s="55" t="str">
        <f>_xlfn.LET(
 _xlpm.x,
 _xlfn.MAXIFS(
  raw_stack!G$2:G$99411,
  raw_stack!D$2:D$99411, G96,
  raw_stack!F$2:F$99411, "Iya",
  raw_stack!G$2:G$99411, "&gt;="&amp;DATE(2026,2,1),
  raw_stack!G$2:G$99411, "&lt;="&amp;EOMONTH(DATE(2026,2,1),0)
 ),
 IF(_xlpm.x=0, "-", _xlpm.x)
)</f>
        <v>-</v>
      </c>
      <c r="AD96" s="56" t="str">
        <f>_xlfn.LET(
 _xlpm.x,
 _xlfn.MAXIFS(
  raw_stack!H$2:H$100000,
  raw_stack!D$2:D$100000, G96,
  raw_stack!F$2:F$100000, "Iya",
  raw_stack!G$2:G$100000, "&gt;="&amp;DATE(2026,2,1),
  raw_stack!G$2:G$100000, "&lt;="&amp;EOMONTH(DATE(2026,2,1),0)
 ),
 IF(OR(_xlpm.x=0, _xlpm.x=""), "-", _xlpm.x)
)</f>
        <v>-</v>
      </c>
      <c r="AE96" s="55" t="str">
        <f>_xlfn.LET(
 _xlpm.x,
 _xlfn.MAXIFS(
  raw_stack!G$2:G$100000,
  raw_stack!D$2:D$100000, G96,
  raw_stack!F$2:F$100000, "Iya",
  raw_stack!G$2:G$100000, "&gt;="&amp;DATE(2026,3,1),
  raw_stack!G$2:G$100000, "&lt;="&amp;EOMONTH(DATE(2026,3,1),0)
 ),
 IF(_xlpm.x=0, "-", _xlpm.x)
)</f>
        <v>-</v>
      </c>
      <c r="AF96" s="56" t="str">
        <f>_xlfn.LET(
 _xlpm.x,
 _xlfn.MAXIFS(
  raw_stack!H$2:H$100000,
  raw_stack!D$2:D$100000, G96,
  raw_stack!F$2:F$100000, "Iya",
  raw_stack!G$2:G$100000, "&gt;="&amp;DATE(2026,3,1),
  raw_stack!G$2:G$100000, "&lt;="&amp;EOMONTH(DATE(2026,3,1),0)
 ),
 IF(OR(_xlpm.x=0, _xlpm.x=""), "-", _xlpm.x)
)</f>
        <v>-</v>
      </c>
      <c r="AG96" s="55" t="str">
        <f>_xlfn.LET(
 _xlpm.x,
 _xlfn.MAXIFS(
  raw_stack!G$2:G$100000,
  raw_stack!D$2:D$100000, G96,
  raw_stack!F$2:F$100000, "Iya",
  raw_stack!G$2:G$100000, "&gt;="&amp;DATE(2026,4,1),
  raw_stack!G$2:G$100000, "&lt;="&amp;EOMONTH(DATE(2026,4,1),0)
 ),
 IF(_xlpm.x=0, "-", _xlpm.x)
)</f>
        <v>-</v>
      </c>
      <c r="AH96" s="56" t="str">
        <f>_xlfn.LET(
 _xlpm.x,
 _xlfn.MAXIFS(
  raw_stack!H$2:H$100000,
  raw_stack!D$2:D$100000, G96,
  raw_stack!F$2:F$100000, "Iya",
  raw_stack!G$2:G$100000, "&gt;="&amp;DATE(2026,4,1),
  raw_stack!G$2:G$100000, "&lt;="&amp;EOMONTH(DATE(2026,4,1),0)
 ),
 IF(OR(_xlpm.x=0, _xlpm.x=""), "-", _xlpm.x)
)</f>
        <v>-</v>
      </c>
    </row>
    <row r="97" spans="1:34">
      <c r="A97" s="48">
        <v>96</v>
      </c>
      <c r="B97" s="49" t="str">
        <f t="shared" si="1"/>
        <v>72707</v>
      </c>
      <c r="C97" s="50" t="s">
        <v>46</v>
      </c>
      <c r="D97" s="51" t="s">
        <v>544</v>
      </c>
      <c r="E97" s="51" t="s">
        <v>51</v>
      </c>
      <c r="F97" s="49" t="s">
        <v>117</v>
      </c>
      <c r="G97" s="49" t="s">
        <v>213</v>
      </c>
      <c r="H97" s="49" t="s">
        <v>48</v>
      </c>
      <c r="I97" s="49" t="s">
        <v>52</v>
      </c>
      <c r="J97" s="52">
        <v>3880000</v>
      </c>
      <c r="K97" s="53">
        <v>45205</v>
      </c>
      <c r="L97" s="53">
        <v>46300</v>
      </c>
      <c r="M97" s="53">
        <v>46086</v>
      </c>
      <c r="N97" s="49" t="s">
        <v>50</v>
      </c>
      <c r="O97" s="54" t="str">
        <f>_xlfn.LET(
 _xlpm.x,
 _xlfn.MAXIFS(
  raw_stack!G$2:G$100000,
  raw_stack!D$2:D$100000, G97,
  raw_stack!F$2:F$100000, "Iya",
  raw_stack!G$2:G$100000, "&gt;="&amp;DATE(2025,7,1),
  raw_stack!G$2:G$100000, "&lt;="&amp;EOMONTH(DATE(2025,7,1),0)
 ),
 IF(_xlpm.x=0, "-", _xlpm.x)
)</f>
        <v>-</v>
      </c>
      <c r="P97" s="65" t="str">
        <f>_xlfn.LET(
 _xlpm.x,
 _xlfn.MAXIFS(
  raw_stack!H$2:H$100000,
  raw_stack!D$2:D$100000, G97,
  raw_stack!F$2:F$100000, "Iya",
  raw_stack!G$2:G$100000, "&gt;="&amp;DATE(2025,7,1),
  raw_stack!G$2:G$100000, "&lt;="&amp;EOMONTH(DATE(2025,7,1),0)
 ),
 IF(OR(_xlpm.x=0, _xlpm.x=""), "-", _xlpm.x)
)</f>
        <v>-</v>
      </c>
      <c r="Q97" s="54" t="str">
        <f>_xlfn.LET(
 _xlpm.x,
 _xlfn.MAXIFS(
  raw_stack!G$2:G$99411,
  raw_stack!D$2:D$99411, G97,
  raw_stack!F$2:F$99411, "Iya",
  raw_stack!G$2:G$99411, "&gt;="&amp;DATE(2025,8,1),
  raw_stack!G$2:G$99411, "&lt;="&amp;EOMONTH(DATE(2025,8,1),0)
 ),
 IF(_xlpm.x=0, "-", _xlpm.x)
)</f>
        <v>-</v>
      </c>
      <c r="R97" s="65" t="str">
        <f>_xlfn.LET(
 _xlpm.x,
 _xlfn.MAXIFS(
  raw_stack!H$2:H$100000,
  raw_stack!D$2:D$100000, G97,
  raw_stack!F$2:F$100000, "Iya",
  raw_stack!G$2:G$100000, "&gt;="&amp;DATE(2025,8,1),
  raw_stack!G$2:G$100000, "&lt;="&amp;EOMONTH(DATE(2025,8,1),0)
 ),
 IF(OR(_xlpm.x=0, _xlpm.x=""), "-", _xlpm.x)
)</f>
        <v>-</v>
      </c>
      <c r="S97" s="54">
        <f>_xlfn.LET(
 _xlpm.x,
 _xlfn.MAXIFS(
  raw_stack!G$2:G$99411,
  raw_stack!D$2:D$99411, G97,
  raw_stack!F$2:F$99411, "Iya",
  raw_stack!G$2:G$99411, "&gt;="&amp;DATE(2025,9,1),
  raw_stack!G$2:G$99411, "&lt;="&amp;EOMONTH(DATE(2025,9,1),0)
 ),
 IF(_xlpm.x=0, "-", _xlpm.x)
)</f>
        <v>45903</v>
      </c>
      <c r="T97" s="65">
        <f>_xlfn.LET(
 _xlpm.x,
 _xlfn.MAXIFS(
  raw_stack!H$2:H$100000,
  raw_stack!D$2:D$100000, G97,
  raw_stack!F$2:F$100000, "Iya",
  raw_stack!G$2:G$100000, "&gt;="&amp;DATE(2025,9,1),
  raw_stack!G$2:G$100000, "&lt;="&amp;EOMONTH(DATE(2025,9,1),0)
 ),
 IF(OR(_xlpm.x=0, _xlpm.x=""), "-", _xlpm.x)
)</f>
        <v>47055</v>
      </c>
      <c r="U97" s="54" t="str">
        <f>_xlfn.LET(
 _xlpm.x,
 _xlfn.MAXIFS(
  raw_stack!G$2:G$99411,
  raw_stack!D$2:D$99411, G97,
  raw_stack!F$2:F$99411, "Iya",
  raw_stack!G$2:G$99411, "&gt;="&amp;DATE(2025,10,1),
  raw_stack!G$2:G$99411, "&lt;="&amp;EOMONTH(DATE(2025,10,1),0)
 ),
 IF(_xlpm.x=0, "-", _xlpm.x)
)</f>
        <v>-</v>
      </c>
      <c r="V97" s="65" t="str">
        <f>_xlfn.LET(
 _xlpm.x,
 _xlfn.MAXIFS(
  raw_stack!H$2:H$100000,
  raw_stack!D$2:D$100000, G97,
  raw_stack!F$2:F$100000, "Iya",
  raw_stack!G$2:G$100000, "&gt;="&amp;DATE(2025,10,1),
  raw_stack!G$2:G$100000, "&lt;="&amp;EOMONTH(DATE(2025,10,1),0)
 ),
 IF(OR(_xlpm.x=0, _xlpm.x=""), "-", _xlpm.x)
)</f>
        <v>-</v>
      </c>
      <c r="W97" s="55">
        <f>_xlfn.LET(
 _xlpm.x,
 _xlfn.MAXIFS(
  raw_stack!G$2:G$99411,
  raw_stack!D$2:D$99411, G97,
  raw_stack!F$2:F$99411, "Iya",
  raw_stack!G$2:G$99411, "&gt;="&amp;DATE(2025,11,1),
  raw_stack!G$2:G$99411, "&lt;="&amp;EOMONTH(DATE(2025,11,1),0)
 ),
 IF(_xlpm.x=0, "-", _xlpm.x)
)</f>
        <v>45964</v>
      </c>
      <c r="X97" s="56">
        <f>_xlfn.LET(
 _xlpm.x,
 _xlfn.MAXIFS(
  raw_stack!H$2:H$100000,
  raw_stack!D$2:D$100000, G97,
  raw_stack!F$2:F$100000, "Iya",
  raw_stack!G$2:G$100000, "&gt;="&amp;DATE(2025,11,1),
  raw_stack!G$2:G$100000, "&lt;="&amp;EOMONTH(DATE(2025,11,1),0)
 ),
 IF(OR(_xlpm.x=0, _xlpm.x=""), "-", _xlpm.x)
)</f>
        <v>52066</v>
      </c>
      <c r="Y97" s="55" t="str">
        <f>_xlfn.LET(
 _xlpm.x,
 _xlfn.MAXIFS(
  raw_stack!G$2:G$99411,
  raw_stack!D$2:D$99411, G97,
  raw_stack!F$2:F$99411, "Iya",
  raw_stack!G$2:G$99411, "&gt;="&amp;DATE(2025,12,1),
  raw_stack!G$2:G$99411, "&lt;="&amp;EOMONTH(DATE(2025,12,1),0)
 ),
 IF(_xlpm.x=0, "-", _xlpm.x)
)</f>
        <v>-</v>
      </c>
      <c r="Z97" s="56" t="str">
        <f>_xlfn.LET(
 _xlpm.x,
 _xlfn.MAXIFS(
  raw_stack!H$2:H$100000,
  raw_stack!D$2:D$100000, G97,
  raw_stack!F$2:F$100000, "Iya",
  raw_stack!G$2:G$100000, "&gt;="&amp;DATE(2025,12,1),
  raw_stack!G$2:G$100000, "&lt;="&amp;EOMONTH(DATE(2025,12,1),0)
 ),
 IF(OR(_xlpm.x=0, _xlpm.x=""), "-", _xlpm.x)
)</f>
        <v>-</v>
      </c>
      <c r="AA97" s="55" t="str">
        <f>_xlfn.LET(
 _xlpm.x,
 _xlfn.MAXIFS(
  raw_stack!G$2:G$99411,
  raw_stack!D$2:D$99411, G97,
  raw_stack!F$2:F$99411, "Iya",
  raw_stack!G$2:G$99411, "&gt;="&amp;DATE(2026,1,1),
  raw_stack!G$2:G$99411, "&lt;="&amp;EOMONTH(DATE(2026,1,1),0)
 ),
 IF(_xlpm.x=0, "-", _xlpm.x)
)</f>
        <v>-</v>
      </c>
      <c r="AB97" s="56" t="str">
        <f>_xlfn.LET(
 _xlpm.x,
 _xlfn.MAXIFS(
  raw_stack!H$2:H$100000,
  raw_stack!D$2:D$100000, G97,
  raw_stack!F$2:F$100000, "Iya",
  raw_stack!G$2:G$100000, "&gt;="&amp;DATE(2026,1,1),
  raw_stack!G$2:G$100000, "&lt;="&amp;EOMONTH(DATE(2026,1,1),0)
 ),
 IF(OR(_xlpm.x=0, _xlpm.x=""), "-", _xlpm.x)
)</f>
        <v>-</v>
      </c>
      <c r="AC97" s="55" t="str">
        <f>_xlfn.LET(
 _xlpm.x,
 _xlfn.MAXIFS(
  raw_stack!G$2:G$99411,
  raw_stack!D$2:D$99411, G97,
  raw_stack!F$2:F$99411, "Iya",
  raw_stack!G$2:G$99411, "&gt;="&amp;DATE(2026,2,1),
  raw_stack!G$2:G$99411, "&lt;="&amp;EOMONTH(DATE(2026,2,1),0)
 ),
 IF(_xlpm.x=0, "-", _xlpm.x)
)</f>
        <v>-</v>
      </c>
      <c r="AD97" s="56" t="str">
        <f>_xlfn.LET(
 _xlpm.x,
 _xlfn.MAXIFS(
  raw_stack!H$2:H$100000,
  raw_stack!D$2:D$100000, G97,
  raw_stack!F$2:F$100000, "Iya",
  raw_stack!G$2:G$100000, "&gt;="&amp;DATE(2026,2,1),
  raw_stack!G$2:G$100000, "&lt;="&amp;EOMONTH(DATE(2026,2,1),0)
 ),
 IF(OR(_xlpm.x=0, _xlpm.x=""), "-", _xlpm.x)
)</f>
        <v>-</v>
      </c>
      <c r="AE97" s="55" t="str">
        <f>_xlfn.LET(
 _xlpm.x,
 _xlfn.MAXIFS(
  raw_stack!G$2:G$100000,
  raw_stack!D$2:D$100000, G97,
  raw_stack!F$2:F$100000, "Iya",
  raw_stack!G$2:G$100000, "&gt;="&amp;DATE(2026,3,1),
  raw_stack!G$2:G$100000, "&lt;="&amp;EOMONTH(DATE(2026,3,1),0)
 ),
 IF(_xlpm.x=0, "-", _xlpm.x)
)</f>
        <v>-</v>
      </c>
      <c r="AF97" s="56" t="str">
        <f>_xlfn.LET(
 _xlpm.x,
 _xlfn.MAXIFS(
  raw_stack!H$2:H$100000,
  raw_stack!D$2:D$100000, G97,
  raw_stack!F$2:F$100000, "Iya",
  raw_stack!G$2:G$100000, "&gt;="&amp;DATE(2026,3,1),
  raw_stack!G$2:G$100000, "&lt;="&amp;EOMONTH(DATE(2026,3,1),0)
 ),
 IF(OR(_xlpm.x=0, _xlpm.x=""), "-", _xlpm.x)
)</f>
        <v>-</v>
      </c>
      <c r="AG97" s="55" t="str">
        <f>_xlfn.LET(
 _xlpm.x,
 _xlfn.MAXIFS(
  raw_stack!G$2:G$100000,
  raw_stack!D$2:D$100000, G97,
  raw_stack!F$2:F$100000, "Iya",
  raw_stack!G$2:G$100000, "&gt;="&amp;DATE(2026,4,1),
  raw_stack!G$2:G$100000, "&lt;="&amp;EOMONTH(DATE(2026,4,1),0)
 ),
 IF(_xlpm.x=0, "-", _xlpm.x)
)</f>
        <v>-</v>
      </c>
      <c r="AH97" s="56" t="str">
        <f>_xlfn.LET(
 _xlpm.x,
 _xlfn.MAXIFS(
  raw_stack!H$2:H$100000,
  raw_stack!D$2:D$100000, G97,
  raw_stack!F$2:F$100000, "Iya",
  raw_stack!G$2:G$100000, "&gt;="&amp;DATE(2026,4,1),
  raw_stack!G$2:G$100000, "&lt;="&amp;EOMONTH(DATE(2026,4,1),0)
 ),
 IF(OR(_xlpm.x=0, _xlpm.x=""), "-", _xlpm.x)
)</f>
        <v>-</v>
      </c>
    </row>
    <row r="98" spans="1:34">
      <c r="A98" s="48">
        <v>97</v>
      </c>
      <c r="B98" s="49" t="str">
        <f t="shared" si="1"/>
        <v>91047</v>
      </c>
      <c r="C98" s="50" t="s">
        <v>46</v>
      </c>
      <c r="D98" s="51" t="s">
        <v>545</v>
      </c>
      <c r="E98" s="51" t="s">
        <v>51</v>
      </c>
      <c r="F98" s="49" t="s">
        <v>117</v>
      </c>
      <c r="G98" s="49" t="s">
        <v>214</v>
      </c>
      <c r="H98" s="49" t="s">
        <v>48</v>
      </c>
      <c r="I98" s="49" t="s">
        <v>52</v>
      </c>
      <c r="J98" s="52">
        <v>5870000</v>
      </c>
      <c r="K98" s="53">
        <v>45209</v>
      </c>
      <c r="L98" s="53">
        <v>46304</v>
      </c>
      <c r="M98" s="53">
        <v>46090</v>
      </c>
      <c r="N98" s="49" t="s">
        <v>50</v>
      </c>
      <c r="O98" s="54" t="str">
        <f>_xlfn.LET(
 _xlpm.x,
 _xlfn.MAXIFS(
  raw_stack!G$2:G$100000,
  raw_stack!D$2:D$100000, G98,
  raw_stack!F$2:F$100000, "Iya",
  raw_stack!G$2:G$100000, "&gt;="&amp;DATE(2025,7,1),
  raw_stack!G$2:G$100000, "&lt;="&amp;EOMONTH(DATE(2025,7,1),0)
 ),
 IF(_xlpm.x=0, "-", _xlpm.x)
)</f>
        <v>-</v>
      </c>
      <c r="P98" s="65" t="str">
        <f>_xlfn.LET(
 _xlpm.x,
 _xlfn.MAXIFS(
  raw_stack!H$2:H$100000,
  raw_stack!D$2:D$100000, G98,
  raw_stack!F$2:F$100000, "Iya",
  raw_stack!G$2:G$100000, "&gt;="&amp;DATE(2025,7,1),
  raw_stack!G$2:G$100000, "&lt;="&amp;EOMONTH(DATE(2025,7,1),0)
 ),
 IF(OR(_xlpm.x=0, _xlpm.x=""), "-", _xlpm.x)
)</f>
        <v>-</v>
      </c>
      <c r="Q98" s="54" t="str">
        <f>_xlfn.LET(
 _xlpm.x,
 _xlfn.MAXIFS(
  raw_stack!G$2:G$99411,
  raw_stack!D$2:D$99411, G98,
  raw_stack!F$2:F$99411, "Iya",
  raw_stack!G$2:G$99411, "&gt;="&amp;DATE(2025,8,1),
  raw_stack!G$2:G$99411, "&lt;="&amp;EOMONTH(DATE(2025,8,1),0)
 ),
 IF(_xlpm.x=0, "-", _xlpm.x)
)</f>
        <v>-</v>
      </c>
      <c r="R98" s="65" t="str">
        <f>_xlfn.LET(
 _xlpm.x,
 _xlfn.MAXIFS(
  raw_stack!H$2:H$100000,
  raw_stack!D$2:D$100000, G98,
  raw_stack!F$2:F$100000, "Iya",
  raw_stack!G$2:G$100000, "&gt;="&amp;DATE(2025,8,1),
  raw_stack!G$2:G$100000, "&lt;="&amp;EOMONTH(DATE(2025,8,1),0)
 ),
 IF(OR(_xlpm.x=0, _xlpm.x=""), "-", _xlpm.x)
)</f>
        <v>-</v>
      </c>
      <c r="S98" s="54">
        <f>_xlfn.LET(
 _xlpm.x,
 _xlfn.MAXIFS(
  raw_stack!G$2:G$99411,
  raw_stack!D$2:D$99411, G98,
  raw_stack!F$2:F$99411, "Iya",
  raw_stack!G$2:G$99411, "&gt;="&amp;DATE(2025,9,1),
  raw_stack!G$2:G$99411, "&lt;="&amp;EOMONTH(DATE(2025,9,1),0)
 ),
 IF(_xlpm.x=0, "-", _xlpm.x)
)</f>
        <v>45927</v>
      </c>
      <c r="T98" s="65">
        <f>_xlfn.LET(
 _xlpm.x,
 _xlfn.MAXIFS(
  raw_stack!H$2:H$100000,
  raw_stack!D$2:D$100000, G98,
  raw_stack!F$2:F$100000, "Iya",
  raw_stack!G$2:G$100000, "&gt;="&amp;DATE(2025,9,1),
  raw_stack!G$2:G$100000, "&lt;="&amp;EOMONTH(DATE(2025,9,1),0)
 ),
 IF(OR(_xlpm.x=0, _xlpm.x=""), "-", _xlpm.x)
)</f>
        <v>54357</v>
      </c>
      <c r="U98" s="54" t="str">
        <f>_xlfn.LET(
 _xlpm.x,
 _xlfn.MAXIFS(
  raw_stack!G$2:G$99411,
  raw_stack!D$2:D$99411, G98,
  raw_stack!F$2:F$99411, "Iya",
  raw_stack!G$2:G$99411, "&gt;="&amp;DATE(2025,10,1),
  raw_stack!G$2:G$99411, "&lt;="&amp;EOMONTH(DATE(2025,10,1),0)
 ),
 IF(_xlpm.x=0, "-", _xlpm.x)
)</f>
        <v>-</v>
      </c>
      <c r="V98" s="65" t="str">
        <f>_xlfn.LET(
 _xlpm.x,
 _xlfn.MAXIFS(
  raw_stack!H$2:H$100000,
  raw_stack!D$2:D$100000, G98,
  raw_stack!F$2:F$100000, "Iya",
  raw_stack!G$2:G$100000, "&gt;="&amp;DATE(2025,10,1),
  raw_stack!G$2:G$100000, "&lt;="&amp;EOMONTH(DATE(2025,10,1),0)
 ),
 IF(OR(_xlpm.x=0, _xlpm.x=""), "-", _xlpm.x)
)</f>
        <v>-</v>
      </c>
      <c r="W98" s="55">
        <f>_xlfn.LET(
 _xlpm.x,
 _xlfn.MAXIFS(
  raw_stack!G$2:G$99411,
  raw_stack!D$2:D$99411, G98,
  raw_stack!F$2:F$99411, "Iya",
  raw_stack!G$2:G$99411, "&gt;="&amp;DATE(2025,11,1),
  raw_stack!G$2:G$99411, "&lt;="&amp;EOMONTH(DATE(2025,11,1),0)
 ),
 IF(_xlpm.x=0, "-", _xlpm.x)
)</f>
        <v>45983</v>
      </c>
      <c r="X98" s="56">
        <f>_xlfn.LET(
 _xlpm.x,
 _xlfn.MAXIFS(
  raw_stack!H$2:H$100000,
  raw_stack!D$2:D$100000, G98,
  raw_stack!F$2:F$100000, "Iya",
  raw_stack!G$2:G$100000, "&gt;="&amp;DATE(2025,11,1),
  raw_stack!G$2:G$100000, "&lt;="&amp;EOMONTH(DATE(2025,11,1),0)
 ),
 IF(OR(_xlpm.x=0, _xlpm.x=""), "-", _xlpm.x)
)</f>
        <v>52471</v>
      </c>
      <c r="Y98" s="55" t="str">
        <f>_xlfn.LET(
 _xlpm.x,
 _xlfn.MAXIFS(
  raw_stack!G$2:G$99411,
  raw_stack!D$2:D$99411, G98,
  raw_stack!F$2:F$99411, "Iya",
  raw_stack!G$2:G$99411, "&gt;="&amp;DATE(2025,12,1),
  raw_stack!G$2:G$99411, "&lt;="&amp;EOMONTH(DATE(2025,12,1),0)
 ),
 IF(_xlpm.x=0, "-", _xlpm.x)
)</f>
        <v>-</v>
      </c>
      <c r="Z98" s="56" t="str">
        <f>_xlfn.LET(
 _xlpm.x,
 _xlfn.MAXIFS(
  raw_stack!H$2:H$100000,
  raw_stack!D$2:D$100000, G98,
  raw_stack!F$2:F$100000, "Iya",
  raw_stack!G$2:G$100000, "&gt;="&amp;DATE(2025,12,1),
  raw_stack!G$2:G$100000, "&lt;="&amp;EOMONTH(DATE(2025,12,1),0)
 ),
 IF(OR(_xlpm.x=0, _xlpm.x=""), "-", _xlpm.x)
)</f>
        <v>-</v>
      </c>
      <c r="AA98" s="55" t="str">
        <f>_xlfn.LET(
 _xlpm.x,
 _xlfn.MAXIFS(
  raw_stack!G$2:G$99411,
  raw_stack!D$2:D$99411, G98,
  raw_stack!F$2:F$99411, "Iya",
  raw_stack!G$2:G$99411, "&gt;="&amp;DATE(2026,1,1),
  raw_stack!G$2:G$99411, "&lt;="&amp;EOMONTH(DATE(2026,1,1),0)
 ),
 IF(_xlpm.x=0, "-", _xlpm.x)
)</f>
        <v>-</v>
      </c>
      <c r="AB98" s="56" t="str">
        <f>_xlfn.LET(
 _xlpm.x,
 _xlfn.MAXIFS(
  raw_stack!H$2:H$100000,
  raw_stack!D$2:D$100000, G98,
  raw_stack!F$2:F$100000, "Iya",
  raw_stack!G$2:G$100000, "&gt;="&amp;DATE(2026,1,1),
  raw_stack!G$2:G$100000, "&lt;="&amp;EOMONTH(DATE(2026,1,1),0)
 ),
 IF(OR(_xlpm.x=0, _xlpm.x=""), "-", _xlpm.x)
)</f>
        <v>-</v>
      </c>
      <c r="AC98" s="55" t="str">
        <f>_xlfn.LET(
 _xlpm.x,
 _xlfn.MAXIFS(
  raw_stack!G$2:G$99411,
  raw_stack!D$2:D$99411, G98,
  raw_stack!F$2:F$99411, "Iya",
  raw_stack!G$2:G$99411, "&gt;="&amp;DATE(2026,2,1),
  raw_stack!G$2:G$99411, "&lt;="&amp;EOMONTH(DATE(2026,2,1),0)
 ),
 IF(_xlpm.x=0, "-", _xlpm.x)
)</f>
        <v>-</v>
      </c>
      <c r="AD98" s="56" t="str">
        <f>_xlfn.LET(
 _xlpm.x,
 _xlfn.MAXIFS(
  raw_stack!H$2:H$100000,
  raw_stack!D$2:D$100000, G98,
  raw_stack!F$2:F$100000, "Iya",
  raw_stack!G$2:G$100000, "&gt;="&amp;DATE(2026,2,1),
  raw_stack!G$2:G$100000, "&lt;="&amp;EOMONTH(DATE(2026,2,1),0)
 ),
 IF(OR(_xlpm.x=0, _xlpm.x=""), "-", _xlpm.x)
)</f>
        <v>-</v>
      </c>
      <c r="AE98" s="55" t="str">
        <f>_xlfn.LET(
 _xlpm.x,
 _xlfn.MAXIFS(
  raw_stack!G$2:G$100000,
  raw_stack!D$2:D$100000, G98,
  raw_stack!F$2:F$100000, "Iya",
  raw_stack!G$2:G$100000, "&gt;="&amp;DATE(2026,3,1),
  raw_stack!G$2:G$100000, "&lt;="&amp;EOMONTH(DATE(2026,3,1),0)
 ),
 IF(_xlpm.x=0, "-", _xlpm.x)
)</f>
        <v>-</v>
      </c>
      <c r="AF98" s="56" t="str">
        <f>_xlfn.LET(
 _xlpm.x,
 _xlfn.MAXIFS(
  raw_stack!H$2:H$100000,
  raw_stack!D$2:D$100000, G98,
  raw_stack!F$2:F$100000, "Iya",
  raw_stack!G$2:G$100000, "&gt;="&amp;DATE(2026,3,1),
  raw_stack!G$2:G$100000, "&lt;="&amp;EOMONTH(DATE(2026,3,1),0)
 ),
 IF(OR(_xlpm.x=0, _xlpm.x=""), "-", _xlpm.x)
)</f>
        <v>-</v>
      </c>
      <c r="AG98" s="55" t="str">
        <f>_xlfn.LET(
 _xlpm.x,
 _xlfn.MAXIFS(
  raw_stack!G$2:G$100000,
  raw_stack!D$2:D$100000, G98,
  raw_stack!F$2:F$100000, "Iya",
  raw_stack!G$2:G$100000, "&gt;="&amp;DATE(2026,4,1),
  raw_stack!G$2:G$100000, "&lt;="&amp;EOMONTH(DATE(2026,4,1),0)
 ),
 IF(_xlpm.x=0, "-", _xlpm.x)
)</f>
        <v>-</v>
      </c>
      <c r="AH98" s="56" t="str">
        <f>_xlfn.LET(
 _xlpm.x,
 _xlfn.MAXIFS(
  raw_stack!H$2:H$100000,
  raw_stack!D$2:D$100000, G98,
  raw_stack!F$2:F$100000, "Iya",
  raw_stack!G$2:G$100000, "&gt;="&amp;DATE(2026,4,1),
  raw_stack!G$2:G$100000, "&lt;="&amp;EOMONTH(DATE(2026,4,1),0)
 ),
 IF(OR(_xlpm.x=0, _xlpm.x=""), "-", _xlpm.x)
)</f>
        <v>-</v>
      </c>
    </row>
    <row r="99" spans="1:34">
      <c r="A99" s="48">
        <v>98</v>
      </c>
      <c r="B99" s="49" t="str">
        <f t="shared" si="1"/>
        <v>85927</v>
      </c>
      <c r="C99" s="50" t="s">
        <v>46</v>
      </c>
      <c r="D99" s="51" t="s">
        <v>546</v>
      </c>
      <c r="E99" s="51" t="s">
        <v>53</v>
      </c>
      <c r="F99" s="49" t="s">
        <v>117</v>
      </c>
      <c r="G99" s="49" t="s">
        <v>215</v>
      </c>
      <c r="H99" s="49" t="s">
        <v>48</v>
      </c>
      <c r="I99" s="49" t="s">
        <v>52</v>
      </c>
      <c r="J99" s="52">
        <v>5575000</v>
      </c>
      <c r="K99" s="53">
        <v>45213</v>
      </c>
      <c r="L99" s="53">
        <v>46308</v>
      </c>
      <c r="M99" s="53">
        <v>46066</v>
      </c>
      <c r="N99" s="49" t="s">
        <v>50</v>
      </c>
      <c r="O99" s="54" t="str">
        <f>_xlfn.LET(
 _xlpm.x,
 _xlfn.MAXIFS(
  raw_stack!G$2:G$100000,
  raw_stack!D$2:D$100000, G99,
  raw_stack!F$2:F$100000, "Iya",
  raw_stack!G$2:G$100000, "&gt;="&amp;DATE(2025,7,1),
  raw_stack!G$2:G$100000, "&lt;="&amp;EOMONTH(DATE(2025,7,1),0)
 ),
 IF(_xlpm.x=0, "-", _xlpm.x)
)</f>
        <v>-</v>
      </c>
      <c r="P99" s="65" t="str">
        <f>_xlfn.LET(
 _xlpm.x,
 _xlfn.MAXIFS(
  raw_stack!H$2:H$100000,
  raw_stack!D$2:D$100000, G99,
  raw_stack!F$2:F$100000, "Iya",
  raw_stack!G$2:G$100000, "&gt;="&amp;DATE(2025,7,1),
  raw_stack!G$2:G$100000, "&lt;="&amp;EOMONTH(DATE(2025,7,1),0)
 ),
 IF(OR(_xlpm.x=0, _xlpm.x=""), "-", _xlpm.x)
)</f>
        <v>-</v>
      </c>
      <c r="Q99" s="54" t="str">
        <f>_xlfn.LET(
 _xlpm.x,
 _xlfn.MAXIFS(
  raw_stack!G$2:G$99411,
  raw_stack!D$2:D$99411, G99,
  raw_stack!F$2:F$99411, "Iya",
  raw_stack!G$2:G$99411, "&gt;="&amp;DATE(2025,8,1),
  raw_stack!G$2:G$99411, "&lt;="&amp;EOMONTH(DATE(2025,8,1),0)
 ),
 IF(_xlpm.x=0, "-", _xlpm.x)
)</f>
        <v>-</v>
      </c>
      <c r="R99" s="65" t="str">
        <f>_xlfn.LET(
 _xlpm.x,
 _xlfn.MAXIFS(
  raw_stack!H$2:H$100000,
  raw_stack!D$2:D$100000, G99,
  raw_stack!F$2:F$100000, "Iya",
  raw_stack!G$2:G$100000, "&gt;="&amp;DATE(2025,8,1),
  raw_stack!G$2:G$100000, "&lt;="&amp;EOMONTH(DATE(2025,8,1),0)
 ),
 IF(OR(_xlpm.x=0, _xlpm.x=""), "-", _xlpm.x)
)</f>
        <v>-</v>
      </c>
      <c r="S99" s="54" t="str">
        <f>_xlfn.LET(
 _xlpm.x,
 _xlfn.MAXIFS(
  raw_stack!G$2:G$99411,
  raw_stack!D$2:D$99411, G99,
  raw_stack!F$2:F$99411, "Iya",
  raw_stack!G$2:G$99411, "&gt;="&amp;DATE(2025,9,1),
  raw_stack!G$2:G$99411, "&lt;="&amp;EOMONTH(DATE(2025,9,1),0)
 ),
 IF(_xlpm.x=0, "-", _xlpm.x)
)</f>
        <v>-</v>
      </c>
      <c r="T99" s="65" t="str">
        <f>_xlfn.LET(
 _xlpm.x,
 _xlfn.MAXIFS(
  raw_stack!H$2:H$100000,
  raw_stack!D$2:D$100000, G99,
  raw_stack!F$2:F$100000, "Iya",
  raw_stack!G$2:G$100000, "&gt;="&amp;DATE(2025,9,1),
  raw_stack!G$2:G$100000, "&lt;="&amp;EOMONTH(DATE(2025,9,1),0)
 ),
 IF(OR(_xlpm.x=0, _xlpm.x=""), "-", _xlpm.x)
)</f>
        <v>-</v>
      </c>
      <c r="U99" s="54">
        <f>_xlfn.LET(
 _xlpm.x,
 _xlfn.MAXIFS(
  raw_stack!G$2:G$99411,
  raw_stack!D$2:D$99411, G99,
  raw_stack!F$2:F$99411, "Iya",
  raw_stack!G$2:G$99411, "&gt;="&amp;DATE(2025,10,1),
  raw_stack!G$2:G$99411, "&lt;="&amp;EOMONTH(DATE(2025,10,1),0)
 ),
 IF(_xlpm.x=0, "-", _xlpm.x)
)</f>
        <v>45951</v>
      </c>
      <c r="V99" s="65">
        <f>_xlfn.LET(
 _xlpm.x,
 _xlfn.MAXIFS(
  raw_stack!H$2:H$100000,
  raw_stack!D$2:D$100000, G99,
  raw_stack!F$2:F$100000, "Iya",
  raw_stack!G$2:G$100000, "&gt;="&amp;DATE(2025,10,1),
  raw_stack!G$2:G$100000, "&lt;="&amp;EOMONTH(DATE(2025,10,1),0)
 ),
 IF(OR(_xlpm.x=0, _xlpm.x=""), "-", _xlpm.x)
)</f>
        <v>50425</v>
      </c>
      <c r="W99" s="55">
        <f>_xlfn.LET(
 _xlpm.x,
 _xlfn.MAXIFS(
  raw_stack!G$2:G$99411,
  raw_stack!D$2:D$99411, G99,
  raw_stack!F$2:F$99411, "Iya",
  raw_stack!G$2:G$99411, "&gt;="&amp;DATE(2025,11,1),
  raw_stack!G$2:G$99411, "&lt;="&amp;EOMONTH(DATE(2025,11,1),0)
 ),
 IF(_xlpm.x=0, "-", _xlpm.x)
)</f>
        <v>45989</v>
      </c>
      <c r="X99" s="56">
        <f>_xlfn.LET(
 _xlpm.x,
 _xlfn.MAXIFS(
  raw_stack!H$2:H$100000,
  raw_stack!D$2:D$100000, G99,
  raw_stack!F$2:F$100000, "Iya",
  raw_stack!G$2:G$100000, "&gt;="&amp;DATE(2025,11,1),
  raw_stack!G$2:G$100000, "&lt;="&amp;EOMONTH(DATE(2025,11,1),0)
 ),
 IF(OR(_xlpm.x=0, _xlpm.x=""), "-", _xlpm.x)
)</f>
        <v>59735</v>
      </c>
      <c r="Y99" s="55" t="str">
        <f>_xlfn.LET(
 _xlpm.x,
 _xlfn.MAXIFS(
  raw_stack!G$2:G$99411,
  raw_stack!D$2:D$99411, G99,
  raw_stack!F$2:F$99411, "Iya",
  raw_stack!G$2:G$99411, "&gt;="&amp;DATE(2025,12,1),
  raw_stack!G$2:G$99411, "&lt;="&amp;EOMONTH(DATE(2025,12,1),0)
 ),
 IF(_xlpm.x=0, "-", _xlpm.x)
)</f>
        <v>-</v>
      </c>
      <c r="Z99" s="56" t="str">
        <f>_xlfn.LET(
 _xlpm.x,
 _xlfn.MAXIFS(
  raw_stack!H$2:H$100000,
  raw_stack!D$2:D$100000, G99,
  raw_stack!F$2:F$100000, "Iya",
  raw_stack!G$2:G$100000, "&gt;="&amp;DATE(2025,12,1),
  raw_stack!G$2:G$100000, "&lt;="&amp;EOMONTH(DATE(2025,12,1),0)
 ),
 IF(OR(_xlpm.x=0, _xlpm.x=""), "-", _xlpm.x)
)</f>
        <v>-</v>
      </c>
      <c r="AA99" s="55" t="str">
        <f>_xlfn.LET(
 _xlpm.x,
 _xlfn.MAXIFS(
  raw_stack!G$2:G$99411,
  raw_stack!D$2:D$99411, G99,
  raw_stack!F$2:F$99411, "Iya",
  raw_stack!G$2:G$99411, "&gt;="&amp;DATE(2026,1,1),
  raw_stack!G$2:G$99411, "&lt;="&amp;EOMONTH(DATE(2026,1,1),0)
 ),
 IF(_xlpm.x=0, "-", _xlpm.x)
)</f>
        <v>-</v>
      </c>
      <c r="AB99" s="56" t="str">
        <f>_xlfn.LET(
 _xlpm.x,
 _xlfn.MAXIFS(
  raw_stack!H$2:H$100000,
  raw_stack!D$2:D$100000, G99,
  raw_stack!F$2:F$100000, "Iya",
  raw_stack!G$2:G$100000, "&gt;="&amp;DATE(2026,1,1),
  raw_stack!G$2:G$100000, "&lt;="&amp;EOMONTH(DATE(2026,1,1),0)
 ),
 IF(OR(_xlpm.x=0, _xlpm.x=""), "-", _xlpm.x)
)</f>
        <v>-</v>
      </c>
      <c r="AC99" s="55" t="str">
        <f>_xlfn.LET(
 _xlpm.x,
 _xlfn.MAXIFS(
  raw_stack!G$2:G$99411,
  raw_stack!D$2:D$99411, G99,
  raw_stack!F$2:F$99411, "Iya",
  raw_stack!G$2:G$99411, "&gt;="&amp;DATE(2026,2,1),
  raw_stack!G$2:G$99411, "&lt;="&amp;EOMONTH(DATE(2026,2,1),0)
 ),
 IF(_xlpm.x=0, "-", _xlpm.x)
)</f>
        <v>-</v>
      </c>
      <c r="AD99" s="56" t="str">
        <f>_xlfn.LET(
 _xlpm.x,
 _xlfn.MAXIFS(
  raw_stack!H$2:H$100000,
  raw_stack!D$2:D$100000, G99,
  raw_stack!F$2:F$100000, "Iya",
  raw_stack!G$2:G$100000, "&gt;="&amp;DATE(2026,2,1),
  raw_stack!G$2:G$100000, "&lt;="&amp;EOMONTH(DATE(2026,2,1),0)
 ),
 IF(OR(_xlpm.x=0, _xlpm.x=""), "-", _xlpm.x)
)</f>
        <v>-</v>
      </c>
      <c r="AE99" s="55" t="str">
        <f>_xlfn.LET(
 _xlpm.x,
 _xlfn.MAXIFS(
  raw_stack!G$2:G$100000,
  raw_stack!D$2:D$100000, G99,
  raw_stack!F$2:F$100000, "Iya",
  raw_stack!G$2:G$100000, "&gt;="&amp;DATE(2026,3,1),
  raw_stack!G$2:G$100000, "&lt;="&amp;EOMONTH(DATE(2026,3,1),0)
 ),
 IF(_xlpm.x=0, "-", _xlpm.x)
)</f>
        <v>-</v>
      </c>
      <c r="AF99" s="56" t="str">
        <f>_xlfn.LET(
 _xlpm.x,
 _xlfn.MAXIFS(
  raw_stack!H$2:H$100000,
  raw_stack!D$2:D$100000, G99,
  raw_stack!F$2:F$100000, "Iya",
  raw_stack!G$2:G$100000, "&gt;="&amp;DATE(2026,3,1),
  raw_stack!G$2:G$100000, "&lt;="&amp;EOMONTH(DATE(2026,3,1),0)
 ),
 IF(OR(_xlpm.x=0, _xlpm.x=""), "-", _xlpm.x)
)</f>
        <v>-</v>
      </c>
      <c r="AG99" s="55" t="str">
        <f>_xlfn.LET(
 _xlpm.x,
 _xlfn.MAXIFS(
  raw_stack!G$2:G$100000,
  raw_stack!D$2:D$100000, G99,
  raw_stack!F$2:F$100000, "Iya",
  raw_stack!G$2:G$100000, "&gt;="&amp;DATE(2026,4,1),
  raw_stack!G$2:G$100000, "&lt;="&amp;EOMONTH(DATE(2026,4,1),0)
 ),
 IF(_xlpm.x=0, "-", _xlpm.x)
)</f>
        <v>-</v>
      </c>
      <c r="AH99" s="56" t="str">
        <f>_xlfn.LET(
 _xlpm.x,
 _xlfn.MAXIFS(
  raw_stack!H$2:H$100000,
  raw_stack!D$2:D$100000, G99,
  raw_stack!F$2:F$100000, "Iya",
  raw_stack!G$2:G$100000, "&gt;="&amp;DATE(2026,4,1),
  raw_stack!G$2:G$100000, "&lt;="&amp;EOMONTH(DATE(2026,4,1),0)
 ),
 IF(OR(_xlpm.x=0, _xlpm.x=""), "-", _xlpm.x)
)</f>
        <v>-</v>
      </c>
    </row>
    <row r="100" spans="1:34">
      <c r="A100" s="48">
        <v>99</v>
      </c>
      <c r="B100" s="49" t="str">
        <f t="shared" si="1"/>
        <v>56251</v>
      </c>
      <c r="C100" s="50" t="s">
        <v>46</v>
      </c>
      <c r="D100" s="51" t="s">
        <v>547</v>
      </c>
      <c r="E100" s="51" t="s">
        <v>53</v>
      </c>
      <c r="F100" s="49" t="s">
        <v>117</v>
      </c>
      <c r="G100" s="49" t="s">
        <v>216</v>
      </c>
      <c r="H100" s="49" t="s">
        <v>48</v>
      </c>
      <c r="I100" s="49" t="s">
        <v>52</v>
      </c>
      <c r="J100" s="52">
        <v>3860000</v>
      </c>
      <c r="K100" s="53">
        <v>45956</v>
      </c>
      <c r="L100" s="53">
        <v>46320</v>
      </c>
      <c r="M100" s="53">
        <v>46078</v>
      </c>
      <c r="N100" s="49" t="s">
        <v>50</v>
      </c>
      <c r="O100" s="54" t="str">
        <f>_xlfn.LET(
 _xlpm.x,
 _xlfn.MAXIFS(
  raw_stack!G$2:G$100000,
  raw_stack!D$2:D$100000, G100,
  raw_stack!F$2:F$100000, "Iya",
  raw_stack!G$2:G$100000, "&gt;="&amp;DATE(2025,7,1),
  raw_stack!G$2:G$100000, "&lt;="&amp;EOMONTH(DATE(2025,7,1),0)
 ),
 IF(_xlpm.x=0, "-", _xlpm.x)
)</f>
        <v>-</v>
      </c>
      <c r="P100" s="65" t="str">
        <f>_xlfn.LET(
 _xlpm.x,
 _xlfn.MAXIFS(
  raw_stack!H$2:H$100000,
  raw_stack!D$2:D$100000, G100,
  raw_stack!F$2:F$100000, "Iya",
  raw_stack!G$2:G$100000, "&gt;="&amp;DATE(2025,7,1),
  raw_stack!G$2:G$100000, "&lt;="&amp;EOMONTH(DATE(2025,7,1),0)
 ),
 IF(OR(_xlpm.x=0, _xlpm.x=""), "-", _xlpm.x)
)</f>
        <v>-</v>
      </c>
      <c r="Q100" s="54" t="str">
        <f>_xlfn.LET(
 _xlpm.x,
 _xlfn.MAXIFS(
  raw_stack!G$2:G$99411,
  raw_stack!D$2:D$99411, G100,
  raw_stack!F$2:F$99411, "Iya",
  raw_stack!G$2:G$99411, "&gt;="&amp;DATE(2025,8,1),
  raw_stack!G$2:G$99411, "&lt;="&amp;EOMONTH(DATE(2025,8,1),0)
 ),
 IF(_xlpm.x=0, "-", _xlpm.x)
)</f>
        <v>-</v>
      </c>
      <c r="R100" s="65" t="str">
        <f>_xlfn.LET(
 _xlpm.x,
 _xlfn.MAXIFS(
  raw_stack!H$2:H$100000,
  raw_stack!D$2:D$100000, G100,
  raw_stack!F$2:F$100000, "Iya",
  raw_stack!G$2:G$100000, "&gt;="&amp;DATE(2025,8,1),
  raw_stack!G$2:G$100000, "&lt;="&amp;EOMONTH(DATE(2025,8,1),0)
 ),
 IF(OR(_xlpm.x=0, _xlpm.x=""), "-", _xlpm.x)
)</f>
        <v>-</v>
      </c>
      <c r="S100" s="54" t="str">
        <f>_xlfn.LET(
 _xlpm.x,
 _xlfn.MAXIFS(
  raw_stack!G$2:G$99411,
  raw_stack!D$2:D$99411, G100,
  raw_stack!F$2:F$99411, "Iya",
  raw_stack!G$2:G$99411, "&gt;="&amp;DATE(2025,9,1),
  raw_stack!G$2:G$99411, "&lt;="&amp;EOMONTH(DATE(2025,9,1),0)
 ),
 IF(_xlpm.x=0, "-", _xlpm.x)
)</f>
        <v>-</v>
      </c>
      <c r="T100" s="65" t="str">
        <f>_xlfn.LET(
 _xlpm.x,
 _xlfn.MAXIFS(
  raw_stack!H$2:H$100000,
  raw_stack!D$2:D$100000, G100,
  raw_stack!F$2:F$100000, "Iya",
  raw_stack!G$2:G$100000, "&gt;="&amp;DATE(2025,9,1),
  raw_stack!G$2:G$100000, "&lt;="&amp;EOMONTH(DATE(2025,9,1),0)
 ),
 IF(OR(_xlpm.x=0, _xlpm.x=""), "-", _xlpm.x)
)</f>
        <v>-</v>
      </c>
      <c r="U100" s="54">
        <f>_xlfn.LET(
 _xlpm.x,
 _xlfn.MAXIFS(
  raw_stack!G$2:G$99411,
  raw_stack!D$2:D$99411, G100,
  raw_stack!F$2:F$99411, "Iya",
  raw_stack!G$2:G$99411, "&gt;="&amp;DATE(2025,10,1),
  raw_stack!G$2:G$99411, "&lt;="&amp;EOMONTH(DATE(2025,10,1),0)
 ),
 IF(_xlpm.x=0, "-", _xlpm.x)
)</f>
        <v>45952</v>
      </c>
      <c r="V100" s="65">
        <f>_xlfn.LET(
 _xlpm.x,
 _xlfn.MAXIFS(
  raw_stack!H$2:H$100000,
  raw_stack!D$2:D$100000, G100,
  raw_stack!F$2:F$100000, "Iya",
  raw_stack!G$2:G$100000, "&gt;="&amp;DATE(2025,10,1),
  raw_stack!G$2:G$100000, "&lt;="&amp;EOMONTH(DATE(2025,10,1),0)
 ),
 IF(OR(_xlpm.x=0, _xlpm.x=""), "-", _xlpm.x)
)</f>
        <v>4954</v>
      </c>
      <c r="W100" s="55" t="str">
        <f>_xlfn.LET(
 _xlpm.x,
 _xlfn.MAXIFS(
  raw_stack!G$2:G$99411,
  raw_stack!D$2:D$99411, G100,
  raw_stack!F$2:F$99411, "Iya",
  raw_stack!G$2:G$99411, "&gt;="&amp;DATE(2025,11,1),
  raw_stack!G$2:G$99411, "&lt;="&amp;EOMONTH(DATE(2025,11,1),0)
 ),
 IF(_xlpm.x=0, "-", _xlpm.x)
)</f>
        <v>-</v>
      </c>
      <c r="X100" s="56" t="str">
        <f>_xlfn.LET(
 _xlpm.x,
 _xlfn.MAXIFS(
  raw_stack!H$2:H$100000,
  raw_stack!D$2:D$100000, G100,
  raw_stack!F$2:F$100000, "Iya",
  raw_stack!G$2:G$100000, "&gt;="&amp;DATE(2025,11,1),
  raw_stack!G$2:G$100000, "&lt;="&amp;EOMONTH(DATE(2025,11,1),0)
 ),
 IF(OR(_xlpm.x=0, _xlpm.x=""), "-", _xlpm.x)
)</f>
        <v>-</v>
      </c>
      <c r="Y100" s="55" t="str">
        <f>_xlfn.LET(
 _xlpm.x,
 _xlfn.MAXIFS(
  raw_stack!G$2:G$99411,
  raw_stack!D$2:D$99411, G100,
  raw_stack!F$2:F$99411, "Iya",
  raw_stack!G$2:G$99411, "&gt;="&amp;DATE(2025,12,1),
  raw_stack!G$2:G$99411, "&lt;="&amp;EOMONTH(DATE(2025,12,1),0)
 ),
 IF(_xlpm.x=0, "-", _xlpm.x)
)</f>
        <v>-</v>
      </c>
      <c r="Z100" s="56" t="str">
        <f>_xlfn.LET(
 _xlpm.x,
 _xlfn.MAXIFS(
  raw_stack!H$2:H$100000,
  raw_stack!D$2:D$100000, G100,
  raw_stack!F$2:F$100000, "Iya",
  raw_stack!G$2:G$100000, "&gt;="&amp;DATE(2025,12,1),
  raw_stack!G$2:G$100000, "&lt;="&amp;EOMONTH(DATE(2025,12,1),0)
 ),
 IF(OR(_xlpm.x=0, _xlpm.x=""), "-", _xlpm.x)
)</f>
        <v>-</v>
      </c>
      <c r="AA100" s="55" t="str">
        <f>_xlfn.LET(
 _xlpm.x,
 _xlfn.MAXIFS(
  raw_stack!G$2:G$99411,
  raw_stack!D$2:D$99411, G100,
  raw_stack!F$2:F$99411, "Iya",
  raw_stack!G$2:G$99411, "&gt;="&amp;DATE(2026,1,1),
  raw_stack!G$2:G$99411, "&lt;="&amp;EOMONTH(DATE(2026,1,1),0)
 ),
 IF(_xlpm.x=0, "-", _xlpm.x)
)</f>
        <v>-</v>
      </c>
      <c r="AB100" s="56" t="str">
        <f>_xlfn.LET(
 _xlpm.x,
 _xlfn.MAXIFS(
  raw_stack!H$2:H$100000,
  raw_stack!D$2:D$100000, G100,
  raw_stack!F$2:F$100000, "Iya",
  raw_stack!G$2:G$100000, "&gt;="&amp;DATE(2026,1,1),
  raw_stack!G$2:G$100000, "&lt;="&amp;EOMONTH(DATE(2026,1,1),0)
 ),
 IF(OR(_xlpm.x=0, _xlpm.x=""), "-", _xlpm.x)
)</f>
        <v>-</v>
      </c>
      <c r="AC100" s="55" t="str">
        <f>_xlfn.LET(
 _xlpm.x,
 _xlfn.MAXIFS(
  raw_stack!G$2:G$99411,
  raw_stack!D$2:D$99411, G100,
  raw_stack!F$2:F$99411, "Iya",
  raw_stack!G$2:G$99411, "&gt;="&amp;DATE(2026,2,1),
  raw_stack!G$2:G$99411, "&lt;="&amp;EOMONTH(DATE(2026,2,1),0)
 ),
 IF(_xlpm.x=0, "-", _xlpm.x)
)</f>
        <v>-</v>
      </c>
      <c r="AD100" s="56" t="str">
        <f>_xlfn.LET(
 _xlpm.x,
 _xlfn.MAXIFS(
  raw_stack!H$2:H$100000,
  raw_stack!D$2:D$100000, G100,
  raw_stack!F$2:F$100000, "Iya",
  raw_stack!G$2:G$100000, "&gt;="&amp;DATE(2026,2,1),
  raw_stack!G$2:G$100000, "&lt;="&amp;EOMONTH(DATE(2026,2,1),0)
 ),
 IF(OR(_xlpm.x=0, _xlpm.x=""), "-", _xlpm.x)
)</f>
        <v>-</v>
      </c>
      <c r="AE100" s="55" t="str">
        <f>_xlfn.LET(
 _xlpm.x,
 _xlfn.MAXIFS(
  raw_stack!G$2:G$100000,
  raw_stack!D$2:D$100000, G100,
  raw_stack!F$2:F$100000, "Iya",
  raw_stack!G$2:G$100000, "&gt;="&amp;DATE(2026,3,1),
  raw_stack!G$2:G$100000, "&lt;="&amp;EOMONTH(DATE(2026,3,1),0)
 ),
 IF(_xlpm.x=0, "-", _xlpm.x)
)</f>
        <v>-</v>
      </c>
      <c r="AF100" s="56" t="str">
        <f>_xlfn.LET(
 _xlpm.x,
 _xlfn.MAXIFS(
  raw_stack!H$2:H$100000,
  raw_stack!D$2:D$100000, G100,
  raw_stack!F$2:F$100000, "Iya",
  raw_stack!G$2:G$100000, "&gt;="&amp;DATE(2026,3,1),
  raw_stack!G$2:G$100000, "&lt;="&amp;EOMONTH(DATE(2026,3,1),0)
 ),
 IF(OR(_xlpm.x=0, _xlpm.x=""), "-", _xlpm.x)
)</f>
        <v>-</v>
      </c>
      <c r="AG100" s="55" t="str">
        <f>_xlfn.LET(
 _xlpm.x,
 _xlfn.MAXIFS(
  raw_stack!G$2:G$100000,
  raw_stack!D$2:D$100000, G100,
  raw_stack!F$2:F$100000, "Iya",
  raw_stack!G$2:G$100000, "&gt;="&amp;DATE(2026,4,1),
  raw_stack!G$2:G$100000, "&lt;="&amp;EOMONTH(DATE(2026,4,1),0)
 ),
 IF(_xlpm.x=0, "-", _xlpm.x)
)</f>
        <v>-</v>
      </c>
      <c r="AH100" s="56" t="str">
        <f>_xlfn.LET(
 _xlpm.x,
 _xlfn.MAXIFS(
  raw_stack!H$2:H$100000,
  raw_stack!D$2:D$100000, G100,
  raw_stack!F$2:F$100000, "Iya",
  raw_stack!G$2:G$100000, "&gt;="&amp;DATE(2026,4,1),
  raw_stack!G$2:G$100000, "&lt;="&amp;EOMONTH(DATE(2026,4,1),0)
 ),
 IF(OR(_xlpm.x=0, _xlpm.x=""), "-", _xlpm.x)
)</f>
        <v>-</v>
      </c>
    </row>
    <row r="101" spans="1:34">
      <c r="A101" s="48">
        <v>100</v>
      </c>
      <c r="B101" s="49" t="str">
        <f t="shared" si="1"/>
        <v>10814</v>
      </c>
      <c r="C101" s="50" t="s">
        <v>46</v>
      </c>
      <c r="D101" s="51" t="s">
        <v>548</v>
      </c>
      <c r="E101" s="51" t="s">
        <v>47</v>
      </c>
      <c r="F101" s="49" t="s">
        <v>117</v>
      </c>
      <c r="G101" s="49" t="s">
        <v>217</v>
      </c>
      <c r="H101" s="49" t="s">
        <v>48</v>
      </c>
      <c r="I101" s="49" t="s">
        <v>49</v>
      </c>
      <c r="J101" s="52">
        <v>4600000</v>
      </c>
      <c r="K101" s="53">
        <v>45231</v>
      </c>
      <c r="L101" s="53">
        <v>46326</v>
      </c>
      <c r="M101" s="53">
        <v>46081</v>
      </c>
      <c r="N101" s="49" t="s">
        <v>50</v>
      </c>
      <c r="O101" s="54" t="str">
        <f>_xlfn.LET(
 _xlpm.x,
 _xlfn.MAXIFS(
  raw_stack!G$2:G$100000,
  raw_stack!D$2:D$100000, G101,
  raw_stack!F$2:F$100000, "Iya",
  raw_stack!G$2:G$100000, "&gt;="&amp;DATE(2025,7,1),
  raw_stack!G$2:G$100000, "&lt;="&amp;EOMONTH(DATE(2025,7,1),0)
 ),
 IF(_xlpm.x=0, "-", _xlpm.x)
)</f>
        <v>-</v>
      </c>
      <c r="P101" s="65" t="str">
        <f>_xlfn.LET(
 _xlpm.x,
 _xlfn.MAXIFS(
  raw_stack!H$2:H$100000,
  raw_stack!D$2:D$100000, G101,
  raw_stack!F$2:F$100000, "Iya",
  raw_stack!G$2:G$100000, "&gt;="&amp;DATE(2025,7,1),
  raw_stack!G$2:G$100000, "&lt;="&amp;EOMONTH(DATE(2025,7,1),0)
 ),
 IF(OR(_xlpm.x=0, _xlpm.x=""), "-", _xlpm.x)
)</f>
        <v>-</v>
      </c>
      <c r="Q101" s="54" t="str">
        <f>_xlfn.LET(
 _xlpm.x,
 _xlfn.MAXIFS(
  raw_stack!G$2:G$99411,
  raw_stack!D$2:D$99411, G101,
  raw_stack!F$2:F$99411, "Iya",
  raw_stack!G$2:G$99411, "&gt;="&amp;DATE(2025,8,1),
  raw_stack!G$2:G$99411, "&lt;="&amp;EOMONTH(DATE(2025,8,1),0)
 ),
 IF(_xlpm.x=0, "-", _xlpm.x)
)</f>
        <v>-</v>
      </c>
      <c r="R101" s="65" t="str">
        <f>_xlfn.LET(
 _xlpm.x,
 _xlfn.MAXIFS(
  raw_stack!H$2:H$100000,
  raw_stack!D$2:D$100000, G101,
  raw_stack!F$2:F$100000, "Iya",
  raw_stack!G$2:G$100000, "&gt;="&amp;DATE(2025,8,1),
  raw_stack!G$2:G$100000, "&lt;="&amp;EOMONTH(DATE(2025,8,1),0)
 ),
 IF(OR(_xlpm.x=0, _xlpm.x=""), "-", _xlpm.x)
)</f>
        <v>-</v>
      </c>
      <c r="S101" s="54" t="str">
        <f>_xlfn.LET(
 _xlpm.x,
 _xlfn.MAXIFS(
  raw_stack!G$2:G$99411,
  raw_stack!D$2:D$99411, G101,
  raw_stack!F$2:F$99411, "Iya",
  raw_stack!G$2:G$99411, "&gt;="&amp;DATE(2025,9,1),
  raw_stack!G$2:G$99411, "&lt;="&amp;EOMONTH(DATE(2025,9,1),0)
 ),
 IF(_xlpm.x=0, "-", _xlpm.x)
)</f>
        <v>-</v>
      </c>
      <c r="T101" s="65" t="str">
        <f>_xlfn.LET(
 _xlpm.x,
 _xlfn.MAXIFS(
  raw_stack!H$2:H$100000,
  raw_stack!D$2:D$100000, G101,
  raw_stack!F$2:F$100000, "Iya",
  raw_stack!G$2:G$100000, "&gt;="&amp;DATE(2025,9,1),
  raw_stack!G$2:G$100000, "&lt;="&amp;EOMONTH(DATE(2025,9,1),0)
 ),
 IF(OR(_xlpm.x=0, _xlpm.x=""), "-", _xlpm.x)
)</f>
        <v>-</v>
      </c>
      <c r="U101" s="54" t="str">
        <f>_xlfn.LET(
 _xlpm.x,
 _xlfn.MAXIFS(
  raw_stack!G$2:G$99411,
  raw_stack!D$2:D$99411, G101,
  raw_stack!F$2:F$99411, "Iya",
  raw_stack!G$2:G$99411, "&gt;="&amp;DATE(2025,10,1),
  raw_stack!G$2:G$99411, "&lt;="&amp;EOMONTH(DATE(2025,10,1),0)
 ),
 IF(_xlpm.x=0, "-", _xlpm.x)
)</f>
        <v>-</v>
      </c>
      <c r="V101" s="65" t="str">
        <f>_xlfn.LET(
 _xlpm.x,
 _xlfn.MAXIFS(
  raw_stack!H$2:H$100000,
  raw_stack!D$2:D$100000, G101,
  raw_stack!F$2:F$100000, "Iya",
  raw_stack!G$2:G$100000, "&gt;="&amp;DATE(2025,10,1),
  raw_stack!G$2:G$100000, "&lt;="&amp;EOMONTH(DATE(2025,10,1),0)
 ),
 IF(OR(_xlpm.x=0, _xlpm.x=""), "-", _xlpm.x)
)</f>
        <v>-</v>
      </c>
      <c r="W101" s="55">
        <f>_xlfn.LET(
 _xlpm.x,
 _xlfn.MAXIFS(
  raw_stack!G$2:G$99411,
  raw_stack!D$2:D$99411, G101,
  raw_stack!F$2:F$99411, "Iya",
  raw_stack!G$2:G$99411, "&gt;="&amp;DATE(2025,11,1),
  raw_stack!G$2:G$99411, "&lt;="&amp;EOMONTH(DATE(2025,11,1),0)
 ),
 IF(_xlpm.x=0, "-", _xlpm.x)
)</f>
        <v>45978</v>
      </c>
      <c r="X101" s="56">
        <f>_xlfn.LET(
 _xlpm.x,
 _xlfn.MAXIFS(
  raw_stack!H$2:H$100000,
  raw_stack!D$2:D$100000, G101,
  raw_stack!F$2:F$100000, "Iya",
  raw_stack!G$2:G$100000, "&gt;="&amp;DATE(2025,11,1),
  raw_stack!G$2:G$100000, "&lt;="&amp;EOMONTH(DATE(2025,11,1),0)
 ),
 IF(OR(_xlpm.x=0, _xlpm.x=""), "-", _xlpm.x)
)</f>
        <v>28946</v>
      </c>
      <c r="Y101" s="55">
        <f>_xlfn.LET(
 _xlpm.x,
 _xlfn.MAXIFS(
  raw_stack!G$2:G$99411,
  raw_stack!D$2:D$99411, G101,
  raw_stack!F$2:F$99411, "Iya",
  raw_stack!G$2:G$99411, "&gt;="&amp;DATE(2025,12,1),
  raw_stack!G$2:G$99411, "&lt;="&amp;EOMONTH(DATE(2025,12,1),0)
 ),
 IF(_xlpm.x=0, "-", _xlpm.x)
)</f>
        <v>45993</v>
      </c>
      <c r="Z101" s="56">
        <f>_xlfn.LET(
 _xlpm.x,
 _xlfn.MAXIFS(
  raw_stack!H$2:H$100000,
  raw_stack!D$2:D$100000, G101,
  raw_stack!F$2:F$100000, "Iya",
  raw_stack!G$2:G$100000, "&gt;="&amp;DATE(2025,12,1),
  raw_stack!G$2:G$100000, "&lt;="&amp;EOMONTH(DATE(2025,12,1),0)
 ),
 IF(OR(_xlpm.x=0, _xlpm.x=""), "-", _xlpm.x)
)</f>
        <v>26536</v>
      </c>
      <c r="AA101" s="55" t="str">
        <f>_xlfn.LET(
 _xlpm.x,
 _xlfn.MAXIFS(
  raw_stack!G$2:G$99411,
  raw_stack!D$2:D$99411, G101,
  raw_stack!F$2:F$99411, "Iya",
  raw_stack!G$2:G$99411, "&gt;="&amp;DATE(2026,1,1),
  raw_stack!G$2:G$99411, "&lt;="&amp;EOMONTH(DATE(2026,1,1),0)
 ),
 IF(_xlpm.x=0, "-", _xlpm.x)
)</f>
        <v>-</v>
      </c>
      <c r="AB101" s="56" t="str">
        <f>_xlfn.LET(
 _xlpm.x,
 _xlfn.MAXIFS(
  raw_stack!H$2:H$100000,
  raw_stack!D$2:D$100000, G101,
  raw_stack!F$2:F$100000, "Iya",
  raw_stack!G$2:G$100000, "&gt;="&amp;DATE(2026,1,1),
  raw_stack!G$2:G$100000, "&lt;="&amp;EOMONTH(DATE(2026,1,1),0)
 ),
 IF(OR(_xlpm.x=0, _xlpm.x=""), "-", _xlpm.x)
)</f>
        <v>-</v>
      </c>
      <c r="AC101" s="55" t="str">
        <f>_xlfn.LET(
 _xlpm.x,
 _xlfn.MAXIFS(
  raw_stack!G$2:G$99411,
  raw_stack!D$2:D$99411, G101,
  raw_stack!F$2:F$99411, "Iya",
  raw_stack!G$2:G$99411, "&gt;="&amp;DATE(2026,2,1),
  raw_stack!G$2:G$99411, "&lt;="&amp;EOMONTH(DATE(2026,2,1),0)
 ),
 IF(_xlpm.x=0, "-", _xlpm.x)
)</f>
        <v>-</v>
      </c>
      <c r="AD101" s="56" t="str">
        <f>_xlfn.LET(
 _xlpm.x,
 _xlfn.MAXIFS(
  raw_stack!H$2:H$100000,
  raw_stack!D$2:D$100000, G101,
  raw_stack!F$2:F$100000, "Iya",
  raw_stack!G$2:G$100000, "&gt;="&amp;DATE(2026,2,1),
  raw_stack!G$2:G$100000, "&lt;="&amp;EOMONTH(DATE(2026,2,1),0)
 ),
 IF(OR(_xlpm.x=0, _xlpm.x=""), "-", _xlpm.x)
)</f>
        <v>-</v>
      </c>
      <c r="AE101" s="55" t="str">
        <f>_xlfn.LET(
 _xlpm.x,
 _xlfn.MAXIFS(
  raw_stack!G$2:G$100000,
  raw_stack!D$2:D$100000, G101,
  raw_stack!F$2:F$100000, "Iya",
  raw_stack!G$2:G$100000, "&gt;="&amp;DATE(2026,3,1),
  raw_stack!G$2:G$100000, "&lt;="&amp;EOMONTH(DATE(2026,3,1),0)
 ),
 IF(_xlpm.x=0, "-", _xlpm.x)
)</f>
        <v>-</v>
      </c>
      <c r="AF101" s="56" t="str">
        <f>_xlfn.LET(
 _xlpm.x,
 _xlfn.MAXIFS(
  raw_stack!H$2:H$100000,
  raw_stack!D$2:D$100000, G101,
  raw_stack!F$2:F$100000, "Iya",
  raw_stack!G$2:G$100000, "&gt;="&amp;DATE(2026,3,1),
  raw_stack!G$2:G$100000, "&lt;="&amp;EOMONTH(DATE(2026,3,1),0)
 ),
 IF(OR(_xlpm.x=0, _xlpm.x=""), "-", _xlpm.x)
)</f>
        <v>-</v>
      </c>
      <c r="AG101" s="55" t="str">
        <f>_xlfn.LET(
 _xlpm.x,
 _xlfn.MAXIFS(
  raw_stack!G$2:G$100000,
  raw_stack!D$2:D$100000, G101,
  raw_stack!F$2:F$100000, "Iya",
  raw_stack!G$2:G$100000, "&gt;="&amp;DATE(2026,4,1),
  raw_stack!G$2:G$100000, "&lt;="&amp;EOMONTH(DATE(2026,4,1),0)
 ),
 IF(_xlpm.x=0, "-", _xlpm.x)
)</f>
        <v>-</v>
      </c>
      <c r="AH101" s="56" t="str">
        <f>_xlfn.LET(
 _xlpm.x,
 _xlfn.MAXIFS(
  raw_stack!H$2:H$100000,
  raw_stack!D$2:D$100000, G101,
  raw_stack!F$2:F$100000, "Iya",
  raw_stack!G$2:G$100000, "&gt;="&amp;DATE(2026,4,1),
  raw_stack!G$2:G$100000, "&lt;="&amp;EOMONTH(DATE(2026,4,1),0)
 ),
 IF(OR(_xlpm.x=0, _xlpm.x=""), "-", _xlpm.x)
)</f>
        <v>-</v>
      </c>
    </row>
    <row r="102" spans="1:34">
      <c r="A102" s="48">
        <v>101</v>
      </c>
      <c r="B102" s="49" t="str">
        <f t="shared" si="1"/>
        <v>16903</v>
      </c>
      <c r="C102" s="50" t="s">
        <v>46</v>
      </c>
      <c r="D102" s="51" t="s">
        <v>549</v>
      </c>
      <c r="E102" s="51" t="s">
        <v>47</v>
      </c>
      <c r="F102" s="49" t="s">
        <v>117</v>
      </c>
      <c r="G102" s="49" t="s">
        <v>218</v>
      </c>
      <c r="H102" s="49" t="s">
        <v>48</v>
      </c>
      <c r="I102" s="49" t="s">
        <v>49</v>
      </c>
      <c r="J102" s="52">
        <v>3900000</v>
      </c>
      <c r="K102" s="53">
        <v>45971</v>
      </c>
      <c r="L102" s="53">
        <v>46335</v>
      </c>
      <c r="M102" s="53">
        <v>46062</v>
      </c>
      <c r="N102" s="49" t="s">
        <v>50</v>
      </c>
      <c r="O102" s="54" t="str">
        <f>_xlfn.LET(
 _xlpm.x,
 _xlfn.MAXIFS(
  raw_stack!G$2:G$100000,
  raw_stack!D$2:D$100000, G102,
  raw_stack!F$2:F$100000, "Iya",
  raw_stack!G$2:G$100000, "&gt;="&amp;DATE(2025,7,1),
  raw_stack!G$2:G$100000, "&lt;="&amp;EOMONTH(DATE(2025,7,1),0)
 ),
 IF(_xlpm.x=0, "-", _xlpm.x)
)</f>
        <v>-</v>
      </c>
      <c r="P102" s="65" t="str">
        <f>_xlfn.LET(
 _xlpm.x,
 _xlfn.MAXIFS(
  raw_stack!H$2:H$100000,
  raw_stack!D$2:D$100000, G102,
  raw_stack!F$2:F$100000, "Iya",
  raw_stack!G$2:G$100000, "&gt;="&amp;DATE(2025,7,1),
  raw_stack!G$2:G$100000, "&lt;="&amp;EOMONTH(DATE(2025,7,1),0)
 ),
 IF(OR(_xlpm.x=0, _xlpm.x=""), "-", _xlpm.x)
)</f>
        <v>-</v>
      </c>
      <c r="Q102" s="54">
        <f>_xlfn.LET(
 _xlpm.x,
 _xlfn.MAXIFS(
  raw_stack!G$2:G$99411,
  raw_stack!D$2:D$99411, G102,
  raw_stack!F$2:F$99411, "Iya",
  raw_stack!G$2:G$99411, "&gt;="&amp;DATE(2025,8,1),
  raw_stack!G$2:G$99411, "&lt;="&amp;EOMONTH(DATE(2025,8,1),0)
 ),
 IF(_xlpm.x=0, "-", _xlpm.x)
)</f>
        <v>45876</v>
      </c>
      <c r="R102" s="65">
        <f>_xlfn.LET(
 _xlpm.x,
 _xlfn.MAXIFS(
  raw_stack!H$2:H$100000,
  raw_stack!D$2:D$100000, G102,
  raw_stack!F$2:F$100000, "Iya",
  raw_stack!G$2:G$100000, "&gt;="&amp;DATE(2025,8,1),
  raw_stack!G$2:G$100000, "&lt;="&amp;EOMONTH(DATE(2025,8,1),0)
 ),
 IF(OR(_xlpm.x=0, _xlpm.x=""), "-", _xlpm.x)
)</f>
        <v>72430</v>
      </c>
      <c r="S102" s="54" t="str">
        <f>_xlfn.LET(
 _xlpm.x,
 _xlfn.MAXIFS(
  raw_stack!G$2:G$99411,
  raw_stack!D$2:D$99411, G102,
  raw_stack!F$2:F$99411, "Iya",
  raw_stack!G$2:G$99411, "&gt;="&amp;DATE(2025,9,1),
  raw_stack!G$2:G$99411, "&lt;="&amp;EOMONTH(DATE(2025,9,1),0)
 ),
 IF(_xlpm.x=0, "-", _xlpm.x)
)</f>
        <v>-</v>
      </c>
      <c r="T102" s="65" t="str">
        <f>_xlfn.LET(
 _xlpm.x,
 _xlfn.MAXIFS(
  raw_stack!H$2:H$100000,
  raw_stack!D$2:D$100000, G102,
  raw_stack!F$2:F$100000, "Iya",
  raw_stack!G$2:G$100000, "&gt;="&amp;DATE(2025,9,1),
  raw_stack!G$2:G$100000, "&lt;="&amp;EOMONTH(DATE(2025,9,1),0)
 ),
 IF(OR(_xlpm.x=0, _xlpm.x=""), "-", _xlpm.x)
)</f>
        <v>-</v>
      </c>
      <c r="U102" s="54">
        <f>_xlfn.LET(
 _xlpm.x,
 _xlfn.MAXIFS(
  raw_stack!G$2:G$99411,
  raw_stack!D$2:D$99411, G102,
  raw_stack!F$2:F$99411, "Iya",
  raw_stack!G$2:G$99411, "&gt;="&amp;DATE(2025,10,1),
  raw_stack!G$2:G$99411, "&lt;="&amp;EOMONTH(DATE(2025,10,1),0)
 ),
 IF(_xlpm.x=0, "-", _xlpm.x)
)</f>
        <v>45944</v>
      </c>
      <c r="V102" s="65">
        <f>_xlfn.LET(
 _xlpm.x,
 _xlfn.MAXIFS(
  raw_stack!H$2:H$100000,
  raw_stack!D$2:D$100000, G102,
  raw_stack!F$2:F$100000, "Iya",
  raw_stack!G$2:G$100000, "&gt;="&amp;DATE(2025,10,1),
  raw_stack!G$2:G$100000, "&lt;="&amp;EOMONTH(DATE(2025,10,1),0)
 ),
 IF(OR(_xlpm.x=0, _xlpm.x=""), "-", _xlpm.x)
)</f>
        <v>77651</v>
      </c>
      <c r="W102" s="55" t="str">
        <f>_xlfn.LET(
 _xlpm.x,
 _xlfn.MAXIFS(
  raw_stack!G$2:G$99411,
  raw_stack!D$2:D$99411, G102,
  raw_stack!F$2:F$99411, "Iya",
  raw_stack!G$2:G$99411, "&gt;="&amp;DATE(2025,11,1),
  raw_stack!G$2:G$99411, "&lt;="&amp;EOMONTH(DATE(2025,11,1),0)
 ),
 IF(_xlpm.x=0, "-", _xlpm.x)
)</f>
        <v>-</v>
      </c>
      <c r="X102" s="56" t="str">
        <f>_xlfn.LET(
 _xlpm.x,
 _xlfn.MAXIFS(
  raw_stack!H$2:H$100000,
  raw_stack!D$2:D$100000, G102,
  raw_stack!F$2:F$100000, "Iya",
  raw_stack!G$2:G$100000, "&gt;="&amp;DATE(2025,11,1),
  raw_stack!G$2:G$100000, "&lt;="&amp;EOMONTH(DATE(2025,11,1),0)
 ),
 IF(OR(_xlpm.x=0, _xlpm.x=""), "-", _xlpm.x)
)</f>
        <v>-</v>
      </c>
      <c r="Y102" s="55" t="str">
        <f>_xlfn.LET(
 _xlpm.x,
 _xlfn.MAXIFS(
  raw_stack!G$2:G$99411,
  raw_stack!D$2:D$99411, G102,
  raw_stack!F$2:F$99411, "Iya",
  raw_stack!G$2:G$99411, "&gt;="&amp;DATE(2025,12,1),
  raw_stack!G$2:G$99411, "&lt;="&amp;EOMONTH(DATE(2025,12,1),0)
 ),
 IF(_xlpm.x=0, "-", _xlpm.x)
)</f>
        <v>-</v>
      </c>
      <c r="Z102" s="56" t="str">
        <f>_xlfn.LET(
 _xlpm.x,
 _xlfn.MAXIFS(
  raw_stack!H$2:H$100000,
  raw_stack!D$2:D$100000, G102,
  raw_stack!F$2:F$100000, "Iya",
  raw_stack!G$2:G$100000, "&gt;="&amp;DATE(2025,12,1),
  raw_stack!G$2:G$100000, "&lt;="&amp;EOMONTH(DATE(2025,12,1),0)
 ),
 IF(OR(_xlpm.x=0, _xlpm.x=""), "-", _xlpm.x)
)</f>
        <v>-</v>
      </c>
      <c r="AA102" s="55" t="str">
        <f>_xlfn.LET(
 _xlpm.x,
 _xlfn.MAXIFS(
  raw_stack!G$2:G$99411,
  raw_stack!D$2:D$99411, G102,
  raw_stack!F$2:F$99411, "Iya",
  raw_stack!G$2:G$99411, "&gt;="&amp;DATE(2026,1,1),
  raw_stack!G$2:G$99411, "&lt;="&amp;EOMONTH(DATE(2026,1,1),0)
 ),
 IF(_xlpm.x=0, "-", _xlpm.x)
)</f>
        <v>-</v>
      </c>
      <c r="AB102" s="56" t="str">
        <f>_xlfn.LET(
 _xlpm.x,
 _xlfn.MAXIFS(
  raw_stack!H$2:H$100000,
  raw_stack!D$2:D$100000, G102,
  raw_stack!F$2:F$100000, "Iya",
  raw_stack!G$2:G$100000, "&gt;="&amp;DATE(2026,1,1),
  raw_stack!G$2:G$100000, "&lt;="&amp;EOMONTH(DATE(2026,1,1),0)
 ),
 IF(OR(_xlpm.x=0, _xlpm.x=""), "-", _xlpm.x)
)</f>
        <v>-</v>
      </c>
      <c r="AC102" s="55">
        <f>_xlfn.LET(
 _xlpm.x,
 _xlfn.MAXIFS(
  raw_stack!G$2:G$99411,
  raw_stack!D$2:D$99411, G102,
  raw_stack!F$2:F$99411, "Iya",
  raw_stack!G$2:G$99411, "&gt;="&amp;DATE(2026,2,1),
  raw_stack!G$2:G$99411, "&lt;="&amp;EOMONTH(DATE(2026,2,1),0)
 ),
 IF(_xlpm.x=0, "-", _xlpm.x)
)</f>
        <v>46064</v>
      </c>
      <c r="AD102" s="56">
        <f>_xlfn.LET(
 _xlpm.x,
 _xlfn.MAXIFS(
  raw_stack!H$2:H$100000,
  raw_stack!D$2:D$100000, G102,
  raw_stack!F$2:F$100000, "Iya",
  raw_stack!G$2:G$100000, "&gt;="&amp;DATE(2026,2,1),
  raw_stack!G$2:G$100000, "&lt;="&amp;EOMONTH(DATE(2026,2,1),0)
 ),
 IF(OR(_xlpm.x=0, _xlpm.x=""), "-", _xlpm.x)
)</f>
        <v>73575</v>
      </c>
      <c r="AE102" s="55" t="str">
        <f>_xlfn.LET(
 _xlpm.x,
 _xlfn.MAXIFS(
  raw_stack!G$2:G$100000,
  raw_stack!D$2:D$100000, G102,
  raw_stack!F$2:F$100000, "Iya",
  raw_stack!G$2:G$100000, "&gt;="&amp;DATE(2026,3,1),
  raw_stack!G$2:G$100000, "&lt;="&amp;EOMONTH(DATE(2026,3,1),0)
 ),
 IF(_xlpm.x=0, "-", _xlpm.x)
)</f>
        <v>-</v>
      </c>
      <c r="AF102" s="56" t="str">
        <f>_xlfn.LET(
 _xlpm.x,
 _xlfn.MAXIFS(
  raw_stack!H$2:H$100000,
  raw_stack!D$2:D$100000, G102,
  raw_stack!F$2:F$100000, "Iya",
  raw_stack!G$2:G$100000, "&gt;="&amp;DATE(2026,3,1),
  raw_stack!G$2:G$100000, "&lt;="&amp;EOMONTH(DATE(2026,3,1),0)
 ),
 IF(OR(_xlpm.x=0, _xlpm.x=""), "-", _xlpm.x)
)</f>
        <v>-</v>
      </c>
      <c r="AG102" s="55" t="str">
        <f>_xlfn.LET(
 _xlpm.x,
 _xlfn.MAXIFS(
  raw_stack!G$2:G$100000,
  raw_stack!D$2:D$100000, G102,
  raw_stack!F$2:F$100000, "Iya",
  raw_stack!G$2:G$100000, "&gt;="&amp;DATE(2026,4,1),
  raw_stack!G$2:G$100000, "&lt;="&amp;EOMONTH(DATE(2026,4,1),0)
 ),
 IF(_xlpm.x=0, "-", _xlpm.x)
)</f>
        <v>-</v>
      </c>
      <c r="AH102" s="56" t="str">
        <f>_xlfn.LET(
 _xlpm.x,
 _xlfn.MAXIFS(
  raw_stack!H$2:H$100000,
  raw_stack!D$2:D$100000, G102,
  raw_stack!F$2:F$100000, "Iya",
  raw_stack!G$2:G$100000, "&gt;="&amp;DATE(2026,4,1),
  raw_stack!G$2:G$100000, "&lt;="&amp;EOMONTH(DATE(2026,4,1),0)
 ),
 IF(OR(_xlpm.x=0, _xlpm.x=""), "-", _xlpm.x)
)</f>
        <v>-</v>
      </c>
    </row>
    <row r="103" spans="1:34">
      <c r="A103" s="48">
        <v>102</v>
      </c>
      <c r="B103" s="49" t="str">
        <f t="shared" si="1"/>
        <v>50324</v>
      </c>
      <c r="C103" s="50" t="s">
        <v>46</v>
      </c>
      <c r="D103" s="51" t="s">
        <v>550</v>
      </c>
      <c r="E103" s="51" t="s">
        <v>47</v>
      </c>
      <c r="F103" s="49" t="s">
        <v>117</v>
      </c>
      <c r="G103" s="49" t="s">
        <v>219</v>
      </c>
      <c r="H103" s="49" t="s">
        <v>48</v>
      </c>
      <c r="I103" s="49" t="s">
        <v>49</v>
      </c>
      <c r="J103" s="52">
        <v>4300000</v>
      </c>
      <c r="K103" s="53">
        <v>45984</v>
      </c>
      <c r="L103" s="53">
        <v>46348</v>
      </c>
      <c r="M103" s="53">
        <v>46075</v>
      </c>
      <c r="N103" s="49" t="s">
        <v>50</v>
      </c>
      <c r="O103" s="54" t="str">
        <f>_xlfn.LET(
 _xlpm.x,
 _xlfn.MAXIFS(
  raw_stack!G$2:G$100000,
  raw_stack!D$2:D$100000, G103,
  raw_stack!F$2:F$100000, "Iya",
  raw_stack!G$2:G$100000, "&gt;="&amp;DATE(2025,7,1),
  raw_stack!G$2:G$100000, "&lt;="&amp;EOMONTH(DATE(2025,7,1),0)
 ),
 IF(_xlpm.x=0, "-", _xlpm.x)
)</f>
        <v>-</v>
      </c>
      <c r="P103" s="65" t="str">
        <f>_xlfn.LET(
 _xlpm.x,
 _xlfn.MAXIFS(
  raw_stack!H$2:H$100000,
  raw_stack!D$2:D$100000, G103,
  raw_stack!F$2:F$100000, "Iya",
  raw_stack!G$2:G$100000, "&gt;="&amp;DATE(2025,7,1),
  raw_stack!G$2:G$100000, "&lt;="&amp;EOMONTH(DATE(2025,7,1),0)
 ),
 IF(OR(_xlpm.x=0, _xlpm.x=""), "-", _xlpm.x)
)</f>
        <v>-</v>
      </c>
      <c r="Q103" s="54">
        <f>_xlfn.LET(
 _xlpm.x,
 _xlfn.MAXIFS(
  raw_stack!G$2:G$99411,
  raw_stack!D$2:D$99411, G103,
  raw_stack!F$2:F$99411, "Iya",
  raw_stack!G$2:G$99411, "&gt;="&amp;DATE(2025,8,1),
  raw_stack!G$2:G$99411, "&lt;="&amp;EOMONTH(DATE(2025,8,1),0)
 ),
 IF(_xlpm.x=0, "-", _xlpm.x)
)</f>
        <v>45876</v>
      </c>
      <c r="R103" s="65">
        <f>_xlfn.LET(
 _xlpm.x,
 _xlfn.MAXIFS(
  raw_stack!H$2:H$100000,
  raw_stack!D$2:D$100000, G103,
  raw_stack!F$2:F$100000, "Iya",
  raw_stack!G$2:G$100000, "&gt;="&amp;DATE(2025,8,1),
  raw_stack!G$2:G$100000, "&lt;="&amp;EOMONTH(DATE(2025,8,1),0)
 ),
 IF(OR(_xlpm.x=0, _xlpm.x=""), "-", _xlpm.x)
)</f>
        <v>67174</v>
      </c>
      <c r="S103" s="54" t="str">
        <f>_xlfn.LET(
 _xlpm.x,
 _xlfn.MAXIFS(
  raw_stack!G$2:G$99411,
  raw_stack!D$2:D$99411, G103,
  raw_stack!F$2:F$99411, "Iya",
  raw_stack!G$2:G$99411, "&gt;="&amp;DATE(2025,9,1),
  raw_stack!G$2:G$99411, "&lt;="&amp;EOMONTH(DATE(2025,9,1),0)
 ),
 IF(_xlpm.x=0, "-", _xlpm.x)
)</f>
        <v>-</v>
      </c>
      <c r="T103" s="65" t="str">
        <f>_xlfn.LET(
 _xlpm.x,
 _xlfn.MAXIFS(
  raw_stack!H$2:H$100000,
  raw_stack!D$2:D$100000, G103,
  raw_stack!F$2:F$100000, "Iya",
  raw_stack!G$2:G$100000, "&gt;="&amp;DATE(2025,9,1),
  raw_stack!G$2:G$100000, "&lt;="&amp;EOMONTH(DATE(2025,9,1),0)
 ),
 IF(OR(_xlpm.x=0, _xlpm.x=""), "-", _xlpm.x)
)</f>
        <v>-</v>
      </c>
      <c r="U103" s="54" t="str">
        <f>_xlfn.LET(
 _xlpm.x,
 _xlfn.MAXIFS(
  raw_stack!G$2:G$99411,
  raw_stack!D$2:D$99411, G103,
  raw_stack!F$2:F$99411, "Iya",
  raw_stack!G$2:G$99411, "&gt;="&amp;DATE(2025,10,1),
  raw_stack!G$2:G$99411, "&lt;="&amp;EOMONTH(DATE(2025,10,1),0)
 ),
 IF(_xlpm.x=0, "-", _xlpm.x)
)</f>
        <v>-</v>
      </c>
      <c r="V103" s="65" t="str">
        <f>_xlfn.LET(
 _xlpm.x,
 _xlfn.MAXIFS(
  raw_stack!H$2:H$100000,
  raw_stack!D$2:D$100000, G103,
  raw_stack!F$2:F$100000, "Iya",
  raw_stack!G$2:G$100000, "&gt;="&amp;DATE(2025,10,1),
  raw_stack!G$2:G$100000, "&lt;="&amp;EOMONTH(DATE(2025,10,1),0)
 ),
 IF(OR(_xlpm.x=0, _xlpm.x=""), "-", _xlpm.x)
)</f>
        <v>-</v>
      </c>
      <c r="W103" s="55" t="str">
        <f>_xlfn.LET(
 _xlpm.x,
 _xlfn.MAXIFS(
  raw_stack!G$2:G$99411,
  raw_stack!D$2:D$99411, G103,
  raw_stack!F$2:F$99411, "Iya",
  raw_stack!G$2:G$99411, "&gt;="&amp;DATE(2025,11,1),
  raw_stack!G$2:G$99411, "&lt;="&amp;EOMONTH(DATE(2025,11,1),0)
 ),
 IF(_xlpm.x=0, "-", _xlpm.x)
)</f>
        <v>-</v>
      </c>
      <c r="X103" s="56" t="str">
        <f>_xlfn.LET(
 _xlpm.x,
 _xlfn.MAXIFS(
  raw_stack!H$2:H$100000,
  raw_stack!D$2:D$100000, G103,
  raw_stack!F$2:F$100000, "Iya",
  raw_stack!G$2:G$100000, "&gt;="&amp;DATE(2025,11,1),
  raw_stack!G$2:G$100000, "&lt;="&amp;EOMONTH(DATE(2025,11,1),0)
 ),
 IF(OR(_xlpm.x=0, _xlpm.x=""), "-", _xlpm.x)
)</f>
        <v>-</v>
      </c>
      <c r="Y103" s="55" t="str">
        <f>_xlfn.LET(
 _xlpm.x,
 _xlfn.MAXIFS(
  raw_stack!G$2:G$99411,
  raw_stack!D$2:D$99411, G103,
  raw_stack!F$2:F$99411, "Iya",
  raw_stack!G$2:G$99411, "&gt;="&amp;DATE(2025,12,1),
  raw_stack!G$2:G$99411, "&lt;="&amp;EOMONTH(DATE(2025,12,1),0)
 ),
 IF(_xlpm.x=0, "-", _xlpm.x)
)</f>
        <v>-</v>
      </c>
      <c r="Z103" s="56" t="str">
        <f>_xlfn.LET(
 _xlpm.x,
 _xlfn.MAXIFS(
  raw_stack!H$2:H$100000,
  raw_stack!D$2:D$100000, G103,
  raw_stack!F$2:F$100000, "Iya",
  raw_stack!G$2:G$100000, "&gt;="&amp;DATE(2025,12,1),
  raw_stack!G$2:G$100000, "&lt;="&amp;EOMONTH(DATE(2025,12,1),0)
 ),
 IF(OR(_xlpm.x=0, _xlpm.x=""), "-", _xlpm.x)
)</f>
        <v>-</v>
      </c>
      <c r="AA103" s="55">
        <f>_xlfn.LET(
 _xlpm.x,
 _xlfn.MAXIFS(
  raw_stack!G$2:G$99411,
  raw_stack!D$2:D$99411, G103,
  raw_stack!F$2:F$99411, "Iya",
  raw_stack!G$2:G$99411, "&gt;="&amp;DATE(2026,1,1),
  raw_stack!G$2:G$99411, "&lt;="&amp;EOMONTH(DATE(2026,1,1),0)
 ),
 IF(_xlpm.x=0, "-", _xlpm.x)
)</f>
        <v>46053</v>
      </c>
      <c r="AB103" s="56">
        <f>_xlfn.LET(
 _xlpm.x,
 _xlfn.MAXIFS(
  raw_stack!H$2:H$100000,
  raw_stack!D$2:D$100000, G103,
  raw_stack!F$2:F$100000, "Iya",
  raw_stack!G$2:G$100000, "&gt;="&amp;DATE(2026,1,1),
  raw_stack!G$2:G$100000, "&lt;="&amp;EOMONTH(DATE(2026,1,1),0)
 ),
 IF(OR(_xlpm.x=0, _xlpm.x=""), "-", _xlpm.x)
)</f>
        <v>68695</v>
      </c>
      <c r="AC103" s="55" t="str">
        <f>_xlfn.LET(
 _xlpm.x,
 _xlfn.MAXIFS(
  raw_stack!G$2:G$99411,
  raw_stack!D$2:D$99411, G103,
  raw_stack!F$2:F$99411, "Iya",
  raw_stack!G$2:G$99411, "&gt;="&amp;DATE(2026,2,1),
  raw_stack!G$2:G$99411, "&lt;="&amp;EOMONTH(DATE(2026,2,1),0)
 ),
 IF(_xlpm.x=0, "-", _xlpm.x)
)</f>
        <v>-</v>
      </c>
      <c r="AD103" s="56" t="str">
        <f>_xlfn.LET(
 _xlpm.x,
 _xlfn.MAXIFS(
  raw_stack!H$2:H$100000,
  raw_stack!D$2:D$100000, G103,
  raw_stack!F$2:F$100000, "Iya",
  raw_stack!G$2:G$100000, "&gt;="&amp;DATE(2026,2,1),
  raw_stack!G$2:G$100000, "&lt;="&amp;EOMONTH(DATE(2026,2,1),0)
 ),
 IF(OR(_xlpm.x=0, _xlpm.x=""), "-", _xlpm.x)
)</f>
        <v>-</v>
      </c>
      <c r="AE103" s="55" t="str">
        <f>_xlfn.LET(
 _xlpm.x,
 _xlfn.MAXIFS(
  raw_stack!G$2:G$100000,
  raw_stack!D$2:D$100000, G103,
  raw_stack!F$2:F$100000, "Iya",
  raw_stack!G$2:G$100000, "&gt;="&amp;DATE(2026,3,1),
  raw_stack!G$2:G$100000, "&lt;="&amp;EOMONTH(DATE(2026,3,1),0)
 ),
 IF(_xlpm.x=0, "-", _xlpm.x)
)</f>
        <v>-</v>
      </c>
      <c r="AF103" s="56" t="str">
        <f>_xlfn.LET(
 _xlpm.x,
 _xlfn.MAXIFS(
  raw_stack!H$2:H$100000,
  raw_stack!D$2:D$100000, G103,
  raw_stack!F$2:F$100000, "Iya",
  raw_stack!G$2:G$100000, "&gt;="&amp;DATE(2026,3,1),
  raw_stack!G$2:G$100000, "&lt;="&amp;EOMONTH(DATE(2026,3,1),0)
 ),
 IF(OR(_xlpm.x=0, _xlpm.x=""), "-", _xlpm.x)
)</f>
        <v>-</v>
      </c>
      <c r="AG103" s="55" t="str">
        <f>_xlfn.LET(
 _xlpm.x,
 _xlfn.MAXIFS(
  raw_stack!G$2:G$100000,
  raw_stack!D$2:D$100000, G103,
  raw_stack!F$2:F$100000, "Iya",
  raw_stack!G$2:G$100000, "&gt;="&amp;DATE(2026,4,1),
  raw_stack!G$2:G$100000, "&lt;="&amp;EOMONTH(DATE(2026,4,1),0)
 ),
 IF(_xlpm.x=0, "-", _xlpm.x)
)</f>
        <v>-</v>
      </c>
      <c r="AH103" s="56" t="str">
        <f>_xlfn.LET(
 _xlpm.x,
 _xlfn.MAXIFS(
  raw_stack!H$2:H$100000,
  raw_stack!D$2:D$100000, G103,
  raw_stack!F$2:F$100000, "Iya",
  raw_stack!G$2:G$100000, "&gt;="&amp;DATE(2026,4,1),
  raw_stack!G$2:G$100000, "&lt;="&amp;EOMONTH(DATE(2026,4,1),0)
 ),
 IF(OR(_xlpm.x=0, _xlpm.x=""), "-", _xlpm.x)
)</f>
        <v>-</v>
      </c>
    </row>
    <row r="104" spans="1:34">
      <c r="A104" s="48">
        <v>103</v>
      </c>
      <c r="B104" s="49" t="str">
        <f t="shared" si="1"/>
        <v>46702</v>
      </c>
      <c r="C104" s="50" t="s">
        <v>46</v>
      </c>
      <c r="D104" s="51" t="s">
        <v>551</v>
      </c>
      <c r="E104" s="51" t="s">
        <v>54</v>
      </c>
      <c r="F104" s="49" t="s">
        <v>117</v>
      </c>
      <c r="G104" s="49" t="s">
        <v>220</v>
      </c>
      <c r="H104" s="49" t="s">
        <v>48</v>
      </c>
      <c r="I104" s="49" t="s">
        <v>52</v>
      </c>
      <c r="J104" s="52">
        <v>6450000</v>
      </c>
      <c r="K104" s="53">
        <v>45231</v>
      </c>
      <c r="L104" s="53">
        <v>46356</v>
      </c>
      <c r="M104" s="53">
        <v>46081</v>
      </c>
      <c r="N104" s="49" t="s">
        <v>50</v>
      </c>
      <c r="O104" s="54">
        <f>_xlfn.LET(
 _xlpm.x,
 _xlfn.MAXIFS(
  raw_stack!G$2:G$100000,
  raw_stack!D$2:D$100000, G104,
  raw_stack!F$2:F$100000, "Iya",
  raw_stack!G$2:G$100000, "&gt;="&amp;DATE(2025,7,1),
  raw_stack!G$2:G$100000, "&lt;="&amp;EOMONTH(DATE(2025,7,1),0)
 ),
 IF(_xlpm.x=0, "-", _xlpm.x)
)</f>
        <v>45841</v>
      </c>
      <c r="P104" s="65">
        <f>_xlfn.LET(
 _xlpm.x,
 _xlfn.MAXIFS(
  raw_stack!H$2:H$100000,
  raw_stack!D$2:D$100000, G104,
  raw_stack!F$2:F$100000, "Iya",
  raw_stack!G$2:G$100000, "&gt;="&amp;DATE(2025,7,1),
  raw_stack!G$2:G$100000, "&lt;="&amp;EOMONTH(DATE(2025,7,1),0)
 ),
 IF(OR(_xlpm.x=0, _xlpm.x=""), "-", _xlpm.x)
)</f>
        <v>41175</v>
      </c>
      <c r="Q104" s="54" t="str">
        <f>_xlfn.LET(
 _xlpm.x,
 _xlfn.MAXIFS(
  raw_stack!G$2:G$99411,
  raw_stack!D$2:D$99411, G104,
  raw_stack!F$2:F$99411, "Iya",
  raw_stack!G$2:G$99411, "&gt;="&amp;DATE(2025,8,1),
  raw_stack!G$2:G$99411, "&lt;="&amp;EOMONTH(DATE(2025,8,1),0)
 ),
 IF(_xlpm.x=0, "-", _xlpm.x)
)</f>
        <v>-</v>
      </c>
      <c r="R104" s="65" t="str">
        <f>_xlfn.LET(
 _xlpm.x,
 _xlfn.MAXIFS(
  raw_stack!H$2:H$100000,
  raw_stack!D$2:D$100000, G104,
  raw_stack!F$2:F$100000, "Iya",
  raw_stack!G$2:G$100000, "&gt;="&amp;DATE(2025,8,1),
  raw_stack!G$2:G$100000, "&lt;="&amp;EOMONTH(DATE(2025,8,1),0)
 ),
 IF(OR(_xlpm.x=0, _xlpm.x=""), "-", _xlpm.x)
)</f>
        <v>-</v>
      </c>
      <c r="S104" s="54">
        <f>_xlfn.LET(
 _xlpm.x,
 _xlfn.MAXIFS(
  raw_stack!G$2:G$99411,
  raw_stack!D$2:D$99411, G104,
  raw_stack!F$2:F$99411, "Iya",
  raw_stack!G$2:G$99411, "&gt;="&amp;DATE(2025,9,1),
  raw_stack!G$2:G$99411, "&lt;="&amp;EOMONTH(DATE(2025,9,1),0)
 ),
 IF(_xlpm.x=0, "-", _xlpm.x)
)</f>
        <v>45903</v>
      </c>
      <c r="T104" s="65">
        <f>_xlfn.LET(
 _xlpm.x,
 _xlfn.MAXIFS(
  raw_stack!H$2:H$100000,
  raw_stack!D$2:D$100000, G104,
  raw_stack!F$2:F$100000, "Iya",
  raw_stack!G$2:G$100000, "&gt;="&amp;DATE(2025,9,1),
  raw_stack!G$2:G$100000, "&lt;="&amp;EOMONTH(DATE(2025,9,1),0)
 ),
 IF(OR(_xlpm.x=0, _xlpm.x=""), "-", _xlpm.x)
)</f>
        <v>41971</v>
      </c>
      <c r="U104" s="54" t="str">
        <f>_xlfn.LET(
 _xlpm.x,
 _xlfn.MAXIFS(
  raw_stack!G$2:G$99411,
  raw_stack!D$2:D$99411, G104,
  raw_stack!F$2:F$99411, "Iya",
  raw_stack!G$2:G$99411, "&gt;="&amp;DATE(2025,10,1),
  raw_stack!G$2:G$99411, "&lt;="&amp;EOMONTH(DATE(2025,10,1),0)
 ),
 IF(_xlpm.x=0, "-", _xlpm.x)
)</f>
        <v>-</v>
      </c>
      <c r="V104" s="65" t="str">
        <f>_xlfn.LET(
 _xlpm.x,
 _xlfn.MAXIFS(
  raw_stack!H$2:H$100000,
  raw_stack!D$2:D$100000, G104,
  raw_stack!F$2:F$100000, "Iya",
  raw_stack!G$2:G$100000, "&gt;="&amp;DATE(2025,10,1),
  raw_stack!G$2:G$100000, "&lt;="&amp;EOMONTH(DATE(2025,10,1),0)
 ),
 IF(OR(_xlpm.x=0, _xlpm.x=""), "-", _xlpm.x)
)</f>
        <v>-</v>
      </c>
      <c r="W104" s="55" t="str">
        <f>_xlfn.LET(
 _xlpm.x,
 _xlfn.MAXIFS(
  raw_stack!G$2:G$99411,
  raw_stack!D$2:D$99411, G104,
  raw_stack!F$2:F$99411, "Iya",
  raw_stack!G$2:G$99411, "&gt;="&amp;DATE(2025,11,1),
  raw_stack!G$2:G$99411, "&lt;="&amp;EOMONTH(DATE(2025,11,1),0)
 ),
 IF(_xlpm.x=0, "-", _xlpm.x)
)</f>
        <v>-</v>
      </c>
      <c r="X104" s="56" t="str">
        <f>_xlfn.LET(
 _xlpm.x,
 _xlfn.MAXIFS(
  raw_stack!H$2:H$100000,
  raw_stack!D$2:D$100000, G104,
  raw_stack!F$2:F$100000, "Iya",
  raw_stack!G$2:G$100000, "&gt;="&amp;DATE(2025,11,1),
  raw_stack!G$2:G$100000, "&lt;="&amp;EOMONTH(DATE(2025,11,1),0)
 ),
 IF(OR(_xlpm.x=0, _xlpm.x=""), "-", _xlpm.x)
)</f>
        <v>-</v>
      </c>
      <c r="Y104" s="55">
        <f>_xlfn.LET(
 _xlpm.x,
 _xlfn.MAXIFS(
  raw_stack!G$2:G$99411,
  raw_stack!D$2:D$99411, G104,
  raw_stack!F$2:F$99411, "Iya",
  raw_stack!G$2:G$99411, "&gt;="&amp;DATE(2025,12,1),
  raw_stack!G$2:G$99411, "&lt;="&amp;EOMONTH(DATE(2025,12,1),0)
 ),
 IF(_xlpm.x=0, "-", _xlpm.x)
)</f>
        <v>46008</v>
      </c>
      <c r="Z104" s="56">
        <f>_xlfn.LET(
 _xlpm.x,
 _xlfn.MAXIFS(
  raw_stack!H$2:H$100000,
  raw_stack!D$2:D$100000, G104,
  raw_stack!F$2:F$100000, "Iya",
  raw_stack!G$2:G$100000, "&gt;="&amp;DATE(2025,12,1),
  raw_stack!G$2:G$100000, "&lt;="&amp;EOMONTH(DATE(2025,12,1),0)
 ),
 IF(OR(_xlpm.x=0, _xlpm.x=""), "-", _xlpm.x)
)</f>
        <v>45382</v>
      </c>
      <c r="AA104" s="55" t="str">
        <f>_xlfn.LET(
 _xlpm.x,
 _xlfn.MAXIFS(
  raw_stack!G$2:G$99411,
  raw_stack!D$2:D$99411, G104,
  raw_stack!F$2:F$99411, "Iya",
  raw_stack!G$2:G$99411, "&gt;="&amp;DATE(2026,1,1),
  raw_stack!G$2:G$99411, "&lt;="&amp;EOMONTH(DATE(2026,1,1),0)
 ),
 IF(_xlpm.x=0, "-", _xlpm.x)
)</f>
        <v>-</v>
      </c>
      <c r="AB104" s="56" t="str">
        <f>_xlfn.LET(
 _xlpm.x,
 _xlfn.MAXIFS(
  raw_stack!H$2:H$100000,
  raw_stack!D$2:D$100000, G104,
  raw_stack!F$2:F$100000, "Iya",
  raw_stack!G$2:G$100000, "&gt;="&amp;DATE(2026,1,1),
  raw_stack!G$2:G$100000, "&lt;="&amp;EOMONTH(DATE(2026,1,1),0)
 ),
 IF(OR(_xlpm.x=0, _xlpm.x=""), "-", _xlpm.x)
)</f>
        <v>-</v>
      </c>
      <c r="AC104" s="55" t="str">
        <f>_xlfn.LET(
 _xlpm.x,
 _xlfn.MAXIFS(
  raw_stack!G$2:G$99411,
  raw_stack!D$2:D$99411, G104,
  raw_stack!F$2:F$99411, "Iya",
  raw_stack!G$2:G$99411, "&gt;="&amp;DATE(2026,2,1),
  raw_stack!G$2:G$99411, "&lt;="&amp;EOMONTH(DATE(2026,2,1),0)
 ),
 IF(_xlpm.x=0, "-", _xlpm.x)
)</f>
        <v>-</v>
      </c>
      <c r="AD104" s="56" t="str">
        <f>_xlfn.LET(
 _xlpm.x,
 _xlfn.MAXIFS(
  raw_stack!H$2:H$100000,
  raw_stack!D$2:D$100000, G104,
  raw_stack!F$2:F$100000, "Iya",
  raw_stack!G$2:G$100000, "&gt;="&amp;DATE(2026,2,1),
  raw_stack!G$2:G$100000, "&lt;="&amp;EOMONTH(DATE(2026,2,1),0)
 ),
 IF(OR(_xlpm.x=0, _xlpm.x=""), "-", _xlpm.x)
)</f>
        <v>-</v>
      </c>
      <c r="AE104" s="55" t="str">
        <f>_xlfn.LET(
 _xlpm.x,
 _xlfn.MAXIFS(
  raw_stack!G$2:G$100000,
  raw_stack!D$2:D$100000, G104,
  raw_stack!F$2:F$100000, "Iya",
  raw_stack!G$2:G$100000, "&gt;="&amp;DATE(2026,3,1),
  raw_stack!G$2:G$100000, "&lt;="&amp;EOMONTH(DATE(2026,3,1),0)
 ),
 IF(_xlpm.x=0, "-", _xlpm.x)
)</f>
        <v>-</v>
      </c>
      <c r="AF104" s="56" t="str">
        <f>_xlfn.LET(
 _xlpm.x,
 _xlfn.MAXIFS(
  raw_stack!H$2:H$100000,
  raw_stack!D$2:D$100000, G104,
  raw_stack!F$2:F$100000, "Iya",
  raw_stack!G$2:G$100000, "&gt;="&amp;DATE(2026,3,1),
  raw_stack!G$2:G$100000, "&lt;="&amp;EOMONTH(DATE(2026,3,1),0)
 ),
 IF(OR(_xlpm.x=0, _xlpm.x=""), "-", _xlpm.x)
)</f>
        <v>-</v>
      </c>
      <c r="AG104" s="55">
        <f>_xlfn.LET(
 _xlpm.x,
 _xlfn.MAXIFS(
  raw_stack!G$2:G$100000,
  raw_stack!D$2:D$100000, G104,
  raw_stack!F$2:F$100000, "Iya",
  raw_stack!G$2:G$100000, "&gt;="&amp;DATE(2026,4,1),
  raw_stack!G$2:G$100000, "&lt;="&amp;EOMONTH(DATE(2026,4,1),0)
 ),
 IF(_xlpm.x=0, "-", _xlpm.x)
)</f>
        <v>46132</v>
      </c>
      <c r="AH104" s="56">
        <f>_xlfn.LET(
 _xlpm.x,
 _xlfn.MAXIFS(
  raw_stack!H$2:H$100000,
  raw_stack!D$2:D$100000, G104,
  raw_stack!F$2:F$100000, "Iya",
  raw_stack!G$2:G$100000, "&gt;="&amp;DATE(2026,4,1),
  raw_stack!G$2:G$100000, "&lt;="&amp;EOMONTH(DATE(2026,4,1),0)
 ),
 IF(OR(_xlpm.x=0, _xlpm.x=""), "-", _xlpm.x)
)</f>
        <v>46488</v>
      </c>
    </row>
    <row r="105" spans="1:34">
      <c r="A105" s="48">
        <v>104</v>
      </c>
      <c r="B105" s="49" t="str">
        <f t="shared" si="1"/>
        <v>18303</v>
      </c>
      <c r="C105" s="50" t="s">
        <v>46</v>
      </c>
      <c r="D105" s="51" t="s">
        <v>553</v>
      </c>
      <c r="E105" s="51" t="s">
        <v>56</v>
      </c>
      <c r="F105" s="49" t="s">
        <v>117</v>
      </c>
      <c r="G105" s="49" t="s">
        <v>221</v>
      </c>
      <c r="H105" s="49" t="s">
        <v>48</v>
      </c>
      <c r="I105" s="49" t="s">
        <v>52</v>
      </c>
      <c r="J105" s="52">
        <v>7310000</v>
      </c>
      <c r="K105" s="53">
        <v>45264</v>
      </c>
      <c r="L105" s="53">
        <v>46359</v>
      </c>
      <c r="M105" s="53">
        <v>46084</v>
      </c>
      <c r="N105" s="49" t="s">
        <v>50</v>
      </c>
      <c r="O105" s="54">
        <f>_xlfn.LET(
 _xlpm.x,
 _xlfn.MAXIFS(
  raw_stack!G$2:G$100000,
  raw_stack!D$2:D$100000, G105,
  raw_stack!F$2:F$100000, "Iya",
  raw_stack!G$2:G$100000, "&gt;="&amp;DATE(2025,7,1),
  raw_stack!G$2:G$100000, "&lt;="&amp;EOMONTH(DATE(2025,7,1),0)
 ),
 IF(_xlpm.x=0, "-", _xlpm.x)
)</f>
        <v>45857</v>
      </c>
      <c r="P105" s="65">
        <f>_xlfn.LET(
 _xlpm.x,
 _xlfn.MAXIFS(
  raw_stack!H$2:H$100000,
  raw_stack!D$2:D$100000, G105,
  raw_stack!F$2:F$100000, "Iya",
  raw_stack!G$2:G$100000, "&gt;="&amp;DATE(2025,7,1),
  raw_stack!G$2:G$100000, "&lt;="&amp;EOMONTH(DATE(2025,7,1),0)
 ),
 IF(OR(_xlpm.x=0, _xlpm.x=""), "-", _xlpm.x)
)</f>
        <v>28689</v>
      </c>
      <c r="Q105" s="54" t="str">
        <f>_xlfn.LET(
 _xlpm.x,
 _xlfn.MAXIFS(
  raw_stack!G$2:G$99411,
  raw_stack!D$2:D$99411, G105,
  raw_stack!F$2:F$99411, "Iya",
  raw_stack!G$2:G$99411, "&gt;="&amp;DATE(2025,8,1),
  raw_stack!G$2:G$99411, "&lt;="&amp;EOMONTH(DATE(2025,8,1),0)
 ),
 IF(_xlpm.x=0, "-", _xlpm.x)
)</f>
        <v>-</v>
      </c>
      <c r="R105" s="65" t="str">
        <f>_xlfn.LET(
 _xlpm.x,
 _xlfn.MAXIFS(
  raw_stack!H$2:H$100000,
  raw_stack!D$2:D$100000, G105,
  raw_stack!F$2:F$100000, "Iya",
  raw_stack!G$2:G$100000, "&gt;="&amp;DATE(2025,8,1),
  raw_stack!G$2:G$100000, "&lt;="&amp;EOMONTH(DATE(2025,8,1),0)
 ),
 IF(OR(_xlpm.x=0, _xlpm.x=""), "-", _xlpm.x)
)</f>
        <v>-</v>
      </c>
      <c r="S105" s="54" t="str">
        <f>_xlfn.LET(
 _xlpm.x,
 _xlfn.MAXIFS(
  raw_stack!G$2:G$99411,
  raw_stack!D$2:D$99411, G105,
  raw_stack!F$2:F$99411, "Iya",
  raw_stack!G$2:G$99411, "&gt;="&amp;DATE(2025,9,1),
  raw_stack!G$2:G$99411, "&lt;="&amp;EOMONTH(DATE(2025,9,1),0)
 ),
 IF(_xlpm.x=0, "-", _xlpm.x)
)</f>
        <v>-</v>
      </c>
      <c r="T105" s="65" t="str">
        <f>_xlfn.LET(
 _xlpm.x,
 _xlfn.MAXIFS(
  raw_stack!H$2:H$100000,
  raw_stack!D$2:D$100000, G105,
  raw_stack!F$2:F$100000, "Iya",
  raw_stack!G$2:G$100000, "&gt;="&amp;DATE(2025,9,1),
  raw_stack!G$2:G$100000, "&lt;="&amp;EOMONTH(DATE(2025,9,1),0)
 ),
 IF(OR(_xlpm.x=0, _xlpm.x=""), "-", _xlpm.x)
)</f>
        <v>-</v>
      </c>
      <c r="U105" s="54" t="str">
        <f>_xlfn.LET(
 _xlpm.x,
 _xlfn.MAXIFS(
  raw_stack!G$2:G$99411,
  raw_stack!D$2:D$99411, G105,
  raw_stack!F$2:F$99411, "Iya",
  raw_stack!G$2:G$99411, "&gt;="&amp;DATE(2025,10,1),
  raw_stack!G$2:G$99411, "&lt;="&amp;EOMONTH(DATE(2025,10,1),0)
 ),
 IF(_xlpm.x=0, "-", _xlpm.x)
)</f>
        <v>-</v>
      </c>
      <c r="V105" s="65" t="str">
        <f>_xlfn.LET(
 _xlpm.x,
 _xlfn.MAXIFS(
  raw_stack!H$2:H$100000,
  raw_stack!D$2:D$100000, G105,
  raw_stack!F$2:F$100000, "Iya",
  raw_stack!G$2:G$100000, "&gt;="&amp;DATE(2025,10,1),
  raw_stack!G$2:G$100000, "&lt;="&amp;EOMONTH(DATE(2025,10,1),0)
 ),
 IF(OR(_xlpm.x=0, _xlpm.x=""), "-", _xlpm.x)
)</f>
        <v>-</v>
      </c>
      <c r="W105" s="55" t="str">
        <f>_xlfn.LET(
 _xlpm.x,
 _xlfn.MAXIFS(
  raw_stack!G$2:G$99411,
  raw_stack!D$2:D$99411, G105,
  raw_stack!F$2:F$99411, "Iya",
  raw_stack!G$2:G$99411, "&gt;="&amp;DATE(2025,11,1),
  raw_stack!G$2:G$99411, "&lt;="&amp;EOMONTH(DATE(2025,11,1),0)
 ),
 IF(_xlpm.x=0, "-", _xlpm.x)
)</f>
        <v>-</v>
      </c>
      <c r="X105" s="56" t="str">
        <f>_xlfn.LET(
 _xlpm.x,
 _xlfn.MAXIFS(
  raw_stack!H$2:H$100000,
  raw_stack!D$2:D$100000, G105,
  raw_stack!F$2:F$100000, "Iya",
  raw_stack!G$2:G$100000, "&gt;="&amp;DATE(2025,11,1),
  raw_stack!G$2:G$100000, "&lt;="&amp;EOMONTH(DATE(2025,11,1),0)
 ),
 IF(OR(_xlpm.x=0, _xlpm.x=""), "-", _xlpm.x)
)</f>
        <v>-</v>
      </c>
      <c r="Y105" s="55" t="str">
        <f>_xlfn.LET(
 _xlpm.x,
 _xlfn.MAXIFS(
  raw_stack!G$2:G$99411,
  raw_stack!D$2:D$99411, G105,
  raw_stack!F$2:F$99411, "Iya",
  raw_stack!G$2:G$99411, "&gt;="&amp;DATE(2025,12,1),
  raw_stack!G$2:G$99411, "&lt;="&amp;EOMONTH(DATE(2025,12,1),0)
 ),
 IF(_xlpm.x=0, "-", _xlpm.x)
)</f>
        <v>-</v>
      </c>
      <c r="Z105" s="56" t="str">
        <f>_xlfn.LET(
 _xlpm.x,
 _xlfn.MAXIFS(
  raw_stack!H$2:H$100000,
  raw_stack!D$2:D$100000, G105,
  raw_stack!F$2:F$100000, "Iya",
  raw_stack!G$2:G$100000, "&gt;="&amp;DATE(2025,12,1),
  raw_stack!G$2:G$100000, "&lt;="&amp;EOMONTH(DATE(2025,12,1),0)
 ),
 IF(OR(_xlpm.x=0, _xlpm.x=""), "-", _xlpm.x)
)</f>
        <v>-</v>
      </c>
      <c r="AA105" s="55" t="str">
        <f>_xlfn.LET(
 _xlpm.x,
 _xlfn.MAXIFS(
  raw_stack!G$2:G$99411,
  raw_stack!D$2:D$99411, G105,
  raw_stack!F$2:F$99411, "Iya",
  raw_stack!G$2:G$99411, "&gt;="&amp;DATE(2026,1,1),
  raw_stack!G$2:G$99411, "&lt;="&amp;EOMONTH(DATE(2026,1,1),0)
 ),
 IF(_xlpm.x=0, "-", _xlpm.x)
)</f>
        <v>-</v>
      </c>
      <c r="AB105" s="56" t="str">
        <f>_xlfn.LET(
 _xlpm.x,
 _xlfn.MAXIFS(
  raw_stack!H$2:H$100000,
  raw_stack!D$2:D$100000, G105,
  raw_stack!F$2:F$100000, "Iya",
  raw_stack!G$2:G$100000, "&gt;="&amp;DATE(2026,1,1),
  raw_stack!G$2:G$100000, "&lt;="&amp;EOMONTH(DATE(2026,1,1),0)
 ),
 IF(OR(_xlpm.x=0, _xlpm.x=""), "-", _xlpm.x)
)</f>
        <v>-</v>
      </c>
      <c r="AC105" s="55" t="str">
        <f>_xlfn.LET(
 _xlpm.x,
 _xlfn.MAXIFS(
  raw_stack!G$2:G$99411,
  raw_stack!D$2:D$99411, G105,
  raw_stack!F$2:F$99411, "Iya",
  raw_stack!G$2:G$99411, "&gt;="&amp;DATE(2026,2,1),
  raw_stack!G$2:G$99411, "&lt;="&amp;EOMONTH(DATE(2026,2,1),0)
 ),
 IF(_xlpm.x=0, "-", _xlpm.x)
)</f>
        <v>-</v>
      </c>
      <c r="AD105" s="56" t="str">
        <f>_xlfn.LET(
 _xlpm.x,
 _xlfn.MAXIFS(
  raw_stack!H$2:H$100000,
  raw_stack!D$2:D$100000, G105,
  raw_stack!F$2:F$100000, "Iya",
  raw_stack!G$2:G$100000, "&gt;="&amp;DATE(2026,2,1),
  raw_stack!G$2:G$100000, "&lt;="&amp;EOMONTH(DATE(2026,2,1),0)
 ),
 IF(OR(_xlpm.x=0, _xlpm.x=""), "-", _xlpm.x)
)</f>
        <v>-</v>
      </c>
      <c r="AE105" s="55" t="str">
        <f>_xlfn.LET(
 _xlpm.x,
 _xlfn.MAXIFS(
  raw_stack!G$2:G$100000,
  raw_stack!D$2:D$100000, G105,
  raw_stack!F$2:F$100000, "Iya",
  raw_stack!G$2:G$100000, "&gt;="&amp;DATE(2026,3,1),
  raw_stack!G$2:G$100000, "&lt;="&amp;EOMONTH(DATE(2026,3,1),0)
 ),
 IF(_xlpm.x=0, "-", _xlpm.x)
)</f>
        <v>-</v>
      </c>
      <c r="AF105" s="56" t="str">
        <f>_xlfn.LET(
 _xlpm.x,
 _xlfn.MAXIFS(
  raw_stack!H$2:H$100000,
  raw_stack!D$2:D$100000, G105,
  raw_stack!F$2:F$100000, "Iya",
  raw_stack!G$2:G$100000, "&gt;="&amp;DATE(2026,3,1),
  raw_stack!G$2:G$100000, "&lt;="&amp;EOMONTH(DATE(2026,3,1),0)
 ),
 IF(OR(_xlpm.x=0, _xlpm.x=""), "-", _xlpm.x)
)</f>
        <v>-</v>
      </c>
      <c r="AG105" s="55" t="str">
        <f>_xlfn.LET(
 _xlpm.x,
 _xlfn.MAXIFS(
  raw_stack!G$2:G$100000,
  raw_stack!D$2:D$100000, G105,
  raw_stack!F$2:F$100000, "Iya",
  raw_stack!G$2:G$100000, "&gt;="&amp;DATE(2026,4,1),
  raw_stack!G$2:G$100000, "&lt;="&amp;EOMONTH(DATE(2026,4,1),0)
 ),
 IF(_xlpm.x=0, "-", _xlpm.x)
)</f>
        <v>-</v>
      </c>
      <c r="AH105" s="56" t="str">
        <f>_xlfn.LET(
 _xlpm.x,
 _xlfn.MAXIFS(
  raw_stack!H$2:H$100000,
  raw_stack!D$2:D$100000, G105,
  raw_stack!F$2:F$100000, "Iya",
  raw_stack!G$2:G$100000, "&gt;="&amp;DATE(2026,4,1),
  raw_stack!G$2:G$100000, "&lt;="&amp;EOMONTH(DATE(2026,4,1),0)
 ),
 IF(OR(_xlpm.x=0, _xlpm.x=""), "-", _xlpm.x)
)</f>
        <v>-</v>
      </c>
    </row>
    <row r="106" spans="1:34">
      <c r="A106" s="48">
        <v>105</v>
      </c>
      <c r="B106" s="49" t="str">
        <f t="shared" si="1"/>
        <v>98608</v>
      </c>
      <c r="C106" s="50" t="s">
        <v>46</v>
      </c>
      <c r="D106" s="51" t="s">
        <v>519</v>
      </c>
      <c r="E106" s="51" t="s">
        <v>47</v>
      </c>
      <c r="F106" s="49" t="s">
        <v>117</v>
      </c>
      <c r="G106" s="49" t="s">
        <v>222</v>
      </c>
      <c r="H106" s="49" t="s">
        <v>48</v>
      </c>
      <c r="I106" s="49" t="s">
        <v>49</v>
      </c>
      <c r="J106" s="52">
        <v>4600000</v>
      </c>
      <c r="K106" s="53">
        <v>45267</v>
      </c>
      <c r="L106" s="53">
        <v>46362</v>
      </c>
      <c r="M106" s="53">
        <v>46087</v>
      </c>
      <c r="N106" s="49" t="s">
        <v>50</v>
      </c>
      <c r="O106" s="54" t="str">
        <f>_xlfn.LET(
 _xlpm.x,
 _xlfn.MAXIFS(
  raw_stack!G$2:G$100000,
  raw_stack!D$2:D$100000, G106,
  raw_stack!F$2:F$100000, "Iya",
  raw_stack!G$2:G$100000, "&gt;="&amp;DATE(2025,7,1),
  raw_stack!G$2:G$100000, "&lt;="&amp;EOMONTH(DATE(2025,7,1),0)
 ),
 IF(_xlpm.x=0, "-", _xlpm.x)
)</f>
        <v>-</v>
      </c>
      <c r="P106" s="65" t="str">
        <f>_xlfn.LET(
 _xlpm.x,
 _xlfn.MAXIFS(
  raw_stack!H$2:H$100000,
  raw_stack!D$2:D$100000, G106,
  raw_stack!F$2:F$100000, "Iya",
  raw_stack!G$2:G$100000, "&gt;="&amp;DATE(2025,7,1),
  raw_stack!G$2:G$100000, "&lt;="&amp;EOMONTH(DATE(2025,7,1),0)
 ),
 IF(OR(_xlpm.x=0, _xlpm.x=""), "-", _xlpm.x)
)</f>
        <v>-</v>
      </c>
      <c r="Q106" s="54" t="str">
        <f>_xlfn.LET(
 _xlpm.x,
 _xlfn.MAXIFS(
  raw_stack!G$2:G$99411,
  raw_stack!D$2:D$99411, G106,
  raw_stack!F$2:F$99411, "Iya",
  raw_stack!G$2:G$99411, "&gt;="&amp;DATE(2025,8,1),
  raw_stack!G$2:G$99411, "&lt;="&amp;EOMONTH(DATE(2025,8,1),0)
 ),
 IF(_xlpm.x=0, "-", _xlpm.x)
)</f>
        <v>-</v>
      </c>
      <c r="R106" s="65" t="str">
        <f>_xlfn.LET(
 _xlpm.x,
 _xlfn.MAXIFS(
  raw_stack!H$2:H$100000,
  raw_stack!D$2:D$100000, G106,
  raw_stack!F$2:F$100000, "Iya",
  raw_stack!G$2:G$100000, "&gt;="&amp;DATE(2025,8,1),
  raw_stack!G$2:G$100000, "&lt;="&amp;EOMONTH(DATE(2025,8,1),0)
 ),
 IF(OR(_xlpm.x=0, _xlpm.x=""), "-", _xlpm.x)
)</f>
        <v>-</v>
      </c>
      <c r="S106" s="54" t="str">
        <f>_xlfn.LET(
 _xlpm.x,
 _xlfn.MAXIFS(
  raw_stack!G$2:G$99411,
  raw_stack!D$2:D$99411, G106,
  raw_stack!F$2:F$99411, "Iya",
  raw_stack!G$2:G$99411, "&gt;="&amp;DATE(2025,9,1),
  raw_stack!G$2:G$99411, "&lt;="&amp;EOMONTH(DATE(2025,9,1),0)
 ),
 IF(_xlpm.x=0, "-", _xlpm.x)
)</f>
        <v>-</v>
      </c>
      <c r="T106" s="65" t="str">
        <f>_xlfn.LET(
 _xlpm.x,
 _xlfn.MAXIFS(
  raw_stack!H$2:H$100000,
  raw_stack!D$2:D$100000, G106,
  raw_stack!F$2:F$100000, "Iya",
  raw_stack!G$2:G$100000, "&gt;="&amp;DATE(2025,9,1),
  raw_stack!G$2:G$100000, "&lt;="&amp;EOMONTH(DATE(2025,9,1),0)
 ),
 IF(OR(_xlpm.x=0, _xlpm.x=""), "-", _xlpm.x)
)</f>
        <v>-</v>
      </c>
      <c r="U106" s="54" t="str">
        <f>_xlfn.LET(
 _xlpm.x,
 _xlfn.MAXIFS(
  raw_stack!G$2:G$99411,
  raw_stack!D$2:D$99411, G106,
  raw_stack!F$2:F$99411, "Iya",
  raw_stack!G$2:G$99411, "&gt;="&amp;DATE(2025,10,1),
  raw_stack!G$2:G$99411, "&lt;="&amp;EOMONTH(DATE(2025,10,1),0)
 ),
 IF(_xlpm.x=0, "-", _xlpm.x)
)</f>
        <v>-</v>
      </c>
      <c r="V106" s="65" t="str">
        <f>_xlfn.LET(
 _xlpm.x,
 _xlfn.MAXIFS(
  raw_stack!H$2:H$100000,
  raw_stack!D$2:D$100000, G106,
  raw_stack!F$2:F$100000, "Iya",
  raw_stack!G$2:G$100000, "&gt;="&amp;DATE(2025,10,1),
  raw_stack!G$2:G$100000, "&lt;="&amp;EOMONTH(DATE(2025,10,1),0)
 ),
 IF(OR(_xlpm.x=0, _xlpm.x=""), "-", _xlpm.x)
)</f>
        <v>-</v>
      </c>
      <c r="W106" s="55">
        <f>_xlfn.LET(
 _xlpm.x,
 _xlfn.MAXIFS(
  raw_stack!G$2:G$99411,
  raw_stack!D$2:D$99411, G106,
  raw_stack!F$2:F$99411, "Iya",
  raw_stack!G$2:G$99411, "&gt;="&amp;DATE(2025,11,1),
  raw_stack!G$2:G$99411, "&lt;="&amp;EOMONTH(DATE(2025,11,1),0)
 ),
 IF(_xlpm.x=0, "-", _xlpm.x)
)</f>
        <v>45982</v>
      </c>
      <c r="X106" s="56">
        <f>_xlfn.LET(
 _xlpm.x,
 _xlfn.MAXIFS(
  raw_stack!H$2:H$100000,
  raw_stack!D$2:D$100000, G106,
  raw_stack!F$2:F$100000, "Iya",
  raw_stack!G$2:G$100000, "&gt;="&amp;DATE(2025,11,1),
  raw_stack!G$2:G$100000, "&lt;="&amp;EOMONTH(DATE(2025,11,1),0)
 ),
 IF(OR(_xlpm.x=0, _xlpm.x=""), "-", _xlpm.x)
)</f>
        <v>30839</v>
      </c>
      <c r="Y106" s="55" t="str">
        <f>_xlfn.LET(
 _xlpm.x,
 _xlfn.MAXIFS(
  raw_stack!G$2:G$99411,
  raw_stack!D$2:D$99411, G106,
  raw_stack!F$2:F$99411, "Iya",
  raw_stack!G$2:G$99411, "&gt;="&amp;DATE(2025,12,1),
  raw_stack!G$2:G$99411, "&lt;="&amp;EOMONTH(DATE(2025,12,1),0)
 ),
 IF(_xlpm.x=0, "-", _xlpm.x)
)</f>
        <v>-</v>
      </c>
      <c r="Z106" s="56" t="str">
        <f>_xlfn.LET(
 _xlpm.x,
 _xlfn.MAXIFS(
  raw_stack!H$2:H$100000,
  raw_stack!D$2:D$100000, G106,
  raw_stack!F$2:F$100000, "Iya",
  raw_stack!G$2:G$100000, "&gt;="&amp;DATE(2025,12,1),
  raw_stack!G$2:G$100000, "&lt;="&amp;EOMONTH(DATE(2025,12,1),0)
 ),
 IF(OR(_xlpm.x=0, _xlpm.x=""), "-", _xlpm.x)
)</f>
        <v>-</v>
      </c>
      <c r="AA106" s="55" t="str">
        <f>_xlfn.LET(
 _xlpm.x,
 _xlfn.MAXIFS(
  raw_stack!G$2:G$99411,
  raw_stack!D$2:D$99411, G106,
  raw_stack!F$2:F$99411, "Iya",
  raw_stack!G$2:G$99411, "&gt;="&amp;DATE(2026,1,1),
  raw_stack!G$2:G$99411, "&lt;="&amp;EOMONTH(DATE(2026,1,1),0)
 ),
 IF(_xlpm.x=0, "-", _xlpm.x)
)</f>
        <v>-</v>
      </c>
      <c r="AB106" s="56" t="str">
        <f>_xlfn.LET(
 _xlpm.x,
 _xlfn.MAXIFS(
  raw_stack!H$2:H$100000,
  raw_stack!D$2:D$100000, G106,
  raw_stack!F$2:F$100000, "Iya",
  raw_stack!G$2:G$100000, "&gt;="&amp;DATE(2026,1,1),
  raw_stack!G$2:G$100000, "&lt;="&amp;EOMONTH(DATE(2026,1,1),0)
 ),
 IF(OR(_xlpm.x=0, _xlpm.x=""), "-", _xlpm.x)
)</f>
        <v>-</v>
      </c>
      <c r="AC106" s="55" t="str">
        <f>_xlfn.LET(
 _xlpm.x,
 _xlfn.MAXIFS(
  raw_stack!G$2:G$99411,
  raw_stack!D$2:D$99411, G106,
  raw_stack!F$2:F$99411, "Iya",
  raw_stack!G$2:G$99411, "&gt;="&amp;DATE(2026,2,1),
  raw_stack!G$2:G$99411, "&lt;="&amp;EOMONTH(DATE(2026,2,1),0)
 ),
 IF(_xlpm.x=0, "-", _xlpm.x)
)</f>
        <v>-</v>
      </c>
      <c r="AD106" s="56" t="str">
        <f>_xlfn.LET(
 _xlpm.x,
 _xlfn.MAXIFS(
  raw_stack!H$2:H$100000,
  raw_stack!D$2:D$100000, G106,
  raw_stack!F$2:F$100000, "Iya",
  raw_stack!G$2:G$100000, "&gt;="&amp;DATE(2026,2,1),
  raw_stack!G$2:G$100000, "&lt;="&amp;EOMONTH(DATE(2026,2,1),0)
 ),
 IF(OR(_xlpm.x=0, _xlpm.x=""), "-", _xlpm.x)
)</f>
        <v>-</v>
      </c>
      <c r="AE106" s="55" t="str">
        <f>_xlfn.LET(
 _xlpm.x,
 _xlfn.MAXIFS(
  raw_stack!G$2:G$100000,
  raw_stack!D$2:D$100000, G106,
  raw_stack!F$2:F$100000, "Iya",
  raw_stack!G$2:G$100000, "&gt;="&amp;DATE(2026,3,1),
  raw_stack!G$2:G$100000, "&lt;="&amp;EOMONTH(DATE(2026,3,1),0)
 ),
 IF(_xlpm.x=0, "-", _xlpm.x)
)</f>
        <v>-</v>
      </c>
      <c r="AF106" s="56" t="str">
        <f>_xlfn.LET(
 _xlpm.x,
 _xlfn.MAXIFS(
  raw_stack!H$2:H$100000,
  raw_stack!D$2:D$100000, G106,
  raw_stack!F$2:F$100000, "Iya",
  raw_stack!G$2:G$100000, "&gt;="&amp;DATE(2026,3,1),
  raw_stack!G$2:G$100000, "&lt;="&amp;EOMONTH(DATE(2026,3,1),0)
 ),
 IF(OR(_xlpm.x=0, _xlpm.x=""), "-", _xlpm.x)
)</f>
        <v>-</v>
      </c>
      <c r="AG106" s="55" t="str">
        <f>_xlfn.LET(
 _xlpm.x,
 _xlfn.MAXIFS(
  raw_stack!G$2:G$100000,
  raw_stack!D$2:D$100000, G106,
  raw_stack!F$2:F$100000, "Iya",
  raw_stack!G$2:G$100000, "&gt;="&amp;DATE(2026,4,1),
  raw_stack!G$2:G$100000, "&lt;="&amp;EOMONTH(DATE(2026,4,1),0)
 ),
 IF(_xlpm.x=0, "-", _xlpm.x)
)</f>
        <v>-</v>
      </c>
      <c r="AH106" s="56" t="str">
        <f>_xlfn.LET(
 _xlpm.x,
 _xlfn.MAXIFS(
  raw_stack!H$2:H$100000,
  raw_stack!D$2:D$100000, G106,
  raw_stack!F$2:F$100000, "Iya",
  raw_stack!G$2:G$100000, "&gt;="&amp;DATE(2026,4,1),
  raw_stack!G$2:G$100000, "&lt;="&amp;EOMONTH(DATE(2026,4,1),0)
 ),
 IF(OR(_xlpm.x=0, _xlpm.x=""), "-", _xlpm.x)
)</f>
        <v>-</v>
      </c>
    </row>
    <row r="107" spans="1:34">
      <c r="A107" s="48">
        <v>106</v>
      </c>
      <c r="B107" s="49" t="str">
        <f t="shared" si="1"/>
        <v>14214</v>
      </c>
      <c r="C107" s="50" t="s">
        <v>46</v>
      </c>
      <c r="D107" s="51" t="s">
        <v>492</v>
      </c>
      <c r="E107" s="51" t="s">
        <v>47</v>
      </c>
      <c r="F107" s="49" t="s">
        <v>117</v>
      </c>
      <c r="G107" s="49" t="s">
        <v>223</v>
      </c>
      <c r="H107" s="49" t="s">
        <v>48</v>
      </c>
      <c r="I107" s="49" t="s">
        <v>49</v>
      </c>
      <c r="J107" s="52">
        <v>3900000</v>
      </c>
      <c r="K107" s="53">
        <v>46002</v>
      </c>
      <c r="L107" s="53">
        <v>46366</v>
      </c>
      <c r="M107" s="53">
        <v>46063</v>
      </c>
      <c r="N107" s="49" t="s">
        <v>50</v>
      </c>
      <c r="O107" s="54" t="str">
        <f>_xlfn.LET(
 _xlpm.x,
 _xlfn.MAXIFS(
  raw_stack!G$2:G$100000,
  raw_stack!D$2:D$100000, G107,
  raw_stack!F$2:F$100000, "Iya",
  raw_stack!G$2:G$100000, "&gt;="&amp;DATE(2025,7,1),
  raw_stack!G$2:G$100000, "&lt;="&amp;EOMONTH(DATE(2025,7,1),0)
 ),
 IF(_xlpm.x=0, "-", _xlpm.x)
)</f>
        <v>-</v>
      </c>
      <c r="P107" s="65" t="str">
        <f>_xlfn.LET(
 _xlpm.x,
 _xlfn.MAXIFS(
  raw_stack!H$2:H$100000,
  raw_stack!D$2:D$100000, G107,
  raw_stack!F$2:F$100000, "Iya",
  raw_stack!G$2:G$100000, "&gt;="&amp;DATE(2025,7,1),
  raw_stack!G$2:G$100000, "&lt;="&amp;EOMONTH(DATE(2025,7,1),0)
 ),
 IF(OR(_xlpm.x=0, _xlpm.x=""), "-", _xlpm.x)
)</f>
        <v>-</v>
      </c>
      <c r="Q107" s="54">
        <f>_xlfn.LET(
 _xlpm.x,
 _xlfn.MAXIFS(
  raw_stack!G$2:G$99411,
  raw_stack!D$2:D$99411, G107,
  raw_stack!F$2:F$99411, "Iya",
  raw_stack!G$2:G$99411, "&gt;="&amp;DATE(2025,8,1),
  raw_stack!G$2:G$99411, "&lt;="&amp;EOMONTH(DATE(2025,8,1),0)
 ),
 IF(_xlpm.x=0, "-", _xlpm.x)
)</f>
        <v>45876</v>
      </c>
      <c r="R107" s="65">
        <f>_xlfn.LET(
 _xlpm.x,
 _xlfn.MAXIFS(
  raw_stack!H$2:H$100000,
  raw_stack!D$2:D$100000, G107,
  raw_stack!F$2:F$100000, "Iya",
  raw_stack!G$2:G$100000, "&gt;="&amp;DATE(2025,8,1),
  raw_stack!G$2:G$100000, "&lt;="&amp;EOMONTH(DATE(2025,8,1),0)
 ),
 IF(OR(_xlpm.x=0, _xlpm.x=""), "-", _xlpm.x)
)</f>
        <v>99881</v>
      </c>
      <c r="S107" s="54" t="str">
        <f>_xlfn.LET(
 _xlpm.x,
 _xlfn.MAXIFS(
  raw_stack!G$2:G$99411,
  raw_stack!D$2:D$99411, G107,
  raw_stack!F$2:F$99411, "Iya",
  raw_stack!G$2:G$99411, "&gt;="&amp;DATE(2025,9,1),
  raw_stack!G$2:G$99411, "&lt;="&amp;EOMONTH(DATE(2025,9,1),0)
 ),
 IF(_xlpm.x=0, "-", _xlpm.x)
)</f>
        <v>-</v>
      </c>
      <c r="T107" s="65" t="str">
        <f>_xlfn.LET(
 _xlpm.x,
 _xlfn.MAXIFS(
  raw_stack!H$2:H$100000,
  raw_stack!D$2:D$100000, G107,
  raw_stack!F$2:F$100000, "Iya",
  raw_stack!G$2:G$100000, "&gt;="&amp;DATE(2025,9,1),
  raw_stack!G$2:G$100000, "&lt;="&amp;EOMONTH(DATE(2025,9,1),0)
 ),
 IF(OR(_xlpm.x=0, _xlpm.x=""), "-", _xlpm.x)
)</f>
        <v>-</v>
      </c>
      <c r="U107" s="54">
        <f>_xlfn.LET(
 _xlpm.x,
 _xlfn.MAXIFS(
  raw_stack!G$2:G$99411,
  raw_stack!D$2:D$99411, G107,
  raw_stack!F$2:F$99411, "Iya",
  raw_stack!G$2:G$99411, "&gt;="&amp;DATE(2025,10,1),
  raw_stack!G$2:G$99411, "&lt;="&amp;EOMONTH(DATE(2025,10,1),0)
 ),
 IF(_xlpm.x=0, "-", _xlpm.x)
)</f>
        <v>45944</v>
      </c>
      <c r="V107" s="65">
        <f>_xlfn.LET(
 _xlpm.x,
 _xlfn.MAXIFS(
  raw_stack!H$2:H$100000,
  raw_stack!D$2:D$100000, G107,
  raw_stack!F$2:F$100000, "Iya",
  raw_stack!G$2:G$100000, "&gt;="&amp;DATE(2025,10,1),
  raw_stack!G$2:G$100000, "&lt;="&amp;EOMONTH(DATE(2025,10,1),0)
 ),
 IF(OR(_xlpm.x=0, _xlpm.x=""), "-", _xlpm.x)
)</f>
        <v>103206</v>
      </c>
      <c r="W107" s="55" t="str">
        <f>_xlfn.LET(
 _xlpm.x,
 _xlfn.MAXIFS(
  raw_stack!G$2:G$99411,
  raw_stack!D$2:D$99411, G107,
  raw_stack!F$2:F$99411, "Iya",
  raw_stack!G$2:G$99411, "&gt;="&amp;DATE(2025,11,1),
  raw_stack!G$2:G$99411, "&lt;="&amp;EOMONTH(DATE(2025,11,1),0)
 ),
 IF(_xlpm.x=0, "-", _xlpm.x)
)</f>
        <v>-</v>
      </c>
      <c r="X107" s="56" t="str">
        <f>_xlfn.LET(
 _xlpm.x,
 _xlfn.MAXIFS(
  raw_stack!H$2:H$100000,
  raw_stack!D$2:D$100000, G107,
  raw_stack!F$2:F$100000, "Iya",
  raw_stack!G$2:G$100000, "&gt;="&amp;DATE(2025,11,1),
  raw_stack!G$2:G$100000, "&lt;="&amp;EOMONTH(DATE(2025,11,1),0)
 ),
 IF(OR(_xlpm.x=0, _xlpm.x=""), "-", _xlpm.x)
)</f>
        <v>-</v>
      </c>
      <c r="Y107" s="55" t="str">
        <f>_xlfn.LET(
 _xlpm.x,
 _xlfn.MAXIFS(
  raw_stack!G$2:G$99411,
  raw_stack!D$2:D$99411, G107,
  raw_stack!F$2:F$99411, "Iya",
  raw_stack!G$2:G$99411, "&gt;="&amp;DATE(2025,12,1),
  raw_stack!G$2:G$99411, "&lt;="&amp;EOMONTH(DATE(2025,12,1),0)
 ),
 IF(_xlpm.x=0, "-", _xlpm.x)
)</f>
        <v>-</v>
      </c>
      <c r="Z107" s="56" t="str">
        <f>_xlfn.LET(
 _xlpm.x,
 _xlfn.MAXIFS(
  raw_stack!H$2:H$100000,
  raw_stack!D$2:D$100000, G107,
  raw_stack!F$2:F$100000, "Iya",
  raw_stack!G$2:G$100000, "&gt;="&amp;DATE(2025,12,1),
  raw_stack!G$2:G$100000, "&lt;="&amp;EOMONTH(DATE(2025,12,1),0)
 ),
 IF(OR(_xlpm.x=0, _xlpm.x=""), "-", _xlpm.x)
)</f>
        <v>-</v>
      </c>
      <c r="AA107" s="55" t="str">
        <f>_xlfn.LET(
 _xlpm.x,
 _xlfn.MAXIFS(
  raw_stack!G$2:G$99411,
  raw_stack!D$2:D$99411, G107,
  raw_stack!F$2:F$99411, "Iya",
  raw_stack!G$2:G$99411, "&gt;="&amp;DATE(2026,1,1),
  raw_stack!G$2:G$99411, "&lt;="&amp;EOMONTH(DATE(2026,1,1),0)
 ),
 IF(_xlpm.x=0, "-", _xlpm.x)
)</f>
        <v>-</v>
      </c>
      <c r="AB107" s="56" t="str">
        <f>_xlfn.LET(
 _xlpm.x,
 _xlfn.MAXIFS(
  raw_stack!H$2:H$100000,
  raw_stack!D$2:D$100000, G107,
  raw_stack!F$2:F$100000, "Iya",
  raw_stack!G$2:G$100000, "&gt;="&amp;DATE(2026,1,1),
  raw_stack!G$2:G$100000, "&lt;="&amp;EOMONTH(DATE(2026,1,1),0)
 ),
 IF(OR(_xlpm.x=0, _xlpm.x=""), "-", _xlpm.x)
)</f>
        <v>-</v>
      </c>
      <c r="AC107" s="55" t="str">
        <f>_xlfn.LET(
 _xlpm.x,
 _xlfn.MAXIFS(
  raw_stack!G$2:G$99411,
  raw_stack!D$2:D$99411, G107,
  raw_stack!F$2:F$99411, "Iya",
  raw_stack!G$2:G$99411, "&gt;="&amp;DATE(2026,2,1),
  raw_stack!G$2:G$99411, "&lt;="&amp;EOMONTH(DATE(2026,2,1),0)
 ),
 IF(_xlpm.x=0, "-", _xlpm.x)
)</f>
        <v>-</v>
      </c>
      <c r="AD107" s="56" t="str">
        <f>_xlfn.LET(
 _xlpm.x,
 _xlfn.MAXIFS(
  raw_stack!H$2:H$100000,
  raw_stack!D$2:D$100000, G107,
  raw_stack!F$2:F$100000, "Iya",
  raw_stack!G$2:G$100000, "&gt;="&amp;DATE(2026,2,1),
  raw_stack!G$2:G$100000, "&lt;="&amp;EOMONTH(DATE(2026,2,1),0)
 ),
 IF(OR(_xlpm.x=0, _xlpm.x=""), "-", _xlpm.x)
)</f>
        <v>-</v>
      </c>
      <c r="AE107" s="55" t="str">
        <f>_xlfn.LET(
 _xlpm.x,
 _xlfn.MAXIFS(
  raw_stack!G$2:G$100000,
  raw_stack!D$2:D$100000, G107,
  raw_stack!F$2:F$100000, "Iya",
  raw_stack!G$2:G$100000, "&gt;="&amp;DATE(2026,3,1),
  raw_stack!G$2:G$100000, "&lt;="&amp;EOMONTH(DATE(2026,3,1),0)
 ),
 IF(_xlpm.x=0, "-", _xlpm.x)
)</f>
        <v>-</v>
      </c>
      <c r="AF107" s="56" t="str">
        <f>_xlfn.LET(
 _xlpm.x,
 _xlfn.MAXIFS(
  raw_stack!H$2:H$100000,
  raw_stack!D$2:D$100000, G107,
  raw_stack!F$2:F$100000, "Iya",
  raw_stack!G$2:G$100000, "&gt;="&amp;DATE(2026,3,1),
  raw_stack!G$2:G$100000, "&lt;="&amp;EOMONTH(DATE(2026,3,1),0)
 ),
 IF(OR(_xlpm.x=0, _xlpm.x=""), "-", _xlpm.x)
)</f>
        <v>-</v>
      </c>
      <c r="AG107" s="55" t="str">
        <f>_xlfn.LET(
 _xlpm.x,
 _xlfn.MAXIFS(
  raw_stack!G$2:G$100000,
  raw_stack!D$2:D$100000, G107,
  raw_stack!F$2:F$100000, "Iya",
  raw_stack!G$2:G$100000, "&gt;="&amp;DATE(2026,4,1),
  raw_stack!G$2:G$100000, "&lt;="&amp;EOMONTH(DATE(2026,4,1),0)
 ),
 IF(_xlpm.x=0, "-", _xlpm.x)
)</f>
        <v>-</v>
      </c>
      <c r="AH107" s="56" t="str">
        <f>_xlfn.LET(
 _xlpm.x,
 _xlfn.MAXIFS(
  raw_stack!H$2:H$100000,
  raw_stack!D$2:D$100000, G107,
  raw_stack!F$2:F$100000, "Iya",
  raw_stack!G$2:G$100000, "&gt;="&amp;DATE(2026,4,1),
  raw_stack!G$2:G$100000, "&lt;="&amp;EOMONTH(DATE(2026,4,1),0)
 ),
 IF(OR(_xlpm.x=0, _xlpm.x=""), "-", _xlpm.x)
)</f>
        <v>-</v>
      </c>
    </row>
    <row r="108" spans="1:34">
      <c r="A108" s="48">
        <v>107</v>
      </c>
      <c r="B108" s="49" t="str">
        <f t="shared" si="1"/>
        <v>37568</v>
      </c>
      <c r="C108" s="50" t="s">
        <v>46</v>
      </c>
      <c r="D108" s="51" t="s">
        <v>555</v>
      </c>
      <c r="E108" s="51" t="s">
        <v>47</v>
      </c>
      <c r="F108" s="49" t="s">
        <v>117</v>
      </c>
      <c r="G108" s="49" t="s">
        <v>224</v>
      </c>
      <c r="H108" s="49" t="s">
        <v>48</v>
      </c>
      <c r="I108" s="49" t="s">
        <v>49</v>
      </c>
      <c r="J108" s="52">
        <v>3875000</v>
      </c>
      <c r="K108" s="53">
        <v>46005</v>
      </c>
      <c r="L108" s="53">
        <v>46369</v>
      </c>
      <c r="M108" s="53">
        <v>46066</v>
      </c>
      <c r="N108" s="49" t="s">
        <v>50</v>
      </c>
      <c r="O108" s="54" t="str">
        <f>_xlfn.LET(
 _xlpm.x,
 _xlfn.MAXIFS(
  raw_stack!G$2:G$100000,
  raw_stack!D$2:D$100000, G108,
  raw_stack!F$2:F$100000, "Iya",
  raw_stack!G$2:G$100000, "&gt;="&amp;DATE(2025,7,1),
  raw_stack!G$2:G$100000, "&lt;="&amp;EOMONTH(DATE(2025,7,1),0)
 ),
 IF(_xlpm.x=0, "-", _xlpm.x)
)</f>
        <v>-</v>
      </c>
      <c r="P108" s="65" t="str">
        <f>_xlfn.LET(
 _xlpm.x,
 _xlfn.MAXIFS(
  raw_stack!H$2:H$100000,
  raw_stack!D$2:D$100000, G108,
  raw_stack!F$2:F$100000, "Iya",
  raw_stack!G$2:G$100000, "&gt;="&amp;DATE(2025,7,1),
  raw_stack!G$2:G$100000, "&lt;="&amp;EOMONTH(DATE(2025,7,1),0)
 ),
 IF(OR(_xlpm.x=0, _xlpm.x=""), "-", _xlpm.x)
)</f>
        <v>-</v>
      </c>
      <c r="Q108" s="54" t="str">
        <f>_xlfn.LET(
 _xlpm.x,
 _xlfn.MAXIFS(
  raw_stack!G$2:G$99411,
  raw_stack!D$2:D$99411, G108,
  raw_stack!F$2:F$99411, "Iya",
  raw_stack!G$2:G$99411, "&gt;="&amp;DATE(2025,8,1),
  raw_stack!G$2:G$99411, "&lt;="&amp;EOMONTH(DATE(2025,8,1),0)
 ),
 IF(_xlpm.x=0, "-", _xlpm.x)
)</f>
        <v>-</v>
      </c>
      <c r="R108" s="65" t="str">
        <f>_xlfn.LET(
 _xlpm.x,
 _xlfn.MAXIFS(
  raw_stack!H$2:H$100000,
  raw_stack!D$2:D$100000, G108,
  raw_stack!F$2:F$100000, "Iya",
  raw_stack!G$2:G$100000, "&gt;="&amp;DATE(2025,8,1),
  raw_stack!G$2:G$100000, "&lt;="&amp;EOMONTH(DATE(2025,8,1),0)
 ),
 IF(OR(_xlpm.x=0, _xlpm.x=""), "-", _xlpm.x)
)</f>
        <v>-</v>
      </c>
      <c r="S108" s="54" t="str">
        <f>_xlfn.LET(
 _xlpm.x,
 _xlfn.MAXIFS(
  raw_stack!G$2:G$99411,
  raw_stack!D$2:D$99411, G108,
  raw_stack!F$2:F$99411, "Iya",
  raw_stack!G$2:G$99411, "&gt;="&amp;DATE(2025,9,1),
  raw_stack!G$2:G$99411, "&lt;="&amp;EOMONTH(DATE(2025,9,1),0)
 ),
 IF(_xlpm.x=0, "-", _xlpm.x)
)</f>
        <v>-</v>
      </c>
      <c r="T108" s="65" t="str">
        <f>_xlfn.LET(
 _xlpm.x,
 _xlfn.MAXIFS(
  raw_stack!H$2:H$100000,
  raw_stack!D$2:D$100000, G108,
  raw_stack!F$2:F$100000, "Iya",
  raw_stack!G$2:G$100000, "&gt;="&amp;DATE(2025,9,1),
  raw_stack!G$2:G$100000, "&lt;="&amp;EOMONTH(DATE(2025,9,1),0)
 ),
 IF(OR(_xlpm.x=0, _xlpm.x=""), "-", _xlpm.x)
)</f>
        <v>-</v>
      </c>
      <c r="U108" s="54">
        <f>_xlfn.LET(
 _xlpm.x,
 _xlfn.MAXIFS(
  raw_stack!G$2:G$99411,
  raw_stack!D$2:D$99411, G108,
  raw_stack!F$2:F$99411, "Iya",
  raw_stack!G$2:G$99411, "&gt;="&amp;DATE(2025,10,1),
  raw_stack!G$2:G$99411, "&lt;="&amp;EOMONTH(DATE(2025,10,1),0)
 ),
 IF(_xlpm.x=0, "-", _xlpm.x)
)</f>
        <v>45950</v>
      </c>
      <c r="V108" s="65">
        <f>_xlfn.LET(
 _xlpm.x,
 _xlfn.MAXIFS(
  raw_stack!H$2:H$100000,
  raw_stack!D$2:D$100000, G108,
  raw_stack!F$2:F$100000, "Iya",
  raw_stack!G$2:G$100000, "&gt;="&amp;DATE(2025,10,1),
  raw_stack!G$2:G$100000, "&lt;="&amp;EOMONTH(DATE(2025,10,1),0)
 ),
 IF(OR(_xlpm.x=0, _xlpm.x=""), "-", _xlpm.x)
)</f>
        <v>39597</v>
      </c>
      <c r="W108" s="55" t="str">
        <f>_xlfn.LET(
 _xlpm.x,
 _xlfn.MAXIFS(
  raw_stack!G$2:G$99411,
  raw_stack!D$2:D$99411, G108,
  raw_stack!F$2:F$99411, "Iya",
  raw_stack!G$2:G$99411, "&gt;="&amp;DATE(2025,11,1),
  raw_stack!G$2:G$99411, "&lt;="&amp;EOMONTH(DATE(2025,11,1),0)
 ),
 IF(_xlpm.x=0, "-", _xlpm.x)
)</f>
        <v>-</v>
      </c>
      <c r="X108" s="56" t="str">
        <f>_xlfn.LET(
 _xlpm.x,
 _xlfn.MAXIFS(
  raw_stack!H$2:H$100000,
  raw_stack!D$2:D$100000, G108,
  raw_stack!F$2:F$100000, "Iya",
  raw_stack!G$2:G$100000, "&gt;="&amp;DATE(2025,11,1),
  raw_stack!G$2:G$100000, "&lt;="&amp;EOMONTH(DATE(2025,11,1),0)
 ),
 IF(OR(_xlpm.x=0, _xlpm.x=""), "-", _xlpm.x)
)</f>
        <v>-</v>
      </c>
      <c r="Y108" s="55">
        <f>_xlfn.LET(
 _xlpm.x,
 _xlfn.MAXIFS(
  raw_stack!G$2:G$99411,
  raw_stack!D$2:D$99411, G108,
  raw_stack!F$2:F$99411, "Iya",
  raw_stack!G$2:G$99411, "&gt;="&amp;DATE(2025,12,1),
  raw_stack!G$2:G$99411, "&lt;="&amp;EOMONTH(DATE(2025,12,1),0)
 ),
 IF(_xlpm.x=0, "-", _xlpm.x)
)</f>
        <v>46000</v>
      </c>
      <c r="Z108" s="56">
        <f>_xlfn.LET(
 _xlpm.x,
 _xlfn.MAXIFS(
  raw_stack!H$2:H$100000,
  raw_stack!D$2:D$100000, G108,
  raw_stack!F$2:F$100000, "Iya",
  raw_stack!G$2:G$100000, "&gt;="&amp;DATE(2025,12,1),
  raw_stack!G$2:G$100000, "&lt;="&amp;EOMONTH(DATE(2025,12,1),0)
 ),
 IF(OR(_xlpm.x=0, _xlpm.x=""), "-", _xlpm.x)
)</f>
        <v>40287</v>
      </c>
      <c r="AA108" s="55" t="str">
        <f>_xlfn.LET(
 _xlpm.x,
 _xlfn.MAXIFS(
  raw_stack!G$2:G$99411,
  raw_stack!D$2:D$99411, G108,
  raw_stack!F$2:F$99411, "Iya",
  raw_stack!G$2:G$99411, "&gt;="&amp;DATE(2026,1,1),
  raw_stack!G$2:G$99411, "&lt;="&amp;EOMONTH(DATE(2026,1,1),0)
 ),
 IF(_xlpm.x=0, "-", _xlpm.x)
)</f>
        <v>-</v>
      </c>
      <c r="AB108" s="56" t="str">
        <f>_xlfn.LET(
 _xlpm.x,
 _xlfn.MAXIFS(
  raw_stack!H$2:H$100000,
  raw_stack!D$2:D$100000, G108,
  raw_stack!F$2:F$100000, "Iya",
  raw_stack!G$2:G$100000, "&gt;="&amp;DATE(2026,1,1),
  raw_stack!G$2:G$100000, "&lt;="&amp;EOMONTH(DATE(2026,1,1),0)
 ),
 IF(OR(_xlpm.x=0, _xlpm.x=""), "-", _xlpm.x)
)</f>
        <v>-</v>
      </c>
      <c r="AC108" s="55" t="str">
        <f>_xlfn.LET(
 _xlpm.x,
 _xlfn.MAXIFS(
  raw_stack!G$2:G$99411,
  raw_stack!D$2:D$99411, G108,
  raw_stack!F$2:F$99411, "Iya",
  raw_stack!G$2:G$99411, "&gt;="&amp;DATE(2026,2,1),
  raw_stack!G$2:G$99411, "&lt;="&amp;EOMONTH(DATE(2026,2,1),0)
 ),
 IF(_xlpm.x=0, "-", _xlpm.x)
)</f>
        <v>-</v>
      </c>
      <c r="AD108" s="56" t="str">
        <f>_xlfn.LET(
 _xlpm.x,
 _xlfn.MAXIFS(
  raw_stack!H$2:H$100000,
  raw_stack!D$2:D$100000, G108,
  raw_stack!F$2:F$100000, "Iya",
  raw_stack!G$2:G$100000, "&gt;="&amp;DATE(2026,2,1),
  raw_stack!G$2:G$100000, "&lt;="&amp;EOMONTH(DATE(2026,2,1),0)
 ),
 IF(OR(_xlpm.x=0, _xlpm.x=""), "-", _xlpm.x)
)</f>
        <v>-</v>
      </c>
      <c r="AE108" s="55" t="str">
        <f>_xlfn.LET(
 _xlpm.x,
 _xlfn.MAXIFS(
  raw_stack!G$2:G$100000,
  raw_stack!D$2:D$100000, G108,
  raw_stack!F$2:F$100000, "Iya",
  raw_stack!G$2:G$100000, "&gt;="&amp;DATE(2026,3,1),
  raw_stack!G$2:G$100000, "&lt;="&amp;EOMONTH(DATE(2026,3,1),0)
 ),
 IF(_xlpm.x=0, "-", _xlpm.x)
)</f>
        <v>-</v>
      </c>
      <c r="AF108" s="56" t="str">
        <f>_xlfn.LET(
 _xlpm.x,
 _xlfn.MAXIFS(
  raw_stack!H$2:H$100000,
  raw_stack!D$2:D$100000, G108,
  raw_stack!F$2:F$100000, "Iya",
  raw_stack!G$2:G$100000, "&gt;="&amp;DATE(2026,3,1),
  raw_stack!G$2:G$100000, "&lt;="&amp;EOMONTH(DATE(2026,3,1),0)
 ),
 IF(OR(_xlpm.x=0, _xlpm.x=""), "-", _xlpm.x)
)</f>
        <v>-</v>
      </c>
      <c r="AG108" s="55" t="str">
        <f>_xlfn.LET(
 _xlpm.x,
 _xlfn.MAXIFS(
  raw_stack!G$2:G$100000,
  raw_stack!D$2:D$100000, G108,
  raw_stack!F$2:F$100000, "Iya",
  raw_stack!G$2:G$100000, "&gt;="&amp;DATE(2026,4,1),
  raw_stack!G$2:G$100000, "&lt;="&amp;EOMONTH(DATE(2026,4,1),0)
 ),
 IF(_xlpm.x=0, "-", _xlpm.x)
)</f>
        <v>-</v>
      </c>
      <c r="AH108" s="56" t="str">
        <f>_xlfn.LET(
 _xlpm.x,
 _xlfn.MAXIFS(
  raw_stack!H$2:H$100000,
  raw_stack!D$2:D$100000, G108,
  raw_stack!F$2:F$100000, "Iya",
  raw_stack!G$2:G$100000, "&gt;="&amp;DATE(2026,4,1),
  raw_stack!G$2:G$100000, "&lt;="&amp;EOMONTH(DATE(2026,4,1),0)
 ),
 IF(OR(_xlpm.x=0, _xlpm.x=""), "-", _xlpm.x)
)</f>
        <v>-</v>
      </c>
    </row>
    <row r="109" spans="1:34">
      <c r="A109" s="48">
        <v>108</v>
      </c>
      <c r="B109" s="49" t="str">
        <f t="shared" si="1"/>
        <v>56251</v>
      </c>
      <c r="C109" s="50" t="s">
        <v>46</v>
      </c>
      <c r="D109" s="51" t="s">
        <v>547</v>
      </c>
      <c r="E109" s="51" t="s">
        <v>47</v>
      </c>
      <c r="F109" s="49" t="s">
        <v>117</v>
      </c>
      <c r="G109" s="49" t="s">
        <v>225</v>
      </c>
      <c r="H109" s="49" t="s">
        <v>48</v>
      </c>
      <c r="I109" s="49" t="s">
        <v>49</v>
      </c>
      <c r="J109" s="52">
        <v>3925000</v>
      </c>
      <c r="K109" s="53">
        <v>46005</v>
      </c>
      <c r="L109" s="53">
        <v>46369</v>
      </c>
      <c r="M109" s="53">
        <v>46066</v>
      </c>
      <c r="N109" s="49" t="s">
        <v>50</v>
      </c>
      <c r="O109" s="54">
        <f>_xlfn.LET(
 _xlpm.x,
 _xlfn.MAXIFS(
  raw_stack!G$2:G$100000,
  raw_stack!D$2:D$100000, G109,
  raw_stack!F$2:F$100000, "Iya",
  raw_stack!G$2:G$100000, "&gt;="&amp;DATE(2025,7,1),
  raw_stack!G$2:G$100000, "&lt;="&amp;EOMONTH(DATE(2025,7,1),0)
 ),
 IF(_xlpm.x=0, "-", _xlpm.x)
)</f>
        <v>45841</v>
      </c>
      <c r="P109" s="65">
        <f>_xlfn.LET(
 _xlpm.x,
 _xlfn.MAXIFS(
  raw_stack!H$2:H$100000,
  raw_stack!D$2:D$100000, G109,
  raw_stack!F$2:F$100000, "Iya",
  raw_stack!G$2:G$100000, "&gt;="&amp;DATE(2025,7,1),
  raw_stack!G$2:G$100000, "&lt;="&amp;EOMONTH(DATE(2025,7,1),0)
 ),
 IF(OR(_xlpm.x=0, _xlpm.x=""), "-", _xlpm.x)
)</f>
        <v>93650</v>
      </c>
      <c r="Q109" s="54" t="str">
        <f>_xlfn.LET(
 _xlpm.x,
 _xlfn.MAXIFS(
  raw_stack!G$2:G$99411,
  raw_stack!D$2:D$99411, G109,
  raw_stack!F$2:F$99411, "Iya",
  raw_stack!G$2:G$99411, "&gt;="&amp;DATE(2025,8,1),
  raw_stack!G$2:G$99411, "&lt;="&amp;EOMONTH(DATE(2025,8,1),0)
 ),
 IF(_xlpm.x=0, "-", _xlpm.x)
)</f>
        <v>-</v>
      </c>
      <c r="R109" s="65" t="str">
        <f>_xlfn.LET(
 _xlpm.x,
 _xlfn.MAXIFS(
  raw_stack!H$2:H$100000,
  raw_stack!D$2:D$100000, G109,
  raw_stack!F$2:F$100000, "Iya",
  raw_stack!G$2:G$100000, "&gt;="&amp;DATE(2025,8,1),
  raw_stack!G$2:G$100000, "&lt;="&amp;EOMONTH(DATE(2025,8,1),0)
 ),
 IF(OR(_xlpm.x=0, _xlpm.x=""), "-", _xlpm.x)
)</f>
        <v>-</v>
      </c>
      <c r="S109" s="54" t="str">
        <f>_xlfn.LET(
 _xlpm.x,
 _xlfn.MAXIFS(
  raw_stack!G$2:G$99411,
  raw_stack!D$2:D$99411, G109,
  raw_stack!F$2:F$99411, "Iya",
  raw_stack!G$2:G$99411, "&gt;="&amp;DATE(2025,9,1),
  raw_stack!G$2:G$99411, "&lt;="&amp;EOMONTH(DATE(2025,9,1),0)
 ),
 IF(_xlpm.x=0, "-", _xlpm.x)
)</f>
        <v>-</v>
      </c>
      <c r="T109" s="65" t="str">
        <f>_xlfn.LET(
 _xlpm.x,
 _xlfn.MAXIFS(
  raw_stack!H$2:H$100000,
  raw_stack!D$2:D$100000, G109,
  raw_stack!F$2:F$100000, "Iya",
  raw_stack!G$2:G$100000, "&gt;="&amp;DATE(2025,9,1),
  raw_stack!G$2:G$100000, "&lt;="&amp;EOMONTH(DATE(2025,9,1),0)
 ),
 IF(OR(_xlpm.x=0, _xlpm.x=""), "-", _xlpm.x)
)</f>
        <v>-</v>
      </c>
      <c r="U109" s="54">
        <f>_xlfn.LET(
 _xlpm.x,
 _xlfn.MAXIFS(
  raw_stack!G$2:G$99411,
  raw_stack!D$2:D$99411, G109,
  raw_stack!F$2:F$99411, "Iya",
  raw_stack!G$2:G$99411, "&gt;="&amp;DATE(2025,10,1),
  raw_stack!G$2:G$99411, "&lt;="&amp;EOMONTH(DATE(2025,10,1),0)
 ),
 IF(_xlpm.x=0, "-", _xlpm.x)
)</f>
        <v>45955</v>
      </c>
      <c r="V109" s="65">
        <f>_xlfn.LET(
 _xlpm.x,
 _xlfn.MAXIFS(
  raw_stack!H$2:H$100000,
  raw_stack!D$2:D$100000, G109,
  raw_stack!F$2:F$100000, "Iya",
  raw_stack!G$2:G$100000, "&gt;="&amp;DATE(2025,10,1),
  raw_stack!G$2:G$100000, "&lt;="&amp;EOMONTH(DATE(2025,10,1),0)
 ),
 IF(OR(_xlpm.x=0, _xlpm.x=""), "-", _xlpm.x)
)</f>
        <v>101276</v>
      </c>
      <c r="W109" s="55" t="str">
        <f>_xlfn.LET(
 _xlpm.x,
 _xlfn.MAXIFS(
  raw_stack!G$2:G$99411,
  raw_stack!D$2:D$99411, G109,
  raw_stack!F$2:F$99411, "Iya",
  raw_stack!G$2:G$99411, "&gt;="&amp;DATE(2025,11,1),
  raw_stack!G$2:G$99411, "&lt;="&amp;EOMONTH(DATE(2025,11,1),0)
 ),
 IF(_xlpm.x=0, "-", _xlpm.x)
)</f>
        <v>-</v>
      </c>
      <c r="X109" s="56" t="str">
        <f>_xlfn.LET(
 _xlpm.x,
 _xlfn.MAXIFS(
  raw_stack!H$2:H$100000,
  raw_stack!D$2:D$100000, G109,
  raw_stack!F$2:F$100000, "Iya",
  raw_stack!G$2:G$100000, "&gt;="&amp;DATE(2025,11,1),
  raw_stack!G$2:G$100000, "&lt;="&amp;EOMONTH(DATE(2025,11,1),0)
 ),
 IF(OR(_xlpm.x=0, _xlpm.x=""), "-", _xlpm.x)
)</f>
        <v>-</v>
      </c>
      <c r="Y109" s="55" t="str">
        <f>_xlfn.LET(
 _xlpm.x,
 _xlfn.MAXIFS(
  raw_stack!G$2:G$99411,
  raw_stack!D$2:D$99411, G109,
  raw_stack!F$2:F$99411, "Iya",
  raw_stack!G$2:G$99411, "&gt;="&amp;DATE(2025,12,1),
  raw_stack!G$2:G$99411, "&lt;="&amp;EOMONTH(DATE(2025,12,1),0)
 ),
 IF(_xlpm.x=0, "-", _xlpm.x)
)</f>
        <v>-</v>
      </c>
      <c r="Z109" s="56" t="str">
        <f>_xlfn.LET(
 _xlpm.x,
 _xlfn.MAXIFS(
  raw_stack!H$2:H$100000,
  raw_stack!D$2:D$100000, G109,
  raw_stack!F$2:F$100000, "Iya",
  raw_stack!G$2:G$100000, "&gt;="&amp;DATE(2025,12,1),
  raw_stack!G$2:G$100000, "&lt;="&amp;EOMONTH(DATE(2025,12,1),0)
 ),
 IF(OR(_xlpm.x=0, _xlpm.x=""), "-", _xlpm.x)
)</f>
        <v>-</v>
      </c>
      <c r="AA109" s="55" t="str">
        <f>_xlfn.LET(
 _xlpm.x,
 _xlfn.MAXIFS(
  raw_stack!G$2:G$99411,
  raw_stack!D$2:D$99411, G109,
  raw_stack!F$2:F$99411, "Iya",
  raw_stack!G$2:G$99411, "&gt;="&amp;DATE(2026,1,1),
  raw_stack!G$2:G$99411, "&lt;="&amp;EOMONTH(DATE(2026,1,1),0)
 ),
 IF(_xlpm.x=0, "-", _xlpm.x)
)</f>
        <v>-</v>
      </c>
      <c r="AB109" s="56" t="str">
        <f>_xlfn.LET(
 _xlpm.x,
 _xlfn.MAXIFS(
  raw_stack!H$2:H$100000,
  raw_stack!D$2:D$100000, G109,
  raw_stack!F$2:F$100000, "Iya",
  raw_stack!G$2:G$100000, "&gt;="&amp;DATE(2026,1,1),
  raw_stack!G$2:G$100000, "&lt;="&amp;EOMONTH(DATE(2026,1,1),0)
 ),
 IF(OR(_xlpm.x=0, _xlpm.x=""), "-", _xlpm.x)
)</f>
        <v>-</v>
      </c>
      <c r="AC109" s="55">
        <f>_xlfn.LET(
 _xlpm.x,
 _xlfn.MAXIFS(
  raw_stack!G$2:G$99411,
  raw_stack!D$2:D$99411, G109,
  raw_stack!F$2:F$99411, "Iya",
  raw_stack!G$2:G$99411, "&gt;="&amp;DATE(2026,2,1),
  raw_stack!G$2:G$99411, "&lt;="&amp;EOMONTH(DATE(2026,2,1),0)
 ),
 IF(_xlpm.x=0, "-", _xlpm.x)
)</f>
        <v>46057</v>
      </c>
      <c r="AD109" s="56">
        <f>_xlfn.LET(
 _xlpm.x,
 _xlfn.MAXIFS(
  raw_stack!H$2:H$100000,
  raw_stack!D$2:D$100000, G109,
  raw_stack!F$2:F$100000, "Iya",
  raw_stack!G$2:G$100000, "&gt;="&amp;DATE(2026,2,1),
  raw_stack!G$2:G$100000, "&lt;="&amp;EOMONTH(DATE(2026,2,1),0)
 ),
 IF(OR(_xlpm.x=0, _xlpm.x=""), "-", _xlpm.x)
)</f>
        <v>97556</v>
      </c>
      <c r="AE109" s="55" t="str">
        <f>_xlfn.LET(
 _xlpm.x,
 _xlfn.MAXIFS(
  raw_stack!G$2:G$100000,
  raw_stack!D$2:D$100000, G109,
  raw_stack!F$2:F$100000, "Iya",
  raw_stack!G$2:G$100000, "&gt;="&amp;DATE(2026,3,1),
  raw_stack!G$2:G$100000, "&lt;="&amp;EOMONTH(DATE(2026,3,1),0)
 ),
 IF(_xlpm.x=0, "-", _xlpm.x)
)</f>
        <v>-</v>
      </c>
      <c r="AF109" s="56" t="str">
        <f>_xlfn.LET(
 _xlpm.x,
 _xlfn.MAXIFS(
  raw_stack!H$2:H$100000,
  raw_stack!D$2:D$100000, G109,
  raw_stack!F$2:F$100000, "Iya",
  raw_stack!G$2:G$100000, "&gt;="&amp;DATE(2026,3,1),
  raw_stack!G$2:G$100000, "&lt;="&amp;EOMONTH(DATE(2026,3,1),0)
 ),
 IF(OR(_xlpm.x=0, _xlpm.x=""), "-", _xlpm.x)
)</f>
        <v>-</v>
      </c>
      <c r="AG109" s="55" t="str">
        <f>_xlfn.LET(
 _xlpm.x,
 _xlfn.MAXIFS(
  raw_stack!G$2:G$100000,
  raw_stack!D$2:D$100000, G109,
  raw_stack!F$2:F$100000, "Iya",
  raw_stack!G$2:G$100000, "&gt;="&amp;DATE(2026,4,1),
  raw_stack!G$2:G$100000, "&lt;="&amp;EOMONTH(DATE(2026,4,1),0)
 ),
 IF(_xlpm.x=0, "-", _xlpm.x)
)</f>
        <v>-</v>
      </c>
      <c r="AH109" s="56" t="str">
        <f>_xlfn.LET(
 _xlpm.x,
 _xlfn.MAXIFS(
  raw_stack!H$2:H$100000,
  raw_stack!D$2:D$100000, G109,
  raw_stack!F$2:F$100000, "Iya",
  raw_stack!G$2:G$100000, "&gt;="&amp;DATE(2026,4,1),
  raw_stack!G$2:G$100000, "&lt;="&amp;EOMONTH(DATE(2026,4,1),0)
 ),
 IF(OR(_xlpm.x=0, _xlpm.x=""), "-", _xlpm.x)
)</f>
        <v>-</v>
      </c>
    </row>
    <row r="110" spans="1:34">
      <c r="A110" s="48">
        <v>109</v>
      </c>
      <c r="B110" s="49" t="str">
        <f t="shared" si="1"/>
        <v>38580</v>
      </c>
      <c r="C110" s="50" t="s">
        <v>46</v>
      </c>
      <c r="D110" s="51" t="s">
        <v>556</v>
      </c>
      <c r="E110" s="51" t="s">
        <v>47</v>
      </c>
      <c r="F110" s="49" t="s">
        <v>117</v>
      </c>
      <c r="G110" s="49" t="s">
        <v>226</v>
      </c>
      <c r="H110" s="49" t="s">
        <v>48</v>
      </c>
      <c r="I110" s="49" t="s">
        <v>49</v>
      </c>
      <c r="J110" s="52">
        <v>3875000</v>
      </c>
      <c r="K110" s="53">
        <v>46008</v>
      </c>
      <c r="L110" s="53">
        <v>46372</v>
      </c>
      <c r="M110" s="53">
        <v>46069</v>
      </c>
      <c r="N110" s="49" t="s">
        <v>50</v>
      </c>
      <c r="O110" s="54" t="str">
        <f>_xlfn.LET(
 _xlpm.x,
 _xlfn.MAXIFS(
  raw_stack!G$2:G$100000,
  raw_stack!D$2:D$100000, G110,
  raw_stack!F$2:F$100000, "Iya",
  raw_stack!G$2:G$100000, "&gt;="&amp;DATE(2025,7,1),
  raw_stack!G$2:G$100000, "&lt;="&amp;EOMONTH(DATE(2025,7,1),0)
 ),
 IF(_xlpm.x=0, "-", _xlpm.x)
)</f>
        <v>-</v>
      </c>
      <c r="P110" s="65" t="str">
        <f>_xlfn.LET(
 _xlpm.x,
 _xlfn.MAXIFS(
  raw_stack!H$2:H$100000,
  raw_stack!D$2:D$100000, G110,
  raw_stack!F$2:F$100000, "Iya",
  raw_stack!G$2:G$100000, "&gt;="&amp;DATE(2025,7,1),
  raw_stack!G$2:G$100000, "&lt;="&amp;EOMONTH(DATE(2025,7,1),0)
 ),
 IF(OR(_xlpm.x=0, _xlpm.x=""), "-", _xlpm.x)
)</f>
        <v>-</v>
      </c>
      <c r="Q110" s="54">
        <f>_xlfn.LET(
 _xlpm.x,
 _xlfn.MAXIFS(
  raw_stack!G$2:G$99411,
  raw_stack!D$2:D$99411, G110,
  raw_stack!F$2:F$99411, "Iya",
  raw_stack!G$2:G$99411, "&gt;="&amp;DATE(2025,8,1),
  raw_stack!G$2:G$99411, "&lt;="&amp;EOMONTH(DATE(2025,8,1),0)
 ),
 IF(_xlpm.x=0, "-", _xlpm.x)
)</f>
        <v>45876</v>
      </c>
      <c r="R110" s="65">
        <f>_xlfn.LET(
 _xlpm.x,
 _xlfn.MAXIFS(
  raw_stack!H$2:H$100000,
  raw_stack!D$2:D$100000, G110,
  raw_stack!F$2:F$100000, "Iya",
  raw_stack!G$2:G$100000, "&gt;="&amp;DATE(2025,8,1),
  raw_stack!G$2:G$100000, "&lt;="&amp;EOMONTH(DATE(2025,8,1),0)
 ),
 IF(OR(_xlpm.x=0, _xlpm.x=""), "-", _xlpm.x)
)</f>
        <v>56318</v>
      </c>
      <c r="S110" s="54" t="str">
        <f>_xlfn.LET(
 _xlpm.x,
 _xlfn.MAXIFS(
  raw_stack!G$2:G$99411,
  raw_stack!D$2:D$99411, G110,
  raw_stack!F$2:F$99411, "Iya",
  raw_stack!G$2:G$99411, "&gt;="&amp;DATE(2025,9,1),
  raw_stack!G$2:G$99411, "&lt;="&amp;EOMONTH(DATE(2025,9,1),0)
 ),
 IF(_xlpm.x=0, "-", _xlpm.x)
)</f>
        <v>-</v>
      </c>
      <c r="T110" s="65" t="str">
        <f>_xlfn.LET(
 _xlpm.x,
 _xlfn.MAXIFS(
  raw_stack!H$2:H$100000,
  raw_stack!D$2:D$100000, G110,
  raw_stack!F$2:F$100000, "Iya",
  raw_stack!G$2:G$100000, "&gt;="&amp;DATE(2025,9,1),
  raw_stack!G$2:G$100000, "&lt;="&amp;EOMONTH(DATE(2025,9,1),0)
 ),
 IF(OR(_xlpm.x=0, _xlpm.x=""), "-", _xlpm.x)
)</f>
        <v>-</v>
      </c>
      <c r="U110" s="54" t="str">
        <f>_xlfn.LET(
 _xlpm.x,
 _xlfn.MAXIFS(
  raw_stack!G$2:G$99411,
  raw_stack!D$2:D$99411, G110,
  raw_stack!F$2:F$99411, "Iya",
  raw_stack!G$2:G$99411, "&gt;="&amp;DATE(2025,10,1),
  raw_stack!G$2:G$99411, "&lt;="&amp;EOMONTH(DATE(2025,10,1),0)
 ),
 IF(_xlpm.x=0, "-", _xlpm.x)
)</f>
        <v>-</v>
      </c>
      <c r="V110" s="65" t="str">
        <f>_xlfn.LET(
 _xlpm.x,
 _xlfn.MAXIFS(
  raw_stack!H$2:H$100000,
  raw_stack!D$2:D$100000, G110,
  raw_stack!F$2:F$100000, "Iya",
  raw_stack!G$2:G$100000, "&gt;="&amp;DATE(2025,10,1),
  raw_stack!G$2:G$100000, "&lt;="&amp;EOMONTH(DATE(2025,10,1),0)
 ),
 IF(OR(_xlpm.x=0, _xlpm.x=""), "-", _xlpm.x)
)</f>
        <v>-</v>
      </c>
      <c r="W110" s="55" t="str">
        <f>_xlfn.LET(
 _xlpm.x,
 _xlfn.MAXIFS(
  raw_stack!G$2:G$99411,
  raw_stack!D$2:D$99411, G110,
  raw_stack!F$2:F$99411, "Iya",
  raw_stack!G$2:G$99411, "&gt;="&amp;DATE(2025,11,1),
  raw_stack!G$2:G$99411, "&lt;="&amp;EOMONTH(DATE(2025,11,1),0)
 ),
 IF(_xlpm.x=0, "-", _xlpm.x)
)</f>
        <v>-</v>
      </c>
      <c r="X110" s="56" t="str">
        <f>_xlfn.LET(
 _xlpm.x,
 _xlfn.MAXIFS(
  raw_stack!H$2:H$100000,
  raw_stack!D$2:D$100000, G110,
  raw_stack!F$2:F$100000, "Iya",
  raw_stack!G$2:G$100000, "&gt;="&amp;DATE(2025,11,1),
  raw_stack!G$2:G$100000, "&lt;="&amp;EOMONTH(DATE(2025,11,1),0)
 ),
 IF(OR(_xlpm.x=0, _xlpm.x=""), "-", _xlpm.x)
)</f>
        <v>-</v>
      </c>
      <c r="Y110" s="55" t="str">
        <f>_xlfn.LET(
 _xlpm.x,
 _xlfn.MAXIFS(
  raw_stack!G$2:G$99411,
  raw_stack!D$2:D$99411, G110,
  raw_stack!F$2:F$99411, "Iya",
  raw_stack!G$2:G$99411, "&gt;="&amp;DATE(2025,12,1),
  raw_stack!G$2:G$99411, "&lt;="&amp;EOMONTH(DATE(2025,12,1),0)
 ),
 IF(_xlpm.x=0, "-", _xlpm.x)
)</f>
        <v>-</v>
      </c>
      <c r="Z110" s="56" t="str">
        <f>_xlfn.LET(
 _xlpm.x,
 _xlfn.MAXIFS(
  raw_stack!H$2:H$100000,
  raw_stack!D$2:D$100000, G110,
  raw_stack!F$2:F$100000, "Iya",
  raw_stack!G$2:G$100000, "&gt;="&amp;DATE(2025,12,1),
  raw_stack!G$2:G$100000, "&lt;="&amp;EOMONTH(DATE(2025,12,1),0)
 ),
 IF(OR(_xlpm.x=0, _xlpm.x=""), "-", _xlpm.x)
)</f>
        <v>-</v>
      </c>
      <c r="AA110" s="55" t="str">
        <f>_xlfn.LET(
 _xlpm.x,
 _xlfn.MAXIFS(
  raw_stack!G$2:G$99411,
  raw_stack!D$2:D$99411, G110,
  raw_stack!F$2:F$99411, "Iya",
  raw_stack!G$2:G$99411, "&gt;="&amp;DATE(2026,1,1),
  raw_stack!G$2:G$99411, "&lt;="&amp;EOMONTH(DATE(2026,1,1),0)
 ),
 IF(_xlpm.x=0, "-", _xlpm.x)
)</f>
        <v>-</v>
      </c>
      <c r="AB110" s="56" t="str">
        <f>_xlfn.LET(
 _xlpm.x,
 _xlfn.MAXIFS(
  raw_stack!H$2:H$100000,
  raw_stack!D$2:D$100000, G110,
  raw_stack!F$2:F$100000, "Iya",
  raw_stack!G$2:G$100000, "&gt;="&amp;DATE(2026,1,1),
  raw_stack!G$2:G$100000, "&lt;="&amp;EOMONTH(DATE(2026,1,1),0)
 ),
 IF(OR(_xlpm.x=0, _xlpm.x=""), "-", _xlpm.x)
)</f>
        <v>-</v>
      </c>
      <c r="AC110" s="55" t="str">
        <f>_xlfn.LET(
 _xlpm.x,
 _xlfn.MAXIFS(
  raw_stack!G$2:G$99411,
  raw_stack!D$2:D$99411, G110,
  raw_stack!F$2:F$99411, "Iya",
  raw_stack!G$2:G$99411, "&gt;="&amp;DATE(2026,2,1),
  raw_stack!G$2:G$99411, "&lt;="&amp;EOMONTH(DATE(2026,2,1),0)
 ),
 IF(_xlpm.x=0, "-", _xlpm.x)
)</f>
        <v>-</v>
      </c>
      <c r="AD110" s="56" t="str">
        <f>_xlfn.LET(
 _xlpm.x,
 _xlfn.MAXIFS(
  raw_stack!H$2:H$100000,
  raw_stack!D$2:D$100000, G110,
  raw_stack!F$2:F$100000, "Iya",
  raw_stack!G$2:G$100000, "&gt;="&amp;DATE(2026,2,1),
  raw_stack!G$2:G$100000, "&lt;="&amp;EOMONTH(DATE(2026,2,1),0)
 ),
 IF(OR(_xlpm.x=0, _xlpm.x=""), "-", _xlpm.x)
)</f>
        <v>-</v>
      </c>
      <c r="AE110" s="55" t="str">
        <f>_xlfn.LET(
 _xlpm.x,
 _xlfn.MAXIFS(
  raw_stack!G$2:G$100000,
  raw_stack!D$2:D$100000, G110,
  raw_stack!F$2:F$100000, "Iya",
  raw_stack!G$2:G$100000, "&gt;="&amp;DATE(2026,3,1),
  raw_stack!G$2:G$100000, "&lt;="&amp;EOMONTH(DATE(2026,3,1),0)
 ),
 IF(_xlpm.x=0, "-", _xlpm.x)
)</f>
        <v>-</v>
      </c>
      <c r="AF110" s="56" t="str">
        <f>_xlfn.LET(
 _xlpm.x,
 _xlfn.MAXIFS(
  raw_stack!H$2:H$100000,
  raw_stack!D$2:D$100000, G110,
  raw_stack!F$2:F$100000, "Iya",
  raw_stack!G$2:G$100000, "&gt;="&amp;DATE(2026,3,1),
  raw_stack!G$2:G$100000, "&lt;="&amp;EOMONTH(DATE(2026,3,1),0)
 ),
 IF(OR(_xlpm.x=0, _xlpm.x=""), "-", _xlpm.x)
)</f>
        <v>-</v>
      </c>
      <c r="AG110" s="55" t="str">
        <f>_xlfn.LET(
 _xlpm.x,
 _xlfn.MAXIFS(
  raw_stack!G$2:G$100000,
  raw_stack!D$2:D$100000, G110,
  raw_stack!F$2:F$100000, "Iya",
  raw_stack!G$2:G$100000, "&gt;="&amp;DATE(2026,4,1),
  raw_stack!G$2:G$100000, "&lt;="&amp;EOMONTH(DATE(2026,4,1),0)
 ),
 IF(_xlpm.x=0, "-", _xlpm.x)
)</f>
        <v>-</v>
      </c>
      <c r="AH110" s="56" t="str">
        <f>_xlfn.LET(
 _xlpm.x,
 _xlfn.MAXIFS(
  raw_stack!H$2:H$100000,
  raw_stack!D$2:D$100000, G110,
  raw_stack!F$2:F$100000, "Iya",
  raw_stack!G$2:G$100000, "&gt;="&amp;DATE(2026,4,1),
  raw_stack!G$2:G$100000, "&lt;="&amp;EOMONTH(DATE(2026,4,1),0)
 ),
 IF(OR(_xlpm.x=0, _xlpm.x=""), "-", _xlpm.x)
)</f>
        <v>-</v>
      </c>
    </row>
    <row r="111" spans="1:34">
      <c r="A111" s="48">
        <v>110</v>
      </c>
      <c r="B111" s="49" t="str">
        <f t="shared" si="1"/>
        <v>19704</v>
      </c>
      <c r="C111" s="50" t="s">
        <v>46</v>
      </c>
      <c r="D111" s="51" t="s">
        <v>557</v>
      </c>
      <c r="E111" s="51" t="s">
        <v>47</v>
      </c>
      <c r="F111" s="49" t="s">
        <v>117</v>
      </c>
      <c r="G111" s="49" t="s">
        <v>227</v>
      </c>
      <c r="H111" s="49" t="s">
        <v>48</v>
      </c>
      <c r="I111" s="49" t="s">
        <v>49</v>
      </c>
      <c r="J111" s="52">
        <v>3995000</v>
      </c>
      <c r="K111" s="53">
        <v>46009</v>
      </c>
      <c r="L111" s="53">
        <v>46373</v>
      </c>
      <c r="M111" s="53">
        <v>46070</v>
      </c>
      <c r="N111" s="49" t="s">
        <v>50</v>
      </c>
      <c r="O111" s="54" t="str">
        <f>_xlfn.LET(
 _xlpm.x,
 _xlfn.MAXIFS(
  raw_stack!G$2:G$100000,
  raw_stack!D$2:D$100000, G111,
  raw_stack!F$2:F$100000, "Iya",
  raw_stack!G$2:G$100000, "&gt;="&amp;DATE(2025,7,1),
  raw_stack!G$2:G$100000, "&lt;="&amp;EOMONTH(DATE(2025,7,1),0)
 ),
 IF(_xlpm.x=0, "-", _xlpm.x)
)</f>
        <v>-</v>
      </c>
      <c r="P111" s="65" t="str">
        <f>_xlfn.LET(
 _xlpm.x,
 _xlfn.MAXIFS(
  raw_stack!H$2:H$100000,
  raw_stack!D$2:D$100000, G111,
  raw_stack!F$2:F$100000, "Iya",
  raw_stack!G$2:G$100000, "&gt;="&amp;DATE(2025,7,1),
  raw_stack!G$2:G$100000, "&lt;="&amp;EOMONTH(DATE(2025,7,1),0)
 ),
 IF(OR(_xlpm.x=0, _xlpm.x=""), "-", _xlpm.x)
)</f>
        <v>-</v>
      </c>
      <c r="Q111" s="54">
        <f>_xlfn.LET(
 _xlpm.x,
 _xlfn.MAXIFS(
  raw_stack!G$2:G$99411,
  raw_stack!D$2:D$99411, G111,
  raw_stack!F$2:F$99411, "Iya",
  raw_stack!G$2:G$99411, "&gt;="&amp;DATE(2025,8,1),
  raw_stack!G$2:G$99411, "&lt;="&amp;EOMONTH(DATE(2025,8,1),0)
 ),
 IF(_xlpm.x=0, "-", _xlpm.x)
)</f>
        <v>45895</v>
      </c>
      <c r="R111" s="65">
        <f>_xlfn.LET(
 _xlpm.x,
 _xlfn.MAXIFS(
  raw_stack!H$2:H$100000,
  raw_stack!D$2:D$100000, G111,
  raw_stack!F$2:F$100000, "Iya",
  raw_stack!G$2:G$100000, "&gt;="&amp;DATE(2025,8,1),
  raw_stack!G$2:G$100000, "&lt;="&amp;EOMONTH(DATE(2025,8,1),0)
 ),
 IF(OR(_xlpm.x=0, _xlpm.x=""), "-", _xlpm.x)
)</f>
        <v>68363</v>
      </c>
      <c r="S111" s="54" t="str">
        <f>_xlfn.LET(
 _xlpm.x,
 _xlfn.MAXIFS(
  raw_stack!G$2:G$99411,
  raw_stack!D$2:D$99411, G111,
  raw_stack!F$2:F$99411, "Iya",
  raw_stack!G$2:G$99411, "&gt;="&amp;DATE(2025,9,1),
  raw_stack!G$2:G$99411, "&lt;="&amp;EOMONTH(DATE(2025,9,1),0)
 ),
 IF(_xlpm.x=0, "-", _xlpm.x)
)</f>
        <v>-</v>
      </c>
      <c r="T111" s="65" t="str">
        <f>_xlfn.LET(
 _xlpm.x,
 _xlfn.MAXIFS(
  raw_stack!H$2:H$100000,
  raw_stack!D$2:D$100000, G111,
  raw_stack!F$2:F$100000, "Iya",
  raw_stack!G$2:G$100000, "&gt;="&amp;DATE(2025,9,1),
  raw_stack!G$2:G$100000, "&lt;="&amp;EOMONTH(DATE(2025,9,1),0)
 ),
 IF(OR(_xlpm.x=0, _xlpm.x=""), "-", _xlpm.x)
)</f>
        <v>-</v>
      </c>
      <c r="U111" s="54" t="str">
        <f>_xlfn.LET(
 _xlpm.x,
 _xlfn.MAXIFS(
  raw_stack!G$2:G$99411,
  raw_stack!D$2:D$99411, G111,
  raw_stack!F$2:F$99411, "Iya",
  raw_stack!G$2:G$99411, "&gt;="&amp;DATE(2025,10,1),
  raw_stack!G$2:G$99411, "&lt;="&amp;EOMONTH(DATE(2025,10,1),0)
 ),
 IF(_xlpm.x=0, "-", _xlpm.x)
)</f>
        <v>-</v>
      </c>
      <c r="V111" s="65" t="str">
        <f>_xlfn.LET(
 _xlpm.x,
 _xlfn.MAXIFS(
  raw_stack!H$2:H$100000,
  raw_stack!D$2:D$100000, G111,
  raw_stack!F$2:F$100000, "Iya",
  raw_stack!G$2:G$100000, "&gt;="&amp;DATE(2025,10,1),
  raw_stack!G$2:G$100000, "&lt;="&amp;EOMONTH(DATE(2025,10,1),0)
 ),
 IF(OR(_xlpm.x=0, _xlpm.x=""), "-", _xlpm.x)
)</f>
        <v>-</v>
      </c>
      <c r="W111" s="55" t="str">
        <f>_xlfn.LET(
 _xlpm.x,
 _xlfn.MAXIFS(
  raw_stack!G$2:G$99411,
  raw_stack!D$2:D$99411, G111,
  raw_stack!F$2:F$99411, "Iya",
  raw_stack!G$2:G$99411, "&gt;="&amp;DATE(2025,11,1),
  raw_stack!G$2:G$99411, "&lt;="&amp;EOMONTH(DATE(2025,11,1),0)
 ),
 IF(_xlpm.x=0, "-", _xlpm.x)
)</f>
        <v>-</v>
      </c>
      <c r="X111" s="56" t="str">
        <f>_xlfn.LET(
 _xlpm.x,
 _xlfn.MAXIFS(
  raw_stack!H$2:H$100000,
  raw_stack!D$2:D$100000, G111,
  raw_stack!F$2:F$100000, "Iya",
  raw_stack!G$2:G$100000, "&gt;="&amp;DATE(2025,11,1),
  raw_stack!G$2:G$100000, "&lt;="&amp;EOMONTH(DATE(2025,11,1),0)
 ),
 IF(OR(_xlpm.x=0, _xlpm.x=""), "-", _xlpm.x)
)</f>
        <v>-</v>
      </c>
      <c r="Y111" s="55" t="str">
        <f>_xlfn.LET(
 _xlpm.x,
 _xlfn.MAXIFS(
  raw_stack!G$2:G$99411,
  raw_stack!D$2:D$99411, G111,
  raw_stack!F$2:F$99411, "Iya",
  raw_stack!G$2:G$99411, "&gt;="&amp;DATE(2025,12,1),
  raw_stack!G$2:G$99411, "&lt;="&amp;EOMONTH(DATE(2025,12,1),0)
 ),
 IF(_xlpm.x=0, "-", _xlpm.x)
)</f>
        <v>-</v>
      </c>
      <c r="Z111" s="56" t="str">
        <f>_xlfn.LET(
 _xlpm.x,
 _xlfn.MAXIFS(
  raw_stack!H$2:H$100000,
  raw_stack!D$2:D$100000, G111,
  raw_stack!F$2:F$100000, "Iya",
  raw_stack!G$2:G$100000, "&gt;="&amp;DATE(2025,12,1),
  raw_stack!G$2:G$100000, "&lt;="&amp;EOMONTH(DATE(2025,12,1),0)
 ),
 IF(OR(_xlpm.x=0, _xlpm.x=""), "-", _xlpm.x)
)</f>
        <v>-</v>
      </c>
      <c r="AA111" s="55">
        <f>_xlfn.LET(
 _xlpm.x,
 _xlfn.MAXIFS(
  raw_stack!G$2:G$99411,
  raw_stack!D$2:D$99411, G111,
  raw_stack!F$2:F$99411, "Iya",
  raw_stack!G$2:G$99411, "&gt;="&amp;DATE(2026,1,1),
  raw_stack!G$2:G$99411, "&lt;="&amp;EOMONTH(DATE(2026,1,1),0)
 ),
 IF(_xlpm.x=0, "-", _xlpm.x)
)</f>
        <v>46030</v>
      </c>
      <c r="AB111" s="56">
        <f>_xlfn.LET(
 _xlpm.x,
 _xlfn.MAXIFS(
  raw_stack!H$2:H$100000,
  raw_stack!D$2:D$100000, G111,
  raw_stack!F$2:F$100000, "Iya",
  raw_stack!G$2:G$100000, "&gt;="&amp;DATE(2026,1,1),
  raw_stack!G$2:G$100000, "&lt;="&amp;EOMONTH(DATE(2026,1,1),0)
 ),
 IF(OR(_xlpm.x=0, _xlpm.x=""), "-", _xlpm.x)
)</f>
        <v>74558</v>
      </c>
      <c r="AC111" s="55" t="str">
        <f>_xlfn.LET(
 _xlpm.x,
 _xlfn.MAXIFS(
  raw_stack!G$2:G$99411,
  raw_stack!D$2:D$99411, G111,
  raw_stack!F$2:F$99411, "Iya",
  raw_stack!G$2:G$99411, "&gt;="&amp;DATE(2026,2,1),
  raw_stack!G$2:G$99411, "&lt;="&amp;EOMONTH(DATE(2026,2,1),0)
 ),
 IF(_xlpm.x=0, "-", _xlpm.x)
)</f>
        <v>-</v>
      </c>
      <c r="AD111" s="56" t="str">
        <f>_xlfn.LET(
 _xlpm.x,
 _xlfn.MAXIFS(
  raw_stack!H$2:H$100000,
  raw_stack!D$2:D$100000, G111,
  raw_stack!F$2:F$100000, "Iya",
  raw_stack!G$2:G$100000, "&gt;="&amp;DATE(2026,2,1),
  raw_stack!G$2:G$100000, "&lt;="&amp;EOMONTH(DATE(2026,2,1),0)
 ),
 IF(OR(_xlpm.x=0, _xlpm.x=""), "-", _xlpm.x)
)</f>
        <v>-</v>
      </c>
      <c r="AE111" s="55" t="str">
        <f>_xlfn.LET(
 _xlpm.x,
 _xlfn.MAXIFS(
  raw_stack!G$2:G$100000,
  raw_stack!D$2:D$100000, G111,
  raw_stack!F$2:F$100000, "Iya",
  raw_stack!G$2:G$100000, "&gt;="&amp;DATE(2026,3,1),
  raw_stack!G$2:G$100000, "&lt;="&amp;EOMONTH(DATE(2026,3,1),0)
 ),
 IF(_xlpm.x=0, "-", _xlpm.x)
)</f>
        <v>-</v>
      </c>
      <c r="AF111" s="56" t="str">
        <f>_xlfn.LET(
 _xlpm.x,
 _xlfn.MAXIFS(
  raw_stack!H$2:H$100000,
  raw_stack!D$2:D$100000, G111,
  raw_stack!F$2:F$100000, "Iya",
  raw_stack!G$2:G$100000, "&gt;="&amp;DATE(2026,3,1),
  raw_stack!G$2:G$100000, "&lt;="&amp;EOMONTH(DATE(2026,3,1),0)
 ),
 IF(OR(_xlpm.x=0, _xlpm.x=""), "-", _xlpm.x)
)</f>
        <v>-</v>
      </c>
      <c r="AG111" s="55" t="str">
        <f>_xlfn.LET(
 _xlpm.x,
 _xlfn.MAXIFS(
  raw_stack!G$2:G$100000,
  raw_stack!D$2:D$100000, G111,
  raw_stack!F$2:F$100000, "Iya",
  raw_stack!G$2:G$100000, "&gt;="&amp;DATE(2026,4,1),
  raw_stack!G$2:G$100000, "&lt;="&amp;EOMONTH(DATE(2026,4,1),0)
 ),
 IF(_xlpm.x=0, "-", _xlpm.x)
)</f>
        <v>-</v>
      </c>
      <c r="AH111" s="56" t="str">
        <f>_xlfn.LET(
 _xlpm.x,
 _xlfn.MAXIFS(
  raw_stack!H$2:H$100000,
  raw_stack!D$2:D$100000, G111,
  raw_stack!F$2:F$100000, "Iya",
  raw_stack!G$2:G$100000, "&gt;="&amp;DATE(2026,4,1),
  raw_stack!G$2:G$100000, "&lt;="&amp;EOMONTH(DATE(2026,4,1),0)
 ),
 IF(OR(_xlpm.x=0, _xlpm.x=""), "-", _xlpm.x)
)</f>
        <v>-</v>
      </c>
    </row>
    <row r="112" spans="1:34">
      <c r="A112" s="48">
        <v>111</v>
      </c>
      <c r="B112" s="49" t="str">
        <f t="shared" si="1"/>
        <v>64842</v>
      </c>
      <c r="C112" s="50" t="s">
        <v>46</v>
      </c>
      <c r="D112" s="51" t="s">
        <v>558</v>
      </c>
      <c r="E112" s="51" t="s">
        <v>47</v>
      </c>
      <c r="F112" s="49" t="s">
        <v>117</v>
      </c>
      <c r="G112" s="49" t="s">
        <v>228</v>
      </c>
      <c r="H112" s="49" t="s">
        <v>48</v>
      </c>
      <c r="I112" s="49" t="s">
        <v>49</v>
      </c>
      <c r="J112" s="52">
        <v>4300000</v>
      </c>
      <c r="K112" s="53">
        <v>46010</v>
      </c>
      <c r="L112" s="53">
        <v>46374</v>
      </c>
      <c r="M112" s="53">
        <v>46099</v>
      </c>
      <c r="N112" s="49" t="s">
        <v>50</v>
      </c>
      <c r="O112" s="54">
        <f>_xlfn.LET(
 _xlpm.x,
 _xlfn.MAXIFS(
  raw_stack!G$2:G$100000,
  raw_stack!D$2:D$100000, G112,
  raw_stack!F$2:F$100000, "Iya",
  raw_stack!G$2:G$100000, "&gt;="&amp;DATE(2025,7,1),
  raw_stack!G$2:G$100000, "&lt;="&amp;EOMONTH(DATE(2025,7,1),0)
 ),
 IF(_xlpm.x=0, "-", _xlpm.x)
)</f>
        <v>45866</v>
      </c>
      <c r="P112" s="65">
        <f>_xlfn.LET(
 _xlpm.x,
 _xlfn.MAXIFS(
  raw_stack!H$2:H$100000,
  raw_stack!D$2:D$100000, G112,
  raw_stack!F$2:F$100000, "Iya",
  raw_stack!G$2:G$100000, "&gt;="&amp;DATE(2025,7,1),
  raw_stack!G$2:G$100000, "&lt;="&amp;EOMONTH(DATE(2025,7,1),0)
 ),
 IF(OR(_xlpm.x=0, _xlpm.x=""), "-", _xlpm.x)
)</f>
        <v>63490</v>
      </c>
      <c r="Q112" s="54" t="str">
        <f>_xlfn.LET(
 _xlpm.x,
 _xlfn.MAXIFS(
  raw_stack!G$2:G$99411,
  raw_stack!D$2:D$99411, G112,
  raw_stack!F$2:F$99411, "Iya",
  raw_stack!G$2:G$99411, "&gt;="&amp;DATE(2025,8,1),
  raw_stack!G$2:G$99411, "&lt;="&amp;EOMONTH(DATE(2025,8,1),0)
 ),
 IF(_xlpm.x=0, "-", _xlpm.x)
)</f>
        <v>-</v>
      </c>
      <c r="R112" s="65" t="str">
        <f>_xlfn.LET(
 _xlpm.x,
 _xlfn.MAXIFS(
  raw_stack!H$2:H$100000,
  raw_stack!D$2:D$100000, G112,
  raw_stack!F$2:F$100000, "Iya",
  raw_stack!G$2:G$100000, "&gt;="&amp;DATE(2025,8,1),
  raw_stack!G$2:G$100000, "&lt;="&amp;EOMONTH(DATE(2025,8,1),0)
 ),
 IF(OR(_xlpm.x=0, _xlpm.x=""), "-", _xlpm.x)
)</f>
        <v>-</v>
      </c>
      <c r="S112" s="54" t="str">
        <f>_xlfn.LET(
 _xlpm.x,
 _xlfn.MAXIFS(
  raw_stack!G$2:G$99411,
  raw_stack!D$2:D$99411, G112,
  raw_stack!F$2:F$99411, "Iya",
  raw_stack!G$2:G$99411, "&gt;="&amp;DATE(2025,9,1),
  raw_stack!G$2:G$99411, "&lt;="&amp;EOMONTH(DATE(2025,9,1),0)
 ),
 IF(_xlpm.x=0, "-", _xlpm.x)
)</f>
        <v>-</v>
      </c>
      <c r="T112" s="65" t="str">
        <f>_xlfn.LET(
 _xlpm.x,
 _xlfn.MAXIFS(
  raw_stack!H$2:H$100000,
  raw_stack!D$2:D$100000, G112,
  raw_stack!F$2:F$100000, "Iya",
  raw_stack!G$2:G$100000, "&gt;="&amp;DATE(2025,9,1),
  raw_stack!G$2:G$100000, "&lt;="&amp;EOMONTH(DATE(2025,9,1),0)
 ),
 IF(OR(_xlpm.x=0, _xlpm.x=""), "-", _xlpm.x)
)</f>
        <v>-</v>
      </c>
      <c r="U112" s="54" t="str">
        <f>_xlfn.LET(
 _xlpm.x,
 _xlfn.MAXIFS(
  raw_stack!G$2:G$99411,
  raw_stack!D$2:D$99411, G112,
  raw_stack!F$2:F$99411, "Iya",
  raw_stack!G$2:G$99411, "&gt;="&amp;DATE(2025,10,1),
  raw_stack!G$2:G$99411, "&lt;="&amp;EOMONTH(DATE(2025,10,1),0)
 ),
 IF(_xlpm.x=0, "-", _xlpm.x)
)</f>
        <v>-</v>
      </c>
      <c r="V112" s="65" t="str">
        <f>_xlfn.LET(
 _xlpm.x,
 _xlfn.MAXIFS(
  raw_stack!H$2:H$100000,
  raw_stack!D$2:D$100000, G112,
  raw_stack!F$2:F$100000, "Iya",
  raw_stack!G$2:G$100000, "&gt;="&amp;DATE(2025,10,1),
  raw_stack!G$2:G$100000, "&lt;="&amp;EOMONTH(DATE(2025,10,1),0)
 ),
 IF(OR(_xlpm.x=0, _xlpm.x=""), "-", _xlpm.x)
)</f>
        <v>-</v>
      </c>
      <c r="W112" s="55" t="str">
        <f>_xlfn.LET(
 _xlpm.x,
 _xlfn.MAXIFS(
  raw_stack!G$2:G$99411,
  raw_stack!D$2:D$99411, G112,
  raw_stack!F$2:F$99411, "Iya",
  raw_stack!G$2:G$99411, "&gt;="&amp;DATE(2025,11,1),
  raw_stack!G$2:G$99411, "&lt;="&amp;EOMONTH(DATE(2025,11,1),0)
 ),
 IF(_xlpm.x=0, "-", _xlpm.x)
)</f>
        <v>-</v>
      </c>
      <c r="X112" s="56" t="str">
        <f>_xlfn.LET(
 _xlpm.x,
 _xlfn.MAXIFS(
  raw_stack!H$2:H$100000,
  raw_stack!D$2:D$100000, G112,
  raw_stack!F$2:F$100000, "Iya",
  raw_stack!G$2:G$100000, "&gt;="&amp;DATE(2025,11,1),
  raw_stack!G$2:G$100000, "&lt;="&amp;EOMONTH(DATE(2025,11,1),0)
 ),
 IF(OR(_xlpm.x=0, _xlpm.x=""), "-", _xlpm.x)
)</f>
        <v>-</v>
      </c>
      <c r="Y112" s="55" t="str">
        <f>_xlfn.LET(
 _xlpm.x,
 _xlfn.MAXIFS(
  raw_stack!G$2:G$99411,
  raw_stack!D$2:D$99411, G112,
  raw_stack!F$2:F$99411, "Iya",
  raw_stack!G$2:G$99411, "&gt;="&amp;DATE(2025,12,1),
  raw_stack!G$2:G$99411, "&lt;="&amp;EOMONTH(DATE(2025,12,1),0)
 ),
 IF(_xlpm.x=0, "-", _xlpm.x)
)</f>
        <v>-</v>
      </c>
      <c r="Z112" s="56" t="str">
        <f>_xlfn.LET(
 _xlpm.x,
 _xlfn.MAXIFS(
  raw_stack!H$2:H$100000,
  raw_stack!D$2:D$100000, G112,
  raw_stack!F$2:F$100000, "Iya",
  raw_stack!G$2:G$100000, "&gt;="&amp;DATE(2025,12,1),
  raw_stack!G$2:G$100000, "&lt;="&amp;EOMONTH(DATE(2025,12,1),0)
 ),
 IF(OR(_xlpm.x=0, _xlpm.x=""), "-", _xlpm.x)
)</f>
        <v>-</v>
      </c>
      <c r="AA112" s="55">
        <f>_xlfn.LET(
 _xlpm.x,
 _xlfn.MAXIFS(
  raw_stack!G$2:G$99411,
  raw_stack!D$2:D$99411, G112,
  raw_stack!F$2:F$99411, "Iya",
  raw_stack!G$2:G$99411, "&gt;="&amp;DATE(2026,1,1),
  raw_stack!G$2:G$99411, "&lt;="&amp;EOMONTH(DATE(2026,1,1),0)
 ),
 IF(_xlpm.x=0, "-", _xlpm.x)
)</f>
        <v>46052</v>
      </c>
      <c r="AB112" s="56">
        <f>_xlfn.LET(
 _xlpm.x,
 _xlfn.MAXIFS(
  raw_stack!H$2:H$100000,
  raw_stack!D$2:D$100000, G112,
  raw_stack!F$2:F$100000, "Iya",
  raw_stack!G$2:G$100000, "&gt;="&amp;DATE(2026,1,1),
  raw_stack!G$2:G$100000, "&lt;="&amp;EOMONTH(DATE(2026,1,1),0)
 ),
 IF(OR(_xlpm.x=0, _xlpm.x=""), "-", _xlpm.x)
)</f>
        <v>60787</v>
      </c>
      <c r="AC112" s="55" t="str">
        <f>_xlfn.LET(
 _xlpm.x,
 _xlfn.MAXIFS(
  raw_stack!G$2:G$99411,
  raw_stack!D$2:D$99411, G112,
  raw_stack!F$2:F$99411, "Iya",
  raw_stack!G$2:G$99411, "&gt;="&amp;DATE(2026,2,1),
  raw_stack!G$2:G$99411, "&lt;="&amp;EOMONTH(DATE(2026,2,1),0)
 ),
 IF(_xlpm.x=0, "-", _xlpm.x)
)</f>
        <v>-</v>
      </c>
      <c r="AD112" s="56" t="str">
        <f>_xlfn.LET(
 _xlpm.x,
 _xlfn.MAXIFS(
  raw_stack!H$2:H$100000,
  raw_stack!D$2:D$100000, G112,
  raw_stack!F$2:F$100000, "Iya",
  raw_stack!G$2:G$100000, "&gt;="&amp;DATE(2026,2,1),
  raw_stack!G$2:G$100000, "&lt;="&amp;EOMONTH(DATE(2026,2,1),0)
 ),
 IF(OR(_xlpm.x=0, _xlpm.x=""), "-", _xlpm.x)
)</f>
        <v>-</v>
      </c>
      <c r="AE112" s="55" t="str">
        <f>_xlfn.LET(
 _xlpm.x,
 _xlfn.MAXIFS(
  raw_stack!G$2:G$100000,
  raw_stack!D$2:D$100000, G112,
  raw_stack!F$2:F$100000, "Iya",
  raw_stack!G$2:G$100000, "&gt;="&amp;DATE(2026,3,1),
  raw_stack!G$2:G$100000, "&lt;="&amp;EOMONTH(DATE(2026,3,1),0)
 ),
 IF(_xlpm.x=0, "-", _xlpm.x)
)</f>
        <v>-</v>
      </c>
      <c r="AF112" s="56" t="str">
        <f>_xlfn.LET(
 _xlpm.x,
 _xlfn.MAXIFS(
  raw_stack!H$2:H$100000,
  raw_stack!D$2:D$100000, G112,
  raw_stack!F$2:F$100000, "Iya",
  raw_stack!G$2:G$100000, "&gt;="&amp;DATE(2026,3,1),
  raw_stack!G$2:G$100000, "&lt;="&amp;EOMONTH(DATE(2026,3,1),0)
 ),
 IF(OR(_xlpm.x=0, _xlpm.x=""), "-", _xlpm.x)
)</f>
        <v>-</v>
      </c>
      <c r="AG112" s="55" t="str">
        <f>_xlfn.LET(
 _xlpm.x,
 _xlfn.MAXIFS(
  raw_stack!G$2:G$100000,
  raw_stack!D$2:D$100000, G112,
  raw_stack!F$2:F$100000, "Iya",
  raw_stack!G$2:G$100000, "&gt;="&amp;DATE(2026,4,1),
  raw_stack!G$2:G$100000, "&lt;="&amp;EOMONTH(DATE(2026,4,1),0)
 ),
 IF(_xlpm.x=0, "-", _xlpm.x)
)</f>
        <v>-</v>
      </c>
      <c r="AH112" s="56" t="str">
        <f>_xlfn.LET(
 _xlpm.x,
 _xlfn.MAXIFS(
  raw_stack!H$2:H$100000,
  raw_stack!D$2:D$100000, G112,
  raw_stack!F$2:F$100000, "Iya",
  raw_stack!G$2:G$100000, "&gt;="&amp;DATE(2026,4,1),
  raw_stack!G$2:G$100000, "&lt;="&amp;EOMONTH(DATE(2026,4,1),0)
 ),
 IF(OR(_xlpm.x=0, _xlpm.x=""), "-", _xlpm.x)
)</f>
        <v>-</v>
      </c>
    </row>
    <row r="113" spans="1:34">
      <c r="A113" s="48">
        <v>112</v>
      </c>
      <c r="B113" s="49" t="str">
        <f t="shared" si="1"/>
        <v>50579</v>
      </c>
      <c r="C113" s="50" t="s">
        <v>46</v>
      </c>
      <c r="D113" s="51" t="s">
        <v>559</v>
      </c>
      <c r="E113" s="51" t="s">
        <v>47</v>
      </c>
      <c r="F113" s="49" t="s">
        <v>117</v>
      </c>
      <c r="G113" s="49" t="s">
        <v>229</v>
      </c>
      <c r="H113" s="49" t="s">
        <v>48</v>
      </c>
      <c r="I113" s="49" t="s">
        <v>49</v>
      </c>
      <c r="J113" s="52">
        <v>4300000</v>
      </c>
      <c r="K113" s="53">
        <v>46010</v>
      </c>
      <c r="L113" s="53">
        <v>46374</v>
      </c>
      <c r="M113" s="53">
        <v>46099</v>
      </c>
      <c r="N113" s="49" t="s">
        <v>50</v>
      </c>
      <c r="O113" s="54" t="str">
        <f>_xlfn.LET(
 _xlpm.x,
 _xlfn.MAXIFS(
  raw_stack!G$2:G$100000,
  raw_stack!D$2:D$100000, G113,
  raw_stack!F$2:F$100000, "Iya",
  raw_stack!G$2:G$100000, "&gt;="&amp;DATE(2025,7,1),
  raw_stack!G$2:G$100000, "&lt;="&amp;EOMONTH(DATE(2025,7,1),0)
 ),
 IF(_xlpm.x=0, "-", _xlpm.x)
)</f>
        <v>-</v>
      </c>
      <c r="P113" s="65" t="str">
        <f>_xlfn.LET(
 _xlpm.x,
 _xlfn.MAXIFS(
  raw_stack!H$2:H$100000,
  raw_stack!D$2:D$100000, G113,
  raw_stack!F$2:F$100000, "Iya",
  raw_stack!G$2:G$100000, "&gt;="&amp;DATE(2025,7,1),
  raw_stack!G$2:G$100000, "&lt;="&amp;EOMONTH(DATE(2025,7,1),0)
 ),
 IF(OR(_xlpm.x=0, _xlpm.x=""), "-", _xlpm.x)
)</f>
        <v>-</v>
      </c>
      <c r="Q113" s="54" t="str">
        <f>_xlfn.LET(
 _xlpm.x,
 _xlfn.MAXIFS(
  raw_stack!G$2:G$99411,
  raw_stack!D$2:D$99411, G113,
  raw_stack!F$2:F$99411, "Iya",
  raw_stack!G$2:G$99411, "&gt;="&amp;DATE(2025,8,1),
  raw_stack!G$2:G$99411, "&lt;="&amp;EOMONTH(DATE(2025,8,1),0)
 ),
 IF(_xlpm.x=0, "-", _xlpm.x)
)</f>
        <v>-</v>
      </c>
      <c r="R113" s="65" t="str">
        <f>_xlfn.LET(
 _xlpm.x,
 _xlfn.MAXIFS(
  raw_stack!H$2:H$100000,
  raw_stack!D$2:D$100000, G113,
  raw_stack!F$2:F$100000, "Iya",
  raw_stack!G$2:G$100000, "&gt;="&amp;DATE(2025,8,1),
  raw_stack!G$2:G$100000, "&lt;="&amp;EOMONTH(DATE(2025,8,1),0)
 ),
 IF(OR(_xlpm.x=0, _xlpm.x=""), "-", _xlpm.x)
)</f>
        <v>-</v>
      </c>
      <c r="S113" s="54" t="str">
        <f>_xlfn.LET(
 _xlpm.x,
 _xlfn.MAXIFS(
  raw_stack!G$2:G$99411,
  raw_stack!D$2:D$99411, G113,
  raw_stack!F$2:F$99411, "Iya",
  raw_stack!G$2:G$99411, "&gt;="&amp;DATE(2025,9,1),
  raw_stack!G$2:G$99411, "&lt;="&amp;EOMONTH(DATE(2025,9,1),0)
 ),
 IF(_xlpm.x=0, "-", _xlpm.x)
)</f>
        <v>-</v>
      </c>
      <c r="T113" s="65" t="str">
        <f>_xlfn.LET(
 _xlpm.x,
 _xlfn.MAXIFS(
  raw_stack!H$2:H$100000,
  raw_stack!D$2:D$100000, G113,
  raw_stack!F$2:F$100000, "Iya",
  raw_stack!G$2:G$100000, "&gt;="&amp;DATE(2025,9,1),
  raw_stack!G$2:G$100000, "&lt;="&amp;EOMONTH(DATE(2025,9,1),0)
 ),
 IF(OR(_xlpm.x=0, _xlpm.x=""), "-", _xlpm.x)
)</f>
        <v>-</v>
      </c>
      <c r="U113" s="54">
        <f>_xlfn.LET(
 _xlpm.x,
 _xlfn.MAXIFS(
  raw_stack!G$2:G$99411,
  raw_stack!D$2:D$99411, G113,
  raw_stack!F$2:F$99411, "Iya",
  raw_stack!G$2:G$99411, "&gt;="&amp;DATE(2025,10,1),
  raw_stack!G$2:G$99411, "&lt;="&amp;EOMONTH(DATE(2025,10,1),0)
 ),
 IF(_xlpm.x=0, "-", _xlpm.x)
)</f>
        <v>45955</v>
      </c>
      <c r="V113" s="65">
        <f>_xlfn.LET(
 _xlpm.x,
 _xlfn.MAXIFS(
  raw_stack!H$2:H$100000,
  raw_stack!D$2:D$100000, G113,
  raw_stack!F$2:F$100000, "Iya",
  raw_stack!G$2:G$100000, "&gt;="&amp;DATE(2025,10,1),
  raw_stack!G$2:G$100000, "&lt;="&amp;EOMONTH(DATE(2025,10,1),0)
 ),
 IF(OR(_xlpm.x=0, _xlpm.x=""), "-", _xlpm.x)
)</f>
        <v>61499</v>
      </c>
      <c r="W113" s="55" t="str">
        <f>_xlfn.LET(
 _xlpm.x,
 _xlfn.MAXIFS(
  raw_stack!G$2:G$99411,
  raw_stack!D$2:D$99411, G113,
  raw_stack!F$2:F$99411, "Iya",
  raw_stack!G$2:G$99411, "&gt;="&amp;DATE(2025,11,1),
  raw_stack!G$2:G$99411, "&lt;="&amp;EOMONTH(DATE(2025,11,1),0)
 ),
 IF(_xlpm.x=0, "-", _xlpm.x)
)</f>
        <v>-</v>
      </c>
      <c r="X113" s="56" t="str">
        <f>_xlfn.LET(
 _xlpm.x,
 _xlfn.MAXIFS(
  raw_stack!H$2:H$100000,
  raw_stack!D$2:D$100000, G113,
  raw_stack!F$2:F$100000, "Iya",
  raw_stack!G$2:G$100000, "&gt;="&amp;DATE(2025,11,1),
  raw_stack!G$2:G$100000, "&lt;="&amp;EOMONTH(DATE(2025,11,1),0)
 ),
 IF(OR(_xlpm.x=0, _xlpm.x=""), "-", _xlpm.x)
)</f>
        <v>-</v>
      </c>
      <c r="Y113" s="55" t="str">
        <f>_xlfn.LET(
 _xlpm.x,
 _xlfn.MAXIFS(
  raw_stack!G$2:G$99411,
  raw_stack!D$2:D$99411, G113,
  raw_stack!F$2:F$99411, "Iya",
  raw_stack!G$2:G$99411, "&gt;="&amp;DATE(2025,12,1),
  raw_stack!G$2:G$99411, "&lt;="&amp;EOMONTH(DATE(2025,12,1),0)
 ),
 IF(_xlpm.x=0, "-", _xlpm.x)
)</f>
        <v>-</v>
      </c>
      <c r="Z113" s="56" t="str">
        <f>_xlfn.LET(
 _xlpm.x,
 _xlfn.MAXIFS(
  raw_stack!H$2:H$100000,
  raw_stack!D$2:D$100000, G113,
  raw_stack!F$2:F$100000, "Iya",
  raw_stack!G$2:G$100000, "&gt;="&amp;DATE(2025,12,1),
  raw_stack!G$2:G$100000, "&lt;="&amp;EOMONTH(DATE(2025,12,1),0)
 ),
 IF(OR(_xlpm.x=0, _xlpm.x=""), "-", _xlpm.x)
)</f>
        <v>-</v>
      </c>
      <c r="AA113" s="55" t="str">
        <f>_xlfn.LET(
 _xlpm.x,
 _xlfn.MAXIFS(
  raw_stack!G$2:G$99411,
  raw_stack!D$2:D$99411, G113,
  raw_stack!F$2:F$99411, "Iya",
  raw_stack!G$2:G$99411, "&gt;="&amp;DATE(2026,1,1),
  raw_stack!G$2:G$99411, "&lt;="&amp;EOMONTH(DATE(2026,1,1),0)
 ),
 IF(_xlpm.x=0, "-", _xlpm.x)
)</f>
        <v>-</v>
      </c>
      <c r="AB113" s="56" t="str">
        <f>_xlfn.LET(
 _xlpm.x,
 _xlfn.MAXIFS(
  raw_stack!H$2:H$100000,
  raw_stack!D$2:D$100000, G113,
  raw_stack!F$2:F$100000, "Iya",
  raw_stack!G$2:G$100000, "&gt;="&amp;DATE(2026,1,1),
  raw_stack!G$2:G$100000, "&lt;="&amp;EOMONTH(DATE(2026,1,1),0)
 ),
 IF(OR(_xlpm.x=0, _xlpm.x=""), "-", _xlpm.x)
)</f>
        <v>-</v>
      </c>
      <c r="AC113" s="55" t="str">
        <f>_xlfn.LET(
 _xlpm.x,
 _xlfn.MAXIFS(
  raw_stack!G$2:G$99411,
  raw_stack!D$2:D$99411, G113,
  raw_stack!F$2:F$99411, "Iya",
  raw_stack!G$2:G$99411, "&gt;="&amp;DATE(2026,2,1),
  raw_stack!G$2:G$99411, "&lt;="&amp;EOMONTH(DATE(2026,2,1),0)
 ),
 IF(_xlpm.x=0, "-", _xlpm.x)
)</f>
        <v>-</v>
      </c>
      <c r="AD113" s="56" t="str">
        <f>_xlfn.LET(
 _xlpm.x,
 _xlfn.MAXIFS(
  raw_stack!H$2:H$100000,
  raw_stack!D$2:D$100000, G113,
  raw_stack!F$2:F$100000, "Iya",
  raw_stack!G$2:G$100000, "&gt;="&amp;DATE(2026,2,1),
  raw_stack!G$2:G$100000, "&lt;="&amp;EOMONTH(DATE(2026,2,1),0)
 ),
 IF(OR(_xlpm.x=0, _xlpm.x=""), "-", _xlpm.x)
)</f>
        <v>-</v>
      </c>
      <c r="AE113" s="55" t="str">
        <f>_xlfn.LET(
 _xlpm.x,
 _xlfn.MAXIFS(
  raw_stack!G$2:G$100000,
  raw_stack!D$2:D$100000, G113,
  raw_stack!F$2:F$100000, "Iya",
  raw_stack!G$2:G$100000, "&gt;="&amp;DATE(2026,3,1),
  raw_stack!G$2:G$100000, "&lt;="&amp;EOMONTH(DATE(2026,3,1),0)
 ),
 IF(_xlpm.x=0, "-", _xlpm.x)
)</f>
        <v>-</v>
      </c>
      <c r="AF113" s="56" t="str">
        <f>_xlfn.LET(
 _xlpm.x,
 _xlfn.MAXIFS(
  raw_stack!H$2:H$100000,
  raw_stack!D$2:D$100000, G113,
  raw_stack!F$2:F$100000, "Iya",
  raw_stack!G$2:G$100000, "&gt;="&amp;DATE(2026,3,1),
  raw_stack!G$2:G$100000, "&lt;="&amp;EOMONTH(DATE(2026,3,1),0)
 ),
 IF(OR(_xlpm.x=0, _xlpm.x=""), "-", _xlpm.x)
)</f>
        <v>-</v>
      </c>
      <c r="AG113" s="55" t="str">
        <f>_xlfn.LET(
 _xlpm.x,
 _xlfn.MAXIFS(
  raw_stack!G$2:G$100000,
  raw_stack!D$2:D$100000, G113,
  raw_stack!F$2:F$100000, "Iya",
  raw_stack!G$2:G$100000, "&gt;="&amp;DATE(2026,4,1),
  raw_stack!G$2:G$100000, "&lt;="&amp;EOMONTH(DATE(2026,4,1),0)
 ),
 IF(_xlpm.x=0, "-", _xlpm.x)
)</f>
        <v>-</v>
      </c>
      <c r="AH113" s="56" t="str">
        <f>_xlfn.LET(
 _xlpm.x,
 _xlfn.MAXIFS(
  raw_stack!H$2:H$100000,
  raw_stack!D$2:D$100000, G113,
  raw_stack!F$2:F$100000, "Iya",
  raw_stack!G$2:G$100000, "&gt;="&amp;DATE(2026,4,1),
  raw_stack!G$2:G$100000, "&lt;="&amp;EOMONTH(DATE(2026,4,1),0)
 ),
 IF(OR(_xlpm.x=0, _xlpm.x=""), "-", _xlpm.x)
)</f>
        <v>-</v>
      </c>
    </row>
    <row r="114" spans="1:34">
      <c r="A114" s="48">
        <v>113</v>
      </c>
      <c r="B114" s="49" t="str">
        <f t="shared" si="1"/>
        <v>85231</v>
      </c>
      <c r="C114" s="50" t="s">
        <v>46</v>
      </c>
      <c r="D114" s="51" t="s">
        <v>560</v>
      </c>
      <c r="E114" s="51" t="s">
        <v>47</v>
      </c>
      <c r="F114" s="49" t="s">
        <v>117</v>
      </c>
      <c r="G114" s="49" t="s">
        <v>230</v>
      </c>
      <c r="H114" s="49" t="s">
        <v>48</v>
      </c>
      <c r="I114" s="49" t="s">
        <v>49</v>
      </c>
      <c r="J114" s="52">
        <v>4375000</v>
      </c>
      <c r="K114" s="53">
        <v>45280</v>
      </c>
      <c r="L114" s="53">
        <v>46375</v>
      </c>
      <c r="M114" s="53">
        <v>46072</v>
      </c>
      <c r="N114" s="49" t="s">
        <v>50</v>
      </c>
      <c r="O114" s="54" t="str">
        <f>_xlfn.LET(
 _xlpm.x,
 _xlfn.MAXIFS(
  raw_stack!G$2:G$100000,
  raw_stack!D$2:D$100000, G114,
  raw_stack!F$2:F$100000, "Iya",
  raw_stack!G$2:G$100000, "&gt;="&amp;DATE(2025,7,1),
  raw_stack!G$2:G$100000, "&lt;="&amp;EOMONTH(DATE(2025,7,1),0)
 ),
 IF(_xlpm.x=0, "-", _xlpm.x)
)</f>
        <v>-</v>
      </c>
      <c r="P114" s="65" t="str">
        <f>_xlfn.LET(
 _xlpm.x,
 _xlfn.MAXIFS(
  raw_stack!H$2:H$100000,
  raw_stack!D$2:D$100000, G114,
  raw_stack!F$2:F$100000, "Iya",
  raw_stack!G$2:G$100000, "&gt;="&amp;DATE(2025,7,1),
  raw_stack!G$2:G$100000, "&lt;="&amp;EOMONTH(DATE(2025,7,1),0)
 ),
 IF(OR(_xlpm.x=0, _xlpm.x=""), "-", _xlpm.x)
)</f>
        <v>-</v>
      </c>
      <c r="Q114" s="54" t="str">
        <f>_xlfn.LET(
 _xlpm.x,
 _xlfn.MAXIFS(
  raw_stack!G$2:G$99411,
  raw_stack!D$2:D$99411, G114,
  raw_stack!F$2:F$99411, "Iya",
  raw_stack!G$2:G$99411, "&gt;="&amp;DATE(2025,8,1),
  raw_stack!G$2:G$99411, "&lt;="&amp;EOMONTH(DATE(2025,8,1),0)
 ),
 IF(_xlpm.x=0, "-", _xlpm.x)
)</f>
        <v>-</v>
      </c>
      <c r="R114" s="65" t="str">
        <f>_xlfn.LET(
 _xlpm.x,
 _xlfn.MAXIFS(
  raw_stack!H$2:H$100000,
  raw_stack!D$2:D$100000, G114,
  raw_stack!F$2:F$100000, "Iya",
  raw_stack!G$2:G$100000, "&gt;="&amp;DATE(2025,8,1),
  raw_stack!G$2:G$100000, "&lt;="&amp;EOMONTH(DATE(2025,8,1),0)
 ),
 IF(OR(_xlpm.x=0, _xlpm.x=""), "-", _xlpm.x)
)</f>
        <v>-</v>
      </c>
      <c r="S114" s="54" t="str">
        <f>_xlfn.LET(
 _xlpm.x,
 _xlfn.MAXIFS(
  raw_stack!G$2:G$99411,
  raw_stack!D$2:D$99411, G114,
  raw_stack!F$2:F$99411, "Iya",
  raw_stack!G$2:G$99411, "&gt;="&amp;DATE(2025,9,1),
  raw_stack!G$2:G$99411, "&lt;="&amp;EOMONTH(DATE(2025,9,1),0)
 ),
 IF(_xlpm.x=0, "-", _xlpm.x)
)</f>
        <v>-</v>
      </c>
      <c r="T114" s="65" t="str">
        <f>_xlfn.LET(
 _xlpm.x,
 _xlfn.MAXIFS(
  raw_stack!H$2:H$100000,
  raw_stack!D$2:D$100000, G114,
  raw_stack!F$2:F$100000, "Iya",
  raw_stack!G$2:G$100000, "&gt;="&amp;DATE(2025,9,1),
  raw_stack!G$2:G$100000, "&lt;="&amp;EOMONTH(DATE(2025,9,1),0)
 ),
 IF(OR(_xlpm.x=0, _xlpm.x=""), "-", _xlpm.x)
)</f>
        <v>-</v>
      </c>
      <c r="U114" s="54" t="str">
        <f>_xlfn.LET(
 _xlpm.x,
 _xlfn.MAXIFS(
  raw_stack!G$2:G$99411,
  raw_stack!D$2:D$99411, G114,
  raw_stack!F$2:F$99411, "Iya",
  raw_stack!G$2:G$99411, "&gt;="&amp;DATE(2025,10,1),
  raw_stack!G$2:G$99411, "&lt;="&amp;EOMONTH(DATE(2025,10,1),0)
 ),
 IF(_xlpm.x=0, "-", _xlpm.x)
)</f>
        <v>-</v>
      </c>
      <c r="V114" s="65" t="str">
        <f>_xlfn.LET(
 _xlpm.x,
 _xlfn.MAXIFS(
  raw_stack!H$2:H$100000,
  raw_stack!D$2:D$100000, G114,
  raw_stack!F$2:F$100000, "Iya",
  raw_stack!G$2:G$100000, "&gt;="&amp;DATE(2025,10,1),
  raw_stack!G$2:G$100000, "&lt;="&amp;EOMONTH(DATE(2025,10,1),0)
 ),
 IF(OR(_xlpm.x=0, _xlpm.x=""), "-", _xlpm.x)
)</f>
        <v>-</v>
      </c>
      <c r="W114" s="55">
        <f>_xlfn.LET(
 _xlpm.x,
 _xlfn.MAXIFS(
  raw_stack!G$2:G$99411,
  raw_stack!D$2:D$99411, G114,
  raw_stack!F$2:F$99411, "Iya",
  raw_stack!G$2:G$99411, "&gt;="&amp;DATE(2025,11,1),
  raw_stack!G$2:G$99411, "&lt;="&amp;EOMONTH(DATE(2025,11,1),0)
 ),
 IF(_xlpm.x=0, "-", _xlpm.x)
)</f>
        <v>45980</v>
      </c>
      <c r="X114" s="56">
        <f>_xlfn.LET(
 _xlpm.x,
 _xlfn.MAXIFS(
  raw_stack!H$2:H$100000,
  raw_stack!D$2:D$100000, G114,
  raw_stack!F$2:F$100000, "Iya",
  raw_stack!G$2:G$100000, "&gt;="&amp;DATE(2025,11,1),
  raw_stack!G$2:G$100000, "&lt;="&amp;EOMONTH(DATE(2025,11,1),0)
 ),
 IF(OR(_xlpm.x=0, _xlpm.x=""), "-", _xlpm.x)
)</f>
        <v>23779</v>
      </c>
      <c r="Y114" s="55" t="str">
        <f>_xlfn.LET(
 _xlpm.x,
 _xlfn.MAXIFS(
  raw_stack!G$2:G$99411,
  raw_stack!D$2:D$99411, G114,
  raw_stack!F$2:F$99411, "Iya",
  raw_stack!G$2:G$99411, "&gt;="&amp;DATE(2025,12,1),
  raw_stack!G$2:G$99411, "&lt;="&amp;EOMONTH(DATE(2025,12,1),0)
 ),
 IF(_xlpm.x=0, "-", _xlpm.x)
)</f>
        <v>-</v>
      </c>
      <c r="Z114" s="56" t="str">
        <f>_xlfn.LET(
 _xlpm.x,
 _xlfn.MAXIFS(
  raw_stack!H$2:H$100000,
  raw_stack!D$2:D$100000, G114,
  raw_stack!F$2:F$100000, "Iya",
  raw_stack!G$2:G$100000, "&gt;="&amp;DATE(2025,12,1),
  raw_stack!G$2:G$100000, "&lt;="&amp;EOMONTH(DATE(2025,12,1),0)
 ),
 IF(OR(_xlpm.x=0, _xlpm.x=""), "-", _xlpm.x)
)</f>
        <v>-</v>
      </c>
      <c r="AA114" s="55" t="str">
        <f>_xlfn.LET(
 _xlpm.x,
 _xlfn.MAXIFS(
  raw_stack!G$2:G$99411,
  raw_stack!D$2:D$99411, G114,
  raw_stack!F$2:F$99411, "Iya",
  raw_stack!G$2:G$99411, "&gt;="&amp;DATE(2026,1,1),
  raw_stack!G$2:G$99411, "&lt;="&amp;EOMONTH(DATE(2026,1,1),0)
 ),
 IF(_xlpm.x=0, "-", _xlpm.x)
)</f>
        <v>-</v>
      </c>
      <c r="AB114" s="56" t="str">
        <f>_xlfn.LET(
 _xlpm.x,
 _xlfn.MAXIFS(
  raw_stack!H$2:H$100000,
  raw_stack!D$2:D$100000, G114,
  raw_stack!F$2:F$100000, "Iya",
  raw_stack!G$2:G$100000, "&gt;="&amp;DATE(2026,1,1),
  raw_stack!G$2:G$100000, "&lt;="&amp;EOMONTH(DATE(2026,1,1),0)
 ),
 IF(OR(_xlpm.x=0, _xlpm.x=""), "-", _xlpm.x)
)</f>
        <v>-</v>
      </c>
      <c r="AC114" s="55" t="str">
        <f>_xlfn.LET(
 _xlpm.x,
 _xlfn.MAXIFS(
  raw_stack!G$2:G$99411,
  raw_stack!D$2:D$99411, G114,
  raw_stack!F$2:F$99411, "Iya",
  raw_stack!G$2:G$99411, "&gt;="&amp;DATE(2026,2,1),
  raw_stack!G$2:G$99411, "&lt;="&amp;EOMONTH(DATE(2026,2,1),0)
 ),
 IF(_xlpm.x=0, "-", _xlpm.x)
)</f>
        <v>-</v>
      </c>
      <c r="AD114" s="56" t="str">
        <f>_xlfn.LET(
 _xlpm.x,
 _xlfn.MAXIFS(
  raw_stack!H$2:H$100000,
  raw_stack!D$2:D$100000, G114,
  raw_stack!F$2:F$100000, "Iya",
  raw_stack!G$2:G$100000, "&gt;="&amp;DATE(2026,2,1),
  raw_stack!G$2:G$100000, "&lt;="&amp;EOMONTH(DATE(2026,2,1),0)
 ),
 IF(OR(_xlpm.x=0, _xlpm.x=""), "-", _xlpm.x)
)</f>
        <v>-</v>
      </c>
      <c r="AE114" s="55" t="str">
        <f>_xlfn.LET(
 _xlpm.x,
 _xlfn.MAXIFS(
  raw_stack!G$2:G$100000,
  raw_stack!D$2:D$100000, G114,
  raw_stack!F$2:F$100000, "Iya",
  raw_stack!G$2:G$100000, "&gt;="&amp;DATE(2026,3,1),
  raw_stack!G$2:G$100000, "&lt;="&amp;EOMONTH(DATE(2026,3,1),0)
 ),
 IF(_xlpm.x=0, "-", _xlpm.x)
)</f>
        <v>-</v>
      </c>
      <c r="AF114" s="56" t="str">
        <f>_xlfn.LET(
 _xlpm.x,
 _xlfn.MAXIFS(
  raw_stack!H$2:H$100000,
  raw_stack!D$2:D$100000, G114,
  raw_stack!F$2:F$100000, "Iya",
  raw_stack!G$2:G$100000, "&gt;="&amp;DATE(2026,3,1),
  raw_stack!G$2:G$100000, "&lt;="&amp;EOMONTH(DATE(2026,3,1),0)
 ),
 IF(OR(_xlpm.x=0, _xlpm.x=""), "-", _xlpm.x)
)</f>
        <v>-</v>
      </c>
      <c r="AG114" s="55" t="str">
        <f>_xlfn.LET(
 _xlpm.x,
 _xlfn.MAXIFS(
  raw_stack!G$2:G$100000,
  raw_stack!D$2:D$100000, G114,
  raw_stack!F$2:F$100000, "Iya",
  raw_stack!G$2:G$100000, "&gt;="&amp;DATE(2026,4,1),
  raw_stack!G$2:G$100000, "&lt;="&amp;EOMONTH(DATE(2026,4,1),0)
 ),
 IF(_xlpm.x=0, "-", _xlpm.x)
)</f>
        <v>-</v>
      </c>
      <c r="AH114" s="56" t="str">
        <f>_xlfn.LET(
 _xlpm.x,
 _xlfn.MAXIFS(
  raw_stack!H$2:H$100000,
  raw_stack!D$2:D$100000, G114,
  raw_stack!F$2:F$100000, "Iya",
  raw_stack!G$2:G$100000, "&gt;="&amp;DATE(2026,4,1),
  raw_stack!G$2:G$100000, "&lt;="&amp;EOMONTH(DATE(2026,4,1),0)
 ),
 IF(OR(_xlpm.x=0, _xlpm.x=""), "-", _xlpm.x)
)</f>
        <v>-</v>
      </c>
    </row>
    <row r="115" spans="1:34">
      <c r="A115" s="48">
        <v>114</v>
      </c>
      <c r="B115" s="49" t="str">
        <f t="shared" si="1"/>
        <v>95009</v>
      </c>
      <c r="C115" s="50" t="s">
        <v>46</v>
      </c>
      <c r="D115" s="51" t="s">
        <v>561</v>
      </c>
      <c r="E115" s="51" t="s">
        <v>47</v>
      </c>
      <c r="F115" s="49" t="s">
        <v>117</v>
      </c>
      <c r="G115" s="49" t="s">
        <v>231</v>
      </c>
      <c r="H115" s="49" t="s">
        <v>48</v>
      </c>
      <c r="I115" s="49" t="s">
        <v>49</v>
      </c>
      <c r="J115" s="52">
        <v>3875000</v>
      </c>
      <c r="K115" s="53">
        <v>46014</v>
      </c>
      <c r="L115" s="53">
        <v>46378</v>
      </c>
      <c r="M115" s="53">
        <v>46075</v>
      </c>
      <c r="N115" s="49" t="s">
        <v>50</v>
      </c>
      <c r="O115" s="54" t="str">
        <f>_xlfn.LET(
 _xlpm.x,
 _xlfn.MAXIFS(
  raw_stack!G$2:G$100000,
  raw_stack!D$2:D$100000, G115,
  raw_stack!F$2:F$100000, "Iya",
  raw_stack!G$2:G$100000, "&gt;="&amp;DATE(2025,7,1),
  raw_stack!G$2:G$100000, "&lt;="&amp;EOMONTH(DATE(2025,7,1),0)
 ),
 IF(_xlpm.x=0, "-", _xlpm.x)
)</f>
        <v>-</v>
      </c>
      <c r="P115" s="65" t="str">
        <f>_xlfn.LET(
 _xlpm.x,
 _xlfn.MAXIFS(
  raw_stack!H$2:H$100000,
  raw_stack!D$2:D$100000, G115,
  raw_stack!F$2:F$100000, "Iya",
  raw_stack!G$2:G$100000, "&gt;="&amp;DATE(2025,7,1),
  raw_stack!G$2:G$100000, "&lt;="&amp;EOMONTH(DATE(2025,7,1),0)
 ),
 IF(OR(_xlpm.x=0, _xlpm.x=""), "-", _xlpm.x)
)</f>
        <v>-</v>
      </c>
      <c r="Q115" s="54" t="str">
        <f>_xlfn.LET(
 _xlpm.x,
 _xlfn.MAXIFS(
  raw_stack!G$2:G$99411,
  raw_stack!D$2:D$99411, G115,
  raw_stack!F$2:F$99411, "Iya",
  raw_stack!G$2:G$99411, "&gt;="&amp;DATE(2025,8,1),
  raw_stack!G$2:G$99411, "&lt;="&amp;EOMONTH(DATE(2025,8,1),0)
 ),
 IF(_xlpm.x=0, "-", _xlpm.x)
)</f>
        <v>-</v>
      </c>
      <c r="R115" s="65" t="str">
        <f>_xlfn.LET(
 _xlpm.x,
 _xlfn.MAXIFS(
  raw_stack!H$2:H$100000,
  raw_stack!D$2:D$100000, G115,
  raw_stack!F$2:F$100000, "Iya",
  raw_stack!G$2:G$100000, "&gt;="&amp;DATE(2025,8,1),
  raw_stack!G$2:G$100000, "&lt;="&amp;EOMONTH(DATE(2025,8,1),0)
 ),
 IF(OR(_xlpm.x=0, _xlpm.x=""), "-", _xlpm.x)
)</f>
        <v>-</v>
      </c>
      <c r="S115" s="54" t="str">
        <f>_xlfn.LET(
 _xlpm.x,
 _xlfn.MAXIFS(
  raw_stack!G$2:G$99411,
  raw_stack!D$2:D$99411, G115,
  raw_stack!F$2:F$99411, "Iya",
  raw_stack!G$2:G$99411, "&gt;="&amp;DATE(2025,9,1),
  raw_stack!G$2:G$99411, "&lt;="&amp;EOMONTH(DATE(2025,9,1),0)
 ),
 IF(_xlpm.x=0, "-", _xlpm.x)
)</f>
        <v>-</v>
      </c>
      <c r="T115" s="65" t="str">
        <f>_xlfn.LET(
 _xlpm.x,
 _xlfn.MAXIFS(
  raw_stack!H$2:H$100000,
  raw_stack!D$2:D$100000, G115,
  raw_stack!F$2:F$100000, "Iya",
  raw_stack!G$2:G$100000, "&gt;="&amp;DATE(2025,9,1),
  raw_stack!G$2:G$100000, "&lt;="&amp;EOMONTH(DATE(2025,9,1),0)
 ),
 IF(OR(_xlpm.x=0, _xlpm.x=""), "-", _xlpm.x)
)</f>
        <v>-</v>
      </c>
      <c r="U115" s="54" t="str">
        <f>_xlfn.LET(
 _xlpm.x,
 _xlfn.MAXIFS(
  raw_stack!G$2:G$99411,
  raw_stack!D$2:D$99411, G115,
  raw_stack!F$2:F$99411, "Iya",
  raw_stack!G$2:G$99411, "&gt;="&amp;DATE(2025,10,1),
  raw_stack!G$2:G$99411, "&lt;="&amp;EOMONTH(DATE(2025,10,1),0)
 ),
 IF(_xlpm.x=0, "-", _xlpm.x)
)</f>
        <v>-</v>
      </c>
      <c r="V115" s="65" t="str">
        <f>_xlfn.LET(
 _xlpm.x,
 _xlfn.MAXIFS(
  raw_stack!H$2:H$100000,
  raw_stack!D$2:D$100000, G115,
  raw_stack!F$2:F$100000, "Iya",
  raw_stack!G$2:G$100000, "&gt;="&amp;DATE(2025,10,1),
  raw_stack!G$2:G$100000, "&lt;="&amp;EOMONTH(DATE(2025,10,1),0)
 ),
 IF(OR(_xlpm.x=0, _xlpm.x=""), "-", _xlpm.x)
)</f>
        <v>-</v>
      </c>
      <c r="W115" s="55">
        <f>_xlfn.LET(
 _xlpm.x,
 _xlfn.MAXIFS(
  raw_stack!G$2:G$99411,
  raw_stack!D$2:D$99411, G115,
  raw_stack!F$2:F$99411, "Iya",
  raw_stack!G$2:G$99411, "&gt;="&amp;DATE(2025,11,1),
  raw_stack!G$2:G$99411, "&lt;="&amp;EOMONTH(DATE(2025,11,1),0)
 ),
 IF(_xlpm.x=0, "-", _xlpm.x)
)</f>
        <v>45987</v>
      </c>
      <c r="X115" s="56">
        <f>_xlfn.LET(
 _xlpm.x,
 _xlfn.MAXIFS(
  raw_stack!H$2:H$100000,
  raw_stack!D$2:D$100000, G115,
  raw_stack!F$2:F$100000, "Iya",
  raw_stack!G$2:G$100000, "&gt;="&amp;DATE(2025,11,1),
  raw_stack!G$2:G$100000, "&lt;="&amp;EOMONTH(DATE(2025,11,1),0)
 ),
 IF(OR(_xlpm.x=0, _xlpm.x=""), "-", _xlpm.x)
)</f>
        <v>65643</v>
      </c>
      <c r="Y115" s="55" t="str">
        <f>_xlfn.LET(
 _xlpm.x,
 _xlfn.MAXIFS(
  raw_stack!G$2:G$99411,
  raw_stack!D$2:D$99411, G115,
  raw_stack!F$2:F$99411, "Iya",
  raw_stack!G$2:G$99411, "&gt;="&amp;DATE(2025,12,1),
  raw_stack!G$2:G$99411, "&lt;="&amp;EOMONTH(DATE(2025,12,1),0)
 ),
 IF(_xlpm.x=0, "-", _xlpm.x)
)</f>
        <v>-</v>
      </c>
      <c r="Z115" s="56" t="str">
        <f>_xlfn.LET(
 _xlpm.x,
 _xlfn.MAXIFS(
  raw_stack!H$2:H$100000,
  raw_stack!D$2:D$100000, G115,
  raw_stack!F$2:F$100000, "Iya",
  raw_stack!G$2:G$100000, "&gt;="&amp;DATE(2025,12,1),
  raw_stack!G$2:G$100000, "&lt;="&amp;EOMONTH(DATE(2025,12,1),0)
 ),
 IF(OR(_xlpm.x=0, _xlpm.x=""), "-", _xlpm.x)
)</f>
        <v>-</v>
      </c>
      <c r="AA115" s="55" t="str">
        <f>_xlfn.LET(
 _xlpm.x,
 _xlfn.MAXIFS(
  raw_stack!G$2:G$99411,
  raw_stack!D$2:D$99411, G115,
  raw_stack!F$2:F$99411, "Iya",
  raw_stack!G$2:G$99411, "&gt;="&amp;DATE(2026,1,1),
  raw_stack!G$2:G$99411, "&lt;="&amp;EOMONTH(DATE(2026,1,1),0)
 ),
 IF(_xlpm.x=0, "-", _xlpm.x)
)</f>
        <v>-</v>
      </c>
      <c r="AB115" s="56" t="str">
        <f>_xlfn.LET(
 _xlpm.x,
 _xlfn.MAXIFS(
  raw_stack!H$2:H$100000,
  raw_stack!D$2:D$100000, G115,
  raw_stack!F$2:F$100000, "Iya",
  raw_stack!G$2:G$100000, "&gt;="&amp;DATE(2026,1,1),
  raw_stack!G$2:G$100000, "&lt;="&amp;EOMONTH(DATE(2026,1,1),0)
 ),
 IF(OR(_xlpm.x=0, _xlpm.x=""), "-", _xlpm.x)
)</f>
        <v>-</v>
      </c>
      <c r="AC115" s="55" t="str">
        <f>_xlfn.LET(
 _xlpm.x,
 _xlfn.MAXIFS(
  raw_stack!G$2:G$99411,
  raw_stack!D$2:D$99411, G115,
  raw_stack!F$2:F$99411, "Iya",
  raw_stack!G$2:G$99411, "&gt;="&amp;DATE(2026,2,1),
  raw_stack!G$2:G$99411, "&lt;="&amp;EOMONTH(DATE(2026,2,1),0)
 ),
 IF(_xlpm.x=0, "-", _xlpm.x)
)</f>
        <v>-</v>
      </c>
      <c r="AD115" s="56" t="str">
        <f>_xlfn.LET(
 _xlpm.x,
 _xlfn.MAXIFS(
  raw_stack!H$2:H$100000,
  raw_stack!D$2:D$100000, G115,
  raw_stack!F$2:F$100000, "Iya",
  raw_stack!G$2:G$100000, "&gt;="&amp;DATE(2026,2,1),
  raw_stack!G$2:G$100000, "&lt;="&amp;EOMONTH(DATE(2026,2,1),0)
 ),
 IF(OR(_xlpm.x=0, _xlpm.x=""), "-", _xlpm.x)
)</f>
        <v>-</v>
      </c>
      <c r="AE115" s="55" t="str">
        <f>_xlfn.LET(
 _xlpm.x,
 _xlfn.MAXIFS(
  raw_stack!G$2:G$100000,
  raw_stack!D$2:D$100000, G115,
  raw_stack!F$2:F$100000, "Iya",
  raw_stack!G$2:G$100000, "&gt;="&amp;DATE(2026,3,1),
  raw_stack!G$2:G$100000, "&lt;="&amp;EOMONTH(DATE(2026,3,1),0)
 ),
 IF(_xlpm.x=0, "-", _xlpm.x)
)</f>
        <v>-</v>
      </c>
      <c r="AF115" s="56" t="str">
        <f>_xlfn.LET(
 _xlpm.x,
 _xlfn.MAXIFS(
  raw_stack!H$2:H$100000,
  raw_stack!D$2:D$100000, G115,
  raw_stack!F$2:F$100000, "Iya",
  raw_stack!G$2:G$100000, "&gt;="&amp;DATE(2026,3,1),
  raw_stack!G$2:G$100000, "&lt;="&amp;EOMONTH(DATE(2026,3,1),0)
 ),
 IF(OR(_xlpm.x=0, _xlpm.x=""), "-", _xlpm.x)
)</f>
        <v>-</v>
      </c>
      <c r="AG115" s="55" t="str">
        <f>_xlfn.LET(
 _xlpm.x,
 _xlfn.MAXIFS(
  raw_stack!G$2:G$100000,
  raw_stack!D$2:D$100000, G115,
  raw_stack!F$2:F$100000, "Iya",
  raw_stack!G$2:G$100000, "&gt;="&amp;DATE(2026,4,1),
  raw_stack!G$2:G$100000, "&lt;="&amp;EOMONTH(DATE(2026,4,1),0)
 ),
 IF(_xlpm.x=0, "-", _xlpm.x)
)</f>
        <v>-</v>
      </c>
      <c r="AH115" s="56" t="str">
        <f>_xlfn.LET(
 _xlpm.x,
 _xlfn.MAXIFS(
  raw_stack!H$2:H$100000,
  raw_stack!D$2:D$100000, G115,
  raw_stack!F$2:F$100000, "Iya",
  raw_stack!G$2:G$100000, "&gt;="&amp;DATE(2026,4,1),
  raw_stack!G$2:G$100000, "&lt;="&amp;EOMONTH(DATE(2026,4,1),0)
 ),
 IF(OR(_xlpm.x=0, _xlpm.x=""), "-", _xlpm.x)
)</f>
        <v>-</v>
      </c>
    </row>
    <row r="116" spans="1:34">
      <c r="A116" s="48">
        <v>115</v>
      </c>
      <c r="B116" s="49" t="str">
        <f t="shared" si="1"/>
        <v>23031</v>
      </c>
      <c r="C116" s="50" t="s">
        <v>46</v>
      </c>
      <c r="D116" s="51" t="s">
        <v>562</v>
      </c>
      <c r="E116" s="51" t="s">
        <v>47</v>
      </c>
      <c r="F116" s="49" t="s">
        <v>117</v>
      </c>
      <c r="G116" s="49" t="s">
        <v>232</v>
      </c>
      <c r="H116" s="49" t="s">
        <v>48</v>
      </c>
      <c r="I116" s="49" t="s">
        <v>49</v>
      </c>
      <c r="J116" s="52">
        <v>3875000</v>
      </c>
      <c r="K116" s="53">
        <v>46019</v>
      </c>
      <c r="L116" s="53">
        <v>46383</v>
      </c>
      <c r="M116" s="53">
        <v>46080</v>
      </c>
      <c r="N116" s="49" t="s">
        <v>50</v>
      </c>
      <c r="O116" s="54" t="str">
        <f>_xlfn.LET(
 _xlpm.x,
 _xlfn.MAXIFS(
  raw_stack!G$2:G$100000,
  raw_stack!D$2:D$100000, G116,
  raw_stack!F$2:F$100000, "Iya",
  raw_stack!G$2:G$100000, "&gt;="&amp;DATE(2025,7,1),
  raw_stack!G$2:G$100000, "&lt;="&amp;EOMONTH(DATE(2025,7,1),0)
 ),
 IF(_xlpm.x=0, "-", _xlpm.x)
)</f>
        <v>-</v>
      </c>
      <c r="P116" s="65" t="str">
        <f>_xlfn.LET(
 _xlpm.x,
 _xlfn.MAXIFS(
  raw_stack!H$2:H$100000,
  raw_stack!D$2:D$100000, G116,
  raw_stack!F$2:F$100000, "Iya",
  raw_stack!G$2:G$100000, "&gt;="&amp;DATE(2025,7,1),
  raw_stack!G$2:G$100000, "&lt;="&amp;EOMONTH(DATE(2025,7,1),0)
 ),
 IF(OR(_xlpm.x=0, _xlpm.x=""), "-", _xlpm.x)
)</f>
        <v>-</v>
      </c>
      <c r="Q116" s="54" t="str">
        <f>_xlfn.LET(
 _xlpm.x,
 _xlfn.MAXIFS(
  raw_stack!G$2:G$99411,
  raw_stack!D$2:D$99411, G116,
  raw_stack!F$2:F$99411, "Iya",
  raw_stack!G$2:G$99411, "&gt;="&amp;DATE(2025,8,1),
  raw_stack!G$2:G$99411, "&lt;="&amp;EOMONTH(DATE(2025,8,1),0)
 ),
 IF(_xlpm.x=0, "-", _xlpm.x)
)</f>
        <v>-</v>
      </c>
      <c r="R116" s="65" t="str">
        <f>_xlfn.LET(
 _xlpm.x,
 _xlfn.MAXIFS(
  raw_stack!H$2:H$100000,
  raw_stack!D$2:D$100000, G116,
  raw_stack!F$2:F$100000, "Iya",
  raw_stack!G$2:G$100000, "&gt;="&amp;DATE(2025,8,1),
  raw_stack!G$2:G$100000, "&lt;="&amp;EOMONTH(DATE(2025,8,1),0)
 ),
 IF(OR(_xlpm.x=0, _xlpm.x=""), "-", _xlpm.x)
)</f>
        <v>-</v>
      </c>
      <c r="S116" s="54" t="str">
        <f>_xlfn.LET(
 _xlpm.x,
 _xlfn.MAXIFS(
  raw_stack!G$2:G$99411,
  raw_stack!D$2:D$99411, G116,
  raw_stack!F$2:F$99411, "Iya",
  raw_stack!G$2:G$99411, "&gt;="&amp;DATE(2025,9,1),
  raw_stack!G$2:G$99411, "&lt;="&amp;EOMONTH(DATE(2025,9,1),0)
 ),
 IF(_xlpm.x=0, "-", _xlpm.x)
)</f>
        <v>-</v>
      </c>
      <c r="T116" s="65" t="str">
        <f>_xlfn.LET(
 _xlpm.x,
 _xlfn.MAXIFS(
  raw_stack!H$2:H$100000,
  raw_stack!D$2:D$100000, G116,
  raw_stack!F$2:F$100000, "Iya",
  raw_stack!G$2:G$100000, "&gt;="&amp;DATE(2025,9,1),
  raw_stack!G$2:G$100000, "&lt;="&amp;EOMONTH(DATE(2025,9,1),0)
 ),
 IF(OR(_xlpm.x=0, _xlpm.x=""), "-", _xlpm.x)
)</f>
        <v>-</v>
      </c>
      <c r="U116" s="54">
        <f>_xlfn.LET(
 _xlpm.x,
 _xlfn.MAXIFS(
  raw_stack!G$2:G$99411,
  raw_stack!D$2:D$99411, G116,
  raw_stack!F$2:F$99411, "Iya",
  raw_stack!G$2:G$99411, "&gt;="&amp;DATE(2025,10,1),
  raw_stack!G$2:G$99411, "&lt;="&amp;EOMONTH(DATE(2025,10,1),0)
 ),
 IF(_xlpm.x=0, "-", _xlpm.x)
)</f>
        <v>45932</v>
      </c>
      <c r="V116" s="65">
        <f>_xlfn.LET(
 _xlpm.x,
 _xlfn.MAXIFS(
  raw_stack!H$2:H$100000,
  raw_stack!D$2:D$100000, G116,
  raw_stack!F$2:F$100000, "Iya",
  raw_stack!G$2:G$100000, "&gt;="&amp;DATE(2025,10,1),
  raw_stack!G$2:G$100000, "&lt;="&amp;EOMONTH(DATE(2025,10,1),0)
 ),
 IF(OR(_xlpm.x=0, _xlpm.x=""), "-", _xlpm.x)
)</f>
        <v>103745</v>
      </c>
      <c r="W116" s="55" t="str">
        <f>_xlfn.LET(
 _xlpm.x,
 _xlfn.MAXIFS(
  raw_stack!G$2:G$99411,
  raw_stack!D$2:D$99411, G116,
  raw_stack!F$2:F$99411, "Iya",
  raw_stack!G$2:G$99411, "&gt;="&amp;DATE(2025,11,1),
  raw_stack!G$2:G$99411, "&lt;="&amp;EOMONTH(DATE(2025,11,1),0)
 ),
 IF(_xlpm.x=0, "-", _xlpm.x)
)</f>
        <v>-</v>
      </c>
      <c r="X116" s="56" t="str">
        <f>_xlfn.LET(
 _xlpm.x,
 _xlfn.MAXIFS(
  raw_stack!H$2:H$100000,
  raw_stack!D$2:D$100000, G116,
  raw_stack!F$2:F$100000, "Iya",
  raw_stack!G$2:G$100000, "&gt;="&amp;DATE(2025,11,1),
  raw_stack!G$2:G$100000, "&lt;="&amp;EOMONTH(DATE(2025,11,1),0)
 ),
 IF(OR(_xlpm.x=0, _xlpm.x=""), "-", _xlpm.x)
)</f>
        <v>-</v>
      </c>
      <c r="Y116" s="55" t="str">
        <f>_xlfn.LET(
 _xlpm.x,
 _xlfn.MAXIFS(
  raw_stack!G$2:G$99411,
  raw_stack!D$2:D$99411, G116,
  raw_stack!F$2:F$99411, "Iya",
  raw_stack!G$2:G$99411, "&gt;="&amp;DATE(2025,12,1),
  raw_stack!G$2:G$99411, "&lt;="&amp;EOMONTH(DATE(2025,12,1),0)
 ),
 IF(_xlpm.x=0, "-", _xlpm.x)
)</f>
        <v>-</v>
      </c>
      <c r="Z116" s="56" t="str">
        <f>_xlfn.LET(
 _xlpm.x,
 _xlfn.MAXIFS(
  raw_stack!H$2:H$100000,
  raw_stack!D$2:D$100000, G116,
  raw_stack!F$2:F$100000, "Iya",
  raw_stack!G$2:G$100000, "&gt;="&amp;DATE(2025,12,1),
  raw_stack!G$2:G$100000, "&lt;="&amp;EOMONTH(DATE(2025,12,1),0)
 ),
 IF(OR(_xlpm.x=0, _xlpm.x=""), "-", _xlpm.x)
)</f>
        <v>-</v>
      </c>
      <c r="AA116" s="55">
        <f>_xlfn.LET(
 _xlpm.x,
 _xlfn.MAXIFS(
  raw_stack!G$2:G$99411,
  raw_stack!D$2:D$99411, G116,
  raw_stack!F$2:F$99411, "Iya",
  raw_stack!G$2:G$99411, "&gt;="&amp;DATE(2026,1,1),
  raw_stack!G$2:G$99411, "&lt;="&amp;EOMONTH(DATE(2026,1,1),0)
 ),
 IF(_xlpm.x=0, "-", _xlpm.x)
)</f>
        <v>46029</v>
      </c>
      <c r="AB116" s="56">
        <f>_xlfn.LET(
 _xlpm.x,
 _xlfn.MAXIFS(
  raw_stack!H$2:H$100000,
  raw_stack!D$2:D$100000, G116,
  raw_stack!F$2:F$100000, "Iya",
  raw_stack!G$2:G$100000, "&gt;="&amp;DATE(2026,1,1),
  raw_stack!G$2:G$100000, "&lt;="&amp;EOMONTH(DATE(2026,1,1),0)
 ),
 IF(OR(_xlpm.x=0, _xlpm.x=""), "-", _xlpm.x)
)</f>
        <v>112547</v>
      </c>
      <c r="AC116" s="55" t="str">
        <f>_xlfn.LET(
 _xlpm.x,
 _xlfn.MAXIFS(
  raw_stack!G$2:G$99411,
  raw_stack!D$2:D$99411, G116,
  raw_stack!F$2:F$99411, "Iya",
  raw_stack!G$2:G$99411, "&gt;="&amp;DATE(2026,2,1),
  raw_stack!G$2:G$99411, "&lt;="&amp;EOMONTH(DATE(2026,2,1),0)
 ),
 IF(_xlpm.x=0, "-", _xlpm.x)
)</f>
        <v>-</v>
      </c>
      <c r="AD116" s="56" t="str">
        <f>_xlfn.LET(
 _xlpm.x,
 _xlfn.MAXIFS(
  raw_stack!H$2:H$100000,
  raw_stack!D$2:D$100000, G116,
  raw_stack!F$2:F$100000, "Iya",
  raw_stack!G$2:G$100000, "&gt;="&amp;DATE(2026,2,1),
  raw_stack!G$2:G$100000, "&lt;="&amp;EOMONTH(DATE(2026,2,1),0)
 ),
 IF(OR(_xlpm.x=0, _xlpm.x=""), "-", _xlpm.x)
)</f>
        <v>-</v>
      </c>
      <c r="AE116" s="55" t="str">
        <f>_xlfn.LET(
 _xlpm.x,
 _xlfn.MAXIFS(
  raw_stack!G$2:G$100000,
  raw_stack!D$2:D$100000, G116,
  raw_stack!F$2:F$100000, "Iya",
  raw_stack!G$2:G$100000, "&gt;="&amp;DATE(2026,3,1),
  raw_stack!G$2:G$100000, "&lt;="&amp;EOMONTH(DATE(2026,3,1),0)
 ),
 IF(_xlpm.x=0, "-", _xlpm.x)
)</f>
        <v>-</v>
      </c>
      <c r="AF116" s="56" t="str">
        <f>_xlfn.LET(
 _xlpm.x,
 _xlfn.MAXIFS(
  raw_stack!H$2:H$100000,
  raw_stack!D$2:D$100000, G116,
  raw_stack!F$2:F$100000, "Iya",
  raw_stack!G$2:G$100000, "&gt;="&amp;DATE(2026,3,1),
  raw_stack!G$2:G$100000, "&lt;="&amp;EOMONTH(DATE(2026,3,1),0)
 ),
 IF(OR(_xlpm.x=0, _xlpm.x=""), "-", _xlpm.x)
)</f>
        <v>-</v>
      </c>
      <c r="AG116" s="55" t="str">
        <f>_xlfn.LET(
 _xlpm.x,
 _xlfn.MAXIFS(
  raw_stack!G$2:G$100000,
  raw_stack!D$2:D$100000, G116,
  raw_stack!F$2:F$100000, "Iya",
  raw_stack!G$2:G$100000, "&gt;="&amp;DATE(2026,4,1),
  raw_stack!G$2:G$100000, "&lt;="&amp;EOMONTH(DATE(2026,4,1),0)
 ),
 IF(_xlpm.x=0, "-", _xlpm.x)
)</f>
        <v>-</v>
      </c>
      <c r="AH116" s="56" t="str">
        <f>_xlfn.LET(
 _xlpm.x,
 _xlfn.MAXIFS(
  raw_stack!H$2:H$100000,
  raw_stack!D$2:D$100000, G116,
  raw_stack!F$2:F$100000, "Iya",
  raw_stack!G$2:G$100000, "&gt;="&amp;DATE(2026,4,1),
  raw_stack!G$2:G$100000, "&lt;="&amp;EOMONTH(DATE(2026,4,1),0)
 ),
 IF(OR(_xlpm.x=0, _xlpm.x=""), "-", _xlpm.x)
)</f>
        <v>-</v>
      </c>
    </row>
    <row r="117" spans="1:34">
      <c r="A117" s="48">
        <v>116</v>
      </c>
      <c r="B117" s="49" t="str">
        <f t="shared" si="1"/>
        <v>10814</v>
      </c>
      <c r="C117" s="50" t="s">
        <v>46</v>
      </c>
      <c r="D117" s="51" t="s">
        <v>548</v>
      </c>
      <c r="E117" s="51" t="s">
        <v>56</v>
      </c>
      <c r="F117" s="49" t="s">
        <v>117</v>
      </c>
      <c r="G117" s="49" t="s">
        <v>233</v>
      </c>
      <c r="H117" s="49" t="s">
        <v>48</v>
      </c>
      <c r="I117" s="49" t="s">
        <v>52</v>
      </c>
      <c r="J117" s="52">
        <v>6915000</v>
      </c>
      <c r="K117" s="53">
        <v>45289</v>
      </c>
      <c r="L117" s="53">
        <v>46390</v>
      </c>
      <c r="M117" s="53">
        <v>46108</v>
      </c>
      <c r="N117" s="49" t="s">
        <v>50</v>
      </c>
      <c r="O117" s="54" t="str">
        <f>_xlfn.LET(
 _xlpm.x,
 _xlfn.MAXIFS(
  raw_stack!G$2:G$100000,
  raw_stack!D$2:D$100000, G117,
  raw_stack!F$2:F$100000, "Iya",
  raw_stack!G$2:G$100000, "&gt;="&amp;DATE(2025,7,1),
  raw_stack!G$2:G$100000, "&lt;="&amp;EOMONTH(DATE(2025,7,1),0)
 ),
 IF(_xlpm.x=0, "-", _xlpm.x)
)</f>
        <v>-</v>
      </c>
      <c r="P117" s="65" t="str">
        <f>_xlfn.LET(
 _xlpm.x,
 _xlfn.MAXIFS(
  raw_stack!H$2:H$100000,
  raw_stack!D$2:D$100000, G117,
  raw_stack!F$2:F$100000, "Iya",
  raw_stack!G$2:G$100000, "&gt;="&amp;DATE(2025,7,1),
  raw_stack!G$2:G$100000, "&lt;="&amp;EOMONTH(DATE(2025,7,1),0)
 ),
 IF(OR(_xlpm.x=0, _xlpm.x=""), "-", _xlpm.x)
)</f>
        <v>-</v>
      </c>
      <c r="Q117" s="54">
        <f>_xlfn.LET(
 _xlpm.x,
 _xlfn.MAXIFS(
  raw_stack!G$2:G$99411,
  raw_stack!D$2:D$99411, G117,
  raw_stack!F$2:F$99411, "Iya",
  raw_stack!G$2:G$99411, "&gt;="&amp;DATE(2025,8,1),
  raw_stack!G$2:G$99411, "&lt;="&amp;EOMONTH(DATE(2025,8,1),0)
 ),
 IF(_xlpm.x=0, "-", _xlpm.x)
)</f>
        <v>45880</v>
      </c>
      <c r="R117" s="65">
        <f>_xlfn.LET(
 _xlpm.x,
 _xlfn.MAXIFS(
  raw_stack!H$2:H$100000,
  raw_stack!D$2:D$100000, G117,
  raw_stack!F$2:F$100000, "Iya",
  raw_stack!G$2:G$100000, "&gt;="&amp;DATE(2025,8,1),
  raw_stack!G$2:G$100000, "&lt;="&amp;EOMONTH(DATE(2025,8,1),0)
 ),
 IF(OR(_xlpm.x=0, _xlpm.x=""), "-", _xlpm.x)
)</f>
        <v>6159</v>
      </c>
      <c r="S117" s="54" t="str">
        <f>_xlfn.LET(
 _xlpm.x,
 _xlfn.MAXIFS(
  raw_stack!G$2:G$99411,
  raw_stack!D$2:D$99411, G117,
  raw_stack!F$2:F$99411, "Iya",
  raw_stack!G$2:G$99411, "&gt;="&amp;DATE(2025,9,1),
  raw_stack!G$2:G$99411, "&lt;="&amp;EOMONTH(DATE(2025,9,1),0)
 ),
 IF(_xlpm.x=0, "-", _xlpm.x)
)</f>
        <v>-</v>
      </c>
      <c r="T117" s="65" t="str">
        <f>_xlfn.LET(
 _xlpm.x,
 _xlfn.MAXIFS(
  raw_stack!H$2:H$100000,
  raw_stack!D$2:D$100000, G117,
  raw_stack!F$2:F$100000, "Iya",
  raw_stack!G$2:G$100000, "&gt;="&amp;DATE(2025,9,1),
  raw_stack!G$2:G$100000, "&lt;="&amp;EOMONTH(DATE(2025,9,1),0)
 ),
 IF(OR(_xlpm.x=0, _xlpm.x=""), "-", _xlpm.x)
)</f>
        <v>-</v>
      </c>
      <c r="U117" s="54" t="str">
        <f>_xlfn.LET(
 _xlpm.x,
 _xlfn.MAXIFS(
  raw_stack!G$2:G$99411,
  raw_stack!D$2:D$99411, G117,
  raw_stack!F$2:F$99411, "Iya",
  raw_stack!G$2:G$99411, "&gt;="&amp;DATE(2025,10,1),
  raw_stack!G$2:G$99411, "&lt;="&amp;EOMONTH(DATE(2025,10,1),0)
 ),
 IF(_xlpm.x=0, "-", _xlpm.x)
)</f>
        <v>-</v>
      </c>
      <c r="V117" s="65" t="str">
        <f>_xlfn.LET(
 _xlpm.x,
 _xlfn.MAXIFS(
  raw_stack!H$2:H$100000,
  raw_stack!D$2:D$100000, G117,
  raw_stack!F$2:F$100000, "Iya",
  raw_stack!G$2:G$100000, "&gt;="&amp;DATE(2025,10,1),
  raw_stack!G$2:G$100000, "&lt;="&amp;EOMONTH(DATE(2025,10,1),0)
 ),
 IF(OR(_xlpm.x=0, _xlpm.x=""), "-", _xlpm.x)
)</f>
        <v>-</v>
      </c>
      <c r="W117" s="55" t="str">
        <f>_xlfn.LET(
 _xlpm.x,
 _xlfn.MAXIFS(
  raw_stack!G$2:G$99411,
  raw_stack!D$2:D$99411, G117,
  raw_stack!F$2:F$99411, "Iya",
  raw_stack!G$2:G$99411, "&gt;="&amp;DATE(2025,11,1),
  raw_stack!G$2:G$99411, "&lt;="&amp;EOMONTH(DATE(2025,11,1),0)
 ),
 IF(_xlpm.x=0, "-", _xlpm.x)
)</f>
        <v>-</v>
      </c>
      <c r="X117" s="56" t="str">
        <f>_xlfn.LET(
 _xlpm.x,
 _xlfn.MAXIFS(
  raw_stack!H$2:H$100000,
  raw_stack!D$2:D$100000, G117,
  raw_stack!F$2:F$100000, "Iya",
  raw_stack!G$2:G$100000, "&gt;="&amp;DATE(2025,11,1),
  raw_stack!G$2:G$100000, "&lt;="&amp;EOMONTH(DATE(2025,11,1),0)
 ),
 IF(OR(_xlpm.x=0, _xlpm.x=""), "-", _xlpm.x)
)</f>
        <v>-</v>
      </c>
      <c r="Y117" s="55">
        <f>_xlfn.LET(
 _xlpm.x,
 _xlfn.MAXIFS(
  raw_stack!G$2:G$99411,
  raw_stack!D$2:D$99411, G117,
  raw_stack!F$2:F$99411, "Iya",
  raw_stack!G$2:G$99411, "&gt;="&amp;DATE(2025,12,1),
  raw_stack!G$2:G$99411, "&lt;="&amp;EOMONTH(DATE(2025,12,1),0)
 ),
 IF(_xlpm.x=0, "-", _xlpm.x)
)</f>
        <v>45993</v>
      </c>
      <c r="Z117" s="56">
        <f>_xlfn.LET(
 _xlpm.x,
 _xlfn.MAXIFS(
  raw_stack!H$2:H$100000,
  raw_stack!D$2:D$100000, G117,
  raw_stack!F$2:F$100000, "Iya",
  raw_stack!G$2:G$100000, "&gt;="&amp;DATE(2025,12,1),
  raw_stack!G$2:G$100000, "&lt;="&amp;EOMONTH(DATE(2025,12,1),0)
 ),
 IF(OR(_xlpm.x=0, _xlpm.x=""), "-", _xlpm.x)
)</f>
        <v>8661</v>
      </c>
      <c r="AA117" s="55" t="str">
        <f>_xlfn.LET(
 _xlpm.x,
 _xlfn.MAXIFS(
  raw_stack!G$2:G$99411,
  raw_stack!D$2:D$99411, G117,
  raw_stack!F$2:F$99411, "Iya",
  raw_stack!G$2:G$99411, "&gt;="&amp;DATE(2026,1,1),
  raw_stack!G$2:G$99411, "&lt;="&amp;EOMONTH(DATE(2026,1,1),0)
 ),
 IF(_xlpm.x=0, "-", _xlpm.x)
)</f>
        <v>-</v>
      </c>
      <c r="AB117" s="56" t="str">
        <f>_xlfn.LET(
 _xlpm.x,
 _xlfn.MAXIFS(
  raw_stack!H$2:H$100000,
  raw_stack!D$2:D$100000, G117,
  raw_stack!F$2:F$100000, "Iya",
  raw_stack!G$2:G$100000, "&gt;="&amp;DATE(2026,1,1),
  raw_stack!G$2:G$100000, "&lt;="&amp;EOMONTH(DATE(2026,1,1),0)
 ),
 IF(OR(_xlpm.x=0, _xlpm.x=""), "-", _xlpm.x)
)</f>
        <v>-</v>
      </c>
      <c r="AC117" s="55" t="str">
        <f>_xlfn.LET(
 _xlpm.x,
 _xlfn.MAXIFS(
  raw_stack!G$2:G$99411,
  raw_stack!D$2:D$99411, G117,
  raw_stack!F$2:F$99411, "Iya",
  raw_stack!G$2:G$99411, "&gt;="&amp;DATE(2026,2,1),
  raw_stack!G$2:G$99411, "&lt;="&amp;EOMONTH(DATE(2026,2,1),0)
 ),
 IF(_xlpm.x=0, "-", _xlpm.x)
)</f>
        <v>-</v>
      </c>
      <c r="AD117" s="56" t="str">
        <f>_xlfn.LET(
 _xlpm.x,
 _xlfn.MAXIFS(
  raw_stack!H$2:H$100000,
  raw_stack!D$2:D$100000, G117,
  raw_stack!F$2:F$100000, "Iya",
  raw_stack!G$2:G$100000, "&gt;="&amp;DATE(2026,2,1),
  raw_stack!G$2:G$100000, "&lt;="&amp;EOMONTH(DATE(2026,2,1),0)
 ),
 IF(OR(_xlpm.x=0, _xlpm.x=""), "-", _xlpm.x)
)</f>
        <v>-</v>
      </c>
      <c r="AE117" s="55" t="str">
        <f>_xlfn.LET(
 _xlpm.x,
 _xlfn.MAXIFS(
  raw_stack!G$2:G$100000,
  raw_stack!D$2:D$100000, G117,
  raw_stack!F$2:F$100000, "Iya",
  raw_stack!G$2:G$100000, "&gt;="&amp;DATE(2026,3,1),
  raw_stack!G$2:G$100000, "&lt;="&amp;EOMONTH(DATE(2026,3,1),0)
 ),
 IF(_xlpm.x=0, "-", _xlpm.x)
)</f>
        <v>-</v>
      </c>
      <c r="AF117" s="56" t="str">
        <f>_xlfn.LET(
 _xlpm.x,
 _xlfn.MAXIFS(
  raw_stack!H$2:H$100000,
  raw_stack!D$2:D$100000, G117,
  raw_stack!F$2:F$100000, "Iya",
  raw_stack!G$2:G$100000, "&gt;="&amp;DATE(2026,3,1),
  raw_stack!G$2:G$100000, "&lt;="&amp;EOMONTH(DATE(2026,3,1),0)
 ),
 IF(OR(_xlpm.x=0, _xlpm.x=""), "-", _xlpm.x)
)</f>
        <v>-</v>
      </c>
      <c r="AG117" s="55" t="str">
        <f>_xlfn.LET(
 _xlpm.x,
 _xlfn.MAXIFS(
  raw_stack!G$2:G$100000,
  raw_stack!D$2:D$100000, G117,
  raw_stack!F$2:F$100000, "Iya",
  raw_stack!G$2:G$100000, "&gt;="&amp;DATE(2026,4,1),
  raw_stack!G$2:G$100000, "&lt;="&amp;EOMONTH(DATE(2026,4,1),0)
 ),
 IF(_xlpm.x=0, "-", _xlpm.x)
)</f>
        <v>-</v>
      </c>
      <c r="AH117" s="56" t="str">
        <f>_xlfn.LET(
 _xlpm.x,
 _xlfn.MAXIFS(
  raw_stack!H$2:H$100000,
  raw_stack!D$2:D$100000, G117,
  raw_stack!F$2:F$100000, "Iya",
  raw_stack!G$2:G$100000, "&gt;="&amp;DATE(2026,4,1),
  raw_stack!G$2:G$100000, "&lt;="&amp;EOMONTH(DATE(2026,4,1),0)
 ),
 IF(OR(_xlpm.x=0, _xlpm.x=""), "-", _xlpm.x)
)</f>
        <v>-</v>
      </c>
    </row>
    <row r="118" spans="1:34">
      <c r="A118" s="48">
        <v>117</v>
      </c>
      <c r="B118" s="49" t="str">
        <f t="shared" si="1"/>
        <v>66668</v>
      </c>
      <c r="C118" s="50" t="s">
        <v>46</v>
      </c>
      <c r="D118" s="51" t="s">
        <v>563</v>
      </c>
      <c r="E118" s="51" t="s">
        <v>47</v>
      </c>
      <c r="F118" s="49" t="s">
        <v>117</v>
      </c>
      <c r="G118" s="49" t="s">
        <v>234</v>
      </c>
      <c r="H118" s="49" t="s">
        <v>48</v>
      </c>
      <c r="I118" s="49" t="s">
        <v>49</v>
      </c>
      <c r="J118" s="52">
        <v>3875000</v>
      </c>
      <c r="K118" s="53">
        <v>46034</v>
      </c>
      <c r="L118" s="53">
        <v>46398</v>
      </c>
      <c r="M118" s="53">
        <v>46064</v>
      </c>
      <c r="N118" s="49" t="s">
        <v>50</v>
      </c>
      <c r="O118" s="54" t="str">
        <f>_xlfn.LET(
 _xlpm.x,
 _xlfn.MAXIFS(
  raw_stack!G$2:G$100000,
  raw_stack!D$2:D$100000, G118,
  raw_stack!F$2:F$100000, "Iya",
  raw_stack!G$2:G$100000, "&gt;="&amp;DATE(2025,7,1),
  raw_stack!G$2:G$100000, "&lt;="&amp;EOMONTH(DATE(2025,7,1),0)
 ),
 IF(_xlpm.x=0, "-", _xlpm.x)
)</f>
        <v>-</v>
      </c>
      <c r="P118" s="65" t="str">
        <f>_xlfn.LET(
 _xlpm.x,
 _xlfn.MAXIFS(
  raw_stack!H$2:H$100000,
  raw_stack!D$2:D$100000, G118,
  raw_stack!F$2:F$100000, "Iya",
  raw_stack!G$2:G$100000, "&gt;="&amp;DATE(2025,7,1),
  raw_stack!G$2:G$100000, "&lt;="&amp;EOMONTH(DATE(2025,7,1),0)
 ),
 IF(OR(_xlpm.x=0, _xlpm.x=""), "-", _xlpm.x)
)</f>
        <v>-</v>
      </c>
      <c r="Q118" s="54" t="str">
        <f>_xlfn.LET(
 _xlpm.x,
 _xlfn.MAXIFS(
  raw_stack!G$2:G$99411,
  raw_stack!D$2:D$99411, G118,
  raw_stack!F$2:F$99411, "Iya",
  raw_stack!G$2:G$99411, "&gt;="&amp;DATE(2025,8,1),
  raw_stack!G$2:G$99411, "&lt;="&amp;EOMONTH(DATE(2025,8,1),0)
 ),
 IF(_xlpm.x=0, "-", _xlpm.x)
)</f>
        <v>-</v>
      </c>
      <c r="R118" s="65" t="str">
        <f>_xlfn.LET(
 _xlpm.x,
 _xlfn.MAXIFS(
  raw_stack!H$2:H$100000,
  raw_stack!D$2:D$100000, G118,
  raw_stack!F$2:F$100000, "Iya",
  raw_stack!G$2:G$100000, "&gt;="&amp;DATE(2025,8,1),
  raw_stack!G$2:G$100000, "&lt;="&amp;EOMONTH(DATE(2025,8,1),0)
 ),
 IF(OR(_xlpm.x=0, _xlpm.x=""), "-", _xlpm.x)
)</f>
        <v>-</v>
      </c>
      <c r="S118" s="54" t="str">
        <f>_xlfn.LET(
 _xlpm.x,
 _xlfn.MAXIFS(
  raw_stack!G$2:G$99411,
  raw_stack!D$2:D$99411, G118,
  raw_stack!F$2:F$99411, "Iya",
  raw_stack!G$2:G$99411, "&gt;="&amp;DATE(2025,9,1),
  raw_stack!G$2:G$99411, "&lt;="&amp;EOMONTH(DATE(2025,9,1),0)
 ),
 IF(_xlpm.x=0, "-", _xlpm.x)
)</f>
        <v>-</v>
      </c>
      <c r="T118" s="65" t="str">
        <f>_xlfn.LET(
 _xlpm.x,
 _xlfn.MAXIFS(
  raw_stack!H$2:H$100000,
  raw_stack!D$2:D$100000, G118,
  raw_stack!F$2:F$100000, "Iya",
  raw_stack!G$2:G$100000, "&gt;="&amp;DATE(2025,9,1),
  raw_stack!G$2:G$100000, "&lt;="&amp;EOMONTH(DATE(2025,9,1),0)
 ),
 IF(OR(_xlpm.x=0, _xlpm.x=""), "-", _xlpm.x)
)</f>
        <v>-</v>
      </c>
      <c r="U118" s="54" t="str">
        <f>_xlfn.LET(
 _xlpm.x,
 _xlfn.MAXIFS(
  raw_stack!G$2:G$99411,
  raw_stack!D$2:D$99411, G118,
  raw_stack!F$2:F$99411, "Iya",
  raw_stack!G$2:G$99411, "&gt;="&amp;DATE(2025,10,1),
  raw_stack!G$2:G$99411, "&lt;="&amp;EOMONTH(DATE(2025,10,1),0)
 ),
 IF(_xlpm.x=0, "-", _xlpm.x)
)</f>
        <v>-</v>
      </c>
      <c r="V118" s="65" t="str">
        <f>_xlfn.LET(
 _xlpm.x,
 _xlfn.MAXIFS(
  raw_stack!H$2:H$100000,
  raw_stack!D$2:D$100000, G118,
  raw_stack!F$2:F$100000, "Iya",
  raw_stack!G$2:G$100000, "&gt;="&amp;DATE(2025,10,1),
  raw_stack!G$2:G$100000, "&lt;="&amp;EOMONTH(DATE(2025,10,1),0)
 ),
 IF(OR(_xlpm.x=0, _xlpm.x=""), "-", _xlpm.x)
)</f>
        <v>-</v>
      </c>
      <c r="W118" s="55" t="str">
        <f>_xlfn.LET(
 _xlpm.x,
 _xlfn.MAXIFS(
  raw_stack!G$2:G$99411,
  raw_stack!D$2:D$99411, G118,
  raw_stack!F$2:F$99411, "Iya",
  raw_stack!G$2:G$99411, "&gt;="&amp;DATE(2025,11,1),
  raw_stack!G$2:G$99411, "&lt;="&amp;EOMONTH(DATE(2025,11,1),0)
 ),
 IF(_xlpm.x=0, "-", _xlpm.x)
)</f>
        <v>-</v>
      </c>
      <c r="X118" s="56" t="str">
        <f>_xlfn.LET(
 _xlpm.x,
 _xlfn.MAXIFS(
  raw_stack!H$2:H$100000,
  raw_stack!D$2:D$100000, G118,
  raw_stack!F$2:F$100000, "Iya",
  raw_stack!G$2:G$100000, "&gt;="&amp;DATE(2025,11,1),
  raw_stack!G$2:G$100000, "&lt;="&amp;EOMONTH(DATE(2025,11,1),0)
 ),
 IF(OR(_xlpm.x=0, _xlpm.x=""), "-", _xlpm.x)
)</f>
        <v>-</v>
      </c>
      <c r="Y118" s="55">
        <f>_xlfn.LET(
 _xlpm.x,
 _xlfn.MAXIFS(
  raw_stack!G$2:G$99411,
  raw_stack!D$2:D$99411, G118,
  raw_stack!F$2:F$99411, "Iya",
  raw_stack!G$2:G$99411, "&gt;="&amp;DATE(2025,12,1),
  raw_stack!G$2:G$99411, "&lt;="&amp;EOMONTH(DATE(2025,12,1),0)
 ),
 IF(_xlpm.x=0, "-", _xlpm.x)
)</f>
        <v>46001</v>
      </c>
      <c r="Z118" s="56">
        <f>_xlfn.LET(
 _xlpm.x,
 _xlfn.MAXIFS(
  raw_stack!H$2:H$100000,
  raw_stack!D$2:D$100000, G118,
  raw_stack!F$2:F$100000, "Iya",
  raw_stack!G$2:G$100000, "&gt;="&amp;DATE(2025,12,1),
  raw_stack!G$2:G$100000, "&lt;="&amp;EOMONTH(DATE(2025,12,1),0)
 ),
 IF(OR(_xlpm.x=0, _xlpm.x=""), "-", _xlpm.x)
)</f>
        <v>67810</v>
      </c>
      <c r="AA118" s="55" t="str">
        <f>_xlfn.LET(
 _xlpm.x,
 _xlfn.MAXIFS(
  raw_stack!G$2:G$99411,
  raw_stack!D$2:D$99411, G118,
  raw_stack!F$2:F$99411, "Iya",
  raw_stack!G$2:G$99411, "&gt;="&amp;DATE(2026,1,1),
  raw_stack!G$2:G$99411, "&lt;="&amp;EOMONTH(DATE(2026,1,1),0)
 ),
 IF(_xlpm.x=0, "-", _xlpm.x)
)</f>
        <v>-</v>
      </c>
      <c r="AB118" s="56" t="str">
        <f>_xlfn.LET(
 _xlpm.x,
 _xlfn.MAXIFS(
  raw_stack!H$2:H$100000,
  raw_stack!D$2:D$100000, G118,
  raw_stack!F$2:F$100000, "Iya",
  raw_stack!G$2:G$100000, "&gt;="&amp;DATE(2026,1,1),
  raw_stack!G$2:G$100000, "&lt;="&amp;EOMONTH(DATE(2026,1,1),0)
 ),
 IF(OR(_xlpm.x=0, _xlpm.x=""), "-", _xlpm.x)
)</f>
        <v>-</v>
      </c>
      <c r="AC118" s="55" t="str">
        <f>_xlfn.LET(
 _xlpm.x,
 _xlfn.MAXIFS(
  raw_stack!G$2:G$99411,
  raw_stack!D$2:D$99411, G118,
  raw_stack!F$2:F$99411, "Iya",
  raw_stack!G$2:G$99411, "&gt;="&amp;DATE(2026,2,1),
  raw_stack!G$2:G$99411, "&lt;="&amp;EOMONTH(DATE(2026,2,1),0)
 ),
 IF(_xlpm.x=0, "-", _xlpm.x)
)</f>
        <v>-</v>
      </c>
      <c r="AD118" s="56" t="str">
        <f>_xlfn.LET(
 _xlpm.x,
 _xlfn.MAXIFS(
  raw_stack!H$2:H$100000,
  raw_stack!D$2:D$100000, G118,
  raw_stack!F$2:F$100000, "Iya",
  raw_stack!G$2:G$100000, "&gt;="&amp;DATE(2026,2,1),
  raw_stack!G$2:G$100000, "&lt;="&amp;EOMONTH(DATE(2026,2,1),0)
 ),
 IF(OR(_xlpm.x=0, _xlpm.x=""), "-", _xlpm.x)
)</f>
        <v>-</v>
      </c>
      <c r="AE118" s="55" t="str">
        <f>_xlfn.LET(
 _xlpm.x,
 _xlfn.MAXIFS(
  raw_stack!G$2:G$100000,
  raw_stack!D$2:D$100000, G118,
  raw_stack!F$2:F$100000, "Iya",
  raw_stack!G$2:G$100000, "&gt;="&amp;DATE(2026,3,1),
  raw_stack!G$2:G$100000, "&lt;="&amp;EOMONTH(DATE(2026,3,1),0)
 ),
 IF(_xlpm.x=0, "-", _xlpm.x)
)</f>
        <v>-</v>
      </c>
      <c r="AF118" s="56" t="str">
        <f>_xlfn.LET(
 _xlpm.x,
 _xlfn.MAXIFS(
  raw_stack!H$2:H$100000,
  raw_stack!D$2:D$100000, G118,
  raw_stack!F$2:F$100000, "Iya",
  raw_stack!G$2:G$100000, "&gt;="&amp;DATE(2026,3,1),
  raw_stack!G$2:G$100000, "&lt;="&amp;EOMONTH(DATE(2026,3,1),0)
 ),
 IF(OR(_xlpm.x=0, _xlpm.x=""), "-", _xlpm.x)
)</f>
        <v>-</v>
      </c>
      <c r="AG118" s="55" t="str">
        <f>_xlfn.LET(
 _xlpm.x,
 _xlfn.MAXIFS(
  raw_stack!G$2:G$100000,
  raw_stack!D$2:D$100000, G118,
  raw_stack!F$2:F$100000, "Iya",
  raw_stack!G$2:G$100000, "&gt;="&amp;DATE(2026,4,1),
  raw_stack!G$2:G$100000, "&lt;="&amp;EOMONTH(DATE(2026,4,1),0)
 ),
 IF(_xlpm.x=0, "-", _xlpm.x)
)</f>
        <v>-</v>
      </c>
      <c r="AH118" s="56" t="str">
        <f>_xlfn.LET(
 _xlpm.x,
 _xlfn.MAXIFS(
  raw_stack!H$2:H$100000,
  raw_stack!D$2:D$100000, G118,
  raw_stack!F$2:F$100000, "Iya",
  raw_stack!G$2:G$100000, "&gt;="&amp;DATE(2026,4,1),
  raw_stack!G$2:G$100000, "&lt;="&amp;EOMONTH(DATE(2026,4,1),0)
 ),
 IF(OR(_xlpm.x=0, _xlpm.x=""), "-", _xlpm.x)
)</f>
        <v>-</v>
      </c>
    </row>
    <row r="119" spans="1:34">
      <c r="A119" s="48">
        <v>118</v>
      </c>
      <c r="B119" s="49" t="str">
        <f t="shared" si="1"/>
        <v>99918</v>
      </c>
      <c r="C119" s="50" t="s">
        <v>46</v>
      </c>
      <c r="D119" s="51" t="s">
        <v>564</v>
      </c>
      <c r="E119" s="51" t="s">
        <v>54</v>
      </c>
      <c r="F119" s="49" t="s">
        <v>117</v>
      </c>
      <c r="G119" s="49" t="s">
        <v>235</v>
      </c>
      <c r="H119" s="49" t="s">
        <v>48</v>
      </c>
      <c r="I119" s="49" t="s">
        <v>52</v>
      </c>
      <c r="J119" s="52">
        <v>6450000</v>
      </c>
      <c r="K119" s="53">
        <v>45304</v>
      </c>
      <c r="L119" s="53">
        <v>46399</v>
      </c>
      <c r="M119" s="53">
        <v>46065</v>
      </c>
      <c r="N119" s="49" t="s">
        <v>50</v>
      </c>
      <c r="O119" s="54" t="str">
        <f>_xlfn.LET(
 _xlpm.x,
 _xlfn.MAXIFS(
  raw_stack!G$2:G$100000,
  raw_stack!D$2:D$100000, G119,
  raw_stack!F$2:F$100000, "Iya",
  raw_stack!G$2:G$100000, "&gt;="&amp;DATE(2025,7,1),
  raw_stack!G$2:G$100000, "&lt;="&amp;EOMONTH(DATE(2025,7,1),0)
 ),
 IF(_xlpm.x=0, "-", _xlpm.x)
)</f>
        <v>-</v>
      </c>
      <c r="P119" s="65" t="str">
        <f>_xlfn.LET(
 _xlpm.x,
 _xlfn.MAXIFS(
  raw_stack!H$2:H$100000,
  raw_stack!D$2:D$100000, G119,
  raw_stack!F$2:F$100000, "Iya",
  raw_stack!G$2:G$100000, "&gt;="&amp;DATE(2025,7,1),
  raw_stack!G$2:G$100000, "&lt;="&amp;EOMONTH(DATE(2025,7,1),0)
 ),
 IF(OR(_xlpm.x=0, _xlpm.x=""), "-", _xlpm.x)
)</f>
        <v>-</v>
      </c>
      <c r="Q119" s="54" t="str">
        <f>_xlfn.LET(
 _xlpm.x,
 _xlfn.MAXIFS(
  raw_stack!G$2:G$99411,
  raw_stack!D$2:D$99411, G119,
  raw_stack!F$2:F$99411, "Iya",
  raw_stack!G$2:G$99411, "&gt;="&amp;DATE(2025,8,1),
  raw_stack!G$2:G$99411, "&lt;="&amp;EOMONTH(DATE(2025,8,1),0)
 ),
 IF(_xlpm.x=0, "-", _xlpm.x)
)</f>
        <v>-</v>
      </c>
      <c r="R119" s="65" t="str">
        <f>_xlfn.LET(
 _xlpm.x,
 _xlfn.MAXIFS(
  raw_stack!H$2:H$100000,
  raw_stack!D$2:D$100000, G119,
  raw_stack!F$2:F$100000, "Iya",
  raw_stack!G$2:G$100000, "&gt;="&amp;DATE(2025,8,1),
  raw_stack!G$2:G$100000, "&lt;="&amp;EOMONTH(DATE(2025,8,1),0)
 ),
 IF(OR(_xlpm.x=0, _xlpm.x=""), "-", _xlpm.x)
)</f>
        <v>-</v>
      </c>
      <c r="S119" s="54" t="str">
        <f>_xlfn.LET(
 _xlpm.x,
 _xlfn.MAXIFS(
  raw_stack!G$2:G$99411,
  raw_stack!D$2:D$99411, G119,
  raw_stack!F$2:F$99411, "Iya",
  raw_stack!G$2:G$99411, "&gt;="&amp;DATE(2025,9,1),
  raw_stack!G$2:G$99411, "&lt;="&amp;EOMONTH(DATE(2025,9,1),0)
 ),
 IF(_xlpm.x=0, "-", _xlpm.x)
)</f>
        <v>-</v>
      </c>
      <c r="T119" s="65" t="str">
        <f>_xlfn.LET(
 _xlpm.x,
 _xlfn.MAXIFS(
  raw_stack!H$2:H$100000,
  raw_stack!D$2:D$100000, G119,
  raw_stack!F$2:F$100000, "Iya",
  raw_stack!G$2:G$100000, "&gt;="&amp;DATE(2025,9,1),
  raw_stack!G$2:G$100000, "&lt;="&amp;EOMONTH(DATE(2025,9,1),0)
 ),
 IF(OR(_xlpm.x=0, _xlpm.x=""), "-", _xlpm.x)
)</f>
        <v>-</v>
      </c>
      <c r="U119" s="54" t="str">
        <f>_xlfn.LET(
 _xlpm.x,
 _xlfn.MAXIFS(
  raw_stack!G$2:G$99411,
  raw_stack!D$2:D$99411, G119,
  raw_stack!F$2:F$99411, "Iya",
  raw_stack!G$2:G$99411, "&gt;="&amp;DATE(2025,10,1),
  raw_stack!G$2:G$99411, "&lt;="&amp;EOMONTH(DATE(2025,10,1),0)
 ),
 IF(_xlpm.x=0, "-", _xlpm.x)
)</f>
        <v>-</v>
      </c>
      <c r="V119" s="65" t="str">
        <f>_xlfn.LET(
 _xlpm.x,
 _xlfn.MAXIFS(
  raw_stack!H$2:H$100000,
  raw_stack!D$2:D$100000, G119,
  raw_stack!F$2:F$100000, "Iya",
  raw_stack!G$2:G$100000, "&gt;="&amp;DATE(2025,10,1),
  raw_stack!G$2:G$100000, "&lt;="&amp;EOMONTH(DATE(2025,10,1),0)
 ),
 IF(OR(_xlpm.x=0, _xlpm.x=""), "-", _xlpm.x)
)</f>
        <v>-</v>
      </c>
      <c r="W119" s="55" t="str">
        <f>_xlfn.LET(
 _xlpm.x,
 _xlfn.MAXIFS(
  raw_stack!G$2:G$99411,
  raw_stack!D$2:D$99411, G119,
  raw_stack!F$2:F$99411, "Iya",
  raw_stack!G$2:G$99411, "&gt;="&amp;DATE(2025,11,1),
  raw_stack!G$2:G$99411, "&lt;="&amp;EOMONTH(DATE(2025,11,1),0)
 ),
 IF(_xlpm.x=0, "-", _xlpm.x)
)</f>
        <v>-</v>
      </c>
      <c r="X119" s="56" t="str">
        <f>_xlfn.LET(
 _xlpm.x,
 _xlfn.MAXIFS(
  raw_stack!H$2:H$100000,
  raw_stack!D$2:D$100000, G119,
  raw_stack!F$2:F$100000, "Iya",
  raw_stack!G$2:G$100000, "&gt;="&amp;DATE(2025,11,1),
  raw_stack!G$2:G$100000, "&lt;="&amp;EOMONTH(DATE(2025,11,1),0)
 ),
 IF(OR(_xlpm.x=0, _xlpm.x=""), "-", _xlpm.x)
)</f>
        <v>-</v>
      </c>
      <c r="Y119" s="55" t="str">
        <f>_xlfn.LET(
 _xlpm.x,
 _xlfn.MAXIFS(
  raw_stack!G$2:G$99411,
  raw_stack!D$2:D$99411, G119,
  raw_stack!F$2:F$99411, "Iya",
  raw_stack!G$2:G$99411, "&gt;="&amp;DATE(2025,12,1),
  raw_stack!G$2:G$99411, "&lt;="&amp;EOMONTH(DATE(2025,12,1),0)
 ),
 IF(_xlpm.x=0, "-", _xlpm.x)
)</f>
        <v>-</v>
      </c>
      <c r="Z119" s="56" t="str">
        <f>_xlfn.LET(
 _xlpm.x,
 _xlfn.MAXIFS(
  raw_stack!H$2:H$100000,
  raw_stack!D$2:D$100000, G119,
  raw_stack!F$2:F$100000, "Iya",
  raw_stack!G$2:G$100000, "&gt;="&amp;DATE(2025,12,1),
  raw_stack!G$2:G$100000, "&lt;="&amp;EOMONTH(DATE(2025,12,1),0)
 ),
 IF(OR(_xlpm.x=0, _xlpm.x=""), "-", _xlpm.x)
)</f>
        <v>-</v>
      </c>
      <c r="AA119" s="55">
        <f>_xlfn.LET(
 _xlpm.x,
 _xlfn.MAXIFS(
  raw_stack!G$2:G$99411,
  raw_stack!D$2:D$99411, G119,
  raw_stack!F$2:F$99411, "Iya",
  raw_stack!G$2:G$99411, "&gt;="&amp;DATE(2026,1,1),
  raw_stack!G$2:G$99411, "&lt;="&amp;EOMONTH(DATE(2026,1,1),0)
 ),
 IF(_xlpm.x=0, "-", _xlpm.x)
)</f>
        <v>46027</v>
      </c>
      <c r="AB119" s="56">
        <f>_xlfn.LET(
 _xlpm.x,
 _xlfn.MAXIFS(
  raw_stack!H$2:H$100000,
  raw_stack!D$2:D$100000, G119,
  raw_stack!F$2:F$100000, "Iya",
  raw_stack!G$2:G$100000, "&gt;="&amp;DATE(2026,1,1),
  raw_stack!G$2:G$100000, "&lt;="&amp;EOMONTH(DATE(2026,1,1),0)
 ),
 IF(OR(_xlpm.x=0, _xlpm.x=""), "-", _xlpm.x)
)</f>
        <v>16291</v>
      </c>
      <c r="AC119" s="55" t="str">
        <f>_xlfn.LET(
 _xlpm.x,
 _xlfn.MAXIFS(
  raw_stack!G$2:G$99411,
  raw_stack!D$2:D$99411, G119,
  raw_stack!F$2:F$99411, "Iya",
  raw_stack!G$2:G$99411, "&gt;="&amp;DATE(2026,2,1),
  raw_stack!G$2:G$99411, "&lt;="&amp;EOMONTH(DATE(2026,2,1),0)
 ),
 IF(_xlpm.x=0, "-", _xlpm.x)
)</f>
        <v>-</v>
      </c>
      <c r="AD119" s="56" t="str">
        <f>_xlfn.LET(
 _xlpm.x,
 _xlfn.MAXIFS(
  raw_stack!H$2:H$100000,
  raw_stack!D$2:D$100000, G119,
  raw_stack!F$2:F$100000, "Iya",
  raw_stack!G$2:G$100000, "&gt;="&amp;DATE(2026,2,1),
  raw_stack!G$2:G$100000, "&lt;="&amp;EOMONTH(DATE(2026,2,1),0)
 ),
 IF(OR(_xlpm.x=0, _xlpm.x=""), "-", _xlpm.x)
)</f>
        <v>-</v>
      </c>
      <c r="AE119" s="55" t="str">
        <f>_xlfn.LET(
 _xlpm.x,
 _xlfn.MAXIFS(
  raw_stack!G$2:G$100000,
  raw_stack!D$2:D$100000, G119,
  raw_stack!F$2:F$100000, "Iya",
  raw_stack!G$2:G$100000, "&gt;="&amp;DATE(2026,3,1),
  raw_stack!G$2:G$100000, "&lt;="&amp;EOMONTH(DATE(2026,3,1),0)
 ),
 IF(_xlpm.x=0, "-", _xlpm.x)
)</f>
        <v>-</v>
      </c>
      <c r="AF119" s="56" t="str">
        <f>_xlfn.LET(
 _xlpm.x,
 _xlfn.MAXIFS(
  raw_stack!H$2:H$100000,
  raw_stack!D$2:D$100000, G119,
  raw_stack!F$2:F$100000, "Iya",
  raw_stack!G$2:G$100000, "&gt;="&amp;DATE(2026,3,1),
  raw_stack!G$2:G$100000, "&lt;="&amp;EOMONTH(DATE(2026,3,1),0)
 ),
 IF(OR(_xlpm.x=0, _xlpm.x=""), "-", _xlpm.x)
)</f>
        <v>-</v>
      </c>
      <c r="AG119" s="55" t="str">
        <f>_xlfn.LET(
 _xlpm.x,
 _xlfn.MAXIFS(
  raw_stack!G$2:G$100000,
  raw_stack!D$2:D$100000, G119,
  raw_stack!F$2:F$100000, "Iya",
  raw_stack!G$2:G$100000, "&gt;="&amp;DATE(2026,4,1),
  raw_stack!G$2:G$100000, "&lt;="&amp;EOMONTH(DATE(2026,4,1),0)
 ),
 IF(_xlpm.x=0, "-", _xlpm.x)
)</f>
        <v>-</v>
      </c>
      <c r="AH119" s="56" t="str">
        <f>_xlfn.LET(
 _xlpm.x,
 _xlfn.MAXIFS(
  raw_stack!H$2:H$100000,
  raw_stack!D$2:D$100000, G119,
  raw_stack!F$2:F$100000, "Iya",
  raw_stack!G$2:G$100000, "&gt;="&amp;DATE(2026,4,1),
  raw_stack!G$2:G$100000, "&lt;="&amp;EOMONTH(DATE(2026,4,1),0)
 ),
 IF(OR(_xlpm.x=0, _xlpm.x=""), "-", _xlpm.x)
)</f>
        <v>-</v>
      </c>
    </row>
    <row r="120" spans="1:34">
      <c r="A120" s="48">
        <v>119</v>
      </c>
      <c r="B120" s="49" t="str">
        <f t="shared" si="1"/>
        <v>39196</v>
      </c>
      <c r="C120" s="50" t="s">
        <v>46</v>
      </c>
      <c r="D120" s="51" t="s">
        <v>501</v>
      </c>
      <c r="E120" s="51" t="s">
        <v>47</v>
      </c>
      <c r="F120" s="49" t="s">
        <v>117</v>
      </c>
      <c r="G120" s="49" t="s">
        <v>236</v>
      </c>
      <c r="H120" s="49" t="s">
        <v>48</v>
      </c>
      <c r="I120" s="49" t="s">
        <v>49</v>
      </c>
      <c r="J120" s="52">
        <v>4375000</v>
      </c>
      <c r="K120" s="53">
        <v>45306</v>
      </c>
      <c r="L120" s="53">
        <v>46401</v>
      </c>
      <c r="M120" s="53">
        <v>46067</v>
      </c>
      <c r="N120" s="49" t="s">
        <v>50</v>
      </c>
      <c r="O120" s="54">
        <f>_xlfn.LET(
 _xlpm.x,
 _xlfn.MAXIFS(
  raw_stack!G$2:G$100000,
  raw_stack!D$2:D$100000, G120,
  raw_stack!F$2:F$100000, "Iya",
  raw_stack!G$2:G$100000, "&gt;="&amp;DATE(2025,7,1),
  raw_stack!G$2:G$100000, "&lt;="&amp;EOMONTH(DATE(2025,7,1),0)
 ),
 IF(_xlpm.x=0, "-", _xlpm.x)
)</f>
        <v>45845</v>
      </c>
      <c r="P120" s="65">
        <f>_xlfn.LET(
 _xlpm.x,
 _xlfn.MAXIFS(
  raw_stack!H$2:H$100000,
  raw_stack!D$2:D$100000, G120,
  raw_stack!F$2:F$100000, "Iya",
  raw_stack!G$2:G$100000, "&gt;="&amp;DATE(2025,7,1),
  raw_stack!G$2:G$100000, "&lt;="&amp;EOMONTH(DATE(2025,7,1),0)
 ),
 IF(OR(_xlpm.x=0, _xlpm.x=""), "-", _xlpm.x)
)</f>
        <v>54404</v>
      </c>
      <c r="Q120" s="54" t="str">
        <f>_xlfn.LET(
 _xlpm.x,
 _xlfn.MAXIFS(
  raw_stack!G$2:G$99411,
  raw_stack!D$2:D$99411, G120,
  raw_stack!F$2:F$99411, "Iya",
  raw_stack!G$2:G$99411, "&gt;="&amp;DATE(2025,8,1),
  raw_stack!G$2:G$99411, "&lt;="&amp;EOMONTH(DATE(2025,8,1),0)
 ),
 IF(_xlpm.x=0, "-", _xlpm.x)
)</f>
        <v>-</v>
      </c>
      <c r="R120" s="65" t="str">
        <f>_xlfn.LET(
 _xlpm.x,
 _xlfn.MAXIFS(
  raw_stack!H$2:H$100000,
  raw_stack!D$2:D$100000, G120,
  raw_stack!F$2:F$100000, "Iya",
  raw_stack!G$2:G$100000, "&gt;="&amp;DATE(2025,8,1),
  raw_stack!G$2:G$100000, "&lt;="&amp;EOMONTH(DATE(2025,8,1),0)
 ),
 IF(OR(_xlpm.x=0, _xlpm.x=""), "-", _xlpm.x)
)</f>
        <v>-</v>
      </c>
      <c r="S120" s="54" t="str">
        <f>_xlfn.LET(
 _xlpm.x,
 _xlfn.MAXIFS(
  raw_stack!G$2:G$99411,
  raw_stack!D$2:D$99411, G120,
  raw_stack!F$2:F$99411, "Iya",
  raw_stack!G$2:G$99411, "&gt;="&amp;DATE(2025,9,1),
  raw_stack!G$2:G$99411, "&lt;="&amp;EOMONTH(DATE(2025,9,1),0)
 ),
 IF(_xlpm.x=0, "-", _xlpm.x)
)</f>
        <v>-</v>
      </c>
      <c r="T120" s="65" t="str">
        <f>_xlfn.LET(
 _xlpm.x,
 _xlfn.MAXIFS(
  raw_stack!H$2:H$100000,
  raw_stack!D$2:D$100000, G120,
  raw_stack!F$2:F$100000, "Iya",
  raw_stack!G$2:G$100000, "&gt;="&amp;DATE(2025,9,1),
  raw_stack!G$2:G$100000, "&lt;="&amp;EOMONTH(DATE(2025,9,1),0)
 ),
 IF(OR(_xlpm.x=0, _xlpm.x=""), "-", _xlpm.x)
)</f>
        <v>-</v>
      </c>
      <c r="U120" s="54">
        <f>_xlfn.LET(
 _xlpm.x,
 _xlfn.MAXIFS(
  raw_stack!G$2:G$99411,
  raw_stack!D$2:D$99411, G120,
  raw_stack!F$2:F$99411, "Iya",
  raw_stack!G$2:G$99411, "&gt;="&amp;DATE(2025,10,1),
  raw_stack!G$2:G$99411, "&lt;="&amp;EOMONTH(DATE(2025,10,1),0)
 ),
 IF(_xlpm.x=0, "-", _xlpm.x)
)</f>
        <v>45944</v>
      </c>
      <c r="V120" s="65">
        <f>_xlfn.LET(
 _xlpm.x,
 _xlfn.MAXIFS(
  raw_stack!H$2:H$100000,
  raw_stack!D$2:D$100000, G120,
  raw_stack!F$2:F$100000, "Iya",
  raw_stack!G$2:G$100000, "&gt;="&amp;DATE(2025,10,1),
  raw_stack!G$2:G$100000, "&lt;="&amp;EOMONTH(DATE(2025,10,1),0)
 ),
 IF(OR(_xlpm.x=0, _xlpm.x=""), "-", _xlpm.x)
)</f>
        <v>61431</v>
      </c>
      <c r="W120" s="55" t="str">
        <f>_xlfn.LET(
 _xlpm.x,
 _xlfn.MAXIFS(
  raw_stack!G$2:G$99411,
  raw_stack!D$2:D$99411, G120,
  raw_stack!F$2:F$99411, "Iya",
  raw_stack!G$2:G$99411, "&gt;="&amp;DATE(2025,11,1),
  raw_stack!G$2:G$99411, "&lt;="&amp;EOMONTH(DATE(2025,11,1),0)
 ),
 IF(_xlpm.x=0, "-", _xlpm.x)
)</f>
        <v>-</v>
      </c>
      <c r="X120" s="56" t="str">
        <f>_xlfn.LET(
 _xlpm.x,
 _xlfn.MAXIFS(
  raw_stack!H$2:H$100000,
  raw_stack!D$2:D$100000, G120,
  raw_stack!F$2:F$100000, "Iya",
  raw_stack!G$2:G$100000, "&gt;="&amp;DATE(2025,11,1),
  raw_stack!G$2:G$100000, "&lt;="&amp;EOMONTH(DATE(2025,11,1),0)
 ),
 IF(OR(_xlpm.x=0, _xlpm.x=""), "-", _xlpm.x)
)</f>
        <v>-</v>
      </c>
      <c r="Y120" s="55" t="str">
        <f>_xlfn.LET(
 _xlpm.x,
 _xlfn.MAXIFS(
  raw_stack!G$2:G$99411,
  raw_stack!D$2:D$99411, G120,
  raw_stack!F$2:F$99411, "Iya",
  raw_stack!G$2:G$99411, "&gt;="&amp;DATE(2025,12,1),
  raw_stack!G$2:G$99411, "&lt;="&amp;EOMONTH(DATE(2025,12,1),0)
 ),
 IF(_xlpm.x=0, "-", _xlpm.x)
)</f>
        <v>-</v>
      </c>
      <c r="Z120" s="56" t="str">
        <f>_xlfn.LET(
 _xlpm.x,
 _xlfn.MAXIFS(
  raw_stack!H$2:H$100000,
  raw_stack!D$2:D$100000, G120,
  raw_stack!F$2:F$100000, "Iya",
  raw_stack!G$2:G$100000, "&gt;="&amp;DATE(2025,12,1),
  raw_stack!G$2:G$100000, "&lt;="&amp;EOMONTH(DATE(2025,12,1),0)
 ),
 IF(OR(_xlpm.x=0, _xlpm.x=""), "-", _xlpm.x)
)</f>
        <v>-</v>
      </c>
      <c r="AA120" s="55" t="str">
        <f>_xlfn.LET(
 _xlpm.x,
 _xlfn.MAXIFS(
  raw_stack!G$2:G$99411,
  raw_stack!D$2:D$99411, G120,
  raw_stack!F$2:F$99411, "Iya",
  raw_stack!G$2:G$99411, "&gt;="&amp;DATE(2026,1,1),
  raw_stack!G$2:G$99411, "&lt;="&amp;EOMONTH(DATE(2026,1,1),0)
 ),
 IF(_xlpm.x=0, "-", _xlpm.x)
)</f>
        <v>-</v>
      </c>
      <c r="AB120" s="56" t="str">
        <f>_xlfn.LET(
 _xlpm.x,
 _xlfn.MAXIFS(
  raw_stack!H$2:H$100000,
  raw_stack!D$2:D$100000, G120,
  raw_stack!F$2:F$100000, "Iya",
  raw_stack!G$2:G$100000, "&gt;="&amp;DATE(2026,1,1),
  raw_stack!G$2:G$100000, "&lt;="&amp;EOMONTH(DATE(2026,1,1),0)
 ),
 IF(OR(_xlpm.x=0, _xlpm.x=""), "-", _xlpm.x)
)</f>
        <v>-</v>
      </c>
      <c r="AC120" s="55" t="str">
        <f>_xlfn.LET(
 _xlpm.x,
 _xlfn.MAXIFS(
  raw_stack!G$2:G$99411,
  raw_stack!D$2:D$99411, G120,
  raw_stack!F$2:F$99411, "Iya",
  raw_stack!G$2:G$99411, "&gt;="&amp;DATE(2026,2,1),
  raw_stack!G$2:G$99411, "&lt;="&amp;EOMONTH(DATE(2026,2,1),0)
 ),
 IF(_xlpm.x=0, "-", _xlpm.x)
)</f>
        <v>-</v>
      </c>
      <c r="AD120" s="56" t="str">
        <f>_xlfn.LET(
 _xlpm.x,
 _xlfn.MAXIFS(
  raw_stack!H$2:H$100000,
  raw_stack!D$2:D$100000, G120,
  raw_stack!F$2:F$100000, "Iya",
  raw_stack!G$2:G$100000, "&gt;="&amp;DATE(2026,2,1),
  raw_stack!G$2:G$100000, "&lt;="&amp;EOMONTH(DATE(2026,2,1),0)
 ),
 IF(OR(_xlpm.x=0, _xlpm.x=""), "-", _xlpm.x)
)</f>
        <v>-</v>
      </c>
      <c r="AE120" s="55" t="str">
        <f>_xlfn.LET(
 _xlpm.x,
 _xlfn.MAXIFS(
  raw_stack!G$2:G$100000,
  raw_stack!D$2:D$100000, G120,
  raw_stack!F$2:F$100000, "Iya",
  raw_stack!G$2:G$100000, "&gt;="&amp;DATE(2026,3,1),
  raw_stack!G$2:G$100000, "&lt;="&amp;EOMONTH(DATE(2026,3,1),0)
 ),
 IF(_xlpm.x=0, "-", _xlpm.x)
)</f>
        <v>-</v>
      </c>
      <c r="AF120" s="56" t="str">
        <f>_xlfn.LET(
 _xlpm.x,
 _xlfn.MAXIFS(
  raw_stack!H$2:H$100000,
  raw_stack!D$2:D$100000, G120,
  raw_stack!F$2:F$100000, "Iya",
  raw_stack!G$2:G$100000, "&gt;="&amp;DATE(2026,3,1),
  raw_stack!G$2:G$100000, "&lt;="&amp;EOMONTH(DATE(2026,3,1),0)
 ),
 IF(OR(_xlpm.x=0, _xlpm.x=""), "-", _xlpm.x)
)</f>
        <v>-</v>
      </c>
      <c r="AG120" s="55" t="str">
        <f>_xlfn.LET(
 _xlpm.x,
 _xlfn.MAXIFS(
  raw_stack!G$2:G$100000,
  raw_stack!D$2:D$100000, G120,
  raw_stack!F$2:F$100000, "Iya",
  raw_stack!G$2:G$100000, "&gt;="&amp;DATE(2026,4,1),
  raw_stack!G$2:G$100000, "&lt;="&amp;EOMONTH(DATE(2026,4,1),0)
 ),
 IF(_xlpm.x=0, "-", _xlpm.x)
)</f>
        <v>-</v>
      </c>
      <c r="AH120" s="56" t="str">
        <f>_xlfn.LET(
 _xlpm.x,
 _xlfn.MAXIFS(
  raw_stack!H$2:H$100000,
  raw_stack!D$2:D$100000, G120,
  raw_stack!F$2:F$100000, "Iya",
  raw_stack!G$2:G$100000, "&gt;="&amp;DATE(2026,4,1),
  raw_stack!G$2:G$100000, "&lt;="&amp;EOMONTH(DATE(2026,4,1),0)
 ),
 IF(OR(_xlpm.x=0, _xlpm.x=""), "-", _xlpm.x)
)</f>
        <v>-</v>
      </c>
    </row>
    <row r="121" spans="1:34">
      <c r="A121" s="48">
        <v>120</v>
      </c>
      <c r="B121" s="49" t="str">
        <f t="shared" si="1"/>
        <v>38998</v>
      </c>
      <c r="C121" s="50" t="s">
        <v>46</v>
      </c>
      <c r="D121" s="51" t="s">
        <v>565</v>
      </c>
      <c r="E121" s="51" t="s">
        <v>51</v>
      </c>
      <c r="F121" s="49" t="s">
        <v>117</v>
      </c>
      <c r="G121" s="49" t="s">
        <v>237</v>
      </c>
      <c r="H121" s="49" t="s">
        <v>48</v>
      </c>
      <c r="I121" s="49" t="s">
        <v>52</v>
      </c>
      <c r="J121" s="52">
        <v>5790000</v>
      </c>
      <c r="K121" s="53">
        <v>45307</v>
      </c>
      <c r="L121" s="53">
        <v>46402</v>
      </c>
      <c r="M121" s="53">
        <v>46096</v>
      </c>
      <c r="N121" s="49" t="s">
        <v>50</v>
      </c>
      <c r="O121" s="54" t="str">
        <f>_xlfn.LET(
 _xlpm.x,
 _xlfn.MAXIFS(
  raw_stack!G$2:G$100000,
  raw_stack!D$2:D$100000, G121,
  raw_stack!F$2:F$100000, "Iya",
  raw_stack!G$2:G$100000, "&gt;="&amp;DATE(2025,7,1),
  raw_stack!G$2:G$100000, "&lt;="&amp;EOMONTH(DATE(2025,7,1),0)
 ),
 IF(_xlpm.x=0, "-", _xlpm.x)
)</f>
        <v>-</v>
      </c>
      <c r="P121" s="65" t="str">
        <f>_xlfn.LET(
 _xlpm.x,
 _xlfn.MAXIFS(
  raw_stack!H$2:H$100000,
  raw_stack!D$2:D$100000, G121,
  raw_stack!F$2:F$100000, "Iya",
  raw_stack!G$2:G$100000, "&gt;="&amp;DATE(2025,7,1),
  raw_stack!G$2:G$100000, "&lt;="&amp;EOMONTH(DATE(2025,7,1),0)
 ),
 IF(OR(_xlpm.x=0, _xlpm.x=""), "-", _xlpm.x)
)</f>
        <v>-</v>
      </c>
      <c r="Q121" s="54" t="str">
        <f>_xlfn.LET(
 _xlpm.x,
 _xlfn.MAXIFS(
  raw_stack!G$2:G$99411,
  raw_stack!D$2:D$99411, G121,
  raw_stack!F$2:F$99411, "Iya",
  raw_stack!G$2:G$99411, "&gt;="&amp;DATE(2025,8,1),
  raw_stack!G$2:G$99411, "&lt;="&amp;EOMONTH(DATE(2025,8,1),0)
 ),
 IF(_xlpm.x=0, "-", _xlpm.x)
)</f>
        <v>-</v>
      </c>
      <c r="R121" s="65" t="str">
        <f>_xlfn.LET(
 _xlpm.x,
 _xlfn.MAXIFS(
  raw_stack!H$2:H$100000,
  raw_stack!D$2:D$100000, G121,
  raw_stack!F$2:F$100000, "Iya",
  raw_stack!G$2:G$100000, "&gt;="&amp;DATE(2025,8,1),
  raw_stack!G$2:G$100000, "&lt;="&amp;EOMONTH(DATE(2025,8,1),0)
 ),
 IF(OR(_xlpm.x=0, _xlpm.x=""), "-", _xlpm.x)
)</f>
        <v>-</v>
      </c>
      <c r="S121" s="54" t="str">
        <f>_xlfn.LET(
 _xlpm.x,
 _xlfn.MAXIFS(
  raw_stack!G$2:G$99411,
  raw_stack!D$2:D$99411, G121,
  raw_stack!F$2:F$99411, "Iya",
  raw_stack!G$2:G$99411, "&gt;="&amp;DATE(2025,9,1),
  raw_stack!G$2:G$99411, "&lt;="&amp;EOMONTH(DATE(2025,9,1),0)
 ),
 IF(_xlpm.x=0, "-", _xlpm.x)
)</f>
        <v>-</v>
      </c>
      <c r="T121" s="65" t="str">
        <f>_xlfn.LET(
 _xlpm.x,
 _xlfn.MAXIFS(
  raw_stack!H$2:H$100000,
  raw_stack!D$2:D$100000, G121,
  raw_stack!F$2:F$100000, "Iya",
  raw_stack!G$2:G$100000, "&gt;="&amp;DATE(2025,9,1),
  raw_stack!G$2:G$100000, "&lt;="&amp;EOMONTH(DATE(2025,9,1),0)
 ),
 IF(OR(_xlpm.x=0, _xlpm.x=""), "-", _xlpm.x)
)</f>
        <v>-</v>
      </c>
      <c r="U121" s="54" t="str">
        <f>_xlfn.LET(
 _xlpm.x,
 _xlfn.MAXIFS(
  raw_stack!G$2:G$99411,
  raw_stack!D$2:D$99411, G121,
  raw_stack!F$2:F$99411, "Iya",
  raw_stack!G$2:G$99411, "&gt;="&amp;DATE(2025,10,1),
  raw_stack!G$2:G$99411, "&lt;="&amp;EOMONTH(DATE(2025,10,1),0)
 ),
 IF(_xlpm.x=0, "-", _xlpm.x)
)</f>
        <v>-</v>
      </c>
      <c r="V121" s="65" t="str">
        <f>_xlfn.LET(
 _xlpm.x,
 _xlfn.MAXIFS(
  raw_stack!H$2:H$100000,
  raw_stack!D$2:D$100000, G121,
  raw_stack!F$2:F$100000, "Iya",
  raw_stack!G$2:G$100000, "&gt;="&amp;DATE(2025,10,1),
  raw_stack!G$2:G$100000, "&lt;="&amp;EOMONTH(DATE(2025,10,1),0)
 ),
 IF(OR(_xlpm.x=0, _xlpm.x=""), "-", _xlpm.x)
)</f>
        <v>-</v>
      </c>
      <c r="W121" s="55">
        <f>_xlfn.LET(
 _xlpm.x,
 _xlfn.MAXIFS(
  raw_stack!G$2:G$99411,
  raw_stack!D$2:D$99411, G121,
  raw_stack!F$2:F$99411, "Iya",
  raw_stack!G$2:G$99411, "&gt;="&amp;DATE(2025,11,1),
  raw_stack!G$2:G$99411, "&lt;="&amp;EOMONTH(DATE(2025,11,1),0)
 ),
 IF(_xlpm.x=0, "-", _xlpm.x)
)</f>
        <v>45981</v>
      </c>
      <c r="X121" s="56">
        <f>_xlfn.LET(
 _xlpm.x,
 _xlfn.MAXIFS(
  raw_stack!H$2:H$100000,
  raw_stack!D$2:D$100000, G121,
  raw_stack!F$2:F$100000, "Iya",
  raw_stack!G$2:G$100000, "&gt;="&amp;DATE(2025,11,1),
  raw_stack!G$2:G$100000, "&lt;="&amp;EOMONTH(DATE(2025,11,1),0)
 ),
 IF(OR(_xlpm.x=0, _xlpm.x=""), "-", _xlpm.x)
)</f>
        <v>50936</v>
      </c>
      <c r="Y121" s="55" t="str">
        <f>_xlfn.LET(
 _xlpm.x,
 _xlfn.MAXIFS(
  raw_stack!G$2:G$99411,
  raw_stack!D$2:D$99411, G121,
  raw_stack!F$2:F$99411, "Iya",
  raw_stack!G$2:G$99411, "&gt;="&amp;DATE(2025,12,1),
  raw_stack!G$2:G$99411, "&lt;="&amp;EOMONTH(DATE(2025,12,1),0)
 ),
 IF(_xlpm.x=0, "-", _xlpm.x)
)</f>
        <v>-</v>
      </c>
      <c r="Z121" s="56" t="str">
        <f>_xlfn.LET(
 _xlpm.x,
 _xlfn.MAXIFS(
  raw_stack!H$2:H$100000,
  raw_stack!D$2:D$100000, G121,
  raw_stack!F$2:F$100000, "Iya",
  raw_stack!G$2:G$100000, "&gt;="&amp;DATE(2025,12,1),
  raw_stack!G$2:G$100000, "&lt;="&amp;EOMONTH(DATE(2025,12,1),0)
 ),
 IF(OR(_xlpm.x=0, _xlpm.x=""), "-", _xlpm.x)
)</f>
        <v>-</v>
      </c>
      <c r="AA121" s="55" t="str">
        <f>_xlfn.LET(
 _xlpm.x,
 _xlfn.MAXIFS(
  raw_stack!G$2:G$99411,
  raw_stack!D$2:D$99411, G121,
  raw_stack!F$2:F$99411, "Iya",
  raw_stack!G$2:G$99411, "&gt;="&amp;DATE(2026,1,1),
  raw_stack!G$2:G$99411, "&lt;="&amp;EOMONTH(DATE(2026,1,1),0)
 ),
 IF(_xlpm.x=0, "-", _xlpm.x)
)</f>
        <v>-</v>
      </c>
      <c r="AB121" s="56" t="str">
        <f>_xlfn.LET(
 _xlpm.x,
 _xlfn.MAXIFS(
  raw_stack!H$2:H$100000,
  raw_stack!D$2:D$100000, G121,
  raw_stack!F$2:F$100000, "Iya",
  raw_stack!G$2:G$100000, "&gt;="&amp;DATE(2026,1,1),
  raw_stack!G$2:G$100000, "&lt;="&amp;EOMONTH(DATE(2026,1,1),0)
 ),
 IF(OR(_xlpm.x=0, _xlpm.x=""), "-", _xlpm.x)
)</f>
        <v>-</v>
      </c>
      <c r="AC121" s="55" t="str">
        <f>_xlfn.LET(
 _xlpm.x,
 _xlfn.MAXIFS(
  raw_stack!G$2:G$99411,
  raw_stack!D$2:D$99411, G121,
  raw_stack!F$2:F$99411, "Iya",
  raw_stack!G$2:G$99411, "&gt;="&amp;DATE(2026,2,1),
  raw_stack!G$2:G$99411, "&lt;="&amp;EOMONTH(DATE(2026,2,1),0)
 ),
 IF(_xlpm.x=0, "-", _xlpm.x)
)</f>
        <v>-</v>
      </c>
      <c r="AD121" s="56" t="str">
        <f>_xlfn.LET(
 _xlpm.x,
 _xlfn.MAXIFS(
  raw_stack!H$2:H$100000,
  raw_stack!D$2:D$100000, G121,
  raw_stack!F$2:F$100000, "Iya",
  raw_stack!G$2:G$100000, "&gt;="&amp;DATE(2026,2,1),
  raw_stack!G$2:G$100000, "&lt;="&amp;EOMONTH(DATE(2026,2,1),0)
 ),
 IF(OR(_xlpm.x=0, _xlpm.x=""), "-", _xlpm.x)
)</f>
        <v>-</v>
      </c>
      <c r="AE121" s="55" t="str">
        <f>_xlfn.LET(
 _xlpm.x,
 _xlfn.MAXIFS(
  raw_stack!G$2:G$100000,
  raw_stack!D$2:D$100000, G121,
  raw_stack!F$2:F$100000, "Iya",
  raw_stack!G$2:G$100000, "&gt;="&amp;DATE(2026,3,1),
  raw_stack!G$2:G$100000, "&lt;="&amp;EOMONTH(DATE(2026,3,1),0)
 ),
 IF(_xlpm.x=0, "-", _xlpm.x)
)</f>
        <v>-</v>
      </c>
      <c r="AF121" s="56" t="str">
        <f>_xlfn.LET(
 _xlpm.x,
 _xlfn.MAXIFS(
  raw_stack!H$2:H$100000,
  raw_stack!D$2:D$100000, G121,
  raw_stack!F$2:F$100000, "Iya",
  raw_stack!G$2:G$100000, "&gt;="&amp;DATE(2026,3,1),
  raw_stack!G$2:G$100000, "&lt;="&amp;EOMONTH(DATE(2026,3,1),0)
 ),
 IF(OR(_xlpm.x=0, _xlpm.x=""), "-", _xlpm.x)
)</f>
        <v>-</v>
      </c>
      <c r="AG121" s="55" t="str">
        <f>_xlfn.LET(
 _xlpm.x,
 _xlfn.MAXIFS(
  raw_stack!G$2:G$100000,
  raw_stack!D$2:D$100000, G121,
  raw_stack!F$2:F$100000, "Iya",
  raw_stack!G$2:G$100000, "&gt;="&amp;DATE(2026,4,1),
  raw_stack!G$2:G$100000, "&lt;="&amp;EOMONTH(DATE(2026,4,1),0)
 ),
 IF(_xlpm.x=0, "-", _xlpm.x)
)</f>
        <v>-</v>
      </c>
      <c r="AH121" s="56" t="str">
        <f>_xlfn.LET(
 _xlpm.x,
 _xlfn.MAXIFS(
  raw_stack!H$2:H$100000,
  raw_stack!D$2:D$100000, G121,
  raw_stack!F$2:F$100000, "Iya",
  raw_stack!G$2:G$100000, "&gt;="&amp;DATE(2026,4,1),
  raw_stack!G$2:G$100000, "&lt;="&amp;EOMONTH(DATE(2026,4,1),0)
 ),
 IF(OR(_xlpm.x=0, _xlpm.x=""), "-", _xlpm.x)
)</f>
        <v>-</v>
      </c>
    </row>
    <row r="122" spans="1:34">
      <c r="A122" s="48">
        <v>121</v>
      </c>
      <c r="B122" s="49" t="str">
        <f t="shared" si="1"/>
        <v>82123</v>
      </c>
      <c r="C122" s="50" t="s">
        <v>46</v>
      </c>
      <c r="D122" s="51" t="s">
        <v>566</v>
      </c>
      <c r="E122" s="51" t="s">
        <v>47</v>
      </c>
      <c r="F122" s="49" t="s">
        <v>117</v>
      </c>
      <c r="G122" s="49" t="s">
        <v>238</v>
      </c>
      <c r="H122" s="49" t="s">
        <v>48</v>
      </c>
      <c r="I122" s="49" t="s">
        <v>49</v>
      </c>
      <c r="J122" s="52">
        <v>4375000</v>
      </c>
      <c r="K122" s="53">
        <v>45314</v>
      </c>
      <c r="L122" s="53">
        <v>46409</v>
      </c>
      <c r="M122" s="53">
        <v>46075</v>
      </c>
      <c r="N122" s="49" t="s">
        <v>50</v>
      </c>
      <c r="O122" s="54" t="str">
        <f>_xlfn.LET(
 _xlpm.x,
 _xlfn.MAXIFS(
  raw_stack!G$2:G$100000,
  raw_stack!D$2:D$100000, G122,
  raw_stack!F$2:F$100000, "Iya",
  raw_stack!G$2:G$100000, "&gt;="&amp;DATE(2025,7,1),
  raw_stack!G$2:G$100000, "&lt;="&amp;EOMONTH(DATE(2025,7,1),0)
 ),
 IF(_xlpm.x=0, "-", _xlpm.x)
)</f>
        <v>-</v>
      </c>
      <c r="P122" s="65" t="str">
        <f>_xlfn.LET(
 _xlpm.x,
 _xlfn.MAXIFS(
  raw_stack!H$2:H$100000,
  raw_stack!D$2:D$100000, G122,
  raw_stack!F$2:F$100000, "Iya",
  raw_stack!G$2:G$100000, "&gt;="&amp;DATE(2025,7,1),
  raw_stack!G$2:G$100000, "&lt;="&amp;EOMONTH(DATE(2025,7,1),0)
 ),
 IF(OR(_xlpm.x=0, _xlpm.x=""), "-", _xlpm.x)
)</f>
        <v>-</v>
      </c>
      <c r="Q122" s="54" t="str">
        <f>_xlfn.LET(
 _xlpm.x,
 _xlfn.MAXIFS(
  raw_stack!G$2:G$99411,
  raw_stack!D$2:D$99411, G122,
  raw_stack!F$2:F$99411, "Iya",
  raw_stack!G$2:G$99411, "&gt;="&amp;DATE(2025,8,1),
  raw_stack!G$2:G$99411, "&lt;="&amp;EOMONTH(DATE(2025,8,1),0)
 ),
 IF(_xlpm.x=0, "-", _xlpm.x)
)</f>
        <v>-</v>
      </c>
      <c r="R122" s="65" t="str">
        <f>_xlfn.LET(
 _xlpm.x,
 _xlfn.MAXIFS(
  raw_stack!H$2:H$100000,
  raw_stack!D$2:D$100000, G122,
  raw_stack!F$2:F$100000, "Iya",
  raw_stack!G$2:G$100000, "&gt;="&amp;DATE(2025,8,1),
  raw_stack!G$2:G$100000, "&lt;="&amp;EOMONTH(DATE(2025,8,1),0)
 ),
 IF(OR(_xlpm.x=0, _xlpm.x=""), "-", _xlpm.x)
)</f>
        <v>-</v>
      </c>
      <c r="S122" s="54">
        <f>_xlfn.LET(
 _xlpm.x,
 _xlfn.MAXIFS(
  raw_stack!G$2:G$99411,
  raw_stack!D$2:D$99411, G122,
  raw_stack!F$2:F$99411, "Iya",
  raw_stack!G$2:G$99411, "&gt;="&amp;DATE(2025,9,1),
  raw_stack!G$2:G$99411, "&lt;="&amp;EOMONTH(DATE(2025,9,1),0)
 ),
 IF(_xlpm.x=0, "-", _xlpm.x)
)</f>
        <v>45924</v>
      </c>
      <c r="T122" s="65">
        <f>_xlfn.LET(
 _xlpm.x,
 _xlfn.MAXIFS(
  raw_stack!H$2:H$100000,
  raw_stack!D$2:D$100000, G122,
  raw_stack!F$2:F$100000, "Iya",
  raw_stack!G$2:G$100000, "&gt;="&amp;DATE(2025,9,1),
  raw_stack!G$2:G$100000, "&lt;="&amp;EOMONTH(DATE(2025,9,1),0)
 ),
 IF(OR(_xlpm.x=0, _xlpm.x=""), "-", _xlpm.x)
)</f>
        <v>60750</v>
      </c>
      <c r="U122" s="54" t="str">
        <f>_xlfn.LET(
 _xlpm.x,
 _xlfn.MAXIFS(
  raw_stack!G$2:G$99411,
  raw_stack!D$2:D$99411, G122,
  raw_stack!F$2:F$99411, "Iya",
  raw_stack!G$2:G$99411, "&gt;="&amp;DATE(2025,10,1),
  raw_stack!G$2:G$99411, "&lt;="&amp;EOMONTH(DATE(2025,10,1),0)
 ),
 IF(_xlpm.x=0, "-", _xlpm.x)
)</f>
        <v>-</v>
      </c>
      <c r="V122" s="65" t="str">
        <f>_xlfn.LET(
 _xlpm.x,
 _xlfn.MAXIFS(
  raw_stack!H$2:H$100000,
  raw_stack!D$2:D$100000, G122,
  raw_stack!F$2:F$100000, "Iya",
  raw_stack!G$2:G$100000, "&gt;="&amp;DATE(2025,10,1),
  raw_stack!G$2:G$100000, "&lt;="&amp;EOMONTH(DATE(2025,10,1),0)
 ),
 IF(OR(_xlpm.x=0, _xlpm.x=""), "-", _xlpm.x)
)</f>
        <v>-</v>
      </c>
      <c r="W122" s="55" t="str">
        <f>_xlfn.LET(
 _xlpm.x,
 _xlfn.MAXIFS(
  raw_stack!G$2:G$99411,
  raw_stack!D$2:D$99411, G122,
  raw_stack!F$2:F$99411, "Iya",
  raw_stack!G$2:G$99411, "&gt;="&amp;DATE(2025,11,1),
  raw_stack!G$2:G$99411, "&lt;="&amp;EOMONTH(DATE(2025,11,1),0)
 ),
 IF(_xlpm.x=0, "-", _xlpm.x)
)</f>
        <v>-</v>
      </c>
      <c r="X122" s="56" t="str">
        <f>_xlfn.LET(
 _xlpm.x,
 _xlfn.MAXIFS(
  raw_stack!H$2:H$100000,
  raw_stack!D$2:D$100000, G122,
  raw_stack!F$2:F$100000, "Iya",
  raw_stack!G$2:G$100000, "&gt;="&amp;DATE(2025,11,1),
  raw_stack!G$2:G$100000, "&lt;="&amp;EOMONTH(DATE(2025,11,1),0)
 ),
 IF(OR(_xlpm.x=0, _xlpm.x=""), "-", _xlpm.x)
)</f>
        <v>-</v>
      </c>
      <c r="Y122" s="55" t="str">
        <f>_xlfn.LET(
 _xlpm.x,
 _xlfn.MAXIFS(
  raw_stack!G$2:G$99411,
  raw_stack!D$2:D$99411, G122,
  raw_stack!F$2:F$99411, "Iya",
  raw_stack!G$2:G$99411, "&gt;="&amp;DATE(2025,12,1),
  raw_stack!G$2:G$99411, "&lt;="&amp;EOMONTH(DATE(2025,12,1),0)
 ),
 IF(_xlpm.x=0, "-", _xlpm.x)
)</f>
        <v>-</v>
      </c>
      <c r="Z122" s="56" t="str">
        <f>_xlfn.LET(
 _xlpm.x,
 _xlfn.MAXIFS(
  raw_stack!H$2:H$100000,
  raw_stack!D$2:D$100000, G122,
  raw_stack!F$2:F$100000, "Iya",
  raw_stack!G$2:G$100000, "&gt;="&amp;DATE(2025,12,1),
  raw_stack!G$2:G$100000, "&lt;="&amp;EOMONTH(DATE(2025,12,1),0)
 ),
 IF(OR(_xlpm.x=0, _xlpm.x=""), "-", _xlpm.x)
)</f>
        <v>-</v>
      </c>
      <c r="AA122" s="55" t="str">
        <f>_xlfn.LET(
 _xlpm.x,
 _xlfn.MAXIFS(
  raw_stack!G$2:G$99411,
  raw_stack!D$2:D$99411, G122,
  raw_stack!F$2:F$99411, "Iya",
  raw_stack!G$2:G$99411, "&gt;="&amp;DATE(2026,1,1),
  raw_stack!G$2:G$99411, "&lt;="&amp;EOMONTH(DATE(2026,1,1),0)
 ),
 IF(_xlpm.x=0, "-", _xlpm.x)
)</f>
        <v>-</v>
      </c>
      <c r="AB122" s="56" t="str">
        <f>_xlfn.LET(
 _xlpm.x,
 _xlfn.MAXIFS(
  raw_stack!H$2:H$100000,
  raw_stack!D$2:D$100000, G122,
  raw_stack!F$2:F$100000, "Iya",
  raw_stack!G$2:G$100000, "&gt;="&amp;DATE(2026,1,1),
  raw_stack!G$2:G$100000, "&lt;="&amp;EOMONTH(DATE(2026,1,1),0)
 ),
 IF(OR(_xlpm.x=0, _xlpm.x=""), "-", _xlpm.x)
)</f>
        <v>-</v>
      </c>
      <c r="AC122" s="55">
        <f>_xlfn.LET(
 _xlpm.x,
 _xlfn.MAXIFS(
  raw_stack!G$2:G$99411,
  raw_stack!D$2:D$99411, G122,
  raw_stack!F$2:F$99411, "Iya",
  raw_stack!G$2:G$99411, "&gt;="&amp;DATE(2026,2,1),
  raw_stack!G$2:G$99411, "&lt;="&amp;EOMONTH(DATE(2026,2,1),0)
 ),
 IF(_xlpm.x=0, "-", _xlpm.x)
)</f>
        <v>46066</v>
      </c>
      <c r="AD122" s="56">
        <f>_xlfn.LET(
 _xlpm.x,
 _xlfn.MAXIFS(
  raw_stack!H$2:H$100000,
  raw_stack!D$2:D$100000, G122,
  raw_stack!F$2:F$100000, "Iya",
  raw_stack!G$2:G$100000, "&gt;="&amp;DATE(2026,2,1),
  raw_stack!G$2:G$100000, "&lt;="&amp;EOMONTH(DATE(2026,2,1),0)
 ),
 IF(OR(_xlpm.x=0, _xlpm.x=""), "-", _xlpm.x)
)</f>
        <v>67869</v>
      </c>
      <c r="AE122" s="55" t="str">
        <f>_xlfn.LET(
 _xlpm.x,
 _xlfn.MAXIFS(
  raw_stack!G$2:G$100000,
  raw_stack!D$2:D$100000, G122,
  raw_stack!F$2:F$100000, "Iya",
  raw_stack!G$2:G$100000, "&gt;="&amp;DATE(2026,3,1),
  raw_stack!G$2:G$100000, "&lt;="&amp;EOMONTH(DATE(2026,3,1),0)
 ),
 IF(_xlpm.x=0, "-", _xlpm.x)
)</f>
        <v>-</v>
      </c>
      <c r="AF122" s="56" t="str">
        <f>_xlfn.LET(
 _xlpm.x,
 _xlfn.MAXIFS(
  raw_stack!H$2:H$100000,
  raw_stack!D$2:D$100000, G122,
  raw_stack!F$2:F$100000, "Iya",
  raw_stack!G$2:G$100000, "&gt;="&amp;DATE(2026,3,1),
  raw_stack!G$2:G$100000, "&lt;="&amp;EOMONTH(DATE(2026,3,1),0)
 ),
 IF(OR(_xlpm.x=0, _xlpm.x=""), "-", _xlpm.x)
)</f>
        <v>-</v>
      </c>
      <c r="AG122" s="55" t="str">
        <f>_xlfn.LET(
 _xlpm.x,
 _xlfn.MAXIFS(
  raw_stack!G$2:G$100000,
  raw_stack!D$2:D$100000, G122,
  raw_stack!F$2:F$100000, "Iya",
  raw_stack!G$2:G$100000, "&gt;="&amp;DATE(2026,4,1),
  raw_stack!G$2:G$100000, "&lt;="&amp;EOMONTH(DATE(2026,4,1),0)
 ),
 IF(_xlpm.x=0, "-", _xlpm.x)
)</f>
        <v>-</v>
      </c>
      <c r="AH122" s="56" t="str">
        <f>_xlfn.LET(
 _xlpm.x,
 _xlfn.MAXIFS(
  raw_stack!H$2:H$100000,
  raw_stack!D$2:D$100000, G122,
  raw_stack!F$2:F$100000, "Iya",
  raw_stack!G$2:G$100000, "&gt;="&amp;DATE(2026,4,1),
  raw_stack!G$2:G$100000, "&lt;="&amp;EOMONTH(DATE(2026,4,1),0)
 ),
 IF(OR(_xlpm.x=0, _xlpm.x=""), "-", _xlpm.x)
)</f>
        <v>-</v>
      </c>
    </row>
    <row r="123" spans="1:34">
      <c r="A123" s="48">
        <v>122</v>
      </c>
      <c r="B123" s="49" t="str">
        <f t="shared" ref="B123:B184" si="2">LEFT(D123,5)</f>
        <v>23188</v>
      </c>
      <c r="C123" s="50" t="s">
        <v>46</v>
      </c>
      <c r="D123" s="51" t="s">
        <v>567</v>
      </c>
      <c r="E123" s="51" t="s">
        <v>54</v>
      </c>
      <c r="F123" s="49" t="s">
        <v>117</v>
      </c>
      <c r="G123" s="49" t="s">
        <v>239</v>
      </c>
      <c r="H123" s="49" t="s">
        <v>48</v>
      </c>
      <c r="I123" s="49" t="s">
        <v>52</v>
      </c>
      <c r="J123" s="52">
        <v>6450000</v>
      </c>
      <c r="K123" s="53">
        <v>45315</v>
      </c>
      <c r="L123" s="53">
        <v>46410</v>
      </c>
      <c r="M123" s="53">
        <v>46045</v>
      </c>
      <c r="N123" s="49" t="s">
        <v>50</v>
      </c>
      <c r="O123" s="54" t="str">
        <f>_xlfn.LET(
 _xlpm.x,
 _xlfn.MAXIFS(
  raw_stack!G$2:G$100000,
  raw_stack!D$2:D$100000, G123,
  raw_stack!F$2:F$100000, "Iya",
  raw_stack!G$2:G$100000, "&gt;="&amp;DATE(2025,7,1),
  raw_stack!G$2:G$100000, "&lt;="&amp;EOMONTH(DATE(2025,7,1),0)
 ),
 IF(_xlpm.x=0, "-", _xlpm.x)
)</f>
        <v>-</v>
      </c>
      <c r="P123" s="65" t="str">
        <f>_xlfn.LET(
 _xlpm.x,
 _xlfn.MAXIFS(
  raw_stack!H$2:H$100000,
  raw_stack!D$2:D$100000, G123,
  raw_stack!F$2:F$100000, "Iya",
  raw_stack!G$2:G$100000, "&gt;="&amp;DATE(2025,7,1),
  raw_stack!G$2:G$100000, "&lt;="&amp;EOMONTH(DATE(2025,7,1),0)
 ),
 IF(OR(_xlpm.x=0, _xlpm.x=""), "-", _xlpm.x)
)</f>
        <v>-</v>
      </c>
      <c r="Q123" s="54" t="str">
        <f>_xlfn.LET(
 _xlpm.x,
 _xlfn.MAXIFS(
  raw_stack!G$2:G$99411,
  raw_stack!D$2:D$99411, G123,
  raw_stack!F$2:F$99411, "Iya",
  raw_stack!G$2:G$99411, "&gt;="&amp;DATE(2025,8,1),
  raw_stack!G$2:G$99411, "&lt;="&amp;EOMONTH(DATE(2025,8,1),0)
 ),
 IF(_xlpm.x=0, "-", _xlpm.x)
)</f>
        <v>-</v>
      </c>
      <c r="R123" s="65" t="str">
        <f>_xlfn.LET(
 _xlpm.x,
 _xlfn.MAXIFS(
  raw_stack!H$2:H$100000,
  raw_stack!D$2:D$100000, G123,
  raw_stack!F$2:F$100000, "Iya",
  raw_stack!G$2:G$100000, "&gt;="&amp;DATE(2025,8,1),
  raw_stack!G$2:G$100000, "&lt;="&amp;EOMONTH(DATE(2025,8,1),0)
 ),
 IF(OR(_xlpm.x=0, _xlpm.x=""), "-", _xlpm.x)
)</f>
        <v>-</v>
      </c>
      <c r="S123" s="54" t="str">
        <f>_xlfn.LET(
 _xlpm.x,
 _xlfn.MAXIFS(
  raw_stack!G$2:G$99411,
  raw_stack!D$2:D$99411, G123,
  raw_stack!F$2:F$99411, "Iya",
  raw_stack!G$2:G$99411, "&gt;="&amp;DATE(2025,9,1),
  raw_stack!G$2:G$99411, "&lt;="&amp;EOMONTH(DATE(2025,9,1),0)
 ),
 IF(_xlpm.x=0, "-", _xlpm.x)
)</f>
        <v>-</v>
      </c>
      <c r="T123" s="65" t="str">
        <f>_xlfn.LET(
 _xlpm.x,
 _xlfn.MAXIFS(
  raw_stack!H$2:H$100000,
  raw_stack!D$2:D$100000, G123,
  raw_stack!F$2:F$100000, "Iya",
  raw_stack!G$2:G$100000, "&gt;="&amp;DATE(2025,9,1),
  raw_stack!G$2:G$100000, "&lt;="&amp;EOMONTH(DATE(2025,9,1),0)
 ),
 IF(OR(_xlpm.x=0, _xlpm.x=""), "-", _xlpm.x)
)</f>
        <v>-</v>
      </c>
      <c r="U123" s="54" t="str">
        <f>_xlfn.LET(
 _xlpm.x,
 _xlfn.MAXIFS(
  raw_stack!G$2:G$99411,
  raw_stack!D$2:D$99411, G123,
  raw_stack!F$2:F$99411, "Iya",
  raw_stack!G$2:G$99411, "&gt;="&amp;DATE(2025,10,1),
  raw_stack!G$2:G$99411, "&lt;="&amp;EOMONTH(DATE(2025,10,1),0)
 ),
 IF(_xlpm.x=0, "-", _xlpm.x)
)</f>
        <v>-</v>
      </c>
      <c r="V123" s="65" t="str">
        <f>_xlfn.LET(
 _xlpm.x,
 _xlfn.MAXIFS(
  raw_stack!H$2:H$100000,
  raw_stack!D$2:D$100000, G123,
  raw_stack!F$2:F$100000, "Iya",
  raw_stack!G$2:G$100000, "&gt;="&amp;DATE(2025,10,1),
  raw_stack!G$2:G$100000, "&lt;="&amp;EOMONTH(DATE(2025,10,1),0)
 ),
 IF(OR(_xlpm.x=0, _xlpm.x=""), "-", _xlpm.x)
)</f>
        <v>-</v>
      </c>
      <c r="W123" s="55" t="str">
        <f>_xlfn.LET(
 _xlpm.x,
 _xlfn.MAXIFS(
  raw_stack!G$2:G$99411,
  raw_stack!D$2:D$99411, G123,
  raw_stack!F$2:F$99411, "Iya",
  raw_stack!G$2:G$99411, "&gt;="&amp;DATE(2025,11,1),
  raw_stack!G$2:G$99411, "&lt;="&amp;EOMONTH(DATE(2025,11,1),0)
 ),
 IF(_xlpm.x=0, "-", _xlpm.x)
)</f>
        <v>-</v>
      </c>
      <c r="X123" s="56" t="str">
        <f>_xlfn.LET(
 _xlpm.x,
 _xlfn.MAXIFS(
  raw_stack!H$2:H$100000,
  raw_stack!D$2:D$100000, G123,
  raw_stack!F$2:F$100000, "Iya",
  raw_stack!G$2:G$100000, "&gt;="&amp;DATE(2025,11,1),
  raw_stack!G$2:G$100000, "&lt;="&amp;EOMONTH(DATE(2025,11,1),0)
 ),
 IF(OR(_xlpm.x=0, _xlpm.x=""), "-", _xlpm.x)
)</f>
        <v>-</v>
      </c>
      <c r="Y123" s="55">
        <f>_xlfn.LET(
 _xlpm.x,
 _xlfn.MAXIFS(
  raw_stack!G$2:G$99411,
  raw_stack!D$2:D$99411, G123,
  raw_stack!F$2:F$99411, "Iya",
  raw_stack!G$2:G$99411, "&gt;="&amp;DATE(2025,12,1),
  raw_stack!G$2:G$99411, "&lt;="&amp;EOMONTH(DATE(2025,12,1),0)
 ),
 IF(_xlpm.x=0, "-", _xlpm.x)
)</f>
        <v>46001</v>
      </c>
      <c r="Z123" s="56">
        <f>_xlfn.LET(
 _xlpm.x,
 _xlfn.MAXIFS(
  raw_stack!H$2:H$100000,
  raw_stack!D$2:D$100000, G123,
  raw_stack!F$2:F$100000, "Iya",
  raw_stack!G$2:G$100000, "&gt;="&amp;DATE(2025,12,1),
  raw_stack!G$2:G$100000, "&lt;="&amp;EOMONTH(DATE(2025,12,1),0)
 ),
 IF(OR(_xlpm.x=0, _xlpm.x=""), "-", _xlpm.x)
)</f>
        <v>15097</v>
      </c>
      <c r="AA123" s="55" t="str">
        <f>_xlfn.LET(
 _xlpm.x,
 _xlfn.MAXIFS(
  raw_stack!G$2:G$99411,
  raw_stack!D$2:D$99411, G123,
  raw_stack!F$2:F$99411, "Iya",
  raw_stack!G$2:G$99411, "&gt;="&amp;DATE(2026,1,1),
  raw_stack!G$2:G$99411, "&lt;="&amp;EOMONTH(DATE(2026,1,1),0)
 ),
 IF(_xlpm.x=0, "-", _xlpm.x)
)</f>
        <v>-</v>
      </c>
      <c r="AB123" s="56" t="str">
        <f>_xlfn.LET(
 _xlpm.x,
 _xlfn.MAXIFS(
  raw_stack!H$2:H$100000,
  raw_stack!D$2:D$100000, G123,
  raw_stack!F$2:F$100000, "Iya",
  raw_stack!G$2:G$100000, "&gt;="&amp;DATE(2026,1,1),
  raw_stack!G$2:G$100000, "&lt;="&amp;EOMONTH(DATE(2026,1,1),0)
 ),
 IF(OR(_xlpm.x=0, _xlpm.x=""), "-", _xlpm.x)
)</f>
        <v>-</v>
      </c>
      <c r="AC123" s="55" t="str">
        <f>_xlfn.LET(
 _xlpm.x,
 _xlfn.MAXIFS(
  raw_stack!G$2:G$99411,
  raw_stack!D$2:D$99411, G123,
  raw_stack!F$2:F$99411, "Iya",
  raw_stack!G$2:G$99411, "&gt;="&amp;DATE(2026,2,1),
  raw_stack!G$2:G$99411, "&lt;="&amp;EOMONTH(DATE(2026,2,1),0)
 ),
 IF(_xlpm.x=0, "-", _xlpm.x)
)</f>
        <v>-</v>
      </c>
      <c r="AD123" s="56" t="str">
        <f>_xlfn.LET(
 _xlpm.x,
 _xlfn.MAXIFS(
  raw_stack!H$2:H$100000,
  raw_stack!D$2:D$100000, G123,
  raw_stack!F$2:F$100000, "Iya",
  raw_stack!G$2:G$100000, "&gt;="&amp;DATE(2026,2,1),
  raw_stack!G$2:G$100000, "&lt;="&amp;EOMONTH(DATE(2026,2,1),0)
 ),
 IF(OR(_xlpm.x=0, _xlpm.x=""), "-", _xlpm.x)
)</f>
        <v>-</v>
      </c>
      <c r="AE123" s="55" t="str">
        <f>_xlfn.LET(
 _xlpm.x,
 _xlfn.MAXIFS(
  raw_stack!G$2:G$100000,
  raw_stack!D$2:D$100000, G123,
  raw_stack!F$2:F$100000, "Iya",
  raw_stack!G$2:G$100000, "&gt;="&amp;DATE(2026,3,1),
  raw_stack!G$2:G$100000, "&lt;="&amp;EOMONTH(DATE(2026,3,1),0)
 ),
 IF(_xlpm.x=0, "-", _xlpm.x)
)</f>
        <v>-</v>
      </c>
      <c r="AF123" s="56" t="str">
        <f>_xlfn.LET(
 _xlpm.x,
 _xlfn.MAXIFS(
  raw_stack!H$2:H$100000,
  raw_stack!D$2:D$100000, G123,
  raw_stack!F$2:F$100000, "Iya",
  raw_stack!G$2:G$100000, "&gt;="&amp;DATE(2026,3,1),
  raw_stack!G$2:G$100000, "&lt;="&amp;EOMONTH(DATE(2026,3,1),0)
 ),
 IF(OR(_xlpm.x=0, _xlpm.x=""), "-", _xlpm.x)
)</f>
        <v>-</v>
      </c>
      <c r="AG123" s="55" t="str">
        <f>_xlfn.LET(
 _xlpm.x,
 _xlfn.MAXIFS(
  raw_stack!G$2:G$100000,
  raw_stack!D$2:D$100000, G123,
  raw_stack!F$2:F$100000, "Iya",
  raw_stack!G$2:G$100000, "&gt;="&amp;DATE(2026,4,1),
  raw_stack!G$2:G$100000, "&lt;="&amp;EOMONTH(DATE(2026,4,1),0)
 ),
 IF(_xlpm.x=0, "-", _xlpm.x)
)</f>
        <v>-</v>
      </c>
      <c r="AH123" s="56" t="str">
        <f>_xlfn.LET(
 _xlpm.x,
 _xlfn.MAXIFS(
  raw_stack!H$2:H$100000,
  raw_stack!D$2:D$100000, G123,
  raw_stack!F$2:F$100000, "Iya",
  raw_stack!G$2:G$100000, "&gt;="&amp;DATE(2026,4,1),
  raw_stack!G$2:G$100000, "&lt;="&amp;EOMONTH(DATE(2026,4,1),0)
 ),
 IF(OR(_xlpm.x=0, _xlpm.x=""), "-", _xlpm.x)
)</f>
        <v>-</v>
      </c>
    </row>
    <row r="124" spans="1:34">
      <c r="A124" s="48">
        <v>123</v>
      </c>
      <c r="B124" s="49" t="str">
        <f t="shared" si="2"/>
        <v>75534</v>
      </c>
      <c r="C124" s="50" t="s">
        <v>46</v>
      </c>
      <c r="D124" s="51" t="s">
        <v>568</v>
      </c>
      <c r="E124" s="51" t="s">
        <v>54</v>
      </c>
      <c r="F124" s="49" t="s">
        <v>117</v>
      </c>
      <c r="G124" s="49" t="s">
        <v>240</v>
      </c>
      <c r="H124" s="49" t="s">
        <v>48</v>
      </c>
      <c r="I124" s="49" t="s">
        <v>52</v>
      </c>
      <c r="J124" s="52">
        <v>6450000</v>
      </c>
      <c r="K124" s="53">
        <v>45325</v>
      </c>
      <c r="L124" s="53">
        <v>46420</v>
      </c>
      <c r="M124" s="53">
        <v>46055</v>
      </c>
      <c r="N124" s="49" t="s">
        <v>50</v>
      </c>
      <c r="O124" s="54">
        <f>_xlfn.LET(
 _xlpm.x,
 _xlfn.MAXIFS(
  raw_stack!G$2:G$100000,
  raw_stack!D$2:D$100000, G124,
  raw_stack!F$2:F$100000, "Iya",
  raw_stack!G$2:G$100000, "&gt;="&amp;DATE(2025,7,1),
  raw_stack!G$2:G$100000, "&lt;="&amp;EOMONTH(DATE(2025,7,1),0)
 ),
 IF(_xlpm.x=0, "-", _xlpm.x)
)</f>
        <v>45861</v>
      </c>
      <c r="P124" s="65">
        <f>_xlfn.LET(
 _xlpm.x,
 _xlfn.MAXIFS(
  raw_stack!H$2:H$100000,
  raw_stack!D$2:D$100000, G124,
  raw_stack!F$2:F$100000, "Iya",
  raw_stack!G$2:G$100000, "&gt;="&amp;DATE(2025,7,1),
  raw_stack!G$2:G$100000, "&lt;="&amp;EOMONTH(DATE(2025,7,1),0)
 ),
 IF(OR(_xlpm.x=0, _xlpm.x=""), "-", _xlpm.x)
)</f>
        <v>35052</v>
      </c>
      <c r="Q124" s="54" t="str">
        <f>_xlfn.LET(
 _xlpm.x,
 _xlfn.MAXIFS(
  raw_stack!G$2:G$99411,
  raw_stack!D$2:D$99411, G124,
  raw_stack!F$2:F$99411, "Iya",
  raw_stack!G$2:G$99411, "&gt;="&amp;DATE(2025,8,1),
  raw_stack!G$2:G$99411, "&lt;="&amp;EOMONTH(DATE(2025,8,1),0)
 ),
 IF(_xlpm.x=0, "-", _xlpm.x)
)</f>
        <v>-</v>
      </c>
      <c r="R124" s="65" t="str">
        <f>_xlfn.LET(
 _xlpm.x,
 _xlfn.MAXIFS(
  raw_stack!H$2:H$100000,
  raw_stack!D$2:D$100000, G124,
  raw_stack!F$2:F$100000, "Iya",
  raw_stack!G$2:G$100000, "&gt;="&amp;DATE(2025,8,1),
  raw_stack!G$2:G$100000, "&lt;="&amp;EOMONTH(DATE(2025,8,1),0)
 ),
 IF(OR(_xlpm.x=0, _xlpm.x=""), "-", _xlpm.x)
)</f>
        <v>-</v>
      </c>
      <c r="S124" s="54">
        <f>_xlfn.LET(
 _xlpm.x,
 _xlfn.MAXIFS(
  raw_stack!G$2:G$99411,
  raw_stack!D$2:D$99411, G124,
  raw_stack!F$2:F$99411, "Iya",
  raw_stack!G$2:G$99411, "&gt;="&amp;DATE(2025,9,1),
  raw_stack!G$2:G$99411, "&lt;="&amp;EOMONTH(DATE(2025,9,1),0)
 ),
 IF(_xlpm.x=0, "-", _xlpm.x)
)</f>
        <v>45923</v>
      </c>
      <c r="T124" s="65">
        <f>_xlfn.LET(
 _xlpm.x,
 _xlfn.MAXIFS(
  raw_stack!H$2:H$100000,
  raw_stack!D$2:D$100000, G124,
  raw_stack!F$2:F$100000, "Iya",
  raw_stack!G$2:G$100000, "&gt;="&amp;DATE(2025,9,1),
  raw_stack!G$2:G$100000, "&lt;="&amp;EOMONTH(DATE(2025,9,1),0)
 ),
 IF(OR(_xlpm.x=0, _xlpm.x=""), "-", _xlpm.x)
)</f>
        <v>37296</v>
      </c>
      <c r="U124" s="54" t="str">
        <f>_xlfn.LET(
 _xlpm.x,
 _xlfn.MAXIFS(
  raw_stack!G$2:G$99411,
  raw_stack!D$2:D$99411, G124,
  raw_stack!F$2:F$99411, "Iya",
  raw_stack!G$2:G$99411, "&gt;="&amp;DATE(2025,10,1),
  raw_stack!G$2:G$99411, "&lt;="&amp;EOMONTH(DATE(2025,10,1),0)
 ),
 IF(_xlpm.x=0, "-", _xlpm.x)
)</f>
        <v>-</v>
      </c>
      <c r="V124" s="65" t="str">
        <f>_xlfn.LET(
 _xlpm.x,
 _xlfn.MAXIFS(
  raw_stack!H$2:H$100000,
  raw_stack!D$2:D$100000, G124,
  raw_stack!F$2:F$100000, "Iya",
  raw_stack!G$2:G$100000, "&gt;="&amp;DATE(2025,10,1),
  raw_stack!G$2:G$100000, "&lt;="&amp;EOMONTH(DATE(2025,10,1),0)
 ),
 IF(OR(_xlpm.x=0, _xlpm.x=""), "-", _xlpm.x)
)</f>
        <v>-</v>
      </c>
      <c r="W124" s="55" t="str">
        <f>_xlfn.LET(
 _xlpm.x,
 _xlfn.MAXIFS(
  raw_stack!G$2:G$99411,
  raw_stack!D$2:D$99411, G124,
  raw_stack!F$2:F$99411, "Iya",
  raw_stack!G$2:G$99411, "&gt;="&amp;DATE(2025,11,1),
  raw_stack!G$2:G$99411, "&lt;="&amp;EOMONTH(DATE(2025,11,1),0)
 ),
 IF(_xlpm.x=0, "-", _xlpm.x)
)</f>
        <v>-</v>
      </c>
      <c r="X124" s="56" t="str">
        <f>_xlfn.LET(
 _xlpm.x,
 _xlfn.MAXIFS(
  raw_stack!H$2:H$100000,
  raw_stack!D$2:D$100000, G124,
  raw_stack!F$2:F$100000, "Iya",
  raw_stack!G$2:G$100000, "&gt;="&amp;DATE(2025,11,1),
  raw_stack!G$2:G$100000, "&lt;="&amp;EOMONTH(DATE(2025,11,1),0)
 ),
 IF(OR(_xlpm.x=0, _xlpm.x=""), "-", _xlpm.x)
)</f>
        <v>-</v>
      </c>
      <c r="Y124" s="55" t="str">
        <f>_xlfn.LET(
 _xlpm.x,
 _xlfn.MAXIFS(
  raw_stack!G$2:G$99411,
  raw_stack!D$2:D$99411, G124,
  raw_stack!F$2:F$99411, "Iya",
  raw_stack!G$2:G$99411, "&gt;="&amp;DATE(2025,12,1),
  raw_stack!G$2:G$99411, "&lt;="&amp;EOMONTH(DATE(2025,12,1),0)
 ),
 IF(_xlpm.x=0, "-", _xlpm.x)
)</f>
        <v>-</v>
      </c>
      <c r="Z124" s="56" t="str">
        <f>_xlfn.LET(
 _xlpm.x,
 _xlfn.MAXIFS(
  raw_stack!H$2:H$100000,
  raw_stack!D$2:D$100000, G124,
  raw_stack!F$2:F$100000, "Iya",
  raw_stack!G$2:G$100000, "&gt;="&amp;DATE(2025,12,1),
  raw_stack!G$2:G$100000, "&lt;="&amp;EOMONTH(DATE(2025,12,1),0)
 ),
 IF(OR(_xlpm.x=0, _xlpm.x=""), "-", _xlpm.x)
)</f>
        <v>-</v>
      </c>
      <c r="AA124" s="55" t="str">
        <f>_xlfn.LET(
 _xlpm.x,
 _xlfn.MAXIFS(
  raw_stack!G$2:G$99411,
  raw_stack!D$2:D$99411, G124,
  raw_stack!F$2:F$99411, "Iya",
  raw_stack!G$2:G$99411, "&gt;="&amp;DATE(2026,1,1),
  raw_stack!G$2:G$99411, "&lt;="&amp;EOMONTH(DATE(2026,1,1),0)
 ),
 IF(_xlpm.x=0, "-", _xlpm.x)
)</f>
        <v>-</v>
      </c>
      <c r="AB124" s="56" t="str">
        <f>_xlfn.LET(
 _xlpm.x,
 _xlfn.MAXIFS(
  raw_stack!H$2:H$100000,
  raw_stack!D$2:D$100000, G124,
  raw_stack!F$2:F$100000, "Iya",
  raw_stack!G$2:G$100000, "&gt;="&amp;DATE(2026,1,1),
  raw_stack!G$2:G$100000, "&lt;="&amp;EOMONTH(DATE(2026,1,1),0)
 ),
 IF(OR(_xlpm.x=0, _xlpm.x=""), "-", _xlpm.x)
)</f>
        <v>-</v>
      </c>
      <c r="AC124" s="55">
        <f>_xlfn.LET(
 _xlpm.x,
 _xlfn.MAXIFS(
  raw_stack!G$2:G$99411,
  raw_stack!D$2:D$99411, G124,
  raw_stack!F$2:F$99411, "Iya",
  raw_stack!G$2:G$99411, "&gt;="&amp;DATE(2026,2,1),
  raw_stack!G$2:G$99411, "&lt;="&amp;EOMONTH(DATE(2026,2,1),0)
 ),
 IF(_xlpm.x=0, "-", _xlpm.x)
)</f>
        <v>46068</v>
      </c>
      <c r="AD124" s="56">
        <f>_xlfn.LET(
 _xlpm.x,
 _xlfn.MAXIFS(
  raw_stack!H$2:H$100000,
  raw_stack!D$2:D$100000, G124,
  raw_stack!F$2:F$100000, "Iya",
  raw_stack!G$2:G$100000, "&gt;="&amp;DATE(2026,2,1),
  raw_stack!G$2:G$100000, "&lt;="&amp;EOMONTH(DATE(2026,2,1),0)
 ),
 IF(OR(_xlpm.x=0, _xlpm.x=""), "-", _xlpm.x)
)</f>
        <v>41377</v>
      </c>
      <c r="AE124" s="55" t="str">
        <f>_xlfn.LET(
 _xlpm.x,
 _xlfn.MAXIFS(
  raw_stack!G$2:G$100000,
  raw_stack!D$2:D$100000, G124,
  raw_stack!F$2:F$100000, "Iya",
  raw_stack!G$2:G$100000, "&gt;="&amp;DATE(2026,3,1),
  raw_stack!G$2:G$100000, "&lt;="&amp;EOMONTH(DATE(2026,3,1),0)
 ),
 IF(_xlpm.x=0, "-", _xlpm.x)
)</f>
        <v>-</v>
      </c>
      <c r="AF124" s="56" t="str">
        <f>_xlfn.LET(
 _xlpm.x,
 _xlfn.MAXIFS(
  raw_stack!H$2:H$100000,
  raw_stack!D$2:D$100000, G124,
  raw_stack!F$2:F$100000, "Iya",
  raw_stack!G$2:G$100000, "&gt;="&amp;DATE(2026,3,1),
  raw_stack!G$2:G$100000, "&lt;="&amp;EOMONTH(DATE(2026,3,1),0)
 ),
 IF(OR(_xlpm.x=0, _xlpm.x=""), "-", _xlpm.x)
)</f>
        <v>-</v>
      </c>
      <c r="AG124" s="55" t="str">
        <f>_xlfn.LET(
 _xlpm.x,
 _xlfn.MAXIFS(
  raw_stack!G$2:G$100000,
  raw_stack!D$2:D$100000, G124,
  raw_stack!F$2:F$100000, "Iya",
  raw_stack!G$2:G$100000, "&gt;="&amp;DATE(2026,4,1),
  raw_stack!G$2:G$100000, "&lt;="&amp;EOMONTH(DATE(2026,4,1),0)
 ),
 IF(_xlpm.x=0, "-", _xlpm.x)
)</f>
        <v>-</v>
      </c>
      <c r="AH124" s="56" t="str">
        <f>_xlfn.LET(
 _xlpm.x,
 _xlfn.MAXIFS(
  raw_stack!H$2:H$100000,
  raw_stack!D$2:D$100000, G124,
  raw_stack!F$2:F$100000, "Iya",
  raw_stack!G$2:G$100000, "&gt;="&amp;DATE(2026,4,1),
  raw_stack!G$2:G$100000, "&lt;="&amp;EOMONTH(DATE(2026,4,1),0)
 ),
 IF(OR(_xlpm.x=0, _xlpm.x=""), "-", _xlpm.x)
)</f>
        <v>-</v>
      </c>
    </row>
    <row r="125" spans="1:34">
      <c r="A125" s="48">
        <v>124</v>
      </c>
      <c r="B125" s="49" t="str">
        <f t="shared" si="2"/>
        <v>24300</v>
      </c>
      <c r="C125" s="50" t="s">
        <v>46</v>
      </c>
      <c r="D125" s="51" t="s">
        <v>569</v>
      </c>
      <c r="E125" s="51" t="s">
        <v>47</v>
      </c>
      <c r="F125" s="49" t="s">
        <v>117</v>
      </c>
      <c r="G125" s="49" t="s">
        <v>241</v>
      </c>
      <c r="H125" s="49" t="s">
        <v>48</v>
      </c>
      <c r="I125" s="49" t="s">
        <v>49</v>
      </c>
      <c r="J125" s="52">
        <v>4050000</v>
      </c>
      <c r="K125" s="53">
        <v>46062</v>
      </c>
      <c r="L125" s="53">
        <v>46426</v>
      </c>
      <c r="M125" s="53">
        <v>46089</v>
      </c>
      <c r="N125" s="49" t="s">
        <v>50</v>
      </c>
      <c r="O125" s="54" t="str">
        <f>_xlfn.LET(
 _xlpm.x,
 _xlfn.MAXIFS(
  raw_stack!G$2:G$100000,
  raw_stack!D$2:D$100000, G125,
  raw_stack!F$2:F$100000, "Iya",
  raw_stack!G$2:G$100000, "&gt;="&amp;DATE(2025,7,1),
  raw_stack!G$2:G$100000, "&lt;="&amp;EOMONTH(DATE(2025,7,1),0)
 ),
 IF(_xlpm.x=0, "-", _xlpm.x)
)</f>
        <v>-</v>
      </c>
      <c r="P125" s="65" t="str">
        <f>_xlfn.LET(
 _xlpm.x,
 _xlfn.MAXIFS(
  raw_stack!H$2:H$100000,
  raw_stack!D$2:D$100000, G125,
  raw_stack!F$2:F$100000, "Iya",
  raw_stack!G$2:G$100000, "&gt;="&amp;DATE(2025,7,1),
  raw_stack!G$2:G$100000, "&lt;="&amp;EOMONTH(DATE(2025,7,1),0)
 ),
 IF(OR(_xlpm.x=0, _xlpm.x=""), "-", _xlpm.x)
)</f>
        <v>-</v>
      </c>
      <c r="Q125" s="54">
        <f>_xlfn.LET(
 _xlpm.x,
 _xlfn.MAXIFS(
  raw_stack!G$2:G$99411,
  raw_stack!D$2:D$99411, G125,
  raw_stack!F$2:F$99411, "Iya",
  raw_stack!G$2:G$99411, "&gt;="&amp;DATE(2025,8,1),
  raw_stack!G$2:G$99411, "&lt;="&amp;EOMONTH(DATE(2025,8,1),0)
 ),
 IF(_xlpm.x=0, "-", _xlpm.x)
)</f>
        <v>45892</v>
      </c>
      <c r="R125" s="65">
        <f>_xlfn.LET(
 _xlpm.x,
 _xlfn.MAXIFS(
  raw_stack!H$2:H$100000,
  raw_stack!D$2:D$100000, G125,
  raw_stack!F$2:F$100000, "Iya",
  raw_stack!G$2:G$100000, "&gt;="&amp;DATE(2025,8,1),
  raw_stack!G$2:G$100000, "&lt;="&amp;EOMONTH(DATE(2025,8,1),0)
 ),
 IF(OR(_xlpm.x=0, _xlpm.x=""), "-", _xlpm.x)
)</f>
        <v>36373</v>
      </c>
      <c r="S125" s="54">
        <f>_xlfn.LET(
 _xlpm.x,
 _xlfn.MAXIFS(
  raw_stack!G$2:G$99411,
  raw_stack!D$2:D$99411, G125,
  raw_stack!F$2:F$99411, "Iya",
  raw_stack!G$2:G$99411, "&gt;="&amp;DATE(2025,9,1),
  raw_stack!G$2:G$99411, "&lt;="&amp;EOMONTH(DATE(2025,9,1),0)
 ),
 IF(_xlpm.x=0, "-", _xlpm.x)
)</f>
        <v>45923</v>
      </c>
      <c r="T125" s="65">
        <f>_xlfn.LET(
 _xlpm.x,
 _xlfn.MAXIFS(
  raw_stack!H$2:H$100000,
  raw_stack!D$2:D$100000, G125,
  raw_stack!F$2:F$100000, "Iya",
  raw_stack!G$2:G$100000, "&gt;="&amp;DATE(2025,9,1),
  raw_stack!G$2:G$100000, "&lt;="&amp;EOMONTH(DATE(2025,9,1),0)
 ),
 IF(OR(_xlpm.x=0, _xlpm.x=""), "-", _xlpm.x)
)</f>
        <v>34699</v>
      </c>
      <c r="U125" s="54" t="str">
        <f>_xlfn.LET(
 _xlpm.x,
 _xlfn.MAXIFS(
  raw_stack!G$2:G$99411,
  raw_stack!D$2:D$99411, G125,
  raw_stack!F$2:F$99411, "Iya",
  raw_stack!G$2:G$99411, "&gt;="&amp;DATE(2025,10,1),
  raw_stack!G$2:G$99411, "&lt;="&amp;EOMONTH(DATE(2025,10,1),0)
 ),
 IF(_xlpm.x=0, "-", _xlpm.x)
)</f>
        <v>-</v>
      </c>
      <c r="V125" s="65" t="str">
        <f>_xlfn.LET(
 _xlpm.x,
 _xlfn.MAXIFS(
  raw_stack!H$2:H$100000,
  raw_stack!D$2:D$100000, G125,
  raw_stack!F$2:F$100000, "Iya",
  raw_stack!G$2:G$100000, "&gt;="&amp;DATE(2025,10,1),
  raw_stack!G$2:G$100000, "&lt;="&amp;EOMONTH(DATE(2025,10,1),0)
 ),
 IF(OR(_xlpm.x=0, _xlpm.x=""), "-", _xlpm.x)
)</f>
        <v>-</v>
      </c>
      <c r="W125" s="55" t="str">
        <f>_xlfn.LET(
 _xlpm.x,
 _xlfn.MAXIFS(
  raw_stack!G$2:G$99411,
  raw_stack!D$2:D$99411, G125,
  raw_stack!F$2:F$99411, "Iya",
  raw_stack!G$2:G$99411, "&gt;="&amp;DATE(2025,11,1),
  raw_stack!G$2:G$99411, "&lt;="&amp;EOMONTH(DATE(2025,11,1),0)
 ),
 IF(_xlpm.x=0, "-", _xlpm.x)
)</f>
        <v>-</v>
      </c>
      <c r="X125" s="56" t="str">
        <f>_xlfn.LET(
 _xlpm.x,
 _xlfn.MAXIFS(
  raw_stack!H$2:H$100000,
  raw_stack!D$2:D$100000, G125,
  raw_stack!F$2:F$100000, "Iya",
  raw_stack!G$2:G$100000, "&gt;="&amp;DATE(2025,11,1),
  raw_stack!G$2:G$100000, "&lt;="&amp;EOMONTH(DATE(2025,11,1),0)
 ),
 IF(OR(_xlpm.x=0, _xlpm.x=""), "-", _xlpm.x)
)</f>
        <v>-</v>
      </c>
      <c r="Y125" s="55" t="str">
        <f>_xlfn.LET(
 _xlpm.x,
 _xlfn.MAXIFS(
  raw_stack!G$2:G$99411,
  raw_stack!D$2:D$99411, G125,
  raw_stack!F$2:F$99411, "Iya",
  raw_stack!G$2:G$99411, "&gt;="&amp;DATE(2025,12,1),
  raw_stack!G$2:G$99411, "&lt;="&amp;EOMONTH(DATE(2025,12,1),0)
 ),
 IF(_xlpm.x=0, "-", _xlpm.x)
)</f>
        <v>-</v>
      </c>
      <c r="Z125" s="56" t="str">
        <f>_xlfn.LET(
 _xlpm.x,
 _xlfn.MAXIFS(
  raw_stack!H$2:H$100000,
  raw_stack!D$2:D$100000, G125,
  raw_stack!F$2:F$100000, "Iya",
  raw_stack!G$2:G$100000, "&gt;="&amp;DATE(2025,12,1),
  raw_stack!G$2:G$100000, "&lt;="&amp;EOMONTH(DATE(2025,12,1),0)
 ),
 IF(OR(_xlpm.x=0, _xlpm.x=""), "-", _xlpm.x)
)</f>
        <v>-</v>
      </c>
      <c r="AA125" s="55" t="str">
        <f>_xlfn.LET(
 _xlpm.x,
 _xlfn.MAXIFS(
  raw_stack!G$2:G$99411,
  raw_stack!D$2:D$99411, G125,
  raw_stack!F$2:F$99411, "Iya",
  raw_stack!G$2:G$99411, "&gt;="&amp;DATE(2026,1,1),
  raw_stack!G$2:G$99411, "&lt;="&amp;EOMONTH(DATE(2026,1,1),0)
 ),
 IF(_xlpm.x=0, "-", _xlpm.x)
)</f>
        <v>-</v>
      </c>
      <c r="AB125" s="56" t="str">
        <f>_xlfn.LET(
 _xlpm.x,
 _xlfn.MAXIFS(
  raw_stack!H$2:H$100000,
  raw_stack!D$2:D$100000, G125,
  raw_stack!F$2:F$100000, "Iya",
  raw_stack!G$2:G$100000, "&gt;="&amp;DATE(2026,1,1),
  raw_stack!G$2:G$100000, "&lt;="&amp;EOMONTH(DATE(2026,1,1),0)
 ),
 IF(OR(_xlpm.x=0, _xlpm.x=""), "-", _xlpm.x)
)</f>
        <v>-</v>
      </c>
      <c r="AC125" s="55" t="str">
        <f>_xlfn.LET(
 _xlpm.x,
 _xlfn.MAXIFS(
  raw_stack!G$2:G$99411,
  raw_stack!D$2:D$99411, G125,
  raw_stack!F$2:F$99411, "Iya",
  raw_stack!G$2:G$99411, "&gt;="&amp;DATE(2026,2,1),
  raw_stack!G$2:G$99411, "&lt;="&amp;EOMONTH(DATE(2026,2,1),0)
 ),
 IF(_xlpm.x=0, "-", _xlpm.x)
)</f>
        <v>-</v>
      </c>
      <c r="AD125" s="56" t="str">
        <f>_xlfn.LET(
 _xlpm.x,
 _xlfn.MAXIFS(
  raw_stack!H$2:H$100000,
  raw_stack!D$2:D$100000, G125,
  raw_stack!F$2:F$100000, "Iya",
  raw_stack!G$2:G$100000, "&gt;="&amp;DATE(2026,2,1),
  raw_stack!G$2:G$100000, "&lt;="&amp;EOMONTH(DATE(2026,2,1),0)
 ),
 IF(OR(_xlpm.x=0, _xlpm.x=""), "-", _xlpm.x)
)</f>
        <v>-</v>
      </c>
      <c r="AE125" s="55" t="str">
        <f>_xlfn.LET(
 _xlpm.x,
 _xlfn.MAXIFS(
  raw_stack!G$2:G$100000,
  raw_stack!D$2:D$100000, G125,
  raw_stack!F$2:F$100000, "Iya",
  raw_stack!G$2:G$100000, "&gt;="&amp;DATE(2026,3,1),
  raw_stack!G$2:G$100000, "&lt;="&amp;EOMONTH(DATE(2026,3,1),0)
 ),
 IF(_xlpm.x=0, "-", _xlpm.x)
)</f>
        <v>-</v>
      </c>
      <c r="AF125" s="56" t="str">
        <f>_xlfn.LET(
 _xlpm.x,
 _xlfn.MAXIFS(
  raw_stack!H$2:H$100000,
  raw_stack!D$2:D$100000, G125,
  raw_stack!F$2:F$100000, "Iya",
  raw_stack!G$2:G$100000, "&gt;="&amp;DATE(2026,3,1),
  raw_stack!G$2:G$100000, "&lt;="&amp;EOMONTH(DATE(2026,3,1),0)
 ),
 IF(OR(_xlpm.x=0, _xlpm.x=""), "-", _xlpm.x)
)</f>
        <v>-</v>
      </c>
      <c r="AG125" s="55" t="str">
        <f>_xlfn.LET(
 _xlpm.x,
 _xlfn.MAXIFS(
  raw_stack!G$2:G$100000,
  raw_stack!D$2:D$100000, G125,
  raw_stack!F$2:F$100000, "Iya",
  raw_stack!G$2:G$100000, "&gt;="&amp;DATE(2026,4,1),
  raw_stack!G$2:G$100000, "&lt;="&amp;EOMONTH(DATE(2026,4,1),0)
 ),
 IF(_xlpm.x=0, "-", _xlpm.x)
)</f>
        <v>-</v>
      </c>
      <c r="AH125" s="56" t="str">
        <f>_xlfn.LET(
 _xlpm.x,
 _xlfn.MAXIFS(
  raw_stack!H$2:H$100000,
  raw_stack!D$2:D$100000, G125,
  raw_stack!F$2:F$100000, "Iya",
  raw_stack!G$2:G$100000, "&gt;="&amp;DATE(2026,4,1),
  raw_stack!G$2:G$100000, "&lt;="&amp;EOMONTH(DATE(2026,4,1),0)
 ),
 IF(OR(_xlpm.x=0, _xlpm.x=""), "-", _xlpm.x)
)</f>
        <v>-</v>
      </c>
    </row>
    <row r="126" spans="1:34">
      <c r="A126" s="48">
        <v>125</v>
      </c>
      <c r="B126" s="49" t="str">
        <f t="shared" si="2"/>
        <v>42537</v>
      </c>
      <c r="C126" s="50" t="s">
        <v>46</v>
      </c>
      <c r="D126" s="51" t="s">
        <v>570</v>
      </c>
      <c r="E126" s="51" t="s">
        <v>47</v>
      </c>
      <c r="F126" s="49" t="s">
        <v>117</v>
      </c>
      <c r="G126" s="49" t="s">
        <v>242</v>
      </c>
      <c r="H126" s="49" t="s">
        <v>48</v>
      </c>
      <c r="I126" s="49" t="s">
        <v>49</v>
      </c>
      <c r="J126" s="52">
        <v>4375000</v>
      </c>
      <c r="K126" s="53">
        <v>45337</v>
      </c>
      <c r="L126" s="53">
        <v>46432</v>
      </c>
      <c r="M126" s="53">
        <v>46067</v>
      </c>
      <c r="N126" s="49" t="s">
        <v>50</v>
      </c>
      <c r="O126" s="54">
        <f>_xlfn.LET(
 _xlpm.x,
 _xlfn.MAXIFS(
  raw_stack!G$2:G$100000,
  raw_stack!D$2:D$100000, G126,
  raw_stack!F$2:F$100000, "Iya",
  raw_stack!G$2:G$100000, "&gt;="&amp;DATE(2025,7,1),
  raw_stack!G$2:G$100000, "&lt;="&amp;EOMONTH(DATE(2025,7,1),0)
 ),
 IF(_xlpm.x=0, "-", _xlpm.x)
)</f>
        <v>45848</v>
      </c>
      <c r="P126" s="65">
        <f>_xlfn.LET(
 _xlpm.x,
 _xlfn.MAXIFS(
  raw_stack!H$2:H$100000,
  raw_stack!D$2:D$100000, G126,
  raw_stack!F$2:F$100000, "Iya",
  raw_stack!G$2:G$100000, "&gt;="&amp;DATE(2025,7,1),
  raw_stack!G$2:G$100000, "&lt;="&amp;EOMONTH(DATE(2025,7,1),0)
 ),
 IF(OR(_xlpm.x=0, _xlpm.x=""), "-", _xlpm.x)
)</f>
        <v>93473</v>
      </c>
      <c r="Q126" s="54" t="str">
        <f>_xlfn.LET(
 _xlpm.x,
 _xlfn.MAXIFS(
  raw_stack!G$2:G$99411,
  raw_stack!D$2:D$99411, G126,
  raw_stack!F$2:F$99411, "Iya",
  raw_stack!G$2:G$99411, "&gt;="&amp;DATE(2025,8,1),
  raw_stack!G$2:G$99411, "&lt;="&amp;EOMONTH(DATE(2025,8,1),0)
 ),
 IF(_xlpm.x=0, "-", _xlpm.x)
)</f>
        <v>-</v>
      </c>
      <c r="R126" s="65" t="str">
        <f>_xlfn.LET(
 _xlpm.x,
 _xlfn.MAXIFS(
  raw_stack!H$2:H$100000,
  raw_stack!D$2:D$100000, G126,
  raw_stack!F$2:F$100000, "Iya",
  raw_stack!G$2:G$100000, "&gt;="&amp;DATE(2025,8,1),
  raw_stack!G$2:G$100000, "&lt;="&amp;EOMONTH(DATE(2025,8,1),0)
 ),
 IF(OR(_xlpm.x=0, _xlpm.x=""), "-", _xlpm.x)
)</f>
        <v>-</v>
      </c>
      <c r="S126" s="54" t="str">
        <f>_xlfn.LET(
 _xlpm.x,
 _xlfn.MAXIFS(
  raw_stack!G$2:G$99411,
  raw_stack!D$2:D$99411, G126,
  raw_stack!F$2:F$99411, "Iya",
  raw_stack!G$2:G$99411, "&gt;="&amp;DATE(2025,9,1),
  raw_stack!G$2:G$99411, "&lt;="&amp;EOMONTH(DATE(2025,9,1),0)
 ),
 IF(_xlpm.x=0, "-", _xlpm.x)
)</f>
        <v>-</v>
      </c>
      <c r="T126" s="65" t="str">
        <f>_xlfn.LET(
 _xlpm.x,
 _xlfn.MAXIFS(
  raw_stack!H$2:H$100000,
  raw_stack!D$2:D$100000, G126,
  raw_stack!F$2:F$100000, "Iya",
  raw_stack!G$2:G$100000, "&gt;="&amp;DATE(2025,9,1),
  raw_stack!G$2:G$100000, "&lt;="&amp;EOMONTH(DATE(2025,9,1),0)
 ),
 IF(OR(_xlpm.x=0, _xlpm.x=""), "-", _xlpm.x)
)</f>
        <v>-</v>
      </c>
      <c r="U126" s="54" t="str">
        <f>_xlfn.LET(
 _xlpm.x,
 _xlfn.MAXIFS(
  raw_stack!G$2:G$99411,
  raw_stack!D$2:D$99411, G126,
  raw_stack!F$2:F$99411, "Iya",
  raw_stack!G$2:G$99411, "&gt;="&amp;DATE(2025,10,1),
  raw_stack!G$2:G$99411, "&lt;="&amp;EOMONTH(DATE(2025,10,1),0)
 ),
 IF(_xlpm.x=0, "-", _xlpm.x)
)</f>
        <v>-</v>
      </c>
      <c r="V126" s="65" t="str">
        <f>_xlfn.LET(
 _xlpm.x,
 _xlfn.MAXIFS(
  raw_stack!H$2:H$100000,
  raw_stack!D$2:D$100000, G126,
  raw_stack!F$2:F$100000, "Iya",
  raw_stack!G$2:G$100000, "&gt;="&amp;DATE(2025,10,1),
  raw_stack!G$2:G$100000, "&lt;="&amp;EOMONTH(DATE(2025,10,1),0)
 ),
 IF(OR(_xlpm.x=0, _xlpm.x=""), "-", _xlpm.x)
)</f>
        <v>-</v>
      </c>
      <c r="W126" s="55" t="str">
        <f>_xlfn.LET(
 _xlpm.x,
 _xlfn.MAXIFS(
  raw_stack!G$2:G$99411,
  raw_stack!D$2:D$99411, G126,
  raw_stack!F$2:F$99411, "Iya",
  raw_stack!G$2:G$99411, "&gt;="&amp;DATE(2025,11,1),
  raw_stack!G$2:G$99411, "&lt;="&amp;EOMONTH(DATE(2025,11,1),0)
 ),
 IF(_xlpm.x=0, "-", _xlpm.x)
)</f>
        <v>-</v>
      </c>
      <c r="X126" s="56" t="str">
        <f>_xlfn.LET(
 _xlpm.x,
 _xlfn.MAXIFS(
  raw_stack!H$2:H$100000,
  raw_stack!D$2:D$100000, G126,
  raw_stack!F$2:F$100000, "Iya",
  raw_stack!G$2:G$100000, "&gt;="&amp;DATE(2025,11,1),
  raw_stack!G$2:G$100000, "&lt;="&amp;EOMONTH(DATE(2025,11,1),0)
 ),
 IF(OR(_xlpm.x=0, _xlpm.x=""), "-", _xlpm.x)
)</f>
        <v>-</v>
      </c>
      <c r="Y126" s="55">
        <f>_xlfn.LET(
 _xlpm.x,
 _xlfn.MAXIFS(
  raw_stack!G$2:G$99411,
  raw_stack!D$2:D$99411, G126,
  raw_stack!F$2:F$99411, "Iya",
  raw_stack!G$2:G$99411, "&gt;="&amp;DATE(2025,12,1),
  raw_stack!G$2:G$99411, "&lt;="&amp;EOMONTH(DATE(2025,12,1),0)
 ),
 IF(_xlpm.x=0, "-", _xlpm.x)
)</f>
        <v>46006</v>
      </c>
      <c r="Z126" s="56">
        <f>_xlfn.LET(
 _xlpm.x,
 _xlfn.MAXIFS(
  raw_stack!H$2:H$100000,
  raw_stack!D$2:D$100000, G126,
  raw_stack!F$2:F$100000, "Iya",
  raw_stack!G$2:G$100000, "&gt;="&amp;DATE(2025,12,1),
  raw_stack!G$2:G$100000, "&lt;="&amp;EOMONTH(DATE(2025,12,1),0)
 ),
 IF(OR(_xlpm.x=0, _xlpm.x=""), "-", _xlpm.x)
)</f>
        <v>11201</v>
      </c>
      <c r="AA126" s="55" t="str">
        <f>_xlfn.LET(
 _xlpm.x,
 _xlfn.MAXIFS(
  raw_stack!G$2:G$99411,
  raw_stack!D$2:D$99411, G126,
  raw_stack!F$2:F$99411, "Iya",
  raw_stack!G$2:G$99411, "&gt;="&amp;DATE(2026,1,1),
  raw_stack!G$2:G$99411, "&lt;="&amp;EOMONTH(DATE(2026,1,1),0)
 ),
 IF(_xlpm.x=0, "-", _xlpm.x)
)</f>
        <v>-</v>
      </c>
      <c r="AB126" s="56" t="str">
        <f>_xlfn.LET(
 _xlpm.x,
 _xlfn.MAXIFS(
  raw_stack!H$2:H$100000,
  raw_stack!D$2:D$100000, G126,
  raw_stack!F$2:F$100000, "Iya",
  raw_stack!G$2:G$100000, "&gt;="&amp;DATE(2026,1,1),
  raw_stack!G$2:G$100000, "&lt;="&amp;EOMONTH(DATE(2026,1,1),0)
 ),
 IF(OR(_xlpm.x=0, _xlpm.x=""), "-", _xlpm.x)
)</f>
        <v>-</v>
      </c>
      <c r="AC126" s="55" t="str">
        <f>_xlfn.LET(
 _xlpm.x,
 _xlfn.MAXIFS(
  raw_stack!G$2:G$99411,
  raw_stack!D$2:D$99411, G126,
  raw_stack!F$2:F$99411, "Iya",
  raw_stack!G$2:G$99411, "&gt;="&amp;DATE(2026,2,1),
  raw_stack!G$2:G$99411, "&lt;="&amp;EOMONTH(DATE(2026,2,1),0)
 ),
 IF(_xlpm.x=0, "-", _xlpm.x)
)</f>
        <v>-</v>
      </c>
      <c r="AD126" s="56" t="str">
        <f>_xlfn.LET(
 _xlpm.x,
 _xlfn.MAXIFS(
  raw_stack!H$2:H$100000,
  raw_stack!D$2:D$100000, G126,
  raw_stack!F$2:F$100000, "Iya",
  raw_stack!G$2:G$100000, "&gt;="&amp;DATE(2026,2,1),
  raw_stack!G$2:G$100000, "&lt;="&amp;EOMONTH(DATE(2026,2,1),0)
 ),
 IF(OR(_xlpm.x=0, _xlpm.x=""), "-", _xlpm.x)
)</f>
        <v>-</v>
      </c>
      <c r="AE126" s="55" t="str">
        <f>_xlfn.LET(
 _xlpm.x,
 _xlfn.MAXIFS(
  raw_stack!G$2:G$100000,
  raw_stack!D$2:D$100000, G126,
  raw_stack!F$2:F$100000, "Iya",
  raw_stack!G$2:G$100000, "&gt;="&amp;DATE(2026,3,1),
  raw_stack!G$2:G$100000, "&lt;="&amp;EOMONTH(DATE(2026,3,1),0)
 ),
 IF(_xlpm.x=0, "-", _xlpm.x)
)</f>
        <v>-</v>
      </c>
      <c r="AF126" s="56" t="str">
        <f>_xlfn.LET(
 _xlpm.x,
 _xlfn.MAXIFS(
  raw_stack!H$2:H$100000,
  raw_stack!D$2:D$100000, G126,
  raw_stack!F$2:F$100000, "Iya",
  raw_stack!G$2:G$100000, "&gt;="&amp;DATE(2026,3,1),
  raw_stack!G$2:G$100000, "&lt;="&amp;EOMONTH(DATE(2026,3,1),0)
 ),
 IF(OR(_xlpm.x=0, _xlpm.x=""), "-", _xlpm.x)
)</f>
        <v>-</v>
      </c>
      <c r="AG126" s="55" t="str">
        <f>_xlfn.LET(
 _xlpm.x,
 _xlfn.MAXIFS(
  raw_stack!G$2:G$100000,
  raw_stack!D$2:D$100000, G126,
  raw_stack!F$2:F$100000, "Iya",
  raw_stack!G$2:G$100000, "&gt;="&amp;DATE(2026,4,1),
  raw_stack!G$2:G$100000, "&lt;="&amp;EOMONTH(DATE(2026,4,1),0)
 ),
 IF(_xlpm.x=0, "-", _xlpm.x)
)</f>
        <v>-</v>
      </c>
      <c r="AH126" s="56" t="str">
        <f>_xlfn.LET(
 _xlpm.x,
 _xlfn.MAXIFS(
  raw_stack!H$2:H$100000,
  raw_stack!D$2:D$100000, G126,
  raw_stack!F$2:F$100000, "Iya",
  raw_stack!G$2:G$100000, "&gt;="&amp;DATE(2026,4,1),
  raw_stack!G$2:G$100000, "&lt;="&amp;EOMONTH(DATE(2026,4,1),0)
 ),
 IF(OR(_xlpm.x=0, _xlpm.x=""), "-", _xlpm.x)
)</f>
        <v>-</v>
      </c>
    </row>
    <row r="127" spans="1:34">
      <c r="A127" s="48">
        <v>126</v>
      </c>
      <c r="B127" s="49" t="str">
        <f t="shared" si="2"/>
        <v>94865</v>
      </c>
      <c r="C127" s="50" t="s">
        <v>46</v>
      </c>
      <c r="D127" s="51" t="s">
        <v>571</v>
      </c>
      <c r="E127" s="51" t="s">
        <v>47</v>
      </c>
      <c r="F127" s="49" t="s">
        <v>117</v>
      </c>
      <c r="G127" s="49" t="s">
        <v>243</v>
      </c>
      <c r="H127" s="49" t="s">
        <v>48</v>
      </c>
      <c r="I127" s="49" t="s">
        <v>49</v>
      </c>
      <c r="J127" s="52">
        <v>4425000</v>
      </c>
      <c r="K127" s="53">
        <v>45338</v>
      </c>
      <c r="L127" s="53">
        <v>46433</v>
      </c>
      <c r="M127" s="53">
        <v>46068</v>
      </c>
      <c r="N127" s="49" t="s">
        <v>50</v>
      </c>
      <c r="O127" s="54" t="str">
        <f>_xlfn.LET(
 _xlpm.x,
 _xlfn.MAXIFS(
  raw_stack!G$2:G$100000,
  raw_stack!D$2:D$100000, G127,
  raw_stack!F$2:F$100000, "Iya",
  raw_stack!G$2:G$100000, "&gt;="&amp;DATE(2025,7,1),
  raw_stack!G$2:G$100000, "&lt;="&amp;EOMONTH(DATE(2025,7,1),0)
 ),
 IF(_xlpm.x=0, "-", _xlpm.x)
)</f>
        <v>-</v>
      </c>
      <c r="P127" s="65" t="str">
        <f>_xlfn.LET(
 _xlpm.x,
 _xlfn.MAXIFS(
  raw_stack!H$2:H$100000,
  raw_stack!D$2:D$100000, G127,
  raw_stack!F$2:F$100000, "Iya",
  raw_stack!G$2:G$100000, "&gt;="&amp;DATE(2025,7,1),
  raw_stack!G$2:G$100000, "&lt;="&amp;EOMONTH(DATE(2025,7,1),0)
 ),
 IF(OR(_xlpm.x=0, _xlpm.x=""), "-", _xlpm.x)
)</f>
        <v>-</v>
      </c>
      <c r="Q127" s="54" t="str">
        <f>_xlfn.LET(
 _xlpm.x,
 _xlfn.MAXIFS(
  raw_stack!G$2:G$99411,
  raw_stack!D$2:D$99411, G127,
  raw_stack!F$2:F$99411, "Iya",
  raw_stack!G$2:G$99411, "&gt;="&amp;DATE(2025,8,1),
  raw_stack!G$2:G$99411, "&lt;="&amp;EOMONTH(DATE(2025,8,1),0)
 ),
 IF(_xlpm.x=0, "-", _xlpm.x)
)</f>
        <v>-</v>
      </c>
      <c r="R127" s="65" t="str">
        <f>_xlfn.LET(
 _xlpm.x,
 _xlfn.MAXIFS(
  raw_stack!H$2:H$100000,
  raw_stack!D$2:D$100000, G127,
  raw_stack!F$2:F$100000, "Iya",
  raw_stack!G$2:G$100000, "&gt;="&amp;DATE(2025,8,1),
  raw_stack!G$2:G$100000, "&lt;="&amp;EOMONTH(DATE(2025,8,1),0)
 ),
 IF(OR(_xlpm.x=0, _xlpm.x=""), "-", _xlpm.x)
)</f>
        <v>-</v>
      </c>
      <c r="S127" s="54" t="str">
        <f>_xlfn.LET(
 _xlpm.x,
 _xlfn.MAXIFS(
  raw_stack!G$2:G$99411,
  raw_stack!D$2:D$99411, G127,
  raw_stack!F$2:F$99411, "Iya",
  raw_stack!G$2:G$99411, "&gt;="&amp;DATE(2025,9,1),
  raw_stack!G$2:G$99411, "&lt;="&amp;EOMONTH(DATE(2025,9,1),0)
 ),
 IF(_xlpm.x=0, "-", _xlpm.x)
)</f>
        <v>-</v>
      </c>
      <c r="T127" s="65" t="str">
        <f>_xlfn.LET(
 _xlpm.x,
 _xlfn.MAXIFS(
  raw_stack!H$2:H$100000,
  raw_stack!D$2:D$100000, G127,
  raw_stack!F$2:F$100000, "Iya",
  raw_stack!G$2:G$100000, "&gt;="&amp;DATE(2025,9,1),
  raw_stack!G$2:G$100000, "&lt;="&amp;EOMONTH(DATE(2025,9,1),0)
 ),
 IF(OR(_xlpm.x=0, _xlpm.x=""), "-", _xlpm.x)
)</f>
        <v>-</v>
      </c>
      <c r="U127" s="54" t="str">
        <f>_xlfn.LET(
 _xlpm.x,
 _xlfn.MAXIFS(
  raw_stack!G$2:G$99411,
  raw_stack!D$2:D$99411, G127,
  raw_stack!F$2:F$99411, "Iya",
  raw_stack!G$2:G$99411, "&gt;="&amp;DATE(2025,10,1),
  raw_stack!G$2:G$99411, "&lt;="&amp;EOMONTH(DATE(2025,10,1),0)
 ),
 IF(_xlpm.x=0, "-", _xlpm.x)
)</f>
        <v>-</v>
      </c>
      <c r="V127" s="65" t="str">
        <f>_xlfn.LET(
 _xlpm.x,
 _xlfn.MAXIFS(
  raw_stack!H$2:H$100000,
  raw_stack!D$2:D$100000, G127,
  raw_stack!F$2:F$100000, "Iya",
  raw_stack!G$2:G$100000, "&gt;="&amp;DATE(2025,10,1),
  raw_stack!G$2:G$100000, "&lt;="&amp;EOMONTH(DATE(2025,10,1),0)
 ),
 IF(OR(_xlpm.x=0, _xlpm.x=""), "-", _xlpm.x)
)</f>
        <v>-</v>
      </c>
      <c r="W127" s="55">
        <f>_xlfn.LET(
 _xlpm.x,
 _xlfn.MAXIFS(
  raw_stack!G$2:G$99411,
  raw_stack!D$2:D$99411, G127,
  raw_stack!F$2:F$99411, "Iya",
  raw_stack!G$2:G$99411, "&gt;="&amp;DATE(2025,11,1),
  raw_stack!G$2:G$99411, "&lt;="&amp;EOMONTH(DATE(2025,11,1),0)
 ),
 IF(_xlpm.x=0, "-", _xlpm.x)
)</f>
        <v>45974</v>
      </c>
      <c r="X127" s="56">
        <f>_xlfn.LET(
 _xlpm.x,
 _xlfn.MAXIFS(
  raw_stack!H$2:H$100000,
  raw_stack!D$2:D$100000, G127,
  raw_stack!F$2:F$100000, "Iya",
  raw_stack!G$2:G$100000, "&gt;="&amp;DATE(2025,11,1),
  raw_stack!G$2:G$100000, "&lt;="&amp;EOMONTH(DATE(2025,11,1),0)
 ),
 IF(OR(_xlpm.x=0, _xlpm.x=""), "-", _xlpm.x)
)</f>
        <v>52343</v>
      </c>
      <c r="Y127" s="55" t="str">
        <f>_xlfn.LET(
 _xlpm.x,
 _xlfn.MAXIFS(
  raw_stack!G$2:G$99411,
  raw_stack!D$2:D$99411, G127,
  raw_stack!F$2:F$99411, "Iya",
  raw_stack!G$2:G$99411, "&gt;="&amp;DATE(2025,12,1),
  raw_stack!G$2:G$99411, "&lt;="&amp;EOMONTH(DATE(2025,12,1),0)
 ),
 IF(_xlpm.x=0, "-", _xlpm.x)
)</f>
        <v>-</v>
      </c>
      <c r="Z127" s="56" t="str">
        <f>_xlfn.LET(
 _xlpm.x,
 _xlfn.MAXIFS(
  raw_stack!H$2:H$100000,
  raw_stack!D$2:D$100000, G127,
  raw_stack!F$2:F$100000, "Iya",
  raw_stack!G$2:G$100000, "&gt;="&amp;DATE(2025,12,1),
  raw_stack!G$2:G$100000, "&lt;="&amp;EOMONTH(DATE(2025,12,1),0)
 ),
 IF(OR(_xlpm.x=0, _xlpm.x=""), "-", _xlpm.x)
)</f>
        <v>-</v>
      </c>
      <c r="AA127" s="55" t="str">
        <f>_xlfn.LET(
 _xlpm.x,
 _xlfn.MAXIFS(
  raw_stack!G$2:G$99411,
  raw_stack!D$2:D$99411, G127,
  raw_stack!F$2:F$99411, "Iya",
  raw_stack!G$2:G$99411, "&gt;="&amp;DATE(2026,1,1),
  raw_stack!G$2:G$99411, "&lt;="&amp;EOMONTH(DATE(2026,1,1),0)
 ),
 IF(_xlpm.x=0, "-", _xlpm.x)
)</f>
        <v>-</v>
      </c>
      <c r="AB127" s="56" t="str">
        <f>_xlfn.LET(
 _xlpm.x,
 _xlfn.MAXIFS(
  raw_stack!H$2:H$100000,
  raw_stack!D$2:D$100000, G127,
  raw_stack!F$2:F$100000, "Iya",
  raw_stack!G$2:G$100000, "&gt;="&amp;DATE(2026,1,1),
  raw_stack!G$2:G$100000, "&lt;="&amp;EOMONTH(DATE(2026,1,1),0)
 ),
 IF(OR(_xlpm.x=0, _xlpm.x=""), "-", _xlpm.x)
)</f>
        <v>-</v>
      </c>
      <c r="AC127" s="55">
        <f>_xlfn.LET(
 _xlpm.x,
 _xlfn.MAXIFS(
  raw_stack!G$2:G$99411,
  raw_stack!D$2:D$99411, G127,
  raw_stack!F$2:F$99411, "Iya",
  raw_stack!G$2:G$99411, "&gt;="&amp;DATE(2026,2,1),
  raw_stack!G$2:G$99411, "&lt;="&amp;EOMONTH(DATE(2026,2,1),0)
 ),
 IF(_xlpm.x=0, "-", _xlpm.x)
)</f>
        <v>46080</v>
      </c>
      <c r="AD127" s="56">
        <f>_xlfn.LET(
 _xlpm.x,
 _xlfn.MAXIFS(
  raw_stack!H$2:H$100000,
  raw_stack!D$2:D$100000, G127,
  raw_stack!F$2:F$100000, "Iya",
  raw_stack!G$2:G$100000, "&gt;="&amp;DATE(2026,2,1),
  raw_stack!G$2:G$100000, "&lt;="&amp;EOMONTH(DATE(2026,2,1),0)
 ),
 IF(OR(_xlpm.x=0, _xlpm.x=""), "-", _xlpm.x)
)</f>
        <v>48052</v>
      </c>
      <c r="AE127" s="55" t="str">
        <f>_xlfn.LET(
 _xlpm.x,
 _xlfn.MAXIFS(
  raw_stack!G$2:G$100000,
  raw_stack!D$2:D$100000, G127,
  raw_stack!F$2:F$100000, "Iya",
  raw_stack!G$2:G$100000, "&gt;="&amp;DATE(2026,3,1),
  raw_stack!G$2:G$100000, "&lt;="&amp;EOMONTH(DATE(2026,3,1),0)
 ),
 IF(_xlpm.x=0, "-", _xlpm.x)
)</f>
        <v>-</v>
      </c>
      <c r="AF127" s="56" t="str">
        <f>_xlfn.LET(
 _xlpm.x,
 _xlfn.MAXIFS(
  raw_stack!H$2:H$100000,
  raw_stack!D$2:D$100000, G127,
  raw_stack!F$2:F$100000, "Iya",
  raw_stack!G$2:G$100000, "&gt;="&amp;DATE(2026,3,1),
  raw_stack!G$2:G$100000, "&lt;="&amp;EOMONTH(DATE(2026,3,1),0)
 ),
 IF(OR(_xlpm.x=0, _xlpm.x=""), "-", _xlpm.x)
)</f>
        <v>-</v>
      </c>
      <c r="AG127" s="55" t="str">
        <f>_xlfn.LET(
 _xlpm.x,
 _xlfn.MAXIFS(
  raw_stack!G$2:G$100000,
  raw_stack!D$2:D$100000, G127,
  raw_stack!F$2:F$100000, "Iya",
  raw_stack!G$2:G$100000, "&gt;="&amp;DATE(2026,4,1),
  raw_stack!G$2:G$100000, "&lt;="&amp;EOMONTH(DATE(2026,4,1),0)
 ),
 IF(_xlpm.x=0, "-", _xlpm.x)
)</f>
        <v>-</v>
      </c>
      <c r="AH127" s="56" t="str">
        <f>_xlfn.LET(
 _xlpm.x,
 _xlfn.MAXIFS(
  raw_stack!H$2:H$100000,
  raw_stack!D$2:D$100000, G127,
  raw_stack!F$2:F$100000, "Iya",
  raw_stack!G$2:G$100000, "&gt;="&amp;DATE(2026,4,1),
  raw_stack!G$2:G$100000, "&lt;="&amp;EOMONTH(DATE(2026,4,1),0)
 ),
 IF(OR(_xlpm.x=0, _xlpm.x=""), "-", _xlpm.x)
)</f>
        <v>-</v>
      </c>
    </row>
    <row r="128" spans="1:34">
      <c r="A128" s="48">
        <v>127</v>
      </c>
      <c r="B128" s="49" t="str">
        <f t="shared" si="2"/>
        <v>13597</v>
      </c>
      <c r="C128" s="50" t="s">
        <v>46</v>
      </c>
      <c r="D128" s="51" t="s">
        <v>572</v>
      </c>
      <c r="E128" s="51" t="s">
        <v>51</v>
      </c>
      <c r="F128" s="49" t="s">
        <v>117</v>
      </c>
      <c r="G128" s="49" t="s">
        <v>244</v>
      </c>
      <c r="H128" s="49" t="s">
        <v>48</v>
      </c>
      <c r="I128" s="49" t="s">
        <v>52</v>
      </c>
      <c r="J128" s="52">
        <v>4100000</v>
      </c>
      <c r="K128" s="53">
        <v>45338</v>
      </c>
      <c r="L128" s="53">
        <v>46433</v>
      </c>
      <c r="M128" s="53">
        <v>46096</v>
      </c>
      <c r="N128" s="49" t="s">
        <v>50</v>
      </c>
      <c r="O128" s="54">
        <f>_xlfn.LET(
 _xlpm.x,
 _xlfn.MAXIFS(
  raw_stack!G$2:G$100000,
  raw_stack!D$2:D$100000, G128,
  raw_stack!F$2:F$100000, "Iya",
  raw_stack!G$2:G$100000, "&gt;="&amp;DATE(2025,7,1),
  raw_stack!G$2:G$100000, "&lt;="&amp;EOMONTH(DATE(2025,7,1),0)
 ),
 IF(_xlpm.x=0, "-", _xlpm.x)
)</f>
        <v>45841</v>
      </c>
      <c r="P128" s="65">
        <f>_xlfn.LET(
 _xlpm.x,
 _xlfn.MAXIFS(
  raw_stack!H$2:H$100000,
  raw_stack!D$2:D$100000, G128,
  raw_stack!F$2:F$100000, "Iya",
  raw_stack!G$2:G$100000, "&gt;="&amp;DATE(2025,7,1),
  raw_stack!G$2:G$100000, "&lt;="&amp;EOMONTH(DATE(2025,7,1),0)
 ),
 IF(OR(_xlpm.x=0, _xlpm.x=""), "-", _xlpm.x)
)</f>
        <v>22867</v>
      </c>
      <c r="Q128" s="54" t="str">
        <f>_xlfn.LET(
 _xlpm.x,
 _xlfn.MAXIFS(
  raw_stack!G$2:G$99411,
  raw_stack!D$2:D$99411, G128,
  raw_stack!F$2:F$99411, "Iya",
  raw_stack!G$2:G$99411, "&gt;="&amp;DATE(2025,8,1),
  raw_stack!G$2:G$99411, "&lt;="&amp;EOMONTH(DATE(2025,8,1),0)
 ),
 IF(_xlpm.x=0, "-", _xlpm.x)
)</f>
        <v>-</v>
      </c>
      <c r="R128" s="65" t="str">
        <f>_xlfn.LET(
 _xlpm.x,
 _xlfn.MAXIFS(
  raw_stack!H$2:H$100000,
  raw_stack!D$2:D$100000, G128,
  raw_stack!F$2:F$100000, "Iya",
  raw_stack!G$2:G$100000, "&gt;="&amp;DATE(2025,8,1),
  raw_stack!G$2:G$100000, "&lt;="&amp;EOMONTH(DATE(2025,8,1),0)
 ),
 IF(OR(_xlpm.x=0, _xlpm.x=""), "-", _xlpm.x)
)</f>
        <v>-</v>
      </c>
      <c r="S128" s="54" t="str">
        <f>_xlfn.LET(
 _xlpm.x,
 _xlfn.MAXIFS(
  raw_stack!G$2:G$99411,
  raw_stack!D$2:D$99411, G128,
  raw_stack!F$2:F$99411, "Iya",
  raw_stack!G$2:G$99411, "&gt;="&amp;DATE(2025,9,1),
  raw_stack!G$2:G$99411, "&lt;="&amp;EOMONTH(DATE(2025,9,1),0)
 ),
 IF(_xlpm.x=0, "-", _xlpm.x)
)</f>
        <v>-</v>
      </c>
      <c r="T128" s="65" t="str">
        <f>_xlfn.LET(
 _xlpm.x,
 _xlfn.MAXIFS(
  raw_stack!H$2:H$100000,
  raw_stack!D$2:D$100000, G128,
  raw_stack!F$2:F$100000, "Iya",
  raw_stack!G$2:G$100000, "&gt;="&amp;DATE(2025,9,1),
  raw_stack!G$2:G$100000, "&lt;="&amp;EOMONTH(DATE(2025,9,1),0)
 ),
 IF(OR(_xlpm.x=0, _xlpm.x=""), "-", _xlpm.x)
)</f>
        <v>-</v>
      </c>
      <c r="U128" s="54" t="str">
        <f>_xlfn.LET(
 _xlpm.x,
 _xlfn.MAXIFS(
  raw_stack!G$2:G$99411,
  raw_stack!D$2:D$99411, G128,
  raw_stack!F$2:F$99411, "Iya",
  raw_stack!G$2:G$99411, "&gt;="&amp;DATE(2025,10,1),
  raw_stack!G$2:G$99411, "&lt;="&amp;EOMONTH(DATE(2025,10,1),0)
 ),
 IF(_xlpm.x=0, "-", _xlpm.x)
)</f>
        <v>-</v>
      </c>
      <c r="V128" s="65" t="str">
        <f>_xlfn.LET(
 _xlpm.x,
 _xlfn.MAXIFS(
  raw_stack!H$2:H$100000,
  raw_stack!D$2:D$100000, G128,
  raw_stack!F$2:F$100000, "Iya",
  raw_stack!G$2:G$100000, "&gt;="&amp;DATE(2025,10,1),
  raw_stack!G$2:G$100000, "&lt;="&amp;EOMONTH(DATE(2025,10,1),0)
 ),
 IF(OR(_xlpm.x=0, _xlpm.x=""), "-", _xlpm.x)
)</f>
        <v>-</v>
      </c>
      <c r="W128" s="55" t="str">
        <f>_xlfn.LET(
 _xlpm.x,
 _xlfn.MAXIFS(
  raw_stack!G$2:G$99411,
  raw_stack!D$2:D$99411, G128,
  raw_stack!F$2:F$99411, "Iya",
  raw_stack!G$2:G$99411, "&gt;="&amp;DATE(2025,11,1),
  raw_stack!G$2:G$99411, "&lt;="&amp;EOMONTH(DATE(2025,11,1),0)
 ),
 IF(_xlpm.x=0, "-", _xlpm.x)
)</f>
        <v>-</v>
      </c>
      <c r="X128" s="56" t="str">
        <f>_xlfn.LET(
 _xlpm.x,
 _xlfn.MAXIFS(
  raw_stack!H$2:H$100000,
  raw_stack!D$2:D$100000, G128,
  raw_stack!F$2:F$100000, "Iya",
  raw_stack!G$2:G$100000, "&gt;="&amp;DATE(2025,11,1),
  raw_stack!G$2:G$100000, "&lt;="&amp;EOMONTH(DATE(2025,11,1),0)
 ),
 IF(OR(_xlpm.x=0, _xlpm.x=""), "-", _xlpm.x)
)</f>
        <v>-</v>
      </c>
      <c r="Y128" s="55" t="str">
        <f>_xlfn.LET(
 _xlpm.x,
 _xlfn.MAXIFS(
  raw_stack!G$2:G$99411,
  raw_stack!D$2:D$99411, G128,
  raw_stack!F$2:F$99411, "Iya",
  raw_stack!G$2:G$99411, "&gt;="&amp;DATE(2025,12,1),
  raw_stack!G$2:G$99411, "&lt;="&amp;EOMONTH(DATE(2025,12,1),0)
 ),
 IF(_xlpm.x=0, "-", _xlpm.x)
)</f>
        <v>-</v>
      </c>
      <c r="Z128" s="56" t="str">
        <f>_xlfn.LET(
 _xlpm.x,
 _xlfn.MAXIFS(
  raw_stack!H$2:H$100000,
  raw_stack!D$2:D$100000, G128,
  raw_stack!F$2:F$100000, "Iya",
  raw_stack!G$2:G$100000, "&gt;="&amp;DATE(2025,12,1),
  raw_stack!G$2:G$100000, "&lt;="&amp;EOMONTH(DATE(2025,12,1),0)
 ),
 IF(OR(_xlpm.x=0, _xlpm.x=""), "-", _xlpm.x)
)</f>
        <v>-</v>
      </c>
      <c r="AA128" s="55">
        <f>_xlfn.LET(
 _xlpm.x,
 _xlfn.MAXIFS(
  raw_stack!G$2:G$99411,
  raw_stack!D$2:D$99411, G128,
  raw_stack!F$2:F$99411, "Iya",
  raw_stack!G$2:G$99411, "&gt;="&amp;DATE(2026,1,1),
  raw_stack!G$2:G$99411, "&lt;="&amp;EOMONTH(DATE(2026,1,1),0)
 ),
 IF(_xlpm.x=0, "-", _xlpm.x)
)</f>
        <v>46029</v>
      </c>
      <c r="AB128" s="56">
        <f>_xlfn.LET(
 _xlpm.x,
 _xlfn.MAXIFS(
  raw_stack!H$2:H$100000,
  raw_stack!D$2:D$100000, G128,
  raw_stack!F$2:F$100000, "Iya",
  raw_stack!G$2:G$100000, "&gt;="&amp;DATE(2026,1,1),
  raw_stack!G$2:G$100000, "&lt;="&amp;EOMONTH(DATE(2026,1,1),0)
 ),
 IF(OR(_xlpm.x=0, _xlpm.x=""), "-", _xlpm.x)
)</f>
        <v>25476</v>
      </c>
      <c r="AC128" s="55" t="str">
        <f>_xlfn.LET(
 _xlpm.x,
 _xlfn.MAXIFS(
  raw_stack!G$2:G$99411,
  raw_stack!D$2:D$99411, G128,
  raw_stack!F$2:F$99411, "Iya",
  raw_stack!G$2:G$99411, "&gt;="&amp;DATE(2026,2,1),
  raw_stack!G$2:G$99411, "&lt;="&amp;EOMONTH(DATE(2026,2,1),0)
 ),
 IF(_xlpm.x=0, "-", _xlpm.x)
)</f>
        <v>-</v>
      </c>
      <c r="AD128" s="56" t="str">
        <f>_xlfn.LET(
 _xlpm.x,
 _xlfn.MAXIFS(
  raw_stack!H$2:H$100000,
  raw_stack!D$2:D$100000, G128,
  raw_stack!F$2:F$100000, "Iya",
  raw_stack!G$2:G$100000, "&gt;="&amp;DATE(2026,2,1),
  raw_stack!G$2:G$100000, "&lt;="&amp;EOMONTH(DATE(2026,2,1),0)
 ),
 IF(OR(_xlpm.x=0, _xlpm.x=""), "-", _xlpm.x)
)</f>
        <v>-</v>
      </c>
      <c r="AE128" s="55" t="str">
        <f>_xlfn.LET(
 _xlpm.x,
 _xlfn.MAXIFS(
  raw_stack!G$2:G$100000,
  raw_stack!D$2:D$100000, G128,
  raw_stack!F$2:F$100000, "Iya",
  raw_stack!G$2:G$100000, "&gt;="&amp;DATE(2026,3,1),
  raw_stack!G$2:G$100000, "&lt;="&amp;EOMONTH(DATE(2026,3,1),0)
 ),
 IF(_xlpm.x=0, "-", _xlpm.x)
)</f>
        <v>-</v>
      </c>
      <c r="AF128" s="56" t="str">
        <f>_xlfn.LET(
 _xlpm.x,
 _xlfn.MAXIFS(
  raw_stack!H$2:H$100000,
  raw_stack!D$2:D$100000, G128,
  raw_stack!F$2:F$100000, "Iya",
  raw_stack!G$2:G$100000, "&gt;="&amp;DATE(2026,3,1),
  raw_stack!G$2:G$100000, "&lt;="&amp;EOMONTH(DATE(2026,3,1),0)
 ),
 IF(OR(_xlpm.x=0, _xlpm.x=""), "-", _xlpm.x)
)</f>
        <v>-</v>
      </c>
      <c r="AG128" s="55" t="str">
        <f>_xlfn.LET(
 _xlpm.x,
 _xlfn.MAXIFS(
  raw_stack!G$2:G$100000,
  raw_stack!D$2:D$100000, G128,
  raw_stack!F$2:F$100000, "Iya",
  raw_stack!G$2:G$100000, "&gt;="&amp;DATE(2026,4,1),
  raw_stack!G$2:G$100000, "&lt;="&amp;EOMONTH(DATE(2026,4,1),0)
 ),
 IF(_xlpm.x=0, "-", _xlpm.x)
)</f>
        <v>-</v>
      </c>
      <c r="AH128" s="56" t="str">
        <f>_xlfn.LET(
 _xlpm.x,
 _xlfn.MAXIFS(
  raw_stack!H$2:H$100000,
  raw_stack!D$2:D$100000, G128,
  raw_stack!F$2:F$100000, "Iya",
  raw_stack!G$2:G$100000, "&gt;="&amp;DATE(2026,4,1),
  raw_stack!G$2:G$100000, "&lt;="&amp;EOMONTH(DATE(2026,4,1),0)
 ),
 IF(OR(_xlpm.x=0, _xlpm.x=""), "-", _xlpm.x)
)</f>
        <v>-</v>
      </c>
    </row>
    <row r="129" spans="1:34">
      <c r="A129" s="48">
        <v>128</v>
      </c>
      <c r="B129" s="49" t="str">
        <f t="shared" si="2"/>
        <v>51407</v>
      </c>
      <c r="C129" s="50" t="s">
        <v>46</v>
      </c>
      <c r="D129" s="51" t="s">
        <v>573</v>
      </c>
      <c r="E129" s="51" t="s">
        <v>47</v>
      </c>
      <c r="F129" s="49" t="s">
        <v>117</v>
      </c>
      <c r="G129" s="49" t="s">
        <v>245</v>
      </c>
      <c r="H129" s="49" t="s">
        <v>48</v>
      </c>
      <c r="I129" s="49" t="s">
        <v>49</v>
      </c>
      <c r="J129" s="52">
        <v>4550000</v>
      </c>
      <c r="K129" s="53">
        <v>45340</v>
      </c>
      <c r="L129" s="53">
        <v>46435</v>
      </c>
      <c r="M129" s="53">
        <v>46070</v>
      </c>
      <c r="N129" s="49" t="s">
        <v>50</v>
      </c>
      <c r="O129" s="54" t="str">
        <f>_xlfn.LET(
 _xlpm.x,
 _xlfn.MAXIFS(
  raw_stack!G$2:G$100000,
  raw_stack!D$2:D$100000, G129,
  raw_stack!F$2:F$100000, "Iya",
  raw_stack!G$2:G$100000, "&gt;="&amp;DATE(2025,7,1),
  raw_stack!G$2:G$100000, "&lt;="&amp;EOMONTH(DATE(2025,7,1),0)
 ),
 IF(_xlpm.x=0, "-", _xlpm.x)
)</f>
        <v>-</v>
      </c>
      <c r="P129" s="65" t="str">
        <f>_xlfn.LET(
 _xlpm.x,
 _xlfn.MAXIFS(
  raw_stack!H$2:H$100000,
  raw_stack!D$2:D$100000, G129,
  raw_stack!F$2:F$100000, "Iya",
  raw_stack!G$2:G$100000, "&gt;="&amp;DATE(2025,7,1),
  raw_stack!G$2:G$100000, "&lt;="&amp;EOMONTH(DATE(2025,7,1),0)
 ),
 IF(OR(_xlpm.x=0, _xlpm.x=""), "-", _xlpm.x)
)</f>
        <v>-</v>
      </c>
      <c r="Q129" s="54" t="str">
        <f>_xlfn.LET(
 _xlpm.x,
 _xlfn.MAXIFS(
  raw_stack!G$2:G$99411,
  raw_stack!D$2:D$99411, G129,
  raw_stack!F$2:F$99411, "Iya",
  raw_stack!G$2:G$99411, "&gt;="&amp;DATE(2025,8,1),
  raw_stack!G$2:G$99411, "&lt;="&amp;EOMONTH(DATE(2025,8,1),0)
 ),
 IF(_xlpm.x=0, "-", _xlpm.x)
)</f>
        <v>-</v>
      </c>
      <c r="R129" s="65" t="str">
        <f>_xlfn.LET(
 _xlpm.x,
 _xlfn.MAXIFS(
  raw_stack!H$2:H$100000,
  raw_stack!D$2:D$100000, G129,
  raw_stack!F$2:F$100000, "Iya",
  raw_stack!G$2:G$100000, "&gt;="&amp;DATE(2025,8,1),
  raw_stack!G$2:G$100000, "&lt;="&amp;EOMONTH(DATE(2025,8,1),0)
 ),
 IF(OR(_xlpm.x=0, _xlpm.x=""), "-", _xlpm.x)
)</f>
        <v>-</v>
      </c>
      <c r="S129" s="54" t="str">
        <f>_xlfn.LET(
 _xlpm.x,
 _xlfn.MAXIFS(
  raw_stack!G$2:G$99411,
  raw_stack!D$2:D$99411, G129,
  raw_stack!F$2:F$99411, "Iya",
  raw_stack!G$2:G$99411, "&gt;="&amp;DATE(2025,9,1),
  raw_stack!G$2:G$99411, "&lt;="&amp;EOMONTH(DATE(2025,9,1),0)
 ),
 IF(_xlpm.x=0, "-", _xlpm.x)
)</f>
        <v>-</v>
      </c>
      <c r="T129" s="65" t="str">
        <f>_xlfn.LET(
 _xlpm.x,
 _xlfn.MAXIFS(
  raw_stack!H$2:H$100000,
  raw_stack!D$2:D$100000, G129,
  raw_stack!F$2:F$100000, "Iya",
  raw_stack!G$2:G$100000, "&gt;="&amp;DATE(2025,9,1),
  raw_stack!G$2:G$100000, "&lt;="&amp;EOMONTH(DATE(2025,9,1),0)
 ),
 IF(OR(_xlpm.x=0, _xlpm.x=""), "-", _xlpm.x)
)</f>
        <v>-</v>
      </c>
      <c r="U129" s="54">
        <f>_xlfn.LET(
 _xlpm.x,
 _xlfn.MAXIFS(
  raw_stack!G$2:G$99411,
  raw_stack!D$2:D$99411, G129,
  raw_stack!F$2:F$99411, "Iya",
  raw_stack!G$2:G$99411, "&gt;="&amp;DATE(2025,10,1),
  raw_stack!G$2:G$99411, "&lt;="&amp;EOMONTH(DATE(2025,10,1),0)
 ),
 IF(_xlpm.x=0, "-", _xlpm.x)
)</f>
        <v>45943</v>
      </c>
      <c r="V129" s="65">
        <f>_xlfn.LET(
 _xlpm.x,
 _xlfn.MAXIFS(
  raw_stack!H$2:H$100000,
  raw_stack!D$2:D$100000, G129,
  raw_stack!F$2:F$100000, "Iya",
  raw_stack!G$2:G$100000, "&gt;="&amp;DATE(2025,10,1),
  raw_stack!G$2:G$100000, "&lt;="&amp;EOMONTH(DATE(2025,10,1),0)
 ),
 IF(OR(_xlpm.x=0, _xlpm.x=""), "-", _xlpm.x)
)</f>
        <v>33681</v>
      </c>
      <c r="W129" s="55" t="str">
        <f>_xlfn.LET(
 _xlpm.x,
 _xlfn.MAXIFS(
  raw_stack!G$2:G$99411,
  raw_stack!D$2:D$99411, G129,
  raw_stack!F$2:F$99411, "Iya",
  raw_stack!G$2:G$99411, "&gt;="&amp;DATE(2025,11,1),
  raw_stack!G$2:G$99411, "&lt;="&amp;EOMONTH(DATE(2025,11,1),0)
 ),
 IF(_xlpm.x=0, "-", _xlpm.x)
)</f>
        <v>-</v>
      </c>
      <c r="X129" s="56" t="str">
        <f>_xlfn.LET(
 _xlpm.x,
 _xlfn.MAXIFS(
  raw_stack!H$2:H$100000,
  raw_stack!D$2:D$100000, G129,
  raw_stack!F$2:F$100000, "Iya",
  raw_stack!G$2:G$100000, "&gt;="&amp;DATE(2025,11,1),
  raw_stack!G$2:G$100000, "&lt;="&amp;EOMONTH(DATE(2025,11,1),0)
 ),
 IF(OR(_xlpm.x=0, _xlpm.x=""), "-", _xlpm.x)
)</f>
        <v>-</v>
      </c>
      <c r="Y129" s="55" t="str">
        <f>_xlfn.LET(
 _xlpm.x,
 _xlfn.MAXIFS(
  raw_stack!G$2:G$99411,
  raw_stack!D$2:D$99411, G129,
  raw_stack!F$2:F$99411, "Iya",
  raw_stack!G$2:G$99411, "&gt;="&amp;DATE(2025,12,1),
  raw_stack!G$2:G$99411, "&lt;="&amp;EOMONTH(DATE(2025,12,1),0)
 ),
 IF(_xlpm.x=0, "-", _xlpm.x)
)</f>
        <v>-</v>
      </c>
      <c r="Z129" s="56" t="str">
        <f>_xlfn.LET(
 _xlpm.x,
 _xlfn.MAXIFS(
  raw_stack!H$2:H$100000,
  raw_stack!D$2:D$100000, G129,
  raw_stack!F$2:F$100000, "Iya",
  raw_stack!G$2:G$100000, "&gt;="&amp;DATE(2025,12,1),
  raw_stack!G$2:G$100000, "&lt;="&amp;EOMONTH(DATE(2025,12,1),0)
 ),
 IF(OR(_xlpm.x=0, _xlpm.x=""), "-", _xlpm.x)
)</f>
        <v>-</v>
      </c>
      <c r="AA129" s="55" t="str">
        <f>_xlfn.LET(
 _xlpm.x,
 _xlfn.MAXIFS(
  raw_stack!G$2:G$99411,
  raw_stack!D$2:D$99411, G129,
  raw_stack!F$2:F$99411, "Iya",
  raw_stack!G$2:G$99411, "&gt;="&amp;DATE(2026,1,1),
  raw_stack!G$2:G$99411, "&lt;="&amp;EOMONTH(DATE(2026,1,1),0)
 ),
 IF(_xlpm.x=0, "-", _xlpm.x)
)</f>
        <v>-</v>
      </c>
      <c r="AB129" s="56" t="str">
        <f>_xlfn.LET(
 _xlpm.x,
 _xlfn.MAXIFS(
  raw_stack!H$2:H$100000,
  raw_stack!D$2:D$100000, G129,
  raw_stack!F$2:F$100000, "Iya",
  raw_stack!G$2:G$100000, "&gt;="&amp;DATE(2026,1,1),
  raw_stack!G$2:G$100000, "&lt;="&amp;EOMONTH(DATE(2026,1,1),0)
 ),
 IF(OR(_xlpm.x=0, _xlpm.x=""), "-", _xlpm.x)
)</f>
        <v>-</v>
      </c>
      <c r="AC129" s="55">
        <f>_xlfn.LET(
 _xlpm.x,
 _xlfn.MAXIFS(
  raw_stack!G$2:G$99411,
  raw_stack!D$2:D$99411, G129,
  raw_stack!F$2:F$99411, "Iya",
  raw_stack!G$2:G$99411, "&gt;="&amp;DATE(2026,2,1),
  raw_stack!G$2:G$99411, "&lt;="&amp;EOMONTH(DATE(2026,2,1),0)
 ),
 IF(_xlpm.x=0, "-", _xlpm.x)
)</f>
        <v>46080</v>
      </c>
      <c r="AD129" s="56">
        <f>_xlfn.LET(
 _xlpm.x,
 _xlfn.MAXIFS(
  raw_stack!H$2:H$100000,
  raw_stack!D$2:D$100000, G129,
  raw_stack!F$2:F$100000, "Iya",
  raw_stack!G$2:G$100000, "&gt;="&amp;DATE(2026,2,1),
  raw_stack!G$2:G$100000, "&lt;="&amp;EOMONTH(DATE(2026,2,1),0)
 ),
 IF(OR(_xlpm.x=0, _xlpm.x=""), "-", _xlpm.x)
)</f>
        <v>34725</v>
      </c>
      <c r="AE129" s="55" t="str">
        <f>_xlfn.LET(
 _xlpm.x,
 _xlfn.MAXIFS(
  raw_stack!G$2:G$100000,
  raw_stack!D$2:D$100000, G129,
  raw_stack!F$2:F$100000, "Iya",
  raw_stack!G$2:G$100000, "&gt;="&amp;DATE(2026,3,1),
  raw_stack!G$2:G$100000, "&lt;="&amp;EOMONTH(DATE(2026,3,1),0)
 ),
 IF(_xlpm.x=0, "-", _xlpm.x)
)</f>
        <v>-</v>
      </c>
      <c r="AF129" s="56" t="str">
        <f>_xlfn.LET(
 _xlpm.x,
 _xlfn.MAXIFS(
  raw_stack!H$2:H$100000,
  raw_stack!D$2:D$100000, G129,
  raw_stack!F$2:F$100000, "Iya",
  raw_stack!G$2:G$100000, "&gt;="&amp;DATE(2026,3,1),
  raw_stack!G$2:G$100000, "&lt;="&amp;EOMONTH(DATE(2026,3,1),0)
 ),
 IF(OR(_xlpm.x=0, _xlpm.x=""), "-", _xlpm.x)
)</f>
        <v>-</v>
      </c>
      <c r="AG129" s="55" t="str">
        <f>_xlfn.LET(
 _xlpm.x,
 _xlfn.MAXIFS(
  raw_stack!G$2:G$100000,
  raw_stack!D$2:D$100000, G129,
  raw_stack!F$2:F$100000, "Iya",
  raw_stack!G$2:G$100000, "&gt;="&amp;DATE(2026,4,1),
  raw_stack!G$2:G$100000, "&lt;="&amp;EOMONTH(DATE(2026,4,1),0)
 ),
 IF(_xlpm.x=0, "-", _xlpm.x)
)</f>
        <v>-</v>
      </c>
      <c r="AH129" s="56" t="str">
        <f>_xlfn.LET(
 _xlpm.x,
 _xlfn.MAXIFS(
  raw_stack!H$2:H$100000,
  raw_stack!D$2:D$100000, G129,
  raw_stack!F$2:F$100000, "Iya",
  raw_stack!G$2:G$100000, "&gt;="&amp;DATE(2026,4,1),
  raw_stack!G$2:G$100000, "&lt;="&amp;EOMONTH(DATE(2026,4,1),0)
 ),
 IF(OR(_xlpm.x=0, _xlpm.x=""), "-", _xlpm.x)
)</f>
        <v>-</v>
      </c>
    </row>
    <row r="130" spans="1:34">
      <c r="A130" s="48">
        <v>129</v>
      </c>
      <c r="B130" s="49" t="str">
        <f t="shared" si="2"/>
        <v>16508</v>
      </c>
      <c r="C130" s="50" t="s">
        <v>46</v>
      </c>
      <c r="D130" s="51" t="s">
        <v>574</v>
      </c>
      <c r="E130" s="51" t="s">
        <v>51</v>
      </c>
      <c r="F130" s="49" t="s">
        <v>117</v>
      </c>
      <c r="G130" s="49" t="s">
        <v>246</v>
      </c>
      <c r="H130" s="49" t="s">
        <v>48</v>
      </c>
      <c r="I130" s="49" t="s">
        <v>52</v>
      </c>
      <c r="J130" s="52">
        <v>4105000</v>
      </c>
      <c r="K130" s="53">
        <v>45343</v>
      </c>
      <c r="L130" s="53">
        <v>46438</v>
      </c>
      <c r="M130" s="53">
        <v>46101</v>
      </c>
      <c r="N130" s="49" t="s">
        <v>50</v>
      </c>
      <c r="O130" s="54" t="str">
        <f>_xlfn.LET(
 _xlpm.x,
 _xlfn.MAXIFS(
  raw_stack!G$2:G$100000,
  raw_stack!D$2:D$100000, G130,
  raw_stack!F$2:F$100000, "Iya",
  raw_stack!G$2:G$100000, "&gt;="&amp;DATE(2025,7,1),
  raw_stack!G$2:G$100000, "&lt;="&amp;EOMONTH(DATE(2025,7,1),0)
 ),
 IF(_xlpm.x=0, "-", _xlpm.x)
)</f>
        <v>-</v>
      </c>
      <c r="P130" s="65" t="str">
        <f>_xlfn.LET(
 _xlpm.x,
 _xlfn.MAXIFS(
  raw_stack!H$2:H$100000,
  raw_stack!D$2:D$100000, G130,
  raw_stack!F$2:F$100000, "Iya",
  raw_stack!G$2:G$100000, "&gt;="&amp;DATE(2025,7,1),
  raw_stack!G$2:G$100000, "&lt;="&amp;EOMONTH(DATE(2025,7,1),0)
 ),
 IF(OR(_xlpm.x=0, _xlpm.x=""), "-", _xlpm.x)
)</f>
        <v>-</v>
      </c>
      <c r="Q130" s="54">
        <f>_xlfn.LET(
 _xlpm.x,
 _xlfn.MAXIFS(
  raw_stack!G$2:G$99411,
  raw_stack!D$2:D$99411, G130,
  raw_stack!F$2:F$99411, "Iya",
  raw_stack!G$2:G$99411, "&gt;="&amp;DATE(2025,8,1),
  raw_stack!G$2:G$99411, "&lt;="&amp;EOMONTH(DATE(2025,8,1),0)
 ),
 IF(_xlpm.x=0, "-", _xlpm.x)
)</f>
        <v>45885</v>
      </c>
      <c r="R130" s="65">
        <f>_xlfn.LET(
 _xlpm.x,
 _xlfn.MAXIFS(
  raw_stack!H$2:H$100000,
  raw_stack!D$2:D$100000, G130,
  raw_stack!F$2:F$100000, "Iya",
  raw_stack!G$2:G$100000, "&gt;="&amp;DATE(2025,8,1),
  raw_stack!G$2:G$100000, "&lt;="&amp;EOMONTH(DATE(2025,8,1),0)
 ),
 IF(OR(_xlpm.x=0, _xlpm.x=""), "-", _xlpm.x)
)</f>
        <v>32568</v>
      </c>
      <c r="S130" s="54" t="str">
        <f>_xlfn.LET(
 _xlpm.x,
 _xlfn.MAXIFS(
  raw_stack!G$2:G$99411,
  raw_stack!D$2:D$99411, G130,
  raw_stack!F$2:F$99411, "Iya",
  raw_stack!G$2:G$99411, "&gt;="&amp;DATE(2025,9,1),
  raw_stack!G$2:G$99411, "&lt;="&amp;EOMONTH(DATE(2025,9,1),0)
 ),
 IF(_xlpm.x=0, "-", _xlpm.x)
)</f>
        <v>-</v>
      </c>
      <c r="T130" s="65" t="str">
        <f>_xlfn.LET(
 _xlpm.x,
 _xlfn.MAXIFS(
  raw_stack!H$2:H$100000,
  raw_stack!D$2:D$100000, G130,
  raw_stack!F$2:F$100000, "Iya",
  raw_stack!G$2:G$100000, "&gt;="&amp;DATE(2025,9,1),
  raw_stack!G$2:G$100000, "&lt;="&amp;EOMONTH(DATE(2025,9,1),0)
 ),
 IF(OR(_xlpm.x=0, _xlpm.x=""), "-", _xlpm.x)
)</f>
        <v>-</v>
      </c>
      <c r="U130" s="54" t="str">
        <f>_xlfn.LET(
 _xlpm.x,
 _xlfn.MAXIFS(
  raw_stack!G$2:G$99411,
  raw_stack!D$2:D$99411, G130,
  raw_stack!F$2:F$99411, "Iya",
  raw_stack!G$2:G$99411, "&gt;="&amp;DATE(2025,10,1),
  raw_stack!G$2:G$99411, "&lt;="&amp;EOMONTH(DATE(2025,10,1),0)
 ),
 IF(_xlpm.x=0, "-", _xlpm.x)
)</f>
        <v>-</v>
      </c>
      <c r="V130" s="65" t="str">
        <f>_xlfn.LET(
 _xlpm.x,
 _xlfn.MAXIFS(
  raw_stack!H$2:H$100000,
  raw_stack!D$2:D$100000, G130,
  raw_stack!F$2:F$100000, "Iya",
  raw_stack!G$2:G$100000, "&gt;="&amp;DATE(2025,10,1),
  raw_stack!G$2:G$100000, "&lt;="&amp;EOMONTH(DATE(2025,10,1),0)
 ),
 IF(OR(_xlpm.x=0, _xlpm.x=""), "-", _xlpm.x)
)</f>
        <v>-</v>
      </c>
      <c r="W130" s="55" t="str">
        <f>_xlfn.LET(
 _xlpm.x,
 _xlfn.MAXIFS(
  raw_stack!G$2:G$99411,
  raw_stack!D$2:D$99411, G130,
  raw_stack!F$2:F$99411, "Iya",
  raw_stack!G$2:G$99411, "&gt;="&amp;DATE(2025,11,1),
  raw_stack!G$2:G$99411, "&lt;="&amp;EOMONTH(DATE(2025,11,1),0)
 ),
 IF(_xlpm.x=0, "-", _xlpm.x)
)</f>
        <v>-</v>
      </c>
      <c r="X130" s="56" t="str">
        <f>_xlfn.LET(
 _xlpm.x,
 _xlfn.MAXIFS(
  raw_stack!H$2:H$100000,
  raw_stack!D$2:D$100000, G130,
  raw_stack!F$2:F$100000, "Iya",
  raw_stack!G$2:G$100000, "&gt;="&amp;DATE(2025,11,1),
  raw_stack!G$2:G$100000, "&lt;="&amp;EOMONTH(DATE(2025,11,1),0)
 ),
 IF(OR(_xlpm.x=0, _xlpm.x=""), "-", _xlpm.x)
)</f>
        <v>-</v>
      </c>
      <c r="Y130" s="55" t="str">
        <f>_xlfn.LET(
 _xlpm.x,
 _xlfn.MAXIFS(
  raw_stack!G$2:G$99411,
  raw_stack!D$2:D$99411, G130,
  raw_stack!F$2:F$99411, "Iya",
  raw_stack!G$2:G$99411, "&gt;="&amp;DATE(2025,12,1),
  raw_stack!G$2:G$99411, "&lt;="&amp;EOMONTH(DATE(2025,12,1),0)
 ),
 IF(_xlpm.x=0, "-", _xlpm.x)
)</f>
        <v>-</v>
      </c>
      <c r="Z130" s="56" t="str">
        <f>_xlfn.LET(
 _xlpm.x,
 _xlfn.MAXIFS(
  raw_stack!H$2:H$100000,
  raw_stack!D$2:D$100000, G130,
  raw_stack!F$2:F$100000, "Iya",
  raw_stack!G$2:G$100000, "&gt;="&amp;DATE(2025,12,1),
  raw_stack!G$2:G$100000, "&lt;="&amp;EOMONTH(DATE(2025,12,1),0)
 ),
 IF(OR(_xlpm.x=0, _xlpm.x=""), "-", _xlpm.x)
)</f>
        <v>-</v>
      </c>
      <c r="AA130" s="55" t="str">
        <f>_xlfn.LET(
 _xlpm.x,
 _xlfn.MAXIFS(
  raw_stack!G$2:G$99411,
  raw_stack!D$2:D$99411, G130,
  raw_stack!F$2:F$99411, "Iya",
  raw_stack!G$2:G$99411, "&gt;="&amp;DATE(2026,1,1),
  raw_stack!G$2:G$99411, "&lt;="&amp;EOMONTH(DATE(2026,1,1),0)
 ),
 IF(_xlpm.x=0, "-", _xlpm.x)
)</f>
        <v>-</v>
      </c>
      <c r="AB130" s="56" t="str">
        <f>_xlfn.LET(
 _xlpm.x,
 _xlfn.MAXIFS(
  raw_stack!H$2:H$100000,
  raw_stack!D$2:D$100000, G130,
  raw_stack!F$2:F$100000, "Iya",
  raw_stack!G$2:G$100000, "&gt;="&amp;DATE(2026,1,1),
  raw_stack!G$2:G$100000, "&lt;="&amp;EOMONTH(DATE(2026,1,1),0)
 ),
 IF(OR(_xlpm.x=0, _xlpm.x=""), "-", _xlpm.x)
)</f>
        <v>-</v>
      </c>
      <c r="AC130" s="55" t="str">
        <f>_xlfn.LET(
 _xlpm.x,
 _xlfn.MAXIFS(
  raw_stack!G$2:G$99411,
  raw_stack!D$2:D$99411, G130,
  raw_stack!F$2:F$99411, "Iya",
  raw_stack!G$2:G$99411, "&gt;="&amp;DATE(2026,2,1),
  raw_stack!G$2:G$99411, "&lt;="&amp;EOMONTH(DATE(2026,2,1),0)
 ),
 IF(_xlpm.x=0, "-", _xlpm.x)
)</f>
        <v>-</v>
      </c>
      <c r="AD130" s="56" t="str">
        <f>_xlfn.LET(
 _xlpm.x,
 _xlfn.MAXIFS(
  raw_stack!H$2:H$100000,
  raw_stack!D$2:D$100000, G130,
  raw_stack!F$2:F$100000, "Iya",
  raw_stack!G$2:G$100000, "&gt;="&amp;DATE(2026,2,1),
  raw_stack!G$2:G$100000, "&lt;="&amp;EOMONTH(DATE(2026,2,1),0)
 ),
 IF(OR(_xlpm.x=0, _xlpm.x=""), "-", _xlpm.x)
)</f>
        <v>-</v>
      </c>
      <c r="AE130" s="55">
        <f>_xlfn.LET(
 _xlpm.x,
 _xlfn.MAXIFS(
  raw_stack!G$2:G$100000,
  raw_stack!D$2:D$100000, G130,
  raw_stack!F$2:F$100000, "Iya",
  raw_stack!G$2:G$100000, "&gt;="&amp;DATE(2026,3,1),
  raw_stack!G$2:G$100000, "&lt;="&amp;EOMONTH(DATE(2026,3,1),0)
 ),
 IF(_xlpm.x=0, "-", _xlpm.x)
)</f>
        <v>46094</v>
      </c>
      <c r="AF130" s="56">
        <f>_xlfn.LET(
 _xlpm.x,
 _xlfn.MAXIFS(
  raw_stack!H$2:H$100000,
  raw_stack!D$2:D$100000, G130,
  raw_stack!F$2:F$100000, "Iya",
  raw_stack!G$2:G$100000, "&gt;="&amp;DATE(2026,3,1),
  raw_stack!G$2:G$100000, "&lt;="&amp;EOMONTH(DATE(2026,3,1),0)
 ),
 IF(OR(_xlpm.x=0, _xlpm.x=""), "-", _xlpm.x)
)</f>
        <v>37637</v>
      </c>
      <c r="AG130" s="55" t="str">
        <f>_xlfn.LET(
 _xlpm.x,
 _xlfn.MAXIFS(
  raw_stack!G$2:G$100000,
  raw_stack!D$2:D$100000, G130,
  raw_stack!F$2:F$100000, "Iya",
  raw_stack!G$2:G$100000, "&gt;="&amp;DATE(2026,4,1),
  raw_stack!G$2:G$100000, "&lt;="&amp;EOMONTH(DATE(2026,4,1),0)
 ),
 IF(_xlpm.x=0, "-", _xlpm.x)
)</f>
        <v>-</v>
      </c>
      <c r="AH130" s="56" t="str">
        <f>_xlfn.LET(
 _xlpm.x,
 _xlfn.MAXIFS(
  raw_stack!H$2:H$100000,
  raw_stack!D$2:D$100000, G130,
  raw_stack!F$2:F$100000, "Iya",
  raw_stack!G$2:G$100000, "&gt;="&amp;DATE(2026,4,1),
  raw_stack!G$2:G$100000, "&lt;="&amp;EOMONTH(DATE(2026,4,1),0)
 ),
 IF(OR(_xlpm.x=0, _xlpm.x=""), "-", _xlpm.x)
)</f>
        <v>-</v>
      </c>
    </row>
    <row r="131" spans="1:34">
      <c r="A131" s="48">
        <v>130</v>
      </c>
      <c r="B131" s="49" t="str">
        <f t="shared" si="2"/>
        <v>42577</v>
      </c>
      <c r="C131" s="50" t="s">
        <v>46</v>
      </c>
      <c r="D131" s="51" t="s">
        <v>575</v>
      </c>
      <c r="E131" s="51" t="s">
        <v>53</v>
      </c>
      <c r="F131" s="49" t="s">
        <v>117</v>
      </c>
      <c r="G131" s="49" t="s">
        <v>247</v>
      </c>
      <c r="H131" s="49" t="s">
        <v>48</v>
      </c>
      <c r="I131" s="49" t="s">
        <v>52</v>
      </c>
      <c r="J131" s="52">
        <v>4000000</v>
      </c>
      <c r="K131" s="53">
        <v>45344</v>
      </c>
      <c r="L131" s="53">
        <v>46439</v>
      </c>
      <c r="M131" s="53">
        <v>46099</v>
      </c>
      <c r="N131" s="49" t="s">
        <v>50</v>
      </c>
      <c r="O131" s="54" t="str">
        <f>_xlfn.LET(
 _xlpm.x,
 _xlfn.MAXIFS(
  raw_stack!G$2:G$100000,
  raw_stack!D$2:D$100000, G131,
  raw_stack!F$2:F$100000, "Iya",
  raw_stack!G$2:G$100000, "&gt;="&amp;DATE(2025,7,1),
  raw_stack!G$2:G$100000, "&lt;="&amp;EOMONTH(DATE(2025,7,1),0)
 ),
 IF(_xlpm.x=0, "-", _xlpm.x)
)</f>
        <v>-</v>
      </c>
      <c r="P131" s="65" t="str">
        <f>_xlfn.LET(
 _xlpm.x,
 _xlfn.MAXIFS(
  raw_stack!H$2:H$100000,
  raw_stack!D$2:D$100000, G131,
  raw_stack!F$2:F$100000, "Iya",
  raw_stack!G$2:G$100000, "&gt;="&amp;DATE(2025,7,1),
  raw_stack!G$2:G$100000, "&lt;="&amp;EOMONTH(DATE(2025,7,1),0)
 ),
 IF(OR(_xlpm.x=0, _xlpm.x=""), "-", _xlpm.x)
)</f>
        <v>-</v>
      </c>
      <c r="Q131" s="54">
        <f>_xlfn.LET(
 _xlpm.x,
 _xlfn.MAXIFS(
  raw_stack!G$2:G$99411,
  raw_stack!D$2:D$99411, G131,
  raw_stack!F$2:F$99411, "Iya",
  raw_stack!G$2:G$99411, "&gt;="&amp;DATE(2025,8,1),
  raw_stack!G$2:G$99411, "&lt;="&amp;EOMONTH(DATE(2025,8,1),0)
 ),
 IF(_xlpm.x=0, "-", _xlpm.x)
)</f>
        <v>45888</v>
      </c>
      <c r="R131" s="65">
        <f>_xlfn.LET(
 _xlpm.x,
 _xlfn.MAXIFS(
  raw_stack!H$2:H$100000,
  raw_stack!D$2:D$100000, G131,
  raw_stack!F$2:F$100000, "Iya",
  raw_stack!G$2:G$100000, "&gt;="&amp;DATE(2025,8,1),
  raw_stack!G$2:G$100000, "&lt;="&amp;EOMONTH(DATE(2025,8,1),0)
 ),
 IF(OR(_xlpm.x=0, _xlpm.x=""), "-", _xlpm.x)
)</f>
        <v>23940</v>
      </c>
      <c r="S131" s="54" t="str">
        <f>_xlfn.LET(
 _xlpm.x,
 _xlfn.MAXIFS(
  raw_stack!G$2:G$99411,
  raw_stack!D$2:D$99411, G131,
  raw_stack!F$2:F$99411, "Iya",
  raw_stack!G$2:G$99411, "&gt;="&amp;DATE(2025,9,1),
  raw_stack!G$2:G$99411, "&lt;="&amp;EOMONTH(DATE(2025,9,1),0)
 ),
 IF(_xlpm.x=0, "-", _xlpm.x)
)</f>
        <v>-</v>
      </c>
      <c r="T131" s="65" t="str">
        <f>_xlfn.LET(
 _xlpm.x,
 _xlfn.MAXIFS(
  raw_stack!H$2:H$100000,
  raw_stack!D$2:D$100000, G131,
  raw_stack!F$2:F$100000, "Iya",
  raw_stack!G$2:G$100000, "&gt;="&amp;DATE(2025,9,1),
  raw_stack!G$2:G$100000, "&lt;="&amp;EOMONTH(DATE(2025,9,1),0)
 ),
 IF(OR(_xlpm.x=0, _xlpm.x=""), "-", _xlpm.x)
)</f>
        <v>-</v>
      </c>
      <c r="U131" s="54" t="str">
        <f>_xlfn.LET(
 _xlpm.x,
 _xlfn.MAXIFS(
  raw_stack!G$2:G$99411,
  raw_stack!D$2:D$99411, G131,
  raw_stack!F$2:F$99411, "Iya",
  raw_stack!G$2:G$99411, "&gt;="&amp;DATE(2025,10,1),
  raw_stack!G$2:G$99411, "&lt;="&amp;EOMONTH(DATE(2025,10,1),0)
 ),
 IF(_xlpm.x=0, "-", _xlpm.x)
)</f>
        <v>-</v>
      </c>
      <c r="V131" s="65" t="str">
        <f>_xlfn.LET(
 _xlpm.x,
 _xlfn.MAXIFS(
  raw_stack!H$2:H$100000,
  raw_stack!D$2:D$100000, G131,
  raw_stack!F$2:F$100000, "Iya",
  raw_stack!G$2:G$100000, "&gt;="&amp;DATE(2025,10,1),
  raw_stack!G$2:G$100000, "&lt;="&amp;EOMONTH(DATE(2025,10,1),0)
 ),
 IF(OR(_xlpm.x=0, _xlpm.x=""), "-", _xlpm.x)
)</f>
        <v>-</v>
      </c>
      <c r="W131" s="55" t="str">
        <f>_xlfn.LET(
 _xlpm.x,
 _xlfn.MAXIFS(
  raw_stack!G$2:G$99411,
  raw_stack!D$2:D$99411, G131,
  raw_stack!F$2:F$99411, "Iya",
  raw_stack!G$2:G$99411, "&gt;="&amp;DATE(2025,11,1),
  raw_stack!G$2:G$99411, "&lt;="&amp;EOMONTH(DATE(2025,11,1),0)
 ),
 IF(_xlpm.x=0, "-", _xlpm.x)
)</f>
        <v>-</v>
      </c>
      <c r="X131" s="56" t="str">
        <f>_xlfn.LET(
 _xlpm.x,
 _xlfn.MAXIFS(
  raw_stack!H$2:H$100000,
  raw_stack!D$2:D$100000, G131,
  raw_stack!F$2:F$100000, "Iya",
  raw_stack!G$2:G$100000, "&gt;="&amp;DATE(2025,11,1),
  raw_stack!G$2:G$100000, "&lt;="&amp;EOMONTH(DATE(2025,11,1),0)
 ),
 IF(OR(_xlpm.x=0, _xlpm.x=""), "-", _xlpm.x)
)</f>
        <v>-</v>
      </c>
      <c r="Y131" s="55" t="str">
        <f>_xlfn.LET(
 _xlpm.x,
 _xlfn.MAXIFS(
  raw_stack!G$2:G$99411,
  raw_stack!D$2:D$99411, G131,
  raw_stack!F$2:F$99411, "Iya",
  raw_stack!G$2:G$99411, "&gt;="&amp;DATE(2025,12,1),
  raw_stack!G$2:G$99411, "&lt;="&amp;EOMONTH(DATE(2025,12,1),0)
 ),
 IF(_xlpm.x=0, "-", _xlpm.x)
)</f>
        <v>-</v>
      </c>
      <c r="Z131" s="56" t="str">
        <f>_xlfn.LET(
 _xlpm.x,
 _xlfn.MAXIFS(
  raw_stack!H$2:H$100000,
  raw_stack!D$2:D$100000, G131,
  raw_stack!F$2:F$100000, "Iya",
  raw_stack!G$2:G$100000, "&gt;="&amp;DATE(2025,12,1),
  raw_stack!G$2:G$100000, "&lt;="&amp;EOMONTH(DATE(2025,12,1),0)
 ),
 IF(OR(_xlpm.x=0, _xlpm.x=""), "-", _xlpm.x)
)</f>
        <v>-</v>
      </c>
      <c r="AA131" s="55" t="str">
        <f>_xlfn.LET(
 _xlpm.x,
 _xlfn.MAXIFS(
  raw_stack!G$2:G$99411,
  raw_stack!D$2:D$99411, G131,
  raw_stack!F$2:F$99411, "Iya",
  raw_stack!G$2:G$99411, "&gt;="&amp;DATE(2026,1,1),
  raw_stack!G$2:G$99411, "&lt;="&amp;EOMONTH(DATE(2026,1,1),0)
 ),
 IF(_xlpm.x=0, "-", _xlpm.x)
)</f>
        <v>-</v>
      </c>
      <c r="AB131" s="56" t="str">
        <f>_xlfn.LET(
 _xlpm.x,
 _xlfn.MAXIFS(
  raw_stack!H$2:H$100000,
  raw_stack!D$2:D$100000, G131,
  raw_stack!F$2:F$100000, "Iya",
  raw_stack!G$2:G$100000, "&gt;="&amp;DATE(2026,1,1),
  raw_stack!G$2:G$100000, "&lt;="&amp;EOMONTH(DATE(2026,1,1),0)
 ),
 IF(OR(_xlpm.x=0, _xlpm.x=""), "-", _xlpm.x)
)</f>
        <v>-</v>
      </c>
      <c r="AC131" s="55" t="str">
        <f>_xlfn.LET(
 _xlpm.x,
 _xlfn.MAXIFS(
  raw_stack!G$2:G$99411,
  raw_stack!D$2:D$99411, G131,
  raw_stack!F$2:F$99411, "Iya",
  raw_stack!G$2:G$99411, "&gt;="&amp;DATE(2026,2,1),
  raw_stack!G$2:G$99411, "&lt;="&amp;EOMONTH(DATE(2026,2,1),0)
 ),
 IF(_xlpm.x=0, "-", _xlpm.x)
)</f>
        <v>-</v>
      </c>
      <c r="AD131" s="56" t="str">
        <f>_xlfn.LET(
 _xlpm.x,
 _xlfn.MAXIFS(
  raw_stack!H$2:H$100000,
  raw_stack!D$2:D$100000, G131,
  raw_stack!F$2:F$100000, "Iya",
  raw_stack!G$2:G$100000, "&gt;="&amp;DATE(2026,2,1),
  raw_stack!G$2:G$100000, "&lt;="&amp;EOMONTH(DATE(2026,2,1),0)
 ),
 IF(OR(_xlpm.x=0, _xlpm.x=""), "-", _xlpm.x)
)</f>
        <v>-</v>
      </c>
      <c r="AE131" s="55">
        <f>_xlfn.LET(
 _xlpm.x,
 _xlfn.MAXIFS(
  raw_stack!G$2:G$100000,
  raw_stack!D$2:D$100000, G131,
  raw_stack!F$2:F$100000, "Iya",
  raw_stack!G$2:G$100000, "&gt;="&amp;DATE(2026,3,1),
  raw_stack!G$2:G$100000, "&lt;="&amp;EOMONTH(DATE(2026,3,1),0)
 ),
 IF(_xlpm.x=0, "-", _xlpm.x)
)</f>
        <v>46088</v>
      </c>
      <c r="AF131" s="56">
        <f>_xlfn.LET(
 _xlpm.x,
 _xlfn.MAXIFS(
  raw_stack!H$2:H$100000,
  raw_stack!D$2:D$100000, G131,
  raw_stack!F$2:F$100000, "Iya",
  raw_stack!G$2:G$100000, "&gt;="&amp;DATE(2026,3,1),
  raw_stack!G$2:G$100000, "&lt;="&amp;EOMONTH(DATE(2026,3,1),0)
 ),
 IF(OR(_xlpm.x=0, _xlpm.x=""), "-", _xlpm.x)
)</f>
        <v>30</v>
      </c>
      <c r="AG131" s="55" t="str">
        <f>_xlfn.LET(
 _xlpm.x,
 _xlfn.MAXIFS(
  raw_stack!G$2:G$100000,
  raw_stack!D$2:D$100000, G131,
  raw_stack!F$2:F$100000, "Iya",
  raw_stack!G$2:G$100000, "&gt;="&amp;DATE(2026,4,1),
  raw_stack!G$2:G$100000, "&lt;="&amp;EOMONTH(DATE(2026,4,1),0)
 ),
 IF(_xlpm.x=0, "-", _xlpm.x)
)</f>
        <v>-</v>
      </c>
      <c r="AH131" s="56" t="str">
        <f>_xlfn.LET(
 _xlpm.x,
 _xlfn.MAXIFS(
  raw_stack!H$2:H$100000,
  raw_stack!D$2:D$100000, G131,
  raw_stack!F$2:F$100000, "Iya",
  raw_stack!G$2:G$100000, "&gt;="&amp;DATE(2026,4,1),
  raw_stack!G$2:G$100000, "&lt;="&amp;EOMONTH(DATE(2026,4,1),0)
 ),
 IF(OR(_xlpm.x=0, _xlpm.x=""), "-", _xlpm.x)
)</f>
        <v>-</v>
      </c>
    </row>
    <row r="132" spans="1:34">
      <c r="A132" s="48">
        <v>131</v>
      </c>
      <c r="B132" s="49" t="str">
        <f t="shared" si="2"/>
        <v>34107</v>
      </c>
      <c r="C132" s="50" t="s">
        <v>46</v>
      </c>
      <c r="D132" s="51" t="s">
        <v>576</v>
      </c>
      <c r="E132" s="51" t="s">
        <v>54</v>
      </c>
      <c r="F132" s="49" t="s">
        <v>117</v>
      </c>
      <c r="G132" s="49" t="s">
        <v>248</v>
      </c>
      <c r="H132" s="49" t="s">
        <v>48</v>
      </c>
      <c r="I132" s="49" t="s">
        <v>52</v>
      </c>
      <c r="J132" s="52">
        <v>6975000</v>
      </c>
      <c r="K132" s="53">
        <v>45352</v>
      </c>
      <c r="L132" s="53">
        <v>46446</v>
      </c>
      <c r="M132" s="53">
        <v>46081</v>
      </c>
      <c r="N132" s="49" t="s">
        <v>50</v>
      </c>
      <c r="O132" s="54" t="str">
        <f>_xlfn.LET(
 _xlpm.x,
 _xlfn.MAXIFS(
  raw_stack!G$2:G$100000,
  raw_stack!D$2:D$100000, G132,
  raw_stack!F$2:F$100000, "Iya",
  raw_stack!G$2:G$100000, "&gt;="&amp;DATE(2025,7,1),
  raw_stack!G$2:G$100000, "&lt;="&amp;EOMONTH(DATE(2025,7,1),0)
 ),
 IF(_xlpm.x=0, "-", _xlpm.x)
)</f>
        <v>-</v>
      </c>
      <c r="P132" s="65" t="str">
        <f>_xlfn.LET(
 _xlpm.x,
 _xlfn.MAXIFS(
  raw_stack!H$2:H$100000,
  raw_stack!D$2:D$100000, G132,
  raw_stack!F$2:F$100000, "Iya",
  raw_stack!G$2:G$100000, "&gt;="&amp;DATE(2025,7,1),
  raw_stack!G$2:G$100000, "&lt;="&amp;EOMONTH(DATE(2025,7,1),0)
 ),
 IF(OR(_xlpm.x=0, _xlpm.x=""), "-", _xlpm.x)
)</f>
        <v>-</v>
      </c>
      <c r="Q132" s="54">
        <f>_xlfn.LET(
 _xlpm.x,
 _xlfn.MAXIFS(
  raw_stack!G$2:G$99411,
  raw_stack!D$2:D$99411, G132,
  raw_stack!F$2:F$99411, "Iya",
  raw_stack!G$2:G$99411, "&gt;="&amp;DATE(2025,8,1),
  raw_stack!G$2:G$99411, "&lt;="&amp;EOMONTH(DATE(2025,8,1),0)
 ),
 IF(_xlpm.x=0, "-", _xlpm.x)
)</f>
        <v>45888</v>
      </c>
      <c r="R132" s="65">
        <f>_xlfn.LET(
 _xlpm.x,
 _xlfn.MAXIFS(
  raw_stack!H$2:H$100000,
  raw_stack!D$2:D$100000, G132,
  raw_stack!F$2:F$100000, "Iya",
  raw_stack!G$2:G$100000, "&gt;="&amp;DATE(2025,8,1),
  raw_stack!G$2:G$100000, "&lt;="&amp;EOMONTH(DATE(2025,8,1),0)
 ),
 IF(OR(_xlpm.x=0, _xlpm.x=""), "-", _xlpm.x)
)</f>
        <v>39740</v>
      </c>
      <c r="S132" s="54" t="str">
        <f>_xlfn.LET(
 _xlpm.x,
 _xlfn.MAXIFS(
  raw_stack!G$2:G$99411,
  raw_stack!D$2:D$99411, G132,
  raw_stack!F$2:F$99411, "Iya",
  raw_stack!G$2:G$99411, "&gt;="&amp;DATE(2025,9,1),
  raw_stack!G$2:G$99411, "&lt;="&amp;EOMONTH(DATE(2025,9,1),0)
 ),
 IF(_xlpm.x=0, "-", _xlpm.x)
)</f>
        <v>-</v>
      </c>
      <c r="T132" s="65" t="str">
        <f>_xlfn.LET(
 _xlpm.x,
 _xlfn.MAXIFS(
  raw_stack!H$2:H$100000,
  raw_stack!D$2:D$100000, G132,
  raw_stack!F$2:F$100000, "Iya",
  raw_stack!G$2:G$100000, "&gt;="&amp;DATE(2025,9,1),
  raw_stack!G$2:G$100000, "&lt;="&amp;EOMONTH(DATE(2025,9,1),0)
 ),
 IF(OR(_xlpm.x=0, _xlpm.x=""), "-", _xlpm.x)
)</f>
        <v>-</v>
      </c>
      <c r="U132" s="54" t="str">
        <f>_xlfn.LET(
 _xlpm.x,
 _xlfn.MAXIFS(
  raw_stack!G$2:G$99411,
  raw_stack!D$2:D$99411, G132,
  raw_stack!F$2:F$99411, "Iya",
  raw_stack!G$2:G$99411, "&gt;="&amp;DATE(2025,10,1),
  raw_stack!G$2:G$99411, "&lt;="&amp;EOMONTH(DATE(2025,10,1),0)
 ),
 IF(_xlpm.x=0, "-", _xlpm.x)
)</f>
        <v>-</v>
      </c>
      <c r="V132" s="65" t="str">
        <f>_xlfn.LET(
 _xlpm.x,
 _xlfn.MAXIFS(
  raw_stack!H$2:H$100000,
  raw_stack!D$2:D$100000, G132,
  raw_stack!F$2:F$100000, "Iya",
  raw_stack!G$2:G$100000, "&gt;="&amp;DATE(2025,10,1),
  raw_stack!G$2:G$100000, "&lt;="&amp;EOMONTH(DATE(2025,10,1),0)
 ),
 IF(OR(_xlpm.x=0, _xlpm.x=""), "-", _xlpm.x)
)</f>
        <v>-</v>
      </c>
      <c r="W132" s="55" t="str">
        <f>_xlfn.LET(
 _xlpm.x,
 _xlfn.MAXIFS(
  raw_stack!G$2:G$99411,
  raw_stack!D$2:D$99411, G132,
  raw_stack!F$2:F$99411, "Iya",
  raw_stack!G$2:G$99411, "&gt;="&amp;DATE(2025,11,1),
  raw_stack!G$2:G$99411, "&lt;="&amp;EOMONTH(DATE(2025,11,1),0)
 ),
 IF(_xlpm.x=0, "-", _xlpm.x)
)</f>
        <v>-</v>
      </c>
      <c r="X132" s="56" t="str">
        <f>_xlfn.LET(
 _xlpm.x,
 _xlfn.MAXIFS(
  raw_stack!H$2:H$100000,
  raw_stack!D$2:D$100000, G132,
  raw_stack!F$2:F$100000, "Iya",
  raw_stack!G$2:G$100000, "&gt;="&amp;DATE(2025,11,1),
  raw_stack!G$2:G$100000, "&lt;="&amp;EOMONTH(DATE(2025,11,1),0)
 ),
 IF(OR(_xlpm.x=0, _xlpm.x=""), "-", _xlpm.x)
)</f>
        <v>-</v>
      </c>
      <c r="Y132" s="55" t="str">
        <f>_xlfn.LET(
 _xlpm.x,
 _xlfn.MAXIFS(
  raw_stack!G$2:G$99411,
  raw_stack!D$2:D$99411, G132,
  raw_stack!F$2:F$99411, "Iya",
  raw_stack!G$2:G$99411, "&gt;="&amp;DATE(2025,12,1),
  raw_stack!G$2:G$99411, "&lt;="&amp;EOMONTH(DATE(2025,12,1),0)
 ),
 IF(_xlpm.x=0, "-", _xlpm.x)
)</f>
        <v>-</v>
      </c>
      <c r="Z132" s="56" t="str">
        <f>_xlfn.LET(
 _xlpm.x,
 _xlfn.MAXIFS(
  raw_stack!H$2:H$100000,
  raw_stack!D$2:D$100000, G132,
  raw_stack!F$2:F$100000, "Iya",
  raw_stack!G$2:G$100000, "&gt;="&amp;DATE(2025,12,1),
  raw_stack!G$2:G$100000, "&lt;="&amp;EOMONTH(DATE(2025,12,1),0)
 ),
 IF(OR(_xlpm.x=0, _xlpm.x=""), "-", _xlpm.x)
)</f>
        <v>-</v>
      </c>
      <c r="AA132" s="55" t="str">
        <f>_xlfn.LET(
 _xlpm.x,
 _xlfn.MAXIFS(
  raw_stack!G$2:G$99411,
  raw_stack!D$2:D$99411, G132,
  raw_stack!F$2:F$99411, "Iya",
  raw_stack!G$2:G$99411, "&gt;="&amp;DATE(2026,1,1),
  raw_stack!G$2:G$99411, "&lt;="&amp;EOMONTH(DATE(2026,1,1),0)
 ),
 IF(_xlpm.x=0, "-", _xlpm.x)
)</f>
        <v>-</v>
      </c>
      <c r="AB132" s="56" t="str">
        <f>_xlfn.LET(
 _xlpm.x,
 _xlfn.MAXIFS(
  raw_stack!H$2:H$100000,
  raw_stack!D$2:D$100000, G132,
  raw_stack!F$2:F$100000, "Iya",
  raw_stack!G$2:G$100000, "&gt;="&amp;DATE(2026,1,1),
  raw_stack!G$2:G$100000, "&lt;="&amp;EOMONTH(DATE(2026,1,1),0)
 ),
 IF(OR(_xlpm.x=0, _xlpm.x=""), "-", _xlpm.x)
)</f>
        <v>-</v>
      </c>
      <c r="AC132" s="55" t="str">
        <f>_xlfn.LET(
 _xlpm.x,
 _xlfn.MAXIFS(
  raw_stack!G$2:G$99411,
  raw_stack!D$2:D$99411, G132,
  raw_stack!F$2:F$99411, "Iya",
  raw_stack!G$2:G$99411, "&gt;="&amp;DATE(2026,2,1),
  raw_stack!G$2:G$99411, "&lt;="&amp;EOMONTH(DATE(2026,2,1),0)
 ),
 IF(_xlpm.x=0, "-", _xlpm.x)
)</f>
        <v>-</v>
      </c>
      <c r="AD132" s="56" t="str">
        <f>_xlfn.LET(
 _xlpm.x,
 _xlfn.MAXIFS(
  raw_stack!H$2:H$100000,
  raw_stack!D$2:D$100000, G132,
  raw_stack!F$2:F$100000, "Iya",
  raw_stack!G$2:G$100000, "&gt;="&amp;DATE(2026,2,1),
  raw_stack!G$2:G$100000, "&lt;="&amp;EOMONTH(DATE(2026,2,1),0)
 ),
 IF(OR(_xlpm.x=0, _xlpm.x=""), "-", _xlpm.x)
)</f>
        <v>-</v>
      </c>
      <c r="AE132" s="55" t="str">
        <f>_xlfn.LET(
 _xlpm.x,
 _xlfn.MAXIFS(
  raw_stack!G$2:G$100000,
  raw_stack!D$2:D$100000, G132,
  raw_stack!F$2:F$100000, "Iya",
  raw_stack!G$2:G$100000, "&gt;="&amp;DATE(2026,3,1),
  raw_stack!G$2:G$100000, "&lt;="&amp;EOMONTH(DATE(2026,3,1),0)
 ),
 IF(_xlpm.x=0, "-", _xlpm.x)
)</f>
        <v>-</v>
      </c>
      <c r="AF132" s="56" t="str">
        <f>_xlfn.LET(
 _xlpm.x,
 _xlfn.MAXIFS(
  raw_stack!H$2:H$100000,
  raw_stack!D$2:D$100000, G132,
  raw_stack!F$2:F$100000, "Iya",
  raw_stack!G$2:G$100000, "&gt;="&amp;DATE(2026,3,1),
  raw_stack!G$2:G$100000, "&lt;="&amp;EOMONTH(DATE(2026,3,1),0)
 ),
 IF(OR(_xlpm.x=0, _xlpm.x=""), "-", _xlpm.x)
)</f>
        <v>-</v>
      </c>
      <c r="AG132" s="55" t="str">
        <f>_xlfn.LET(
 _xlpm.x,
 _xlfn.MAXIFS(
  raw_stack!G$2:G$100000,
  raw_stack!D$2:D$100000, G132,
  raw_stack!F$2:F$100000, "Iya",
  raw_stack!G$2:G$100000, "&gt;="&amp;DATE(2026,4,1),
  raw_stack!G$2:G$100000, "&lt;="&amp;EOMONTH(DATE(2026,4,1),0)
 ),
 IF(_xlpm.x=0, "-", _xlpm.x)
)</f>
        <v>-</v>
      </c>
      <c r="AH132" s="56" t="str">
        <f>_xlfn.LET(
 _xlpm.x,
 _xlfn.MAXIFS(
  raw_stack!H$2:H$100000,
  raw_stack!D$2:D$100000, G132,
  raw_stack!F$2:F$100000, "Iya",
  raw_stack!G$2:G$100000, "&gt;="&amp;DATE(2026,4,1),
  raw_stack!G$2:G$100000, "&lt;="&amp;EOMONTH(DATE(2026,4,1),0)
 ),
 IF(OR(_xlpm.x=0, _xlpm.x=""), "-", _xlpm.x)
)</f>
        <v>-</v>
      </c>
    </row>
    <row r="133" spans="1:34">
      <c r="A133" s="48">
        <v>132</v>
      </c>
      <c r="B133" s="49" t="str">
        <f t="shared" si="2"/>
        <v>50548</v>
      </c>
      <c r="C133" s="50" t="s">
        <v>46</v>
      </c>
      <c r="D133" s="51" t="s">
        <v>577</v>
      </c>
      <c r="E133" s="51" t="s">
        <v>53</v>
      </c>
      <c r="F133" s="49" t="s">
        <v>117</v>
      </c>
      <c r="G133" s="49" t="s">
        <v>249</v>
      </c>
      <c r="H133" s="49" t="s">
        <v>48</v>
      </c>
      <c r="I133" s="49" t="s">
        <v>52</v>
      </c>
      <c r="J133" s="52">
        <v>3850000</v>
      </c>
      <c r="K133" s="53">
        <v>45355</v>
      </c>
      <c r="L133" s="53">
        <v>46449</v>
      </c>
      <c r="M133" s="53">
        <v>46084</v>
      </c>
      <c r="N133" s="49" t="s">
        <v>50</v>
      </c>
      <c r="O133" s="54" t="str">
        <f>_xlfn.LET(
 _xlpm.x,
 _xlfn.MAXIFS(
  raw_stack!G$2:G$100000,
  raw_stack!D$2:D$100000, G133,
  raw_stack!F$2:F$100000, "Iya",
  raw_stack!G$2:G$100000, "&gt;="&amp;DATE(2025,7,1),
  raw_stack!G$2:G$100000, "&lt;="&amp;EOMONTH(DATE(2025,7,1),0)
 ),
 IF(_xlpm.x=0, "-", _xlpm.x)
)</f>
        <v>-</v>
      </c>
      <c r="P133" s="65" t="str">
        <f>_xlfn.LET(
 _xlpm.x,
 _xlfn.MAXIFS(
  raw_stack!H$2:H$100000,
  raw_stack!D$2:D$100000, G133,
  raw_stack!F$2:F$100000, "Iya",
  raw_stack!G$2:G$100000, "&gt;="&amp;DATE(2025,7,1),
  raw_stack!G$2:G$100000, "&lt;="&amp;EOMONTH(DATE(2025,7,1),0)
 ),
 IF(OR(_xlpm.x=0, _xlpm.x=""), "-", _xlpm.x)
)</f>
        <v>-</v>
      </c>
      <c r="Q133" s="54" t="str">
        <f>_xlfn.LET(
 _xlpm.x,
 _xlfn.MAXIFS(
  raw_stack!G$2:G$99411,
  raw_stack!D$2:D$99411, G133,
  raw_stack!F$2:F$99411, "Iya",
  raw_stack!G$2:G$99411, "&gt;="&amp;DATE(2025,8,1),
  raw_stack!G$2:G$99411, "&lt;="&amp;EOMONTH(DATE(2025,8,1),0)
 ),
 IF(_xlpm.x=0, "-", _xlpm.x)
)</f>
        <v>-</v>
      </c>
      <c r="R133" s="65" t="str">
        <f>_xlfn.LET(
 _xlpm.x,
 _xlfn.MAXIFS(
  raw_stack!H$2:H$100000,
  raw_stack!D$2:D$100000, G133,
  raw_stack!F$2:F$100000, "Iya",
  raw_stack!G$2:G$100000, "&gt;="&amp;DATE(2025,8,1),
  raw_stack!G$2:G$100000, "&lt;="&amp;EOMONTH(DATE(2025,8,1),0)
 ),
 IF(OR(_xlpm.x=0, _xlpm.x=""), "-", _xlpm.x)
)</f>
        <v>-</v>
      </c>
      <c r="S133" s="54">
        <f>_xlfn.LET(
 _xlpm.x,
 _xlfn.MAXIFS(
  raw_stack!G$2:G$99411,
  raw_stack!D$2:D$99411, G133,
  raw_stack!F$2:F$99411, "Iya",
  raw_stack!G$2:G$99411, "&gt;="&amp;DATE(2025,9,1),
  raw_stack!G$2:G$99411, "&lt;="&amp;EOMONTH(DATE(2025,9,1),0)
 ),
 IF(_xlpm.x=0, "-", _xlpm.x)
)</f>
        <v>45911</v>
      </c>
      <c r="T133" s="65">
        <f>_xlfn.LET(
 _xlpm.x,
 _xlfn.MAXIFS(
  raw_stack!H$2:H$100000,
  raw_stack!D$2:D$100000, G133,
  raw_stack!F$2:F$100000, "Iya",
  raw_stack!G$2:G$100000, "&gt;="&amp;DATE(2025,9,1),
  raw_stack!G$2:G$100000, "&lt;="&amp;EOMONTH(DATE(2025,9,1),0)
 ),
 IF(OR(_xlpm.x=0, _xlpm.x=""), "-", _xlpm.x)
)</f>
        <v>25495</v>
      </c>
      <c r="U133" s="54" t="str">
        <f>_xlfn.LET(
 _xlpm.x,
 _xlfn.MAXIFS(
  raw_stack!G$2:G$99411,
  raw_stack!D$2:D$99411, G133,
  raw_stack!F$2:F$99411, "Iya",
  raw_stack!G$2:G$99411, "&gt;="&amp;DATE(2025,10,1),
  raw_stack!G$2:G$99411, "&lt;="&amp;EOMONTH(DATE(2025,10,1),0)
 ),
 IF(_xlpm.x=0, "-", _xlpm.x)
)</f>
        <v>-</v>
      </c>
      <c r="V133" s="65" t="str">
        <f>_xlfn.LET(
 _xlpm.x,
 _xlfn.MAXIFS(
  raw_stack!H$2:H$100000,
  raw_stack!D$2:D$100000, G133,
  raw_stack!F$2:F$100000, "Iya",
  raw_stack!G$2:G$100000, "&gt;="&amp;DATE(2025,10,1),
  raw_stack!G$2:G$100000, "&lt;="&amp;EOMONTH(DATE(2025,10,1),0)
 ),
 IF(OR(_xlpm.x=0, _xlpm.x=""), "-", _xlpm.x)
)</f>
        <v>-</v>
      </c>
      <c r="W133" s="55" t="str">
        <f>_xlfn.LET(
 _xlpm.x,
 _xlfn.MAXIFS(
  raw_stack!G$2:G$99411,
  raw_stack!D$2:D$99411, G133,
  raw_stack!F$2:F$99411, "Iya",
  raw_stack!G$2:G$99411, "&gt;="&amp;DATE(2025,11,1),
  raw_stack!G$2:G$99411, "&lt;="&amp;EOMONTH(DATE(2025,11,1),0)
 ),
 IF(_xlpm.x=0, "-", _xlpm.x)
)</f>
        <v>-</v>
      </c>
      <c r="X133" s="56" t="str">
        <f>_xlfn.LET(
 _xlpm.x,
 _xlfn.MAXIFS(
  raw_stack!H$2:H$100000,
  raw_stack!D$2:D$100000, G133,
  raw_stack!F$2:F$100000, "Iya",
  raw_stack!G$2:G$100000, "&gt;="&amp;DATE(2025,11,1),
  raw_stack!G$2:G$100000, "&lt;="&amp;EOMONTH(DATE(2025,11,1),0)
 ),
 IF(OR(_xlpm.x=0, _xlpm.x=""), "-", _xlpm.x)
)</f>
        <v>-</v>
      </c>
      <c r="Y133" s="55" t="str">
        <f>_xlfn.LET(
 _xlpm.x,
 _xlfn.MAXIFS(
  raw_stack!G$2:G$99411,
  raw_stack!D$2:D$99411, G133,
  raw_stack!F$2:F$99411, "Iya",
  raw_stack!G$2:G$99411, "&gt;="&amp;DATE(2025,12,1),
  raw_stack!G$2:G$99411, "&lt;="&amp;EOMONTH(DATE(2025,12,1),0)
 ),
 IF(_xlpm.x=0, "-", _xlpm.x)
)</f>
        <v>-</v>
      </c>
      <c r="Z133" s="56" t="str">
        <f>_xlfn.LET(
 _xlpm.x,
 _xlfn.MAXIFS(
  raw_stack!H$2:H$100000,
  raw_stack!D$2:D$100000, G133,
  raw_stack!F$2:F$100000, "Iya",
  raw_stack!G$2:G$100000, "&gt;="&amp;DATE(2025,12,1),
  raw_stack!G$2:G$100000, "&lt;="&amp;EOMONTH(DATE(2025,12,1),0)
 ),
 IF(OR(_xlpm.x=0, _xlpm.x=""), "-", _xlpm.x)
)</f>
        <v>-</v>
      </c>
      <c r="AA133" s="55" t="str">
        <f>_xlfn.LET(
 _xlpm.x,
 _xlfn.MAXIFS(
  raw_stack!G$2:G$99411,
  raw_stack!D$2:D$99411, G133,
  raw_stack!F$2:F$99411, "Iya",
  raw_stack!G$2:G$99411, "&gt;="&amp;DATE(2026,1,1),
  raw_stack!G$2:G$99411, "&lt;="&amp;EOMONTH(DATE(2026,1,1),0)
 ),
 IF(_xlpm.x=0, "-", _xlpm.x)
)</f>
        <v>-</v>
      </c>
      <c r="AB133" s="56" t="str">
        <f>_xlfn.LET(
 _xlpm.x,
 _xlfn.MAXIFS(
  raw_stack!H$2:H$100000,
  raw_stack!D$2:D$100000, G133,
  raw_stack!F$2:F$100000, "Iya",
  raw_stack!G$2:G$100000, "&gt;="&amp;DATE(2026,1,1),
  raw_stack!G$2:G$100000, "&lt;="&amp;EOMONTH(DATE(2026,1,1),0)
 ),
 IF(OR(_xlpm.x=0, _xlpm.x=""), "-", _xlpm.x)
)</f>
        <v>-</v>
      </c>
      <c r="AC133" s="55" t="str">
        <f>_xlfn.LET(
 _xlpm.x,
 _xlfn.MAXIFS(
  raw_stack!G$2:G$99411,
  raw_stack!D$2:D$99411, G133,
  raw_stack!F$2:F$99411, "Iya",
  raw_stack!G$2:G$99411, "&gt;="&amp;DATE(2026,2,1),
  raw_stack!G$2:G$99411, "&lt;="&amp;EOMONTH(DATE(2026,2,1),0)
 ),
 IF(_xlpm.x=0, "-", _xlpm.x)
)</f>
        <v>-</v>
      </c>
      <c r="AD133" s="56" t="str">
        <f>_xlfn.LET(
 _xlpm.x,
 _xlfn.MAXIFS(
  raw_stack!H$2:H$100000,
  raw_stack!D$2:D$100000, G133,
  raw_stack!F$2:F$100000, "Iya",
  raw_stack!G$2:G$100000, "&gt;="&amp;DATE(2026,2,1),
  raw_stack!G$2:G$100000, "&lt;="&amp;EOMONTH(DATE(2026,2,1),0)
 ),
 IF(OR(_xlpm.x=0, _xlpm.x=""), "-", _xlpm.x)
)</f>
        <v>-</v>
      </c>
      <c r="AE133" s="55">
        <f>_xlfn.LET(
 _xlpm.x,
 _xlfn.MAXIFS(
  raw_stack!G$2:G$100000,
  raw_stack!D$2:D$100000, G133,
  raw_stack!F$2:F$100000, "Iya",
  raw_stack!G$2:G$100000, "&gt;="&amp;DATE(2026,3,1),
  raw_stack!G$2:G$100000, "&lt;="&amp;EOMONTH(DATE(2026,3,1),0)
 ),
 IF(_xlpm.x=0, "-", _xlpm.x)
)</f>
        <v>46092</v>
      </c>
      <c r="AF133" s="56">
        <f>_xlfn.LET(
 _xlpm.x,
 _xlfn.MAXIFS(
  raw_stack!H$2:H$100000,
  raw_stack!D$2:D$100000, G133,
  raw_stack!F$2:F$100000, "Iya",
  raw_stack!G$2:G$100000, "&gt;="&amp;DATE(2026,3,1),
  raw_stack!G$2:G$100000, "&lt;="&amp;EOMONTH(DATE(2026,3,1),0)
 ),
 IF(OR(_xlpm.x=0, _xlpm.x=""), "-", _xlpm.x)
)</f>
        <v>24621</v>
      </c>
      <c r="AG133" s="55" t="str">
        <f>_xlfn.LET(
 _xlpm.x,
 _xlfn.MAXIFS(
  raw_stack!G$2:G$100000,
  raw_stack!D$2:D$100000, G133,
  raw_stack!F$2:F$100000, "Iya",
  raw_stack!G$2:G$100000, "&gt;="&amp;DATE(2026,4,1),
  raw_stack!G$2:G$100000, "&lt;="&amp;EOMONTH(DATE(2026,4,1),0)
 ),
 IF(_xlpm.x=0, "-", _xlpm.x)
)</f>
        <v>-</v>
      </c>
      <c r="AH133" s="56" t="str">
        <f>_xlfn.LET(
 _xlpm.x,
 _xlfn.MAXIFS(
  raw_stack!H$2:H$100000,
  raw_stack!D$2:D$100000, G133,
  raw_stack!F$2:F$100000, "Iya",
  raw_stack!G$2:G$100000, "&gt;="&amp;DATE(2026,4,1),
  raw_stack!G$2:G$100000, "&lt;="&amp;EOMONTH(DATE(2026,4,1),0)
 ),
 IF(OR(_xlpm.x=0, _xlpm.x=""), "-", _xlpm.x)
)</f>
        <v>-</v>
      </c>
    </row>
    <row r="134" spans="1:34">
      <c r="A134" s="48">
        <v>133</v>
      </c>
      <c r="B134" s="49" t="str">
        <f t="shared" si="2"/>
        <v>76061</v>
      </c>
      <c r="C134" s="50" t="s">
        <v>46</v>
      </c>
      <c r="D134" s="51" t="s">
        <v>578</v>
      </c>
      <c r="E134" s="51" t="s">
        <v>51</v>
      </c>
      <c r="F134" s="49" t="s">
        <v>117</v>
      </c>
      <c r="G134" s="49" t="s">
        <v>250</v>
      </c>
      <c r="H134" s="49" t="s">
        <v>48</v>
      </c>
      <c r="I134" s="49" t="s">
        <v>52</v>
      </c>
      <c r="J134" s="52">
        <v>5790000</v>
      </c>
      <c r="K134" s="53">
        <v>45360</v>
      </c>
      <c r="L134" s="53">
        <v>46454</v>
      </c>
      <c r="M134" s="53">
        <v>46089</v>
      </c>
      <c r="N134" s="49" t="s">
        <v>50</v>
      </c>
      <c r="O134" s="54" t="str">
        <f>_xlfn.LET(
 _xlpm.x,
 _xlfn.MAXIFS(
  raw_stack!G$2:G$100000,
  raw_stack!D$2:D$100000, G134,
  raw_stack!F$2:F$100000, "Iya",
  raw_stack!G$2:G$100000, "&gt;="&amp;DATE(2025,7,1),
  raw_stack!G$2:G$100000, "&lt;="&amp;EOMONTH(DATE(2025,7,1),0)
 ),
 IF(_xlpm.x=0, "-", _xlpm.x)
)</f>
        <v>-</v>
      </c>
      <c r="P134" s="65" t="str">
        <f>_xlfn.LET(
 _xlpm.x,
 _xlfn.MAXIFS(
  raw_stack!H$2:H$100000,
  raw_stack!D$2:D$100000, G134,
  raw_stack!F$2:F$100000, "Iya",
  raw_stack!G$2:G$100000, "&gt;="&amp;DATE(2025,7,1),
  raw_stack!G$2:G$100000, "&lt;="&amp;EOMONTH(DATE(2025,7,1),0)
 ),
 IF(OR(_xlpm.x=0, _xlpm.x=""), "-", _xlpm.x)
)</f>
        <v>-</v>
      </c>
      <c r="Q134" s="54">
        <f>_xlfn.LET(
 _xlpm.x,
 _xlfn.MAXIFS(
  raw_stack!G$2:G$99411,
  raw_stack!D$2:D$99411, G134,
  raw_stack!F$2:F$99411, "Iya",
  raw_stack!G$2:G$99411, "&gt;="&amp;DATE(2025,8,1),
  raw_stack!G$2:G$99411, "&lt;="&amp;EOMONTH(DATE(2025,8,1),0)
 ),
 IF(_xlpm.x=0, "-", _xlpm.x)
)</f>
        <v>45896</v>
      </c>
      <c r="R134" s="65">
        <f>_xlfn.LET(
 _xlpm.x,
 _xlfn.MAXIFS(
  raw_stack!H$2:H$100000,
  raw_stack!D$2:D$100000, G134,
  raw_stack!F$2:F$100000, "Iya",
  raw_stack!G$2:G$100000, "&gt;="&amp;DATE(2025,8,1),
  raw_stack!G$2:G$100000, "&lt;="&amp;EOMONTH(DATE(2025,8,1),0)
 ),
 IF(OR(_xlpm.x=0, _xlpm.x=""), "-", _xlpm.x)
)</f>
        <v>14557</v>
      </c>
      <c r="S134" s="54" t="str">
        <f>_xlfn.LET(
 _xlpm.x,
 _xlfn.MAXIFS(
  raw_stack!G$2:G$99411,
  raw_stack!D$2:D$99411, G134,
  raw_stack!F$2:F$99411, "Iya",
  raw_stack!G$2:G$99411, "&gt;="&amp;DATE(2025,9,1),
  raw_stack!G$2:G$99411, "&lt;="&amp;EOMONTH(DATE(2025,9,1),0)
 ),
 IF(_xlpm.x=0, "-", _xlpm.x)
)</f>
        <v>-</v>
      </c>
      <c r="T134" s="65" t="str">
        <f>_xlfn.LET(
 _xlpm.x,
 _xlfn.MAXIFS(
  raw_stack!H$2:H$100000,
  raw_stack!D$2:D$100000, G134,
  raw_stack!F$2:F$100000, "Iya",
  raw_stack!G$2:G$100000, "&gt;="&amp;DATE(2025,9,1),
  raw_stack!G$2:G$100000, "&lt;="&amp;EOMONTH(DATE(2025,9,1),0)
 ),
 IF(OR(_xlpm.x=0, _xlpm.x=""), "-", _xlpm.x)
)</f>
        <v>-</v>
      </c>
      <c r="U134" s="54" t="str">
        <f>_xlfn.LET(
 _xlpm.x,
 _xlfn.MAXIFS(
  raw_stack!G$2:G$99411,
  raw_stack!D$2:D$99411, G134,
  raw_stack!F$2:F$99411, "Iya",
  raw_stack!G$2:G$99411, "&gt;="&amp;DATE(2025,10,1),
  raw_stack!G$2:G$99411, "&lt;="&amp;EOMONTH(DATE(2025,10,1),0)
 ),
 IF(_xlpm.x=0, "-", _xlpm.x)
)</f>
        <v>-</v>
      </c>
      <c r="V134" s="65" t="str">
        <f>_xlfn.LET(
 _xlpm.x,
 _xlfn.MAXIFS(
  raw_stack!H$2:H$100000,
  raw_stack!D$2:D$100000, G134,
  raw_stack!F$2:F$100000, "Iya",
  raw_stack!G$2:G$100000, "&gt;="&amp;DATE(2025,10,1),
  raw_stack!G$2:G$100000, "&lt;="&amp;EOMONTH(DATE(2025,10,1),0)
 ),
 IF(OR(_xlpm.x=0, _xlpm.x=""), "-", _xlpm.x)
)</f>
        <v>-</v>
      </c>
      <c r="W134" s="55" t="str">
        <f>_xlfn.LET(
 _xlpm.x,
 _xlfn.MAXIFS(
  raw_stack!G$2:G$99411,
  raw_stack!D$2:D$99411, G134,
  raw_stack!F$2:F$99411, "Iya",
  raw_stack!G$2:G$99411, "&gt;="&amp;DATE(2025,11,1),
  raw_stack!G$2:G$99411, "&lt;="&amp;EOMONTH(DATE(2025,11,1),0)
 ),
 IF(_xlpm.x=0, "-", _xlpm.x)
)</f>
        <v>-</v>
      </c>
      <c r="X134" s="56" t="str">
        <f>_xlfn.LET(
 _xlpm.x,
 _xlfn.MAXIFS(
  raw_stack!H$2:H$100000,
  raw_stack!D$2:D$100000, G134,
  raw_stack!F$2:F$100000, "Iya",
  raw_stack!G$2:G$100000, "&gt;="&amp;DATE(2025,11,1),
  raw_stack!G$2:G$100000, "&lt;="&amp;EOMONTH(DATE(2025,11,1),0)
 ),
 IF(OR(_xlpm.x=0, _xlpm.x=""), "-", _xlpm.x)
)</f>
        <v>-</v>
      </c>
      <c r="Y134" s="55" t="str">
        <f>_xlfn.LET(
 _xlpm.x,
 _xlfn.MAXIFS(
  raw_stack!G$2:G$99411,
  raw_stack!D$2:D$99411, G134,
  raw_stack!F$2:F$99411, "Iya",
  raw_stack!G$2:G$99411, "&gt;="&amp;DATE(2025,12,1),
  raw_stack!G$2:G$99411, "&lt;="&amp;EOMONTH(DATE(2025,12,1),0)
 ),
 IF(_xlpm.x=0, "-", _xlpm.x)
)</f>
        <v>-</v>
      </c>
      <c r="Z134" s="56" t="str">
        <f>_xlfn.LET(
 _xlpm.x,
 _xlfn.MAXIFS(
  raw_stack!H$2:H$100000,
  raw_stack!D$2:D$100000, G134,
  raw_stack!F$2:F$100000, "Iya",
  raw_stack!G$2:G$100000, "&gt;="&amp;DATE(2025,12,1),
  raw_stack!G$2:G$100000, "&lt;="&amp;EOMONTH(DATE(2025,12,1),0)
 ),
 IF(OR(_xlpm.x=0, _xlpm.x=""), "-", _xlpm.x)
)</f>
        <v>-</v>
      </c>
      <c r="AA134" s="55">
        <f>_xlfn.LET(
 _xlpm.x,
 _xlfn.MAXIFS(
  raw_stack!G$2:G$99411,
  raw_stack!D$2:D$99411, G134,
  raw_stack!F$2:F$99411, "Iya",
  raw_stack!G$2:G$99411, "&gt;="&amp;DATE(2026,1,1),
  raw_stack!G$2:G$99411, "&lt;="&amp;EOMONTH(DATE(2026,1,1),0)
 ),
 IF(_xlpm.x=0, "-", _xlpm.x)
)</f>
        <v>46035</v>
      </c>
      <c r="AB134" s="56">
        <f>_xlfn.LET(
 _xlpm.x,
 _xlfn.MAXIFS(
  raw_stack!H$2:H$100000,
  raw_stack!D$2:D$100000, G134,
  raw_stack!F$2:F$100000, "Iya",
  raw_stack!G$2:G$100000, "&gt;="&amp;DATE(2026,1,1),
  raw_stack!G$2:G$100000, "&lt;="&amp;EOMONTH(DATE(2026,1,1),0)
 ),
 IF(OR(_xlpm.x=0, _xlpm.x=""), "-", _xlpm.x)
)</f>
        <v>17771</v>
      </c>
      <c r="AC134" s="55">
        <f>_xlfn.LET(
 _xlpm.x,
 _xlfn.MAXIFS(
  raw_stack!G$2:G$99411,
  raw_stack!D$2:D$99411, G134,
  raw_stack!F$2:F$99411, "Iya",
  raw_stack!G$2:G$99411, "&gt;="&amp;DATE(2026,2,1),
  raw_stack!G$2:G$99411, "&lt;="&amp;EOMONTH(DATE(2026,2,1),0)
 ),
 IF(_xlpm.x=0, "-", _xlpm.x)
)</f>
        <v>46066</v>
      </c>
      <c r="AD134" s="56">
        <f>_xlfn.LET(
 _xlpm.x,
 _xlfn.MAXIFS(
  raw_stack!H$2:H$100000,
  raw_stack!D$2:D$100000, G134,
  raw_stack!F$2:F$100000, "Iya",
  raw_stack!G$2:G$100000, "&gt;="&amp;DATE(2026,2,1),
  raw_stack!G$2:G$100000, "&lt;="&amp;EOMONTH(DATE(2026,2,1),0)
 ),
 IF(OR(_xlpm.x=0, _xlpm.x=""), "-", _xlpm.x)
)</f>
        <v>17089</v>
      </c>
      <c r="AE134" s="55" t="str">
        <f>_xlfn.LET(
 _xlpm.x,
 _xlfn.MAXIFS(
  raw_stack!G$2:G$100000,
  raw_stack!D$2:D$100000, G134,
  raw_stack!F$2:F$100000, "Iya",
  raw_stack!G$2:G$100000, "&gt;="&amp;DATE(2026,3,1),
  raw_stack!G$2:G$100000, "&lt;="&amp;EOMONTH(DATE(2026,3,1),0)
 ),
 IF(_xlpm.x=0, "-", _xlpm.x)
)</f>
        <v>-</v>
      </c>
      <c r="AF134" s="56" t="str">
        <f>_xlfn.LET(
 _xlpm.x,
 _xlfn.MAXIFS(
  raw_stack!H$2:H$100000,
  raw_stack!D$2:D$100000, G134,
  raw_stack!F$2:F$100000, "Iya",
  raw_stack!G$2:G$100000, "&gt;="&amp;DATE(2026,3,1),
  raw_stack!G$2:G$100000, "&lt;="&amp;EOMONTH(DATE(2026,3,1),0)
 ),
 IF(OR(_xlpm.x=0, _xlpm.x=""), "-", _xlpm.x)
)</f>
        <v>-</v>
      </c>
      <c r="AG134" s="55" t="str">
        <f>_xlfn.LET(
 _xlpm.x,
 _xlfn.MAXIFS(
  raw_stack!G$2:G$100000,
  raw_stack!D$2:D$100000, G134,
  raw_stack!F$2:F$100000, "Iya",
  raw_stack!G$2:G$100000, "&gt;="&amp;DATE(2026,4,1),
  raw_stack!G$2:G$100000, "&lt;="&amp;EOMONTH(DATE(2026,4,1),0)
 ),
 IF(_xlpm.x=0, "-", _xlpm.x)
)</f>
        <v>-</v>
      </c>
      <c r="AH134" s="56" t="str">
        <f>_xlfn.LET(
 _xlpm.x,
 _xlfn.MAXIFS(
  raw_stack!H$2:H$100000,
  raw_stack!D$2:D$100000, G134,
  raw_stack!F$2:F$100000, "Iya",
  raw_stack!G$2:G$100000, "&gt;="&amp;DATE(2026,4,1),
  raw_stack!G$2:G$100000, "&lt;="&amp;EOMONTH(DATE(2026,4,1),0)
 ),
 IF(OR(_xlpm.x=0, _xlpm.x=""), "-", _xlpm.x)
)</f>
        <v>-</v>
      </c>
    </row>
    <row r="135" spans="1:34">
      <c r="A135" s="48">
        <v>134</v>
      </c>
      <c r="B135" s="49" t="str">
        <f t="shared" si="2"/>
        <v>49313</v>
      </c>
      <c r="C135" s="50" t="s">
        <v>46</v>
      </c>
      <c r="D135" s="51" t="s">
        <v>579</v>
      </c>
      <c r="E135" s="51" t="s">
        <v>47</v>
      </c>
      <c r="F135" s="49" t="s">
        <v>117</v>
      </c>
      <c r="G135" s="49" t="s">
        <v>251</v>
      </c>
      <c r="H135" s="49" t="s">
        <v>48</v>
      </c>
      <c r="I135" s="49" t="s">
        <v>49</v>
      </c>
      <c r="J135" s="52">
        <v>4375000</v>
      </c>
      <c r="K135" s="53">
        <v>45362</v>
      </c>
      <c r="L135" s="53">
        <v>46456</v>
      </c>
      <c r="M135" s="53">
        <v>46091</v>
      </c>
      <c r="N135" s="49" t="s">
        <v>50</v>
      </c>
      <c r="O135" s="54" t="str">
        <f>_xlfn.LET(
 _xlpm.x,
 _xlfn.MAXIFS(
  raw_stack!G$2:G$100000,
  raw_stack!D$2:D$100000, G135,
  raw_stack!F$2:F$100000, "Iya",
  raw_stack!G$2:G$100000, "&gt;="&amp;DATE(2025,7,1),
  raw_stack!G$2:G$100000, "&lt;="&amp;EOMONTH(DATE(2025,7,1),0)
 ),
 IF(_xlpm.x=0, "-", _xlpm.x)
)</f>
        <v>-</v>
      </c>
      <c r="P135" s="65" t="str">
        <f>_xlfn.LET(
 _xlpm.x,
 _xlfn.MAXIFS(
  raw_stack!H$2:H$100000,
  raw_stack!D$2:D$100000, G135,
  raw_stack!F$2:F$100000, "Iya",
  raw_stack!G$2:G$100000, "&gt;="&amp;DATE(2025,7,1),
  raw_stack!G$2:G$100000, "&lt;="&amp;EOMONTH(DATE(2025,7,1),0)
 ),
 IF(OR(_xlpm.x=0, _xlpm.x=""), "-", _xlpm.x)
)</f>
        <v>-</v>
      </c>
      <c r="Q135" s="54" t="str">
        <f>_xlfn.LET(
 _xlpm.x,
 _xlfn.MAXIFS(
  raw_stack!G$2:G$99411,
  raw_stack!D$2:D$99411, G135,
  raw_stack!F$2:F$99411, "Iya",
  raw_stack!G$2:G$99411, "&gt;="&amp;DATE(2025,8,1),
  raw_stack!G$2:G$99411, "&lt;="&amp;EOMONTH(DATE(2025,8,1),0)
 ),
 IF(_xlpm.x=0, "-", _xlpm.x)
)</f>
        <v>-</v>
      </c>
      <c r="R135" s="65" t="str">
        <f>_xlfn.LET(
 _xlpm.x,
 _xlfn.MAXIFS(
  raw_stack!H$2:H$100000,
  raw_stack!D$2:D$100000, G135,
  raw_stack!F$2:F$100000, "Iya",
  raw_stack!G$2:G$100000, "&gt;="&amp;DATE(2025,8,1),
  raw_stack!G$2:G$100000, "&lt;="&amp;EOMONTH(DATE(2025,8,1),0)
 ),
 IF(OR(_xlpm.x=0, _xlpm.x=""), "-", _xlpm.x)
)</f>
        <v>-</v>
      </c>
      <c r="S135" s="54" t="str">
        <f>_xlfn.LET(
 _xlpm.x,
 _xlfn.MAXIFS(
  raw_stack!G$2:G$99411,
  raw_stack!D$2:D$99411, G135,
  raw_stack!F$2:F$99411, "Iya",
  raw_stack!G$2:G$99411, "&gt;="&amp;DATE(2025,9,1),
  raw_stack!G$2:G$99411, "&lt;="&amp;EOMONTH(DATE(2025,9,1),0)
 ),
 IF(_xlpm.x=0, "-", _xlpm.x)
)</f>
        <v>-</v>
      </c>
      <c r="T135" s="65" t="str">
        <f>_xlfn.LET(
 _xlpm.x,
 _xlfn.MAXIFS(
  raw_stack!H$2:H$100000,
  raw_stack!D$2:D$100000, G135,
  raw_stack!F$2:F$100000, "Iya",
  raw_stack!G$2:G$100000, "&gt;="&amp;DATE(2025,9,1),
  raw_stack!G$2:G$100000, "&lt;="&amp;EOMONTH(DATE(2025,9,1),0)
 ),
 IF(OR(_xlpm.x=0, _xlpm.x=""), "-", _xlpm.x)
)</f>
        <v>-</v>
      </c>
      <c r="U135" s="54">
        <f>_xlfn.LET(
 _xlpm.x,
 _xlfn.MAXIFS(
  raw_stack!G$2:G$99411,
  raw_stack!D$2:D$99411, G135,
  raw_stack!F$2:F$99411, "Iya",
  raw_stack!G$2:G$99411, "&gt;="&amp;DATE(2025,10,1),
  raw_stack!G$2:G$99411, "&lt;="&amp;EOMONTH(DATE(2025,10,1),0)
 ),
 IF(_xlpm.x=0, "-", _xlpm.x)
)</f>
        <v>45960</v>
      </c>
      <c r="V135" s="65">
        <f>_xlfn.LET(
 _xlpm.x,
 _xlfn.MAXIFS(
  raw_stack!H$2:H$100000,
  raw_stack!D$2:D$100000, G135,
  raw_stack!F$2:F$100000, "Iya",
  raw_stack!G$2:G$100000, "&gt;="&amp;DATE(2025,10,1),
  raw_stack!G$2:G$100000, "&lt;="&amp;EOMONTH(DATE(2025,10,1),0)
 ),
 IF(OR(_xlpm.x=0, _xlpm.x=""), "-", _xlpm.x)
)</f>
        <v>51791</v>
      </c>
      <c r="W135" s="55" t="str">
        <f>_xlfn.LET(
 _xlpm.x,
 _xlfn.MAXIFS(
  raw_stack!G$2:G$99411,
  raw_stack!D$2:D$99411, G135,
  raw_stack!F$2:F$99411, "Iya",
  raw_stack!G$2:G$99411, "&gt;="&amp;DATE(2025,11,1),
  raw_stack!G$2:G$99411, "&lt;="&amp;EOMONTH(DATE(2025,11,1),0)
 ),
 IF(_xlpm.x=0, "-", _xlpm.x)
)</f>
        <v>-</v>
      </c>
      <c r="X135" s="56" t="str">
        <f>_xlfn.LET(
 _xlpm.x,
 _xlfn.MAXIFS(
  raw_stack!H$2:H$100000,
  raw_stack!D$2:D$100000, G135,
  raw_stack!F$2:F$100000, "Iya",
  raw_stack!G$2:G$100000, "&gt;="&amp;DATE(2025,11,1),
  raw_stack!G$2:G$100000, "&lt;="&amp;EOMONTH(DATE(2025,11,1),0)
 ),
 IF(OR(_xlpm.x=0, _xlpm.x=""), "-", _xlpm.x)
)</f>
        <v>-</v>
      </c>
      <c r="Y135" s="55" t="str">
        <f>_xlfn.LET(
 _xlpm.x,
 _xlfn.MAXIFS(
  raw_stack!G$2:G$99411,
  raw_stack!D$2:D$99411, G135,
  raw_stack!F$2:F$99411, "Iya",
  raw_stack!G$2:G$99411, "&gt;="&amp;DATE(2025,12,1),
  raw_stack!G$2:G$99411, "&lt;="&amp;EOMONTH(DATE(2025,12,1),0)
 ),
 IF(_xlpm.x=0, "-", _xlpm.x)
)</f>
        <v>-</v>
      </c>
      <c r="Z135" s="56" t="str">
        <f>_xlfn.LET(
 _xlpm.x,
 _xlfn.MAXIFS(
  raw_stack!H$2:H$100000,
  raw_stack!D$2:D$100000, G135,
  raw_stack!F$2:F$100000, "Iya",
  raw_stack!G$2:G$100000, "&gt;="&amp;DATE(2025,12,1),
  raw_stack!G$2:G$100000, "&lt;="&amp;EOMONTH(DATE(2025,12,1),0)
 ),
 IF(OR(_xlpm.x=0, _xlpm.x=""), "-", _xlpm.x)
)</f>
        <v>-</v>
      </c>
      <c r="AA135" s="55" t="str">
        <f>_xlfn.LET(
 _xlpm.x,
 _xlfn.MAXIFS(
  raw_stack!G$2:G$99411,
  raw_stack!D$2:D$99411, G135,
  raw_stack!F$2:F$99411, "Iya",
  raw_stack!G$2:G$99411, "&gt;="&amp;DATE(2026,1,1),
  raw_stack!G$2:G$99411, "&lt;="&amp;EOMONTH(DATE(2026,1,1),0)
 ),
 IF(_xlpm.x=0, "-", _xlpm.x)
)</f>
        <v>-</v>
      </c>
      <c r="AB135" s="56" t="str">
        <f>_xlfn.LET(
 _xlpm.x,
 _xlfn.MAXIFS(
  raw_stack!H$2:H$100000,
  raw_stack!D$2:D$100000, G135,
  raw_stack!F$2:F$100000, "Iya",
  raw_stack!G$2:G$100000, "&gt;="&amp;DATE(2026,1,1),
  raw_stack!G$2:G$100000, "&lt;="&amp;EOMONTH(DATE(2026,1,1),0)
 ),
 IF(OR(_xlpm.x=0, _xlpm.x=""), "-", _xlpm.x)
)</f>
        <v>-</v>
      </c>
      <c r="AC135" s="55" t="str">
        <f>_xlfn.LET(
 _xlpm.x,
 _xlfn.MAXIFS(
  raw_stack!G$2:G$99411,
  raw_stack!D$2:D$99411, G135,
  raw_stack!F$2:F$99411, "Iya",
  raw_stack!G$2:G$99411, "&gt;="&amp;DATE(2026,2,1),
  raw_stack!G$2:G$99411, "&lt;="&amp;EOMONTH(DATE(2026,2,1),0)
 ),
 IF(_xlpm.x=0, "-", _xlpm.x)
)</f>
        <v>-</v>
      </c>
      <c r="AD135" s="56" t="str">
        <f>_xlfn.LET(
 _xlpm.x,
 _xlfn.MAXIFS(
  raw_stack!H$2:H$100000,
  raw_stack!D$2:D$100000, G135,
  raw_stack!F$2:F$100000, "Iya",
  raw_stack!G$2:G$100000, "&gt;="&amp;DATE(2026,2,1),
  raw_stack!G$2:G$100000, "&lt;="&amp;EOMONTH(DATE(2026,2,1),0)
 ),
 IF(OR(_xlpm.x=0, _xlpm.x=""), "-", _xlpm.x)
)</f>
        <v>-</v>
      </c>
      <c r="AE135" s="55" t="str">
        <f>_xlfn.LET(
 _xlpm.x,
 _xlfn.MAXIFS(
  raw_stack!G$2:G$100000,
  raw_stack!D$2:D$100000, G135,
  raw_stack!F$2:F$100000, "Iya",
  raw_stack!G$2:G$100000, "&gt;="&amp;DATE(2026,3,1),
  raw_stack!G$2:G$100000, "&lt;="&amp;EOMONTH(DATE(2026,3,1),0)
 ),
 IF(_xlpm.x=0, "-", _xlpm.x)
)</f>
        <v>-</v>
      </c>
      <c r="AF135" s="56" t="str">
        <f>_xlfn.LET(
 _xlpm.x,
 _xlfn.MAXIFS(
  raw_stack!H$2:H$100000,
  raw_stack!D$2:D$100000, G135,
  raw_stack!F$2:F$100000, "Iya",
  raw_stack!G$2:G$100000, "&gt;="&amp;DATE(2026,3,1),
  raw_stack!G$2:G$100000, "&lt;="&amp;EOMONTH(DATE(2026,3,1),0)
 ),
 IF(OR(_xlpm.x=0, _xlpm.x=""), "-", _xlpm.x)
)</f>
        <v>-</v>
      </c>
      <c r="AG135" s="55" t="str">
        <f>_xlfn.LET(
 _xlpm.x,
 _xlfn.MAXIFS(
  raw_stack!G$2:G$100000,
  raw_stack!D$2:D$100000, G135,
  raw_stack!F$2:F$100000, "Iya",
  raw_stack!G$2:G$100000, "&gt;="&amp;DATE(2026,4,1),
  raw_stack!G$2:G$100000, "&lt;="&amp;EOMONTH(DATE(2026,4,1),0)
 ),
 IF(_xlpm.x=0, "-", _xlpm.x)
)</f>
        <v>-</v>
      </c>
      <c r="AH135" s="56" t="str">
        <f>_xlfn.LET(
 _xlpm.x,
 _xlfn.MAXIFS(
  raw_stack!H$2:H$100000,
  raw_stack!D$2:D$100000, G135,
  raw_stack!F$2:F$100000, "Iya",
  raw_stack!G$2:G$100000, "&gt;="&amp;DATE(2026,4,1),
  raw_stack!G$2:G$100000, "&lt;="&amp;EOMONTH(DATE(2026,4,1),0)
 ),
 IF(OR(_xlpm.x=0, _xlpm.x=""), "-", _xlpm.x)
)</f>
        <v>-</v>
      </c>
    </row>
    <row r="136" spans="1:34">
      <c r="A136" s="48">
        <v>135</v>
      </c>
      <c r="B136" s="49" t="str">
        <f t="shared" si="2"/>
        <v>51924</v>
      </c>
      <c r="C136" s="50" t="s">
        <v>46</v>
      </c>
      <c r="D136" s="51" t="s">
        <v>580</v>
      </c>
      <c r="E136" s="51" t="s">
        <v>53</v>
      </c>
      <c r="F136" s="49" t="s">
        <v>117</v>
      </c>
      <c r="G136" s="49" t="s">
        <v>252</v>
      </c>
      <c r="H136" s="49" t="s">
        <v>48</v>
      </c>
      <c r="I136" s="49" t="s">
        <v>52</v>
      </c>
      <c r="J136" s="52">
        <v>4105000</v>
      </c>
      <c r="K136" s="53">
        <v>45365</v>
      </c>
      <c r="L136" s="53">
        <v>46459</v>
      </c>
      <c r="M136" s="53">
        <v>46094</v>
      </c>
      <c r="N136" s="49" t="s">
        <v>50</v>
      </c>
      <c r="O136" s="54" t="str">
        <f>_xlfn.LET(
 _xlpm.x,
 _xlfn.MAXIFS(
  raw_stack!G$2:G$100000,
  raw_stack!D$2:D$100000, G136,
  raw_stack!F$2:F$100000, "Iya",
  raw_stack!G$2:G$100000, "&gt;="&amp;DATE(2025,7,1),
  raw_stack!G$2:G$100000, "&lt;="&amp;EOMONTH(DATE(2025,7,1),0)
 ),
 IF(_xlpm.x=0, "-", _xlpm.x)
)</f>
        <v>-</v>
      </c>
      <c r="P136" s="65" t="str">
        <f>_xlfn.LET(
 _xlpm.x,
 _xlfn.MAXIFS(
  raw_stack!H$2:H$100000,
  raw_stack!D$2:D$100000, G136,
  raw_stack!F$2:F$100000, "Iya",
  raw_stack!G$2:G$100000, "&gt;="&amp;DATE(2025,7,1),
  raw_stack!G$2:G$100000, "&lt;="&amp;EOMONTH(DATE(2025,7,1),0)
 ),
 IF(OR(_xlpm.x=0, _xlpm.x=""), "-", _xlpm.x)
)</f>
        <v>-</v>
      </c>
      <c r="Q136" s="54" t="str">
        <f>_xlfn.LET(
 _xlpm.x,
 _xlfn.MAXIFS(
  raw_stack!G$2:G$99411,
  raw_stack!D$2:D$99411, G136,
  raw_stack!F$2:F$99411, "Iya",
  raw_stack!G$2:G$99411, "&gt;="&amp;DATE(2025,8,1),
  raw_stack!G$2:G$99411, "&lt;="&amp;EOMONTH(DATE(2025,8,1),0)
 ),
 IF(_xlpm.x=0, "-", _xlpm.x)
)</f>
        <v>-</v>
      </c>
      <c r="R136" s="65" t="str">
        <f>_xlfn.LET(
 _xlpm.x,
 _xlfn.MAXIFS(
  raw_stack!H$2:H$100000,
  raw_stack!D$2:D$100000, G136,
  raw_stack!F$2:F$100000, "Iya",
  raw_stack!G$2:G$100000, "&gt;="&amp;DATE(2025,8,1),
  raw_stack!G$2:G$100000, "&lt;="&amp;EOMONTH(DATE(2025,8,1),0)
 ),
 IF(OR(_xlpm.x=0, _xlpm.x=""), "-", _xlpm.x)
)</f>
        <v>-</v>
      </c>
      <c r="S136" s="54" t="str">
        <f>_xlfn.LET(
 _xlpm.x,
 _xlfn.MAXIFS(
  raw_stack!G$2:G$99411,
  raw_stack!D$2:D$99411, G136,
  raw_stack!F$2:F$99411, "Iya",
  raw_stack!G$2:G$99411, "&gt;="&amp;DATE(2025,9,1),
  raw_stack!G$2:G$99411, "&lt;="&amp;EOMONTH(DATE(2025,9,1),0)
 ),
 IF(_xlpm.x=0, "-", _xlpm.x)
)</f>
        <v>-</v>
      </c>
      <c r="T136" s="65" t="str">
        <f>_xlfn.LET(
 _xlpm.x,
 _xlfn.MAXIFS(
  raw_stack!H$2:H$100000,
  raw_stack!D$2:D$100000, G136,
  raw_stack!F$2:F$100000, "Iya",
  raw_stack!G$2:G$100000, "&gt;="&amp;DATE(2025,9,1),
  raw_stack!G$2:G$100000, "&lt;="&amp;EOMONTH(DATE(2025,9,1),0)
 ),
 IF(OR(_xlpm.x=0, _xlpm.x=""), "-", _xlpm.x)
)</f>
        <v>-</v>
      </c>
      <c r="U136" s="54">
        <f>_xlfn.LET(
 _xlpm.x,
 _xlfn.MAXIFS(
  raw_stack!G$2:G$99411,
  raw_stack!D$2:D$99411, G136,
  raw_stack!F$2:F$99411, "Iya",
  raw_stack!G$2:G$99411, "&gt;="&amp;DATE(2025,10,1),
  raw_stack!G$2:G$99411, "&lt;="&amp;EOMONTH(DATE(2025,10,1),0)
 ),
 IF(_xlpm.x=0, "-", _xlpm.x)
)</f>
        <v>45944</v>
      </c>
      <c r="V136" s="65">
        <f>_xlfn.LET(
 _xlpm.x,
 _xlfn.MAXIFS(
  raw_stack!H$2:H$100000,
  raw_stack!D$2:D$100000, G136,
  raw_stack!F$2:F$100000, "Iya",
  raw_stack!G$2:G$100000, "&gt;="&amp;DATE(2025,10,1),
  raw_stack!G$2:G$100000, "&lt;="&amp;EOMONTH(DATE(2025,10,1),0)
 ),
 IF(OR(_xlpm.x=0, _xlpm.x=""), "-", _xlpm.x)
)</f>
        <v>20637</v>
      </c>
      <c r="W136" s="55" t="str">
        <f>_xlfn.LET(
 _xlpm.x,
 _xlfn.MAXIFS(
  raw_stack!G$2:G$99411,
  raw_stack!D$2:D$99411, G136,
  raw_stack!F$2:F$99411, "Iya",
  raw_stack!G$2:G$99411, "&gt;="&amp;DATE(2025,11,1),
  raw_stack!G$2:G$99411, "&lt;="&amp;EOMONTH(DATE(2025,11,1),0)
 ),
 IF(_xlpm.x=0, "-", _xlpm.x)
)</f>
        <v>-</v>
      </c>
      <c r="X136" s="56" t="str">
        <f>_xlfn.LET(
 _xlpm.x,
 _xlfn.MAXIFS(
  raw_stack!H$2:H$100000,
  raw_stack!D$2:D$100000, G136,
  raw_stack!F$2:F$100000, "Iya",
  raw_stack!G$2:G$100000, "&gt;="&amp;DATE(2025,11,1),
  raw_stack!G$2:G$100000, "&lt;="&amp;EOMONTH(DATE(2025,11,1),0)
 ),
 IF(OR(_xlpm.x=0, _xlpm.x=""), "-", _xlpm.x)
)</f>
        <v>-</v>
      </c>
      <c r="Y136" s="55" t="str">
        <f>_xlfn.LET(
 _xlpm.x,
 _xlfn.MAXIFS(
  raw_stack!G$2:G$99411,
  raw_stack!D$2:D$99411, G136,
  raw_stack!F$2:F$99411, "Iya",
  raw_stack!G$2:G$99411, "&gt;="&amp;DATE(2025,12,1),
  raw_stack!G$2:G$99411, "&lt;="&amp;EOMONTH(DATE(2025,12,1),0)
 ),
 IF(_xlpm.x=0, "-", _xlpm.x)
)</f>
        <v>-</v>
      </c>
      <c r="Z136" s="56" t="str">
        <f>_xlfn.LET(
 _xlpm.x,
 _xlfn.MAXIFS(
  raw_stack!H$2:H$100000,
  raw_stack!D$2:D$100000, G136,
  raw_stack!F$2:F$100000, "Iya",
  raw_stack!G$2:G$100000, "&gt;="&amp;DATE(2025,12,1),
  raw_stack!G$2:G$100000, "&lt;="&amp;EOMONTH(DATE(2025,12,1),0)
 ),
 IF(OR(_xlpm.x=0, _xlpm.x=""), "-", _xlpm.x)
)</f>
        <v>-</v>
      </c>
      <c r="AA136" s="55" t="str">
        <f>_xlfn.LET(
 _xlpm.x,
 _xlfn.MAXIFS(
  raw_stack!G$2:G$99411,
  raw_stack!D$2:D$99411, G136,
  raw_stack!F$2:F$99411, "Iya",
  raw_stack!G$2:G$99411, "&gt;="&amp;DATE(2026,1,1),
  raw_stack!G$2:G$99411, "&lt;="&amp;EOMONTH(DATE(2026,1,1),0)
 ),
 IF(_xlpm.x=0, "-", _xlpm.x)
)</f>
        <v>-</v>
      </c>
      <c r="AB136" s="56" t="str">
        <f>_xlfn.LET(
 _xlpm.x,
 _xlfn.MAXIFS(
  raw_stack!H$2:H$100000,
  raw_stack!D$2:D$100000, G136,
  raw_stack!F$2:F$100000, "Iya",
  raw_stack!G$2:G$100000, "&gt;="&amp;DATE(2026,1,1),
  raw_stack!G$2:G$100000, "&lt;="&amp;EOMONTH(DATE(2026,1,1),0)
 ),
 IF(OR(_xlpm.x=0, _xlpm.x=""), "-", _xlpm.x)
)</f>
        <v>-</v>
      </c>
      <c r="AC136" s="55" t="str">
        <f>_xlfn.LET(
 _xlpm.x,
 _xlfn.MAXIFS(
  raw_stack!G$2:G$99411,
  raw_stack!D$2:D$99411, G136,
  raw_stack!F$2:F$99411, "Iya",
  raw_stack!G$2:G$99411, "&gt;="&amp;DATE(2026,2,1),
  raw_stack!G$2:G$99411, "&lt;="&amp;EOMONTH(DATE(2026,2,1),0)
 ),
 IF(_xlpm.x=0, "-", _xlpm.x)
)</f>
        <v>-</v>
      </c>
      <c r="AD136" s="56" t="str">
        <f>_xlfn.LET(
 _xlpm.x,
 _xlfn.MAXIFS(
  raw_stack!H$2:H$100000,
  raw_stack!D$2:D$100000, G136,
  raw_stack!F$2:F$100000, "Iya",
  raw_stack!G$2:G$100000, "&gt;="&amp;DATE(2026,2,1),
  raw_stack!G$2:G$100000, "&lt;="&amp;EOMONTH(DATE(2026,2,1),0)
 ),
 IF(OR(_xlpm.x=0, _xlpm.x=""), "-", _xlpm.x)
)</f>
        <v>-</v>
      </c>
      <c r="AE136" s="55" t="str">
        <f>_xlfn.LET(
 _xlpm.x,
 _xlfn.MAXIFS(
  raw_stack!G$2:G$100000,
  raw_stack!D$2:D$100000, G136,
  raw_stack!F$2:F$100000, "Iya",
  raw_stack!G$2:G$100000, "&gt;="&amp;DATE(2026,3,1),
  raw_stack!G$2:G$100000, "&lt;="&amp;EOMONTH(DATE(2026,3,1),0)
 ),
 IF(_xlpm.x=0, "-", _xlpm.x)
)</f>
        <v>-</v>
      </c>
      <c r="AF136" s="56" t="str">
        <f>_xlfn.LET(
 _xlpm.x,
 _xlfn.MAXIFS(
  raw_stack!H$2:H$100000,
  raw_stack!D$2:D$100000, G136,
  raw_stack!F$2:F$100000, "Iya",
  raw_stack!G$2:G$100000, "&gt;="&amp;DATE(2026,3,1),
  raw_stack!G$2:G$100000, "&lt;="&amp;EOMONTH(DATE(2026,3,1),0)
 ),
 IF(OR(_xlpm.x=0, _xlpm.x=""), "-", _xlpm.x)
)</f>
        <v>-</v>
      </c>
      <c r="AG136" s="55" t="str">
        <f>_xlfn.LET(
 _xlpm.x,
 _xlfn.MAXIFS(
  raw_stack!G$2:G$100000,
  raw_stack!D$2:D$100000, G136,
  raw_stack!F$2:F$100000, "Iya",
  raw_stack!G$2:G$100000, "&gt;="&amp;DATE(2026,4,1),
  raw_stack!G$2:G$100000, "&lt;="&amp;EOMONTH(DATE(2026,4,1),0)
 ),
 IF(_xlpm.x=0, "-", _xlpm.x)
)</f>
        <v>-</v>
      </c>
      <c r="AH136" s="56" t="str">
        <f>_xlfn.LET(
 _xlpm.x,
 _xlfn.MAXIFS(
  raw_stack!H$2:H$100000,
  raw_stack!D$2:D$100000, G136,
  raw_stack!F$2:F$100000, "Iya",
  raw_stack!G$2:G$100000, "&gt;="&amp;DATE(2026,4,1),
  raw_stack!G$2:G$100000, "&lt;="&amp;EOMONTH(DATE(2026,4,1),0)
 ),
 IF(OR(_xlpm.x=0, _xlpm.x=""), "-", _xlpm.x)
)</f>
        <v>-</v>
      </c>
    </row>
    <row r="137" spans="1:34">
      <c r="A137" s="48">
        <v>136</v>
      </c>
      <c r="B137" s="49" t="str">
        <f t="shared" si="2"/>
        <v>16903</v>
      </c>
      <c r="C137" s="50" t="s">
        <v>46</v>
      </c>
      <c r="D137" s="51" t="s">
        <v>549</v>
      </c>
      <c r="E137" s="51" t="s">
        <v>51</v>
      </c>
      <c r="F137" s="49" t="s">
        <v>117</v>
      </c>
      <c r="G137" s="49" t="s">
        <v>253</v>
      </c>
      <c r="H137" s="49" t="s">
        <v>48</v>
      </c>
      <c r="I137" s="49" t="s">
        <v>52</v>
      </c>
      <c r="J137" s="52">
        <v>4100000</v>
      </c>
      <c r="K137" s="53">
        <v>45344</v>
      </c>
      <c r="L137" s="53">
        <v>46460</v>
      </c>
      <c r="M137" s="53">
        <v>46102</v>
      </c>
      <c r="N137" s="49" t="s">
        <v>50</v>
      </c>
      <c r="O137" s="54">
        <f>_xlfn.LET(
 _xlpm.x,
 _xlfn.MAXIFS(
  raw_stack!G$2:G$100000,
  raw_stack!D$2:D$100000, G137,
  raw_stack!F$2:F$100000, "Iya",
  raw_stack!G$2:G$100000, "&gt;="&amp;DATE(2025,7,1),
  raw_stack!G$2:G$100000, "&lt;="&amp;EOMONTH(DATE(2025,7,1),0)
 ),
 IF(_xlpm.x=0, "-", _xlpm.x)
)</f>
        <v>45854</v>
      </c>
      <c r="P137" s="65">
        <f>_xlfn.LET(
 _xlpm.x,
 _xlfn.MAXIFS(
  raw_stack!H$2:H$100000,
  raw_stack!D$2:D$100000, G137,
  raw_stack!F$2:F$100000, "Iya",
  raw_stack!G$2:G$100000, "&gt;="&amp;DATE(2025,7,1),
  raw_stack!G$2:G$100000, "&lt;="&amp;EOMONTH(DATE(2025,7,1),0)
 ),
 IF(OR(_xlpm.x=0, _xlpm.x=""), "-", _xlpm.x)
)</f>
        <v>26375</v>
      </c>
      <c r="Q137" s="54" t="str">
        <f>_xlfn.LET(
 _xlpm.x,
 _xlfn.MAXIFS(
  raw_stack!G$2:G$99411,
  raw_stack!D$2:D$99411, G137,
  raw_stack!F$2:F$99411, "Iya",
  raw_stack!G$2:G$99411, "&gt;="&amp;DATE(2025,8,1),
  raw_stack!G$2:G$99411, "&lt;="&amp;EOMONTH(DATE(2025,8,1),0)
 ),
 IF(_xlpm.x=0, "-", _xlpm.x)
)</f>
        <v>-</v>
      </c>
      <c r="R137" s="65" t="str">
        <f>_xlfn.LET(
 _xlpm.x,
 _xlfn.MAXIFS(
  raw_stack!H$2:H$100000,
  raw_stack!D$2:D$100000, G137,
  raw_stack!F$2:F$100000, "Iya",
  raw_stack!G$2:G$100000, "&gt;="&amp;DATE(2025,8,1),
  raw_stack!G$2:G$100000, "&lt;="&amp;EOMONTH(DATE(2025,8,1),0)
 ),
 IF(OR(_xlpm.x=0, _xlpm.x=""), "-", _xlpm.x)
)</f>
        <v>-</v>
      </c>
      <c r="S137" s="54" t="str">
        <f>_xlfn.LET(
 _xlpm.x,
 _xlfn.MAXIFS(
  raw_stack!G$2:G$99411,
  raw_stack!D$2:D$99411, G137,
  raw_stack!F$2:F$99411, "Iya",
  raw_stack!G$2:G$99411, "&gt;="&amp;DATE(2025,9,1),
  raw_stack!G$2:G$99411, "&lt;="&amp;EOMONTH(DATE(2025,9,1),0)
 ),
 IF(_xlpm.x=0, "-", _xlpm.x)
)</f>
        <v>-</v>
      </c>
      <c r="T137" s="65" t="str">
        <f>_xlfn.LET(
 _xlpm.x,
 _xlfn.MAXIFS(
  raw_stack!H$2:H$100000,
  raw_stack!D$2:D$100000, G137,
  raw_stack!F$2:F$100000, "Iya",
  raw_stack!G$2:G$100000, "&gt;="&amp;DATE(2025,9,1),
  raw_stack!G$2:G$100000, "&lt;="&amp;EOMONTH(DATE(2025,9,1),0)
 ),
 IF(OR(_xlpm.x=0, _xlpm.x=""), "-", _xlpm.x)
)</f>
        <v>-</v>
      </c>
      <c r="U137" s="54" t="str">
        <f>_xlfn.LET(
 _xlpm.x,
 _xlfn.MAXIFS(
  raw_stack!G$2:G$99411,
  raw_stack!D$2:D$99411, G137,
  raw_stack!F$2:F$99411, "Iya",
  raw_stack!G$2:G$99411, "&gt;="&amp;DATE(2025,10,1),
  raw_stack!G$2:G$99411, "&lt;="&amp;EOMONTH(DATE(2025,10,1),0)
 ),
 IF(_xlpm.x=0, "-", _xlpm.x)
)</f>
        <v>-</v>
      </c>
      <c r="V137" s="65" t="str">
        <f>_xlfn.LET(
 _xlpm.x,
 _xlfn.MAXIFS(
  raw_stack!H$2:H$100000,
  raw_stack!D$2:D$100000, G137,
  raw_stack!F$2:F$100000, "Iya",
  raw_stack!G$2:G$100000, "&gt;="&amp;DATE(2025,10,1),
  raw_stack!G$2:G$100000, "&lt;="&amp;EOMONTH(DATE(2025,10,1),0)
 ),
 IF(OR(_xlpm.x=0, _xlpm.x=""), "-", _xlpm.x)
)</f>
        <v>-</v>
      </c>
      <c r="W137" s="55" t="str">
        <f>_xlfn.LET(
 _xlpm.x,
 _xlfn.MAXIFS(
  raw_stack!G$2:G$99411,
  raw_stack!D$2:D$99411, G137,
  raw_stack!F$2:F$99411, "Iya",
  raw_stack!G$2:G$99411, "&gt;="&amp;DATE(2025,11,1),
  raw_stack!G$2:G$99411, "&lt;="&amp;EOMONTH(DATE(2025,11,1),0)
 ),
 IF(_xlpm.x=0, "-", _xlpm.x)
)</f>
        <v>-</v>
      </c>
      <c r="X137" s="56" t="str">
        <f>_xlfn.LET(
 _xlpm.x,
 _xlfn.MAXIFS(
  raw_stack!H$2:H$100000,
  raw_stack!D$2:D$100000, G137,
  raw_stack!F$2:F$100000, "Iya",
  raw_stack!G$2:G$100000, "&gt;="&amp;DATE(2025,11,1),
  raw_stack!G$2:G$100000, "&lt;="&amp;EOMONTH(DATE(2025,11,1),0)
 ),
 IF(OR(_xlpm.x=0, _xlpm.x=""), "-", _xlpm.x)
)</f>
        <v>-</v>
      </c>
      <c r="Y137" s="55" t="str">
        <f>_xlfn.LET(
 _xlpm.x,
 _xlfn.MAXIFS(
  raw_stack!G$2:G$99411,
  raw_stack!D$2:D$99411, G137,
  raw_stack!F$2:F$99411, "Iya",
  raw_stack!G$2:G$99411, "&gt;="&amp;DATE(2025,12,1),
  raw_stack!G$2:G$99411, "&lt;="&amp;EOMONTH(DATE(2025,12,1),0)
 ),
 IF(_xlpm.x=0, "-", _xlpm.x)
)</f>
        <v>-</v>
      </c>
      <c r="Z137" s="56" t="str">
        <f>_xlfn.LET(
 _xlpm.x,
 _xlfn.MAXIFS(
  raw_stack!H$2:H$100000,
  raw_stack!D$2:D$100000, G137,
  raw_stack!F$2:F$100000, "Iya",
  raw_stack!G$2:G$100000, "&gt;="&amp;DATE(2025,12,1),
  raw_stack!G$2:G$100000, "&lt;="&amp;EOMONTH(DATE(2025,12,1),0)
 ),
 IF(OR(_xlpm.x=0, _xlpm.x=""), "-", _xlpm.x)
)</f>
        <v>-</v>
      </c>
      <c r="AA137" s="55" t="str">
        <f>_xlfn.LET(
 _xlpm.x,
 _xlfn.MAXIFS(
  raw_stack!G$2:G$99411,
  raw_stack!D$2:D$99411, G137,
  raw_stack!F$2:F$99411, "Iya",
  raw_stack!G$2:G$99411, "&gt;="&amp;DATE(2026,1,1),
  raw_stack!G$2:G$99411, "&lt;="&amp;EOMONTH(DATE(2026,1,1),0)
 ),
 IF(_xlpm.x=0, "-", _xlpm.x)
)</f>
        <v>-</v>
      </c>
      <c r="AB137" s="56" t="str">
        <f>_xlfn.LET(
 _xlpm.x,
 _xlfn.MAXIFS(
  raw_stack!H$2:H$100000,
  raw_stack!D$2:D$100000, G137,
  raw_stack!F$2:F$100000, "Iya",
  raw_stack!G$2:G$100000, "&gt;="&amp;DATE(2026,1,1),
  raw_stack!G$2:G$100000, "&lt;="&amp;EOMONTH(DATE(2026,1,1),0)
 ),
 IF(OR(_xlpm.x=0, _xlpm.x=""), "-", _xlpm.x)
)</f>
        <v>-</v>
      </c>
      <c r="AC137" s="55" t="str">
        <f>_xlfn.LET(
 _xlpm.x,
 _xlfn.MAXIFS(
  raw_stack!G$2:G$99411,
  raw_stack!D$2:D$99411, G137,
  raw_stack!F$2:F$99411, "Iya",
  raw_stack!G$2:G$99411, "&gt;="&amp;DATE(2026,2,1),
  raw_stack!G$2:G$99411, "&lt;="&amp;EOMONTH(DATE(2026,2,1),0)
 ),
 IF(_xlpm.x=0, "-", _xlpm.x)
)</f>
        <v>-</v>
      </c>
      <c r="AD137" s="56" t="str">
        <f>_xlfn.LET(
 _xlpm.x,
 _xlfn.MAXIFS(
  raw_stack!H$2:H$100000,
  raw_stack!D$2:D$100000, G137,
  raw_stack!F$2:F$100000, "Iya",
  raw_stack!G$2:G$100000, "&gt;="&amp;DATE(2026,2,1),
  raw_stack!G$2:G$100000, "&lt;="&amp;EOMONTH(DATE(2026,2,1),0)
 ),
 IF(OR(_xlpm.x=0, _xlpm.x=""), "-", _xlpm.x)
)</f>
        <v>-</v>
      </c>
      <c r="AE137" s="55" t="str">
        <f>_xlfn.LET(
 _xlpm.x,
 _xlfn.MAXIFS(
  raw_stack!G$2:G$100000,
  raw_stack!D$2:D$100000, G137,
  raw_stack!F$2:F$100000, "Iya",
  raw_stack!G$2:G$100000, "&gt;="&amp;DATE(2026,3,1),
  raw_stack!G$2:G$100000, "&lt;="&amp;EOMONTH(DATE(2026,3,1),0)
 ),
 IF(_xlpm.x=0, "-", _xlpm.x)
)</f>
        <v>-</v>
      </c>
      <c r="AF137" s="56" t="str">
        <f>_xlfn.LET(
 _xlpm.x,
 _xlfn.MAXIFS(
  raw_stack!H$2:H$100000,
  raw_stack!D$2:D$100000, G137,
  raw_stack!F$2:F$100000, "Iya",
  raw_stack!G$2:G$100000, "&gt;="&amp;DATE(2026,3,1),
  raw_stack!G$2:G$100000, "&lt;="&amp;EOMONTH(DATE(2026,3,1),0)
 ),
 IF(OR(_xlpm.x=0, _xlpm.x=""), "-", _xlpm.x)
)</f>
        <v>-</v>
      </c>
      <c r="AG137" s="55" t="str">
        <f>_xlfn.LET(
 _xlpm.x,
 _xlfn.MAXIFS(
  raw_stack!G$2:G$100000,
  raw_stack!D$2:D$100000, G137,
  raw_stack!F$2:F$100000, "Iya",
  raw_stack!G$2:G$100000, "&gt;="&amp;DATE(2026,4,1),
  raw_stack!G$2:G$100000, "&lt;="&amp;EOMONTH(DATE(2026,4,1),0)
 ),
 IF(_xlpm.x=0, "-", _xlpm.x)
)</f>
        <v>-</v>
      </c>
      <c r="AH137" s="56" t="str">
        <f>_xlfn.LET(
 _xlpm.x,
 _xlfn.MAXIFS(
  raw_stack!H$2:H$100000,
  raw_stack!D$2:D$100000, G137,
  raw_stack!F$2:F$100000, "Iya",
  raw_stack!G$2:G$100000, "&gt;="&amp;DATE(2026,4,1),
  raw_stack!G$2:G$100000, "&lt;="&amp;EOMONTH(DATE(2026,4,1),0)
 ),
 IF(OR(_xlpm.x=0, _xlpm.x=""), "-", _xlpm.x)
)</f>
        <v>-</v>
      </c>
    </row>
    <row r="138" spans="1:34">
      <c r="A138" s="48">
        <v>137</v>
      </c>
      <c r="B138" s="49" t="str">
        <f t="shared" si="2"/>
        <v>60924</v>
      </c>
      <c r="C138" s="50" t="s">
        <v>46</v>
      </c>
      <c r="D138" s="51" t="s">
        <v>484</v>
      </c>
      <c r="E138" s="51" t="s">
        <v>47</v>
      </c>
      <c r="F138" s="49" t="s">
        <v>117</v>
      </c>
      <c r="G138" s="49" t="s">
        <v>254</v>
      </c>
      <c r="H138" s="49" t="s">
        <v>48</v>
      </c>
      <c r="I138" s="49" t="s">
        <v>49</v>
      </c>
      <c r="J138" s="52">
        <v>4650000</v>
      </c>
      <c r="K138" s="53">
        <v>45371</v>
      </c>
      <c r="L138" s="53">
        <v>46465</v>
      </c>
      <c r="M138" s="53">
        <v>46072</v>
      </c>
      <c r="N138" s="49" t="s">
        <v>50</v>
      </c>
      <c r="O138" s="54" t="str">
        <f>_xlfn.LET(
 _xlpm.x,
 _xlfn.MAXIFS(
  raw_stack!G$2:G$100000,
  raw_stack!D$2:D$100000, G138,
  raw_stack!F$2:F$100000, "Iya",
  raw_stack!G$2:G$100000, "&gt;="&amp;DATE(2025,7,1),
  raw_stack!G$2:G$100000, "&lt;="&amp;EOMONTH(DATE(2025,7,1),0)
 ),
 IF(_xlpm.x=0, "-", _xlpm.x)
)</f>
        <v>-</v>
      </c>
      <c r="P138" s="65" t="str">
        <f>_xlfn.LET(
 _xlpm.x,
 _xlfn.MAXIFS(
  raw_stack!H$2:H$100000,
  raw_stack!D$2:D$100000, G138,
  raw_stack!F$2:F$100000, "Iya",
  raw_stack!G$2:G$100000, "&gt;="&amp;DATE(2025,7,1),
  raw_stack!G$2:G$100000, "&lt;="&amp;EOMONTH(DATE(2025,7,1),0)
 ),
 IF(OR(_xlpm.x=0, _xlpm.x=""), "-", _xlpm.x)
)</f>
        <v>-</v>
      </c>
      <c r="Q138" s="54" t="str">
        <f>_xlfn.LET(
 _xlpm.x,
 _xlfn.MAXIFS(
  raw_stack!G$2:G$99411,
  raw_stack!D$2:D$99411, G138,
  raw_stack!F$2:F$99411, "Iya",
  raw_stack!G$2:G$99411, "&gt;="&amp;DATE(2025,8,1),
  raw_stack!G$2:G$99411, "&lt;="&amp;EOMONTH(DATE(2025,8,1),0)
 ),
 IF(_xlpm.x=0, "-", _xlpm.x)
)</f>
        <v>-</v>
      </c>
      <c r="R138" s="65" t="str">
        <f>_xlfn.LET(
 _xlpm.x,
 _xlfn.MAXIFS(
  raw_stack!H$2:H$100000,
  raw_stack!D$2:D$100000, G138,
  raw_stack!F$2:F$100000, "Iya",
  raw_stack!G$2:G$100000, "&gt;="&amp;DATE(2025,8,1),
  raw_stack!G$2:G$100000, "&lt;="&amp;EOMONTH(DATE(2025,8,1),0)
 ),
 IF(OR(_xlpm.x=0, _xlpm.x=""), "-", _xlpm.x)
)</f>
        <v>-</v>
      </c>
      <c r="S138" s="54" t="str">
        <f>_xlfn.LET(
 _xlpm.x,
 _xlfn.MAXIFS(
  raw_stack!G$2:G$99411,
  raw_stack!D$2:D$99411, G138,
  raw_stack!F$2:F$99411, "Iya",
  raw_stack!G$2:G$99411, "&gt;="&amp;DATE(2025,9,1),
  raw_stack!G$2:G$99411, "&lt;="&amp;EOMONTH(DATE(2025,9,1),0)
 ),
 IF(_xlpm.x=0, "-", _xlpm.x)
)</f>
        <v>-</v>
      </c>
      <c r="T138" s="65" t="str">
        <f>_xlfn.LET(
 _xlpm.x,
 _xlfn.MAXIFS(
  raw_stack!H$2:H$100000,
  raw_stack!D$2:D$100000, G138,
  raw_stack!F$2:F$100000, "Iya",
  raw_stack!G$2:G$100000, "&gt;="&amp;DATE(2025,9,1),
  raw_stack!G$2:G$100000, "&lt;="&amp;EOMONTH(DATE(2025,9,1),0)
 ),
 IF(OR(_xlpm.x=0, _xlpm.x=""), "-", _xlpm.x)
)</f>
        <v>-</v>
      </c>
      <c r="U138" s="54" t="str">
        <f>_xlfn.LET(
 _xlpm.x,
 _xlfn.MAXIFS(
  raw_stack!G$2:G$99411,
  raw_stack!D$2:D$99411, G138,
  raw_stack!F$2:F$99411, "Iya",
  raw_stack!G$2:G$99411, "&gt;="&amp;DATE(2025,10,1),
  raw_stack!G$2:G$99411, "&lt;="&amp;EOMONTH(DATE(2025,10,1),0)
 ),
 IF(_xlpm.x=0, "-", _xlpm.x)
)</f>
        <v>-</v>
      </c>
      <c r="V138" s="65" t="str">
        <f>_xlfn.LET(
 _xlpm.x,
 _xlfn.MAXIFS(
  raw_stack!H$2:H$100000,
  raw_stack!D$2:D$100000, G138,
  raw_stack!F$2:F$100000, "Iya",
  raw_stack!G$2:G$100000, "&gt;="&amp;DATE(2025,10,1),
  raw_stack!G$2:G$100000, "&lt;="&amp;EOMONTH(DATE(2025,10,1),0)
 ),
 IF(OR(_xlpm.x=0, _xlpm.x=""), "-", _xlpm.x)
)</f>
        <v>-</v>
      </c>
      <c r="W138" s="55">
        <f>_xlfn.LET(
 _xlpm.x,
 _xlfn.MAXIFS(
  raw_stack!G$2:G$99411,
  raw_stack!D$2:D$99411, G138,
  raw_stack!F$2:F$99411, "Iya",
  raw_stack!G$2:G$99411, "&gt;="&amp;DATE(2025,11,1),
  raw_stack!G$2:G$99411, "&lt;="&amp;EOMONTH(DATE(2025,11,1),0)
 ),
 IF(_xlpm.x=0, "-", _xlpm.x)
)</f>
        <v>45986</v>
      </c>
      <c r="X138" s="56">
        <f>_xlfn.LET(
 _xlpm.x,
 _xlfn.MAXIFS(
  raw_stack!H$2:H$100000,
  raw_stack!D$2:D$100000, G138,
  raw_stack!F$2:F$100000, "Iya",
  raw_stack!G$2:G$100000, "&gt;="&amp;DATE(2025,11,1),
  raw_stack!G$2:G$100000, "&lt;="&amp;EOMONTH(DATE(2025,11,1),0)
 ),
 IF(OR(_xlpm.x=0, _xlpm.x=""), "-", _xlpm.x)
)</f>
        <v>31917</v>
      </c>
      <c r="Y138" s="55" t="str">
        <f>_xlfn.LET(
 _xlpm.x,
 _xlfn.MAXIFS(
  raw_stack!G$2:G$99411,
  raw_stack!D$2:D$99411, G138,
  raw_stack!F$2:F$99411, "Iya",
  raw_stack!G$2:G$99411, "&gt;="&amp;DATE(2025,12,1),
  raw_stack!G$2:G$99411, "&lt;="&amp;EOMONTH(DATE(2025,12,1),0)
 ),
 IF(_xlpm.x=0, "-", _xlpm.x)
)</f>
        <v>-</v>
      </c>
      <c r="Z138" s="56" t="str">
        <f>_xlfn.LET(
 _xlpm.x,
 _xlfn.MAXIFS(
  raw_stack!H$2:H$100000,
  raw_stack!D$2:D$100000, G138,
  raw_stack!F$2:F$100000, "Iya",
  raw_stack!G$2:G$100000, "&gt;="&amp;DATE(2025,12,1),
  raw_stack!G$2:G$100000, "&lt;="&amp;EOMONTH(DATE(2025,12,1),0)
 ),
 IF(OR(_xlpm.x=0, _xlpm.x=""), "-", _xlpm.x)
)</f>
        <v>-</v>
      </c>
      <c r="AA138" s="55" t="str">
        <f>_xlfn.LET(
 _xlpm.x,
 _xlfn.MAXIFS(
  raw_stack!G$2:G$99411,
  raw_stack!D$2:D$99411, G138,
  raw_stack!F$2:F$99411, "Iya",
  raw_stack!G$2:G$99411, "&gt;="&amp;DATE(2026,1,1),
  raw_stack!G$2:G$99411, "&lt;="&amp;EOMONTH(DATE(2026,1,1),0)
 ),
 IF(_xlpm.x=0, "-", _xlpm.x)
)</f>
        <v>-</v>
      </c>
      <c r="AB138" s="56" t="str">
        <f>_xlfn.LET(
 _xlpm.x,
 _xlfn.MAXIFS(
  raw_stack!H$2:H$100000,
  raw_stack!D$2:D$100000, G138,
  raw_stack!F$2:F$100000, "Iya",
  raw_stack!G$2:G$100000, "&gt;="&amp;DATE(2026,1,1),
  raw_stack!G$2:G$100000, "&lt;="&amp;EOMONTH(DATE(2026,1,1),0)
 ),
 IF(OR(_xlpm.x=0, _xlpm.x=""), "-", _xlpm.x)
)</f>
        <v>-</v>
      </c>
      <c r="AC138" s="55" t="str">
        <f>_xlfn.LET(
 _xlpm.x,
 _xlfn.MAXIFS(
  raw_stack!G$2:G$99411,
  raw_stack!D$2:D$99411, G138,
  raw_stack!F$2:F$99411, "Iya",
  raw_stack!G$2:G$99411, "&gt;="&amp;DATE(2026,2,1),
  raw_stack!G$2:G$99411, "&lt;="&amp;EOMONTH(DATE(2026,2,1),0)
 ),
 IF(_xlpm.x=0, "-", _xlpm.x)
)</f>
        <v>-</v>
      </c>
      <c r="AD138" s="56" t="str">
        <f>_xlfn.LET(
 _xlpm.x,
 _xlfn.MAXIFS(
  raw_stack!H$2:H$100000,
  raw_stack!D$2:D$100000, G138,
  raw_stack!F$2:F$100000, "Iya",
  raw_stack!G$2:G$100000, "&gt;="&amp;DATE(2026,2,1),
  raw_stack!G$2:G$100000, "&lt;="&amp;EOMONTH(DATE(2026,2,1),0)
 ),
 IF(OR(_xlpm.x=0, _xlpm.x=""), "-", _xlpm.x)
)</f>
        <v>-</v>
      </c>
      <c r="AE138" s="55" t="str">
        <f>_xlfn.LET(
 _xlpm.x,
 _xlfn.MAXIFS(
  raw_stack!G$2:G$100000,
  raw_stack!D$2:D$100000, G138,
  raw_stack!F$2:F$100000, "Iya",
  raw_stack!G$2:G$100000, "&gt;="&amp;DATE(2026,3,1),
  raw_stack!G$2:G$100000, "&lt;="&amp;EOMONTH(DATE(2026,3,1),0)
 ),
 IF(_xlpm.x=0, "-", _xlpm.x)
)</f>
        <v>-</v>
      </c>
      <c r="AF138" s="56" t="str">
        <f>_xlfn.LET(
 _xlpm.x,
 _xlfn.MAXIFS(
  raw_stack!H$2:H$100000,
  raw_stack!D$2:D$100000, G138,
  raw_stack!F$2:F$100000, "Iya",
  raw_stack!G$2:G$100000, "&gt;="&amp;DATE(2026,3,1),
  raw_stack!G$2:G$100000, "&lt;="&amp;EOMONTH(DATE(2026,3,1),0)
 ),
 IF(OR(_xlpm.x=0, _xlpm.x=""), "-", _xlpm.x)
)</f>
        <v>-</v>
      </c>
      <c r="AG138" s="55" t="str">
        <f>_xlfn.LET(
 _xlpm.x,
 _xlfn.MAXIFS(
  raw_stack!G$2:G$100000,
  raw_stack!D$2:D$100000, G138,
  raw_stack!F$2:F$100000, "Iya",
  raw_stack!G$2:G$100000, "&gt;="&amp;DATE(2026,4,1),
  raw_stack!G$2:G$100000, "&lt;="&amp;EOMONTH(DATE(2026,4,1),0)
 ),
 IF(_xlpm.x=0, "-", _xlpm.x)
)</f>
        <v>-</v>
      </c>
      <c r="AH138" s="56" t="str">
        <f>_xlfn.LET(
 _xlpm.x,
 _xlfn.MAXIFS(
  raw_stack!H$2:H$100000,
  raw_stack!D$2:D$100000, G138,
  raw_stack!F$2:F$100000, "Iya",
  raw_stack!G$2:G$100000, "&gt;="&amp;DATE(2026,4,1),
  raw_stack!G$2:G$100000, "&lt;="&amp;EOMONTH(DATE(2026,4,1),0)
 ),
 IF(OR(_xlpm.x=0, _xlpm.x=""), "-", _xlpm.x)
)</f>
        <v>-</v>
      </c>
    </row>
    <row r="139" spans="1:34">
      <c r="A139" s="48">
        <v>138</v>
      </c>
      <c r="B139" s="49" t="str">
        <f t="shared" si="2"/>
        <v>19573</v>
      </c>
      <c r="C139" s="50" t="s">
        <v>46</v>
      </c>
      <c r="D139" s="51" t="s">
        <v>581</v>
      </c>
      <c r="E139" s="51" t="s">
        <v>47</v>
      </c>
      <c r="F139" s="49" t="s">
        <v>117</v>
      </c>
      <c r="G139" s="49" t="s">
        <v>255</v>
      </c>
      <c r="H139" s="49" t="s">
        <v>48</v>
      </c>
      <c r="I139" s="49" t="s">
        <v>49</v>
      </c>
      <c r="J139" s="52">
        <v>4300000</v>
      </c>
      <c r="K139" s="53">
        <v>45374</v>
      </c>
      <c r="L139" s="53">
        <v>46468</v>
      </c>
      <c r="M139" s="53">
        <v>46075</v>
      </c>
      <c r="N139" s="49" t="s">
        <v>50</v>
      </c>
      <c r="O139" s="54" t="str">
        <f>_xlfn.LET(
 _xlpm.x,
 _xlfn.MAXIFS(
  raw_stack!G$2:G$100000,
  raw_stack!D$2:D$100000, G139,
  raw_stack!F$2:F$100000, "Iya",
  raw_stack!G$2:G$100000, "&gt;="&amp;DATE(2025,7,1),
  raw_stack!G$2:G$100000, "&lt;="&amp;EOMONTH(DATE(2025,7,1),0)
 ),
 IF(_xlpm.x=0, "-", _xlpm.x)
)</f>
        <v>-</v>
      </c>
      <c r="P139" s="65" t="str">
        <f>_xlfn.LET(
 _xlpm.x,
 _xlfn.MAXIFS(
  raw_stack!H$2:H$100000,
  raw_stack!D$2:D$100000, G139,
  raw_stack!F$2:F$100000, "Iya",
  raw_stack!G$2:G$100000, "&gt;="&amp;DATE(2025,7,1),
  raw_stack!G$2:G$100000, "&lt;="&amp;EOMONTH(DATE(2025,7,1),0)
 ),
 IF(OR(_xlpm.x=0, _xlpm.x=""), "-", _xlpm.x)
)</f>
        <v>-</v>
      </c>
      <c r="Q139" s="54" t="str">
        <f>_xlfn.LET(
 _xlpm.x,
 _xlfn.MAXIFS(
  raw_stack!G$2:G$99411,
  raw_stack!D$2:D$99411, G139,
  raw_stack!F$2:F$99411, "Iya",
  raw_stack!G$2:G$99411, "&gt;="&amp;DATE(2025,8,1),
  raw_stack!G$2:G$99411, "&lt;="&amp;EOMONTH(DATE(2025,8,1),0)
 ),
 IF(_xlpm.x=0, "-", _xlpm.x)
)</f>
        <v>-</v>
      </c>
      <c r="R139" s="65" t="str">
        <f>_xlfn.LET(
 _xlpm.x,
 _xlfn.MAXIFS(
  raw_stack!H$2:H$100000,
  raw_stack!D$2:D$100000, G139,
  raw_stack!F$2:F$100000, "Iya",
  raw_stack!G$2:G$100000, "&gt;="&amp;DATE(2025,8,1),
  raw_stack!G$2:G$100000, "&lt;="&amp;EOMONTH(DATE(2025,8,1),0)
 ),
 IF(OR(_xlpm.x=0, _xlpm.x=""), "-", _xlpm.x)
)</f>
        <v>-</v>
      </c>
      <c r="S139" s="54" t="str">
        <f>_xlfn.LET(
 _xlpm.x,
 _xlfn.MAXIFS(
  raw_stack!G$2:G$99411,
  raw_stack!D$2:D$99411, G139,
  raw_stack!F$2:F$99411, "Iya",
  raw_stack!G$2:G$99411, "&gt;="&amp;DATE(2025,9,1),
  raw_stack!G$2:G$99411, "&lt;="&amp;EOMONTH(DATE(2025,9,1),0)
 ),
 IF(_xlpm.x=0, "-", _xlpm.x)
)</f>
        <v>-</v>
      </c>
      <c r="T139" s="65" t="str">
        <f>_xlfn.LET(
 _xlpm.x,
 _xlfn.MAXIFS(
  raw_stack!H$2:H$100000,
  raw_stack!D$2:D$100000, G139,
  raw_stack!F$2:F$100000, "Iya",
  raw_stack!G$2:G$100000, "&gt;="&amp;DATE(2025,9,1),
  raw_stack!G$2:G$100000, "&lt;="&amp;EOMONTH(DATE(2025,9,1),0)
 ),
 IF(OR(_xlpm.x=0, _xlpm.x=""), "-", _xlpm.x)
)</f>
        <v>-</v>
      </c>
      <c r="U139" s="54" t="str">
        <f>_xlfn.LET(
 _xlpm.x,
 _xlfn.MAXIFS(
  raw_stack!G$2:G$99411,
  raw_stack!D$2:D$99411, G139,
  raw_stack!F$2:F$99411, "Iya",
  raw_stack!G$2:G$99411, "&gt;="&amp;DATE(2025,10,1),
  raw_stack!G$2:G$99411, "&lt;="&amp;EOMONTH(DATE(2025,10,1),0)
 ),
 IF(_xlpm.x=0, "-", _xlpm.x)
)</f>
        <v>-</v>
      </c>
      <c r="V139" s="65" t="str">
        <f>_xlfn.LET(
 _xlpm.x,
 _xlfn.MAXIFS(
  raw_stack!H$2:H$100000,
  raw_stack!D$2:D$100000, G139,
  raw_stack!F$2:F$100000, "Iya",
  raw_stack!G$2:G$100000, "&gt;="&amp;DATE(2025,10,1),
  raw_stack!G$2:G$100000, "&lt;="&amp;EOMONTH(DATE(2025,10,1),0)
 ),
 IF(OR(_xlpm.x=0, _xlpm.x=""), "-", _xlpm.x)
)</f>
        <v>-</v>
      </c>
      <c r="W139" s="55" t="str">
        <f>_xlfn.LET(
 _xlpm.x,
 _xlfn.MAXIFS(
  raw_stack!G$2:G$99411,
  raw_stack!D$2:D$99411, G139,
  raw_stack!F$2:F$99411, "Iya",
  raw_stack!G$2:G$99411, "&gt;="&amp;DATE(2025,11,1),
  raw_stack!G$2:G$99411, "&lt;="&amp;EOMONTH(DATE(2025,11,1),0)
 ),
 IF(_xlpm.x=0, "-", _xlpm.x)
)</f>
        <v>-</v>
      </c>
      <c r="X139" s="56" t="str">
        <f>_xlfn.LET(
 _xlpm.x,
 _xlfn.MAXIFS(
  raw_stack!H$2:H$100000,
  raw_stack!D$2:D$100000, G139,
  raw_stack!F$2:F$100000, "Iya",
  raw_stack!G$2:G$100000, "&gt;="&amp;DATE(2025,11,1),
  raw_stack!G$2:G$100000, "&lt;="&amp;EOMONTH(DATE(2025,11,1),0)
 ),
 IF(OR(_xlpm.x=0, _xlpm.x=""), "-", _xlpm.x)
)</f>
        <v>-</v>
      </c>
      <c r="Y139" s="55" t="str">
        <f>_xlfn.LET(
 _xlpm.x,
 _xlfn.MAXIFS(
  raw_stack!G$2:G$99411,
  raw_stack!D$2:D$99411, G139,
  raw_stack!F$2:F$99411, "Iya",
  raw_stack!G$2:G$99411, "&gt;="&amp;DATE(2025,12,1),
  raw_stack!G$2:G$99411, "&lt;="&amp;EOMONTH(DATE(2025,12,1),0)
 ),
 IF(_xlpm.x=0, "-", _xlpm.x)
)</f>
        <v>-</v>
      </c>
      <c r="Z139" s="56" t="str">
        <f>_xlfn.LET(
 _xlpm.x,
 _xlfn.MAXIFS(
  raw_stack!H$2:H$100000,
  raw_stack!D$2:D$100000, G139,
  raw_stack!F$2:F$100000, "Iya",
  raw_stack!G$2:G$100000, "&gt;="&amp;DATE(2025,12,1),
  raw_stack!G$2:G$100000, "&lt;="&amp;EOMONTH(DATE(2025,12,1),0)
 ),
 IF(OR(_xlpm.x=0, _xlpm.x=""), "-", _xlpm.x)
)</f>
        <v>-</v>
      </c>
      <c r="AA139" s="55">
        <f>_xlfn.LET(
 _xlpm.x,
 _xlfn.MAXIFS(
  raw_stack!G$2:G$99411,
  raw_stack!D$2:D$99411, G139,
  raw_stack!F$2:F$99411, "Iya",
  raw_stack!G$2:G$99411, "&gt;="&amp;DATE(2026,1,1),
  raw_stack!G$2:G$99411, "&lt;="&amp;EOMONTH(DATE(2026,1,1),0)
 ),
 IF(_xlpm.x=0, "-", _xlpm.x)
)</f>
        <v>46041</v>
      </c>
      <c r="AB139" s="56">
        <f>_xlfn.LET(
 _xlpm.x,
 _xlfn.MAXIFS(
  raw_stack!H$2:H$100000,
  raw_stack!D$2:D$100000, G139,
  raw_stack!F$2:F$100000, "Iya",
  raw_stack!G$2:G$100000, "&gt;="&amp;DATE(2026,1,1),
  raw_stack!G$2:G$100000, "&lt;="&amp;EOMONTH(DATE(2026,1,1),0)
 ),
 IF(OR(_xlpm.x=0, _xlpm.x=""), "-", _xlpm.x)
)</f>
        <v>33340</v>
      </c>
      <c r="AC139" s="55" t="str">
        <f>_xlfn.LET(
 _xlpm.x,
 _xlfn.MAXIFS(
  raw_stack!G$2:G$99411,
  raw_stack!D$2:D$99411, G139,
  raw_stack!F$2:F$99411, "Iya",
  raw_stack!G$2:G$99411, "&gt;="&amp;DATE(2026,2,1),
  raw_stack!G$2:G$99411, "&lt;="&amp;EOMONTH(DATE(2026,2,1),0)
 ),
 IF(_xlpm.x=0, "-", _xlpm.x)
)</f>
        <v>-</v>
      </c>
      <c r="AD139" s="56" t="str">
        <f>_xlfn.LET(
 _xlpm.x,
 _xlfn.MAXIFS(
  raw_stack!H$2:H$100000,
  raw_stack!D$2:D$100000, G139,
  raw_stack!F$2:F$100000, "Iya",
  raw_stack!G$2:G$100000, "&gt;="&amp;DATE(2026,2,1),
  raw_stack!G$2:G$100000, "&lt;="&amp;EOMONTH(DATE(2026,2,1),0)
 ),
 IF(OR(_xlpm.x=0, _xlpm.x=""), "-", _xlpm.x)
)</f>
        <v>-</v>
      </c>
      <c r="AE139" s="55" t="str">
        <f>_xlfn.LET(
 _xlpm.x,
 _xlfn.MAXIFS(
  raw_stack!G$2:G$100000,
  raw_stack!D$2:D$100000, G139,
  raw_stack!F$2:F$100000, "Iya",
  raw_stack!G$2:G$100000, "&gt;="&amp;DATE(2026,3,1),
  raw_stack!G$2:G$100000, "&lt;="&amp;EOMONTH(DATE(2026,3,1),0)
 ),
 IF(_xlpm.x=0, "-", _xlpm.x)
)</f>
        <v>-</v>
      </c>
      <c r="AF139" s="56" t="str">
        <f>_xlfn.LET(
 _xlpm.x,
 _xlfn.MAXIFS(
  raw_stack!H$2:H$100000,
  raw_stack!D$2:D$100000, G139,
  raw_stack!F$2:F$100000, "Iya",
  raw_stack!G$2:G$100000, "&gt;="&amp;DATE(2026,3,1),
  raw_stack!G$2:G$100000, "&lt;="&amp;EOMONTH(DATE(2026,3,1),0)
 ),
 IF(OR(_xlpm.x=0, _xlpm.x=""), "-", _xlpm.x)
)</f>
        <v>-</v>
      </c>
      <c r="AG139" s="55" t="str">
        <f>_xlfn.LET(
 _xlpm.x,
 _xlfn.MAXIFS(
  raw_stack!G$2:G$100000,
  raw_stack!D$2:D$100000, G139,
  raw_stack!F$2:F$100000, "Iya",
  raw_stack!G$2:G$100000, "&gt;="&amp;DATE(2026,4,1),
  raw_stack!G$2:G$100000, "&lt;="&amp;EOMONTH(DATE(2026,4,1),0)
 ),
 IF(_xlpm.x=0, "-", _xlpm.x)
)</f>
        <v>-</v>
      </c>
      <c r="AH139" s="56" t="str">
        <f>_xlfn.LET(
 _xlpm.x,
 _xlfn.MAXIFS(
  raw_stack!H$2:H$100000,
  raw_stack!D$2:D$100000, G139,
  raw_stack!F$2:F$100000, "Iya",
  raw_stack!G$2:G$100000, "&gt;="&amp;DATE(2026,4,1),
  raw_stack!G$2:G$100000, "&lt;="&amp;EOMONTH(DATE(2026,4,1),0)
 ),
 IF(OR(_xlpm.x=0, _xlpm.x=""), "-", _xlpm.x)
)</f>
        <v>-</v>
      </c>
    </row>
    <row r="140" spans="1:34">
      <c r="A140" s="48">
        <v>139</v>
      </c>
      <c r="B140" s="49" t="str">
        <f t="shared" si="2"/>
        <v>81258</v>
      </c>
      <c r="C140" s="50" t="s">
        <v>46</v>
      </c>
      <c r="D140" s="51" t="s">
        <v>582</v>
      </c>
      <c r="E140" s="51" t="s">
        <v>53</v>
      </c>
      <c r="F140" s="49" t="s">
        <v>117</v>
      </c>
      <c r="G140" s="49" t="s">
        <v>256</v>
      </c>
      <c r="H140" s="49" t="s">
        <v>48</v>
      </c>
      <c r="I140" s="49" t="s">
        <v>52</v>
      </c>
      <c r="J140" s="52">
        <v>5400000</v>
      </c>
      <c r="K140" s="53">
        <v>45383</v>
      </c>
      <c r="L140" s="53">
        <v>46477</v>
      </c>
      <c r="M140" s="53">
        <v>46081</v>
      </c>
      <c r="N140" s="49" t="s">
        <v>50</v>
      </c>
      <c r="O140" s="54">
        <f>_xlfn.LET(
 _xlpm.x,
 _xlfn.MAXIFS(
  raw_stack!G$2:G$100000,
  raw_stack!D$2:D$100000, G140,
  raw_stack!F$2:F$100000, "Iya",
  raw_stack!G$2:G$100000, "&gt;="&amp;DATE(2025,7,1),
  raw_stack!G$2:G$100000, "&lt;="&amp;EOMONTH(DATE(2025,7,1),0)
 ),
 IF(_xlpm.x=0, "-", _xlpm.x)
)</f>
        <v>45841</v>
      </c>
      <c r="P140" s="65">
        <f>_xlfn.LET(
 _xlpm.x,
 _xlfn.MAXIFS(
  raw_stack!H$2:H$100000,
  raw_stack!D$2:D$100000, G140,
  raw_stack!F$2:F$100000, "Iya",
  raw_stack!G$2:G$100000, "&gt;="&amp;DATE(2025,7,1),
  raw_stack!G$2:G$100000, "&lt;="&amp;EOMONTH(DATE(2025,7,1),0)
 ),
 IF(OR(_xlpm.x=0, _xlpm.x=""), "-", _xlpm.x)
)</f>
        <v>43467</v>
      </c>
      <c r="Q140" s="54" t="str">
        <f>_xlfn.LET(
 _xlpm.x,
 _xlfn.MAXIFS(
  raw_stack!G$2:G$99411,
  raw_stack!D$2:D$99411, G140,
  raw_stack!F$2:F$99411, "Iya",
  raw_stack!G$2:G$99411, "&gt;="&amp;DATE(2025,8,1),
  raw_stack!G$2:G$99411, "&lt;="&amp;EOMONTH(DATE(2025,8,1),0)
 ),
 IF(_xlpm.x=0, "-", _xlpm.x)
)</f>
        <v>-</v>
      </c>
      <c r="R140" s="65" t="str">
        <f>_xlfn.LET(
 _xlpm.x,
 _xlfn.MAXIFS(
  raw_stack!H$2:H$100000,
  raw_stack!D$2:D$100000, G140,
  raw_stack!F$2:F$100000, "Iya",
  raw_stack!G$2:G$100000, "&gt;="&amp;DATE(2025,8,1),
  raw_stack!G$2:G$100000, "&lt;="&amp;EOMONTH(DATE(2025,8,1),0)
 ),
 IF(OR(_xlpm.x=0, _xlpm.x=""), "-", _xlpm.x)
)</f>
        <v>-</v>
      </c>
      <c r="S140" s="54" t="str">
        <f>_xlfn.LET(
 _xlpm.x,
 _xlfn.MAXIFS(
  raw_stack!G$2:G$99411,
  raw_stack!D$2:D$99411, G140,
  raw_stack!F$2:F$99411, "Iya",
  raw_stack!G$2:G$99411, "&gt;="&amp;DATE(2025,9,1),
  raw_stack!G$2:G$99411, "&lt;="&amp;EOMONTH(DATE(2025,9,1),0)
 ),
 IF(_xlpm.x=0, "-", _xlpm.x)
)</f>
        <v>-</v>
      </c>
      <c r="T140" s="65" t="str">
        <f>_xlfn.LET(
 _xlpm.x,
 _xlfn.MAXIFS(
  raw_stack!H$2:H$100000,
  raw_stack!D$2:D$100000, G140,
  raw_stack!F$2:F$100000, "Iya",
  raw_stack!G$2:G$100000, "&gt;="&amp;DATE(2025,9,1),
  raw_stack!G$2:G$100000, "&lt;="&amp;EOMONTH(DATE(2025,9,1),0)
 ),
 IF(OR(_xlpm.x=0, _xlpm.x=""), "-", _xlpm.x)
)</f>
        <v>-</v>
      </c>
      <c r="U140" s="54">
        <f>_xlfn.LET(
 _xlpm.x,
 _xlfn.MAXIFS(
  raw_stack!G$2:G$99411,
  raw_stack!D$2:D$99411, G140,
  raw_stack!F$2:F$99411, "Iya",
  raw_stack!G$2:G$99411, "&gt;="&amp;DATE(2025,10,1),
  raw_stack!G$2:G$99411, "&lt;="&amp;EOMONTH(DATE(2025,10,1),0)
 ),
 IF(_xlpm.x=0, "-", _xlpm.x)
)</f>
        <v>45958</v>
      </c>
      <c r="V140" s="65">
        <f>_xlfn.LET(
 _xlpm.x,
 _xlfn.MAXIFS(
  raw_stack!H$2:H$100000,
  raw_stack!D$2:D$100000, G140,
  raw_stack!F$2:F$100000, "Iya",
  raw_stack!G$2:G$100000, "&gt;="&amp;DATE(2025,10,1),
  raw_stack!G$2:G$100000, "&lt;="&amp;EOMONTH(DATE(2025,10,1),0)
 ),
 IF(OR(_xlpm.x=0, _xlpm.x=""), "-", _xlpm.x)
)</f>
        <v>55976</v>
      </c>
      <c r="W140" s="55" t="str">
        <f>_xlfn.LET(
 _xlpm.x,
 _xlfn.MAXIFS(
  raw_stack!G$2:G$99411,
  raw_stack!D$2:D$99411, G140,
  raw_stack!F$2:F$99411, "Iya",
  raw_stack!G$2:G$99411, "&gt;="&amp;DATE(2025,11,1),
  raw_stack!G$2:G$99411, "&lt;="&amp;EOMONTH(DATE(2025,11,1),0)
 ),
 IF(_xlpm.x=0, "-", _xlpm.x)
)</f>
        <v>-</v>
      </c>
      <c r="X140" s="56" t="str">
        <f>_xlfn.LET(
 _xlpm.x,
 _xlfn.MAXIFS(
  raw_stack!H$2:H$100000,
  raw_stack!D$2:D$100000, G140,
  raw_stack!F$2:F$100000, "Iya",
  raw_stack!G$2:G$100000, "&gt;="&amp;DATE(2025,11,1),
  raw_stack!G$2:G$100000, "&lt;="&amp;EOMONTH(DATE(2025,11,1),0)
 ),
 IF(OR(_xlpm.x=0, _xlpm.x=""), "-", _xlpm.x)
)</f>
        <v>-</v>
      </c>
      <c r="Y140" s="55" t="str">
        <f>_xlfn.LET(
 _xlpm.x,
 _xlfn.MAXIFS(
  raw_stack!G$2:G$99411,
  raw_stack!D$2:D$99411, G140,
  raw_stack!F$2:F$99411, "Iya",
  raw_stack!G$2:G$99411, "&gt;="&amp;DATE(2025,12,1),
  raw_stack!G$2:G$99411, "&lt;="&amp;EOMONTH(DATE(2025,12,1),0)
 ),
 IF(_xlpm.x=0, "-", _xlpm.x)
)</f>
        <v>-</v>
      </c>
      <c r="Z140" s="56" t="str">
        <f>_xlfn.LET(
 _xlpm.x,
 _xlfn.MAXIFS(
  raw_stack!H$2:H$100000,
  raw_stack!D$2:D$100000, G140,
  raw_stack!F$2:F$100000, "Iya",
  raw_stack!G$2:G$100000, "&gt;="&amp;DATE(2025,12,1),
  raw_stack!G$2:G$100000, "&lt;="&amp;EOMONTH(DATE(2025,12,1),0)
 ),
 IF(OR(_xlpm.x=0, _xlpm.x=""), "-", _xlpm.x)
)</f>
        <v>-</v>
      </c>
      <c r="AA140" s="55" t="str">
        <f>_xlfn.LET(
 _xlpm.x,
 _xlfn.MAXIFS(
  raw_stack!G$2:G$99411,
  raw_stack!D$2:D$99411, G140,
  raw_stack!F$2:F$99411, "Iya",
  raw_stack!G$2:G$99411, "&gt;="&amp;DATE(2026,1,1),
  raw_stack!G$2:G$99411, "&lt;="&amp;EOMONTH(DATE(2026,1,1),0)
 ),
 IF(_xlpm.x=0, "-", _xlpm.x)
)</f>
        <v>-</v>
      </c>
      <c r="AB140" s="56" t="str">
        <f>_xlfn.LET(
 _xlpm.x,
 _xlfn.MAXIFS(
  raw_stack!H$2:H$100000,
  raw_stack!D$2:D$100000, G140,
  raw_stack!F$2:F$100000, "Iya",
  raw_stack!G$2:G$100000, "&gt;="&amp;DATE(2026,1,1),
  raw_stack!G$2:G$100000, "&lt;="&amp;EOMONTH(DATE(2026,1,1),0)
 ),
 IF(OR(_xlpm.x=0, _xlpm.x=""), "-", _xlpm.x)
)</f>
        <v>-</v>
      </c>
      <c r="AC140" s="55" t="str">
        <f>_xlfn.LET(
 _xlpm.x,
 _xlfn.MAXIFS(
  raw_stack!G$2:G$99411,
  raw_stack!D$2:D$99411, G140,
  raw_stack!F$2:F$99411, "Iya",
  raw_stack!G$2:G$99411, "&gt;="&amp;DATE(2026,2,1),
  raw_stack!G$2:G$99411, "&lt;="&amp;EOMONTH(DATE(2026,2,1),0)
 ),
 IF(_xlpm.x=0, "-", _xlpm.x)
)</f>
        <v>-</v>
      </c>
      <c r="AD140" s="56" t="str">
        <f>_xlfn.LET(
 _xlpm.x,
 _xlfn.MAXIFS(
  raw_stack!H$2:H$100000,
  raw_stack!D$2:D$100000, G140,
  raw_stack!F$2:F$100000, "Iya",
  raw_stack!G$2:G$100000, "&gt;="&amp;DATE(2026,2,1),
  raw_stack!G$2:G$100000, "&lt;="&amp;EOMONTH(DATE(2026,2,1),0)
 ),
 IF(OR(_xlpm.x=0, _xlpm.x=""), "-", _xlpm.x)
)</f>
        <v>-</v>
      </c>
      <c r="AE140" s="55" t="str">
        <f>_xlfn.LET(
 _xlpm.x,
 _xlfn.MAXIFS(
  raw_stack!G$2:G$100000,
  raw_stack!D$2:D$100000, G140,
  raw_stack!F$2:F$100000, "Iya",
  raw_stack!G$2:G$100000, "&gt;="&amp;DATE(2026,3,1),
  raw_stack!G$2:G$100000, "&lt;="&amp;EOMONTH(DATE(2026,3,1),0)
 ),
 IF(_xlpm.x=0, "-", _xlpm.x)
)</f>
        <v>-</v>
      </c>
      <c r="AF140" s="56" t="str">
        <f>_xlfn.LET(
 _xlpm.x,
 _xlfn.MAXIFS(
  raw_stack!H$2:H$100000,
  raw_stack!D$2:D$100000, G140,
  raw_stack!F$2:F$100000, "Iya",
  raw_stack!G$2:G$100000, "&gt;="&amp;DATE(2026,3,1),
  raw_stack!G$2:G$100000, "&lt;="&amp;EOMONTH(DATE(2026,3,1),0)
 ),
 IF(OR(_xlpm.x=0, _xlpm.x=""), "-", _xlpm.x)
)</f>
        <v>-</v>
      </c>
      <c r="AG140" s="55" t="str">
        <f>_xlfn.LET(
 _xlpm.x,
 _xlfn.MAXIFS(
  raw_stack!G$2:G$100000,
  raw_stack!D$2:D$100000, G140,
  raw_stack!F$2:F$100000, "Iya",
  raw_stack!G$2:G$100000, "&gt;="&amp;DATE(2026,4,1),
  raw_stack!G$2:G$100000, "&lt;="&amp;EOMONTH(DATE(2026,4,1),0)
 ),
 IF(_xlpm.x=0, "-", _xlpm.x)
)</f>
        <v>-</v>
      </c>
      <c r="AH140" s="56" t="str">
        <f>_xlfn.LET(
 _xlpm.x,
 _xlfn.MAXIFS(
  raw_stack!H$2:H$100000,
  raw_stack!D$2:D$100000, G140,
  raw_stack!F$2:F$100000, "Iya",
  raw_stack!G$2:G$100000, "&gt;="&amp;DATE(2026,4,1),
  raw_stack!G$2:G$100000, "&lt;="&amp;EOMONTH(DATE(2026,4,1),0)
 ),
 IF(OR(_xlpm.x=0, _xlpm.x=""), "-", _xlpm.x)
)</f>
        <v>-</v>
      </c>
    </row>
    <row r="141" spans="1:34">
      <c r="A141" s="48">
        <v>140</v>
      </c>
      <c r="B141" s="49" t="str">
        <f t="shared" si="2"/>
        <v>82706</v>
      </c>
      <c r="C141" s="50" t="s">
        <v>46</v>
      </c>
      <c r="D141" s="51" t="s">
        <v>583</v>
      </c>
      <c r="E141" s="51" t="s">
        <v>53</v>
      </c>
      <c r="F141" s="49" t="s">
        <v>117</v>
      </c>
      <c r="G141" s="49" t="s">
        <v>257</v>
      </c>
      <c r="H141" s="49" t="s">
        <v>48</v>
      </c>
      <c r="I141" s="49" t="s">
        <v>52</v>
      </c>
      <c r="J141" s="52">
        <v>5400000</v>
      </c>
      <c r="K141" s="53">
        <v>45352</v>
      </c>
      <c r="L141" s="53">
        <v>46478</v>
      </c>
      <c r="M141" s="53">
        <v>46081</v>
      </c>
      <c r="N141" s="49" t="s">
        <v>50</v>
      </c>
      <c r="O141" s="54">
        <f>_xlfn.LET(
 _xlpm.x,
 _xlfn.MAXIFS(
  raw_stack!G$2:G$100000,
  raw_stack!D$2:D$100000, G141,
  raw_stack!F$2:F$100000, "Iya",
  raw_stack!G$2:G$100000, "&gt;="&amp;DATE(2025,7,1),
  raw_stack!G$2:G$100000, "&lt;="&amp;EOMONTH(DATE(2025,7,1),0)
 ),
 IF(_xlpm.x=0, "-", _xlpm.x)
)</f>
        <v>45861</v>
      </c>
      <c r="P141" s="65">
        <f>_xlfn.LET(
 _xlpm.x,
 _xlfn.MAXIFS(
  raw_stack!H$2:H$100000,
  raw_stack!D$2:D$100000, G141,
  raw_stack!F$2:F$100000, "Iya",
  raw_stack!G$2:G$100000, "&gt;="&amp;DATE(2025,7,1),
  raw_stack!G$2:G$100000, "&lt;="&amp;EOMONTH(DATE(2025,7,1),0)
 ),
 IF(OR(_xlpm.x=0, _xlpm.x=""), "-", _xlpm.x)
)</f>
        <v>38733</v>
      </c>
      <c r="Q141" s="54" t="str">
        <f>_xlfn.LET(
 _xlpm.x,
 _xlfn.MAXIFS(
  raw_stack!G$2:G$99411,
  raw_stack!D$2:D$99411, G141,
  raw_stack!F$2:F$99411, "Iya",
  raw_stack!G$2:G$99411, "&gt;="&amp;DATE(2025,8,1),
  raw_stack!G$2:G$99411, "&lt;="&amp;EOMONTH(DATE(2025,8,1),0)
 ),
 IF(_xlpm.x=0, "-", _xlpm.x)
)</f>
        <v>-</v>
      </c>
      <c r="R141" s="65" t="str">
        <f>_xlfn.LET(
 _xlpm.x,
 _xlfn.MAXIFS(
  raw_stack!H$2:H$100000,
  raw_stack!D$2:D$100000, G141,
  raw_stack!F$2:F$100000, "Iya",
  raw_stack!G$2:G$100000, "&gt;="&amp;DATE(2025,8,1),
  raw_stack!G$2:G$100000, "&lt;="&amp;EOMONTH(DATE(2025,8,1),0)
 ),
 IF(OR(_xlpm.x=0, _xlpm.x=""), "-", _xlpm.x)
)</f>
        <v>-</v>
      </c>
      <c r="S141" s="54" t="str">
        <f>_xlfn.LET(
 _xlpm.x,
 _xlfn.MAXIFS(
  raw_stack!G$2:G$99411,
  raw_stack!D$2:D$99411, G141,
  raw_stack!F$2:F$99411, "Iya",
  raw_stack!G$2:G$99411, "&gt;="&amp;DATE(2025,9,1),
  raw_stack!G$2:G$99411, "&lt;="&amp;EOMONTH(DATE(2025,9,1),0)
 ),
 IF(_xlpm.x=0, "-", _xlpm.x)
)</f>
        <v>-</v>
      </c>
      <c r="T141" s="65" t="str">
        <f>_xlfn.LET(
 _xlpm.x,
 _xlfn.MAXIFS(
  raw_stack!H$2:H$100000,
  raw_stack!D$2:D$100000, G141,
  raw_stack!F$2:F$100000, "Iya",
  raw_stack!G$2:G$100000, "&gt;="&amp;DATE(2025,9,1),
  raw_stack!G$2:G$100000, "&lt;="&amp;EOMONTH(DATE(2025,9,1),0)
 ),
 IF(OR(_xlpm.x=0, _xlpm.x=""), "-", _xlpm.x)
)</f>
        <v>-</v>
      </c>
      <c r="U141" s="54" t="str">
        <f>_xlfn.LET(
 _xlpm.x,
 _xlfn.MAXIFS(
  raw_stack!G$2:G$99411,
  raw_stack!D$2:D$99411, G141,
  raw_stack!F$2:F$99411, "Iya",
  raw_stack!G$2:G$99411, "&gt;="&amp;DATE(2025,10,1),
  raw_stack!G$2:G$99411, "&lt;="&amp;EOMONTH(DATE(2025,10,1),0)
 ),
 IF(_xlpm.x=0, "-", _xlpm.x)
)</f>
        <v>-</v>
      </c>
      <c r="V141" s="65" t="str">
        <f>_xlfn.LET(
 _xlpm.x,
 _xlfn.MAXIFS(
  raw_stack!H$2:H$100000,
  raw_stack!D$2:D$100000, G141,
  raw_stack!F$2:F$100000, "Iya",
  raw_stack!G$2:G$100000, "&gt;="&amp;DATE(2025,10,1),
  raw_stack!G$2:G$100000, "&lt;="&amp;EOMONTH(DATE(2025,10,1),0)
 ),
 IF(OR(_xlpm.x=0, _xlpm.x=""), "-", _xlpm.x)
)</f>
        <v>-</v>
      </c>
      <c r="W141" s="55" t="str">
        <f>_xlfn.LET(
 _xlpm.x,
 _xlfn.MAXIFS(
  raw_stack!G$2:G$99411,
  raw_stack!D$2:D$99411, G141,
  raw_stack!F$2:F$99411, "Iya",
  raw_stack!G$2:G$99411, "&gt;="&amp;DATE(2025,11,1),
  raw_stack!G$2:G$99411, "&lt;="&amp;EOMONTH(DATE(2025,11,1),0)
 ),
 IF(_xlpm.x=0, "-", _xlpm.x)
)</f>
        <v>-</v>
      </c>
      <c r="X141" s="56" t="str">
        <f>_xlfn.LET(
 _xlpm.x,
 _xlfn.MAXIFS(
  raw_stack!H$2:H$100000,
  raw_stack!D$2:D$100000, G141,
  raw_stack!F$2:F$100000, "Iya",
  raw_stack!G$2:G$100000, "&gt;="&amp;DATE(2025,11,1),
  raw_stack!G$2:G$100000, "&lt;="&amp;EOMONTH(DATE(2025,11,1),0)
 ),
 IF(OR(_xlpm.x=0, _xlpm.x=""), "-", _xlpm.x)
)</f>
        <v>-</v>
      </c>
      <c r="Y141" s="55" t="str">
        <f>_xlfn.LET(
 _xlpm.x,
 _xlfn.MAXIFS(
  raw_stack!G$2:G$99411,
  raw_stack!D$2:D$99411, G141,
  raw_stack!F$2:F$99411, "Iya",
  raw_stack!G$2:G$99411, "&gt;="&amp;DATE(2025,12,1),
  raw_stack!G$2:G$99411, "&lt;="&amp;EOMONTH(DATE(2025,12,1),0)
 ),
 IF(_xlpm.x=0, "-", _xlpm.x)
)</f>
        <v>-</v>
      </c>
      <c r="Z141" s="56" t="str">
        <f>_xlfn.LET(
 _xlpm.x,
 _xlfn.MAXIFS(
  raw_stack!H$2:H$100000,
  raw_stack!D$2:D$100000, G141,
  raw_stack!F$2:F$100000, "Iya",
  raw_stack!G$2:G$100000, "&gt;="&amp;DATE(2025,12,1),
  raw_stack!G$2:G$100000, "&lt;="&amp;EOMONTH(DATE(2025,12,1),0)
 ),
 IF(OR(_xlpm.x=0, _xlpm.x=""), "-", _xlpm.x)
)</f>
        <v>-</v>
      </c>
      <c r="AA141" s="55">
        <f>_xlfn.LET(
 _xlpm.x,
 _xlfn.MAXIFS(
  raw_stack!G$2:G$99411,
  raw_stack!D$2:D$99411, G141,
  raw_stack!F$2:F$99411, "Iya",
  raw_stack!G$2:G$99411, "&gt;="&amp;DATE(2026,1,1),
  raw_stack!G$2:G$99411, "&lt;="&amp;EOMONTH(DATE(2026,1,1),0)
 ),
 IF(_xlpm.x=0, "-", _xlpm.x)
)</f>
        <v>46030</v>
      </c>
      <c r="AB141" s="56">
        <f>_xlfn.LET(
 _xlpm.x,
 _xlfn.MAXIFS(
  raw_stack!H$2:H$100000,
  raw_stack!D$2:D$100000, G141,
  raw_stack!F$2:F$100000, "Iya",
  raw_stack!G$2:G$100000, "&gt;="&amp;DATE(2026,1,1),
  raw_stack!G$2:G$100000, "&lt;="&amp;EOMONTH(DATE(2026,1,1),0)
 ),
 IF(OR(_xlpm.x=0, _xlpm.x=""), "-", _xlpm.x)
)</f>
        <v>31228</v>
      </c>
      <c r="AC141" s="55" t="str">
        <f>_xlfn.LET(
 _xlpm.x,
 _xlfn.MAXIFS(
  raw_stack!G$2:G$99411,
  raw_stack!D$2:D$99411, G141,
  raw_stack!F$2:F$99411, "Iya",
  raw_stack!G$2:G$99411, "&gt;="&amp;DATE(2026,2,1),
  raw_stack!G$2:G$99411, "&lt;="&amp;EOMONTH(DATE(2026,2,1),0)
 ),
 IF(_xlpm.x=0, "-", _xlpm.x)
)</f>
        <v>-</v>
      </c>
      <c r="AD141" s="56" t="str">
        <f>_xlfn.LET(
 _xlpm.x,
 _xlfn.MAXIFS(
  raw_stack!H$2:H$100000,
  raw_stack!D$2:D$100000, G141,
  raw_stack!F$2:F$100000, "Iya",
  raw_stack!G$2:G$100000, "&gt;="&amp;DATE(2026,2,1),
  raw_stack!G$2:G$100000, "&lt;="&amp;EOMONTH(DATE(2026,2,1),0)
 ),
 IF(OR(_xlpm.x=0, _xlpm.x=""), "-", _xlpm.x)
)</f>
        <v>-</v>
      </c>
      <c r="AE141" s="55" t="str">
        <f>_xlfn.LET(
 _xlpm.x,
 _xlfn.MAXIFS(
  raw_stack!G$2:G$100000,
  raw_stack!D$2:D$100000, G141,
  raw_stack!F$2:F$100000, "Iya",
  raw_stack!G$2:G$100000, "&gt;="&amp;DATE(2026,3,1),
  raw_stack!G$2:G$100000, "&lt;="&amp;EOMONTH(DATE(2026,3,1),0)
 ),
 IF(_xlpm.x=0, "-", _xlpm.x)
)</f>
        <v>-</v>
      </c>
      <c r="AF141" s="56" t="str">
        <f>_xlfn.LET(
 _xlpm.x,
 _xlfn.MAXIFS(
  raw_stack!H$2:H$100000,
  raw_stack!D$2:D$100000, G141,
  raw_stack!F$2:F$100000, "Iya",
  raw_stack!G$2:G$100000, "&gt;="&amp;DATE(2026,3,1),
  raw_stack!G$2:G$100000, "&lt;="&amp;EOMONTH(DATE(2026,3,1),0)
 ),
 IF(OR(_xlpm.x=0, _xlpm.x=""), "-", _xlpm.x)
)</f>
        <v>-</v>
      </c>
      <c r="AG141" s="55" t="str">
        <f>_xlfn.LET(
 _xlpm.x,
 _xlfn.MAXIFS(
  raw_stack!G$2:G$100000,
  raw_stack!D$2:D$100000, G141,
  raw_stack!F$2:F$100000, "Iya",
  raw_stack!G$2:G$100000, "&gt;="&amp;DATE(2026,4,1),
  raw_stack!G$2:G$100000, "&lt;="&amp;EOMONTH(DATE(2026,4,1),0)
 ),
 IF(_xlpm.x=0, "-", _xlpm.x)
)</f>
        <v>-</v>
      </c>
      <c r="AH141" s="56" t="str">
        <f>_xlfn.LET(
 _xlpm.x,
 _xlfn.MAXIFS(
  raw_stack!H$2:H$100000,
  raw_stack!D$2:D$100000, G141,
  raw_stack!F$2:F$100000, "Iya",
  raw_stack!G$2:G$100000, "&gt;="&amp;DATE(2026,4,1),
  raw_stack!G$2:G$100000, "&lt;="&amp;EOMONTH(DATE(2026,4,1),0)
 ),
 IF(OR(_xlpm.x=0, _xlpm.x=""), "-", _xlpm.x)
)</f>
        <v>-</v>
      </c>
    </row>
    <row r="142" spans="1:34">
      <c r="A142" s="48">
        <v>141</v>
      </c>
      <c r="B142" s="49" t="str">
        <f t="shared" si="2"/>
        <v>95679</v>
      </c>
      <c r="C142" s="50" t="s">
        <v>46</v>
      </c>
      <c r="D142" s="51" t="s">
        <v>584</v>
      </c>
      <c r="E142" s="51" t="s">
        <v>51</v>
      </c>
      <c r="F142" s="49" t="s">
        <v>117</v>
      </c>
      <c r="G142" s="49" t="s">
        <v>258</v>
      </c>
      <c r="H142" s="49" t="s">
        <v>48</v>
      </c>
      <c r="I142" s="49" t="s">
        <v>52</v>
      </c>
      <c r="J142" s="52">
        <v>3880000</v>
      </c>
      <c r="K142" s="53">
        <v>45385</v>
      </c>
      <c r="L142" s="53">
        <v>46479</v>
      </c>
      <c r="M142" s="53">
        <v>46083</v>
      </c>
      <c r="N142" s="49" t="s">
        <v>50</v>
      </c>
      <c r="O142" s="54" t="str">
        <f>_xlfn.LET(
 _xlpm.x,
 _xlfn.MAXIFS(
  raw_stack!G$2:G$100000,
  raw_stack!D$2:D$100000, G142,
  raw_stack!F$2:F$100000, "Iya",
  raw_stack!G$2:G$100000, "&gt;="&amp;DATE(2025,7,1),
  raw_stack!G$2:G$100000, "&lt;="&amp;EOMONTH(DATE(2025,7,1),0)
 ),
 IF(_xlpm.x=0, "-", _xlpm.x)
)</f>
        <v>-</v>
      </c>
      <c r="P142" s="65" t="str">
        <f>_xlfn.LET(
 _xlpm.x,
 _xlfn.MAXIFS(
  raw_stack!H$2:H$100000,
  raw_stack!D$2:D$100000, G142,
  raw_stack!F$2:F$100000, "Iya",
  raw_stack!G$2:G$100000, "&gt;="&amp;DATE(2025,7,1),
  raw_stack!G$2:G$100000, "&lt;="&amp;EOMONTH(DATE(2025,7,1),0)
 ),
 IF(OR(_xlpm.x=0, _xlpm.x=""), "-", _xlpm.x)
)</f>
        <v>-</v>
      </c>
      <c r="Q142" s="54" t="str">
        <f>_xlfn.LET(
 _xlpm.x,
 _xlfn.MAXIFS(
  raw_stack!G$2:G$99411,
  raw_stack!D$2:D$99411, G142,
  raw_stack!F$2:F$99411, "Iya",
  raw_stack!G$2:G$99411, "&gt;="&amp;DATE(2025,8,1),
  raw_stack!G$2:G$99411, "&lt;="&amp;EOMONTH(DATE(2025,8,1),0)
 ),
 IF(_xlpm.x=0, "-", _xlpm.x)
)</f>
        <v>-</v>
      </c>
      <c r="R142" s="65" t="str">
        <f>_xlfn.LET(
 _xlpm.x,
 _xlfn.MAXIFS(
  raw_stack!H$2:H$100000,
  raw_stack!D$2:D$100000, G142,
  raw_stack!F$2:F$100000, "Iya",
  raw_stack!G$2:G$100000, "&gt;="&amp;DATE(2025,8,1),
  raw_stack!G$2:G$100000, "&lt;="&amp;EOMONTH(DATE(2025,8,1),0)
 ),
 IF(OR(_xlpm.x=0, _xlpm.x=""), "-", _xlpm.x)
)</f>
        <v>-</v>
      </c>
      <c r="S142" s="54">
        <f>_xlfn.LET(
 _xlpm.x,
 _xlfn.MAXIFS(
  raw_stack!G$2:G$99411,
  raw_stack!D$2:D$99411, G142,
  raw_stack!F$2:F$99411, "Iya",
  raw_stack!G$2:G$99411, "&gt;="&amp;DATE(2025,9,1),
  raw_stack!G$2:G$99411, "&lt;="&amp;EOMONTH(DATE(2025,9,1),0)
 ),
 IF(_xlpm.x=0, "-", _xlpm.x)
)</f>
        <v>45911</v>
      </c>
      <c r="T142" s="65">
        <f>_xlfn.LET(
 _xlpm.x,
 _xlfn.MAXIFS(
  raw_stack!H$2:H$100000,
  raw_stack!D$2:D$100000, G142,
  raw_stack!F$2:F$100000, "Iya",
  raw_stack!G$2:G$100000, "&gt;="&amp;DATE(2025,9,1),
  raw_stack!G$2:G$100000, "&lt;="&amp;EOMONTH(DATE(2025,9,1),0)
 ),
 IF(OR(_xlpm.x=0, _xlpm.x=""), "-", _xlpm.x)
)</f>
        <v>15858</v>
      </c>
      <c r="U142" s="54" t="str">
        <f>_xlfn.LET(
 _xlpm.x,
 _xlfn.MAXIFS(
  raw_stack!G$2:G$99411,
  raw_stack!D$2:D$99411, G142,
  raw_stack!F$2:F$99411, "Iya",
  raw_stack!G$2:G$99411, "&gt;="&amp;DATE(2025,10,1),
  raw_stack!G$2:G$99411, "&lt;="&amp;EOMONTH(DATE(2025,10,1),0)
 ),
 IF(_xlpm.x=0, "-", _xlpm.x)
)</f>
        <v>-</v>
      </c>
      <c r="V142" s="65" t="str">
        <f>_xlfn.LET(
 _xlpm.x,
 _xlfn.MAXIFS(
  raw_stack!H$2:H$100000,
  raw_stack!D$2:D$100000, G142,
  raw_stack!F$2:F$100000, "Iya",
  raw_stack!G$2:G$100000, "&gt;="&amp;DATE(2025,10,1),
  raw_stack!G$2:G$100000, "&lt;="&amp;EOMONTH(DATE(2025,10,1),0)
 ),
 IF(OR(_xlpm.x=0, _xlpm.x=""), "-", _xlpm.x)
)</f>
        <v>-</v>
      </c>
      <c r="W142" s="55" t="str">
        <f>_xlfn.LET(
 _xlpm.x,
 _xlfn.MAXIFS(
  raw_stack!G$2:G$99411,
  raw_stack!D$2:D$99411, G142,
  raw_stack!F$2:F$99411, "Iya",
  raw_stack!G$2:G$99411, "&gt;="&amp;DATE(2025,11,1),
  raw_stack!G$2:G$99411, "&lt;="&amp;EOMONTH(DATE(2025,11,1),0)
 ),
 IF(_xlpm.x=0, "-", _xlpm.x)
)</f>
        <v>-</v>
      </c>
      <c r="X142" s="56" t="str">
        <f>_xlfn.LET(
 _xlpm.x,
 _xlfn.MAXIFS(
  raw_stack!H$2:H$100000,
  raw_stack!D$2:D$100000, G142,
  raw_stack!F$2:F$100000, "Iya",
  raw_stack!G$2:G$100000, "&gt;="&amp;DATE(2025,11,1),
  raw_stack!G$2:G$100000, "&lt;="&amp;EOMONTH(DATE(2025,11,1),0)
 ),
 IF(OR(_xlpm.x=0, _xlpm.x=""), "-", _xlpm.x)
)</f>
        <v>-</v>
      </c>
      <c r="Y142" s="55" t="str">
        <f>_xlfn.LET(
 _xlpm.x,
 _xlfn.MAXIFS(
  raw_stack!G$2:G$99411,
  raw_stack!D$2:D$99411, G142,
  raw_stack!F$2:F$99411, "Iya",
  raw_stack!G$2:G$99411, "&gt;="&amp;DATE(2025,12,1),
  raw_stack!G$2:G$99411, "&lt;="&amp;EOMONTH(DATE(2025,12,1),0)
 ),
 IF(_xlpm.x=0, "-", _xlpm.x)
)</f>
        <v>-</v>
      </c>
      <c r="Z142" s="56" t="str">
        <f>_xlfn.LET(
 _xlpm.x,
 _xlfn.MAXIFS(
  raw_stack!H$2:H$100000,
  raw_stack!D$2:D$100000, G142,
  raw_stack!F$2:F$100000, "Iya",
  raw_stack!G$2:G$100000, "&gt;="&amp;DATE(2025,12,1),
  raw_stack!G$2:G$100000, "&lt;="&amp;EOMONTH(DATE(2025,12,1),0)
 ),
 IF(OR(_xlpm.x=0, _xlpm.x=""), "-", _xlpm.x)
)</f>
        <v>-</v>
      </c>
      <c r="AA142" s="55" t="str">
        <f>_xlfn.LET(
 _xlpm.x,
 _xlfn.MAXIFS(
  raw_stack!G$2:G$99411,
  raw_stack!D$2:D$99411, G142,
  raw_stack!F$2:F$99411, "Iya",
  raw_stack!G$2:G$99411, "&gt;="&amp;DATE(2026,1,1),
  raw_stack!G$2:G$99411, "&lt;="&amp;EOMONTH(DATE(2026,1,1),0)
 ),
 IF(_xlpm.x=0, "-", _xlpm.x)
)</f>
        <v>-</v>
      </c>
      <c r="AB142" s="56" t="str">
        <f>_xlfn.LET(
 _xlpm.x,
 _xlfn.MAXIFS(
  raw_stack!H$2:H$100000,
  raw_stack!D$2:D$100000, G142,
  raw_stack!F$2:F$100000, "Iya",
  raw_stack!G$2:G$100000, "&gt;="&amp;DATE(2026,1,1),
  raw_stack!G$2:G$100000, "&lt;="&amp;EOMONTH(DATE(2026,1,1),0)
 ),
 IF(OR(_xlpm.x=0, _xlpm.x=""), "-", _xlpm.x)
)</f>
        <v>-</v>
      </c>
      <c r="AC142" s="55" t="str">
        <f>_xlfn.LET(
 _xlpm.x,
 _xlfn.MAXIFS(
  raw_stack!G$2:G$99411,
  raw_stack!D$2:D$99411, G142,
  raw_stack!F$2:F$99411, "Iya",
  raw_stack!G$2:G$99411, "&gt;="&amp;DATE(2026,2,1),
  raw_stack!G$2:G$99411, "&lt;="&amp;EOMONTH(DATE(2026,2,1),0)
 ),
 IF(_xlpm.x=0, "-", _xlpm.x)
)</f>
        <v>-</v>
      </c>
      <c r="AD142" s="56" t="str">
        <f>_xlfn.LET(
 _xlpm.x,
 _xlfn.MAXIFS(
  raw_stack!H$2:H$100000,
  raw_stack!D$2:D$100000, G142,
  raw_stack!F$2:F$100000, "Iya",
  raw_stack!G$2:G$100000, "&gt;="&amp;DATE(2026,2,1),
  raw_stack!G$2:G$100000, "&lt;="&amp;EOMONTH(DATE(2026,2,1),0)
 ),
 IF(OR(_xlpm.x=0, _xlpm.x=""), "-", _xlpm.x)
)</f>
        <v>-</v>
      </c>
      <c r="AE142" s="55">
        <f>_xlfn.LET(
 _xlpm.x,
 _xlfn.MAXIFS(
  raw_stack!G$2:G$100000,
  raw_stack!D$2:D$100000, G142,
  raw_stack!F$2:F$100000, "Iya",
  raw_stack!G$2:G$100000, "&gt;="&amp;DATE(2026,3,1),
  raw_stack!G$2:G$100000, "&lt;="&amp;EOMONTH(DATE(2026,3,1),0)
 ),
 IF(_xlpm.x=0, "-", _xlpm.x)
)</f>
        <v>46092</v>
      </c>
      <c r="AF142" s="56">
        <f>_xlfn.LET(
 _xlpm.x,
 _xlfn.MAXIFS(
  raw_stack!H$2:H$100000,
  raw_stack!D$2:D$100000, G142,
  raw_stack!F$2:F$100000, "Iya",
  raw_stack!G$2:G$100000, "&gt;="&amp;DATE(2026,3,1),
  raw_stack!G$2:G$100000, "&lt;="&amp;EOMONTH(DATE(2026,3,1),0)
 ),
 IF(OR(_xlpm.x=0, _xlpm.x=""), "-", _xlpm.x)
)</f>
        <v>17656</v>
      </c>
      <c r="AG142" s="55" t="str">
        <f>_xlfn.LET(
 _xlpm.x,
 _xlfn.MAXIFS(
  raw_stack!G$2:G$100000,
  raw_stack!D$2:D$100000, G142,
  raw_stack!F$2:F$100000, "Iya",
  raw_stack!G$2:G$100000, "&gt;="&amp;DATE(2026,4,1),
  raw_stack!G$2:G$100000, "&lt;="&amp;EOMONTH(DATE(2026,4,1),0)
 ),
 IF(_xlpm.x=0, "-", _xlpm.x)
)</f>
        <v>-</v>
      </c>
      <c r="AH142" s="56" t="str">
        <f>_xlfn.LET(
 _xlpm.x,
 _xlfn.MAXIFS(
  raw_stack!H$2:H$100000,
  raw_stack!D$2:D$100000, G142,
  raw_stack!F$2:F$100000, "Iya",
  raw_stack!G$2:G$100000, "&gt;="&amp;DATE(2026,4,1),
  raw_stack!G$2:G$100000, "&lt;="&amp;EOMONTH(DATE(2026,4,1),0)
 ),
 IF(OR(_xlpm.x=0, _xlpm.x=""), "-", _xlpm.x)
)</f>
        <v>-</v>
      </c>
    </row>
    <row r="143" spans="1:34">
      <c r="A143" s="48">
        <v>142</v>
      </c>
      <c r="B143" s="49" t="str">
        <f t="shared" si="2"/>
        <v>82654</v>
      </c>
      <c r="C143" s="50" t="s">
        <v>46</v>
      </c>
      <c r="D143" s="51" t="s">
        <v>585</v>
      </c>
      <c r="E143" s="51" t="s">
        <v>51</v>
      </c>
      <c r="F143" s="49" t="s">
        <v>117</v>
      </c>
      <c r="G143" s="49" t="s">
        <v>259</v>
      </c>
      <c r="H143" s="49" t="s">
        <v>48</v>
      </c>
      <c r="I143" s="49" t="s">
        <v>52</v>
      </c>
      <c r="J143" s="52">
        <v>5790000</v>
      </c>
      <c r="K143" s="53">
        <v>45400</v>
      </c>
      <c r="L143" s="53">
        <v>46494</v>
      </c>
      <c r="M143" s="53">
        <v>46098</v>
      </c>
      <c r="N143" s="49" t="s">
        <v>50</v>
      </c>
      <c r="O143" s="54">
        <f>_xlfn.LET(
 _xlpm.x,
 _xlfn.MAXIFS(
  raw_stack!G$2:G$100000,
  raw_stack!D$2:D$100000, G143,
  raw_stack!F$2:F$100000, "Iya",
  raw_stack!G$2:G$100000, "&gt;="&amp;DATE(2025,7,1),
  raw_stack!G$2:G$100000, "&lt;="&amp;EOMONTH(DATE(2025,7,1),0)
 ),
 IF(_xlpm.x=0, "-", _xlpm.x)
)</f>
        <v>45849</v>
      </c>
      <c r="P143" s="65">
        <f>_xlfn.LET(
 _xlpm.x,
 _xlfn.MAXIFS(
  raw_stack!H$2:H$100000,
  raw_stack!D$2:D$100000, G143,
  raw_stack!F$2:F$100000, "Iya",
  raw_stack!G$2:G$100000, "&gt;="&amp;DATE(2025,7,1),
  raw_stack!G$2:G$100000, "&lt;="&amp;EOMONTH(DATE(2025,7,1),0)
 ),
 IF(OR(_xlpm.x=0, _xlpm.x=""), "-", _xlpm.x)
)</f>
        <v>39246</v>
      </c>
      <c r="Q143" s="54" t="str">
        <f>_xlfn.LET(
 _xlpm.x,
 _xlfn.MAXIFS(
  raw_stack!G$2:G$99411,
  raw_stack!D$2:D$99411, G143,
  raw_stack!F$2:F$99411, "Iya",
  raw_stack!G$2:G$99411, "&gt;="&amp;DATE(2025,8,1),
  raw_stack!G$2:G$99411, "&lt;="&amp;EOMONTH(DATE(2025,8,1),0)
 ),
 IF(_xlpm.x=0, "-", _xlpm.x)
)</f>
        <v>-</v>
      </c>
      <c r="R143" s="65" t="str">
        <f>_xlfn.LET(
 _xlpm.x,
 _xlfn.MAXIFS(
  raw_stack!H$2:H$100000,
  raw_stack!D$2:D$100000, G143,
  raw_stack!F$2:F$100000, "Iya",
  raw_stack!G$2:G$100000, "&gt;="&amp;DATE(2025,8,1),
  raw_stack!G$2:G$100000, "&lt;="&amp;EOMONTH(DATE(2025,8,1),0)
 ),
 IF(OR(_xlpm.x=0, _xlpm.x=""), "-", _xlpm.x)
)</f>
        <v>-</v>
      </c>
      <c r="S143" s="54" t="str">
        <f>_xlfn.LET(
 _xlpm.x,
 _xlfn.MAXIFS(
  raw_stack!G$2:G$99411,
  raw_stack!D$2:D$99411, G143,
  raw_stack!F$2:F$99411, "Iya",
  raw_stack!G$2:G$99411, "&gt;="&amp;DATE(2025,9,1),
  raw_stack!G$2:G$99411, "&lt;="&amp;EOMONTH(DATE(2025,9,1),0)
 ),
 IF(_xlpm.x=0, "-", _xlpm.x)
)</f>
        <v>-</v>
      </c>
      <c r="T143" s="65" t="str">
        <f>_xlfn.LET(
 _xlpm.x,
 _xlfn.MAXIFS(
  raw_stack!H$2:H$100000,
  raw_stack!D$2:D$100000, G143,
  raw_stack!F$2:F$100000, "Iya",
  raw_stack!G$2:G$100000, "&gt;="&amp;DATE(2025,9,1),
  raw_stack!G$2:G$100000, "&lt;="&amp;EOMONTH(DATE(2025,9,1),0)
 ),
 IF(OR(_xlpm.x=0, _xlpm.x=""), "-", _xlpm.x)
)</f>
        <v>-</v>
      </c>
      <c r="U143" s="54" t="str">
        <f>_xlfn.LET(
 _xlpm.x,
 _xlfn.MAXIFS(
  raw_stack!G$2:G$99411,
  raw_stack!D$2:D$99411, G143,
  raw_stack!F$2:F$99411, "Iya",
  raw_stack!G$2:G$99411, "&gt;="&amp;DATE(2025,10,1),
  raw_stack!G$2:G$99411, "&lt;="&amp;EOMONTH(DATE(2025,10,1),0)
 ),
 IF(_xlpm.x=0, "-", _xlpm.x)
)</f>
        <v>-</v>
      </c>
      <c r="V143" s="65" t="str">
        <f>_xlfn.LET(
 _xlpm.x,
 _xlfn.MAXIFS(
  raw_stack!H$2:H$100000,
  raw_stack!D$2:D$100000, G143,
  raw_stack!F$2:F$100000, "Iya",
  raw_stack!G$2:G$100000, "&gt;="&amp;DATE(2025,10,1),
  raw_stack!G$2:G$100000, "&lt;="&amp;EOMONTH(DATE(2025,10,1),0)
 ),
 IF(OR(_xlpm.x=0, _xlpm.x=""), "-", _xlpm.x)
)</f>
        <v>-</v>
      </c>
      <c r="W143" s="55" t="str">
        <f>_xlfn.LET(
 _xlpm.x,
 _xlfn.MAXIFS(
  raw_stack!G$2:G$99411,
  raw_stack!D$2:D$99411, G143,
  raw_stack!F$2:F$99411, "Iya",
  raw_stack!G$2:G$99411, "&gt;="&amp;DATE(2025,11,1),
  raw_stack!G$2:G$99411, "&lt;="&amp;EOMONTH(DATE(2025,11,1),0)
 ),
 IF(_xlpm.x=0, "-", _xlpm.x)
)</f>
        <v>-</v>
      </c>
      <c r="X143" s="56" t="str">
        <f>_xlfn.LET(
 _xlpm.x,
 _xlfn.MAXIFS(
  raw_stack!H$2:H$100000,
  raw_stack!D$2:D$100000, G143,
  raw_stack!F$2:F$100000, "Iya",
  raw_stack!G$2:G$100000, "&gt;="&amp;DATE(2025,11,1),
  raw_stack!G$2:G$100000, "&lt;="&amp;EOMONTH(DATE(2025,11,1),0)
 ),
 IF(OR(_xlpm.x=0, _xlpm.x=""), "-", _xlpm.x)
)</f>
        <v>-</v>
      </c>
      <c r="Y143" s="55" t="str">
        <f>_xlfn.LET(
 _xlpm.x,
 _xlfn.MAXIFS(
  raw_stack!G$2:G$99411,
  raw_stack!D$2:D$99411, G143,
  raw_stack!F$2:F$99411, "Iya",
  raw_stack!G$2:G$99411, "&gt;="&amp;DATE(2025,12,1),
  raw_stack!G$2:G$99411, "&lt;="&amp;EOMONTH(DATE(2025,12,1),0)
 ),
 IF(_xlpm.x=0, "-", _xlpm.x)
)</f>
        <v>-</v>
      </c>
      <c r="Z143" s="56" t="str">
        <f>_xlfn.LET(
 _xlpm.x,
 _xlfn.MAXIFS(
  raw_stack!H$2:H$100000,
  raw_stack!D$2:D$100000, G143,
  raw_stack!F$2:F$100000, "Iya",
  raw_stack!G$2:G$100000, "&gt;="&amp;DATE(2025,12,1),
  raw_stack!G$2:G$100000, "&lt;="&amp;EOMONTH(DATE(2025,12,1),0)
 ),
 IF(OR(_xlpm.x=0, _xlpm.x=""), "-", _xlpm.x)
)</f>
        <v>-</v>
      </c>
      <c r="AA143" s="55" t="str">
        <f>_xlfn.LET(
 _xlpm.x,
 _xlfn.MAXIFS(
  raw_stack!G$2:G$99411,
  raw_stack!D$2:D$99411, G143,
  raw_stack!F$2:F$99411, "Iya",
  raw_stack!G$2:G$99411, "&gt;="&amp;DATE(2026,1,1),
  raw_stack!G$2:G$99411, "&lt;="&amp;EOMONTH(DATE(2026,1,1),0)
 ),
 IF(_xlpm.x=0, "-", _xlpm.x)
)</f>
        <v>-</v>
      </c>
      <c r="AB143" s="56" t="str">
        <f>_xlfn.LET(
 _xlpm.x,
 _xlfn.MAXIFS(
  raw_stack!H$2:H$100000,
  raw_stack!D$2:D$100000, G143,
  raw_stack!F$2:F$100000, "Iya",
  raw_stack!G$2:G$100000, "&gt;="&amp;DATE(2026,1,1),
  raw_stack!G$2:G$100000, "&lt;="&amp;EOMONTH(DATE(2026,1,1),0)
 ),
 IF(OR(_xlpm.x=0, _xlpm.x=""), "-", _xlpm.x)
)</f>
        <v>-</v>
      </c>
      <c r="AC143" s="55" t="str">
        <f>_xlfn.LET(
 _xlpm.x,
 _xlfn.MAXIFS(
  raw_stack!G$2:G$99411,
  raw_stack!D$2:D$99411, G143,
  raw_stack!F$2:F$99411, "Iya",
  raw_stack!G$2:G$99411, "&gt;="&amp;DATE(2026,2,1),
  raw_stack!G$2:G$99411, "&lt;="&amp;EOMONTH(DATE(2026,2,1),0)
 ),
 IF(_xlpm.x=0, "-", _xlpm.x)
)</f>
        <v>-</v>
      </c>
      <c r="AD143" s="56" t="str">
        <f>_xlfn.LET(
 _xlpm.x,
 _xlfn.MAXIFS(
  raw_stack!H$2:H$100000,
  raw_stack!D$2:D$100000, G143,
  raw_stack!F$2:F$100000, "Iya",
  raw_stack!G$2:G$100000, "&gt;="&amp;DATE(2026,2,1),
  raw_stack!G$2:G$100000, "&lt;="&amp;EOMONTH(DATE(2026,2,1),0)
 ),
 IF(OR(_xlpm.x=0, _xlpm.x=""), "-", _xlpm.x)
)</f>
        <v>-</v>
      </c>
      <c r="AE143" s="55" t="str">
        <f>_xlfn.LET(
 _xlpm.x,
 _xlfn.MAXIFS(
  raw_stack!G$2:G$100000,
  raw_stack!D$2:D$100000, G143,
  raw_stack!F$2:F$100000, "Iya",
  raw_stack!G$2:G$100000, "&gt;="&amp;DATE(2026,3,1),
  raw_stack!G$2:G$100000, "&lt;="&amp;EOMONTH(DATE(2026,3,1),0)
 ),
 IF(_xlpm.x=0, "-", _xlpm.x)
)</f>
        <v>-</v>
      </c>
      <c r="AF143" s="56" t="str">
        <f>_xlfn.LET(
 _xlpm.x,
 _xlfn.MAXIFS(
  raw_stack!H$2:H$100000,
  raw_stack!D$2:D$100000, G143,
  raw_stack!F$2:F$100000, "Iya",
  raw_stack!G$2:G$100000, "&gt;="&amp;DATE(2026,3,1),
  raw_stack!G$2:G$100000, "&lt;="&amp;EOMONTH(DATE(2026,3,1),0)
 ),
 IF(OR(_xlpm.x=0, _xlpm.x=""), "-", _xlpm.x)
)</f>
        <v>-</v>
      </c>
      <c r="AG143" s="55" t="str">
        <f>_xlfn.LET(
 _xlpm.x,
 _xlfn.MAXIFS(
  raw_stack!G$2:G$100000,
  raw_stack!D$2:D$100000, G143,
  raw_stack!F$2:F$100000, "Iya",
  raw_stack!G$2:G$100000, "&gt;="&amp;DATE(2026,4,1),
  raw_stack!G$2:G$100000, "&lt;="&amp;EOMONTH(DATE(2026,4,1),0)
 ),
 IF(_xlpm.x=0, "-", _xlpm.x)
)</f>
        <v>-</v>
      </c>
      <c r="AH143" s="56" t="str">
        <f>_xlfn.LET(
 _xlpm.x,
 _xlfn.MAXIFS(
  raw_stack!H$2:H$100000,
  raw_stack!D$2:D$100000, G143,
  raw_stack!F$2:F$100000, "Iya",
  raw_stack!G$2:G$100000, "&gt;="&amp;DATE(2026,4,1),
  raw_stack!G$2:G$100000, "&lt;="&amp;EOMONTH(DATE(2026,4,1),0)
 ),
 IF(OR(_xlpm.x=0, _xlpm.x=""), "-", _xlpm.x)
)</f>
        <v>-</v>
      </c>
    </row>
    <row r="144" spans="1:34">
      <c r="A144" s="48">
        <v>143</v>
      </c>
      <c r="B144" s="49" t="str">
        <f t="shared" si="2"/>
        <v>50468</v>
      </c>
      <c r="C144" s="50" t="s">
        <v>46</v>
      </c>
      <c r="D144" s="51" t="s">
        <v>586</v>
      </c>
      <c r="E144" s="51" t="s">
        <v>51</v>
      </c>
      <c r="F144" s="49" t="s">
        <v>117</v>
      </c>
      <c r="G144" s="49" t="s">
        <v>260</v>
      </c>
      <c r="H144" s="49" t="s">
        <v>48</v>
      </c>
      <c r="I144" s="49" t="s">
        <v>52</v>
      </c>
      <c r="J144" s="52">
        <v>4105000</v>
      </c>
      <c r="K144" s="53">
        <v>45401</v>
      </c>
      <c r="L144" s="53">
        <v>46495</v>
      </c>
      <c r="M144" s="53">
        <v>46099</v>
      </c>
      <c r="N144" s="49" t="s">
        <v>50</v>
      </c>
      <c r="O144" s="54" t="str">
        <f>_xlfn.LET(
 _xlpm.x,
 _xlfn.MAXIFS(
  raw_stack!G$2:G$100000,
  raw_stack!D$2:D$100000, G144,
  raw_stack!F$2:F$100000, "Iya",
  raw_stack!G$2:G$100000, "&gt;="&amp;DATE(2025,7,1),
  raw_stack!G$2:G$100000, "&lt;="&amp;EOMONTH(DATE(2025,7,1),0)
 ),
 IF(_xlpm.x=0, "-", _xlpm.x)
)</f>
        <v>-</v>
      </c>
      <c r="P144" s="65" t="str">
        <f>_xlfn.LET(
 _xlpm.x,
 _xlfn.MAXIFS(
  raw_stack!H$2:H$100000,
  raw_stack!D$2:D$100000, G144,
  raw_stack!F$2:F$100000, "Iya",
  raw_stack!G$2:G$100000, "&gt;="&amp;DATE(2025,7,1),
  raw_stack!G$2:G$100000, "&lt;="&amp;EOMONTH(DATE(2025,7,1),0)
 ),
 IF(OR(_xlpm.x=0, _xlpm.x=""), "-", _xlpm.x)
)</f>
        <v>-</v>
      </c>
      <c r="Q144" s="54" t="str">
        <f>_xlfn.LET(
 _xlpm.x,
 _xlfn.MAXIFS(
  raw_stack!G$2:G$99411,
  raw_stack!D$2:D$99411, G144,
  raw_stack!F$2:F$99411, "Iya",
  raw_stack!G$2:G$99411, "&gt;="&amp;DATE(2025,8,1),
  raw_stack!G$2:G$99411, "&lt;="&amp;EOMONTH(DATE(2025,8,1),0)
 ),
 IF(_xlpm.x=0, "-", _xlpm.x)
)</f>
        <v>-</v>
      </c>
      <c r="R144" s="65" t="str">
        <f>_xlfn.LET(
 _xlpm.x,
 _xlfn.MAXIFS(
  raw_stack!H$2:H$100000,
  raw_stack!D$2:D$100000, G144,
  raw_stack!F$2:F$100000, "Iya",
  raw_stack!G$2:G$100000, "&gt;="&amp;DATE(2025,8,1),
  raw_stack!G$2:G$100000, "&lt;="&amp;EOMONTH(DATE(2025,8,1),0)
 ),
 IF(OR(_xlpm.x=0, _xlpm.x=""), "-", _xlpm.x)
)</f>
        <v>-</v>
      </c>
      <c r="S144" s="54">
        <f>_xlfn.LET(
 _xlpm.x,
 _xlfn.MAXIFS(
  raw_stack!G$2:G$99411,
  raw_stack!D$2:D$99411, G144,
  raw_stack!F$2:F$99411, "Iya",
  raw_stack!G$2:G$99411, "&gt;="&amp;DATE(2025,9,1),
  raw_stack!G$2:G$99411, "&lt;="&amp;EOMONTH(DATE(2025,9,1),0)
 ),
 IF(_xlpm.x=0, "-", _xlpm.x)
)</f>
        <v>45917</v>
      </c>
      <c r="T144" s="65">
        <f>_xlfn.LET(
 _xlpm.x,
 _xlfn.MAXIFS(
  raw_stack!H$2:H$100000,
  raw_stack!D$2:D$100000, G144,
  raw_stack!F$2:F$100000, "Iya",
  raw_stack!G$2:G$100000, "&gt;="&amp;DATE(2025,9,1),
  raw_stack!G$2:G$100000, "&lt;="&amp;EOMONTH(DATE(2025,9,1),0)
 ),
 IF(OR(_xlpm.x=0, _xlpm.x=""), "-", _xlpm.x)
)</f>
        <v>324788</v>
      </c>
      <c r="U144" s="54" t="str">
        <f>_xlfn.LET(
 _xlpm.x,
 _xlfn.MAXIFS(
  raw_stack!G$2:G$99411,
  raw_stack!D$2:D$99411, G144,
  raw_stack!F$2:F$99411, "Iya",
  raw_stack!G$2:G$99411, "&gt;="&amp;DATE(2025,10,1),
  raw_stack!G$2:G$99411, "&lt;="&amp;EOMONTH(DATE(2025,10,1),0)
 ),
 IF(_xlpm.x=0, "-", _xlpm.x)
)</f>
        <v>-</v>
      </c>
      <c r="V144" s="65" t="str">
        <f>_xlfn.LET(
 _xlpm.x,
 _xlfn.MAXIFS(
  raw_stack!H$2:H$100000,
  raw_stack!D$2:D$100000, G144,
  raw_stack!F$2:F$100000, "Iya",
  raw_stack!G$2:G$100000, "&gt;="&amp;DATE(2025,10,1),
  raw_stack!G$2:G$100000, "&lt;="&amp;EOMONTH(DATE(2025,10,1),0)
 ),
 IF(OR(_xlpm.x=0, _xlpm.x=""), "-", _xlpm.x)
)</f>
        <v>-</v>
      </c>
      <c r="W144" s="55" t="str">
        <f>_xlfn.LET(
 _xlpm.x,
 _xlfn.MAXIFS(
  raw_stack!G$2:G$99411,
  raw_stack!D$2:D$99411, G144,
  raw_stack!F$2:F$99411, "Iya",
  raw_stack!G$2:G$99411, "&gt;="&amp;DATE(2025,11,1),
  raw_stack!G$2:G$99411, "&lt;="&amp;EOMONTH(DATE(2025,11,1),0)
 ),
 IF(_xlpm.x=0, "-", _xlpm.x)
)</f>
        <v>-</v>
      </c>
      <c r="X144" s="56" t="str">
        <f>_xlfn.LET(
 _xlpm.x,
 _xlfn.MAXIFS(
  raw_stack!H$2:H$100000,
  raw_stack!D$2:D$100000, G144,
  raw_stack!F$2:F$100000, "Iya",
  raw_stack!G$2:G$100000, "&gt;="&amp;DATE(2025,11,1),
  raw_stack!G$2:G$100000, "&lt;="&amp;EOMONTH(DATE(2025,11,1),0)
 ),
 IF(OR(_xlpm.x=0, _xlpm.x=""), "-", _xlpm.x)
)</f>
        <v>-</v>
      </c>
      <c r="Y144" s="55" t="str">
        <f>_xlfn.LET(
 _xlpm.x,
 _xlfn.MAXIFS(
  raw_stack!G$2:G$99411,
  raw_stack!D$2:D$99411, G144,
  raw_stack!F$2:F$99411, "Iya",
  raw_stack!G$2:G$99411, "&gt;="&amp;DATE(2025,12,1),
  raw_stack!G$2:G$99411, "&lt;="&amp;EOMONTH(DATE(2025,12,1),0)
 ),
 IF(_xlpm.x=0, "-", _xlpm.x)
)</f>
        <v>-</v>
      </c>
      <c r="Z144" s="56" t="str">
        <f>_xlfn.LET(
 _xlpm.x,
 _xlfn.MAXIFS(
  raw_stack!H$2:H$100000,
  raw_stack!D$2:D$100000, G144,
  raw_stack!F$2:F$100000, "Iya",
  raw_stack!G$2:G$100000, "&gt;="&amp;DATE(2025,12,1),
  raw_stack!G$2:G$100000, "&lt;="&amp;EOMONTH(DATE(2025,12,1),0)
 ),
 IF(OR(_xlpm.x=0, _xlpm.x=""), "-", _xlpm.x)
)</f>
        <v>-</v>
      </c>
      <c r="AA144" s="55" t="str">
        <f>_xlfn.LET(
 _xlpm.x,
 _xlfn.MAXIFS(
  raw_stack!G$2:G$99411,
  raw_stack!D$2:D$99411, G144,
  raw_stack!F$2:F$99411, "Iya",
  raw_stack!G$2:G$99411, "&gt;="&amp;DATE(2026,1,1),
  raw_stack!G$2:G$99411, "&lt;="&amp;EOMONTH(DATE(2026,1,1),0)
 ),
 IF(_xlpm.x=0, "-", _xlpm.x)
)</f>
        <v>-</v>
      </c>
      <c r="AB144" s="56" t="str">
        <f>_xlfn.LET(
 _xlpm.x,
 _xlfn.MAXIFS(
  raw_stack!H$2:H$100000,
  raw_stack!D$2:D$100000, G144,
  raw_stack!F$2:F$100000, "Iya",
  raw_stack!G$2:G$100000, "&gt;="&amp;DATE(2026,1,1),
  raw_stack!G$2:G$100000, "&lt;="&amp;EOMONTH(DATE(2026,1,1),0)
 ),
 IF(OR(_xlpm.x=0, _xlpm.x=""), "-", _xlpm.x)
)</f>
        <v>-</v>
      </c>
      <c r="AC144" s="55" t="str">
        <f>_xlfn.LET(
 _xlpm.x,
 _xlfn.MAXIFS(
  raw_stack!G$2:G$99411,
  raw_stack!D$2:D$99411, G144,
  raw_stack!F$2:F$99411, "Iya",
  raw_stack!G$2:G$99411, "&gt;="&amp;DATE(2026,2,1),
  raw_stack!G$2:G$99411, "&lt;="&amp;EOMONTH(DATE(2026,2,1),0)
 ),
 IF(_xlpm.x=0, "-", _xlpm.x)
)</f>
        <v>-</v>
      </c>
      <c r="AD144" s="56" t="str">
        <f>_xlfn.LET(
 _xlpm.x,
 _xlfn.MAXIFS(
  raw_stack!H$2:H$100000,
  raw_stack!D$2:D$100000, G144,
  raw_stack!F$2:F$100000, "Iya",
  raw_stack!G$2:G$100000, "&gt;="&amp;DATE(2026,2,1),
  raw_stack!G$2:G$100000, "&lt;="&amp;EOMONTH(DATE(2026,2,1),0)
 ),
 IF(OR(_xlpm.x=0, _xlpm.x=""), "-", _xlpm.x)
)</f>
        <v>-</v>
      </c>
      <c r="AE144" s="55" t="str">
        <f>_xlfn.LET(
 _xlpm.x,
 _xlfn.MAXIFS(
  raw_stack!G$2:G$100000,
  raw_stack!D$2:D$100000, G144,
  raw_stack!F$2:F$100000, "Iya",
  raw_stack!G$2:G$100000, "&gt;="&amp;DATE(2026,3,1),
  raw_stack!G$2:G$100000, "&lt;="&amp;EOMONTH(DATE(2026,3,1),0)
 ),
 IF(_xlpm.x=0, "-", _xlpm.x)
)</f>
        <v>-</v>
      </c>
      <c r="AF144" s="56" t="str">
        <f>_xlfn.LET(
 _xlpm.x,
 _xlfn.MAXIFS(
  raw_stack!H$2:H$100000,
  raw_stack!D$2:D$100000, G144,
  raw_stack!F$2:F$100000, "Iya",
  raw_stack!G$2:G$100000, "&gt;="&amp;DATE(2026,3,1),
  raw_stack!G$2:G$100000, "&lt;="&amp;EOMONTH(DATE(2026,3,1),0)
 ),
 IF(OR(_xlpm.x=0, _xlpm.x=""), "-", _xlpm.x)
)</f>
        <v>-</v>
      </c>
      <c r="AG144" s="55" t="str">
        <f>_xlfn.LET(
 _xlpm.x,
 _xlfn.MAXIFS(
  raw_stack!G$2:G$100000,
  raw_stack!D$2:D$100000, G144,
  raw_stack!F$2:F$100000, "Iya",
  raw_stack!G$2:G$100000, "&gt;="&amp;DATE(2026,4,1),
  raw_stack!G$2:G$100000, "&lt;="&amp;EOMONTH(DATE(2026,4,1),0)
 ),
 IF(_xlpm.x=0, "-", _xlpm.x)
)</f>
        <v>-</v>
      </c>
      <c r="AH144" s="56" t="str">
        <f>_xlfn.LET(
 _xlpm.x,
 _xlfn.MAXIFS(
  raw_stack!H$2:H$100000,
  raw_stack!D$2:D$100000, G144,
  raw_stack!F$2:F$100000, "Iya",
  raw_stack!G$2:G$100000, "&gt;="&amp;DATE(2026,4,1),
  raw_stack!G$2:G$100000, "&lt;="&amp;EOMONTH(DATE(2026,4,1),0)
 ),
 IF(OR(_xlpm.x=0, _xlpm.x=""), "-", _xlpm.x)
)</f>
        <v>-</v>
      </c>
    </row>
    <row r="145" spans="1:34">
      <c r="A145" s="48">
        <v>144</v>
      </c>
      <c r="B145" s="49" t="str">
        <f t="shared" si="2"/>
        <v>59642</v>
      </c>
      <c r="C145" s="50" t="s">
        <v>46</v>
      </c>
      <c r="D145" s="51" t="s">
        <v>587</v>
      </c>
      <c r="E145" s="51" t="s">
        <v>51</v>
      </c>
      <c r="F145" s="49" t="s">
        <v>117</v>
      </c>
      <c r="G145" s="49" t="s">
        <v>261</v>
      </c>
      <c r="H145" s="49" t="s">
        <v>48</v>
      </c>
      <c r="I145" s="49" t="s">
        <v>52</v>
      </c>
      <c r="J145" s="52">
        <v>4105000</v>
      </c>
      <c r="K145" s="53">
        <v>45403</v>
      </c>
      <c r="L145" s="53">
        <v>46497</v>
      </c>
      <c r="M145" s="53">
        <v>46101</v>
      </c>
      <c r="N145" s="49" t="s">
        <v>50</v>
      </c>
      <c r="O145" s="54">
        <f>_xlfn.LET(
 _xlpm.x,
 _xlfn.MAXIFS(
  raw_stack!G$2:G$100000,
  raw_stack!D$2:D$100000, G145,
  raw_stack!F$2:F$100000, "Iya",
  raw_stack!G$2:G$100000, "&gt;="&amp;DATE(2025,7,1),
  raw_stack!G$2:G$100000, "&lt;="&amp;EOMONTH(DATE(2025,7,1),0)
 ),
 IF(_xlpm.x=0, "-", _xlpm.x)
)</f>
        <v>45845</v>
      </c>
      <c r="P145" s="65">
        <f>_xlfn.LET(
 _xlpm.x,
 _xlfn.MAXIFS(
  raw_stack!H$2:H$100000,
  raw_stack!D$2:D$100000, G145,
  raw_stack!F$2:F$100000, "Iya",
  raw_stack!G$2:G$100000, "&gt;="&amp;DATE(2025,7,1),
  raw_stack!G$2:G$100000, "&lt;="&amp;EOMONTH(DATE(2025,7,1),0)
 ),
 IF(OR(_xlpm.x=0, _xlpm.x=""), "-", _xlpm.x)
)</f>
        <v>33698</v>
      </c>
      <c r="Q145" s="54" t="str">
        <f>_xlfn.LET(
 _xlpm.x,
 _xlfn.MAXIFS(
  raw_stack!G$2:G$99411,
  raw_stack!D$2:D$99411, G145,
  raw_stack!F$2:F$99411, "Iya",
  raw_stack!G$2:G$99411, "&gt;="&amp;DATE(2025,8,1),
  raw_stack!G$2:G$99411, "&lt;="&amp;EOMONTH(DATE(2025,8,1),0)
 ),
 IF(_xlpm.x=0, "-", _xlpm.x)
)</f>
        <v>-</v>
      </c>
      <c r="R145" s="65" t="str">
        <f>_xlfn.LET(
 _xlpm.x,
 _xlfn.MAXIFS(
  raw_stack!H$2:H$100000,
  raw_stack!D$2:D$100000, G145,
  raw_stack!F$2:F$100000, "Iya",
  raw_stack!G$2:G$100000, "&gt;="&amp;DATE(2025,8,1),
  raw_stack!G$2:G$100000, "&lt;="&amp;EOMONTH(DATE(2025,8,1),0)
 ),
 IF(OR(_xlpm.x=0, _xlpm.x=""), "-", _xlpm.x)
)</f>
        <v>-</v>
      </c>
      <c r="S145" s="54" t="str">
        <f>_xlfn.LET(
 _xlpm.x,
 _xlfn.MAXIFS(
  raw_stack!G$2:G$99411,
  raw_stack!D$2:D$99411, G145,
  raw_stack!F$2:F$99411, "Iya",
  raw_stack!G$2:G$99411, "&gt;="&amp;DATE(2025,9,1),
  raw_stack!G$2:G$99411, "&lt;="&amp;EOMONTH(DATE(2025,9,1),0)
 ),
 IF(_xlpm.x=0, "-", _xlpm.x)
)</f>
        <v>-</v>
      </c>
      <c r="T145" s="65" t="str">
        <f>_xlfn.LET(
 _xlpm.x,
 _xlfn.MAXIFS(
  raw_stack!H$2:H$100000,
  raw_stack!D$2:D$100000, G145,
  raw_stack!F$2:F$100000, "Iya",
  raw_stack!G$2:G$100000, "&gt;="&amp;DATE(2025,9,1),
  raw_stack!G$2:G$100000, "&lt;="&amp;EOMONTH(DATE(2025,9,1),0)
 ),
 IF(OR(_xlpm.x=0, _xlpm.x=""), "-", _xlpm.x)
)</f>
        <v>-</v>
      </c>
      <c r="U145" s="54" t="str">
        <f>_xlfn.LET(
 _xlpm.x,
 _xlfn.MAXIFS(
  raw_stack!G$2:G$99411,
  raw_stack!D$2:D$99411, G145,
  raw_stack!F$2:F$99411, "Iya",
  raw_stack!G$2:G$99411, "&gt;="&amp;DATE(2025,10,1),
  raw_stack!G$2:G$99411, "&lt;="&amp;EOMONTH(DATE(2025,10,1),0)
 ),
 IF(_xlpm.x=0, "-", _xlpm.x)
)</f>
        <v>-</v>
      </c>
      <c r="V145" s="65" t="str">
        <f>_xlfn.LET(
 _xlpm.x,
 _xlfn.MAXIFS(
  raw_stack!H$2:H$100000,
  raw_stack!D$2:D$100000, G145,
  raw_stack!F$2:F$100000, "Iya",
  raw_stack!G$2:G$100000, "&gt;="&amp;DATE(2025,10,1),
  raw_stack!G$2:G$100000, "&lt;="&amp;EOMONTH(DATE(2025,10,1),0)
 ),
 IF(OR(_xlpm.x=0, _xlpm.x=""), "-", _xlpm.x)
)</f>
        <v>-</v>
      </c>
      <c r="W145" s="55" t="str">
        <f>_xlfn.LET(
 _xlpm.x,
 _xlfn.MAXIFS(
  raw_stack!G$2:G$99411,
  raw_stack!D$2:D$99411, G145,
  raw_stack!F$2:F$99411, "Iya",
  raw_stack!G$2:G$99411, "&gt;="&amp;DATE(2025,11,1),
  raw_stack!G$2:G$99411, "&lt;="&amp;EOMONTH(DATE(2025,11,1),0)
 ),
 IF(_xlpm.x=0, "-", _xlpm.x)
)</f>
        <v>-</v>
      </c>
      <c r="X145" s="56" t="str">
        <f>_xlfn.LET(
 _xlpm.x,
 _xlfn.MAXIFS(
  raw_stack!H$2:H$100000,
  raw_stack!D$2:D$100000, G145,
  raw_stack!F$2:F$100000, "Iya",
  raw_stack!G$2:G$100000, "&gt;="&amp;DATE(2025,11,1),
  raw_stack!G$2:G$100000, "&lt;="&amp;EOMONTH(DATE(2025,11,1),0)
 ),
 IF(OR(_xlpm.x=0, _xlpm.x=""), "-", _xlpm.x)
)</f>
        <v>-</v>
      </c>
      <c r="Y145" s="55" t="str">
        <f>_xlfn.LET(
 _xlpm.x,
 _xlfn.MAXIFS(
  raw_stack!G$2:G$99411,
  raw_stack!D$2:D$99411, G145,
  raw_stack!F$2:F$99411, "Iya",
  raw_stack!G$2:G$99411, "&gt;="&amp;DATE(2025,12,1),
  raw_stack!G$2:G$99411, "&lt;="&amp;EOMONTH(DATE(2025,12,1),0)
 ),
 IF(_xlpm.x=0, "-", _xlpm.x)
)</f>
        <v>-</v>
      </c>
      <c r="Z145" s="56" t="str">
        <f>_xlfn.LET(
 _xlpm.x,
 _xlfn.MAXIFS(
  raw_stack!H$2:H$100000,
  raw_stack!D$2:D$100000, G145,
  raw_stack!F$2:F$100000, "Iya",
  raw_stack!G$2:G$100000, "&gt;="&amp;DATE(2025,12,1),
  raw_stack!G$2:G$100000, "&lt;="&amp;EOMONTH(DATE(2025,12,1),0)
 ),
 IF(OR(_xlpm.x=0, _xlpm.x=""), "-", _xlpm.x)
)</f>
        <v>-</v>
      </c>
      <c r="AA145" s="55" t="str">
        <f>_xlfn.LET(
 _xlpm.x,
 _xlfn.MAXIFS(
  raw_stack!G$2:G$99411,
  raw_stack!D$2:D$99411, G145,
  raw_stack!F$2:F$99411, "Iya",
  raw_stack!G$2:G$99411, "&gt;="&amp;DATE(2026,1,1),
  raw_stack!G$2:G$99411, "&lt;="&amp;EOMONTH(DATE(2026,1,1),0)
 ),
 IF(_xlpm.x=0, "-", _xlpm.x)
)</f>
        <v>-</v>
      </c>
      <c r="AB145" s="56" t="str">
        <f>_xlfn.LET(
 _xlpm.x,
 _xlfn.MAXIFS(
  raw_stack!H$2:H$100000,
  raw_stack!D$2:D$100000, G145,
  raw_stack!F$2:F$100000, "Iya",
  raw_stack!G$2:G$100000, "&gt;="&amp;DATE(2026,1,1),
  raw_stack!G$2:G$100000, "&lt;="&amp;EOMONTH(DATE(2026,1,1),0)
 ),
 IF(OR(_xlpm.x=0, _xlpm.x=""), "-", _xlpm.x)
)</f>
        <v>-</v>
      </c>
      <c r="AC145" s="55">
        <f>_xlfn.LET(
 _xlpm.x,
 _xlfn.MAXIFS(
  raw_stack!G$2:G$99411,
  raw_stack!D$2:D$99411, G145,
  raw_stack!F$2:F$99411, "Iya",
  raw_stack!G$2:G$99411, "&gt;="&amp;DATE(2026,2,1),
  raw_stack!G$2:G$99411, "&lt;="&amp;EOMONTH(DATE(2026,2,1),0)
 ),
 IF(_xlpm.x=0, "-", _xlpm.x)
)</f>
        <v>46058</v>
      </c>
      <c r="AD145" s="56">
        <f>_xlfn.LET(
 _xlpm.x,
 _xlfn.MAXIFS(
  raw_stack!H$2:H$100000,
  raw_stack!D$2:D$100000, G145,
  raw_stack!F$2:F$100000, "Iya",
  raw_stack!G$2:G$100000, "&gt;="&amp;DATE(2026,2,1),
  raw_stack!G$2:G$100000, "&lt;="&amp;EOMONTH(DATE(2026,2,1),0)
 ),
 IF(OR(_xlpm.x=0, _xlpm.x=""), "-", _xlpm.x)
)</f>
        <v>37891</v>
      </c>
      <c r="AE145" s="55" t="str">
        <f>_xlfn.LET(
 _xlpm.x,
 _xlfn.MAXIFS(
  raw_stack!G$2:G$100000,
  raw_stack!D$2:D$100000, G145,
  raw_stack!F$2:F$100000, "Iya",
  raw_stack!G$2:G$100000, "&gt;="&amp;DATE(2026,3,1),
  raw_stack!G$2:G$100000, "&lt;="&amp;EOMONTH(DATE(2026,3,1),0)
 ),
 IF(_xlpm.x=0, "-", _xlpm.x)
)</f>
        <v>-</v>
      </c>
      <c r="AF145" s="56" t="str">
        <f>_xlfn.LET(
 _xlpm.x,
 _xlfn.MAXIFS(
  raw_stack!H$2:H$100000,
  raw_stack!D$2:D$100000, G145,
  raw_stack!F$2:F$100000, "Iya",
  raw_stack!G$2:G$100000, "&gt;="&amp;DATE(2026,3,1),
  raw_stack!G$2:G$100000, "&lt;="&amp;EOMONTH(DATE(2026,3,1),0)
 ),
 IF(OR(_xlpm.x=0, _xlpm.x=""), "-", _xlpm.x)
)</f>
        <v>-</v>
      </c>
      <c r="AG145" s="55" t="str">
        <f>_xlfn.LET(
 _xlpm.x,
 _xlfn.MAXIFS(
  raw_stack!G$2:G$100000,
  raw_stack!D$2:D$100000, G145,
  raw_stack!F$2:F$100000, "Iya",
  raw_stack!G$2:G$100000, "&gt;="&amp;DATE(2026,4,1),
  raw_stack!G$2:G$100000, "&lt;="&amp;EOMONTH(DATE(2026,4,1),0)
 ),
 IF(_xlpm.x=0, "-", _xlpm.x)
)</f>
        <v>-</v>
      </c>
      <c r="AH145" s="56" t="str">
        <f>_xlfn.LET(
 _xlpm.x,
 _xlfn.MAXIFS(
  raw_stack!H$2:H$100000,
  raw_stack!D$2:D$100000, G145,
  raw_stack!F$2:F$100000, "Iya",
  raw_stack!G$2:G$100000, "&gt;="&amp;DATE(2026,4,1),
  raw_stack!G$2:G$100000, "&lt;="&amp;EOMONTH(DATE(2026,4,1),0)
 ),
 IF(OR(_xlpm.x=0, _xlpm.x=""), "-", _xlpm.x)
)</f>
        <v>-</v>
      </c>
    </row>
    <row r="146" spans="1:34">
      <c r="A146" s="48">
        <v>145</v>
      </c>
      <c r="B146" s="49" t="str">
        <f t="shared" si="2"/>
        <v>30411</v>
      </c>
      <c r="C146" s="50" t="s">
        <v>46</v>
      </c>
      <c r="D146" s="51" t="s">
        <v>588</v>
      </c>
      <c r="E146" s="51" t="s">
        <v>51</v>
      </c>
      <c r="F146" s="49" t="s">
        <v>117</v>
      </c>
      <c r="G146" s="49" t="s">
        <v>262</v>
      </c>
      <c r="H146" s="49" t="s">
        <v>48</v>
      </c>
      <c r="I146" s="49" t="s">
        <v>52</v>
      </c>
      <c r="J146" s="52">
        <v>4100000</v>
      </c>
      <c r="K146" s="53">
        <v>45414</v>
      </c>
      <c r="L146" s="53">
        <v>46508</v>
      </c>
      <c r="M146" s="53">
        <v>46102</v>
      </c>
      <c r="N146" s="49" t="s">
        <v>50</v>
      </c>
      <c r="O146" s="54" t="str">
        <f>_xlfn.LET(
 _xlpm.x,
 _xlfn.MAXIFS(
  raw_stack!G$2:G$100000,
  raw_stack!D$2:D$100000, G146,
  raw_stack!F$2:F$100000, "Iya",
  raw_stack!G$2:G$100000, "&gt;="&amp;DATE(2025,7,1),
  raw_stack!G$2:G$100000, "&lt;="&amp;EOMONTH(DATE(2025,7,1),0)
 ),
 IF(_xlpm.x=0, "-", _xlpm.x)
)</f>
        <v>-</v>
      </c>
      <c r="P146" s="65" t="str">
        <f>_xlfn.LET(
 _xlpm.x,
 _xlfn.MAXIFS(
  raw_stack!H$2:H$100000,
  raw_stack!D$2:D$100000, G146,
  raw_stack!F$2:F$100000, "Iya",
  raw_stack!G$2:G$100000, "&gt;="&amp;DATE(2025,7,1),
  raw_stack!G$2:G$100000, "&lt;="&amp;EOMONTH(DATE(2025,7,1),0)
 ),
 IF(OR(_xlpm.x=0, _xlpm.x=""), "-", _xlpm.x)
)</f>
        <v>-</v>
      </c>
      <c r="Q146" s="54" t="str">
        <f>_xlfn.LET(
 _xlpm.x,
 _xlfn.MAXIFS(
  raw_stack!G$2:G$99411,
  raw_stack!D$2:D$99411, G146,
  raw_stack!F$2:F$99411, "Iya",
  raw_stack!G$2:G$99411, "&gt;="&amp;DATE(2025,8,1),
  raw_stack!G$2:G$99411, "&lt;="&amp;EOMONTH(DATE(2025,8,1),0)
 ),
 IF(_xlpm.x=0, "-", _xlpm.x)
)</f>
        <v>-</v>
      </c>
      <c r="R146" s="65" t="str">
        <f>_xlfn.LET(
 _xlpm.x,
 _xlfn.MAXIFS(
  raw_stack!H$2:H$100000,
  raw_stack!D$2:D$100000, G146,
  raw_stack!F$2:F$100000, "Iya",
  raw_stack!G$2:G$100000, "&gt;="&amp;DATE(2025,8,1),
  raw_stack!G$2:G$100000, "&lt;="&amp;EOMONTH(DATE(2025,8,1),0)
 ),
 IF(OR(_xlpm.x=0, _xlpm.x=""), "-", _xlpm.x)
)</f>
        <v>-</v>
      </c>
      <c r="S146" s="54" t="str">
        <f>_xlfn.LET(
 _xlpm.x,
 _xlfn.MAXIFS(
  raw_stack!G$2:G$99411,
  raw_stack!D$2:D$99411, G146,
  raw_stack!F$2:F$99411, "Iya",
  raw_stack!G$2:G$99411, "&gt;="&amp;DATE(2025,9,1),
  raw_stack!G$2:G$99411, "&lt;="&amp;EOMONTH(DATE(2025,9,1),0)
 ),
 IF(_xlpm.x=0, "-", _xlpm.x)
)</f>
        <v>-</v>
      </c>
      <c r="T146" s="65" t="str">
        <f>_xlfn.LET(
 _xlpm.x,
 _xlfn.MAXIFS(
  raw_stack!H$2:H$100000,
  raw_stack!D$2:D$100000, G146,
  raw_stack!F$2:F$100000, "Iya",
  raw_stack!G$2:G$100000, "&gt;="&amp;DATE(2025,9,1),
  raw_stack!G$2:G$100000, "&lt;="&amp;EOMONTH(DATE(2025,9,1),0)
 ),
 IF(OR(_xlpm.x=0, _xlpm.x=""), "-", _xlpm.x)
)</f>
        <v>-</v>
      </c>
      <c r="U146" s="54" t="str">
        <f>_xlfn.LET(
 _xlpm.x,
 _xlfn.MAXIFS(
  raw_stack!G$2:G$99411,
  raw_stack!D$2:D$99411, G146,
  raw_stack!F$2:F$99411, "Iya",
  raw_stack!G$2:G$99411, "&gt;="&amp;DATE(2025,10,1),
  raw_stack!G$2:G$99411, "&lt;="&amp;EOMONTH(DATE(2025,10,1),0)
 ),
 IF(_xlpm.x=0, "-", _xlpm.x)
)</f>
        <v>-</v>
      </c>
      <c r="V146" s="65" t="str">
        <f>_xlfn.LET(
 _xlpm.x,
 _xlfn.MAXIFS(
  raw_stack!H$2:H$100000,
  raw_stack!D$2:D$100000, G146,
  raw_stack!F$2:F$100000, "Iya",
  raw_stack!G$2:G$100000, "&gt;="&amp;DATE(2025,10,1),
  raw_stack!G$2:G$100000, "&lt;="&amp;EOMONTH(DATE(2025,10,1),0)
 ),
 IF(OR(_xlpm.x=0, _xlpm.x=""), "-", _xlpm.x)
)</f>
        <v>-</v>
      </c>
      <c r="W146" s="55" t="str">
        <f>_xlfn.LET(
 _xlpm.x,
 _xlfn.MAXIFS(
  raw_stack!G$2:G$99411,
  raw_stack!D$2:D$99411, G146,
  raw_stack!F$2:F$99411, "Iya",
  raw_stack!G$2:G$99411, "&gt;="&amp;DATE(2025,11,1),
  raw_stack!G$2:G$99411, "&lt;="&amp;EOMONTH(DATE(2025,11,1),0)
 ),
 IF(_xlpm.x=0, "-", _xlpm.x)
)</f>
        <v>-</v>
      </c>
      <c r="X146" s="56" t="str">
        <f>_xlfn.LET(
 _xlpm.x,
 _xlfn.MAXIFS(
  raw_stack!H$2:H$100000,
  raw_stack!D$2:D$100000, G146,
  raw_stack!F$2:F$100000, "Iya",
  raw_stack!G$2:G$100000, "&gt;="&amp;DATE(2025,11,1),
  raw_stack!G$2:G$100000, "&lt;="&amp;EOMONTH(DATE(2025,11,1),0)
 ),
 IF(OR(_xlpm.x=0, _xlpm.x=""), "-", _xlpm.x)
)</f>
        <v>-</v>
      </c>
      <c r="Y146" s="55" t="str">
        <f>_xlfn.LET(
 _xlpm.x,
 _xlfn.MAXIFS(
  raw_stack!G$2:G$99411,
  raw_stack!D$2:D$99411, G146,
  raw_stack!F$2:F$99411, "Iya",
  raw_stack!G$2:G$99411, "&gt;="&amp;DATE(2025,12,1),
  raw_stack!G$2:G$99411, "&lt;="&amp;EOMONTH(DATE(2025,12,1),0)
 ),
 IF(_xlpm.x=0, "-", _xlpm.x)
)</f>
        <v>-</v>
      </c>
      <c r="Z146" s="56" t="str">
        <f>_xlfn.LET(
 _xlpm.x,
 _xlfn.MAXIFS(
  raw_stack!H$2:H$100000,
  raw_stack!D$2:D$100000, G146,
  raw_stack!F$2:F$100000, "Iya",
  raw_stack!G$2:G$100000, "&gt;="&amp;DATE(2025,12,1),
  raw_stack!G$2:G$100000, "&lt;="&amp;EOMONTH(DATE(2025,12,1),0)
 ),
 IF(OR(_xlpm.x=0, _xlpm.x=""), "-", _xlpm.x)
)</f>
        <v>-</v>
      </c>
      <c r="AA146" s="55" t="str">
        <f>_xlfn.LET(
 _xlpm.x,
 _xlfn.MAXIFS(
  raw_stack!G$2:G$99411,
  raw_stack!D$2:D$99411, G146,
  raw_stack!F$2:F$99411, "Iya",
  raw_stack!G$2:G$99411, "&gt;="&amp;DATE(2026,1,1),
  raw_stack!G$2:G$99411, "&lt;="&amp;EOMONTH(DATE(2026,1,1),0)
 ),
 IF(_xlpm.x=0, "-", _xlpm.x)
)</f>
        <v>-</v>
      </c>
      <c r="AB146" s="56" t="str">
        <f>_xlfn.LET(
 _xlpm.x,
 _xlfn.MAXIFS(
  raw_stack!H$2:H$100000,
  raw_stack!D$2:D$100000, G146,
  raw_stack!F$2:F$100000, "Iya",
  raw_stack!G$2:G$100000, "&gt;="&amp;DATE(2026,1,1),
  raw_stack!G$2:G$100000, "&lt;="&amp;EOMONTH(DATE(2026,1,1),0)
 ),
 IF(OR(_xlpm.x=0, _xlpm.x=""), "-", _xlpm.x)
)</f>
        <v>-</v>
      </c>
      <c r="AC146" s="55">
        <f>_xlfn.LET(
 _xlpm.x,
 _xlfn.MAXIFS(
  raw_stack!G$2:G$99411,
  raw_stack!D$2:D$99411, G146,
  raw_stack!F$2:F$99411, "Iya",
  raw_stack!G$2:G$99411, "&gt;="&amp;DATE(2026,2,1),
  raw_stack!G$2:G$99411, "&lt;="&amp;EOMONTH(DATE(2026,2,1),0)
 ),
 IF(_xlpm.x=0, "-", _xlpm.x)
)</f>
        <v>46056</v>
      </c>
      <c r="AD146" s="56">
        <f>_xlfn.LET(
 _xlpm.x,
 _xlfn.MAXIFS(
  raw_stack!H$2:H$100000,
  raw_stack!D$2:D$100000, G146,
  raw_stack!F$2:F$100000, "Iya",
  raw_stack!G$2:G$100000, "&gt;="&amp;DATE(2026,2,1),
  raw_stack!G$2:G$100000, "&lt;="&amp;EOMONTH(DATE(2026,2,1),0)
 ),
 IF(OR(_xlpm.x=0, _xlpm.x=""), "-", _xlpm.x)
)</f>
        <v>61302</v>
      </c>
      <c r="AE146" s="55" t="str">
        <f>_xlfn.LET(
 _xlpm.x,
 _xlfn.MAXIFS(
  raw_stack!G$2:G$100000,
  raw_stack!D$2:D$100000, G146,
  raw_stack!F$2:F$100000, "Iya",
  raw_stack!G$2:G$100000, "&gt;="&amp;DATE(2026,3,1),
  raw_stack!G$2:G$100000, "&lt;="&amp;EOMONTH(DATE(2026,3,1),0)
 ),
 IF(_xlpm.x=0, "-", _xlpm.x)
)</f>
        <v>-</v>
      </c>
      <c r="AF146" s="56" t="str">
        <f>_xlfn.LET(
 _xlpm.x,
 _xlfn.MAXIFS(
  raw_stack!H$2:H$100000,
  raw_stack!D$2:D$100000, G146,
  raw_stack!F$2:F$100000, "Iya",
  raw_stack!G$2:G$100000, "&gt;="&amp;DATE(2026,3,1),
  raw_stack!G$2:G$100000, "&lt;="&amp;EOMONTH(DATE(2026,3,1),0)
 ),
 IF(OR(_xlpm.x=0, _xlpm.x=""), "-", _xlpm.x)
)</f>
        <v>-</v>
      </c>
      <c r="AG146" s="55" t="str">
        <f>_xlfn.LET(
 _xlpm.x,
 _xlfn.MAXIFS(
  raw_stack!G$2:G$100000,
  raw_stack!D$2:D$100000, G146,
  raw_stack!F$2:F$100000, "Iya",
  raw_stack!G$2:G$100000, "&gt;="&amp;DATE(2026,4,1),
  raw_stack!G$2:G$100000, "&lt;="&amp;EOMONTH(DATE(2026,4,1),0)
 ),
 IF(_xlpm.x=0, "-", _xlpm.x)
)</f>
        <v>-</v>
      </c>
      <c r="AH146" s="56" t="str">
        <f>_xlfn.LET(
 _xlpm.x,
 _xlfn.MAXIFS(
  raw_stack!H$2:H$100000,
  raw_stack!D$2:D$100000, G146,
  raw_stack!F$2:F$100000, "Iya",
  raw_stack!G$2:G$100000, "&gt;="&amp;DATE(2026,4,1),
  raw_stack!G$2:G$100000, "&lt;="&amp;EOMONTH(DATE(2026,4,1),0)
 ),
 IF(OR(_xlpm.x=0, _xlpm.x=""), "-", _xlpm.x)
)</f>
        <v>-</v>
      </c>
    </row>
    <row r="147" spans="1:34">
      <c r="A147" s="48">
        <v>146</v>
      </c>
      <c r="B147" s="49" t="str">
        <f t="shared" si="2"/>
        <v>26079</v>
      </c>
      <c r="C147" s="50" t="s">
        <v>46</v>
      </c>
      <c r="D147" s="51" t="s">
        <v>589</v>
      </c>
      <c r="E147" s="51" t="s">
        <v>51</v>
      </c>
      <c r="F147" s="49" t="s">
        <v>117</v>
      </c>
      <c r="G147" s="49" t="s">
        <v>263</v>
      </c>
      <c r="H147" s="49" t="s">
        <v>48</v>
      </c>
      <c r="I147" s="49" t="s">
        <v>52</v>
      </c>
      <c r="J147" s="52">
        <v>4100000</v>
      </c>
      <c r="K147" s="53">
        <v>45416</v>
      </c>
      <c r="L147" s="53">
        <v>46512</v>
      </c>
      <c r="M147" s="53">
        <v>46084</v>
      </c>
      <c r="N147" s="49" t="s">
        <v>50</v>
      </c>
      <c r="O147" s="54" t="str">
        <f>_xlfn.LET(
 _xlpm.x,
 _xlfn.MAXIFS(
  raw_stack!G$2:G$100000,
  raw_stack!D$2:D$100000, G147,
  raw_stack!F$2:F$100000, "Iya",
  raw_stack!G$2:G$100000, "&gt;="&amp;DATE(2025,7,1),
  raw_stack!G$2:G$100000, "&lt;="&amp;EOMONTH(DATE(2025,7,1),0)
 ),
 IF(_xlpm.x=0, "-", _xlpm.x)
)</f>
        <v>-</v>
      </c>
      <c r="P147" s="65" t="str">
        <f>_xlfn.LET(
 _xlpm.x,
 _xlfn.MAXIFS(
  raw_stack!H$2:H$100000,
  raw_stack!D$2:D$100000, G147,
  raw_stack!F$2:F$100000, "Iya",
  raw_stack!G$2:G$100000, "&gt;="&amp;DATE(2025,7,1),
  raw_stack!G$2:G$100000, "&lt;="&amp;EOMONTH(DATE(2025,7,1),0)
 ),
 IF(OR(_xlpm.x=0, _xlpm.x=""), "-", _xlpm.x)
)</f>
        <v>-</v>
      </c>
      <c r="Q147" s="54" t="str">
        <f>_xlfn.LET(
 _xlpm.x,
 _xlfn.MAXIFS(
  raw_stack!G$2:G$99411,
  raw_stack!D$2:D$99411, G147,
  raw_stack!F$2:F$99411, "Iya",
  raw_stack!G$2:G$99411, "&gt;="&amp;DATE(2025,8,1),
  raw_stack!G$2:G$99411, "&lt;="&amp;EOMONTH(DATE(2025,8,1),0)
 ),
 IF(_xlpm.x=0, "-", _xlpm.x)
)</f>
        <v>-</v>
      </c>
      <c r="R147" s="65" t="str">
        <f>_xlfn.LET(
 _xlpm.x,
 _xlfn.MAXIFS(
  raw_stack!H$2:H$100000,
  raw_stack!D$2:D$100000, G147,
  raw_stack!F$2:F$100000, "Iya",
  raw_stack!G$2:G$100000, "&gt;="&amp;DATE(2025,8,1),
  raw_stack!G$2:G$100000, "&lt;="&amp;EOMONTH(DATE(2025,8,1),0)
 ),
 IF(OR(_xlpm.x=0, _xlpm.x=""), "-", _xlpm.x)
)</f>
        <v>-</v>
      </c>
      <c r="S147" s="54" t="str">
        <f>_xlfn.LET(
 _xlpm.x,
 _xlfn.MAXIFS(
  raw_stack!G$2:G$99411,
  raw_stack!D$2:D$99411, G147,
  raw_stack!F$2:F$99411, "Iya",
  raw_stack!G$2:G$99411, "&gt;="&amp;DATE(2025,9,1),
  raw_stack!G$2:G$99411, "&lt;="&amp;EOMONTH(DATE(2025,9,1),0)
 ),
 IF(_xlpm.x=0, "-", _xlpm.x)
)</f>
        <v>-</v>
      </c>
      <c r="T147" s="65" t="str">
        <f>_xlfn.LET(
 _xlpm.x,
 _xlfn.MAXIFS(
  raw_stack!H$2:H$100000,
  raw_stack!D$2:D$100000, G147,
  raw_stack!F$2:F$100000, "Iya",
  raw_stack!G$2:G$100000, "&gt;="&amp;DATE(2025,9,1),
  raw_stack!G$2:G$100000, "&lt;="&amp;EOMONTH(DATE(2025,9,1),0)
 ),
 IF(OR(_xlpm.x=0, _xlpm.x=""), "-", _xlpm.x)
)</f>
        <v>-</v>
      </c>
      <c r="U147" s="54" t="str">
        <f>_xlfn.LET(
 _xlpm.x,
 _xlfn.MAXIFS(
  raw_stack!G$2:G$99411,
  raw_stack!D$2:D$99411, G147,
  raw_stack!F$2:F$99411, "Iya",
  raw_stack!G$2:G$99411, "&gt;="&amp;DATE(2025,10,1),
  raw_stack!G$2:G$99411, "&lt;="&amp;EOMONTH(DATE(2025,10,1),0)
 ),
 IF(_xlpm.x=0, "-", _xlpm.x)
)</f>
        <v>-</v>
      </c>
      <c r="V147" s="65" t="str">
        <f>_xlfn.LET(
 _xlpm.x,
 _xlfn.MAXIFS(
  raw_stack!H$2:H$100000,
  raw_stack!D$2:D$100000, G147,
  raw_stack!F$2:F$100000, "Iya",
  raw_stack!G$2:G$100000, "&gt;="&amp;DATE(2025,10,1),
  raw_stack!G$2:G$100000, "&lt;="&amp;EOMONTH(DATE(2025,10,1),0)
 ),
 IF(OR(_xlpm.x=0, _xlpm.x=""), "-", _xlpm.x)
)</f>
        <v>-</v>
      </c>
      <c r="W147" s="55" t="str">
        <f>_xlfn.LET(
 _xlpm.x,
 _xlfn.MAXIFS(
  raw_stack!G$2:G$99411,
  raw_stack!D$2:D$99411, G147,
  raw_stack!F$2:F$99411, "Iya",
  raw_stack!G$2:G$99411, "&gt;="&amp;DATE(2025,11,1),
  raw_stack!G$2:G$99411, "&lt;="&amp;EOMONTH(DATE(2025,11,1),0)
 ),
 IF(_xlpm.x=0, "-", _xlpm.x)
)</f>
        <v>-</v>
      </c>
      <c r="X147" s="56" t="str">
        <f>_xlfn.LET(
 _xlpm.x,
 _xlfn.MAXIFS(
  raw_stack!H$2:H$100000,
  raw_stack!D$2:D$100000, G147,
  raw_stack!F$2:F$100000, "Iya",
  raw_stack!G$2:G$100000, "&gt;="&amp;DATE(2025,11,1),
  raw_stack!G$2:G$100000, "&lt;="&amp;EOMONTH(DATE(2025,11,1),0)
 ),
 IF(OR(_xlpm.x=0, _xlpm.x=""), "-", _xlpm.x)
)</f>
        <v>-</v>
      </c>
      <c r="Y147" s="55" t="str">
        <f>_xlfn.LET(
 _xlpm.x,
 _xlfn.MAXIFS(
  raw_stack!G$2:G$99411,
  raw_stack!D$2:D$99411, G147,
  raw_stack!F$2:F$99411, "Iya",
  raw_stack!G$2:G$99411, "&gt;="&amp;DATE(2025,12,1),
  raw_stack!G$2:G$99411, "&lt;="&amp;EOMONTH(DATE(2025,12,1),0)
 ),
 IF(_xlpm.x=0, "-", _xlpm.x)
)</f>
        <v>-</v>
      </c>
      <c r="Z147" s="56" t="str">
        <f>_xlfn.LET(
 _xlpm.x,
 _xlfn.MAXIFS(
  raw_stack!H$2:H$100000,
  raw_stack!D$2:D$100000, G147,
  raw_stack!F$2:F$100000, "Iya",
  raw_stack!G$2:G$100000, "&gt;="&amp;DATE(2025,12,1),
  raw_stack!G$2:G$100000, "&lt;="&amp;EOMONTH(DATE(2025,12,1),0)
 ),
 IF(OR(_xlpm.x=0, _xlpm.x=""), "-", _xlpm.x)
)</f>
        <v>-</v>
      </c>
      <c r="AA147" s="55" t="str">
        <f>_xlfn.LET(
 _xlpm.x,
 _xlfn.MAXIFS(
  raw_stack!G$2:G$99411,
  raw_stack!D$2:D$99411, G147,
  raw_stack!F$2:F$99411, "Iya",
  raw_stack!G$2:G$99411, "&gt;="&amp;DATE(2026,1,1),
  raw_stack!G$2:G$99411, "&lt;="&amp;EOMONTH(DATE(2026,1,1),0)
 ),
 IF(_xlpm.x=0, "-", _xlpm.x)
)</f>
        <v>-</v>
      </c>
      <c r="AB147" s="56" t="str">
        <f>_xlfn.LET(
 _xlpm.x,
 _xlfn.MAXIFS(
  raw_stack!H$2:H$100000,
  raw_stack!D$2:D$100000, G147,
  raw_stack!F$2:F$100000, "Iya",
  raw_stack!G$2:G$100000, "&gt;="&amp;DATE(2026,1,1),
  raw_stack!G$2:G$100000, "&lt;="&amp;EOMONTH(DATE(2026,1,1),0)
 ),
 IF(OR(_xlpm.x=0, _xlpm.x=""), "-", _xlpm.x)
)</f>
        <v>-</v>
      </c>
      <c r="AC147" s="55">
        <f>_xlfn.LET(
 _xlpm.x,
 _xlfn.MAXIFS(
  raw_stack!G$2:G$99411,
  raw_stack!D$2:D$99411, G147,
  raw_stack!F$2:F$99411, "Iya",
  raw_stack!G$2:G$99411, "&gt;="&amp;DATE(2026,2,1),
  raw_stack!G$2:G$99411, "&lt;="&amp;EOMONTH(DATE(2026,2,1),0)
 ),
 IF(_xlpm.x=0, "-", _xlpm.x)
)</f>
        <v>46055</v>
      </c>
      <c r="AD147" s="56">
        <f>_xlfn.LET(
 _xlpm.x,
 _xlfn.MAXIFS(
  raw_stack!H$2:H$100000,
  raw_stack!D$2:D$100000, G147,
  raw_stack!F$2:F$100000, "Iya",
  raw_stack!G$2:G$100000, "&gt;="&amp;DATE(2026,2,1),
  raw_stack!G$2:G$100000, "&lt;="&amp;EOMONTH(DATE(2026,2,1),0)
 ),
 IF(OR(_xlpm.x=0, _xlpm.x=""), "-", _xlpm.x)
)</f>
        <v>18893</v>
      </c>
      <c r="AE147" s="55" t="str">
        <f>_xlfn.LET(
 _xlpm.x,
 _xlfn.MAXIFS(
  raw_stack!G$2:G$100000,
  raw_stack!D$2:D$100000, G147,
  raw_stack!F$2:F$100000, "Iya",
  raw_stack!G$2:G$100000, "&gt;="&amp;DATE(2026,3,1),
  raw_stack!G$2:G$100000, "&lt;="&amp;EOMONTH(DATE(2026,3,1),0)
 ),
 IF(_xlpm.x=0, "-", _xlpm.x)
)</f>
        <v>-</v>
      </c>
      <c r="AF147" s="56" t="str">
        <f>_xlfn.LET(
 _xlpm.x,
 _xlfn.MAXIFS(
  raw_stack!H$2:H$100000,
  raw_stack!D$2:D$100000, G147,
  raw_stack!F$2:F$100000, "Iya",
  raw_stack!G$2:G$100000, "&gt;="&amp;DATE(2026,3,1),
  raw_stack!G$2:G$100000, "&lt;="&amp;EOMONTH(DATE(2026,3,1),0)
 ),
 IF(OR(_xlpm.x=0, _xlpm.x=""), "-", _xlpm.x)
)</f>
        <v>-</v>
      </c>
      <c r="AG147" s="55" t="str">
        <f>_xlfn.LET(
 _xlpm.x,
 _xlfn.MAXIFS(
  raw_stack!G$2:G$100000,
  raw_stack!D$2:D$100000, G147,
  raw_stack!F$2:F$100000, "Iya",
  raw_stack!G$2:G$100000, "&gt;="&amp;DATE(2026,4,1),
  raw_stack!G$2:G$100000, "&lt;="&amp;EOMONTH(DATE(2026,4,1),0)
 ),
 IF(_xlpm.x=0, "-", _xlpm.x)
)</f>
        <v>-</v>
      </c>
      <c r="AH147" s="56" t="str">
        <f>_xlfn.LET(
 _xlpm.x,
 _xlfn.MAXIFS(
  raw_stack!H$2:H$100000,
  raw_stack!D$2:D$100000, G147,
  raw_stack!F$2:F$100000, "Iya",
  raw_stack!G$2:G$100000, "&gt;="&amp;DATE(2026,4,1),
  raw_stack!G$2:G$100000, "&lt;="&amp;EOMONTH(DATE(2026,4,1),0)
 ),
 IF(OR(_xlpm.x=0, _xlpm.x=""), "-", _xlpm.x)
)</f>
        <v>-</v>
      </c>
    </row>
    <row r="148" spans="1:34">
      <c r="A148" s="48">
        <v>147</v>
      </c>
      <c r="B148" s="49" t="str">
        <f t="shared" si="2"/>
        <v>31508</v>
      </c>
      <c r="C148" s="50" t="s">
        <v>46</v>
      </c>
      <c r="D148" s="51" t="s">
        <v>590</v>
      </c>
      <c r="E148" s="51" t="s">
        <v>47</v>
      </c>
      <c r="F148" s="49" t="s">
        <v>117</v>
      </c>
      <c r="G148" s="49" t="s">
        <v>264</v>
      </c>
      <c r="H148" s="49" t="s">
        <v>48</v>
      </c>
      <c r="I148" s="49" t="s">
        <v>49</v>
      </c>
      <c r="J148" s="52">
        <v>4300000</v>
      </c>
      <c r="K148" s="53">
        <v>45419</v>
      </c>
      <c r="L148" s="53">
        <v>46513</v>
      </c>
      <c r="M148" s="53">
        <v>46059</v>
      </c>
      <c r="N148" s="49" t="s">
        <v>50</v>
      </c>
      <c r="O148" s="54" t="str">
        <f>_xlfn.LET(
 _xlpm.x,
 _xlfn.MAXIFS(
  raw_stack!G$2:G$100000,
  raw_stack!D$2:D$100000, G148,
  raw_stack!F$2:F$100000, "Iya",
  raw_stack!G$2:G$100000, "&gt;="&amp;DATE(2025,7,1),
  raw_stack!G$2:G$100000, "&lt;="&amp;EOMONTH(DATE(2025,7,1),0)
 ),
 IF(_xlpm.x=0, "-", _xlpm.x)
)</f>
        <v>-</v>
      </c>
      <c r="P148" s="65" t="str">
        <f>_xlfn.LET(
 _xlpm.x,
 _xlfn.MAXIFS(
  raw_stack!H$2:H$100000,
  raw_stack!D$2:D$100000, G148,
  raw_stack!F$2:F$100000, "Iya",
  raw_stack!G$2:G$100000, "&gt;="&amp;DATE(2025,7,1),
  raw_stack!G$2:G$100000, "&lt;="&amp;EOMONTH(DATE(2025,7,1),0)
 ),
 IF(OR(_xlpm.x=0, _xlpm.x=""), "-", _xlpm.x)
)</f>
        <v>-</v>
      </c>
      <c r="Q148" s="54" t="str">
        <f>_xlfn.LET(
 _xlpm.x,
 _xlfn.MAXIFS(
  raw_stack!G$2:G$99411,
  raw_stack!D$2:D$99411, G148,
  raw_stack!F$2:F$99411, "Iya",
  raw_stack!G$2:G$99411, "&gt;="&amp;DATE(2025,8,1),
  raw_stack!G$2:G$99411, "&lt;="&amp;EOMONTH(DATE(2025,8,1),0)
 ),
 IF(_xlpm.x=0, "-", _xlpm.x)
)</f>
        <v>-</v>
      </c>
      <c r="R148" s="65" t="str">
        <f>_xlfn.LET(
 _xlpm.x,
 _xlfn.MAXIFS(
  raw_stack!H$2:H$100000,
  raw_stack!D$2:D$100000, G148,
  raw_stack!F$2:F$100000, "Iya",
  raw_stack!G$2:G$100000, "&gt;="&amp;DATE(2025,8,1),
  raw_stack!G$2:G$100000, "&lt;="&amp;EOMONTH(DATE(2025,8,1),0)
 ),
 IF(OR(_xlpm.x=0, _xlpm.x=""), "-", _xlpm.x)
)</f>
        <v>-</v>
      </c>
      <c r="S148" s="54" t="str">
        <f>_xlfn.LET(
 _xlpm.x,
 _xlfn.MAXIFS(
  raw_stack!G$2:G$99411,
  raw_stack!D$2:D$99411, G148,
  raw_stack!F$2:F$99411, "Iya",
  raw_stack!G$2:G$99411, "&gt;="&amp;DATE(2025,9,1),
  raw_stack!G$2:G$99411, "&lt;="&amp;EOMONTH(DATE(2025,9,1),0)
 ),
 IF(_xlpm.x=0, "-", _xlpm.x)
)</f>
        <v>-</v>
      </c>
      <c r="T148" s="65" t="str">
        <f>_xlfn.LET(
 _xlpm.x,
 _xlfn.MAXIFS(
  raw_stack!H$2:H$100000,
  raw_stack!D$2:D$100000, G148,
  raw_stack!F$2:F$100000, "Iya",
  raw_stack!G$2:G$100000, "&gt;="&amp;DATE(2025,9,1),
  raw_stack!G$2:G$100000, "&lt;="&amp;EOMONTH(DATE(2025,9,1),0)
 ),
 IF(OR(_xlpm.x=0, _xlpm.x=""), "-", _xlpm.x)
)</f>
        <v>-</v>
      </c>
      <c r="U148" s="54" t="str">
        <f>_xlfn.LET(
 _xlpm.x,
 _xlfn.MAXIFS(
  raw_stack!G$2:G$99411,
  raw_stack!D$2:D$99411, G148,
  raw_stack!F$2:F$99411, "Iya",
  raw_stack!G$2:G$99411, "&gt;="&amp;DATE(2025,10,1),
  raw_stack!G$2:G$99411, "&lt;="&amp;EOMONTH(DATE(2025,10,1),0)
 ),
 IF(_xlpm.x=0, "-", _xlpm.x)
)</f>
        <v>-</v>
      </c>
      <c r="V148" s="65" t="str">
        <f>_xlfn.LET(
 _xlpm.x,
 _xlfn.MAXIFS(
  raw_stack!H$2:H$100000,
  raw_stack!D$2:D$100000, G148,
  raw_stack!F$2:F$100000, "Iya",
  raw_stack!G$2:G$100000, "&gt;="&amp;DATE(2025,10,1),
  raw_stack!G$2:G$100000, "&lt;="&amp;EOMONTH(DATE(2025,10,1),0)
 ),
 IF(OR(_xlpm.x=0, _xlpm.x=""), "-", _xlpm.x)
)</f>
        <v>-</v>
      </c>
      <c r="W148" s="55">
        <f>_xlfn.LET(
 _xlpm.x,
 _xlfn.MAXIFS(
  raw_stack!G$2:G$99411,
  raw_stack!D$2:D$99411, G148,
  raw_stack!F$2:F$99411, "Iya",
  raw_stack!G$2:G$99411, "&gt;="&amp;DATE(2025,11,1),
  raw_stack!G$2:G$99411, "&lt;="&amp;EOMONTH(DATE(2025,11,1),0)
 ),
 IF(_xlpm.x=0, "-", _xlpm.x)
)</f>
        <v>45985</v>
      </c>
      <c r="X148" s="56">
        <f>_xlfn.LET(
 _xlpm.x,
 _xlfn.MAXIFS(
  raw_stack!H$2:H$100000,
  raw_stack!D$2:D$100000, G148,
  raw_stack!F$2:F$100000, "Iya",
  raw_stack!G$2:G$100000, "&gt;="&amp;DATE(2025,11,1),
  raw_stack!G$2:G$100000, "&lt;="&amp;EOMONTH(DATE(2025,11,1),0)
 ),
 IF(OR(_xlpm.x=0, _xlpm.x=""), "-", _xlpm.x)
)</f>
        <v>38870</v>
      </c>
      <c r="Y148" s="55" t="str">
        <f>_xlfn.LET(
 _xlpm.x,
 _xlfn.MAXIFS(
  raw_stack!G$2:G$99411,
  raw_stack!D$2:D$99411, G148,
  raw_stack!F$2:F$99411, "Iya",
  raw_stack!G$2:G$99411, "&gt;="&amp;DATE(2025,12,1),
  raw_stack!G$2:G$99411, "&lt;="&amp;EOMONTH(DATE(2025,12,1),0)
 ),
 IF(_xlpm.x=0, "-", _xlpm.x)
)</f>
        <v>-</v>
      </c>
      <c r="Z148" s="56" t="str">
        <f>_xlfn.LET(
 _xlpm.x,
 _xlfn.MAXIFS(
  raw_stack!H$2:H$100000,
  raw_stack!D$2:D$100000, G148,
  raw_stack!F$2:F$100000, "Iya",
  raw_stack!G$2:G$100000, "&gt;="&amp;DATE(2025,12,1),
  raw_stack!G$2:G$100000, "&lt;="&amp;EOMONTH(DATE(2025,12,1),0)
 ),
 IF(OR(_xlpm.x=0, _xlpm.x=""), "-", _xlpm.x)
)</f>
        <v>-</v>
      </c>
      <c r="AA148" s="55" t="str">
        <f>_xlfn.LET(
 _xlpm.x,
 _xlfn.MAXIFS(
  raw_stack!G$2:G$99411,
  raw_stack!D$2:D$99411, G148,
  raw_stack!F$2:F$99411, "Iya",
  raw_stack!G$2:G$99411, "&gt;="&amp;DATE(2026,1,1),
  raw_stack!G$2:G$99411, "&lt;="&amp;EOMONTH(DATE(2026,1,1),0)
 ),
 IF(_xlpm.x=0, "-", _xlpm.x)
)</f>
        <v>-</v>
      </c>
      <c r="AB148" s="56" t="str">
        <f>_xlfn.LET(
 _xlpm.x,
 _xlfn.MAXIFS(
  raw_stack!H$2:H$100000,
  raw_stack!D$2:D$100000, G148,
  raw_stack!F$2:F$100000, "Iya",
  raw_stack!G$2:G$100000, "&gt;="&amp;DATE(2026,1,1),
  raw_stack!G$2:G$100000, "&lt;="&amp;EOMONTH(DATE(2026,1,1),0)
 ),
 IF(OR(_xlpm.x=0, _xlpm.x=""), "-", _xlpm.x)
)</f>
        <v>-</v>
      </c>
      <c r="AC148" s="55" t="str">
        <f>_xlfn.LET(
 _xlpm.x,
 _xlfn.MAXIFS(
  raw_stack!G$2:G$99411,
  raw_stack!D$2:D$99411, G148,
  raw_stack!F$2:F$99411, "Iya",
  raw_stack!G$2:G$99411, "&gt;="&amp;DATE(2026,2,1),
  raw_stack!G$2:G$99411, "&lt;="&amp;EOMONTH(DATE(2026,2,1),0)
 ),
 IF(_xlpm.x=0, "-", _xlpm.x)
)</f>
        <v>-</v>
      </c>
      <c r="AD148" s="56" t="str">
        <f>_xlfn.LET(
 _xlpm.x,
 _xlfn.MAXIFS(
  raw_stack!H$2:H$100000,
  raw_stack!D$2:D$100000, G148,
  raw_stack!F$2:F$100000, "Iya",
  raw_stack!G$2:G$100000, "&gt;="&amp;DATE(2026,2,1),
  raw_stack!G$2:G$100000, "&lt;="&amp;EOMONTH(DATE(2026,2,1),0)
 ),
 IF(OR(_xlpm.x=0, _xlpm.x=""), "-", _xlpm.x)
)</f>
        <v>-</v>
      </c>
      <c r="AE148" s="55" t="str">
        <f>_xlfn.LET(
 _xlpm.x,
 _xlfn.MAXIFS(
  raw_stack!G$2:G$100000,
  raw_stack!D$2:D$100000, G148,
  raw_stack!F$2:F$100000, "Iya",
  raw_stack!G$2:G$100000, "&gt;="&amp;DATE(2026,3,1),
  raw_stack!G$2:G$100000, "&lt;="&amp;EOMONTH(DATE(2026,3,1),0)
 ),
 IF(_xlpm.x=0, "-", _xlpm.x)
)</f>
        <v>-</v>
      </c>
      <c r="AF148" s="56" t="str">
        <f>_xlfn.LET(
 _xlpm.x,
 _xlfn.MAXIFS(
  raw_stack!H$2:H$100000,
  raw_stack!D$2:D$100000, G148,
  raw_stack!F$2:F$100000, "Iya",
  raw_stack!G$2:G$100000, "&gt;="&amp;DATE(2026,3,1),
  raw_stack!G$2:G$100000, "&lt;="&amp;EOMONTH(DATE(2026,3,1),0)
 ),
 IF(OR(_xlpm.x=0, _xlpm.x=""), "-", _xlpm.x)
)</f>
        <v>-</v>
      </c>
      <c r="AG148" s="55" t="str">
        <f>_xlfn.LET(
 _xlpm.x,
 _xlfn.MAXIFS(
  raw_stack!G$2:G$100000,
  raw_stack!D$2:D$100000, G148,
  raw_stack!F$2:F$100000, "Iya",
  raw_stack!G$2:G$100000, "&gt;="&amp;DATE(2026,4,1),
  raw_stack!G$2:G$100000, "&lt;="&amp;EOMONTH(DATE(2026,4,1),0)
 ),
 IF(_xlpm.x=0, "-", _xlpm.x)
)</f>
        <v>-</v>
      </c>
      <c r="AH148" s="56" t="str">
        <f>_xlfn.LET(
 _xlpm.x,
 _xlfn.MAXIFS(
  raw_stack!H$2:H$100000,
  raw_stack!D$2:D$100000, G148,
  raw_stack!F$2:F$100000, "Iya",
  raw_stack!G$2:G$100000, "&gt;="&amp;DATE(2026,4,1),
  raw_stack!G$2:G$100000, "&lt;="&amp;EOMONTH(DATE(2026,4,1),0)
 ),
 IF(OR(_xlpm.x=0, _xlpm.x=""), "-", _xlpm.x)
)</f>
        <v>-</v>
      </c>
    </row>
    <row r="149" spans="1:34">
      <c r="A149" s="48">
        <v>148</v>
      </c>
      <c r="B149" s="49" t="str">
        <f t="shared" si="2"/>
        <v>91251</v>
      </c>
      <c r="C149" s="50" t="s">
        <v>46</v>
      </c>
      <c r="D149" s="51" t="s">
        <v>518</v>
      </c>
      <c r="E149" s="51" t="s">
        <v>47</v>
      </c>
      <c r="F149" s="49" t="s">
        <v>117</v>
      </c>
      <c r="G149" s="49" t="s">
        <v>265</v>
      </c>
      <c r="H149" s="49" t="s">
        <v>48</v>
      </c>
      <c r="I149" s="49" t="s">
        <v>49</v>
      </c>
      <c r="J149" s="52">
        <v>4600000</v>
      </c>
      <c r="K149" s="53">
        <v>45431</v>
      </c>
      <c r="L149" s="53">
        <v>46525</v>
      </c>
      <c r="M149" s="53">
        <v>46071</v>
      </c>
      <c r="N149" s="49" t="s">
        <v>50</v>
      </c>
      <c r="O149" s="54" t="str">
        <f>_xlfn.LET(
 _xlpm.x,
 _xlfn.MAXIFS(
  raw_stack!G$2:G$100000,
  raw_stack!D$2:D$100000, G149,
  raw_stack!F$2:F$100000, "Iya",
  raw_stack!G$2:G$100000, "&gt;="&amp;DATE(2025,7,1),
  raw_stack!G$2:G$100000, "&lt;="&amp;EOMONTH(DATE(2025,7,1),0)
 ),
 IF(_xlpm.x=0, "-", _xlpm.x)
)</f>
        <v>-</v>
      </c>
      <c r="P149" s="65" t="str">
        <f>_xlfn.LET(
 _xlpm.x,
 _xlfn.MAXIFS(
  raw_stack!H$2:H$100000,
  raw_stack!D$2:D$100000, G149,
  raw_stack!F$2:F$100000, "Iya",
  raw_stack!G$2:G$100000, "&gt;="&amp;DATE(2025,7,1),
  raw_stack!G$2:G$100000, "&lt;="&amp;EOMONTH(DATE(2025,7,1),0)
 ),
 IF(OR(_xlpm.x=0, _xlpm.x=""), "-", _xlpm.x)
)</f>
        <v>-</v>
      </c>
      <c r="Q149" s="54" t="str">
        <f>_xlfn.LET(
 _xlpm.x,
 _xlfn.MAXIFS(
  raw_stack!G$2:G$99411,
  raw_stack!D$2:D$99411, G149,
  raw_stack!F$2:F$99411, "Iya",
  raw_stack!G$2:G$99411, "&gt;="&amp;DATE(2025,8,1),
  raw_stack!G$2:G$99411, "&lt;="&amp;EOMONTH(DATE(2025,8,1),0)
 ),
 IF(_xlpm.x=0, "-", _xlpm.x)
)</f>
        <v>-</v>
      </c>
      <c r="R149" s="65" t="str">
        <f>_xlfn.LET(
 _xlpm.x,
 _xlfn.MAXIFS(
  raw_stack!H$2:H$100000,
  raw_stack!D$2:D$100000, G149,
  raw_stack!F$2:F$100000, "Iya",
  raw_stack!G$2:G$100000, "&gt;="&amp;DATE(2025,8,1),
  raw_stack!G$2:G$100000, "&lt;="&amp;EOMONTH(DATE(2025,8,1),0)
 ),
 IF(OR(_xlpm.x=0, _xlpm.x=""), "-", _xlpm.x)
)</f>
        <v>-</v>
      </c>
      <c r="S149" s="54">
        <f>_xlfn.LET(
 _xlpm.x,
 _xlfn.MAXIFS(
  raw_stack!G$2:G$99411,
  raw_stack!D$2:D$99411, G149,
  raw_stack!F$2:F$99411, "Iya",
  raw_stack!G$2:G$99411, "&gt;="&amp;DATE(2025,9,1),
  raw_stack!G$2:G$99411, "&lt;="&amp;EOMONTH(DATE(2025,9,1),0)
 ),
 IF(_xlpm.x=0, "-", _xlpm.x)
)</f>
        <v>45923</v>
      </c>
      <c r="T149" s="65">
        <f>_xlfn.LET(
 _xlpm.x,
 _xlfn.MAXIFS(
  raw_stack!H$2:H$100000,
  raw_stack!D$2:D$100000, G149,
  raw_stack!F$2:F$100000, "Iya",
  raw_stack!G$2:G$100000, "&gt;="&amp;DATE(2025,9,1),
  raw_stack!G$2:G$100000, "&lt;="&amp;EOMONTH(DATE(2025,9,1),0)
 ),
 IF(OR(_xlpm.x=0, _xlpm.x=""), "-", _xlpm.x)
)</f>
        <v>55924</v>
      </c>
      <c r="U149" s="54" t="str">
        <f>_xlfn.LET(
 _xlpm.x,
 _xlfn.MAXIFS(
  raw_stack!G$2:G$99411,
  raw_stack!D$2:D$99411, G149,
  raw_stack!F$2:F$99411, "Iya",
  raw_stack!G$2:G$99411, "&gt;="&amp;DATE(2025,10,1),
  raw_stack!G$2:G$99411, "&lt;="&amp;EOMONTH(DATE(2025,10,1),0)
 ),
 IF(_xlpm.x=0, "-", _xlpm.x)
)</f>
        <v>-</v>
      </c>
      <c r="V149" s="65" t="str">
        <f>_xlfn.LET(
 _xlpm.x,
 _xlfn.MAXIFS(
  raw_stack!H$2:H$100000,
  raw_stack!D$2:D$100000, G149,
  raw_stack!F$2:F$100000, "Iya",
  raw_stack!G$2:G$100000, "&gt;="&amp;DATE(2025,10,1),
  raw_stack!G$2:G$100000, "&lt;="&amp;EOMONTH(DATE(2025,10,1),0)
 ),
 IF(OR(_xlpm.x=0, _xlpm.x=""), "-", _xlpm.x)
)</f>
        <v>-</v>
      </c>
      <c r="W149" s="55" t="str">
        <f>_xlfn.LET(
 _xlpm.x,
 _xlfn.MAXIFS(
  raw_stack!G$2:G$99411,
  raw_stack!D$2:D$99411, G149,
  raw_stack!F$2:F$99411, "Iya",
  raw_stack!G$2:G$99411, "&gt;="&amp;DATE(2025,11,1),
  raw_stack!G$2:G$99411, "&lt;="&amp;EOMONTH(DATE(2025,11,1),0)
 ),
 IF(_xlpm.x=0, "-", _xlpm.x)
)</f>
        <v>-</v>
      </c>
      <c r="X149" s="56" t="str">
        <f>_xlfn.LET(
 _xlpm.x,
 _xlfn.MAXIFS(
  raw_stack!H$2:H$100000,
  raw_stack!D$2:D$100000, G149,
  raw_stack!F$2:F$100000, "Iya",
  raw_stack!G$2:G$100000, "&gt;="&amp;DATE(2025,11,1),
  raw_stack!G$2:G$100000, "&lt;="&amp;EOMONTH(DATE(2025,11,1),0)
 ),
 IF(OR(_xlpm.x=0, _xlpm.x=""), "-", _xlpm.x)
)</f>
        <v>-</v>
      </c>
      <c r="Y149" s="55" t="str">
        <f>_xlfn.LET(
 _xlpm.x,
 _xlfn.MAXIFS(
  raw_stack!G$2:G$99411,
  raw_stack!D$2:D$99411, G149,
  raw_stack!F$2:F$99411, "Iya",
  raw_stack!G$2:G$99411, "&gt;="&amp;DATE(2025,12,1),
  raw_stack!G$2:G$99411, "&lt;="&amp;EOMONTH(DATE(2025,12,1),0)
 ),
 IF(_xlpm.x=0, "-", _xlpm.x)
)</f>
        <v>-</v>
      </c>
      <c r="Z149" s="56" t="str">
        <f>_xlfn.LET(
 _xlpm.x,
 _xlfn.MAXIFS(
  raw_stack!H$2:H$100000,
  raw_stack!D$2:D$100000, G149,
  raw_stack!F$2:F$100000, "Iya",
  raw_stack!G$2:G$100000, "&gt;="&amp;DATE(2025,12,1),
  raw_stack!G$2:G$100000, "&lt;="&amp;EOMONTH(DATE(2025,12,1),0)
 ),
 IF(OR(_xlpm.x=0, _xlpm.x=""), "-", _xlpm.x)
)</f>
        <v>-</v>
      </c>
      <c r="AA149" s="55" t="str">
        <f>_xlfn.LET(
 _xlpm.x,
 _xlfn.MAXIFS(
  raw_stack!G$2:G$99411,
  raw_stack!D$2:D$99411, G149,
  raw_stack!F$2:F$99411, "Iya",
  raw_stack!G$2:G$99411, "&gt;="&amp;DATE(2026,1,1),
  raw_stack!G$2:G$99411, "&lt;="&amp;EOMONTH(DATE(2026,1,1),0)
 ),
 IF(_xlpm.x=0, "-", _xlpm.x)
)</f>
        <v>-</v>
      </c>
      <c r="AB149" s="56" t="str">
        <f>_xlfn.LET(
 _xlpm.x,
 _xlfn.MAXIFS(
  raw_stack!H$2:H$100000,
  raw_stack!D$2:D$100000, G149,
  raw_stack!F$2:F$100000, "Iya",
  raw_stack!G$2:G$100000, "&gt;="&amp;DATE(2026,1,1),
  raw_stack!G$2:G$100000, "&lt;="&amp;EOMONTH(DATE(2026,1,1),0)
 ),
 IF(OR(_xlpm.x=0, _xlpm.x=""), "-", _xlpm.x)
)</f>
        <v>-</v>
      </c>
      <c r="AC149" s="55" t="str">
        <f>_xlfn.LET(
 _xlpm.x,
 _xlfn.MAXIFS(
  raw_stack!G$2:G$99411,
  raw_stack!D$2:D$99411, G149,
  raw_stack!F$2:F$99411, "Iya",
  raw_stack!G$2:G$99411, "&gt;="&amp;DATE(2026,2,1),
  raw_stack!G$2:G$99411, "&lt;="&amp;EOMONTH(DATE(2026,2,1),0)
 ),
 IF(_xlpm.x=0, "-", _xlpm.x)
)</f>
        <v>-</v>
      </c>
      <c r="AD149" s="56" t="str">
        <f>_xlfn.LET(
 _xlpm.x,
 _xlfn.MAXIFS(
  raw_stack!H$2:H$100000,
  raw_stack!D$2:D$100000, G149,
  raw_stack!F$2:F$100000, "Iya",
  raw_stack!G$2:G$100000, "&gt;="&amp;DATE(2026,2,1),
  raw_stack!G$2:G$100000, "&lt;="&amp;EOMONTH(DATE(2026,2,1),0)
 ),
 IF(OR(_xlpm.x=0, _xlpm.x=""), "-", _xlpm.x)
)</f>
        <v>-</v>
      </c>
      <c r="AE149" s="55">
        <f>_xlfn.LET(
 _xlpm.x,
 _xlfn.MAXIFS(
  raw_stack!G$2:G$100000,
  raw_stack!D$2:D$100000, G149,
  raw_stack!F$2:F$100000, "Iya",
  raw_stack!G$2:G$100000, "&gt;="&amp;DATE(2026,3,1),
  raw_stack!G$2:G$100000, "&lt;="&amp;EOMONTH(DATE(2026,3,1),0)
 ),
 IF(_xlpm.x=0, "-", _xlpm.x)
)</f>
        <v>46093</v>
      </c>
      <c r="AF149" s="56">
        <f>_xlfn.LET(
 _xlpm.x,
 _xlfn.MAXIFS(
  raw_stack!H$2:H$100000,
  raw_stack!D$2:D$100000, G149,
  raw_stack!F$2:F$100000, "Iya",
  raw_stack!G$2:G$100000, "&gt;="&amp;DATE(2026,3,1),
  raw_stack!G$2:G$100000, "&lt;="&amp;EOMONTH(DATE(2026,3,1),0)
 ),
 IF(OR(_xlpm.x=0, _xlpm.x=""), "-", _xlpm.x)
)</f>
        <v>54275</v>
      </c>
      <c r="AG149" s="55" t="str">
        <f>_xlfn.LET(
 _xlpm.x,
 _xlfn.MAXIFS(
  raw_stack!G$2:G$100000,
  raw_stack!D$2:D$100000, G149,
  raw_stack!F$2:F$100000, "Iya",
  raw_stack!G$2:G$100000, "&gt;="&amp;DATE(2026,4,1),
  raw_stack!G$2:G$100000, "&lt;="&amp;EOMONTH(DATE(2026,4,1),0)
 ),
 IF(_xlpm.x=0, "-", _xlpm.x)
)</f>
        <v>-</v>
      </c>
      <c r="AH149" s="56" t="str">
        <f>_xlfn.LET(
 _xlpm.x,
 _xlfn.MAXIFS(
  raw_stack!H$2:H$100000,
  raw_stack!D$2:D$100000, G149,
  raw_stack!F$2:F$100000, "Iya",
  raw_stack!G$2:G$100000, "&gt;="&amp;DATE(2026,4,1),
  raw_stack!G$2:G$100000, "&lt;="&amp;EOMONTH(DATE(2026,4,1),0)
 ),
 IF(OR(_xlpm.x=0, _xlpm.x=""), "-", _xlpm.x)
)</f>
        <v>-</v>
      </c>
    </row>
    <row r="150" spans="1:34">
      <c r="A150" s="48">
        <v>149</v>
      </c>
      <c r="B150" s="49" t="str">
        <f t="shared" si="2"/>
        <v>30688</v>
      </c>
      <c r="C150" s="50" t="s">
        <v>46</v>
      </c>
      <c r="D150" s="51" t="s">
        <v>591</v>
      </c>
      <c r="E150" s="51" t="s">
        <v>54</v>
      </c>
      <c r="F150" s="49" t="s">
        <v>117</v>
      </c>
      <c r="G150" s="49" t="s">
        <v>266</v>
      </c>
      <c r="H150" s="49" t="s">
        <v>48</v>
      </c>
      <c r="I150" s="49" t="s">
        <v>52</v>
      </c>
      <c r="J150" s="52">
        <v>6450000</v>
      </c>
      <c r="K150" s="53">
        <v>45444</v>
      </c>
      <c r="L150" s="53">
        <v>46538</v>
      </c>
      <c r="M150" s="53">
        <v>46081</v>
      </c>
      <c r="N150" s="49" t="s">
        <v>50</v>
      </c>
      <c r="O150" s="54" t="str">
        <f>_xlfn.LET(
 _xlpm.x,
 _xlfn.MAXIFS(
  raw_stack!G$2:G$100000,
  raw_stack!D$2:D$100000, G150,
  raw_stack!F$2:F$100000, "Iya",
  raw_stack!G$2:G$100000, "&gt;="&amp;DATE(2025,7,1),
  raw_stack!G$2:G$100000, "&lt;="&amp;EOMONTH(DATE(2025,7,1),0)
 ),
 IF(_xlpm.x=0, "-", _xlpm.x)
)</f>
        <v>-</v>
      </c>
      <c r="P150" s="65" t="str">
        <f>_xlfn.LET(
 _xlpm.x,
 _xlfn.MAXIFS(
  raw_stack!H$2:H$100000,
  raw_stack!D$2:D$100000, G150,
  raw_stack!F$2:F$100000, "Iya",
  raw_stack!G$2:G$100000, "&gt;="&amp;DATE(2025,7,1),
  raw_stack!G$2:G$100000, "&lt;="&amp;EOMONTH(DATE(2025,7,1),0)
 ),
 IF(OR(_xlpm.x=0, _xlpm.x=""), "-", _xlpm.x)
)</f>
        <v>-</v>
      </c>
      <c r="Q150" s="54" t="str">
        <f>_xlfn.LET(
 _xlpm.x,
 _xlfn.MAXIFS(
  raw_stack!G$2:G$99411,
  raw_stack!D$2:D$99411, G150,
  raw_stack!F$2:F$99411, "Iya",
  raw_stack!G$2:G$99411, "&gt;="&amp;DATE(2025,8,1),
  raw_stack!G$2:G$99411, "&lt;="&amp;EOMONTH(DATE(2025,8,1),0)
 ),
 IF(_xlpm.x=0, "-", _xlpm.x)
)</f>
        <v>-</v>
      </c>
      <c r="R150" s="65" t="str">
        <f>_xlfn.LET(
 _xlpm.x,
 _xlfn.MAXIFS(
  raw_stack!H$2:H$100000,
  raw_stack!D$2:D$100000, G150,
  raw_stack!F$2:F$100000, "Iya",
  raw_stack!G$2:G$100000, "&gt;="&amp;DATE(2025,8,1),
  raw_stack!G$2:G$100000, "&lt;="&amp;EOMONTH(DATE(2025,8,1),0)
 ),
 IF(OR(_xlpm.x=0, _xlpm.x=""), "-", _xlpm.x)
)</f>
        <v>-</v>
      </c>
      <c r="S150" s="54" t="str">
        <f>_xlfn.LET(
 _xlpm.x,
 _xlfn.MAXIFS(
  raw_stack!G$2:G$99411,
  raw_stack!D$2:D$99411, G150,
  raw_stack!F$2:F$99411, "Iya",
  raw_stack!G$2:G$99411, "&gt;="&amp;DATE(2025,9,1),
  raw_stack!G$2:G$99411, "&lt;="&amp;EOMONTH(DATE(2025,9,1),0)
 ),
 IF(_xlpm.x=0, "-", _xlpm.x)
)</f>
        <v>-</v>
      </c>
      <c r="T150" s="65" t="str">
        <f>_xlfn.LET(
 _xlpm.x,
 _xlfn.MAXIFS(
  raw_stack!H$2:H$100000,
  raw_stack!D$2:D$100000, G150,
  raw_stack!F$2:F$100000, "Iya",
  raw_stack!G$2:G$100000, "&gt;="&amp;DATE(2025,9,1),
  raw_stack!G$2:G$100000, "&lt;="&amp;EOMONTH(DATE(2025,9,1),0)
 ),
 IF(OR(_xlpm.x=0, _xlpm.x=""), "-", _xlpm.x)
)</f>
        <v>-</v>
      </c>
      <c r="U150" s="54">
        <f>_xlfn.LET(
 _xlpm.x,
 _xlfn.MAXIFS(
  raw_stack!G$2:G$99411,
  raw_stack!D$2:D$99411, G150,
  raw_stack!F$2:F$99411, "Iya",
  raw_stack!G$2:G$99411, "&gt;="&amp;DATE(2025,10,1),
  raw_stack!G$2:G$99411, "&lt;="&amp;EOMONTH(DATE(2025,10,1),0)
 ),
 IF(_xlpm.x=0, "-", _xlpm.x)
)</f>
        <v>45954</v>
      </c>
      <c r="V150" s="65">
        <f>_xlfn.LET(
 _xlpm.x,
 _xlfn.MAXIFS(
  raw_stack!H$2:H$100000,
  raw_stack!D$2:D$100000, G150,
  raw_stack!F$2:F$100000, "Iya",
  raw_stack!G$2:G$100000, "&gt;="&amp;DATE(2025,10,1),
  raw_stack!G$2:G$100000, "&lt;="&amp;EOMONTH(DATE(2025,10,1),0)
 ),
 IF(OR(_xlpm.x=0, _xlpm.x=""), "-", _xlpm.x)
)</f>
        <v>40232</v>
      </c>
      <c r="W150" s="55" t="str">
        <f>_xlfn.LET(
 _xlpm.x,
 _xlfn.MAXIFS(
  raw_stack!G$2:G$99411,
  raw_stack!D$2:D$99411, G150,
  raw_stack!F$2:F$99411, "Iya",
  raw_stack!G$2:G$99411, "&gt;="&amp;DATE(2025,11,1),
  raw_stack!G$2:G$99411, "&lt;="&amp;EOMONTH(DATE(2025,11,1),0)
 ),
 IF(_xlpm.x=0, "-", _xlpm.x)
)</f>
        <v>-</v>
      </c>
      <c r="X150" s="56" t="str">
        <f>_xlfn.LET(
 _xlpm.x,
 _xlfn.MAXIFS(
  raw_stack!H$2:H$100000,
  raw_stack!D$2:D$100000, G150,
  raw_stack!F$2:F$100000, "Iya",
  raw_stack!G$2:G$100000, "&gt;="&amp;DATE(2025,11,1),
  raw_stack!G$2:G$100000, "&lt;="&amp;EOMONTH(DATE(2025,11,1),0)
 ),
 IF(OR(_xlpm.x=0, _xlpm.x=""), "-", _xlpm.x)
)</f>
        <v>-</v>
      </c>
      <c r="Y150" s="55" t="str">
        <f>_xlfn.LET(
 _xlpm.x,
 _xlfn.MAXIFS(
  raw_stack!G$2:G$99411,
  raw_stack!D$2:D$99411, G150,
  raw_stack!F$2:F$99411, "Iya",
  raw_stack!G$2:G$99411, "&gt;="&amp;DATE(2025,12,1),
  raw_stack!G$2:G$99411, "&lt;="&amp;EOMONTH(DATE(2025,12,1),0)
 ),
 IF(_xlpm.x=0, "-", _xlpm.x)
)</f>
        <v>-</v>
      </c>
      <c r="Z150" s="56" t="str">
        <f>_xlfn.LET(
 _xlpm.x,
 _xlfn.MAXIFS(
  raw_stack!H$2:H$100000,
  raw_stack!D$2:D$100000, G150,
  raw_stack!F$2:F$100000, "Iya",
  raw_stack!G$2:G$100000, "&gt;="&amp;DATE(2025,12,1),
  raw_stack!G$2:G$100000, "&lt;="&amp;EOMONTH(DATE(2025,12,1),0)
 ),
 IF(OR(_xlpm.x=0, _xlpm.x=""), "-", _xlpm.x)
)</f>
        <v>-</v>
      </c>
      <c r="AA150" s="55" t="str">
        <f>_xlfn.LET(
 _xlpm.x,
 _xlfn.MAXIFS(
  raw_stack!G$2:G$99411,
  raw_stack!D$2:D$99411, G150,
  raw_stack!F$2:F$99411, "Iya",
  raw_stack!G$2:G$99411, "&gt;="&amp;DATE(2026,1,1),
  raw_stack!G$2:G$99411, "&lt;="&amp;EOMONTH(DATE(2026,1,1),0)
 ),
 IF(_xlpm.x=0, "-", _xlpm.x)
)</f>
        <v>-</v>
      </c>
      <c r="AB150" s="56" t="str">
        <f>_xlfn.LET(
 _xlpm.x,
 _xlfn.MAXIFS(
  raw_stack!H$2:H$100000,
  raw_stack!D$2:D$100000, G150,
  raw_stack!F$2:F$100000, "Iya",
  raw_stack!G$2:G$100000, "&gt;="&amp;DATE(2026,1,1),
  raw_stack!G$2:G$100000, "&lt;="&amp;EOMONTH(DATE(2026,1,1),0)
 ),
 IF(OR(_xlpm.x=0, _xlpm.x=""), "-", _xlpm.x)
)</f>
        <v>-</v>
      </c>
      <c r="AC150" s="55" t="str">
        <f>_xlfn.LET(
 _xlpm.x,
 _xlfn.MAXIFS(
  raw_stack!G$2:G$99411,
  raw_stack!D$2:D$99411, G150,
  raw_stack!F$2:F$99411, "Iya",
  raw_stack!G$2:G$99411, "&gt;="&amp;DATE(2026,2,1),
  raw_stack!G$2:G$99411, "&lt;="&amp;EOMONTH(DATE(2026,2,1),0)
 ),
 IF(_xlpm.x=0, "-", _xlpm.x)
)</f>
        <v>-</v>
      </c>
      <c r="AD150" s="56" t="str">
        <f>_xlfn.LET(
 _xlpm.x,
 _xlfn.MAXIFS(
  raw_stack!H$2:H$100000,
  raw_stack!D$2:D$100000, G150,
  raw_stack!F$2:F$100000, "Iya",
  raw_stack!G$2:G$100000, "&gt;="&amp;DATE(2026,2,1),
  raw_stack!G$2:G$100000, "&lt;="&amp;EOMONTH(DATE(2026,2,1),0)
 ),
 IF(OR(_xlpm.x=0, _xlpm.x=""), "-", _xlpm.x)
)</f>
        <v>-</v>
      </c>
      <c r="AE150" s="55" t="str">
        <f>_xlfn.LET(
 _xlpm.x,
 _xlfn.MAXIFS(
  raw_stack!G$2:G$100000,
  raw_stack!D$2:D$100000, G150,
  raw_stack!F$2:F$100000, "Iya",
  raw_stack!G$2:G$100000, "&gt;="&amp;DATE(2026,3,1),
  raw_stack!G$2:G$100000, "&lt;="&amp;EOMONTH(DATE(2026,3,1),0)
 ),
 IF(_xlpm.x=0, "-", _xlpm.x)
)</f>
        <v>-</v>
      </c>
      <c r="AF150" s="56" t="str">
        <f>_xlfn.LET(
 _xlpm.x,
 _xlfn.MAXIFS(
  raw_stack!H$2:H$100000,
  raw_stack!D$2:D$100000, G150,
  raw_stack!F$2:F$100000, "Iya",
  raw_stack!G$2:G$100000, "&gt;="&amp;DATE(2026,3,1),
  raw_stack!G$2:G$100000, "&lt;="&amp;EOMONTH(DATE(2026,3,1),0)
 ),
 IF(OR(_xlpm.x=0, _xlpm.x=""), "-", _xlpm.x)
)</f>
        <v>-</v>
      </c>
      <c r="AG150" s="55" t="str">
        <f>_xlfn.LET(
 _xlpm.x,
 _xlfn.MAXIFS(
  raw_stack!G$2:G$100000,
  raw_stack!D$2:D$100000, G150,
  raw_stack!F$2:F$100000, "Iya",
  raw_stack!G$2:G$100000, "&gt;="&amp;DATE(2026,4,1),
  raw_stack!G$2:G$100000, "&lt;="&amp;EOMONTH(DATE(2026,4,1),0)
 ),
 IF(_xlpm.x=0, "-", _xlpm.x)
)</f>
        <v>-</v>
      </c>
      <c r="AH150" s="56" t="str">
        <f>_xlfn.LET(
 _xlpm.x,
 _xlfn.MAXIFS(
  raw_stack!H$2:H$100000,
  raw_stack!D$2:D$100000, G150,
  raw_stack!F$2:F$100000, "Iya",
  raw_stack!G$2:G$100000, "&gt;="&amp;DATE(2026,4,1),
  raw_stack!G$2:G$100000, "&lt;="&amp;EOMONTH(DATE(2026,4,1),0)
 ),
 IF(OR(_xlpm.x=0, _xlpm.x=""), "-", _xlpm.x)
)</f>
        <v>-</v>
      </c>
    </row>
    <row r="151" spans="1:34">
      <c r="A151" s="48">
        <v>150</v>
      </c>
      <c r="B151" s="49" t="str">
        <f t="shared" si="2"/>
        <v>55926</v>
      </c>
      <c r="C151" s="50" t="s">
        <v>46</v>
      </c>
      <c r="D151" s="51" t="s">
        <v>459</v>
      </c>
      <c r="E151" s="51" t="s">
        <v>47</v>
      </c>
      <c r="F151" s="49" t="s">
        <v>117</v>
      </c>
      <c r="G151" s="49" t="s">
        <v>267</v>
      </c>
      <c r="H151" s="49" t="s">
        <v>48</v>
      </c>
      <c r="I151" s="49" t="s">
        <v>49</v>
      </c>
      <c r="J151" s="52">
        <v>4425000</v>
      </c>
      <c r="K151" s="53">
        <v>45449</v>
      </c>
      <c r="L151" s="53">
        <v>46543</v>
      </c>
      <c r="M151" s="53">
        <v>46086</v>
      </c>
      <c r="N151" s="49" t="s">
        <v>50</v>
      </c>
      <c r="O151" s="54">
        <f>_xlfn.LET(
 _xlpm.x,
 _xlfn.MAXIFS(
  raw_stack!G$2:G$100000,
  raw_stack!D$2:D$100000, G151,
  raw_stack!F$2:F$100000, "Iya",
  raw_stack!G$2:G$100000, "&gt;="&amp;DATE(2025,7,1),
  raw_stack!G$2:G$100000, "&lt;="&amp;EOMONTH(DATE(2025,7,1),0)
 ),
 IF(_xlpm.x=0, "-", _xlpm.x)
)</f>
        <v>45839</v>
      </c>
      <c r="P151" s="65">
        <f>_xlfn.LET(
 _xlpm.x,
 _xlfn.MAXIFS(
  raw_stack!H$2:H$100000,
  raw_stack!D$2:D$100000, G151,
  raw_stack!F$2:F$100000, "Iya",
  raw_stack!G$2:G$100000, "&gt;="&amp;DATE(2025,7,1),
  raw_stack!G$2:G$100000, "&lt;="&amp;EOMONTH(DATE(2025,7,1),0)
 ),
 IF(OR(_xlpm.x=0, _xlpm.x=""), "-", _xlpm.x)
)</f>
        <v>22348</v>
      </c>
      <c r="Q151" s="54">
        <f>_xlfn.LET(
 _xlpm.x,
 _xlfn.MAXIFS(
  raw_stack!G$2:G$99411,
  raw_stack!D$2:D$99411, G151,
  raw_stack!F$2:F$99411, "Iya",
  raw_stack!G$2:G$99411, "&gt;="&amp;DATE(2025,8,1),
  raw_stack!G$2:G$99411, "&lt;="&amp;EOMONTH(DATE(2025,8,1),0)
 ),
 IF(_xlpm.x=0, "-", _xlpm.x)
)</f>
        <v>45895</v>
      </c>
      <c r="R151" s="65">
        <f>_xlfn.LET(
 _xlpm.x,
 _xlfn.MAXIFS(
  raw_stack!H$2:H$100000,
  raw_stack!D$2:D$100000, G151,
  raw_stack!F$2:F$100000, "Iya",
  raw_stack!G$2:G$100000, "&gt;="&amp;DATE(2025,8,1),
  raw_stack!G$2:G$100000, "&lt;="&amp;EOMONTH(DATE(2025,8,1),0)
 ),
 IF(OR(_xlpm.x=0, _xlpm.x=""), "-", _xlpm.x)
)</f>
        <v>23777</v>
      </c>
      <c r="S151" s="54" t="str">
        <f>_xlfn.LET(
 _xlpm.x,
 _xlfn.MAXIFS(
  raw_stack!G$2:G$99411,
  raw_stack!D$2:D$99411, G151,
  raw_stack!F$2:F$99411, "Iya",
  raw_stack!G$2:G$99411, "&gt;="&amp;DATE(2025,9,1),
  raw_stack!G$2:G$99411, "&lt;="&amp;EOMONTH(DATE(2025,9,1),0)
 ),
 IF(_xlpm.x=0, "-", _xlpm.x)
)</f>
        <v>-</v>
      </c>
      <c r="T151" s="65" t="str">
        <f>_xlfn.LET(
 _xlpm.x,
 _xlfn.MAXIFS(
  raw_stack!H$2:H$100000,
  raw_stack!D$2:D$100000, G151,
  raw_stack!F$2:F$100000, "Iya",
  raw_stack!G$2:G$100000, "&gt;="&amp;DATE(2025,9,1),
  raw_stack!G$2:G$100000, "&lt;="&amp;EOMONTH(DATE(2025,9,1),0)
 ),
 IF(OR(_xlpm.x=0, _xlpm.x=""), "-", _xlpm.x)
)</f>
        <v>-</v>
      </c>
      <c r="U151" s="54" t="str">
        <f>_xlfn.LET(
 _xlpm.x,
 _xlfn.MAXIFS(
  raw_stack!G$2:G$99411,
  raw_stack!D$2:D$99411, G151,
  raw_stack!F$2:F$99411, "Iya",
  raw_stack!G$2:G$99411, "&gt;="&amp;DATE(2025,10,1),
  raw_stack!G$2:G$99411, "&lt;="&amp;EOMONTH(DATE(2025,10,1),0)
 ),
 IF(_xlpm.x=0, "-", _xlpm.x)
)</f>
        <v>-</v>
      </c>
      <c r="V151" s="65" t="str">
        <f>_xlfn.LET(
 _xlpm.x,
 _xlfn.MAXIFS(
  raw_stack!H$2:H$100000,
  raw_stack!D$2:D$100000, G151,
  raw_stack!F$2:F$100000, "Iya",
  raw_stack!G$2:G$100000, "&gt;="&amp;DATE(2025,10,1),
  raw_stack!G$2:G$100000, "&lt;="&amp;EOMONTH(DATE(2025,10,1),0)
 ),
 IF(OR(_xlpm.x=0, _xlpm.x=""), "-", _xlpm.x)
)</f>
        <v>-</v>
      </c>
      <c r="W151" s="55">
        <f>_xlfn.LET(
 _xlpm.x,
 _xlfn.MAXIFS(
  raw_stack!G$2:G$99411,
  raw_stack!D$2:D$99411, G151,
  raw_stack!F$2:F$99411, "Iya",
  raw_stack!G$2:G$99411, "&gt;="&amp;DATE(2025,11,1),
  raw_stack!G$2:G$99411, "&lt;="&amp;EOMONTH(DATE(2025,11,1),0)
 ),
 IF(_xlpm.x=0, "-", _xlpm.x)
)</f>
        <v>45982</v>
      </c>
      <c r="X151" s="56">
        <f>_xlfn.LET(
 _xlpm.x,
 _xlfn.MAXIFS(
  raw_stack!H$2:H$100000,
  raw_stack!D$2:D$100000, G151,
  raw_stack!F$2:F$100000, "Iya",
  raw_stack!G$2:G$100000, "&gt;="&amp;DATE(2025,11,1),
  raw_stack!G$2:G$100000, "&lt;="&amp;EOMONTH(DATE(2025,11,1),0)
 ),
 IF(OR(_xlpm.x=0, _xlpm.x=""), "-", _xlpm.x)
)</f>
        <v>35464</v>
      </c>
      <c r="Y151" s="55" t="str">
        <f>_xlfn.LET(
 _xlpm.x,
 _xlfn.MAXIFS(
  raw_stack!G$2:G$99411,
  raw_stack!D$2:D$99411, G151,
  raw_stack!F$2:F$99411, "Iya",
  raw_stack!G$2:G$99411, "&gt;="&amp;DATE(2025,12,1),
  raw_stack!G$2:G$99411, "&lt;="&amp;EOMONTH(DATE(2025,12,1),0)
 ),
 IF(_xlpm.x=0, "-", _xlpm.x)
)</f>
        <v>-</v>
      </c>
      <c r="Z151" s="56" t="str">
        <f>_xlfn.LET(
 _xlpm.x,
 _xlfn.MAXIFS(
  raw_stack!H$2:H$100000,
  raw_stack!D$2:D$100000, G151,
  raw_stack!F$2:F$100000, "Iya",
  raw_stack!G$2:G$100000, "&gt;="&amp;DATE(2025,12,1),
  raw_stack!G$2:G$100000, "&lt;="&amp;EOMONTH(DATE(2025,12,1),0)
 ),
 IF(OR(_xlpm.x=0, _xlpm.x=""), "-", _xlpm.x)
)</f>
        <v>-</v>
      </c>
      <c r="AA151" s="55" t="str">
        <f>_xlfn.LET(
 _xlpm.x,
 _xlfn.MAXIFS(
  raw_stack!G$2:G$99411,
  raw_stack!D$2:D$99411, G151,
  raw_stack!F$2:F$99411, "Iya",
  raw_stack!G$2:G$99411, "&gt;="&amp;DATE(2026,1,1),
  raw_stack!G$2:G$99411, "&lt;="&amp;EOMONTH(DATE(2026,1,1),0)
 ),
 IF(_xlpm.x=0, "-", _xlpm.x)
)</f>
        <v>-</v>
      </c>
      <c r="AB151" s="56" t="str">
        <f>_xlfn.LET(
 _xlpm.x,
 _xlfn.MAXIFS(
  raw_stack!H$2:H$100000,
  raw_stack!D$2:D$100000, G151,
  raw_stack!F$2:F$100000, "Iya",
  raw_stack!G$2:G$100000, "&gt;="&amp;DATE(2026,1,1),
  raw_stack!G$2:G$100000, "&lt;="&amp;EOMONTH(DATE(2026,1,1),0)
 ),
 IF(OR(_xlpm.x=0, _xlpm.x=""), "-", _xlpm.x)
)</f>
        <v>-</v>
      </c>
      <c r="AC151" s="55" t="str">
        <f>_xlfn.LET(
 _xlpm.x,
 _xlfn.MAXIFS(
  raw_stack!G$2:G$99411,
  raw_stack!D$2:D$99411, G151,
  raw_stack!F$2:F$99411, "Iya",
  raw_stack!G$2:G$99411, "&gt;="&amp;DATE(2026,2,1),
  raw_stack!G$2:G$99411, "&lt;="&amp;EOMONTH(DATE(2026,2,1),0)
 ),
 IF(_xlpm.x=0, "-", _xlpm.x)
)</f>
        <v>-</v>
      </c>
      <c r="AD151" s="56" t="str">
        <f>_xlfn.LET(
 _xlpm.x,
 _xlfn.MAXIFS(
  raw_stack!H$2:H$100000,
  raw_stack!D$2:D$100000, G151,
  raw_stack!F$2:F$100000, "Iya",
  raw_stack!G$2:G$100000, "&gt;="&amp;DATE(2026,2,1),
  raw_stack!G$2:G$100000, "&lt;="&amp;EOMONTH(DATE(2026,2,1),0)
 ),
 IF(OR(_xlpm.x=0, _xlpm.x=""), "-", _xlpm.x)
)</f>
        <v>-</v>
      </c>
      <c r="AE151" s="55" t="str">
        <f>_xlfn.LET(
 _xlpm.x,
 _xlfn.MAXIFS(
  raw_stack!G$2:G$100000,
  raw_stack!D$2:D$100000, G151,
  raw_stack!F$2:F$100000, "Iya",
  raw_stack!G$2:G$100000, "&gt;="&amp;DATE(2026,3,1),
  raw_stack!G$2:G$100000, "&lt;="&amp;EOMONTH(DATE(2026,3,1),0)
 ),
 IF(_xlpm.x=0, "-", _xlpm.x)
)</f>
        <v>-</v>
      </c>
      <c r="AF151" s="56" t="str">
        <f>_xlfn.LET(
 _xlpm.x,
 _xlfn.MAXIFS(
  raw_stack!H$2:H$100000,
  raw_stack!D$2:D$100000, G151,
  raw_stack!F$2:F$100000, "Iya",
  raw_stack!G$2:G$100000, "&gt;="&amp;DATE(2026,3,1),
  raw_stack!G$2:G$100000, "&lt;="&amp;EOMONTH(DATE(2026,3,1),0)
 ),
 IF(OR(_xlpm.x=0, _xlpm.x=""), "-", _xlpm.x)
)</f>
        <v>-</v>
      </c>
      <c r="AG151" s="55" t="str">
        <f>_xlfn.LET(
 _xlpm.x,
 _xlfn.MAXIFS(
  raw_stack!G$2:G$100000,
  raw_stack!D$2:D$100000, G151,
  raw_stack!F$2:F$100000, "Iya",
  raw_stack!G$2:G$100000, "&gt;="&amp;DATE(2026,4,1),
  raw_stack!G$2:G$100000, "&lt;="&amp;EOMONTH(DATE(2026,4,1),0)
 ),
 IF(_xlpm.x=0, "-", _xlpm.x)
)</f>
        <v>-</v>
      </c>
      <c r="AH151" s="56" t="str">
        <f>_xlfn.LET(
 _xlpm.x,
 _xlfn.MAXIFS(
  raw_stack!H$2:H$100000,
  raw_stack!D$2:D$100000, G151,
  raw_stack!F$2:F$100000, "Iya",
  raw_stack!G$2:G$100000, "&gt;="&amp;DATE(2026,4,1),
  raw_stack!G$2:G$100000, "&lt;="&amp;EOMONTH(DATE(2026,4,1),0)
 ),
 IF(OR(_xlpm.x=0, _xlpm.x=""), "-", _xlpm.x)
)</f>
        <v>-</v>
      </c>
    </row>
    <row r="152" spans="1:34">
      <c r="A152" s="48">
        <v>151</v>
      </c>
      <c r="B152" s="49" t="str">
        <f t="shared" si="2"/>
        <v>95840</v>
      </c>
      <c r="C152" s="50" t="s">
        <v>46</v>
      </c>
      <c r="D152" s="51" t="s">
        <v>592</v>
      </c>
      <c r="E152" s="51" t="s">
        <v>53</v>
      </c>
      <c r="F152" s="49" t="s">
        <v>117</v>
      </c>
      <c r="G152" s="49" t="s">
        <v>268</v>
      </c>
      <c r="H152" s="49" t="s">
        <v>48</v>
      </c>
      <c r="I152" s="49" t="s">
        <v>52</v>
      </c>
      <c r="J152" s="52">
        <v>5575000</v>
      </c>
      <c r="K152" s="53">
        <v>45449</v>
      </c>
      <c r="L152" s="53">
        <v>46543</v>
      </c>
      <c r="M152" s="53">
        <v>46086</v>
      </c>
      <c r="N152" s="49" t="s">
        <v>50</v>
      </c>
      <c r="O152" s="54" t="str">
        <f>_xlfn.LET(
 _xlpm.x,
 _xlfn.MAXIFS(
  raw_stack!G$2:G$100000,
  raw_stack!D$2:D$100000, G152,
  raw_stack!F$2:F$100000, "Iya",
  raw_stack!G$2:G$100000, "&gt;="&amp;DATE(2025,7,1),
  raw_stack!G$2:G$100000, "&lt;="&amp;EOMONTH(DATE(2025,7,1),0)
 ),
 IF(_xlpm.x=0, "-", _xlpm.x)
)</f>
        <v>-</v>
      </c>
      <c r="P152" s="65" t="str">
        <f>_xlfn.LET(
 _xlpm.x,
 _xlfn.MAXIFS(
  raw_stack!H$2:H$100000,
  raw_stack!D$2:D$100000, G152,
  raw_stack!F$2:F$100000, "Iya",
  raw_stack!G$2:G$100000, "&gt;="&amp;DATE(2025,7,1),
  raw_stack!G$2:G$100000, "&lt;="&amp;EOMONTH(DATE(2025,7,1),0)
 ),
 IF(OR(_xlpm.x=0, _xlpm.x=""), "-", _xlpm.x)
)</f>
        <v>-</v>
      </c>
      <c r="Q152" s="54" t="str">
        <f>_xlfn.LET(
 _xlpm.x,
 _xlfn.MAXIFS(
  raw_stack!G$2:G$99411,
  raw_stack!D$2:D$99411, G152,
  raw_stack!F$2:F$99411, "Iya",
  raw_stack!G$2:G$99411, "&gt;="&amp;DATE(2025,8,1),
  raw_stack!G$2:G$99411, "&lt;="&amp;EOMONTH(DATE(2025,8,1),0)
 ),
 IF(_xlpm.x=0, "-", _xlpm.x)
)</f>
        <v>-</v>
      </c>
      <c r="R152" s="65" t="str">
        <f>_xlfn.LET(
 _xlpm.x,
 _xlfn.MAXIFS(
  raw_stack!H$2:H$100000,
  raw_stack!D$2:D$100000, G152,
  raw_stack!F$2:F$100000, "Iya",
  raw_stack!G$2:G$100000, "&gt;="&amp;DATE(2025,8,1),
  raw_stack!G$2:G$100000, "&lt;="&amp;EOMONTH(DATE(2025,8,1),0)
 ),
 IF(OR(_xlpm.x=0, _xlpm.x=""), "-", _xlpm.x)
)</f>
        <v>-</v>
      </c>
      <c r="S152" s="54">
        <f>_xlfn.LET(
 _xlpm.x,
 _xlfn.MAXIFS(
  raw_stack!G$2:G$99411,
  raw_stack!D$2:D$99411, G152,
  raw_stack!F$2:F$99411, "Iya",
  raw_stack!G$2:G$99411, "&gt;="&amp;DATE(2025,9,1),
  raw_stack!G$2:G$99411, "&lt;="&amp;EOMONTH(DATE(2025,9,1),0)
 ),
 IF(_xlpm.x=0, "-", _xlpm.x)
)</f>
        <v>45915</v>
      </c>
      <c r="T152" s="65">
        <f>_xlfn.LET(
 _xlpm.x,
 _xlfn.MAXIFS(
  raw_stack!H$2:H$100000,
  raw_stack!D$2:D$100000, G152,
  raw_stack!F$2:F$100000, "Iya",
  raw_stack!G$2:G$100000, "&gt;="&amp;DATE(2025,9,1),
  raw_stack!G$2:G$100000, "&lt;="&amp;EOMONTH(DATE(2025,9,1),0)
 ),
 IF(OR(_xlpm.x=0, _xlpm.x=""), "-", _xlpm.x)
)</f>
        <v>33318</v>
      </c>
      <c r="U152" s="54" t="str">
        <f>_xlfn.LET(
 _xlpm.x,
 _xlfn.MAXIFS(
  raw_stack!G$2:G$99411,
  raw_stack!D$2:D$99411, G152,
  raw_stack!F$2:F$99411, "Iya",
  raw_stack!G$2:G$99411, "&gt;="&amp;DATE(2025,10,1),
  raw_stack!G$2:G$99411, "&lt;="&amp;EOMONTH(DATE(2025,10,1),0)
 ),
 IF(_xlpm.x=0, "-", _xlpm.x)
)</f>
        <v>-</v>
      </c>
      <c r="V152" s="65" t="str">
        <f>_xlfn.LET(
 _xlpm.x,
 _xlfn.MAXIFS(
  raw_stack!H$2:H$100000,
  raw_stack!D$2:D$100000, G152,
  raw_stack!F$2:F$100000, "Iya",
  raw_stack!G$2:G$100000, "&gt;="&amp;DATE(2025,10,1),
  raw_stack!G$2:G$100000, "&lt;="&amp;EOMONTH(DATE(2025,10,1),0)
 ),
 IF(OR(_xlpm.x=0, _xlpm.x=""), "-", _xlpm.x)
)</f>
        <v>-</v>
      </c>
      <c r="W152" s="55" t="str">
        <f>_xlfn.LET(
 _xlpm.x,
 _xlfn.MAXIFS(
  raw_stack!G$2:G$99411,
  raw_stack!D$2:D$99411, G152,
  raw_stack!F$2:F$99411, "Iya",
  raw_stack!G$2:G$99411, "&gt;="&amp;DATE(2025,11,1),
  raw_stack!G$2:G$99411, "&lt;="&amp;EOMONTH(DATE(2025,11,1),0)
 ),
 IF(_xlpm.x=0, "-", _xlpm.x)
)</f>
        <v>-</v>
      </c>
      <c r="X152" s="56" t="str">
        <f>_xlfn.LET(
 _xlpm.x,
 _xlfn.MAXIFS(
  raw_stack!H$2:H$100000,
  raw_stack!D$2:D$100000, G152,
  raw_stack!F$2:F$100000, "Iya",
  raw_stack!G$2:G$100000, "&gt;="&amp;DATE(2025,11,1),
  raw_stack!G$2:G$100000, "&lt;="&amp;EOMONTH(DATE(2025,11,1),0)
 ),
 IF(OR(_xlpm.x=0, _xlpm.x=""), "-", _xlpm.x)
)</f>
        <v>-</v>
      </c>
      <c r="Y152" s="55" t="str">
        <f>_xlfn.LET(
 _xlpm.x,
 _xlfn.MAXIFS(
  raw_stack!G$2:G$99411,
  raw_stack!D$2:D$99411, G152,
  raw_stack!F$2:F$99411, "Iya",
  raw_stack!G$2:G$99411, "&gt;="&amp;DATE(2025,12,1),
  raw_stack!G$2:G$99411, "&lt;="&amp;EOMONTH(DATE(2025,12,1),0)
 ),
 IF(_xlpm.x=0, "-", _xlpm.x)
)</f>
        <v>-</v>
      </c>
      <c r="Z152" s="56" t="str">
        <f>_xlfn.LET(
 _xlpm.x,
 _xlfn.MAXIFS(
  raw_stack!H$2:H$100000,
  raw_stack!D$2:D$100000, G152,
  raw_stack!F$2:F$100000, "Iya",
  raw_stack!G$2:G$100000, "&gt;="&amp;DATE(2025,12,1),
  raw_stack!G$2:G$100000, "&lt;="&amp;EOMONTH(DATE(2025,12,1),0)
 ),
 IF(OR(_xlpm.x=0, _xlpm.x=""), "-", _xlpm.x)
)</f>
        <v>-</v>
      </c>
      <c r="AA152" s="55">
        <f>_xlfn.LET(
 _xlpm.x,
 _xlfn.MAXIFS(
  raw_stack!G$2:G$99411,
  raw_stack!D$2:D$99411, G152,
  raw_stack!F$2:F$99411, "Iya",
  raw_stack!G$2:G$99411, "&gt;="&amp;DATE(2026,1,1),
  raw_stack!G$2:G$99411, "&lt;="&amp;EOMONTH(DATE(2026,1,1),0)
 ),
 IF(_xlpm.x=0, "-", _xlpm.x)
)</f>
        <v>46034</v>
      </c>
      <c r="AB152" s="56">
        <f>_xlfn.LET(
 _xlpm.x,
 _xlfn.MAXIFS(
  raw_stack!H$2:H$100000,
  raw_stack!D$2:D$100000, G152,
  raw_stack!F$2:F$100000, "Iya",
  raw_stack!G$2:G$100000, "&gt;="&amp;DATE(2026,1,1),
  raw_stack!G$2:G$100000, "&lt;="&amp;EOMONTH(DATE(2026,1,1),0)
 ),
 IF(OR(_xlpm.x=0, _xlpm.x=""), "-", _xlpm.x)
)</f>
        <v>36968</v>
      </c>
      <c r="AC152" s="55" t="str">
        <f>_xlfn.LET(
 _xlpm.x,
 _xlfn.MAXIFS(
  raw_stack!G$2:G$99411,
  raw_stack!D$2:D$99411, G152,
  raw_stack!F$2:F$99411, "Iya",
  raw_stack!G$2:G$99411, "&gt;="&amp;DATE(2026,2,1),
  raw_stack!G$2:G$99411, "&lt;="&amp;EOMONTH(DATE(2026,2,1),0)
 ),
 IF(_xlpm.x=0, "-", _xlpm.x)
)</f>
        <v>-</v>
      </c>
      <c r="AD152" s="56" t="str">
        <f>_xlfn.LET(
 _xlpm.x,
 _xlfn.MAXIFS(
  raw_stack!H$2:H$100000,
  raw_stack!D$2:D$100000, G152,
  raw_stack!F$2:F$100000, "Iya",
  raw_stack!G$2:G$100000, "&gt;="&amp;DATE(2026,2,1),
  raw_stack!G$2:G$100000, "&lt;="&amp;EOMONTH(DATE(2026,2,1),0)
 ),
 IF(OR(_xlpm.x=0, _xlpm.x=""), "-", _xlpm.x)
)</f>
        <v>-</v>
      </c>
      <c r="AE152" s="55" t="str">
        <f>_xlfn.LET(
 _xlpm.x,
 _xlfn.MAXIFS(
  raw_stack!G$2:G$100000,
  raw_stack!D$2:D$100000, G152,
  raw_stack!F$2:F$100000, "Iya",
  raw_stack!G$2:G$100000, "&gt;="&amp;DATE(2026,3,1),
  raw_stack!G$2:G$100000, "&lt;="&amp;EOMONTH(DATE(2026,3,1),0)
 ),
 IF(_xlpm.x=0, "-", _xlpm.x)
)</f>
        <v>-</v>
      </c>
      <c r="AF152" s="56" t="str">
        <f>_xlfn.LET(
 _xlpm.x,
 _xlfn.MAXIFS(
  raw_stack!H$2:H$100000,
  raw_stack!D$2:D$100000, G152,
  raw_stack!F$2:F$100000, "Iya",
  raw_stack!G$2:G$100000, "&gt;="&amp;DATE(2026,3,1),
  raw_stack!G$2:G$100000, "&lt;="&amp;EOMONTH(DATE(2026,3,1),0)
 ),
 IF(OR(_xlpm.x=0, _xlpm.x=""), "-", _xlpm.x)
)</f>
        <v>-</v>
      </c>
      <c r="AG152" s="55" t="str">
        <f>_xlfn.LET(
 _xlpm.x,
 _xlfn.MAXIFS(
  raw_stack!G$2:G$100000,
  raw_stack!D$2:D$100000, G152,
  raw_stack!F$2:F$100000, "Iya",
  raw_stack!G$2:G$100000, "&gt;="&amp;DATE(2026,4,1),
  raw_stack!G$2:G$100000, "&lt;="&amp;EOMONTH(DATE(2026,4,1),0)
 ),
 IF(_xlpm.x=0, "-", _xlpm.x)
)</f>
        <v>-</v>
      </c>
      <c r="AH152" s="56" t="str">
        <f>_xlfn.LET(
 _xlpm.x,
 _xlfn.MAXIFS(
  raw_stack!H$2:H$100000,
  raw_stack!D$2:D$100000, G152,
  raw_stack!F$2:F$100000, "Iya",
  raw_stack!G$2:G$100000, "&gt;="&amp;DATE(2026,4,1),
  raw_stack!G$2:G$100000, "&lt;="&amp;EOMONTH(DATE(2026,4,1),0)
 ),
 IF(OR(_xlpm.x=0, _xlpm.x=""), "-", _xlpm.x)
)</f>
        <v>-</v>
      </c>
    </row>
    <row r="153" spans="1:34">
      <c r="A153" s="48">
        <v>152</v>
      </c>
      <c r="B153" s="49" t="str">
        <f t="shared" si="2"/>
        <v>86850</v>
      </c>
      <c r="C153" s="50" t="s">
        <v>46</v>
      </c>
      <c r="D153" s="51" t="s">
        <v>593</v>
      </c>
      <c r="E153" s="51" t="s">
        <v>51</v>
      </c>
      <c r="F153" s="49" t="s">
        <v>117</v>
      </c>
      <c r="G153" s="49" t="s">
        <v>269</v>
      </c>
      <c r="H153" s="49" t="s">
        <v>48</v>
      </c>
      <c r="I153" s="49" t="s">
        <v>52</v>
      </c>
      <c r="J153" s="52">
        <v>4100000</v>
      </c>
      <c r="K153" s="53">
        <v>45454</v>
      </c>
      <c r="L153" s="53">
        <v>46548</v>
      </c>
      <c r="M153" s="53">
        <v>46099</v>
      </c>
      <c r="N153" s="49" t="s">
        <v>50</v>
      </c>
      <c r="O153" s="54">
        <f>_xlfn.LET(
 _xlpm.x,
 _xlfn.MAXIFS(
  raw_stack!G$2:G$100000,
  raw_stack!D$2:D$100000, G153,
  raw_stack!F$2:F$100000, "Iya",
  raw_stack!G$2:G$100000, "&gt;="&amp;DATE(2025,7,1),
  raw_stack!G$2:G$100000, "&lt;="&amp;EOMONTH(DATE(2025,7,1),0)
 ),
 IF(_xlpm.x=0, "-", _xlpm.x)
)</f>
        <v>45861</v>
      </c>
      <c r="P153" s="65">
        <f>_xlfn.LET(
 _xlpm.x,
 _xlfn.MAXIFS(
  raw_stack!H$2:H$100000,
  raw_stack!D$2:D$100000, G153,
  raw_stack!F$2:F$100000, "Iya",
  raw_stack!G$2:G$100000, "&gt;="&amp;DATE(2025,7,1),
  raw_stack!G$2:G$100000, "&lt;="&amp;EOMONTH(DATE(2025,7,1),0)
 ),
 IF(OR(_xlpm.x=0, _xlpm.x=""), "-", _xlpm.x)
)</f>
        <v>24332</v>
      </c>
      <c r="Q153" s="54" t="str">
        <f>_xlfn.LET(
 _xlpm.x,
 _xlfn.MAXIFS(
  raw_stack!G$2:G$99411,
  raw_stack!D$2:D$99411, G153,
  raw_stack!F$2:F$99411, "Iya",
  raw_stack!G$2:G$99411, "&gt;="&amp;DATE(2025,8,1),
  raw_stack!G$2:G$99411, "&lt;="&amp;EOMONTH(DATE(2025,8,1),0)
 ),
 IF(_xlpm.x=0, "-", _xlpm.x)
)</f>
        <v>-</v>
      </c>
      <c r="R153" s="65" t="str">
        <f>_xlfn.LET(
 _xlpm.x,
 _xlfn.MAXIFS(
  raw_stack!H$2:H$100000,
  raw_stack!D$2:D$100000, G153,
  raw_stack!F$2:F$100000, "Iya",
  raw_stack!G$2:G$100000, "&gt;="&amp;DATE(2025,8,1),
  raw_stack!G$2:G$100000, "&lt;="&amp;EOMONTH(DATE(2025,8,1),0)
 ),
 IF(OR(_xlpm.x=0, _xlpm.x=""), "-", _xlpm.x)
)</f>
        <v>-</v>
      </c>
      <c r="S153" s="54" t="str">
        <f>_xlfn.LET(
 _xlpm.x,
 _xlfn.MAXIFS(
  raw_stack!G$2:G$99411,
  raw_stack!D$2:D$99411, G153,
  raw_stack!F$2:F$99411, "Iya",
  raw_stack!G$2:G$99411, "&gt;="&amp;DATE(2025,9,1),
  raw_stack!G$2:G$99411, "&lt;="&amp;EOMONTH(DATE(2025,9,1),0)
 ),
 IF(_xlpm.x=0, "-", _xlpm.x)
)</f>
        <v>-</v>
      </c>
      <c r="T153" s="65" t="str">
        <f>_xlfn.LET(
 _xlpm.x,
 _xlfn.MAXIFS(
  raw_stack!H$2:H$100000,
  raw_stack!D$2:D$100000, G153,
  raw_stack!F$2:F$100000, "Iya",
  raw_stack!G$2:G$100000, "&gt;="&amp;DATE(2025,9,1),
  raw_stack!G$2:G$100000, "&lt;="&amp;EOMONTH(DATE(2025,9,1),0)
 ),
 IF(OR(_xlpm.x=0, _xlpm.x=""), "-", _xlpm.x)
)</f>
        <v>-</v>
      </c>
      <c r="U153" s="54" t="str">
        <f>_xlfn.LET(
 _xlpm.x,
 _xlfn.MAXIFS(
  raw_stack!G$2:G$99411,
  raw_stack!D$2:D$99411, G153,
  raw_stack!F$2:F$99411, "Iya",
  raw_stack!G$2:G$99411, "&gt;="&amp;DATE(2025,10,1),
  raw_stack!G$2:G$99411, "&lt;="&amp;EOMONTH(DATE(2025,10,1),0)
 ),
 IF(_xlpm.x=0, "-", _xlpm.x)
)</f>
        <v>-</v>
      </c>
      <c r="V153" s="65" t="str">
        <f>_xlfn.LET(
 _xlpm.x,
 _xlfn.MAXIFS(
  raw_stack!H$2:H$100000,
  raw_stack!D$2:D$100000, G153,
  raw_stack!F$2:F$100000, "Iya",
  raw_stack!G$2:G$100000, "&gt;="&amp;DATE(2025,10,1),
  raw_stack!G$2:G$100000, "&lt;="&amp;EOMONTH(DATE(2025,10,1),0)
 ),
 IF(OR(_xlpm.x=0, _xlpm.x=""), "-", _xlpm.x)
)</f>
        <v>-</v>
      </c>
      <c r="W153" s="55" t="str">
        <f>_xlfn.LET(
 _xlpm.x,
 _xlfn.MAXIFS(
  raw_stack!G$2:G$99411,
  raw_stack!D$2:D$99411, G153,
  raw_stack!F$2:F$99411, "Iya",
  raw_stack!G$2:G$99411, "&gt;="&amp;DATE(2025,11,1),
  raw_stack!G$2:G$99411, "&lt;="&amp;EOMONTH(DATE(2025,11,1),0)
 ),
 IF(_xlpm.x=0, "-", _xlpm.x)
)</f>
        <v>-</v>
      </c>
      <c r="X153" s="56" t="str">
        <f>_xlfn.LET(
 _xlpm.x,
 _xlfn.MAXIFS(
  raw_stack!H$2:H$100000,
  raw_stack!D$2:D$100000, G153,
  raw_stack!F$2:F$100000, "Iya",
  raw_stack!G$2:G$100000, "&gt;="&amp;DATE(2025,11,1),
  raw_stack!G$2:G$100000, "&lt;="&amp;EOMONTH(DATE(2025,11,1),0)
 ),
 IF(OR(_xlpm.x=0, _xlpm.x=""), "-", _xlpm.x)
)</f>
        <v>-</v>
      </c>
      <c r="Y153" s="55" t="str">
        <f>_xlfn.LET(
 _xlpm.x,
 _xlfn.MAXIFS(
  raw_stack!G$2:G$99411,
  raw_stack!D$2:D$99411, G153,
  raw_stack!F$2:F$99411, "Iya",
  raw_stack!G$2:G$99411, "&gt;="&amp;DATE(2025,12,1),
  raw_stack!G$2:G$99411, "&lt;="&amp;EOMONTH(DATE(2025,12,1),0)
 ),
 IF(_xlpm.x=0, "-", _xlpm.x)
)</f>
        <v>-</v>
      </c>
      <c r="Z153" s="56" t="str">
        <f>_xlfn.LET(
 _xlpm.x,
 _xlfn.MAXIFS(
  raw_stack!H$2:H$100000,
  raw_stack!D$2:D$100000, G153,
  raw_stack!F$2:F$100000, "Iya",
  raw_stack!G$2:G$100000, "&gt;="&amp;DATE(2025,12,1),
  raw_stack!G$2:G$100000, "&lt;="&amp;EOMONTH(DATE(2025,12,1),0)
 ),
 IF(OR(_xlpm.x=0, _xlpm.x=""), "-", _xlpm.x)
)</f>
        <v>-</v>
      </c>
      <c r="AA153" s="55" t="str">
        <f>_xlfn.LET(
 _xlpm.x,
 _xlfn.MAXIFS(
  raw_stack!G$2:G$99411,
  raw_stack!D$2:D$99411, G153,
  raw_stack!F$2:F$99411, "Iya",
  raw_stack!G$2:G$99411, "&gt;="&amp;DATE(2026,1,1),
  raw_stack!G$2:G$99411, "&lt;="&amp;EOMONTH(DATE(2026,1,1),0)
 ),
 IF(_xlpm.x=0, "-", _xlpm.x)
)</f>
        <v>-</v>
      </c>
      <c r="AB153" s="56" t="str">
        <f>_xlfn.LET(
 _xlpm.x,
 _xlfn.MAXIFS(
  raw_stack!H$2:H$100000,
  raw_stack!D$2:D$100000, G153,
  raw_stack!F$2:F$100000, "Iya",
  raw_stack!G$2:G$100000, "&gt;="&amp;DATE(2026,1,1),
  raw_stack!G$2:G$100000, "&lt;="&amp;EOMONTH(DATE(2026,1,1),0)
 ),
 IF(OR(_xlpm.x=0, _xlpm.x=""), "-", _xlpm.x)
)</f>
        <v>-</v>
      </c>
      <c r="AC153" s="55">
        <f>_xlfn.LET(
 _xlpm.x,
 _xlfn.MAXIFS(
  raw_stack!G$2:G$99411,
  raw_stack!D$2:D$99411, G153,
  raw_stack!F$2:F$99411, "Iya",
  raw_stack!G$2:G$99411, "&gt;="&amp;DATE(2026,2,1),
  raw_stack!G$2:G$99411, "&lt;="&amp;EOMONTH(DATE(2026,2,1),0)
 ),
 IF(_xlpm.x=0, "-", _xlpm.x)
)</f>
        <v>46064</v>
      </c>
      <c r="AD153" s="56">
        <f>_xlfn.LET(
 _xlpm.x,
 _xlfn.MAXIFS(
  raw_stack!H$2:H$100000,
  raw_stack!D$2:D$100000, G153,
  raw_stack!F$2:F$100000, "Iya",
  raw_stack!G$2:G$100000, "&gt;="&amp;DATE(2026,2,1),
  raw_stack!G$2:G$100000, "&lt;="&amp;EOMONTH(DATE(2026,2,1),0)
 ),
 IF(OR(_xlpm.x=0, _xlpm.x=""), "-", _xlpm.x)
)</f>
        <v>27042</v>
      </c>
      <c r="AE153" s="55" t="str">
        <f>_xlfn.LET(
 _xlpm.x,
 _xlfn.MAXIFS(
  raw_stack!G$2:G$100000,
  raw_stack!D$2:D$100000, G153,
  raw_stack!F$2:F$100000, "Iya",
  raw_stack!G$2:G$100000, "&gt;="&amp;DATE(2026,3,1),
  raw_stack!G$2:G$100000, "&lt;="&amp;EOMONTH(DATE(2026,3,1),0)
 ),
 IF(_xlpm.x=0, "-", _xlpm.x)
)</f>
        <v>-</v>
      </c>
      <c r="AF153" s="56" t="str">
        <f>_xlfn.LET(
 _xlpm.x,
 _xlfn.MAXIFS(
  raw_stack!H$2:H$100000,
  raw_stack!D$2:D$100000, G153,
  raw_stack!F$2:F$100000, "Iya",
  raw_stack!G$2:G$100000, "&gt;="&amp;DATE(2026,3,1),
  raw_stack!G$2:G$100000, "&lt;="&amp;EOMONTH(DATE(2026,3,1),0)
 ),
 IF(OR(_xlpm.x=0, _xlpm.x=""), "-", _xlpm.x)
)</f>
        <v>-</v>
      </c>
      <c r="AG153" s="55" t="str">
        <f>_xlfn.LET(
 _xlpm.x,
 _xlfn.MAXIFS(
  raw_stack!G$2:G$100000,
  raw_stack!D$2:D$100000, G153,
  raw_stack!F$2:F$100000, "Iya",
  raw_stack!G$2:G$100000, "&gt;="&amp;DATE(2026,4,1),
  raw_stack!G$2:G$100000, "&lt;="&amp;EOMONTH(DATE(2026,4,1),0)
 ),
 IF(_xlpm.x=0, "-", _xlpm.x)
)</f>
        <v>-</v>
      </c>
      <c r="AH153" s="56" t="str">
        <f>_xlfn.LET(
 _xlpm.x,
 _xlfn.MAXIFS(
  raw_stack!H$2:H$100000,
  raw_stack!D$2:D$100000, G153,
  raw_stack!F$2:F$100000, "Iya",
  raw_stack!G$2:G$100000, "&gt;="&amp;DATE(2026,4,1),
  raw_stack!G$2:G$100000, "&lt;="&amp;EOMONTH(DATE(2026,4,1),0)
 ),
 IF(OR(_xlpm.x=0, _xlpm.x=""), "-", _xlpm.x)
)</f>
        <v>-</v>
      </c>
    </row>
    <row r="154" spans="1:34">
      <c r="A154" s="48">
        <v>153</v>
      </c>
      <c r="B154" s="49" t="str">
        <f t="shared" si="2"/>
        <v>43676</v>
      </c>
      <c r="C154" s="50" t="s">
        <v>46</v>
      </c>
      <c r="D154" s="51" t="s">
        <v>594</v>
      </c>
      <c r="E154" s="51" t="s">
        <v>56</v>
      </c>
      <c r="F154" s="49" t="s">
        <v>117</v>
      </c>
      <c r="G154" s="49" t="s">
        <v>270</v>
      </c>
      <c r="H154" s="49" t="s">
        <v>48</v>
      </c>
      <c r="I154" s="49" t="s">
        <v>52</v>
      </c>
      <c r="J154" s="52">
        <v>6975000</v>
      </c>
      <c r="K154" s="53">
        <v>45462</v>
      </c>
      <c r="L154" s="53">
        <v>46556</v>
      </c>
      <c r="M154" s="53">
        <v>46040</v>
      </c>
      <c r="N154" s="49" t="s">
        <v>50</v>
      </c>
      <c r="O154" s="54" t="str">
        <f>_xlfn.LET(
 _xlpm.x,
 _xlfn.MAXIFS(
  raw_stack!G$2:G$100000,
  raw_stack!D$2:D$100000, G154,
  raw_stack!F$2:F$100000, "Iya",
  raw_stack!G$2:G$100000, "&gt;="&amp;DATE(2025,7,1),
  raw_stack!G$2:G$100000, "&lt;="&amp;EOMONTH(DATE(2025,7,1),0)
 ),
 IF(_xlpm.x=0, "-", _xlpm.x)
)</f>
        <v>-</v>
      </c>
      <c r="P154" s="65" t="str">
        <f>_xlfn.LET(
 _xlpm.x,
 _xlfn.MAXIFS(
  raw_stack!H$2:H$100000,
  raw_stack!D$2:D$100000, G154,
  raw_stack!F$2:F$100000, "Iya",
  raw_stack!G$2:G$100000, "&gt;="&amp;DATE(2025,7,1),
  raw_stack!G$2:G$100000, "&lt;="&amp;EOMONTH(DATE(2025,7,1),0)
 ),
 IF(OR(_xlpm.x=0, _xlpm.x=""), "-", _xlpm.x)
)</f>
        <v>-</v>
      </c>
      <c r="Q154" s="54" t="str">
        <f>_xlfn.LET(
 _xlpm.x,
 _xlfn.MAXIFS(
  raw_stack!G$2:G$99411,
  raw_stack!D$2:D$99411, G154,
  raw_stack!F$2:F$99411, "Iya",
  raw_stack!G$2:G$99411, "&gt;="&amp;DATE(2025,8,1),
  raw_stack!G$2:G$99411, "&lt;="&amp;EOMONTH(DATE(2025,8,1),0)
 ),
 IF(_xlpm.x=0, "-", _xlpm.x)
)</f>
        <v>-</v>
      </c>
      <c r="R154" s="65" t="str">
        <f>_xlfn.LET(
 _xlpm.x,
 _xlfn.MAXIFS(
  raw_stack!H$2:H$100000,
  raw_stack!D$2:D$100000, G154,
  raw_stack!F$2:F$100000, "Iya",
  raw_stack!G$2:G$100000, "&gt;="&amp;DATE(2025,8,1),
  raw_stack!G$2:G$100000, "&lt;="&amp;EOMONTH(DATE(2025,8,1),0)
 ),
 IF(OR(_xlpm.x=0, _xlpm.x=""), "-", _xlpm.x)
)</f>
        <v>-</v>
      </c>
      <c r="S154" s="54">
        <f>_xlfn.LET(
 _xlpm.x,
 _xlfn.MAXIFS(
  raw_stack!G$2:G$99411,
  raw_stack!D$2:D$99411, G154,
  raw_stack!F$2:F$99411, "Iya",
  raw_stack!G$2:G$99411, "&gt;="&amp;DATE(2025,9,1),
  raw_stack!G$2:G$99411, "&lt;="&amp;EOMONTH(DATE(2025,9,1),0)
 ),
 IF(_xlpm.x=0, "-", _xlpm.x)
)</f>
        <v>45918</v>
      </c>
      <c r="T154" s="65">
        <f>_xlfn.LET(
 _xlpm.x,
 _xlfn.MAXIFS(
  raw_stack!H$2:H$100000,
  raw_stack!D$2:D$100000, G154,
  raw_stack!F$2:F$100000, "Iya",
  raw_stack!G$2:G$100000, "&gt;="&amp;DATE(2025,9,1),
  raw_stack!G$2:G$100000, "&lt;="&amp;EOMONTH(DATE(2025,9,1),0)
 ),
 IF(OR(_xlpm.x=0, _xlpm.x=""), "-", _xlpm.x)
)</f>
        <v>25668</v>
      </c>
      <c r="U154" s="54" t="str">
        <f>_xlfn.LET(
 _xlpm.x,
 _xlfn.MAXIFS(
  raw_stack!G$2:G$99411,
  raw_stack!D$2:D$99411, G154,
  raw_stack!F$2:F$99411, "Iya",
  raw_stack!G$2:G$99411, "&gt;="&amp;DATE(2025,10,1),
  raw_stack!G$2:G$99411, "&lt;="&amp;EOMONTH(DATE(2025,10,1),0)
 ),
 IF(_xlpm.x=0, "-", _xlpm.x)
)</f>
        <v>-</v>
      </c>
      <c r="V154" s="65" t="str">
        <f>_xlfn.LET(
 _xlpm.x,
 _xlfn.MAXIFS(
  raw_stack!H$2:H$100000,
  raw_stack!D$2:D$100000, G154,
  raw_stack!F$2:F$100000, "Iya",
  raw_stack!G$2:G$100000, "&gt;="&amp;DATE(2025,10,1),
  raw_stack!G$2:G$100000, "&lt;="&amp;EOMONTH(DATE(2025,10,1),0)
 ),
 IF(OR(_xlpm.x=0, _xlpm.x=""), "-", _xlpm.x)
)</f>
        <v>-</v>
      </c>
      <c r="W154" s="55" t="str">
        <f>_xlfn.LET(
 _xlpm.x,
 _xlfn.MAXIFS(
  raw_stack!G$2:G$99411,
  raw_stack!D$2:D$99411, G154,
  raw_stack!F$2:F$99411, "Iya",
  raw_stack!G$2:G$99411, "&gt;="&amp;DATE(2025,11,1),
  raw_stack!G$2:G$99411, "&lt;="&amp;EOMONTH(DATE(2025,11,1),0)
 ),
 IF(_xlpm.x=0, "-", _xlpm.x)
)</f>
        <v>-</v>
      </c>
      <c r="X154" s="56" t="str">
        <f>_xlfn.LET(
 _xlpm.x,
 _xlfn.MAXIFS(
  raw_stack!H$2:H$100000,
  raw_stack!D$2:D$100000, G154,
  raw_stack!F$2:F$100000, "Iya",
  raw_stack!G$2:G$100000, "&gt;="&amp;DATE(2025,11,1),
  raw_stack!G$2:G$100000, "&lt;="&amp;EOMONTH(DATE(2025,11,1),0)
 ),
 IF(OR(_xlpm.x=0, _xlpm.x=""), "-", _xlpm.x)
)</f>
        <v>-</v>
      </c>
      <c r="Y154" s="55" t="str">
        <f>_xlfn.LET(
 _xlpm.x,
 _xlfn.MAXIFS(
  raw_stack!G$2:G$99411,
  raw_stack!D$2:D$99411, G154,
  raw_stack!F$2:F$99411, "Iya",
  raw_stack!G$2:G$99411, "&gt;="&amp;DATE(2025,12,1),
  raw_stack!G$2:G$99411, "&lt;="&amp;EOMONTH(DATE(2025,12,1),0)
 ),
 IF(_xlpm.x=0, "-", _xlpm.x)
)</f>
        <v>-</v>
      </c>
      <c r="Z154" s="56" t="str">
        <f>_xlfn.LET(
 _xlpm.x,
 _xlfn.MAXIFS(
  raw_stack!H$2:H$100000,
  raw_stack!D$2:D$100000, G154,
  raw_stack!F$2:F$100000, "Iya",
  raw_stack!G$2:G$100000, "&gt;="&amp;DATE(2025,12,1),
  raw_stack!G$2:G$100000, "&lt;="&amp;EOMONTH(DATE(2025,12,1),0)
 ),
 IF(OR(_xlpm.x=0, _xlpm.x=""), "-", _xlpm.x)
)</f>
        <v>-</v>
      </c>
      <c r="AA154" s="55" t="str">
        <f>_xlfn.LET(
 _xlpm.x,
 _xlfn.MAXIFS(
  raw_stack!G$2:G$99411,
  raw_stack!D$2:D$99411, G154,
  raw_stack!F$2:F$99411, "Iya",
  raw_stack!G$2:G$99411, "&gt;="&amp;DATE(2026,1,1),
  raw_stack!G$2:G$99411, "&lt;="&amp;EOMONTH(DATE(2026,1,1),0)
 ),
 IF(_xlpm.x=0, "-", _xlpm.x)
)</f>
        <v>-</v>
      </c>
      <c r="AB154" s="56" t="str">
        <f>_xlfn.LET(
 _xlpm.x,
 _xlfn.MAXIFS(
  raw_stack!H$2:H$100000,
  raw_stack!D$2:D$100000, G154,
  raw_stack!F$2:F$100000, "Iya",
  raw_stack!G$2:G$100000, "&gt;="&amp;DATE(2026,1,1),
  raw_stack!G$2:G$100000, "&lt;="&amp;EOMONTH(DATE(2026,1,1),0)
 ),
 IF(OR(_xlpm.x=0, _xlpm.x=""), "-", _xlpm.x)
)</f>
        <v>-</v>
      </c>
      <c r="AC154" s="55" t="str">
        <f>_xlfn.LET(
 _xlpm.x,
 _xlfn.MAXIFS(
  raw_stack!G$2:G$99411,
  raw_stack!D$2:D$99411, G154,
  raw_stack!F$2:F$99411, "Iya",
  raw_stack!G$2:G$99411, "&gt;="&amp;DATE(2026,2,1),
  raw_stack!G$2:G$99411, "&lt;="&amp;EOMONTH(DATE(2026,2,1),0)
 ),
 IF(_xlpm.x=0, "-", _xlpm.x)
)</f>
        <v>-</v>
      </c>
      <c r="AD154" s="56" t="str">
        <f>_xlfn.LET(
 _xlpm.x,
 _xlfn.MAXIFS(
  raw_stack!H$2:H$100000,
  raw_stack!D$2:D$100000, G154,
  raw_stack!F$2:F$100000, "Iya",
  raw_stack!G$2:G$100000, "&gt;="&amp;DATE(2026,2,1),
  raw_stack!G$2:G$100000, "&lt;="&amp;EOMONTH(DATE(2026,2,1),0)
 ),
 IF(OR(_xlpm.x=0, _xlpm.x=""), "-", _xlpm.x)
)</f>
        <v>-</v>
      </c>
      <c r="AE154" s="55">
        <f>_xlfn.LET(
 _xlpm.x,
 _xlfn.MAXIFS(
  raw_stack!G$2:G$100000,
  raw_stack!D$2:D$100000, G154,
  raw_stack!F$2:F$100000, "Iya",
  raw_stack!G$2:G$100000, "&gt;="&amp;DATE(2026,3,1),
  raw_stack!G$2:G$100000, "&lt;="&amp;EOMONTH(DATE(2026,3,1),0)
 ),
 IF(_xlpm.x=0, "-", _xlpm.x)
)</f>
        <v>46097</v>
      </c>
      <c r="AF154" s="56">
        <f>_xlfn.LET(
 _xlpm.x,
 _xlfn.MAXIFS(
  raw_stack!H$2:H$100000,
  raw_stack!D$2:D$100000, G154,
  raw_stack!F$2:F$100000, "Iya",
  raw_stack!G$2:G$100000, "&gt;="&amp;DATE(2026,3,1),
  raw_stack!G$2:G$100000, "&lt;="&amp;EOMONTH(DATE(2026,3,1),0)
 ),
 IF(OR(_xlpm.x=0, _xlpm.x=""), "-", _xlpm.x)
)</f>
        <v>28623</v>
      </c>
      <c r="AG154" s="55" t="str">
        <f>_xlfn.LET(
 _xlpm.x,
 _xlfn.MAXIFS(
  raw_stack!G$2:G$100000,
  raw_stack!D$2:D$100000, G154,
  raw_stack!F$2:F$100000, "Iya",
  raw_stack!G$2:G$100000, "&gt;="&amp;DATE(2026,4,1),
  raw_stack!G$2:G$100000, "&lt;="&amp;EOMONTH(DATE(2026,4,1),0)
 ),
 IF(_xlpm.x=0, "-", _xlpm.x)
)</f>
        <v>-</v>
      </c>
      <c r="AH154" s="56" t="str">
        <f>_xlfn.LET(
 _xlpm.x,
 _xlfn.MAXIFS(
  raw_stack!H$2:H$100000,
  raw_stack!D$2:D$100000, G154,
  raw_stack!F$2:F$100000, "Iya",
  raw_stack!G$2:G$100000, "&gt;="&amp;DATE(2026,4,1),
  raw_stack!G$2:G$100000, "&lt;="&amp;EOMONTH(DATE(2026,4,1),0)
 ),
 IF(OR(_xlpm.x=0, _xlpm.x=""), "-", _xlpm.x)
)</f>
        <v>-</v>
      </c>
    </row>
    <row r="155" spans="1:34">
      <c r="A155" s="48">
        <v>154</v>
      </c>
      <c r="B155" s="49" t="str">
        <f t="shared" si="2"/>
        <v>52628</v>
      </c>
      <c r="C155" s="50" t="s">
        <v>46</v>
      </c>
      <c r="D155" s="51" t="s">
        <v>595</v>
      </c>
      <c r="E155" s="51" t="s">
        <v>53</v>
      </c>
      <c r="F155" s="49" t="s">
        <v>117</v>
      </c>
      <c r="G155" s="49" t="s">
        <v>271</v>
      </c>
      <c r="H155" s="49" t="s">
        <v>48</v>
      </c>
      <c r="I155" s="49" t="s">
        <v>52</v>
      </c>
      <c r="J155" s="52">
        <v>3850000</v>
      </c>
      <c r="K155" s="53">
        <v>45463</v>
      </c>
      <c r="L155" s="53">
        <v>46557</v>
      </c>
      <c r="M155" s="53">
        <v>46072</v>
      </c>
      <c r="N155" s="49" t="s">
        <v>50</v>
      </c>
      <c r="O155" s="54" t="str">
        <f>_xlfn.LET(
 _xlpm.x,
 _xlfn.MAXIFS(
  raw_stack!G$2:G$100000,
  raw_stack!D$2:D$100000, G155,
  raw_stack!F$2:F$100000, "Iya",
  raw_stack!G$2:G$100000, "&gt;="&amp;DATE(2025,7,1),
  raw_stack!G$2:G$100000, "&lt;="&amp;EOMONTH(DATE(2025,7,1),0)
 ),
 IF(_xlpm.x=0, "-", _xlpm.x)
)</f>
        <v>-</v>
      </c>
      <c r="P155" s="65" t="str">
        <f>_xlfn.LET(
 _xlpm.x,
 _xlfn.MAXIFS(
  raw_stack!H$2:H$100000,
  raw_stack!D$2:D$100000, G155,
  raw_stack!F$2:F$100000, "Iya",
  raw_stack!G$2:G$100000, "&gt;="&amp;DATE(2025,7,1),
  raw_stack!G$2:G$100000, "&lt;="&amp;EOMONTH(DATE(2025,7,1),0)
 ),
 IF(OR(_xlpm.x=0, _xlpm.x=""), "-", _xlpm.x)
)</f>
        <v>-</v>
      </c>
      <c r="Q155" s="54" t="str">
        <f>_xlfn.LET(
 _xlpm.x,
 _xlfn.MAXIFS(
  raw_stack!G$2:G$99411,
  raw_stack!D$2:D$99411, G155,
  raw_stack!F$2:F$99411, "Iya",
  raw_stack!G$2:G$99411, "&gt;="&amp;DATE(2025,8,1),
  raw_stack!G$2:G$99411, "&lt;="&amp;EOMONTH(DATE(2025,8,1),0)
 ),
 IF(_xlpm.x=0, "-", _xlpm.x)
)</f>
        <v>-</v>
      </c>
      <c r="R155" s="65" t="str">
        <f>_xlfn.LET(
 _xlpm.x,
 _xlfn.MAXIFS(
  raw_stack!H$2:H$100000,
  raw_stack!D$2:D$100000, G155,
  raw_stack!F$2:F$100000, "Iya",
  raw_stack!G$2:G$100000, "&gt;="&amp;DATE(2025,8,1),
  raw_stack!G$2:G$100000, "&lt;="&amp;EOMONTH(DATE(2025,8,1),0)
 ),
 IF(OR(_xlpm.x=0, _xlpm.x=""), "-", _xlpm.x)
)</f>
        <v>-</v>
      </c>
      <c r="S155" s="54" t="str">
        <f>_xlfn.LET(
 _xlpm.x,
 _xlfn.MAXIFS(
  raw_stack!G$2:G$99411,
  raw_stack!D$2:D$99411, G155,
  raw_stack!F$2:F$99411, "Iya",
  raw_stack!G$2:G$99411, "&gt;="&amp;DATE(2025,9,1),
  raw_stack!G$2:G$99411, "&lt;="&amp;EOMONTH(DATE(2025,9,1),0)
 ),
 IF(_xlpm.x=0, "-", _xlpm.x)
)</f>
        <v>-</v>
      </c>
      <c r="T155" s="65" t="str">
        <f>_xlfn.LET(
 _xlpm.x,
 _xlfn.MAXIFS(
  raw_stack!H$2:H$100000,
  raw_stack!D$2:D$100000, G155,
  raw_stack!F$2:F$100000, "Iya",
  raw_stack!G$2:G$100000, "&gt;="&amp;DATE(2025,9,1),
  raw_stack!G$2:G$100000, "&lt;="&amp;EOMONTH(DATE(2025,9,1),0)
 ),
 IF(OR(_xlpm.x=0, _xlpm.x=""), "-", _xlpm.x)
)</f>
        <v>-</v>
      </c>
      <c r="U155" s="54" t="str">
        <f>_xlfn.LET(
 _xlpm.x,
 _xlfn.MAXIFS(
  raw_stack!G$2:G$99411,
  raw_stack!D$2:D$99411, G155,
  raw_stack!F$2:F$99411, "Iya",
  raw_stack!G$2:G$99411, "&gt;="&amp;DATE(2025,10,1),
  raw_stack!G$2:G$99411, "&lt;="&amp;EOMONTH(DATE(2025,10,1),0)
 ),
 IF(_xlpm.x=0, "-", _xlpm.x)
)</f>
        <v>-</v>
      </c>
      <c r="V155" s="65" t="str">
        <f>_xlfn.LET(
 _xlpm.x,
 _xlfn.MAXIFS(
  raw_stack!H$2:H$100000,
  raw_stack!D$2:D$100000, G155,
  raw_stack!F$2:F$100000, "Iya",
  raw_stack!G$2:G$100000, "&gt;="&amp;DATE(2025,10,1),
  raw_stack!G$2:G$100000, "&lt;="&amp;EOMONTH(DATE(2025,10,1),0)
 ),
 IF(OR(_xlpm.x=0, _xlpm.x=""), "-", _xlpm.x)
)</f>
        <v>-</v>
      </c>
      <c r="W155" s="55" t="str">
        <f>_xlfn.LET(
 _xlpm.x,
 _xlfn.MAXIFS(
  raw_stack!G$2:G$99411,
  raw_stack!D$2:D$99411, G155,
  raw_stack!F$2:F$99411, "Iya",
  raw_stack!G$2:G$99411, "&gt;="&amp;DATE(2025,11,1),
  raw_stack!G$2:G$99411, "&lt;="&amp;EOMONTH(DATE(2025,11,1),0)
 ),
 IF(_xlpm.x=0, "-", _xlpm.x)
)</f>
        <v>-</v>
      </c>
      <c r="X155" s="56" t="str">
        <f>_xlfn.LET(
 _xlpm.x,
 _xlfn.MAXIFS(
  raw_stack!H$2:H$100000,
  raw_stack!D$2:D$100000, G155,
  raw_stack!F$2:F$100000, "Iya",
  raw_stack!G$2:G$100000, "&gt;="&amp;DATE(2025,11,1),
  raw_stack!G$2:G$100000, "&lt;="&amp;EOMONTH(DATE(2025,11,1),0)
 ),
 IF(OR(_xlpm.x=0, _xlpm.x=""), "-", _xlpm.x)
)</f>
        <v>-</v>
      </c>
      <c r="Y155" s="55" t="str">
        <f>_xlfn.LET(
 _xlpm.x,
 _xlfn.MAXIFS(
  raw_stack!G$2:G$99411,
  raw_stack!D$2:D$99411, G155,
  raw_stack!F$2:F$99411, "Iya",
  raw_stack!G$2:G$99411, "&gt;="&amp;DATE(2025,12,1),
  raw_stack!G$2:G$99411, "&lt;="&amp;EOMONTH(DATE(2025,12,1),0)
 ),
 IF(_xlpm.x=0, "-", _xlpm.x)
)</f>
        <v>-</v>
      </c>
      <c r="Z155" s="56" t="str">
        <f>_xlfn.LET(
 _xlpm.x,
 _xlfn.MAXIFS(
  raw_stack!H$2:H$100000,
  raw_stack!D$2:D$100000, G155,
  raw_stack!F$2:F$100000, "Iya",
  raw_stack!G$2:G$100000, "&gt;="&amp;DATE(2025,12,1),
  raw_stack!G$2:G$100000, "&lt;="&amp;EOMONTH(DATE(2025,12,1),0)
 ),
 IF(OR(_xlpm.x=0, _xlpm.x=""), "-", _xlpm.x)
)</f>
        <v>-</v>
      </c>
      <c r="AA155" s="55" t="str">
        <f>_xlfn.LET(
 _xlpm.x,
 _xlfn.MAXIFS(
  raw_stack!G$2:G$99411,
  raw_stack!D$2:D$99411, G155,
  raw_stack!F$2:F$99411, "Iya",
  raw_stack!G$2:G$99411, "&gt;="&amp;DATE(2026,1,1),
  raw_stack!G$2:G$99411, "&lt;="&amp;EOMONTH(DATE(2026,1,1),0)
 ),
 IF(_xlpm.x=0, "-", _xlpm.x)
)</f>
        <v>-</v>
      </c>
      <c r="AB155" s="56" t="str">
        <f>_xlfn.LET(
 _xlpm.x,
 _xlfn.MAXIFS(
  raw_stack!H$2:H$100000,
  raw_stack!D$2:D$100000, G155,
  raw_stack!F$2:F$100000, "Iya",
  raw_stack!G$2:G$100000, "&gt;="&amp;DATE(2026,1,1),
  raw_stack!G$2:G$100000, "&lt;="&amp;EOMONTH(DATE(2026,1,1),0)
 ),
 IF(OR(_xlpm.x=0, _xlpm.x=""), "-", _xlpm.x)
)</f>
        <v>-</v>
      </c>
      <c r="AC155" s="55" t="str">
        <f>_xlfn.LET(
 _xlpm.x,
 _xlfn.MAXIFS(
  raw_stack!G$2:G$99411,
  raw_stack!D$2:D$99411, G155,
  raw_stack!F$2:F$99411, "Iya",
  raw_stack!G$2:G$99411, "&gt;="&amp;DATE(2026,2,1),
  raw_stack!G$2:G$99411, "&lt;="&amp;EOMONTH(DATE(2026,2,1),0)
 ),
 IF(_xlpm.x=0, "-", _xlpm.x)
)</f>
        <v>-</v>
      </c>
      <c r="AD155" s="56" t="str">
        <f>_xlfn.LET(
 _xlpm.x,
 _xlfn.MAXIFS(
  raw_stack!H$2:H$100000,
  raw_stack!D$2:D$100000, G155,
  raw_stack!F$2:F$100000, "Iya",
  raw_stack!G$2:G$100000, "&gt;="&amp;DATE(2026,2,1),
  raw_stack!G$2:G$100000, "&lt;="&amp;EOMONTH(DATE(2026,2,1),0)
 ),
 IF(OR(_xlpm.x=0, _xlpm.x=""), "-", _xlpm.x)
)</f>
        <v>-</v>
      </c>
      <c r="AE155" s="55" t="str">
        <f>_xlfn.LET(
 _xlpm.x,
 _xlfn.MAXIFS(
  raw_stack!G$2:G$100000,
  raw_stack!D$2:D$100000, G155,
  raw_stack!F$2:F$100000, "Iya",
  raw_stack!G$2:G$100000, "&gt;="&amp;DATE(2026,3,1),
  raw_stack!G$2:G$100000, "&lt;="&amp;EOMONTH(DATE(2026,3,1),0)
 ),
 IF(_xlpm.x=0, "-", _xlpm.x)
)</f>
        <v>-</v>
      </c>
      <c r="AF155" s="56" t="str">
        <f>_xlfn.LET(
 _xlpm.x,
 _xlfn.MAXIFS(
  raw_stack!H$2:H$100000,
  raw_stack!D$2:D$100000, G155,
  raw_stack!F$2:F$100000, "Iya",
  raw_stack!G$2:G$100000, "&gt;="&amp;DATE(2026,3,1),
  raw_stack!G$2:G$100000, "&lt;="&amp;EOMONTH(DATE(2026,3,1),0)
 ),
 IF(OR(_xlpm.x=0, _xlpm.x=""), "-", _xlpm.x)
)</f>
        <v>-</v>
      </c>
      <c r="AG155" s="55" t="str">
        <f>_xlfn.LET(
 _xlpm.x,
 _xlfn.MAXIFS(
  raw_stack!G$2:G$100000,
  raw_stack!D$2:D$100000, G155,
  raw_stack!F$2:F$100000, "Iya",
  raw_stack!G$2:G$100000, "&gt;="&amp;DATE(2026,4,1),
  raw_stack!G$2:G$100000, "&lt;="&amp;EOMONTH(DATE(2026,4,1),0)
 ),
 IF(_xlpm.x=0, "-", _xlpm.x)
)</f>
        <v>-</v>
      </c>
      <c r="AH155" s="56" t="str">
        <f>_xlfn.LET(
 _xlpm.x,
 _xlfn.MAXIFS(
  raw_stack!H$2:H$100000,
  raw_stack!D$2:D$100000, G155,
  raw_stack!F$2:F$100000, "Iya",
  raw_stack!G$2:G$100000, "&gt;="&amp;DATE(2026,4,1),
  raw_stack!G$2:G$100000, "&lt;="&amp;EOMONTH(DATE(2026,4,1),0)
 ),
 IF(OR(_xlpm.x=0, _xlpm.x=""), "-", _xlpm.x)
)</f>
        <v>-</v>
      </c>
    </row>
    <row r="156" spans="1:34">
      <c r="A156" s="48">
        <v>155</v>
      </c>
      <c r="B156" s="49" t="str">
        <f t="shared" si="2"/>
        <v>92523</v>
      </c>
      <c r="C156" s="50" t="s">
        <v>46</v>
      </c>
      <c r="D156" s="51" t="s">
        <v>596</v>
      </c>
      <c r="E156" s="51" t="s">
        <v>53</v>
      </c>
      <c r="F156" s="49" t="s">
        <v>117</v>
      </c>
      <c r="G156" s="49" t="s">
        <v>272</v>
      </c>
      <c r="H156" s="49" t="s">
        <v>48</v>
      </c>
      <c r="I156" s="49" t="s">
        <v>52</v>
      </c>
      <c r="J156" s="52">
        <v>3850000</v>
      </c>
      <c r="K156" s="53">
        <v>45463</v>
      </c>
      <c r="L156" s="53">
        <v>46557</v>
      </c>
      <c r="M156" s="53">
        <v>46072</v>
      </c>
      <c r="N156" s="49" t="s">
        <v>50</v>
      </c>
      <c r="O156" s="54" t="str">
        <f>_xlfn.LET(
 _xlpm.x,
 _xlfn.MAXIFS(
  raw_stack!G$2:G$100000,
  raw_stack!D$2:D$100000, G156,
  raw_stack!F$2:F$100000, "Iya",
  raw_stack!G$2:G$100000, "&gt;="&amp;DATE(2025,7,1),
  raw_stack!G$2:G$100000, "&lt;="&amp;EOMONTH(DATE(2025,7,1),0)
 ),
 IF(_xlpm.x=0, "-", _xlpm.x)
)</f>
        <v>-</v>
      </c>
      <c r="P156" s="65" t="str">
        <f>_xlfn.LET(
 _xlpm.x,
 _xlfn.MAXIFS(
  raw_stack!H$2:H$100000,
  raw_stack!D$2:D$100000, G156,
  raw_stack!F$2:F$100000, "Iya",
  raw_stack!G$2:G$100000, "&gt;="&amp;DATE(2025,7,1),
  raw_stack!G$2:G$100000, "&lt;="&amp;EOMONTH(DATE(2025,7,1),0)
 ),
 IF(OR(_xlpm.x=0, _xlpm.x=""), "-", _xlpm.x)
)</f>
        <v>-</v>
      </c>
      <c r="Q156" s="54" t="str">
        <f>_xlfn.LET(
 _xlpm.x,
 _xlfn.MAXIFS(
  raw_stack!G$2:G$99411,
  raw_stack!D$2:D$99411, G156,
  raw_stack!F$2:F$99411, "Iya",
  raw_stack!G$2:G$99411, "&gt;="&amp;DATE(2025,8,1),
  raw_stack!G$2:G$99411, "&lt;="&amp;EOMONTH(DATE(2025,8,1),0)
 ),
 IF(_xlpm.x=0, "-", _xlpm.x)
)</f>
        <v>-</v>
      </c>
      <c r="R156" s="65" t="str">
        <f>_xlfn.LET(
 _xlpm.x,
 _xlfn.MAXIFS(
  raw_stack!H$2:H$100000,
  raw_stack!D$2:D$100000, G156,
  raw_stack!F$2:F$100000, "Iya",
  raw_stack!G$2:G$100000, "&gt;="&amp;DATE(2025,8,1),
  raw_stack!G$2:G$100000, "&lt;="&amp;EOMONTH(DATE(2025,8,1),0)
 ),
 IF(OR(_xlpm.x=0, _xlpm.x=""), "-", _xlpm.x)
)</f>
        <v>-</v>
      </c>
      <c r="S156" s="54" t="str">
        <f>_xlfn.LET(
 _xlpm.x,
 _xlfn.MAXIFS(
  raw_stack!G$2:G$99411,
  raw_stack!D$2:D$99411, G156,
  raw_stack!F$2:F$99411, "Iya",
  raw_stack!G$2:G$99411, "&gt;="&amp;DATE(2025,9,1),
  raw_stack!G$2:G$99411, "&lt;="&amp;EOMONTH(DATE(2025,9,1),0)
 ),
 IF(_xlpm.x=0, "-", _xlpm.x)
)</f>
        <v>-</v>
      </c>
      <c r="T156" s="65" t="str">
        <f>_xlfn.LET(
 _xlpm.x,
 _xlfn.MAXIFS(
  raw_stack!H$2:H$100000,
  raw_stack!D$2:D$100000, G156,
  raw_stack!F$2:F$100000, "Iya",
  raw_stack!G$2:G$100000, "&gt;="&amp;DATE(2025,9,1),
  raw_stack!G$2:G$100000, "&lt;="&amp;EOMONTH(DATE(2025,9,1),0)
 ),
 IF(OR(_xlpm.x=0, _xlpm.x=""), "-", _xlpm.x)
)</f>
        <v>-</v>
      </c>
      <c r="U156" s="54">
        <f>_xlfn.LET(
 _xlpm.x,
 _xlfn.MAXIFS(
  raw_stack!G$2:G$99411,
  raw_stack!D$2:D$99411, G156,
  raw_stack!F$2:F$99411, "Iya",
  raw_stack!G$2:G$99411, "&gt;="&amp;DATE(2025,10,1),
  raw_stack!G$2:G$99411, "&lt;="&amp;EOMONTH(DATE(2025,10,1),0)
 ),
 IF(_xlpm.x=0, "-", _xlpm.x)
)</f>
        <v>45943</v>
      </c>
      <c r="V156" s="65">
        <f>_xlfn.LET(
 _xlpm.x,
 _xlfn.MAXIFS(
  raw_stack!H$2:H$100000,
  raw_stack!D$2:D$100000, G156,
  raw_stack!F$2:F$100000, "Iya",
  raw_stack!G$2:G$100000, "&gt;="&amp;DATE(2025,10,1),
  raw_stack!G$2:G$100000, "&lt;="&amp;EOMONTH(DATE(2025,10,1),0)
 ),
 IF(OR(_xlpm.x=0, _xlpm.x=""), "-", _xlpm.x)
)</f>
        <v>22746</v>
      </c>
      <c r="W156" s="55" t="str">
        <f>_xlfn.LET(
 _xlpm.x,
 _xlfn.MAXIFS(
  raw_stack!G$2:G$99411,
  raw_stack!D$2:D$99411, G156,
  raw_stack!F$2:F$99411, "Iya",
  raw_stack!G$2:G$99411, "&gt;="&amp;DATE(2025,11,1),
  raw_stack!G$2:G$99411, "&lt;="&amp;EOMONTH(DATE(2025,11,1),0)
 ),
 IF(_xlpm.x=0, "-", _xlpm.x)
)</f>
        <v>-</v>
      </c>
      <c r="X156" s="56" t="str">
        <f>_xlfn.LET(
 _xlpm.x,
 _xlfn.MAXIFS(
  raw_stack!H$2:H$100000,
  raw_stack!D$2:D$100000, G156,
  raw_stack!F$2:F$100000, "Iya",
  raw_stack!G$2:G$100000, "&gt;="&amp;DATE(2025,11,1),
  raw_stack!G$2:G$100000, "&lt;="&amp;EOMONTH(DATE(2025,11,1),0)
 ),
 IF(OR(_xlpm.x=0, _xlpm.x=""), "-", _xlpm.x)
)</f>
        <v>-</v>
      </c>
      <c r="Y156" s="55" t="str">
        <f>_xlfn.LET(
 _xlpm.x,
 _xlfn.MAXIFS(
  raw_stack!G$2:G$99411,
  raw_stack!D$2:D$99411, G156,
  raw_stack!F$2:F$99411, "Iya",
  raw_stack!G$2:G$99411, "&gt;="&amp;DATE(2025,12,1),
  raw_stack!G$2:G$99411, "&lt;="&amp;EOMONTH(DATE(2025,12,1),0)
 ),
 IF(_xlpm.x=0, "-", _xlpm.x)
)</f>
        <v>-</v>
      </c>
      <c r="Z156" s="56" t="str">
        <f>_xlfn.LET(
 _xlpm.x,
 _xlfn.MAXIFS(
  raw_stack!H$2:H$100000,
  raw_stack!D$2:D$100000, G156,
  raw_stack!F$2:F$100000, "Iya",
  raw_stack!G$2:G$100000, "&gt;="&amp;DATE(2025,12,1),
  raw_stack!G$2:G$100000, "&lt;="&amp;EOMONTH(DATE(2025,12,1),0)
 ),
 IF(OR(_xlpm.x=0, _xlpm.x=""), "-", _xlpm.x)
)</f>
        <v>-</v>
      </c>
      <c r="AA156" s="55" t="str">
        <f>_xlfn.LET(
 _xlpm.x,
 _xlfn.MAXIFS(
  raw_stack!G$2:G$99411,
  raw_stack!D$2:D$99411, G156,
  raw_stack!F$2:F$99411, "Iya",
  raw_stack!G$2:G$99411, "&gt;="&amp;DATE(2026,1,1),
  raw_stack!G$2:G$99411, "&lt;="&amp;EOMONTH(DATE(2026,1,1),0)
 ),
 IF(_xlpm.x=0, "-", _xlpm.x)
)</f>
        <v>-</v>
      </c>
      <c r="AB156" s="56" t="str">
        <f>_xlfn.LET(
 _xlpm.x,
 _xlfn.MAXIFS(
  raw_stack!H$2:H$100000,
  raw_stack!D$2:D$100000, G156,
  raw_stack!F$2:F$100000, "Iya",
  raw_stack!G$2:G$100000, "&gt;="&amp;DATE(2026,1,1),
  raw_stack!G$2:G$100000, "&lt;="&amp;EOMONTH(DATE(2026,1,1),0)
 ),
 IF(OR(_xlpm.x=0, _xlpm.x=""), "-", _xlpm.x)
)</f>
        <v>-</v>
      </c>
      <c r="AC156" s="55" t="str">
        <f>_xlfn.LET(
 _xlpm.x,
 _xlfn.MAXIFS(
  raw_stack!G$2:G$99411,
  raw_stack!D$2:D$99411, G156,
  raw_stack!F$2:F$99411, "Iya",
  raw_stack!G$2:G$99411, "&gt;="&amp;DATE(2026,2,1),
  raw_stack!G$2:G$99411, "&lt;="&amp;EOMONTH(DATE(2026,2,1),0)
 ),
 IF(_xlpm.x=0, "-", _xlpm.x)
)</f>
        <v>-</v>
      </c>
      <c r="AD156" s="56" t="str">
        <f>_xlfn.LET(
 _xlpm.x,
 _xlfn.MAXIFS(
  raw_stack!H$2:H$100000,
  raw_stack!D$2:D$100000, G156,
  raw_stack!F$2:F$100000, "Iya",
  raw_stack!G$2:G$100000, "&gt;="&amp;DATE(2026,2,1),
  raw_stack!G$2:G$100000, "&lt;="&amp;EOMONTH(DATE(2026,2,1),0)
 ),
 IF(OR(_xlpm.x=0, _xlpm.x=""), "-", _xlpm.x)
)</f>
        <v>-</v>
      </c>
      <c r="AE156" s="55" t="str">
        <f>_xlfn.LET(
 _xlpm.x,
 _xlfn.MAXIFS(
  raw_stack!G$2:G$100000,
  raw_stack!D$2:D$100000, G156,
  raw_stack!F$2:F$100000, "Iya",
  raw_stack!G$2:G$100000, "&gt;="&amp;DATE(2026,3,1),
  raw_stack!G$2:G$100000, "&lt;="&amp;EOMONTH(DATE(2026,3,1),0)
 ),
 IF(_xlpm.x=0, "-", _xlpm.x)
)</f>
        <v>-</v>
      </c>
      <c r="AF156" s="56" t="str">
        <f>_xlfn.LET(
 _xlpm.x,
 _xlfn.MAXIFS(
  raw_stack!H$2:H$100000,
  raw_stack!D$2:D$100000, G156,
  raw_stack!F$2:F$100000, "Iya",
  raw_stack!G$2:G$100000, "&gt;="&amp;DATE(2026,3,1),
  raw_stack!G$2:G$100000, "&lt;="&amp;EOMONTH(DATE(2026,3,1),0)
 ),
 IF(OR(_xlpm.x=0, _xlpm.x=""), "-", _xlpm.x)
)</f>
        <v>-</v>
      </c>
      <c r="AG156" s="55">
        <f>_xlfn.LET(
 _xlpm.x,
 _xlfn.MAXIFS(
  raw_stack!G$2:G$100000,
  raw_stack!D$2:D$100000, G156,
  raw_stack!F$2:F$100000, "Iya",
  raw_stack!G$2:G$100000, "&gt;="&amp;DATE(2026,4,1),
  raw_stack!G$2:G$100000, "&lt;="&amp;EOMONTH(DATE(2026,4,1),0)
 ),
 IF(_xlpm.x=0, "-", _xlpm.x)
)</f>
        <v>46123</v>
      </c>
      <c r="AH156" s="56">
        <f>_xlfn.LET(
 _xlpm.x,
 _xlfn.MAXIFS(
  raw_stack!H$2:H$100000,
  raw_stack!D$2:D$100000, G156,
  raw_stack!F$2:F$100000, "Iya",
  raw_stack!G$2:G$100000, "&gt;="&amp;DATE(2026,4,1),
  raw_stack!G$2:G$100000, "&lt;="&amp;EOMONTH(DATE(2026,4,1),0)
 ),
 IF(OR(_xlpm.x=0, _xlpm.x=""), "-", _xlpm.x)
)</f>
        <v>31121</v>
      </c>
    </row>
    <row r="157" spans="1:34">
      <c r="A157" s="48">
        <v>156</v>
      </c>
      <c r="B157" s="49" t="str">
        <f t="shared" si="2"/>
        <v>24740</v>
      </c>
      <c r="C157" s="50" t="s">
        <v>46</v>
      </c>
      <c r="D157" s="51" t="s">
        <v>597</v>
      </c>
      <c r="E157" s="51" t="s">
        <v>47</v>
      </c>
      <c r="F157" s="49" t="s">
        <v>117</v>
      </c>
      <c r="G157" s="49" t="s">
        <v>273</v>
      </c>
      <c r="H157" s="49" t="s">
        <v>48</v>
      </c>
      <c r="I157" s="49" t="s">
        <v>49</v>
      </c>
      <c r="J157" s="52">
        <v>4375000</v>
      </c>
      <c r="K157" s="53">
        <v>45463</v>
      </c>
      <c r="L157" s="53">
        <v>46557</v>
      </c>
      <c r="M157" s="53">
        <v>46072</v>
      </c>
      <c r="N157" s="49" t="s">
        <v>50</v>
      </c>
      <c r="O157" s="54" t="str">
        <f>_xlfn.LET(
 _xlpm.x,
 _xlfn.MAXIFS(
  raw_stack!G$2:G$100000,
  raw_stack!D$2:D$100000, G157,
  raw_stack!F$2:F$100000, "Iya",
  raw_stack!G$2:G$100000, "&gt;="&amp;DATE(2025,7,1),
  raw_stack!G$2:G$100000, "&lt;="&amp;EOMONTH(DATE(2025,7,1),0)
 ),
 IF(_xlpm.x=0, "-", _xlpm.x)
)</f>
        <v>-</v>
      </c>
      <c r="P157" s="65" t="str">
        <f>_xlfn.LET(
 _xlpm.x,
 _xlfn.MAXIFS(
  raw_stack!H$2:H$100000,
  raw_stack!D$2:D$100000, G157,
  raw_stack!F$2:F$100000, "Iya",
  raw_stack!G$2:G$100000, "&gt;="&amp;DATE(2025,7,1),
  raw_stack!G$2:G$100000, "&lt;="&amp;EOMONTH(DATE(2025,7,1),0)
 ),
 IF(OR(_xlpm.x=0, _xlpm.x=""), "-", _xlpm.x)
)</f>
        <v>-</v>
      </c>
      <c r="Q157" s="54" t="str">
        <f>_xlfn.LET(
 _xlpm.x,
 _xlfn.MAXIFS(
  raw_stack!G$2:G$99411,
  raw_stack!D$2:D$99411, G157,
  raw_stack!F$2:F$99411, "Iya",
  raw_stack!G$2:G$99411, "&gt;="&amp;DATE(2025,8,1),
  raw_stack!G$2:G$99411, "&lt;="&amp;EOMONTH(DATE(2025,8,1),0)
 ),
 IF(_xlpm.x=0, "-", _xlpm.x)
)</f>
        <v>-</v>
      </c>
      <c r="R157" s="65" t="str">
        <f>_xlfn.LET(
 _xlpm.x,
 _xlfn.MAXIFS(
  raw_stack!H$2:H$100000,
  raw_stack!D$2:D$100000, G157,
  raw_stack!F$2:F$100000, "Iya",
  raw_stack!G$2:G$100000, "&gt;="&amp;DATE(2025,8,1),
  raw_stack!G$2:G$100000, "&lt;="&amp;EOMONTH(DATE(2025,8,1),0)
 ),
 IF(OR(_xlpm.x=0, _xlpm.x=""), "-", _xlpm.x)
)</f>
        <v>-</v>
      </c>
      <c r="S157" s="54" t="str">
        <f>_xlfn.LET(
 _xlpm.x,
 _xlfn.MAXIFS(
  raw_stack!G$2:G$99411,
  raw_stack!D$2:D$99411, G157,
  raw_stack!F$2:F$99411, "Iya",
  raw_stack!G$2:G$99411, "&gt;="&amp;DATE(2025,9,1),
  raw_stack!G$2:G$99411, "&lt;="&amp;EOMONTH(DATE(2025,9,1),0)
 ),
 IF(_xlpm.x=0, "-", _xlpm.x)
)</f>
        <v>-</v>
      </c>
      <c r="T157" s="65" t="str">
        <f>_xlfn.LET(
 _xlpm.x,
 _xlfn.MAXIFS(
  raw_stack!H$2:H$100000,
  raw_stack!D$2:D$100000, G157,
  raw_stack!F$2:F$100000, "Iya",
  raw_stack!G$2:G$100000, "&gt;="&amp;DATE(2025,9,1),
  raw_stack!G$2:G$100000, "&lt;="&amp;EOMONTH(DATE(2025,9,1),0)
 ),
 IF(OR(_xlpm.x=0, _xlpm.x=""), "-", _xlpm.x)
)</f>
        <v>-</v>
      </c>
      <c r="U157" s="54">
        <f>_xlfn.LET(
 _xlpm.x,
 _xlfn.MAXIFS(
  raw_stack!G$2:G$99411,
  raw_stack!D$2:D$99411, G157,
  raw_stack!F$2:F$99411, "Iya",
  raw_stack!G$2:G$99411, "&gt;="&amp;DATE(2025,10,1),
  raw_stack!G$2:G$99411, "&lt;="&amp;EOMONTH(DATE(2025,10,1),0)
 ),
 IF(_xlpm.x=0, "-", _xlpm.x)
)</f>
        <v>45931</v>
      </c>
      <c r="V157" s="65">
        <f>_xlfn.LET(
 _xlpm.x,
 _xlfn.MAXIFS(
  raw_stack!H$2:H$100000,
  raw_stack!D$2:D$100000, G157,
  raw_stack!F$2:F$100000, "Iya",
  raw_stack!G$2:G$100000, "&gt;="&amp;DATE(2025,10,1),
  raw_stack!G$2:G$100000, "&lt;="&amp;EOMONTH(DATE(2025,10,1),0)
 ),
 IF(OR(_xlpm.x=0, _xlpm.x=""), "-", _xlpm.x)
)</f>
        <v>47537</v>
      </c>
      <c r="W157" s="55" t="str">
        <f>_xlfn.LET(
 _xlpm.x,
 _xlfn.MAXIFS(
  raw_stack!G$2:G$99411,
  raw_stack!D$2:D$99411, G157,
  raw_stack!F$2:F$99411, "Iya",
  raw_stack!G$2:G$99411, "&gt;="&amp;DATE(2025,11,1),
  raw_stack!G$2:G$99411, "&lt;="&amp;EOMONTH(DATE(2025,11,1),0)
 ),
 IF(_xlpm.x=0, "-", _xlpm.x)
)</f>
        <v>-</v>
      </c>
      <c r="X157" s="56" t="str">
        <f>_xlfn.LET(
 _xlpm.x,
 _xlfn.MAXIFS(
  raw_stack!H$2:H$100000,
  raw_stack!D$2:D$100000, G157,
  raw_stack!F$2:F$100000, "Iya",
  raw_stack!G$2:G$100000, "&gt;="&amp;DATE(2025,11,1),
  raw_stack!G$2:G$100000, "&lt;="&amp;EOMONTH(DATE(2025,11,1),0)
 ),
 IF(OR(_xlpm.x=0, _xlpm.x=""), "-", _xlpm.x)
)</f>
        <v>-</v>
      </c>
      <c r="Y157" s="55" t="str">
        <f>_xlfn.LET(
 _xlpm.x,
 _xlfn.MAXIFS(
  raw_stack!G$2:G$99411,
  raw_stack!D$2:D$99411, G157,
  raw_stack!F$2:F$99411, "Iya",
  raw_stack!G$2:G$99411, "&gt;="&amp;DATE(2025,12,1),
  raw_stack!G$2:G$99411, "&lt;="&amp;EOMONTH(DATE(2025,12,1),0)
 ),
 IF(_xlpm.x=0, "-", _xlpm.x)
)</f>
        <v>-</v>
      </c>
      <c r="Z157" s="56" t="str">
        <f>_xlfn.LET(
 _xlpm.x,
 _xlfn.MAXIFS(
  raw_stack!H$2:H$100000,
  raw_stack!D$2:D$100000, G157,
  raw_stack!F$2:F$100000, "Iya",
  raw_stack!G$2:G$100000, "&gt;="&amp;DATE(2025,12,1),
  raw_stack!G$2:G$100000, "&lt;="&amp;EOMONTH(DATE(2025,12,1),0)
 ),
 IF(OR(_xlpm.x=0, _xlpm.x=""), "-", _xlpm.x)
)</f>
        <v>-</v>
      </c>
      <c r="AA157" s="55" t="str">
        <f>_xlfn.LET(
 _xlpm.x,
 _xlfn.MAXIFS(
  raw_stack!G$2:G$99411,
  raw_stack!D$2:D$99411, G157,
  raw_stack!F$2:F$99411, "Iya",
  raw_stack!G$2:G$99411, "&gt;="&amp;DATE(2026,1,1),
  raw_stack!G$2:G$99411, "&lt;="&amp;EOMONTH(DATE(2026,1,1),0)
 ),
 IF(_xlpm.x=0, "-", _xlpm.x)
)</f>
        <v>-</v>
      </c>
      <c r="AB157" s="56" t="str">
        <f>_xlfn.LET(
 _xlpm.x,
 _xlfn.MAXIFS(
  raw_stack!H$2:H$100000,
  raw_stack!D$2:D$100000, G157,
  raw_stack!F$2:F$100000, "Iya",
  raw_stack!G$2:G$100000, "&gt;="&amp;DATE(2026,1,1),
  raw_stack!G$2:G$100000, "&lt;="&amp;EOMONTH(DATE(2026,1,1),0)
 ),
 IF(OR(_xlpm.x=0, _xlpm.x=""), "-", _xlpm.x)
)</f>
        <v>-</v>
      </c>
      <c r="AC157" s="55" t="str">
        <f>_xlfn.LET(
 _xlpm.x,
 _xlfn.MAXIFS(
  raw_stack!G$2:G$99411,
  raw_stack!D$2:D$99411, G157,
  raw_stack!F$2:F$99411, "Iya",
  raw_stack!G$2:G$99411, "&gt;="&amp;DATE(2026,2,1),
  raw_stack!G$2:G$99411, "&lt;="&amp;EOMONTH(DATE(2026,2,1),0)
 ),
 IF(_xlpm.x=0, "-", _xlpm.x)
)</f>
        <v>-</v>
      </c>
      <c r="AD157" s="56" t="str">
        <f>_xlfn.LET(
 _xlpm.x,
 _xlfn.MAXIFS(
  raw_stack!H$2:H$100000,
  raw_stack!D$2:D$100000, G157,
  raw_stack!F$2:F$100000, "Iya",
  raw_stack!G$2:G$100000, "&gt;="&amp;DATE(2026,2,1),
  raw_stack!G$2:G$100000, "&lt;="&amp;EOMONTH(DATE(2026,2,1),0)
 ),
 IF(OR(_xlpm.x=0, _xlpm.x=""), "-", _xlpm.x)
)</f>
        <v>-</v>
      </c>
      <c r="AE157" s="55" t="str">
        <f>_xlfn.LET(
 _xlpm.x,
 _xlfn.MAXIFS(
  raw_stack!G$2:G$100000,
  raw_stack!D$2:D$100000, G157,
  raw_stack!F$2:F$100000, "Iya",
  raw_stack!G$2:G$100000, "&gt;="&amp;DATE(2026,3,1),
  raw_stack!G$2:G$100000, "&lt;="&amp;EOMONTH(DATE(2026,3,1),0)
 ),
 IF(_xlpm.x=0, "-", _xlpm.x)
)</f>
        <v>-</v>
      </c>
      <c r="AF157" s="56" t="str">
        <f>_xlfn.LET(
 _xlpm.x,
 _xlfn.MAXIFS(
  raw_stack!H$2:H$100000,
  raw_stack!D$2:D$100000, G157,
  raw_stack!F$2:F$100000, "Iya",
  raw_stack!G$2:G$100000, "&gt;="&amp;DATE(2026,3,1),
  raw_stack!G$2:G$100000, "&lt;="&amp;EOMONTH(DATE(2026,3,1),0)
 ),
 IF(OR(_xlpm.x=0, _xlpm.x=""), "-", _xlpm.x)
)</f>
        <v>-</v>
      </c>
      <c r="AG157" s="55" t="str">
        <f>_xlfn.LET(
 _xlpm.x,
 _xlfn.MAXIFS(
  raw_stack!G$2:G$100000,
  raw_stack!D$2:D$100000, G157,
  raw_stack!F$2:F$100000, "Iya",
  raw_stack!G$2:G$100000, "&gt;="&amp;DATE(2026,4,1),
  raw_stack!G$2:G$100000, "&lt;="&amp;EOMONTH(DATE(2026,4,1),0)
 ),
 IF(_xlpm.x=0, "-", _xlpm.x)
)</f>
        <v>-</v>
      </c>
      <c r="AH157" s="56" t="str">
        <f>_xlfn.LET(
 _xlpm.x,
 _xlfn.MAXIFS(
  raw_stack!H$2:H$100000,
  raw_stack!D$2:D$100000, G157,
  raw_stack!F$2:F$100000, "Iya",
  raw_stack!G$2:G$100000, "&gt;="&amp;DATE(2026,4,1),
  raw_stack!G$2:G$100000, "&lt;="&amp;EOMONTH(DATE(2026,4,1),0)
 ),
 IF(OR(_xlpm.x=0, _xlpm.x=""), "-", _xlpm.x)
)</f>
        <v>-</v>
      </c>
    </row>
    <row r="158" spans="1:34">
      <c r="A158" s="48">
        <v>157</v>
      </c>
      <c r="B158" s="49" t="str">
        <f t="shared" si="2"/>
        <v>85297</v>
      </c>
      <c r="C158" s="50" t="s">
        <v>46</v>
      </c>
      <c r="D158" s="51" t="s">
        <v>598</v>
      </c>
      <c r="E158" s="51" t="s">
        <v>53</v>
      </c>
      <c r="F158" s="49" t="s">
        <v>117</v>
      </c>
      <c r="G158" s="49" t="s">
        <v>274</v>
      </c>
      <c r="H158" s="49" t="s">
        <v>48</v>
      </c>
      <c r="I158" s="49" t="s">
        <v>52</v>
      </c>
      <c r="J158" s="52">
        <v>3850000</v>
      </c>
      <c r="K158" s="53">
        <v>45463</v>
      </c>
      <c r="L158" s="53">
        <v>46557</v>
      </c>
      <c r="M158" s="53">
        <v>46072</v>
      </c>
      <c r="N158" s="49" t="s">
        <v>50</v>
      </c>
      <c r="O158" s="54" t="str">
        <f>_xlfn.LET(
 _xlpm.x,
 _xlfn.MAXIFS(
  raw_stack!G$2:G$100000,
  raw_stack!D$2:D$100000, G158,
  raw_stack!F$2:F$100000, "Iya",
  raw_stack!G$2:G$100000, "&gt;="&amp;DATE(2025,7,1),
  raw_stack!G$2:G$100000, "&lt;="&amp;EOMONTH(DATE(2025,7,1),0)
 ),
 IF(_xlpm.x=0, "-", _xlpm.x)
)</f>
        <v>-</v>
      </c>
      <c r="P158" s="65" t="str">
        <f>_xlfn.LET(
 _xlpm.x,
 _xlfn.MAXIFS(
  raw_stack!H$2:H$100000,
  raw_stack!D$2:D$100000, G158,
  raw_stack!F$2:F$100000, "Iya",
  raw_stack!G$2:G$100000, "&gt;="&amp;DATE(2025,7,1),
  raw_stack!G$2:G$100000, "&lt;="&amp;EOMONTH(DATE(2025,7,1),0)
 ),
 IF(OR(_xlpm.x=0, _xlpm.x=""), "-", _xlpm.x)
)</f>
        <v>-</v>
      </c>
      <c r="Q158" s="54">
        <f>_xlfn.LET(
 _xlpm.x,
 _xlfn.MAXIFS(
  raw_stack!G$2:G$99411,
  raw_stack!D$2:D$99411, G158,
  raw_stack!F$2:F$99411, "Iya",
  raw_stack!G$2:G$99411, "&gt;="&amp;DATE(2025,8,1),
  raw_stack!G$2:G$99411, "&lt;="&amp;EOMONTH(DATE(2025,8,1),0)
 ),
 IF(_xlpm.x=0, "-", _xlpm.x)
)</f>
        <v>45889</v>
      </c>
      <c r="R158" s="65">
        <f>_xlfn.LET(
 _xlpm.x,
 _xlfn.MAXIFS(
  raw_stack!H$2:H$100000,
  raw_stack!D$2:D$100000, G158,
  raw_stack!F$2:F$100000, "Iya",
  raw_stack!G$2:G$100000, "&gt;="&amp;DATE(2025,8,1),
  raw_stack!G$2:G$100000, "&lt;="&amp;EOMONTH(DATE(2025,8,1),0)
 ),
 IF(OR(_xlpm.x=0, _xlpm.x=""), "-", _xlpm.x)
)</f>
        <v>26477</v>
      </c>
      <c r="S158" s="54" t="str">
        <f>_xlfn.LET(
 _xlpm.x,
 _xlfn.MAXIFS(
  raw_stack!G$2:G$99411,
  raw_stack!D$2:D$99411, G158,
  raw_stack!F$2:F$99411, "Iya",
  raw_stack!G$2:G$99411, "&gt;="&amp;DATE(2025,9,1),
  raw_stack!G$2:G$99411, "&lt;="&amp;EOMONTH(DATE(2025,9,1),0)
 ),
 IF(_xlpm.x=0, "-", _xlpm.x)
)</f>
        <v>-</v>
      </c>
      <c r="T158" s="65" t="str">
        <f>_xlfn.LET(
 _xlpm.x,
 _xlfn.MAXIFS(
  raw_stack!H$2:H$100000,
  raw_stack!D$2:D$100000, G158,
  raw_stack!F$2:F$100000, "Iya",
  raw_stack!G$2:G$100000, "&gt;="&amp;DATE(2025,9,1),
  raw_stack!G$2:G$100000, "&lt;="&amp;EOMONTH(DATE(2025,9,1),0)
 ),
 IF(OR(_xlpm.x=0, _xlpm.x=""), "-", _xlpm.x)
)</f>
        <v>-</v>
      </c>
      <c r="U158" s="54" t="str">
        <f>_xlfn.LET(
 _xlpm.x,
 _xlfn.MAXIFS(
  raw_stack!G$2:G$99411,
  raw_stack!D$2:D$99411, G158,
  raw_stack!F$2:F$99411, "Iya",
  raw_stack!G$2:G$99411, "&gt;="&amp;DATE(2025,10,1),
  raw_stack!G$2:G$99411, "&lt;="&amp;EOMONTH(DATE(2025,10,1),0)
 ),
 IF(_xlpm.x=0, "-", _xlpm.x)
)</f>
        <v>-</v>
      </c>
      <c r="V158" s="65" t="str">
        <f>_xlfn.LET(
 _xlpm.x,
 _xlfn.MAXIFS(
  raw_stack!H$2:H$100000,
  raw_stack!D$2:D$100000, G158,
  raw_stack!F$2:F$100000, "Iya",
  raw_stack!G$2:G$100000, "&gt;="&amp;DATE(2025,10,1),
  raw_stack!G$2:G$100000, "&lt;="&amp;EOMONTH(DATE(2025,10,1),0)
 ),
 IF(OR(_xlpm.x=0, _xlpm.x=""), "-", _xlpm.x)
)</f>
        <v>-</v>
      </c>
      <c r="W158" s="55" t="str">
        <f>_xlfn.LET(
 _xlpm.x,
 _xlfn.MAXIFS(
  raw_stack!G$2:G$99411,
  raw_stack!D$2:D$99411, G158,
  raw_stack!F$2:F$99411, "Iya",
  raw_stack!G$2:G$99411, "&gt;="&amp;DATE(2025,11,1),
  raw_stack!G$2:G$99411, "&lt;="&amp;EOMONTH(DATE(2025,11,1),0)
 ),
 IF(_xlpm.x=0, "-", _xlpm.x)
)</f>
        <v>-</v>
      </c>
      <c r="X158" s="56" t="str">
        <f>_xlfn.LET(
 _xlpm.x,
 _xlfn.MAXIFS(
  raw_stack!H$2:H$100000,
  raw_stack!D$2:D$100000, G158,
  raw_stack!F$2:F$100000, "Iya",
  raw_stack!G$2:G$100000, "&gt;="&amp;DATE(2025,11,1),
  raw_stack!G$2:G$100000, "&lt;="&amp;EOMONTH(DATE(2025,11,1),0)
 ),
 IF(OR(_xlpm.x=0, _xlpm.x=""), "-", _xlpm.x)
)</f>
        <v>-</v>
      </c>
      <c r="Y158" s="55" t="str">
        <f>_xlfn.LET(
 _xlpm.x,
 _xlfn.MAXIFS(
  raw_stack!G$2:G$99411,
  raw_stack!D$2:D$99411, G158,
  raw_stack!F$2:F$99411, "Iya",
  raw_stack!G$2:G$99411, "&gt;="&amp;DATE(2025,12,1),
  raw_stack!G$2:G$99411, "&lt;="&amp;EOMONTH(DATE(2025,12,1),0)
 ),
 IF(_xlpm.x=0, "-", _xlpm.x)
)</f>
        <v>-</v>
      </c>
      <c r="Z158" s="56" t="str">
        <f>_xlfn.LET(
 _xlpm.x,
 _xlfn.MAXIFS(
  raw_stack!H$2:H$100000,
  raw_stack!D$2:D$100000, G158,
  raw_stack!F$2:F$100000, "Iya",
  raw_stack!G$2:G$100000, "&gt;="&amp;DATE(2025,12,1),
  raw_stack!G$2:G$100000, "&lt;="&amp;EOMONTH(DATE(2025,12,1),0)
 ),
 IF(OR(_xlpm.x=0, _xlpm.x=""), "-", _xlpm.x)
)</f>
        <v>-</v>
      </c>
      <c r="AA158" s="55" t="str">
        <f>_xlfn.LET(
 _xlpm.x,
 _xlfn.MAXIFS(
  raw_stack!G$2:G$99411,
  raw_stack!D$2:D$99411, G158,
  raw_stack!F$2:F$99411, "Iya",
  raw_stack!G$2:G$99411, "&gt;="&amp;DATE(2026,1,1),
  raw_stack!G$2:G$99411, "&lt;="&amp;EOMONTH(DATE(2026,1,1),0)
 ),
 IF(_xlpm.x=0, "-", _xlpm.x)
)</f>
        <v>-</v>
      </c>
      <c r="AB158" s="56" t="str">
        <f>_xlfn.LET(
 _xlpm.x,
 _xlfn.MAXIFS(
  raw_stack!H$2:H$100000,
  raw_stack!D$2:D$100000, G158,
  raw_stack!F$2:F$100000, "Iya",
  raw_stack!G$2:G$100000, "&gt;="&amp;DATE(2026,1,1),
  raw_stack!G$2:G$100000, "&lt;="&amp;EOMONTH(DATE(2026,1,1),0)
 ),
 IF(OR(_xlpm.x=0, _xlpm.x=""), "-", _xlpm.x)
)</f>
        <v>-</v>
      </c>
      <c r="AC158" s="55" t="str">
        <f>_xlfn.LET(
 _xlpm.x,
 _xlfn.MAXIFS(
  raw_stack!G$2:G$99411,
  raw_stack!D$2:D$99411, G158,
  raw_stack!F$2:F$99411, "Iya",
  raw_stack!G$2:G$99411, "&gt;="&amp;DATE(2026,2,1),
  raw_stack!G$2:G$99411, "&lt;="&amp;EOMONTH(DATE(2026,2,1),0)
 ),
 IF(_xlpm.x=0, "-", _xlpm.x)
)</f>
        <v>-</v>
      </c>
      <c r="AD158" s="56" t="str">
        <f>_xlfn.LET(
 _xlpm.x,
 _xlfn.MAXIFS(
  raw_stack!H$2:H$100000,
  raw_stack!D$2:D$100000, G158,
  raw_stack!F$2:F$100000, "Iya",
  raw_stack!G$2:G$100000, "&gt;="&amp;DATE(2026,2,1),
  raw_stack!G$2:G$100000, "&lt;="&amp;EOMONTH(DATE(2026,2,1),0)
 ),
 IF(OR(_xlpm.x=0, _xlpm.x=""), "-", _xlpm.x)
)</f>
        <v>-</v>
      </c>
      <c r="AE158" s="55" t="str">
        <f>_xlfn.LET(
 _xlpm.x,
 _xlfn.MAXIFS(
  raw_stack!G$2:G$100000,
  raw_stack!D$2:D$100000, G158,
  raw_stack!F$2:F$100000, "Iya",
  raw_stack!G$2:G$100000, "&gt;="&amp;DATE(2026,3,1),
  raw_stack!G$2:G$100000, "&lt;="&amp;EOMONTH(DATE(2026,3,1),0)
 ),
 IF(_xlpm.x=0, "-", _xlpm.x)
)</f>
        <v>-</v>
      </c>
      <c r="AF158" s="56" t="str">
        <f>_xlfn.LET(
 _xlpm.x,
 _xlfn.MAXIFS(
  raw_stack!H$2:H$100000,
  raw_stack!D$2:D$100000, G158,
  raw_stack!F$2:F$100000, "Iya",
  raw_stack!G$2:G$100000, "&gt;="&amp;DATE(2026,3,1),
  raw_stack!G$2:G$100000, "&lt;="&amp;EOMONTH(DATE(2026,3,1),0)
 ),
 IF(OR(_xlpm.x=0, _xlpm.x=""), "-", _xlpm.x)
)</f>
        <v>-</v>
      </c>
      <c r="AG158" s="55" t="str">
        <f>_xlfn.LET(
 _xlpm.x,
 _xlfn.MAXIFS(
  raw_stack!G$2:G$100000,
  raw_stack!D$2:D$100000, G158,
  raw_stack!F$2:F$100000, "Iya",
  raw_stack!G$2:G$100000, "&gt;="&amp;DATE(2026,4,1),
  raw_stack!G$2:G$100000, "&lt;="&amp;EOMONTH(DATE(2026,4,1),0)
 ),
 IF(_xlpm.x=0, "-", _xlpm.x)
)</f>
        <v>-</v>
      </c>
      <c r="AH158" s="56" t="str">
        <f>_xlfn.LET(
 _xlpm.x,
 _xlfn.MAXIFS(
  raw_stack!H$2:H$100000,
  raw_stack!D$2:D$100000, G158,
  raw_stack!F$2:F$100000, "Iya",
  raw_stack!G$2:G$100000, "&gt;="&amp;DATE(2026,4,1),
  raw_stack!G$2:G$100000, "&lt;="&amp;EOMONTH(DATE(2026,4,1),0)
 ),
 IF(OR(_xlpm.x=0, _xlpm.x=""), "-", _xlpm.x)
)</f>
        <v>-</v>
      </c>
    </row>
    <row r="159" spans="1:34">
      <c r="A159" s="48">
        <v>158</v>
      </c>
      <c r="B159" s="49" t="str">
        <f t="shared" si="2"/>
        <v>60059</v>
      </c>
      <c r="C159" s="50" t="s">
        <v>46</v>
      </c>
      <c r="D159" s="51" t="s">
        <v>599</v>
      </c>
      <c r="E159" s="51" t="s">
        <v>56</v>
      </c>
      <c r="F159" s="49" t="s">
        <v>117</v>
      </c>
      <c r="G159" s="49" t="s">
        <v>275</v>
      </c>
      <c r="H159" s="49" t="s">
        <v>48</v>
      </c>
      <c r="I159" s="49" t="s">
        <v>52</v>
      </c>
      <c r="J159" s="52">
        <v>7310000</v>
      </c>
      <c r="K159" s="53">
        <v>45467</v>
      </c>
      <c r="L159" s="53">
        <v>46561</v>
      </c>
      <c r="M159" s="53">
        <v>46104</v>
      </c>
      <c r="N159" s="49" t="s">
        <v>50</v>
      </c>
      <c r="O159" s="54" t="str">
        <f>_xlfn.LET(
 _xlpm.x,
 _xlfn.MAXIFS(
  raw_stack!G$2:G$100000,
  raw_stack!D$2:D$100000, G159,
  raw_stack!F$2:F$100000, "Iya",
  raw_stack!G$2:G$100000, "&gt;="&amp;DATE(2025,7,1),
  raw_stack!G$2:G$100000, "&lt;="&amp;EOMONTH(DATE(2025,7,1),0)
 ),
 IF(_xlpm.x=0, "-", _xlpm.x)
)</f>
        <v>-</v>
      </c>
      <c r="P159" s="65" t="str">
        <f>_xlfn.LET(
 _xlpm.x,
 _xlfn.MAXIFS(
  raw_stack!H$2:H$100000,
  raw_stack!D$2:D$100000, G159,
  raw_stack!F$2:F$100000, "Iya",
  raw_stack!G$2:G$100000, "&gt;="&amp;DATE(2025,7,1),
  raw_stack!G$2:G$100000, "&lt;="&amp;EOMONTH(DATE(2025,7,1),0)
 ),
 IF(OR(_xlpm.x=0, _xlpm.x=""), "-", _xlpm.x)
)</f>
        <v>-</v>
      </c>
      <c r="Q159" s="54" t="str">
        <f>_xlfn.LET(
 _xlpm.x,
 _xlfn.MAXIFS(
  raw_stack!G$2:G$99411,
  raw_stack!D$2:D$99411, G159,
  raw_stack!F$2:F$99411, "Iya",
  raw_stack!G$2:G$99411, "&gt;="&amp;DATE(2025,8,1),
  raw_stack!G$2:G$99411, "&lt;="&amp;EOMONTH(DATE(2025,8,1),0)
 ),
 IF(_xlpm.x=0, "-", _xlpm.x)
)</f>
        <v>-</v>
      </c>
      <c r="R159" s="65" t="str">
        <f>_xlfn.LET(
 _xlpm.x,
 _xlfn.MAXIFS(
  raw_stack!H$2:H$100000,
  raw_stack!D$2:D$100000, G159,
  raw_stack!F$2:F$100000, "Iya",
  raw_stack!G$2:G$100000, "&gt;="&amp;DATE(2025,8,1),
  raw_stack!G$2:G$100000, "&lt;="&amp;EOMONTH(DATE(2025,8,1),0)
 ),
 IF(OR(_xlpm.x=0, _xlpm.x=""), "-", _xlpm.x)
)</f>
        <v>-</v>
      </c>
      <c r="S159" s="54" t="str">
        <f>_xlfn.LET(
 _xlpm.x,
 _xlfn.MAXIFS(
  raw_stack!G$2:G$99411,
  raw_stack!D$2:D$99411, G159,
  raw_stack!F$2:F$99411, "Iya",
  raw_stack!G$2:G$99411, "&gt;="&amp;DATE(2025,9,1),
  raw_stack!G$2:G$99411, "&lt;="&amp;EOMONTH(DATE(2025,9,1),0)
 ),
 IF(_xlpm.x=0, "-", _xlpm.x)
)</f>
        <v>-</v>
      </c>
      <c r="T159" s="65" t="str">
        <f>_xlfn.LET(
 _xlpm.x,
 _xlfn.MAXIFS(
  raw_stack!H$2:H$100000,
  raw_stack!D$2:D$100000, G159,
  raw_stack!F$2:F$100000, "Iya",
  raw_stack!G$2:G$100000, "&gt;="&amp;DATE(2025,9,1),
  raw_stack!G$2:G$100000, "&lt;="&amp;EOMONTH(DATE(2025,9,1),0)
 ),
 IF(OR(_xlpm.x=0, _xlpm.x=""), "-", _xlpm.x)
)</f>
        <v>-</v>
      </c>
      <c r="U159" s="54" t="str">
        <f>_xlfn.LET(
 _xlpm.x,
 _xlfn.MAXIFS(
  raw_stack!G$2:G$99411,
  raw_stack!D$2:D$99411, G159,
  raw_stack!F$2:F$99411, "Iya",
  raw_stack!G$2:G$99411, "&gt;="&amp;DATE(2025,10,1),
  raw_stack!G$2:G$99411, "&lt;="&amp;EOMONTH(DATE(2025,10,1),0)
 ),
 IF(_xlpm.x=0, "-", _xlpm.x)
)</f>
        <v>-</v>
      </c>
      <c r="V159" s="65" t="str">
        <f>_xlfn.LET(
 _xlpm.x,
 _xlfn.MAXIFS(
  raw_stack!H$2:H$100000,
  raw_stack!D$2:D$100000, G159,
  raw_stack!F$2:F$100000, "Iya",
  raw_stack!G$2:G$100000, "&gt;="&amp;DATE(2025,10,1),
  raw_stack!G$2:G$100000, "&lt;="&amp;EOMONTH(DATE(2025,10,1),0)
 ),
 IF(OR(_xlpm.x=0, _xlpm.x=""), "-", _xlpm.x)
)</f>
        <v>-</v>
      </c>
      <c r="W159" s="55" t="str">
        <f>_xlfn.LET(
 _xlpm.x,
 _xlfn.MAXIFS(
  raw_stack!G$2:G$99411,
  raw_stack!D$2:D$99411, G159,
  raw_stack!F$2:F$99411, "Iya",
  raw_stack!G$2:G$99411, "&gt;="&amp;DATE(2025,11,1),
  raw_stack!G$2:G$99411, "&lt;="&amp;EOMONTH(DATE(2025,11,1),0)
 ),
 IF(_xlpm.x=0, "-", _xlpm.x)
)</f>
        <v>-</v>
      </c>
      <c r="X159" s="56" t="str">
        <f>_xlfn.LET(
 _xlpm.x,
 _xlfn.MAXIFS(
  raw_stack!H$2:H$100000,
  raw_stack!D$2:D$100000, G159,
  raw_stack!F$2:F$100000, "Iya",
  raw_stack!G$2:G$100000, "&gt;="&amp;DATE(2025,11,1),
  raw_stack!G$2:G$100000, "&lt;="&amp;EOMONTH(DATE(2025,11,1),0)
 ),
 IF(OR(_xlpm.x=0, _xlpm.x=""), "-", _xlpm.x)
)</f>
        <v>-</v>
      </c>
      <c r="Y159" s="55">
        <f>_xlfn.LET(
 _xlpm.x,
 _xlfn.MAXIFS(
  raw_stack!G$2:G$99411,
  raw_stack!D$2:D$99411, G159,
  raw_stack!F$2:F$99411, "Iya",
  raw_stack!G$2:G$99411, "&gt;="&amp;DATE(2025,12,1),
  raw_stack!G$2:G$99411, "&lt;="&amp;EOMONTH(DATE(2025,12,1),0)
 ),
 IF(_xlpm.x=0, "-", _xlpm.x)
)</f>
        <v>45995</v>
      </c>
      <c r="Z159" s="56">
        <f>_xlfn.LET(
 _xlpm.x,
 _xlfn.MAXIFS(
  raw_stack!H$2:H$100000,
  raw_stack!D$2:D$100000, G159,
  raw_stack!F$2:F$100000, "Iya",
  raw_stack!G$2:G$100000, "&gt;="&amp;DATE(2025,12,1),
  raw_stack!G$2:G$100000, "&lt;="&amp;EOMONTH(DATE(2025,12,1),0)
 ),
 IF(OR(_xlpm.x=0, _xlpm.x=""), "-", _xlpm.x)
)</f>
        <v>46523</v>
      </c>
      <c r="AA159" s="55" t="str">
        <f>_xlfn.LET(
 _xlpm.x,
 _xlfn.MAXIFS(
  raw_stack!G$2:G$99411,
  raw_stack!D$2:D$99411, G159,
  raw_stack!F$2:F$99411, "Iya",
  raw_stack!G$2:G$99411, "&gt;="&amp;DATE(2026,1,1),
  raw_stack!G$2:G$99411, "&lt;="&amp;EOMONTH(DATE(2026,1,1),0)
 ),
 IF(_xlpm.x=0, "-", _xlpm.x)
)</f>
        <v>-</v>
      </c>
      <c r="AB159" s="56" t="str">
        <f>_xlfn.LET(
 _xlpm.x,
 _xlfn.MAXIFS(
  raw_stack!H$2:H$100000,
  raw_stack!D$2:D$100000, G159,
  raw_stack!F$2:F$100000, "Iya",
  raw_stack!G$2:G$100000, "&gt;="&amp;DATE(2026,1,1),
  raw_stack!G$2:G$100000, "&lt;="&amp;EOMONTH(DATE(2026,1,1),0)
 ),
 IF(OR(_xlpm.x=0, _xlpm.x=""), "-", _xlpm.x)
)</f>
        <v>-</v>
      </c>
      <c r="AC159" s="55" t="str">
        <f>_xlfn.LET(
 _xlpm.x,
 _xlfn.MAXIFS(
  raw_stack!G$2:G$99411,
  raw_stack!D$2:D$99411, G159,
  raw_stack!F$2:F$99411, "Iya",
  raw_stack!G$2:G$99411, "&gt;="&amp;DATE(2026,2,1),
  raw_stack!G$2:G$99411, "&lt;="&amp;EOMONTH(DATE(2026,2,1),0)
 ),
 IF(_xlpm.x=0, "-", _xlpm.x)
)</f>
        <v>-</v>
      </c>
      <c r="AD159" s="56" t="str">
        <f>_xlfn.LET(
 _xlpm.x,
 _xlfn.MAXIFS(
  raw_stack!H$2:H$100000,
  raw_stack!D$2:D$100000, G159,
  raw_stack!F$2:F$100000, "Iya",
  raw_stack!G$2:G$100000, "&gt;="&amp;DATE(2026,2,1),
  raw_stack!G$2:G$100000, "&lt;="&amp;EOMONTH(DATE(2026,2,1),0)
 ),
 IF(OR(_xlpm.x=0, _xlpm.x=""), "-", _xlpm.x)
)</f>
        <v>-</v>
      </c>
      <c r="AE159" s="55" t="str">
        <f>_xlfn.LET(
 _xlpm.x,
 _xlfn.MAXIFS(
  raw_stack!G$2:G$100000,
  raw_stack!D$2:D$100000, G159,
  raw_stack!F$2:F$100000, "Iya",
  raw_stack!G$2:G$100000, "&gt;="&amp;DATE(2026,3,1),
  raw_stack!G$2:G$100000, "&lt;="&amp;EOMONTH(DATE(2026,3,1),0)
 ),
 IF(_xlpm.x=0, "-", _xlpm.x)
)</f>
        <v>-</v>
      </c>
      <c r="AF159" s="56" t="str">
        <f>_xlfn.LET(
 _xlpm.x,
 _xlfn.MAXIFS(
  raw_stack!H$2:H$100000,
  raw_stack!D$2:D$100000, G159,
  raw_stack!F$2:F$100000, "Iya",
  raw_stack!G$2:G$100000, "&gt;="&amp;DATE(2026,3,1),
  raw_stack!G$2:G$100000, "&lt;="&amp;EOMONTH(DATE(2026,3,1),0)
 ),
 IF(OR(_xlpm.x=0, _xlpm.x=""), "-", _xlpm.x)
)</f>
        <v>-</v>
      </c>
      <c r="AG159" s="55" t="str">
        <f>_xlfn.LET(
 _xlpm.x,
 _xlfn.MAXIFS(
  raw_stack!G$2:G$100000,
  raw_stack!D$2:D$100000, G159,
  raw_stack!F$2:F$100000, "Iya",
  raw_stack!G$2:G$100000, "&gt;="&amp;DATE(2026,4,1),
  raw_stack!G$2:G$100000, "&lt;="&amp;EOMONTH(DATE(2026,4,1),0)
 ),
 IF(_xlpm.x=0, "-", _xlpm.x)
)</f>
        <v>-</v>
      </c>
      <c r="AH159" s="56" t="str">
        <f>_xlfn.LET(
 _xlpm.x,
 _xlfn.MAXIFS(
  raw_stack!H$2:H$100000,
  raw_stack!D$2:D$100000, G159,
  raw_stack!F$2:F$100000, "Iya",
  raw_stack!G$2:G$100000, "&gt;="&amp;DATE(2026,4,1),
  raw_stack!G$2:G$100000, "&lt;="&amp;EOMONTH(DATE(2026,4,1),0)
 ),
 IF(OR(_xlpm.x=0, _xlpm.x=""), "-", _xlpm.x)
)</f>
        <v>-</v>
      </c>
    </row>
    <row r="160" spans="1:34">
      <c r="A160" s="48">
        <v>159</v>
      </c>
      <c r="B160" s="49" t="str">
        <f t="shared" si="2"/>
        <v>87789</v>
      </c>
      <c r="C160" s="50" t="s">
        <v>46</v>
      </c>
      <c r="D160" s="51" t="s">
        <v>600</v>
      </c>
      <c r="E160" s="51" t="s">
        <v>56</v>
      </c>
      <c r="F160" s="49" t="s">
        <v>117</v>
      </c>
      <c r="G160" s="49" t="s">
        <v>276</v>
      </c>
      <c r="H160" s="49" t="s">
        <v>48</v>
      </c>
      <c r="I160" s="49" t="s">
        <v>52</v>
      </c>
      <c r="J160" s="52">
        <v>6820000</v>
      </c>
      <c r="K160" s="53">
        <v>45468</v>
      </c>
      <c r="L160" s="53">
        <v>46562</v>
      </c>
      <c r="M160" s="53">
        <v>46105</v>
      </c>
      <c r="N160" s="49" t="s">
        <v>50</v>
      </c>
      <c r="O160" s="54" t="str">
        <f>_xlfn.LET(
 _xlpm.x,
 _xlfn.MAXIFS(
  raw_stack!G$2:G$100000,
  raw_stack!D$2:D$100000, G160,
  raw_stack!F$2:F$100000, "Iya",
  raw_stack!G$2:G$100000, "&gt;="&amp;DATE(2025,7,1),
  raw_stack!G$2:G$100000, "&lt;="&amp;EOMONTH(DATE(2025,7,1),0)
 ),
 IF(_xlpm.x=0, "-", _xlpm.x)
)</f>
        <v>-</v>
      </c>
      <c r="P160" s="65" t="str">
        <f>_xlfn.LET(
 _xlpm.x,
 _xlfn.MAXIFS(
  raw_stack!H$2:H$100000,
  raw_stack!D$2:D$100000, G160,
  raw_stack!F$2:F$100000, "Iya",
  raw_stack!G$2:G$100000, "&gt;="&amp;DATE(2025,7,1),
  raw_stack!G$2:G$100000, "&lt;="&amp;EOMONTH(DATE(2025,7,1),0)
 ),
 IF(OR(_xlpm.x=0, _xlpm.x=""), "-", _xlpm.x)
)</f>
        <v>-</v>
      </c>
      <c r="Q160" s="54">
        <f>_xlfn.LET(
 _xlpm.x,
 _xlfn.MAXIFS(
  raw_stack!G$2:G$99411,
  raw_stack!D$2:D$99411, G160,
  raw_stack!F$2:F$99411, "Iya",
  raw_stack!G$2:G$99411, "&gt;="&amp;DATE(2025,8,1),
  raw_stack!G$2:G$99411, "&lt;="&amp;EOMONTH(DATE(2025,8,1),0)
 ),
 IF(_xlpm.x=0, "-", _xlpm.x)
)</f>
        <v>45889</v>
      </c>
      <c r="R160" s="65">
        <f>_xlfn.LET(
 _xlpm.x,
 _xlfn.MAXIFS(
  raw_stack!H$2:H$100000,
  raw_stack!D$2:D$100000, G160,
  raw_stack!F$2:F$100000, "Iya",
  raw_stack!G$2:G$100000, "&gt;="&amp;DATE(2025,8,1),
  raw_stack!G$2:G$100000, "&lt;="&amp;EOMONTH(DATE(2025,8,1),0)
 ),
 IF(OR(_xlpm.x=0, _xlpm.x=""), "-", _xlpm.x)
)</f>
        <v>26999</v>
      </c>
      <c r="S160" s="54" t="str">
        <f>_xlfn.LET(
 _xlpm.x,
 _xlfn.MAXIFS(
  raw_stack!G$2:G$99411,
  raw_stack!D$2:D$99411, G160,
  raw_stack!F$2:F$99411, "Iya",
  raw_stack!G$2:G$99411, "&gt;="&amp;DATE(2025,9,1),
  raw_stack!G$2:G$99411, "&lt;="&amp;EOMONTH(DATE(2025,9,1),0)
 ),
 IF(_xlpm.x=0, "-", _xlpm.x)
)</f>
        <v>-</v>
      </c>
      <c r="T160" s="65" t="str">
        <f>_xlfn.LET(
 _xlpm.x,
 _xlfn.MAXIFS(
  raw_stack!H$2:H$100000,
  raw_stack!D$2:D$100000, G160,
  raw_stack!F$2:F$100000, "Iya",
  raw_stack!G$2:G$100000, "&gt;="&amp;DATE(2025,9,1),
  raw_stack!G$2:G$100000, "&lt;="&amp;EOMONTH(DATE(2025,9,1),0)
 ),
 IF(OR(_xlpm.x=0, _xlpm.x=""), "-", _xlpm.x)
)</f>
        <v>-</v>
      </c>
      <c r="U160" s="54" t="str">
        <f>_xlfn.LET(
 _xlpm.x,
 _xlfn.MAXIFS(
  raw_stack!G$2:G$99411,
  raw_stack!D$2:D$99411, G160,
  raw_stack!F$2:F$99411, "Iya",
  raw_stack!G$2:G$99411, "&gt;="&amp;DATE(2025,10,1),
  raw_stack!G$2:G$99411, "&lt;="&amp;EOMONTH(DATE(2025,10,1),0)
 ),
 IF(_xlpm.x=0, "-", _xlpm.x)
)</f>
        <v>-</v>
      </c>
      <c r="V160" s="65" t="str">
        <f>_xlfn.LET(
 _xlpm.x,
 _xlfn.MAXIFS(
  raw_stack!H$2:H$100000,
  raw_stack!D$2:D$100000, G160,
  raw_stack!F$2:F$100000, "Iya",
  raw_stack!G$2:G$100000, "&gt;="&amp;DATE(2025,10,1),
  raw_stack!G$2:G$100000, "&lt;="&amp;EOMONTH(DATE(2025,10,1),0)
 ),
 IF(OR(_xlpm.x=0, _xlpm.x=""), "-", _xlpm.x)
)</f>
        <v>-</v>
      </c>
      <c r="W160" s="55" t="str">
        <f>_xlfn.LET(
 _xlpm.x,
 _xlfn.MAXIFS(
  raw_stack!G$2:G$99411,
  raw_stack!D$2:D$99411, G160,
  raw_stack!F$2:F$99411, "Iya",
  raw_stack!G$2:G$99411, "&gt;="&amp;DATE(2025,11,1),
  raw_stack!G$2:G$99411, "&lt;="&amp;EOMONTH(DATE(2025,11,1),0)
 ),
 IF(_xlpm.x=0, "-", _xlpm.x)
)</f>
        <v>-</v>
      </c>
      <c r="X160" s="56" t="str">
        <f>_xlfn.LET(
 _xlpm.x,
 _xlfn.MAXIFS(
  raw_stack!H$2:H$100000,
  raw_stack!D$2:D$100000, G160,
  raw_stack!F$2:F$100000, "Iya",
  raw_stack!G$2:G$100000, "&gt;="&amp;DATE(2025,11,1),
  raw_stack!G$2:G$100000, "&lt;="&amp;EOMONTH(DATE(2025,11,1),0)
 ),
 IF(OR(_xlpm.x=0, _xlpm.x=""), "-", _xlpm.x)
)</f>
        <v>-</v>
      </c>
      <c r="Y160" s="55" t="str">
        <f>_xlfn.LET(
 _xlpm.x,
 _xlfn.MAXIFS(
  raw_stack!G$2:G$99411,
  raw_stack!D$2:D$99411, G160,
  raw_stack!F$2:F$99411, "Iya",
  raw_stack!G$2:G$99411, "&gt;="&amp;DATE(2025,12,1),
  raw_stack!G$2:G$99411, "&lt;="&amp;EOMONTH(DATE(2025,12,1),0)
 ),
 IF(_xlpm.x=0, "-", _xlpm.x)
)</f>
        <v>-</v>
      </c>
      <c r="Z160" s="56" t="str">
        <f>_xlfn.LET(
 _xlpm.x,
 _xlfn.MAXIFS(
  raw_stack!H$2:H$100000,
  raw_stack!D$2:D$100000, G160,
  raw_stack!F$2:F$100000, "Iya",
  raw_stack!G$2:G$100000, "&gt;="&amp;DATE(2025,12,1),
  raw_stack!G$2:G$100000, "&lt;="&amp;EOMONTH(DATE(2025,12,1),0)
 ),
 IF(OR(_xlpm.x=0, _xlpm.x=""), "-", _xlpm.x)
)</f>
        <v>-</v>
      </c>
      <c r="AA160" s="55" t="str">
        <f>_xlfn.LET(
 _xlpm.x,
 _xlfn.MAXIFS(
  raw_stack!G$2:G$99411,
  raw_stack!D$2:D$99411, G160,
  raw_stack!F$2:F$99411, "Iya",
  raw_stack!G$2:G$99411, "&gt;="&amp;DATE(2026,1,1),
  raw_stack!G$2:G$99411, "&lt;="&amp;EOMONTH(DATE(2026,1,1),0)
 ),
 IF(_xlpm.x=0, "-", _xlpm.x)
)</f>
        <v>-</v>
      </c>
      <c r="AB160" s="56" t="str">
        <f>_xlfn.LET(
 _xlpm.x,
 _xlfn.MAXIFS(
  raw_stack!H$2:H$100000,
  raw_stack!D$2:D$100000, G160,
  raw_stack!F$2:F$100000, "Iya",
  raw_stack!G$2:G$100000, "&gt;="&amp;DATE(2026,1,1),
  raw_stack!G$2:G$100000, "&lt;="&amp;EOMONTH(DATE(2026,1,1),0)
 ),
 IF(OR(_xlpm.x=0, _xlpm.x=""), "-", _xlpm.x)
)</f>
        <v>-</v>
      </c>
      <c r="AC160" s="55">
        <f>_xlfn.LET(
 _xlpm.x,
 _xlfn.MAXIFS(
  raw_stack!G$2:G$99411,
  raw_stack!D$2:D$99411, G160,
  raw_stack!F$2:F$99411, "Iya",
  raw_stack!G$2:G$99411, "&gt;="&amp;DATE(2026,2,1),
  raw_stack!G$2:G$99411, "&lt;="&amp;EOMONTH(DATE(2026,2,1),0)
 ),
 IF(_xlpm.x=0, "-", _xlpm.x)
)</f>
        <v>46060</v>
      </c>
      <c r="AD160" s="56">
        <f>_xlfn.LET(
 _xlpm.x,
 _xlfn.MAXIFS(
  raw_stack!H$2:H$100000,
  raw_stack!D$2:D$100000, G160,
  raw_stack!F$2:F$100000, "Iya",
  raw_stack!G$2:G$100000, "&gt;="&amp;DATE(2026,2,1),
  raw_stack!G$2:G$100000, "&lt;="&amp;EOMONTH(DATE(2026,2,1),0)
 ),
 IF(OR(_xlpm.x=0, _xlpm.x=""), "-", _xlpm.x)
)</f>
        <v>30923</v>
      </c>
      <c r="AE160" s="55" t="str">
        <f>_xlfn.LET(
 _xlpm.x,
 _xlfn.MAXIFS(
  raw_stack!G$2:G$100000,
  raw_stack!D$2:D$100000, G160,
  raw_stack!F$2:F$100000, "Iya",
  raw_stack!G$2:G$100000, "&gt;="&amp;DATE(2026,3,1),
  raw_stack!G$2:G$100000, "&lt;="&amp;EOMONTH(DATE(2026,3,1),0)
 ),
 IF(_xlpm.x=0, "-", _xlpm.x)
)</f>
        <v>-</v>
      </c>
      <c r="AF160" s="56" t="str">
        <f>_xlfn.LET(
 _xlpm.x,
 _xlfn.MAXIFS(
  raw_stack!H$2:H$100000,
  raw_stack!D$2:D$100000, G160,
  raw_stack!F$2:F$100000, "Iya",
  raw_stack!G$2:G$100000, "&gt;="&amp;DATE(2026,3,1),
  raw_stack!G$2:G$100000, "&lt;="&amp;EOMONTH(DATE(2026,3,1),0)
 ),
 IF(OR(_xlpm.x=0, _xlpm.x=""), "-", _xlpm.x)
)</f>
        <v>-</v>
      </c>
      <c r="AG160" s="55" t="str">
        <f>_xlfn.LET(
 _xlpm.x,
 _xlfn.MAXIFS(
  raw_stack!G$2:G$100000,
  raw_stack!D$2:D$100000, G160,
  raw_stack!F$2:F$100000, "Iya",
  raw_stack!G$2:G$100000, "&gt;="&amp;DATE(2026,4,1),
  raw_stack!G$2:G$100000, "&lt;="&amp;EOMONTH(DATE(2026,4,1),0)
 ),
 IF(_xlpm.x=0, "-", _xlpm.x)
)</f>
        <v>-</v>
      </c>
      <c r="AH160" s="56" t="str">
        <f>_xlfn.LET(
 _xlpm.x,
 _xlfn.MAXIFS(
  raw_stack!H$2:H$100000,
  raw_stack!D$2:D$100000, G160,
  raw_stack!F$2:F$100000, "Iya",
  raw_stack!G$2:G$100000, "&gt;="&amp;DATE(2026,4,1),
  raw_stack!G$2:G$100000, "&lt;="&amp;EOMONTH(DATE(2026,4,1),0)
 ),
 IF(OR(_xlpm.x=0, _xlpm.x=""), "-", _xlpm.x)
)</f>
        <v>-</v>
      </c>
    </row>
    <row r="161" spans="1:34">
      <c r="A161" s="48">
        <v>160</v>
      </c>
      <c r="B161" s="49" t="str">
        <f t="shared" si="2"/>
        <v>99068</v>
      </c>
      <c r="C161" s="50" t="s">
        <v>46</v>
      </c>
      <c r="D161" s="51" t="s">
        <v>490</v>
      </c>
      <c r="E161" s="51" t="s">
        <v>47</v>
      </c>
      <c r="F161" s="49" t="s">
        <v>117</v>
      </c>
      <c r="G161" s="49" t="s">
        <v>277</v>
      </c>
      <c r="H161" s="49" t="s">
        <v>48</v>
      </c>
      <c r="I161" s="49" t="s">
        <v>49</v>
      </c>
      <c r="J161" s="52">
        <v>4375000</v>
      </c>
      <c r="K161" s="53">
        <v>45478</v>
      </c>
      <c r="L161" s="53">
        <v>46572</v>
      </c>
      <c r="M161" s="53">
        <v>46057</v>
      </c>
      <c r="N161" s="49" t="s">
        <v>50</v>
      </c>
      <c r="O161" s="54" t="str">
        <f>_xlfn.LET(
 _xlpm.x,
 _xlfn.MAXIFS(
  raw_stack!G$2:G$100000,
  raw_stack!D$2:D$100000, G161,
  raw_stack!F$2:F$100000, "Iya",
  raw_stack!G$2:G$100000, "&gt;="&amp;DATE(2025,7,1),
  raw_stack!G$2:G$100000, "&lt;="&amp;EOMONTH(DATE(2025,7,1),0)
 ),
 IF(_xlpm.x=0, "-", _xlpm.x)
)</f>
        <v>-</v>
      </c>
      <c r="P161" s="65" t="str">
        <f>_xlfn.LET(
 _xlpm.x,
 _xlfn.MAXIFS(
  raw_stack!H$2:H$100000,
  raw_stack!D$2:D$100000, G161,
  raw_stack!F$2:F$100000, "Iya",
  raw_stack!G$2:G$100000, "&gt;="&amp;DATE(2025,7,1),
  raw_stack!G$2:G$100000, "&lt;="&amp;EOMONTH(DATE(2025,7,1),0)
 ),
 IF(OR(_xlpm.x=0, _xlpm.x=""), "-", _xlpm.x)
)</f>
        <v>-</v>
      </c>
      <c r="Q161" s="54" t="str">
        <f>_xlfn.LET(
 _xlpm.x,
 _xlfn.MAXIFS(
  raw_stack!G$2:G$99411,
  raw_stack!D$2:D$99411, G161,
  raw_stack!F$2:F$99411, "Iya",
  raw_stack!G$2:G$99411, "&gt;="&amp;DATE(2025,8,1),
  raw_stack!G$2:G$99411, "&lt;="&amp;EOMONTH(DATE(2025,8,1),0)
 ),
 IF(_xlpm.x=0, "-", _xlpm.x)
)</f>
        <v>-</v>
      </c>
      <c r="R161" s="65" t="str">
        <f>_xlfn.LET(
 _xlpm.x,
 _xlfn.MAXIFS(
  raw_stack!H$2:H$100000,
  raw_stack!D$2:D$100000, G161,
  raw_stack!F$2:F$100000, "Iya",
  raw_stack!G$2:G$100000, "&gt;="&amp;DATE(2025,8,1),
  raw_stack!G$2:G$100000, "&lt;="&amp;EOMONTH(DATE(2025,8,1),0)
 ),
 IF(OR(_xlpm.x=0, _xlpm.x=""), "-", _xlpm.x)
)</f>
        <v>-</v>
      </c>
      <c r="S161" s="54">
        <f>_xlfn.LET(
 _xlpm.x,
 _xlfn.MAXIFS(
  raw_stack!G$2:G$99411,
  raw_stack!D$2:D$99411, G161,
  raw_stack!F$2:F$99411, "Iya",
  raw_stack!G$2:G$99411, "&gt;="&amp;DATE(2025,9,1),
  raw_stack!G$2:G$99411, "&lt;="&amp;EOMONTH(DATE(2025,9,1),0)
 ),
 IF(_xlpm.x=0, "-", _xlpm.x)
)</f>
        <v>45923</v>
      </c>
      <c r="T161" s="65">
        <f>_xlfn.LET(
 _xlpm.x,
 _xlfn.MAXIFS(
  raw_stack!H$2:H$100000,
  raw_stack!D$2:D$100000, G161,
  raw_stack!F$2:F$100000, "Iya",
  raw_stack!G$2:G$100000, "&gt;="&amp;DATE(2025,9,1),
  raw_stack!G$2:G$100000, "&lt;="&amp;EOMONTH(DATE(2025,9,1),0)
 ),
 IF(OR(_xlpm.x=0, _xlpm.x=""), "-", _xlpm.x)
)</f>
        <v>24043</v>
      </c>
      <c r="U161" s="54" t="str">
        <f>_xlfn.LET(
 _xlpm.x,
 _xlfn.MAXIFS(
  raw_stack!G$2:G$99411,
  raw_stack!D$2:D$99411, G161,
  raw_stack!F$2:F$99411, "Iya",
  raw_stack!G$2:G$99411, "&gt;="&amp;DATE(2025,10,1),
  raw_stack!G$2:G$99411, "&lt;="&amp;EOMONTH(DATE(2025,10,1),0)
 ),
 IF(_xlpm.x=0, "-", _xlpm.x)
)</f>
        <v>-</v>
      </c>
      <c r="V161" s="65" t="str">
        <f>_xlfn.LET(
 _xlpm.x,
 _xlfn.MAXIFS(
  raw_stack!H$2:H$100000,
  raw_stack!D$2:D$100000, G161,
  raw_stack!F$2:F$100000, "Iya",
  raw_stack!G$2:G$100000, "&gt;="&amp;DATE(2025,10,1),
  raw_stack!G$2:G$100000, "&lt;="&amp;EOMONTH(DATE(2025,10,1),0)
 ),
 IF(OR(_xlpm.x=0, _xlpm.x=""), "-", _xlpm.x)
)</f>
        <v>-</v>
      </c>
      <c r="W161" s="55" t="str">
        <f>_xlfn.LET(
 _xlpm.x,
 _xlfn.MAXIFS(
  raw_stack!G$2:G$99411,
  raw_stack!D$2:D$99411, G161,
  raw_stack!F$2:F$99411, "Iya",
  raw_stack!G$2:G$99411, "&gt;="&amp;DATE(2025,11,1),
  raw_stack!G$2:G$99411, "&lt;="&amp;EOMONTH(DATE(2025,11,1),0)
 ),
 IF(_xlpm.x=0, "-", _xlpm.x)
)</f>
        <v>-</v>
      </c>
      <c r="X161" s="56" t="str">
        <f>_xlfn.LET(
 _xlpm.x,
 _xlfn.MAXIFS(
  raw_stack!H$2:H$100000,
  raw_stack!D$2:D$100000, G161,
  raw_stack!F$2:F$100000, "Iya",
  raw_stack!G$2:G$100000, "&gt;="&amp;DATE(2025,11,1),
  raw_stack!G$2:G$100000, "&lt;="&amp;EOMONTH(DATE(2025,11,1),0)
 ),
 IF(OR(_xlpm.x=0, _xlpm.x=""), "-", _xlpm.x)
)</f>
        <v>-</v>
      </c>
      <c r="Y161" s="55" t="str">
        <f>_xlfn.LET(
 _xlpm.x,
 _xlfn.MAXIFS(
  raw_stack!G$2:G$99411,
  raw_stack!D$2:D$99411, G161,
  raw_stack!F$2:F$99411, "Iya",
  raw_stack!G$2:G$99411, "&gt;="&amp;DATE(2025,12,1),
  raw_stack!G$2:G$99411, "&lt;="&amp;EOMONTH(DATE(2025,12,1),0)
 ),
 IF(_xlpm.x=0, "-", _xlpm.x)
)</f>
        <v>-</v>
      </c>
      <c r="Z161" s="56" t="str">
        <f>_xlfn.LET(
 _xlpm.x,
 _xlfn.MAXIFS(
  raw_stack!H$2:H$100000,
  raw_stack!D$2:D$100000, G161,
  raw_stack!F$2:F$100000, "Iya",
  raw_stack!G$2:G$100000, "&gt;="&amp;DATE(2025,12,1),
  raw_stack!G$2:G$100000, "&lt;="&amp;EOMONTH(DATE(2025,12,1),0)
 ),
 IF(OR(_xlpm.x=0, _xlpm.x=""), "-", _xlpm.x)
)</f>
        <v>-</v>
      </c>
      <c r="AA161" s="55" t="str">
        <f>_xlfn.LET(
 _xlpm.x,
 _xlfn.MAXIFS(
  raw_stack!G$2:G$99411,
  raw_stack!D$2:D$99411, G161,
  raw_stack!F$2:F$99411, "Iya",
  raw_stack!G$2:G$99411, "&gt;="&amp;DATE(2026,1,1),
  raw_stack!G$2:G$99411, "&lt;="&amp;EOMONTH(DATE(2026,1,1),0)
 ),
 IF(_xlpm.x=0, "-", _xlpm.x)
)</f>
        <v>-</v>
      </c>
      <c r="AB161" s="56" t="str">
        <f>_xlfn.LET(
 _xlpm.x,
 _xlfn.MAXIFS(
  raw_stack!H$2:H$100000,
  raw_stack!D$2:D$100000, G161,
  raw_stack!F$2:F$100000, "Iya",
  raw_stack!G$2:G$100000, "&gt;="&amp;DATE(2026,1,1),
  raw_stack!G$2:G$100000, "&lt;="&amp;EOMONTH(DATE(2026,1,1),0)
 ),
 IF(OR(_xlpm.x=0, _xlpm.x=""), "-", _xlpm.x)
)</f>
        <v>-</v>
      </c>
      <c r="AC161" s="55" t="str">
        <f>_xlfn.LET(
 _xlpm.x,
 _xlfn.MAXIFS(
  raw_stack!G$2:G$99411,
  raw_stack!D$2:D$99411, G161,
  raw_stack!F$2:F$99411, "Iya",
  raw_stack!G$2:G$99411, "&gt;="&amp;DATE(2026,2,1),
  raw_stack!G$2:G$99411, "&lt;="&amp;EOMONTH(DATE(2026,2,1),0)
 ),
 IF(_xlpm.x=0, "-", _xlpm.x)
)</f>
        <v>-</v>
      </c>
      <c r="AD161" s="56" t="str">
        <f>_xlfn.LET(
 _xlpm.x,
 _xlfn.MAXIFS(
  raw_stack!H$2:H$100000,
  raw_stack!D$2:D$100000, G161,
  raw_stack!F$2:F$100000, "Iya",
  raw_stack!G$2:G$100000, "&gt;="&amp;DATE(2026,2,1),
  raw_stack!G$2:G$100000, "&lt;="&amp;EOMONTH(DATE(2026,2,1),0)
 ),
 IF(OR(_xlpm.x=0, _xlpm.x=""), "-", _xlpm.x)
)</f>
        <v>-</v>
      </c>
      <c r="AE161" s="55" t="str">
        <f>_xlfn.LET(
 _xlpm.x,
 _xlfn.MAXIFS(
  raw_stack!G$2:G$100000,
  raw_stack!D$2:D$100000, G161,
  raw_stack!F$2:F$100000, "Iya",
  raw_stack!G$2:G$100000, "&gt;="&amp;DATE(2026,3,1),
  raw_stack!G$2:G$100000, "&lt;="&amp;EOMONTH(DATE(2026,3,1),0)
 ),
 IF(_xlpm.x=0, "-", _xlpm.x)
)</f>
        <v>-</v>
      </c>
      <c r="AF161" s="56" t="str">
        <f>_xlfn.LET(
 _xlpm.x,
 _xlfn.MAXIFS(
  raw_stack!H$2:H$100000,
  raw_stack!D$2:D$100000, G161,
  raw_stack!F$2:F$100000, "Iya",
  raw_stack!G$2:G$100000, "&gt;="&amp;DATE(2026,3,1),
  raw_stack!G$2:G$100000, "&lt;="&amp;EOMONTH(DATE(2026,3,1),0)
 ),
 IF(OR(_xlpm.x=0, _xlpm.x=""), "-", _xlpm.x)
)</f>
        <v>-</v>
      </c>
      <c r="AG161" s="55" t="str">
        <f>_xlfn.LET(
 _xlpm.x,
 _xlfn.MAXIFS(
  raw_stack!G$2:G$100000,
  raw_stack!D$2:D$100000, G161,
  raw_stack!F$2:F$100000, "Iya",
  raw_stack!G$2:G$100000, "&gt;="&amp;DATE(2026,4,1),
  raw_stack!G$2:G$100000, "&lt;="&amp;EOMONTH(DATE(2026,4,1),0)
 ),
 IF(_xlpm.x=0, "-", _xlpm.x)
)</f>
        <v>-</v>
      </c>
      <c r="AH161" s="56" t="str">
        <f>_xlfn.LET(
 _xlpm.x,
 _xlfn.MAXIFS(
  raw_stack!H$2:H$100000,
  raw_stack!D$2:D$100000, G161,
  raw_stack!F$2:F$100000, "Iya",
  raw_stack!G$2:G$100000, "&gt;="&amp;DATE(2026,4,1),
  raw_stack!G$2:G$100000, "&lt;="&amp;EOMONTH(DATE(2026,4,1),0)
 ),
 IF(OR(_xlpm.x=0, _xlpm.x=""), "-", _xlpm.x)
)</f>
        <v>-</v>
      </c>
    </row>
    <row r="162" spans="1:34">
      <c r="A162" s="48">
        <v>161</v>
      </c>
      <c r="B162" s="49" t="str">
        <f t="shared" si="2"/>
        <v>44488</v>
      </c>
      <c r="C162" s="50" t="s">
        <v>46</v>
      </c>
      <c r="D162" s="51" t="s">
        <v>601</v>
      </c>
      <c r="E162" s="51" t="s">
        <v>47</v>
      </c>
      <c r="F162" s="49" t="s">
        <v>117</v>
      </c>
      <c r="G162" s="49" t="s">
        <v>278</v>
      </c>
      <c r="H162" s="49" t="s">
        <v>48</v>
      </c>
      <c r="I162" s="49" t="s">
        <v>49</v>
      </c>
      <c r="J162" s="52">
        <v>4375000</v>
      </c>
      <c r="K162" s="53">
        <v>45478</v>
      </c>
      <c r="L162" s="53">
        <v>46572</v>
      </c>
      <c r="M162" s="53">
        <v>46057</v>
      </c>
      <c r="N162" s="49" t="s">
        <v>50</v>
      </c>
      <c r="O162" s="54">
        <f>_xlfn.LET(
 _xlpm.x,
 _xlfn.MAXIFS(
  raw_stack!G$2:G$100000,
  raw_stack!D$2:D$100000, G162,
  raw_stack!F$2:F$100000, "Iya",
  raw_stack!G$2:G$100000, "&gt;="&amp;DATE(2025,7,1),
  raw_stack!G$2:G$100000, "&lt;="&amp;EOMONTH(DATE(2025,7,1),0)
 ),
 IF(_xlpm.x=0, "-", _xlpm.x)
)</f>
        <v>45862</v>
      </c>
      <c r="P162" s="65">
        <f>_xlfn.LET(
 _xlpm.x,
 _xlfn.MAXIFS(
  raw_stack!H$2:H$100000,
  raw_stack!D$2:D$100000, G162,
  raw_stack!F$2:F$100000, "Iya",
  raw_stack!G$2:G$100000, "&gt;="&amp;DATE(2025,7,1),
  raw_stack!G$2:G$100000, "&lt;="&amp;EOMONTH(DATE(2025,7,1),0)
 ),
 IF(OR(_xlpm.x=0, _xlpm.x=""), "-", _xlpm.x)
)</f>
        <v>16046</v>
      </c>
      <c r="Q162" s="54" t="str">
        <f>_xlfn.LET(
 _xlpm.x,
 _xlfn.MAXIFS(
  raw_stack!G$2:G$99411,
  raw_stack!D$2:D$99411, G162,
  raw_stack!F$2:F$99411, "Iya",
  raw_stack!G$2:G$99411, "&gt;="&amp;DATE(2025,8,1),
  raw_stack!G$2:G$99411, "&lt;="&amp;EOMONTH(DATE(2025,8,1),0)
 ),
 IF(_xlpm.x=0, "-", _xlpm.x)
)</f>
        <v>-</v>
      </c>
      <c r="R162" s="65" t="str">
        <f>_xlfn.LET(
 _xlpm.x,
 _xlfn.MAXIFS(
  raw_stack!H$2:H$100000,
  raw_stack!D$2:D$100000, G162,
  raw_stack!F$2:F$100000, "Iya",
  raw_stack!G$2:G$100000, "&gt;="&amp;DATE(2025,8,1),
  raw_stack!G$2:G$100000, "&lt;="&amp;EOMONTH(DATE(2025,8,1),0)
 ),
 IF(OR(_xlpm.x=0, _xlpm.x=""), "-", _xlpm.x)
)</f>
        <v>-</v>
      </c>
      <c r="S162" s="54" t="str">
        <f>_xlfn.LET(
 _xlpm.x,
 _xlfn.MAXIFS(
  raw_stack!G$2:G$99411,
  raw_stack!D$2:D$99411, G162,
  raw_stack!F$2:F$99411, "Iya",
  raw_stack!G$2:G$99411, "&gt;="&amp;DATE(2025,9,1),
  raw_stack!G$2:G$99411, "&lt;="&amp;EOMONTH(DATE(2025,9,1),0)
 ),
 IF(_xlpm.x=0, "-", _xlpm.x)
)</f>
        <v>-</v>
      </c>
      <c r="T162" s="65" t="str">
        <f>_xlfn.LET(
 _xlpm.x,
 _xlfn.MAXIFS(
  raw_stack!H$2:H$100000,
  raw_stack!D$2:D$100000, G162,
  raw_stack!F$2:F$100000, "Iya",
  raw_stack!G$2:G$100000, "&gt;="&amp;DATE(2025,9,1),
  raw_stack!G$2:G$100000, "&lt;="&amp;EOMONTH(DATE(2025,9,1),0)
 ),
 IF(OR(_xlpm.x=0, _xlpm.x=""), "-", _xlpm.x)
)</f>
        <v>-</v>
      </c>
      <c r="U162" s="54" t="str">
        <f>_xlfn.LET(
 _xlpm.x,
 _xlfn.MAXIFS(
  raw_stack!G$2:G$99411,
  raw_stack!D$2:D$99411, G162,
  raw_stack!F$2:F$99411, "Iya",
  raw_stack!G$2:G$99411, "&gt;="&amp;DATE(2025,10,1),
  raw_stack!G$2:G$99411, "&lt;="&amp;EOMONTH(DATE(2025,10,1),0)
 ),
 IF(_xlpm.x=0, "-", _xlpm.x)
)</f>
        <v>-</v>
      </c>
      <c r="V162" s="65" t="str">
        <f>_xlfn.LET(
 _xlpm.x,
 _xlfn.MAXIFS(
  raw_stack!H$2:H$100000,
  raw_stack!D$2:D$100000, G162,
  raw_stack!F$2:F$100000, "Iya",
  raw_stack!G$2:G$100000, "&gt;="&amp;DATE(2025,10,1),
  raw_stack!G$2:G$100000, "&lt;="&amp;EOMONTH(DATE(2025,10,1),0)
 ),
 IF(OR(_xlpm.x=0, _xlpm.x=""), "-", _xlpm.x)
)</f>
        <v>-</v>
      </c>
      <c r="W162" s="55" t="str">
        <f>_xlfn.LET(
 _xlpm.x,
 _xlfn.MAXIFS(
  raw_stack!G$2:G$99411,
  raw_stack!D$2:D$99411, G162,
  raw_stack!F$2:F$99411, "Iya",
  raw_stack!G$2:G$99411, "&gt;="&amp;DATE(2025,11,1),
  raw_stack!G$2:G$99411, "&lt;="&amp;EOMONTH(DATE(2025,11,1),0)
 ),
 IF(_xlpm.x=0, "-", _xlpm.x)
)</f>
        <v>-</v>
      </c>
      <c r="X162" s="56" t="str">
        <f>_xlfn.LET(
 _xlpm.x,
 _xlfn.MAXIFS(
  raw_stack!H$2:H$100000,
  raw_stack!D$2:D$100000, G162,
  raw_stack!F$2:F$100000, "Iya",
  raw_stack!G$2:G$100000, "&gt;="&amp;DATE(2025,11,1),
  raw_stack!G$2:G$100000, "&lt;="&amp;EOMONTH(DATE(2025,11,1),0)
 ),
 IF(OR(_xlpm.x=0, _xlpm.x=""), "-", _xlpm.x)
)</f>
        <v>-</v>
      </c>
      <c r="Y162" s="55" t="str">
        <f>_xlfn.LET(
 _xlpm.x,
 _xlfn.MAXIFS(
  raw_stack!G$2:G$99411,
  raw_stack!D$2:D$99411, G162,
  raw_stack!F$2:F$99411, "Iya",
  raw_stack!G$2:G$99411, "&gt;="&amp;DATE(2025,12,1),
  raw_stack!G$2:G$99411, "&lt;="&amp;EOMONTH(DATE(2025,12,1),0)
 ),
 IF(_xlpm.x=0, "-", _xlpm.x)
)</f>
        <v>-</v>
      </c>
      <c r="Z162" s="56" t="str">
        <f>_xlfn.LET(
 _xlpm.x,
 _xlfn.MAXIFS(
  raw_stack!H$2:H$100000,
  raw_stack!D$2:D$100000, G162,
  raw_stack!F$2:F$100000, "Iya",
  raw_stack!G$2:G$100000, "&gt;="&amp;DATE(2025,12,1),
  raw_stack!G$2:G$100000, "&lt;="&amp;EOMONTH(DATE(2025,12,1),0)
 ),
 IF(OR(_xlpm.x=0, _xlpm.x=""), "-", _xlpm.x)
)</f>
        <v>-</v>
      </c>
      <c r="AA162" s="55">
        <f>_xlfn.LET(
 _xlpm.x,
 _xlfn.MAXIFS(
  raw_stack!G$2:G$99411,
  raw_stack!D$2:D$99411, G162,
  raw_stack!F$2:F$99411, "Iya",
  raw_stack!G$2:G$99411, "&gt;="&amp;DATE(2026,1,1),
  raw_stack!G$2:G$99411, "&lt;="&amp;EOMONTH(DATE(2026,1,1),0)
 ),
 IF(_xlpm.x=0, "-", _xlpm.x)
)</f>
        <v>46036</v>
      </c>
      <c r="AB162" s="56">
        <f>_xlfn.LET(
 _xlpm.x,
 _xlfn.MAXIFS(
  raw_stack!H$2:H$100000,
  raw_stack!D$2:D$100000, G162,
  raw_stack!F$2:F$100000, "Iya",
  raw_stack!G$2:G$100000, "&gt;="&amp;DATE(2026,1,1),
  raw_stack!G$2:G$100000, "&lt;="&amp;EOMONTH(DATE(2026,1,1),0)
 ),
 IF(OR(_xlpm.x=0, _xlpm.x=""), "-", _xlpm.x)
)</f>
        <v>23264</v>
      </c>
      <c r="AC162" s="55" t="str">
        <f>_xlfn.LET(
 _xlpm.x,
 _xlfn.MAXIFS(
  raw_stack!G$2:G$99411,
  raw_stack!D$2:D$99411, G162,
  raw_stack!F$2:F$99411, "Iya",
  raw_stack!G$2:G$99411, "&gt;="&amp;DATE(2026,2,1),
  raw_stack!G$2:G$99411, "&lt;="&amp;EOMONTH(DATE(2026,2,1),0)
 ),
 IF(_xlpm.x=0, "-", _xlpm.x)
)</f>
        <v>-</v>
      </c>
      <c r="AD162" s="56" t="str">
        <f>_xlfn.LET(
 _xlpm.x,
 _xlfn.MAXIFS(
  raw_stack!H$2:H$100000,
  raw_stack!D$2:D$100000, G162,
  raw_stack!F$2:F$100000, "Iya",
  raw_stack!G$2:G$100000, "&gt;="&amp;DATE(2026,2,1),
  raw_stack!G$2:G$100000, "&lt;="&amp;EOMONTH(DATE(2026,2,1),0)
 ),
 IF(OR(_xlpm.x=0, _xlpm.x=""), "-", _xlpm.x)
)</f>
        <v>-</v>
      </c>
      <c r="AE162" s="55" t="str">
        <f>_xlfn.LET(
 _xlpm.x,
 _xlfn.MAXIFS(
  raw_stack!G$2:G$100000,
  raw_stack!D$2:D$100000, G162,
  raw_stack!F$2:F$100000, "Iya",
  raw_stack!G$2:G$100000, "&gt;="&amp;DATE(2026,3,1),
  raw_stack!G$2:G$100000, "&lt;="&amp;EOMONTH(DATE(2026,3,1),0)
 ),
 IF(_xlpm.x=0, "-", _xlpm.x)
)</f>
        <v>-</v>
      </c>
      <c r="AF162" s="56" t="str">
        <f>_xlfn.LET(
 _xlpm.x,
 _xlfn.MAXIFS(
  raw_stack!H$2:H$100000,
  raw_stack!D$2:D$100000, G162,
  raw_stack!F$2:F$100000, "Iya",
  raw_stack!G$2:G$100000, "&gt;="&amp;DATE(2026,3,1),
  raw_stack!G$2:G$100000, "&lt;="&amp;EOMONTH(DATE(2026,3,1),0)
 ),
 IF(OR(_xlpm.x=0, _xlpm.x=""), "-", _xlpm.x)
)</f>
        <v>-</v>
      </c>
      <c r="AG162" s="55" t="str">
        <f>_xlfn.LET(
 _xlpm.x,
 _xlfn.MAXIFS(
  raw_stack!G$2:G$100000,
  raw_stack!D$2:D$100000, G162,
  raw_stack!F$2:F$100000, "Iya",
  raw_stack!G$2:G$100000, "&gt;="&amp;DATE(2026,4,1),
  raw_stack!G$2:G$100000, "&lt;="&amp;EOMONTH(DATE(2026,4,1),0)
 ),
 IF(_xlpm.x=0, "-", _xlpm.x)
)</f>
        <v>-</v>
      </c>
      <c r="AH162" s="56" t="str">
        <f>_xlfn.LET(
 _xlpm.x,
 _xlfn.MAXIFS(
  raw_stack!H$2:H$100000,
  raw_stack!D$2:D$100000, G162,
  raw_stack!F$2:F$100000, "Iya",
  raw_stack!G$2:G$100000, "&gt;="&amp;DATE(2026,4,1),
  raw_stack!G$2:G$100000, "&lt;="&amp;EOMONTH(DATE(2026,4,1),0)
 ),
 IF(OR(_xlpm.x=0, _xlpm.x=""), "-", _xlpm.x)
)</f>
        <v>-</v>
      </c>
    </row>
    <row r="163" spans="1:34">
      <c r="A163" s="48">
        <v>162</v>
      </c>
      <c r="B163" s="49" t="str">
        <f t="shared" si="2"/>
        <v>88733</v>
      </c>
      <c r="C163" s="50" t="s">
        <v>46</v>
      </c>
      <c r="D163" s="51" t="s">
        <v>602</v>
      </c>
      <c r="E163" s="51" t="s">
        <v>56</v>
      </c>
      <c r="F163" s="49" t="s">
        <v>117</v>
      </c>
      <c r="G163" s="49" t="s">
        <v>279</v>
      </c>
      <c r="H163" s="49" t="s">
        <v>48</v>
      </c>
      <c r="I163" s="49" t="s">
        <v>52</v>
      </c>
      <c r="J163" s="52">
        <v>6915000</v>
      </c>
      <c r="K163" s="53">
        <v>45488</v>
      </c>
      <c r="L163" s="53">
        <v>46582</v>
      </c>
      <c r="M163" s="53">
        <v>46095</v>
      </c>
      <c r="N163" s="49" t="s">
        <v>50</v>
      </c>
      <c r="O163" s="54" t="str">
        <f>_xlfn.LET(
 _xlpm.x,
 _xlfn.MAXIFS(
  raw_stack!G$2:G$100000,
  raw_stack!D$2:D$100000, G163,
  raw_stack!F$2:F$100000, "Iya",
  raw_stack!G$2:G$100000, "&gt;="&amp;DATE(2025,7,1),
  raw_stack!G$2:G$100000, "&lt;="&amp;EOMONTH(DATE(2025,7,1),0)
 ),
 IF(_xlpm.x=0, "-", _xlpm.x)
)</f>
        <v>-</v>
      </c>
      <c r="P163" s="65" t="str">
        <f>_xlfn.LET(
 _xlpm.x,
 _xlfn.MAXIFS(
  raw_stack!H$2:H$100000,
  raw_stack!D$2:D$100000, G163,
  raw_stack!F$2:F$100000, "Iya",
  raw_stack!G$2:G$100000, "&gt;="&amp;DATE(2025,7,1),
  raw_stack!G$2:G$100000, "&lt;="&amp;EOMONTH(DATE(2025,7,1),0)
 ),
 IF(OR(_xlpm.x=0, _xlpm.x=""), "-", _xlpm.x)
)</f>
        <v>-</v>
      </c>
      <c r="Q163" s="54">
        <f>_xlfn.LET(
 _xlpm.x,
 _xlfn.MAXIFS(
  raw_stack!G$2:G$99411,
  raw_stack!D$2:D$99411, G163,
  raw_stack!F$2:F$99411, "Iya",
  raw_stack!G$2:G$99411, "&gt;="&amp;DATE(2025,8,1),
  raw_stack!G$2:G$99411, "&lt;="&amp;EOMONTH(DATE(2025,8,1),0)
 ),
 IF(_xlpm.x=0, "-", _xlpm.x)
)</f>
        <v>45883</v>
      </c>
      <c r="R163" s="65">
        <f>_xlfn.LET(
 _xlpm.x,
 _xlfn.MAXIFS(
  raw_stack!H$2:H$100000,
  raw_stack!D$2:D$100000, G163,
  raw_stack!F$2:F$100000, "Iya",
  raw_stack!G$2:G$100000, "&gt;="&amp;DATE(2025,8,1),
  raw_stack!G$2:G$100000, "&lt;="&amp;EOMONTH(DATE(2025,8,1),0)
 ),
 IF(OR(_xlpm.x=0, _xlpm.x=""), "-", _xlpm.x)
)</f>
        <v>19983</v>
      </c>
      <c r="S163" s="54" t="str">
        <f>_xlfn.LET(
 _xlpm.x,
 _xlfn.MAXIFS(
  raw_stack!G$2:G$99411,
  raw_stack!D$2:D$99411, G163,
  raw_stack!F$2:F$99411, "Iya",
  raw_stack!G$2:G$99411, "&gt;="&amp;DATE(2025,9,1),
  raw_stack!G$2:G$99411, "&lt;="&amp;EOMONTH(DATE(2025,9,1),0)
 ),
 IF(_xlpm.x=0, "-", _xlpm.x)
)</f>
        <v>-</v>
      </c>
      <c r="T163" s="65" t="str">
        <f>_xlfn.LET(
 _xlpm.x,
 _xlfn.MAXIFS(
  raw_stack!H$2:H$100000,
  raw_stack!D$2:D$100000, G163,
  raw_stack!F$2:F$100000, "Iya",
  raw_stack!G$2:G$100000, "&gt;="&amp;DATE(2025,9,1),
  raw_stack!G$2:G$100000, "&lt;="&amp;EOMONTH(DATE(2025,9,1),0)
 ),
 IF(OR(_xlpm.x=0, _xlpm.x=""), "-", _xlpm.x)
)</f>
        <v>-</v>
      </c>
      <c r="U163" s="54">
        <f>_xlfn.LET(
 _xlpm.x,
 _xlfn.MAXIFS(
  raw_stack!G$2:G$99411,
  raw_stack!D$2:D$99411, G163,
  raw_stack!F$2:F$99411, "Iya",
  raw_stack!G$2:G$99411, "&gt;="&amp;DATE(2025,10,1),
  raw_stack!G$2:G$99411, "&lt;="&amp;EOMONTH(DATE(2025,10,1),0)
 ),
 IF(_xlpm.x=0, "-", _xlpm.x)
)</f>
        <v>45960</v>
      </c>
      <c r="V163" s="65">
        <f>_xlfn.LET(
 _xlpm.x,
 _xlfn.MAXIFS(
  raw_stack!H$2:H$100000,
  raw_stack!D$2:D$100000, G163,
  raw_stack!F$2:F$100000, "Iya",
  raw_stack!G$2:G$100000, "&gt;="&amp;DATE(2025,10,1),
  raw_stack!G$2:G$100000, "&lt;="&amp;EOMONTH(DATE(2025,10,1),0)
 ),
 IF(OR(_xlpm.x=0, _xlpm.x=""), "-", _xlpm.x)
)</f>
        <v>31167</v>
      </c>
      <c r="W163" s="55" t="str">
        <f>_xlfn.LET(
 _xlpm.x,
 _xlfn.MAXIFS(
  raw_stack!G$2:G$99411,
  raw_stack!D$2:D$99411, G163,
  raw_stack!F$2:F$99411, "Iya",
  raw_stack!G$2:G$99411, "&gt;="&amp;DATE(2025,11,1),
  raw_stack!G$2:G$99411, "&lt;="&amp;EOMONTH(DATE(2025,11,1),0)
 ),
 IF(_xlpm.x=0, "-", _xlpm.x)
)</f>
        <v>-</v>
      </c>
      <c r="X163" s="56" t="str">
        <f>_xlfn.LET(
 _xlpm.x,
 _xlfn.MAXIFS(
  raw_stack!H$2:H$100000,
  raw_stack!D$2:D$100000, G163,
  raw_stack!F$2:F$100000, "Iya",
  raw_stack!G$2:G$100000, "&gt;="&amp;DATE(2025,11,1),
  raw_stack!G$2:G$100000, "&lt;="&amp;EOMONTH(DATE(2025,11,1),0)
 ),
 IF(OR(_xlpm.x=0, _xlpm.x=""), "-", _xlpm.x)
)</f>
        <v>-</v>
      </c>
      <c r="Y163" s="55" t="str">
        <f>_xlfn.LET(
 _xlpm.x,
 _xlfn.MAXIFS(
  raw_stack!G$2:G$99411,
  raw_stack!D$2:D$99411, G163,
  raw_stack!F$2:F$99411, "Iya",
  raw_stack!G$2:G$99411, "&gt;="&amp;DATE(2025,12,1),
  raw_stack!G$2:G$99411, "&lt;="&amp;EOMONTH(DATE(2025,12,1),0)
 ),
 IF(_xlpm.x=0, "-", _xlpm.x)
)</f>
        <v>-</v>
      </c>
      <c r="Z163" s="56" t="str">
        <f>_xlfn.LET(
 _xlpm.x,
 _xlfn.MAXIFS(
  raw_stack!H$2:H$100000,
  raw_stack!D$2:D$100000, G163,
  raw_stack!F$2:F$100000, "Iya",
  raw_stack!G$2:G$100000, "&gt;="&amp;DATE(2025,12,1),
  raw_stack!G$2:G$100000, "&lt;="&amp;EOMONTH(DATE(2025,12,1),0)
 ),
 IF(OR(_xlpm.x=0, _xlpm.x=""), "-", _xlpm.x)
)</f>
        <v>-</v>
      </c>
      <c r="AA163" s="55" t="str">
        <f>_xlfn.LET(
 _xlpm.x,
 _xlfn.MAXIFS(
  raw_stack!G$2:G$99411,
  raw_stack!D$2:D$99411, G163,
  raw_stack!F$2:F$99411, "Iya",
  raw_stack!G$2:G$99411, "&gt;="&amp;DATE(2026,1,1),
  raw_stack!G$2:G$99411, "&lt;="&amp;EOMONTH(DATE(2026,1,1),0)
 ),
 IF(_xlpm.x=0, "-", _xlpm.x)
)</f>
        <v>-</v>
      </c>
      <c r="AB163" s="56" t="str">
        <f>_xlfn.LET(
 _xlpm.x,
 _xlfn.MAXIFS(
  raw_stack!H$2:H$100000,
  raw_stack!D$2:D$100000, G163,
  raw_stack!F$2:F$100000, "Iya",
  raw_stack!G$2:G$100000, "&gt;="&amp;DATE(2026,1,1),
  raw_stack!G$2:G$100000, "&lt;="&amp;EOMONTH(DATE(2026,1,1),0)
 ),
 IF(OR(_xlpm.x=0, _xlpm.x=""), "-", _xlpm.x)
)</f>
        <v>-</v>
      </c>
      <c r="AC163" s="55" t="str">
        <f>_xlfn.LET(
 _xlpm.x,
 _xlfn.MAXIFS(
  raw_stack!G$2:G$99411,
  raw_stack!D$2:D$99411, G163,
  raw_stack!F$2:F$99411, "Iya",
  raw_stack!G$2:G$99411, "&gt;="&amp;DATE(2026,2,1),
  raw_stack!G$2:G$99411, "&lt;="&amp;EOMONTH(DATE(2026,2,1),0)
 ),
 IF(_xlpm.x=0, "-", _xlpm.x)
)</f>
        <v>-</v>
      </c>
      <c r="AD163" s="56" t="str">
        <f>_xlfn.LET(
 _xlpm.x,
 _xlfn.MAXIFS(
  raw_stack!H$2:H$100000,
  raw_stack!D$2:D$100000, G163,
  raw_stack!F$2:F$100000, "Iya",
  raw_stack!G$2:G$100000, "&gt;="&amp;DATE(2026,2,1),
  raw_stack!G$2:G$100000, "&lt;="&amp;EOMONTH(DATE(2026,2,1),0)
 ),
 IF(OR(_xlpm.x=0, _xlpm.x=""), "-", _xlpm.x)
)</f>
        <v>-</v>
      </c>
      <c r="AE163" s="55" t="str">
        <f>_xlfn.LET(
 _xlpm.x,
 _xlfn.MAXIFS(
  raw_stack!G$2:G$100000,
  raw_stack!D$2:D$100000, G163,
  raw_stack!F$2:F$100000, "Iya",
  raw_stack!G$2:G$100000, "&gt;="&amp;DATE(2026,3,1),
  raw_stack!G$2:G$100000, "&lt;="&amp;EOMONTH(DATE(2026,3,1),0)
 ),
 IF(_xlpm.x=0, "-", _xlpm.x)
)</f>
        <v>-</v>
      </c>
      <c r="AF163" s="56" t="str">
        <f>_xlfn.LET(
 _xlpm.x,
 _xlfn.MAXIFS(
  raw_stack!H$2:H$100000,
  raw_stack!D$2:D$100000, G163,
  raw_stack!F$2:F$100000, "Iya",
  raw_stack!G$2:G$100000, "&gt;="&amp;DATE(2026,3,1),
  raw_stack!G$2:G$100000, "&lt;="&amp;EOMONTH(DATE(2026,3,1),0)
 ),
 IF(OR(_xlpm.x=0, _xlpm.x=""), "-", _xlpm.x)
)</f>
        <v>-</v>
      </c>
      <c r="AG163" s="55" t="str">
        <f>_xlfn.LET(
 _xlpm.x,
 _xlfn.MAXIFS(
  raw_stack!G$2:G$100000,
  raw_stack!D$2:D$100000, G163,
  raw_stack!F$2:F$100000, "Iya",
  raw_stack!G$2:G$100000, "&gt;="&amp;DATE(2026,4,1),
  raw_stack!G$2:G$100000, "&lt;="&amp;EOMONTH(DATE(2026,4,1),0)
 ),
 IF(_xlpm.x=0, "-", _xlpm.x)
)</f>
        <v>-</v>
      </c>
      <c r="AH163" s="56" t="str">
        <f>_xlfn.LET(
 _xlpm.x,
 _xlfn.MAXIFS(
  raw_stack!H$2:H$100000,
  raw_stack!D$2:D$100000, G163,
  raw_stack!F$2:F$100000, "Iya",
  raw_stack!G$2:G$100000, "&gt;="&amp;DATE(2026,4,1),
  raw_stack!G$2:G$100000, "&lt;="&amp;EOMONTH(DATE(2026,4,1),0)
 ),
 IF(OR(_xlpm.x=0, _xlpm.x=""), "-", _xlpm.x)
)</f>
        <v>-</v>
      </c>
    </row>
    <row r="164" spans="1:34">
      <c r="A164" s="48">
        <v>163</v>
      </c>
      <c r="B164" s="49" t="str">
        <f t="shared" si="2"/>
        <v>97493</v>
      </c>
      <c r="C164" s="50" t="s">
        <v>46</v>
      </c>
      <c r="D164" s="51" t="s">
        <v>603</v>
      </c>
      <c r="E164" s="51" t="s">
        <v>53</v>
      </c>
      <c r="F164" s="49" t="s">
        <v>117</v>
      </c>
      <c r="G164" s="49" t="s">
        <v>280</v>
      </c>
      <c r="H164" s="49" t="s">
        <v>48</v>
      </c>
      <c r="I164" s="49" t="s">
        <v>52</v>
      </c>
      <c r="J164" s="52">
        <v>4200000</v>
      </c>
      <c r="K164" s="53">
        <v>45525</v>
      </c>
      <c r="L164" s="53">
        <v>46619</v>
      </c>
      <c r="M164" s="53">
        <v>46073</v>
      </c>
      <c r="N164" s="49" t="s">
        <v>50</v>
      </c>
      <c r="O164" s="54" t="str">
        <f>_xlfn.LET(
 _xlpm.x,
 _xlfn.MAXIFS(
  raw_stack!G$2:G$100000,
  raw_stack!D$2:D$100000, G164,
  raw_stack!F$2:F$100000, "Iya",
  raw_stack!G$2:G$100000, "&gt;="&amp;DATE(2025,7,1),
  raw_stack!G$2:G$100000, "&lt;="&amp;EOMONTH(DATE(2025,7,1),0)
 ),
 IF(_xlpm.x=0, "-", _xlpm.x)
)</f>
        <v>-</v>
      </c>
      <c r="P164" s="65" t="str">
        <f>_xlfn.LET(
 _xlpm.x,
 _xlfn.MAXIFS(
  raw_stack!H$2:H$100000,
  raw_stack!D$2:D$100000, G164,
  raw_stack!F$2:F$100000, "Iya",
  raw_stack!G$2:G$100000, "&gt;="&amp;DATE(2025,7,1),
  raw_stack!G$2:G$100000, "&lt;="&amp;EOMONTH(DATE(2025,7,1),0)
 ),
 IF(OR(_xlpm.x=0, _xlpm.x=""), "-", _xlpm.x)
)</f>
        <v>-</v>
      </c>
      <c r="Q164" s="54">
        <f>_xlfn.LET(
 _xlpm.x,
 _xlfn.MAXIFS(
  raw_stack!G$2:G$99411,
  raw_stack!D$2:D$99411, G164,
  raw_stack!F$2:F$99411, "Iya",
  raw_stack!G$2:G$99411, "&gt;="&amp;DATE(2025,8,1),
  raw_stack!G$2:G$99411, "&lt;="&amp;EOMONTH(DATE(2025,8,1),0)
 ),
 IF(_xlpm.x=0, "-", _xlpm.x)
)</f>
        <v>45885</v>
      </c>
      <c r="R164" s="65">
        <f>_xlfn.LET(
 _xlpm.x,
 _xlfn.MAXIFS(
  raw_stack!H$2:H$100000,
  raw_stack!D$2:D$100000, G164,
  raw_stack!F$2:F$100000, "Iya",
  raw_stack!G$2:G$100000, "&gt;="&amp;DATE(2025,8,1),
  raw_stack!G$2:G$100000, "&lt;="&amp;EOMONTH(DATE(2025,8,1),0)
 ),
 IF(OR(_xlpm.x=0, _xlpm.x=""), "-", _xlpm.x)
)</f>
        <v>27146</v>
      </c>
      <c r="S164" s="54">
        <f>_xlfn.LET(
 _xlpm.x,
 _xlfn.MAXIFS(
  raw_stack!G$2:G$99411,
  raw_stack!D$2:D$99411, G164,
  raw_stack!F$2:F$99411, "Iya",
  raw_stack!G$2:G$99411, "&gt;="&amp;DATE(2025,9,1),
  raw_stack!G$2:G$99411, "&lt;="&amp;EOMONTH(DATE(2025,9,1),0)
 ),
 IF(_xlpm.x=0, "-", _xlpm.x)
)</f>
        <v>45916</v>
      </c>
      <c r="T164" s="65">
        <f>_xlfn.LET(
 _xlpm.x,
 _xlfn.MAXIFS(
  raw_stack!H$2:H$100000,
  raw_stack!D$2:D$100000, G164,
  raw_stack!F$2:F$100000, "Iya",
  raw_stack!G$2:G$100000, "&gt;="&amp;DATE(2025,9,1),
  raw_stack!G$2:G$100000, "&lt;="&amp;EOMONTH(DATE(2025,9,1),0)
 ),
 IF(OR(_xlpm.x=0, _xlpm.x=""), "-", _xlpm.x)
)</f>
        <v>20021</v>
      </c>
      <c r="U164" s="54" t="str">
        <f>_xlfn.LET(
 _xlpm.x,
 _xlfn.MAXIFS(
  raw_stack!G$2:G$99411,
  raw_stack!D$2:D$99411, G164,
  raw_stack!F$2:F$99411, "Iya",
  raw_stack!G$2:G$99411, "&gt;="&amp;DATE(2025,10,1),
  raw_stack!G$2:G$99411, "&lt;="&amp;EOMONTH(DATE(2025,10,1),0)
 ),
 IF(_xlpm.x=0, "-", _xlpm.x)
)</f>
        <v>-</v>
      </c>
      <c r="V164" s="65" t="str">
        <f>_xlfn.LET(
 _xlpm.x,
 _xlfn.MAXIFS(
  raw_stack!H$2:H$100000,
  raw_stack!D$2:D$100000, G164,
  raw_stack!F$2:F$100000, "Iya",
  raw_stack!G$2:G$100000, "&gt;="&amp;DATE(2025,10,1),
  raw_stack!G$2:G$100000, "&lt;="&amp;EOMONTH(DATE(2025,10,1),0)
 ),
 IF(OR(_xlpm.x=0, _xlpm.x=""), "-", _xlpm.x)
)</f>
        <v>-</v>
      </c>
      <c r="W164" s="55" t="str">
        <f>_xlfn.LET(
 _xlpm.x,
 _xlfn.MAXIFS(
  raw_stack!G$2:G$99411,
  raw_stack!D$2:D$99411, G164,
  raw_stack!F$2:F$99411, "Iya",
  raw_stack!G$2:G$99411, "&gt;="&amp;DATE(2025,11,1),
  raw_stack!G$2:G$99411, "&lt;="&amp;EOMONTH(DATE(2025,11,1),0)
 ),
 IF(_xlpm.x=0, "-", _xlpm.x)
)</f>
        <v>-</v>
      </c>
      <c r="X164" s="56" t="str">
        <f>_xlfn.LET(
 _xlpm.x,
 _xlfn.MAXIFS(
  raw_stack!H$2:H$100000,
  raw_stack!D$2:D$100000, G164,
  raw_stack!F$2:F$100000, "Iya",
  raw_stack!G$2:G$100000, "&gt;="&amp;DATE(2025,11,1),
  raw_stack!G$2:G$100000, "&lt;="&amp;EOMONTH(DATE(2025,11,1),0)
 ),
 IF(OR(_xlpm.x=0, _xlpm.x=""), "-", _xlpm.x)
)</f>
        <v>-</v>
      </c>
      <c r="Y164" s="55" t="str">
        <f>_xlfn.LET(
 _xlpm.x,
 _xlfn.MAXIFS(
  raw_stack!G$2:G$99411,
  raw_stack!D$2:D$99411, G164,
  raw_stack!F$2:F$99411, "Iya",
  raw_stack!G$2:G$99411, "&gt;="&amp;DATE(2025,12,1),
  raw_stack!G$2:G$99411, "&lt;="&amp;EOMONTH(DATE(2025,12,1),0)
 ),
 IF(_xlpm.x=0, "-", _xlpm.x)
)</f>
        <v>-</v>
      </c>
      <c r="Z164" s="56" t="str">
        <f>_xlfn.LET(
 _xlpm.x,
 _xlfn.MAXIFS(
  raw_stack!H$2:H$100000,
  raw_stack!D$2:D$100000, G164,
  raw_stack!F$2:F$100000, "Iya",
  raw_stack!G$2:G$100000, "&gt;="&amp;DATE(2025,12,1),
  raw_stack!G$2:G$100000, "&lt;="&amp;EOMONTH(DATE(2025,12,1),0)
 ),
 IF(OR(_xlpm.x=0, _xlpm.x=""), "-", _xlpm.x)
)</f>
        <v>-</v>
      </c>
      <c r="AA164" s="55" t="str">
        <f>_xlfn.LET(
 _xlpm.x,
 _xlfn.MAXIFS(
  raw_stack!G$2:G$99411,
  raw_stack!D$2:D$99411, G164,
  raw_stack!F$2:F$99411, "Iya",
  raw_stack!G$2:G$99411, "&gt;="&amp;DATE(2026,1,1),
  raw_stack!G$2:G$99411, "&lt;="&amp;EOMONTH(DATE(2026,1,1),0)
 ),
 IF(_xlpm.x=0, "-", _xlpm.x)
)</f>
        <v>-</v>
      </c>
      <c r="AB164" s="56" t="str">
        <f>_xlfn.LET(
 _xlpm.x,
 _xlfn.MAXIFS(
  raw_stack!H$2:H$100000,
  raw_stack!D$2:D$100000, G164,
  raw_stack!F$2:F$100000, "Iya",
  raw_stack!G$2:G$100000, "&gt;="&amp;DATE(2026,1,1),
  raw_stack!G$2:G$100000, "&lt;="&amp;EOMONTH(DATE(2026,1,1),0)
 ),
 IF(OR(_xlpm.x=0, _xlpm.x=""), "-", _xlpm.x)
)</f>
        <v>-</v>
      </c>
      <c r="AC164" s="55">
        <f>_xlfn.LET(
 _xlpm.x,
 _xlfn.MAXIFS(
  raw_stack!G$2:G$99411,
  raw_stack!D$2:D$99411, G164,
  raw_stack!F$2:F$99411, "Iya",
  raw_stack!G$2:G$99411, "&gt;="&amp;DATE(2026,2,1),
  raw_stack!G$2:G$99411, "&lt;="&amp;EOMONTH(DATE(2026,2,1),0)
 ),
 IF(_xlpm.x=0, "-", _xlpm.x)
)</f>
        <v>46058</v>
      </c>
      <c r="AD164" s="56">
        <f>_xlfn.LET(
 _xlpm.x,
 _xlfn.MAXIFS(
  raw_stack!H$2:H$100000,
  raw_stack!D$2:D$100000, G164,
  raw_stack!F$2:F$100000, "Iya",
  raw_stack!G$2:G$100000, "&gt;="&amp;DATE(2026,2,1),
  raw_stack!G$2:G$100000, "&lt;="&amp;EOMONTH(DATE(2026,2,1),0)
 ),
 IF(OR(_xlpm.x=0, _xlpm.x=""), "-", _xlpm.x)
)</f>
        <v>27880</v>
      </c>
      <c r="AE164" s="55" t="str">
        <f>_xlfn.LET(
 _xlpm.x,
 _xlfn.MAXIFS(
  raw_stack!G$2:G$100000,
  raw_stack!D$2:D$100000, G164,
  raw_stack!F$2:F$100000, "Iya",
  raw_stack!G$2:G$100000, "&gt;="&amp;DATE(2026,3,1),
  raw_stack!G$2:G$100000, "&lt;="&amp;EOMONTH(DATE(2026,3,1),0)
 ),
 IF(_xlpm.x=0, "-", _xlpm.x)
)</f>
        <v>-</v>
      </c>
      <c r="AF164" s="56" t="str">
        <f>_xlfn.LET(
 _xlpm.x,
 _xlfn.MAXIFS(
  raw_stack!H$2:H$100000,
  raw_stack!D$2:D$100000, G164,
  raw_stack!F$2:F$100000, "Iya",
  raw_stack!G$2:G$100000, "&gt;="&amp;DATE(2026,3,1),
  raw_stack!G$2:G$100000, "&lt;="&amp;EOMONTH(DATE(2026,3,1),0)
 ),
 IF(OR(_xlpm.x=0, _xlpm.x=""), "-", _xlpm.x)
)</f>
        <v>-</v>
      </c>
      <c r="AG164" s="55" t="str">
        <f>_xlfn.LET(
 _xlpm.x,
 _xlfn.MAXIFS(
  raw_stack!G$2:G$100000,
  raw_stack!D$2:D$100000, G164,
  raw_stack!F$2:F$100000, "Iya",
  raw_stack!G$2:G$100000, "&gt;="&amp;DATE(2026,4,1),
  raw_stack!G$2:G$100000, "&lt;="&amp;EOMONTH(DATE(2026,4,1),0)
 ),
 IF(_xlpm.x=0, "-", _xlpm.x)
)</f>
        <v>-</v>
      </c>
      <c r="AH164" s="56" t="str">
        <f>_xlfn.LET(
 _xlpm.x,
 _xlfn.MAXIFS(
  raw_stack!H$2:H$100000,
  raw_stack!D$2:D$100000, G164,
  raw_stack!F$2:F$100000, "Iya",
  raw_stack!G$2:G$100000, "&gt;="&amp;DATE(2026,4,1),
  raw_stack!G$2:G$100000, "&lt;="&amp;EOMONTH(DATE(2026,4,1),0)
 ),
 IF(OR(_xlpm.x=0, _xlpm.x=""), "-", _xlpm.x)
)</f>
        <v>-</v>
      </c>
    </row>
    <row r="165" spans="1:34">
      <c r="A165" s="48">
        <v>164</v>
      </c>
      <c r="B165" s="49" t="str">
        <f t="shared" si="2"/>
        <v>51924</v>
      </c>
      <c r="C165" s="50" t="s">
        <v>46</v>
      </c>
      <c r="D165" s="51" t="s">
        <v>580</v>
      </c>
      <c r="E165" s="51" t="s">
        <v>47</v>
      </c>
      <c r="F165" s="49" t="s">
        <v>117</v>
      </c>
      <c r="G165" s="49" t="s">
        <v>281</v>
      </c>
      <c r="H165" s="49" t="s">
        <v>48</v>
      </c>
      <c r="I165" s="49" t="s">
        <v>49</v>
      </c>
      <c r="J165" s="52">
        <v>4475000</v>
      </c>
      <c r="K165" s="53">
        <v>45533</v>
      </c>
      <c r="L165" s="53">
        <v>46627</v>
      </c>
      <c r="M165" s="53">
        <v>46074</v>
      </c>
      <c r="N165" s="49" t="s">
        <v>50</v>
      </c>
      <c r="O165" s="54" t="str">
        <f>_xlfn.LET(
 _xlpm.x,
 _xlfn.MAXIFS(
  raw_stack!G$2:G$100000,
  raw_stack!D$2:D$100000, G165,
  raw_stack!F$2:F$100000, "Iya",
  raw_stack!G$2:G$100000, "&gt;="&amp;DATE(2025,7,1),
  raw_stack!G$2:G$100000, "&lt;="&amp;EOMONTH(DATE(2025,7,1),0)
 ),
 IF(_xlpm.x=0, "-", _xlpm.x)
)</f>
        <v>-</v>
      </c>
      <c r="P165" s="65" t="str">
        <f>_xlfn.LET(
 _xlpm.x,
 _xlfn.MAXIFS(
  raw_stack!H$2:H$100000,
  raw_stack!D$2:D$100000, G165,
  raw_stack!F$2:F$100000, "Iya",
  raw_stack!G$2:G$100000, "&gt;="&amp;DATE(2025,7,1),
  raw_stack!G$2:G$100000, "&lt;="&amp;EOMONTH(DATE(2025,7,1),0)
 ),
 IF(OR(_xlpm.x=0, _xlpm.x=""), "-", _xlpm.x)
)</f>
        <v>-</v>
      </c>
      <c r="Q165" s="54">
        <f>_xlfn.LET(
 _xlpm.x,
 _xlfn.MAXIFS(
  raw_stack!G$2:G$99411,
  raw_stack!D$2:D$99411, G165,
  raw_stack!F$2:F$99411, "Iya",
  raw_stack!G$2:G$99411, "&gt;="&amp;DATE(2025,8,1),
  raw_stack!G$2:G$99411, "&lt;="&amp;EOMONTH(DATE(2025,8,1),0)
 ),
 IF(_xlpm.x=0, "-", _xlpm.x)
)</f>
        <v>45875</v>
      </c>
      <c r="R165" s="65">
        <f>_xlfn.LET(
 _xlpm.x,
 _xlfn.MAXIFS(
  raw_stack!H$2:H$100000,
  raw_stack!D$2:D$100000, G165,
  raw_stack!F$2:F$100000, "Iya",
  raw_stack!G$2:G$100000, "&gt;="&amp;DATE(2025,8,1),
  raw_stack!G$2:G$100000, "&lt;="&amp;EOMONTH(DATE(2025,8,1),0)
 ),
 IF(OR(_xlpm.x=0, _xlpm.x=""), "-", _xlpm.x)
)</f>
        <v>37764</v>
      </c>
      <c r="S165" s="54" t="str">
        <f>_xlfn.LET(
 _xlpm.x,
 _xlfn.MAXIFS(
  raw_stack!G$2:G$99411,
  raw_stack!D$2:D$99411, G165,
  raw_stack!F$2:F$99411, "Iya",
  raw_stack!G$2:G$99411, "&gt;="&amp;DATE(2025,9,1),
  raw_stack!G$2:G$99411, "&lt;="&amp;EOMONTH(DATE(2025,9,1),0)
 ),
 IF(_xlpm.x=0, "-", _xlpm.x)
)</f>
        <v>-</v>
      </c>
      <c r="T165" s="65" t="str">
        <f>_xlfn.LET(
 _xlpm.x,
 _xlfn.MAXIFS(
  raw_stack!H$2:H$100000,
  raw_stack!D$2:D$100000, G165,
  raw_stack!F$2:F$100000, "Iya",
  raw_stack!G$2:G$100000, "&gt;="&amp;DATE(2025,9,1),
  raw_stack!G$2:G$100000, "&lt;="&amp;EOMONTH(DATE(2025,9,1),0)
 ),
 IF(OR(_xlpm.x=0, _xlpm.x=""), "-", _xlpm.x)
)</f>
        <v>-</v>
      </c>
      <c r="U165" s="54" t="str">
        <f>_xlfn.LET(
 _xlpm.x,
 _xlfn.MAXIFS(
  raw_stack!G$2:G$99411,
  raw_stack!D$2:D$99411, G165,
  raw_stack!F$2:F$99411, "Iya",
  raw_stack!G$2:G$99411, "&gt;="&amp;DATE(2025,10,1),
  raw_stack!G$2:G$99411, "&lt;="&amp;EOMONTH(DATE(2025,10,1),0)
 ),
 IF(_xlpm.x=0, "-", _xlpm.x)
)</f>
        <v>-</v>
      </c>
      <c r="V165" s="65" t="str">
        <f>_xlfn.LET(
 _xlpm.x,
 _xlfn.MAXIFS(
  raw_stack!H$2:H$100000,
  raw_stack!D$2:D$100000, G165,
  raw_stack!F$2:F$100000, "Iya",
  raw_stack!G$2:G$100000, "&gt;="&amp;DATE(2025,10,1),
  raw_stack!G$2:G$100000, "&lt;="&amp;EOMONTH(DATE(2025,10,1),0)
 ),
 IF(OR(_xlpm.x=0, _xlpm.x=""), "-", _xlpm.x)
)</f>
        <v>-</v>
      </c>
      <c r="W165" s="55" t="str">
        <f>_xlfn.LET(
 _xlpm.x,
 _xlfn.MAXIFS(
  raw_stack!G$2:G$99411,
  raw_stack!D$2:D$99411, G165,
  raw_stack!F$2:F$99411, "Iya",
  raw_stack!G$2:G$99411, "&gt;="&amp;DATE(2025,11,1),
  raw_stack!G$2:G$99411, "&lt;="&amp;EOMONTH(DATE(2025,11,1),0)
 ),
 IF(_xlpm.x=0, "-", _xlpm.x)
)</f>
        <v>-</v>
      </c>
      <c r="X165" s="56" t="str">
        <f>_xlfn.LET(
 _xlpm.x,
 _xlfn.MAXIFS(
  raw_stack!H$2:H$100000,
  raw_stack!D$2:D$100000, G165,
  raw_stack!F$2:F$100000, "Iya",
  raw_stack!G$2:G$100000, "&gt;="&amp;DATE(2025,11,1),
  raw_stack!G$2:G$100000, "&lt;="&amp;EOMONTH(DATE(2025,11,1),0)
 ),
 IF(OR(_xlpm.x=0, _xlpm.x=""), "-", _xlpm.x)
)</f>
        <v>-</v>
      </c>
      <c r="Y165" s="55">
        <f>_xlfn.LET(
 _xlpm.x,
 _xlfn.MAXIFS(
  raw_stack!G$2:G$99411,
  raw_stack!D$2:D$99411, G165,
  raw_stack!F$2:F$99411, "Iya",
  raw_stack!G$2:G$99411, "&gt;="&amp;DATE(2025,12,1),
  raw_stack!G$2:G$99411, "&lt;="&amp;EOMONTH(DATE(2025,12,1),0)
 ),
 IF(_xlpm.x=0, "-", _xlpm.x)
)</f>
        <v>46002</v>
      </c>
      <c r="Z165" s="56">
        <f>_xlfn.LET(
 _xlpm.x,
 _xlfn.MAXIFS(
  raw_stack!H$2:H$100000,
  raw_stack!D$2:D$100000, G165,
  raw_stack!F$2:F$100000, "Iya",
  raw_stack!G$2:G$100000, "&gt;="&amp;DATE(2025,12,1),
  raw_stack!G$2:G$100000, "&lt;="&amp;EOMONTH(DATE(2025,12,1),0)
 ),
 IF(OR(_xlpm.x=0, _xlpm.x=""), "-", _xlpm.x)
)</f>
        <v>41587</v>
      </c>
      <c r="AA165" s="55" t="str">
        <f>_xlfn.LET(
 _xlpm.x,
 _xlfn.MAXIFS(
  raw_stack!G$2:G$99411,
  raw_stack!D$2:D$99411, G165,
  raw_stack!F$2:F$99411, "Iya",
  raw_stack!G$2:G$99411, "&gt;="&amp;DATE(2026,1,1),
  raw_stack!G$2:G$99411, "&lt;="&amp;EOMONTH(DATE(2026,1,1),0)
 ),
 IF(_xlpm.x=0, "-", _xlpm.x)
)</f>
        <v>-</v>
      </c>
      <c r="AB165" s="56" t="str">
        <f>_xlfn.LET(
 _xlpm.x,
 _xlfn.MAXIFS(
  raw_stack!H$2:H$100000,
  raw_stack!D$2:D$100000, G165,
  raw_stack!F$2:F$100000, "Iya",
  raw_stack!G$2:G$100000, "&gt;="&amp;DATE(2026,1,1),
  raw_stack!G$2:G$100000, "&lt;="&amp;EOMONTH(DATE(2026,1,1),0)
 ),
 IF(OR(_xlpm.x=0, _xlpm.x=""), "-", _xlpm.x)
)</f>
        <v>-</v>
      </c>
      <c r="AC165" s="55" t="str">
        <f>_xlfn.LET(
 _xlpm.x,
 _xlfn.MAXIFS(
  raw_stack!G$2:G$99411,
  raw_stack!D$2:D$99411, G165,
  raw_stack!F$2:F$99411, "Iya",
  raw_stack!G$2:G$99411, "&gt;="&amp;DATE(2026,2,1),
  raw_stack!G$2:G$99411, "&lt;="&amp;EOMONTH(DATE(2026,2,1),0)
 ),
 IF(_xlpm.x=0, "-", _xlpm.x)
)</f>
        <v>-</v>
      </c>
      <c r="AD165" s="56" t="str">
        <f>_xlfn.LET(
 _xlpm.x,
 _xlfn.MAXIFS(
  raw_stack!H$2:H$100000,
  raw_stack!D$2:D$100000, G165,
  raw_stack!F$2:F$100000, "Iya",
  raw_stack!G$2:G$100000, "&gt;="&amp;DATE(2026,2,1),
  raw_stack!G$2:G$100000, "&lt;="&amp;EOMONTH(DATE(2026,2,1),0)
 ),
 IF(OR(_xlpm.x=0, _xlpm.x=""), "-", _xlpm.x)
)</f>
        <v>-</v>
      </c>
      <c r="AE165" s="55" t="str">
        <f>_xlfn.LET(
 _xlpm.x,
 _xlfn.MAXIFS(
  raw_stack!G$2:G$100000,
  raw_stack!D$2:D$100000, G165,
  raw_stack!F$2:F$100000, "Iya",
  raw_stack!G$2:G$100000, "&gt;="&amp;DATE(2026,3,1),
  raw_stack!G$2:G$100000, "&lt;="&amp;EOMONTH(DATE(2026,3,1),0)
 ),
 IF(_xlpm.x=0, "-", _xlpm.x)
)</f>
        <v>-</v>
      </c>
      <c r="AF165" s="56" t="str">
        <f>_xlfn.LET(
 _xlpm.x,
 _xlfn.MAXIFS(
  raw_stack!H$2:H$100000,
  raw_stack!D$2:D$100000, G165,
  raw_stack!F$2:F$100000, "Iya",
  raw_stack!G$2:G$100000, "&gt;="&amp;DATE(2026,3,1),
  raw_stack!G$2:G$100000, "&lt;="&amp;EOMONTH(DATE(2026,3,1),0)
 ),
 IF(OR(_xlpm.x=0, _xlpm.x=""), "-", _xlpm.x)
)</f>
        <v>-</v>
      </c>
      <c r="AG165" s="55" t="str">
        <f>_xlfn.LET(
 _xlpm.x,
 _xlfn.MAXIFS(
  raw_stack!G$2:G$100000,
  raw_stack!D$2:D$100000, G165,
  raw_stack!F$2:F$100000, "Iya",
  raw_stack!G$2:G$100000, "&gt;="&amp;DATE(2026,4,1),
  raw_stack!G$2:G$100000, "&lt;="&amp;EOMONTH(DATE(2026,4,1),0)
 ),
 IF(_xlpm.x=0, "-", _xlpm.x)
)</f>
        <v>-</v>
      </c>
      <c r="AH165" s="56" t="str">
        <f>_xlfn.LET(
 _xlpm.x,
 _xlfn.MAXIFS(
  raw_stack!H$2:H$100000,
  raw_stack!D$2:D$100000, G165,
  raw_stack!F$2:F$100000, "Iya",
  raw_stack!G$2:G$100000, "&gt;="&amp;DATE(2026,4,1),
  raw_stack!G$2:G$100000, "&lt;="&amp;EOMONTH(DATE(2026,4,1),0)
 ),
 IF(OR(_xlpm.x=0, _xlpm.x=""), "-", _xlpm.x)
)</f>
        <v>-</v>
      </c>
    </row>
    <row r="166" spans="1:34">
      <c r="A166" s="48">
        <v>165</v>
      </c>
      <c r="B166" s="49" t="str">
        <f t="shared" si="2"/>
        <v>42127</v>
      </c>
      <c r="C166" s="50" t="s">
        <v>46</v>
      </c>
      <c r="D166" s="51" t="s">
        <v>604</v>
      </c>
      <c r="E166" s="51" t="s">
        <v>54</v>
      </c>
      <c r="F166" s="49" t="s">
        <v>117</v>
      </c>
      <c r="G166" s="49" t="s">
        <v>282</v>
      </c>
      <c r="H166" s="49" t="s">
        <v>48</v>
      </c>
      <c r="I166" s="49" t="s">
        <v>52</v>
      </c>
      <c r="J166" s="52">
        <v>6600000</v>
      </c>
      <c r="K166" s="53">
        <v>45546</v>
      </c>
      <c r="L166" s="53">
        <v>46640</v>
      </c>
      <c r="M166" s="53">
        <v>46063</v>
      </c>
      <c r="N166" s="49" t="s">
        <v>50</v>
      </c>
      <c r="O166" s="54" t="str">
        <f>_xlfn.LET(
 _xlpm.x,
 _xlfn.MAXIFS(
  raw_stack!G$2:G$100000,
  raw_stack!D$2:D$100000, G166,
  raw_stack!F$2:F$100000, "Iya",
  raw_stack!G$2:G$100000, "&gt;="&amp;DATE(2025,7,1),
  raw_stack!G$2:G$100000, "&lt;="&amp;EOMONTH(DATE(2025,7,1),0)
 ),
 IF(_xlpm.x=0, "-", _xlpm.x)
)</f>
        <v>-</v>
      </c>
      <c r="P166" s="65" t="str">
        <f>_xlfn.LET(
 _xlpm.x,
 _xlfn.MAXIFS(
  raw_stack!H$2:H$100000,
  raw_stack!D$2:D$100000, G166,
  raw_stack!F$2:F$100000, "Iya",
  raw_stack!G$2:G$100000, "&gt;="&amp;DATE(2025,7,1),
  raw_stack!G$2:G$100000, "&lt;="&amp;EOMONTH(DATE(2025,7,1),0)
 ),
 IF(OR(_xlpm.x=0, _xlpm.x=""), "-", _xlpm.x)
)</f>
        <v>-</v>
      </c>
      <c r="Q166" s="54" t="str">
        <f>_xlfn.LET(
 _xlpm.x,
 _xlfn.MAXIFS(
  raw_stack!G$2:G$99411,
  raw_stack!D$2:D$99411, G166,
  raw_stack!F$2:F$99411, "Iya",
  raw_stack!G$2:G$99411, "&gt;="&amp;DATE(2025,8,1),
  raw_stack!G$2:G$99411, "&lt;="&amp;EOMONTH(DATE(2025,8,1),0)
 ),
 IF(_xlpm.x=0, "-", _xlpm.x)
)</f>
        <v>-</v>
      </c>
      <c r="R166" s="65" t="str">
        <f>_xlfn.LET(
 _xlpm.x,
 _xlfn.MAXIFS(
  raw_stack!H$2:H$100000,
  raw_stack!D$2:D$100000, G166,
  raw_stack!F$2:F$100000, "Iya",
  raw_stack!G$2:G$100000, "&gt;="&amp;DATE(2025,8,1),
  raw_stack!G$2:G$100000, "&lt;="&amp;EOMONTH(DATE(2025,8,1),0)
 ),
 IF(OR(_xlpm.x=0, _xlpm.x=""), "-", _xlpm.x)
)</f>
        <v>-</v>
      </c>
      <c r="S166" s="54">
        <f>_xlfn.LET(
 _xlpm.x,
 _xlfn.MAXIFS(
  raw_stack!G$2:G$99411,
  raw_stack!D$2:D$99411, G166,
  raw_stack!F$2:F$99411, "Iya",
  raw_stack!G$2:G$99411, "&gt;="&amp;DATE(2025,9,1),
  raw_stack!G$2:G$99411, "&lt;="&amp;EOMONTH(DATE(2025,9,1),0)
 ),
 IF(_xlpm.x=0, "-", _xlpm.x)
)</f>
        <v>45910</v>
      </c>
      <c r="T166" s="65">
        <f>_xlfn.LET(
 _xlpm.x,
 _xlfn.MAXIFS(
  raw_stack!H$2:H$100000,
  raw_stack!D$2:D$100000, G166,
  raw_stack!F$2:F$100000, "Iya",
  raw_stack!G$2:G$100000, "&gt;="&amp;DATE(2025,9,1),
  raw_stack!G$2:G$100000, "&lt;="&amp;EOMONTH(DATE(2025,9,1),0)
 ),
 IF(OR(_xlpm.x=0, _xlpm.x=""), "-", _xlpm.x)
)</f>
        <v>41410</v>
      </c>
      <c r="U166" s="54" t="str">
        <f>_xlfn.LET(
 _xlpm.x,
 _xlfn.MAXIFS(
  raw_stack!G$2:G$99411,
  raw_stack!D$2:D$99411, G166,
  raw_stack!F$2:F$99411, "Iya",
  raw_stack!G$2:G$99411, "&gt;="&amp;DATE(2025,10,1),
  raw_stack!G$2:G$99411, "&lt;="&amp;EOMONTH(DATE(2025,10,1),0)
 ),
 IF(_xlpm.x=0, "-", _xlpm.x)
)</f>
        <v>-</v>
      </c>
      <c r="V166" s="65" t="str">
        <f>_xlfn.LET(
 _xlpm.x,
 _xlfn.MAXIFS(
  raw_stack!H$2:H$100000,
  raw_stack!D$2:D$100000, G166,
  raw_stack!F$2:F$100000, "Iya",
  raw_stack!G$2:G$100000, "&gt;="&amp;DATE(2025,10,1),
  raw_stack!G$2:G$100000, "&lt;="&amp;EOMONTH(DATE(2025,10,1),0)
 ),
 IF(OR(_xlpm.x=0, _xlpm.x=""), "-", _xlpm.x)
)</f>
        <v>-</v>
      </c>
      <c r="W166" s="55" t="str">
        <f>_xlfn.LET(
 _xlpm.x,
 _xlfn.MAXIFS(
  raw_stack!G$2:G$99411,
  raw_stack!D$2:D$99411, G166,
  raw_stack!F$2:F$99411, "Iya",
  raw_stack!G$2:G$99411, "&gt;="&amp;DATE(2025,11,1),
  raw_stack!G$2:G$99411, "&lt;="&amp;EOMONTH(DATE(2025,11,1),0)
 ),
 IF(_xlpm.x=0, "-", _xlpm.x)
)</f>
        <v>-</v>
      </c>
      <c r="X166" s="56" t="str">
        <f>_xlfn.LET(
 _xlpm.x,
 _xlfn.MAXIFS(
  raw_stack!H$2:H$100000,
  raw_stack!D$2:D$100000, G166,
  raw_stack!F$2:F$100000, "Iya",
  raw_stack!G$2:G$100000, "&gt;="&amp;DATE(2025,11,1),
  raw_stack!G$2:G$100000, "&lt;="&amp;EOMONTH(DATE(2025,11,1),0)
 ),
 IF(OR(_xlpm.x=0, _xlpm.x=""), "-", _xlpm.x)
)</f>
        <v>-</v>
      </c>
      <c r="Y166" s="55">
        <f>_xlfn.LET(
 _xlpm.x,
 _xlfn.MAXIFS(
  raw_stack!G$2:G$99411,
  raw_stack!D$2:D$99411, G166,
  raw_stack!F$2:F$99411, "Iya",
  raw_stack!G$2:G$99411, "&gt;="&amp;DATE(2025,12,1),
  raw_stack!G$2:G$99411, "&lt;="&amp;EOMONTH(DATE(2025,12,1),0)
 ),
 IF(_xlpm.x=0, "-", _xlpm.x)
)</f>
        <v>46001</v>
      </c>
      <c r="Z166" s="56">
        <f>_xlfn.LET(
 _xlpm.x,
 _xlfn.MAXIFS(
  raw_stack!H$2:H$100000,
  raw_stack!D$2:D$100000, G166,
  raw_stack!F$2:F$100000, "Iya",
  raw_stack!G$2:G$100000, "&gt;="&amp;DATE(2025,12,1),
  raw_stack!G$2:G$100000, "&lt;="&amp;EOMONTH(DATE(2025,12,1),0)
 ),
 IF(OR(_xlpm.x=0, _xlpm.x=""), "-", _xlpm.x)
)</f>
        <v>49802</v>
      </c>
      <c r="AA166" s="55" t="str">
        <f>_xlfn.LET(
 _xlpm.x,
 _xlfn.MAXIFS(
  raw_stack!G$2:G$99411,
  raw_stack!D$2:D$99411, G166,
  raw_stack!F$2:F$99411, "Iya",
  raw_stack!G$2:G$99411, "&gt;="&amp;DATE(2026,1,1),
  raw_stack!G$2:G$99411, "&lt;="&amp;EOMONTH(DATE(2026,1,1),0)
 ),
 IF(_xlpm.x=0, "-", _xlpm.x)
)</f>
        <v>-</v>
      </c>
      <c r="AB166" s="56" t="str">
        <f>_xlfn.LET(
 _xlpm.x,
 _xlfn.MAXIFS(
  raw_stack!H$2:H$100000,
  raw_stack!D$2:D$100000, G166,
  raw_stack!F$2:F$100000, "Iya",
  raw_stack!G$2:G$100000, "&gt;="&amp;DATE(2026,1,1),
  raw_stack!G$2:G$100000, "&lt;="&amp;EOMONTH(DATE(2026,1,1),0)
 ),
 IF(OR(_xlpm.x=0, _xlpm.x=""), "-", _xlpm.x)
)</f>
        <v>-</v>
      </c>
      <c r="AC166" s="55" t="str">
        <f>_xlfn.LET(
 _xlpm.x,
 _xlfn.MAXIFS(
  raw_stack!G$2:G$99411,
  raw_stack!D$2:D$99411, G166,
  raw_stack!F$2:F$99411, "Iya",
  raw_stack!G$2:G$99411, "&gt;="&amp;DATE(2026,2,1),
  raw_stack!G$2:G$99411, "&lt;="&amp;EOMONTH(DATE(2026,2,1),0)
 ),
 IF(_xlpm.x=0, "-", _xlpm.x)
)</f>
        <v>-</v>
      </c>
      <c r="AD166" s="56" t="str">
        <f>_xlfn.LET(
 _xlpm.x,
 _xlfn.MAXIFS(
  raw_stack!H$2:H$100000,
  raw_stack!D$2:D$100000, G166,
  raw_stack!F$2:F$100000, "Iya",
  raw_stack!G$2:G$100000, "&gt;="&amp;DATE(2026,2,1),
  raw_stack!G$2:G$100000, "&lt;="&amp;EOMONTH(DATE(2026,2,1),0)
 ),
 IF(OR(_xlpm.x=0, _xlpm.x=""), "-", _xlpm.x)
)</f>
        <v>-</v>
      </c>
      <c r="AE166" s="55">
        <f>_xlfn.LET(
 _xlpm.x,
 _xlfn.MAXIFS(
  raw_stack!G$2:G$100000,
  raw_stack!D$2:D$100000, G166,
  raw_stack!F$2:F$100000, "Iya",
  raw_stack!G$2:G$100000, "&gt;="&amp;DATE(2026,3,1),
  raw_stack!G$2:G$100000, "&lt;="&amp;EOMONTH(DATE(2026,3,1),0)
 ),
 IF(_xlpm.x=0, "-", _xlpm.x)
)</f>
        <v>46092</v>
      </c>
      <c r="AF166" s="56">
        <f>_xlfn.LET(
 _xlpm.x,
 _xlfn.MAXIFS(
  raw_stack!H$2:H$100000,
  raw_stack!D$2:D$100000, G166,
  raw_stack!F$2:F$100000, "Iya",
  raw_stack!G$2:G$100000, "&gt;="&amp;DATE(2026,3,1),
  raw_stack!G$2:G$100000, "&lt;="&amp;EOMONTH(DATE(2026,3,1),0)
 ),
 IF(OR(_xlpm.x=0, _xlpm.x=""), "-", _xlpm.x)
)</f>
        <v>45251</v>
      </c>
      <c r="AG166" s="55" t="str">
        <f>_xlfn.LET(
 _xlpm.x,
 _xlfn.MAXIFS(
  raw_stack!G$2:G$100000,
  raw_stack!D$2:D$100000, G166,
  raw_stack!F$2:F$100000, "Iya",
  raw_stack!G$2:G$100000, "&gt;="&amp;DATE(2026,4,1),
  raw_stack!G$2:G$100000, "&lt;="&amp;EOMONTH(DATE(2026,4,1),0)
 ),
 IF(_xlpm.x=0, "-", _xlpm.x)
)</f>
        <v>-</v>
      </c>
      <c r="AH166" s="56" t="str">
        <f>_xlfn.LET(
 _xlpm.x,
 _xlfn.MAXIFS(
  raw_stack!H$2:H$100000,
  raw_stack!D$2:D$100000, G166,
  raw_stack!F$2:F$100000, "Iya",
  raw_stack!G$2:G$100000, "&gt;="&amp;DATE(2026,4,1),
  raw_stack!G$2:G$100000, "&lt;="&amp;EOMONTH(DATE(2026,4,1),0)
 ),
 IF(OR(_xlpm.x=0, _xlpm.x=""), "-", _xlpm.x)
)</f>
        <v>-</v>
      </c>
    </row>
    <row r="167" spans="1:34">
      <c r="A167" s="48">
        <v>166</v>
      </c>
      <c r="B167" s="49" t="str">
        <f t="shared" si="2"/>
        <v>58537</v>
      </c>
      <c r="C167" s="50" t="s">
        <v>46</v>
      </c>
      <c r="D167" s="51" t="s">
        <v>605</v>
      </c>
      <c r="E167" s="51" t="s">
        <v>51</v>
      </c>
      <c r="F167" s="49" t="s">
        <v>117</v>
      </c>
      <c r="G167" s="49" t="s">
        <v>283</v>
      </c>
      <c r="H167" s="49" t="s">
        <v>48</v>
      </c>
      <c r="I167" s="49" t="s">
        <v>52</v>
      </c>
      <c r="J167" s="52">
        <v>3880000</v>
      </c>
      <c r="K167" s="53">
        <v>45551</v>
      </c>
      <c r="L167" s="53">
        <v>46645</v>
      </c>
      <c r="M167" s="53">
        <v>46099</v>
      </c>
      <c r="N167" s="49" t="s">
        <v>50</v>
      </c>
      <c r="O167" s="54" t="str">
        <f>_xlfn.LET(
 _xlpm.x,
 _xlfn.MAXIFS(
  raw_stack!G$2:G$100000,
  raw_stack!D$2:D$100000, G167,
  raw_stack!F$2:F$100000, "Iya",
  raw_stack!G$2:G$100000, "&gt;="&amp;DATE(2025,7,1),
  raw_stack!G$2:G$100000, "&lt;="&amp;EOMONTH(DATE(2025,7,1),0)
 ),
 IF(_xlpm.x=0, "-", _xlpm.x)
)</f>
        <v>-</v>
      </c>
      <c r="P167" s="65" t="str">
        <f>_xlfn.LET(
 _xlpm.x,
 _xlfn.MAXIFS(
  raw_stack!H$2:H$100000,
  raw_stack!D$2:D$100000, G167,
  raw_stack!F$2:F$100000, "Iya",
  raw_stack!G$2:G$100000, "&gt;="&amp;DATE(2025,7,1),
  raw_stack!G$2:G$100000, "&lt;="&amp;EOMONTH(DATE(2025,7,1),0)
 ),
 IF(OR(_xlpm.x=0, _xlpm.x=""), "-", _xlpm.x)
)</f>
        <v>-</v>
      </c>
      <c r="Q167" s="54">
        <f>_xlfn.LET(
 _xlpm.x,
 _xlfn.MAXIFS(
  raw_stack!G$2:G$99411,
  raw_stack!D$2:D$99411, G167,
  raw_stack!F$2:F$99411, "Iya",
  raw_stack!G$2:G$99411, "&gt;="&amp;DATE(2025,8,1),
  raw_stack!G$2:G$99411, "&lt;="&amp;EOMONTH(DATE(2025,8,1),0)
 ),
 IF(_xlpm.x=0, "-", _xlpm.x)
)</f>
        <v>45878</v>
      </c>
      <c r="R167" s="65">
        <f>_xlfn.LET(
 _xlpm.x,
 _xlfn.MAXIFS(
  raw_stack!H$2:H$100000,
  raw_stack!D$2:D$100000, G167,
  raw_stack!F$2:F$100000, "Iya",
  raw_stack!G$2:G$100000, "&gt;="&amp;DATE(2025,8,1),
  raw_stack!G$2:G$100000, "&lt;="&amp;EOMONTH(DATE(2025,8,1),0)
 ),
 IF(OR(_xlpm.x=0, _xlpm.x=""), "-", _xlpm.x)
)</f>
        <v>22460</v>
      </c>
      <c r="S167" s="54" t="str">
        <f>_xlfn.LET(
 _xlpm.x,
 _xlfn.MAXIFS(
  raw_stack!G$2:G$99411,
  raw_stack!D$2:D$99411, G167,
  raw_stack!F$2:F$99411, "Iya",
  raw_stack!G$2:G$99411, "&gt;="&amp;DATE(2025,9,1),
  raw_stack!G$2:G$99411, "&lt;="&amp;EOMONTH(DATE(2025,9,1),0)
 ),
 IF(_xlpm.x=0, "-", _xlpm.x)
)</f>
        <v>-</v>
      </c>
      <c r="T167" s="65" t="str">
        <f>_xlfn.LET(
 _xlpm.x,
 _xlfn.MAXIFS(
  raw_stack!H$2:H$100000,
  raw_stack!D$2:D$100000, G167,
  raw_stack!F$2:F$100000, "Iya",
  raw_stack!G$2:G$100000, "&gt;="&amp;DATE(2025,9,1),
  raw_stack!G$2:G$100000, "&lt;="&amp;EOMONTH(DATE(2025,9,1),0)
 ),
 IF(OR(_xlpm.x=0, _xlpm.x=""), "-", _xlpm.x)
)</f>
        <v>-</v>
      </c>
      <c r="U167" s="54" t="str">
        <f>_xlfn.LET(
 _xlpm.x,
 _xlfn.MAXIFS(
  raw_stack!G$2:G$99411,
  raw_stack!D$2:D$99411, G167,
  raw_stack!F$2:F$99411, "Iya",
  raw_stack!G$2:G$99411, "&gt;="&amp;DATE(2025,10,1),
  raw_stack!G$2:G$99411, "&lt;="&amp;EOMONTH(DATE(2025,10,1),0)
 ),
 IF(_xlpm.x=0, "-", _xlpm.x)
)</f>
        <v>-</v>
      </c>
      <c r="V167" s="65" t="str">
        <f>_xlfn.LET(
 _xlpm.x,
 _xlfn.MAXIFS(
  raw_stack!H$2:H$100000,
  raw_stack!D$2:D$100000, G167,
  raw_stack!F$2:F$100000, "Iya",
  raw_stack!G$2:G$100000, "&gt;="&amp;DATE(2025,10,1),
  raw_stack!G$2:G$100000, "&lt;="&amp;EOMONTH(DATE(2025,10,1),0)
 ),
 IF(OR(_xlpm.x=0, _xlpm.x=""), "-", _xlpm.x)
)</f>
        <v>-</v>
      </c>
      <c r="W167" s="55" t="str">
        <f>_xlfn.LET(
 _xlpm.x,
 _xlfn.MAXIFS(
  raw_stack!G$2:G$99411,
  raw_stack!D$2:D$99411, G167,
  raw_stack!F$2:F$99411, "Iya",
  raw_stack!G$2:G$99411, "&gt;="&amp;DATE(2025,11,1),
  raw_stack!G$2:G$99411, "&lt;="&amp;EOMONTH(DATE(2025,11,1),0)
 ),
 IF(_xlpm.x=0, "-", _xlpm.x)
)</f>
        <v>-</v>
      </c>
      <c r="X167" s="56" t="str">
        <f>_xlfn.LET(
 _xlpm.x,
 _xlfn.MAXIFS(
  raw_stack!H$2:H$100000,
  raw_stack!D$2:D$100000, G167,
  raw_stack!F$2:F$100000, "Iya",
  raw_stack!G$2:G$100000, "&gt;="&amp;DATE(2025,11,1),
  raw_stack!G$2:G$100000, "&lt;="&amp;EOMONTH(DATE(2025,11,1),0)
 ),
 IF(OR(_xlpm.x=0, _xlpm.x=""), "-", _xlpm.x)
)</f>
        <v>-</v>
      </c>
      <c r="Y167" s="55" t="str">
        <f>_xlfn.LET(
 _xlpm.x,
 _xlfn.MAXIFS(
  raw_stack!G$2:G$99411,
  raw_stack!D$2:D$99411, G167,
  raw_stack!F$2:F$99411, "Iya",
  raw_stack!G$2:G$99411, "&gt;="&amp;DATE(2025,12,1),
  raw_stack!G$2:G$99411, "&lt;="&amp;EOMONTH(DATE(2025,12,1),0)
 ),
 IF(_xlpm.x=0, "-", _xlpm.x)
)</f>
        <v>-</v>
      </c>
      <c r="Z167" s="56" t="str">
        <f>_xlfn.LET(
 _xlpm.x,
 _xlfn.MAXIFS(
  raw_stack!H$2:H$100000,
  raw_stack!D$2:D$100000, G167,
  raw_stack!F$2:F$100000, "Iya",
  raw_stack!G$2:G$100000, "&gt;="&amp;DATE(2025,12,1),
  raw_stack!G$2:G$100000, "&lt;="&amp;EOMONTH(DATE(2025,12,1),0)
 ),
 IF(OR(_xlpm.x=0, _xlpm.x=""), "-", _xlpm.x)
)</f>
        <v>-</v>
      </c>
      <c r="AA167" s="55" t="str">
        <f>_xlfn.LET(
 _xlpm.x,
 _xlfn.MAXIFS(
  raw_stack!G$2:G$99411,
  raw_stack!D$2:D$99411, G167,
  raw_stack!F$2:F$99411, "Iya",
  raw_stack!G$2:G$99411, "&gt;="&amp;DATE(2026,1,1),
  raw_stack!G$2:G$99411, "&lt;="&amp;EOMONTH(DATE(2026,1,1),0)
 ),
 IF(_xlpm.x=0, "-", _xlpm.x)
)</f>
        <v>-</v>
      </c>
      <c r="AB167" s="56" t="str">
        <f>_xlfn.LET(
 _xlpm.x,
 _xlfn.MAXIFS(
  raw_stack!H$2:H$100000,
  raw_stack!D$2:D$100000, G167,
  raw_stack!F$2:F$100000, "Iya",
  raw_stack!G$2:G$100000, "&gt;="&amp;DATE(2026,1,1),
  raw_stack!G$2:G$100000, "&lt;="&amp;EOMONTH(DATE(2026,1,1),0)
 ),
 IF(OR(_xlpm.x=0, _xlpm.x=""), "-", _xlpm.x)
)</f>
        <v>-</v>
      </c>
      <c r="AC167" s="55" t="str">
        <f>_xlfn.LET(
 _xlpm.x,
 _xlfn.MAXIFS(
  raw_stack!G$2:G$99411,
  raw_stack!D$2:D$99411, G167,
  raw_stack!F$2:F$99411, "Iya",
  raw_stack!G$2:G$99411, "&gt;="&amp;DATE(2026,2,1),
  raw_stack!G$2:G$99411, "&lt;="&amp;EOMONTH(DATE(2026,2,1),0)
 ),
 IF(_xlpm.x=0, "-", _xlpm.x)
)</f>
        <v>-</v>
      </c>
      <c r="AD167" s="56" t="str">
        <f>_xlfn.LET(
 _xlpm.x,
 _xlfn.MAXIFS(
  raw_stack!H$2:H$100000,
  raw_stack!D$2:D$100000, G167,
  raw_stack!F$2:F$100000, "Iya",
  raw_stack!G$2:G$100000, "&gt;="&amp;DATE(2026,2,1),
  raw_stack!G$2:G$100000, "&lt;="&amp;EOMONTH(DATE(2026,2,1),0)
 ),
 IF(OR(_xlpm.x=0, _xlpm.x=""), "-", _xlpm.x)
)</f>
        <v>-</v>
      </c>
      <c r="AE167" s="55" t="str">
        <f>_xlfn.LET(
 _xlpm.x,
 _xlfn.MAXIFS(
  raw_stack!G$2:G$100000,
  raw_stack!D$2:D$100000, G167,
  raw_stack!F$2:F$100000, "Iya",
  raw_stack!G$2:G$100000, "&gt;="&amp;DATE(2026,3,1),
  raw_stack!G$2:G$100000, "&lt;="&amp;EOMONTH(DATE(2026,3,1),0)
 ),
 IF(_xlpm.x=0, "-", _xlpm.x)
)</f>
        <v>-</v>
      </c>
      <c r="AF167" s="56" t="str">
        <f>_xlfn.LET(
 _xlpm.x,
 _xlfn.MAXIFS(
  raw_stack!H$2:H$100000,
  raw_stack!D$2:D$100000, G167,
  raw_stack!F$2:F$100000, "Iya",
  raw_stack!G$2:G$100000, "&gt;="&amp;DATE(2026,3,1),
  raw_stack!G$2:G$100000, "&lt;="&amp;EOMONTH(DATE(2026,3,1),0)
 ),
 IF(OR(_xlpm.x=0, _xlpm.x=""), "-", _xlpm.x)
)</f>
        <v>-</v>
      </c>
      <c r="AG167" s="55" t="str">
        <f>_xlfn.LET(
 _xlpm.x,
 _xlfn.MAXIFS(
  raw_stack!G$2:G$100000,
  raw_stack!D$2:D$100000, G167,
  raw_stack!F$2:F$100000, "Iya",
  raw_stack!G$2:G$100000, "&gt;="&amp;DATE(2026,4,1),
  raw_stack!G$2:G$100000, "&lt;="&amp;EOMONTH(DATE(2026,4,1),0)
 ),
 IF(_xlpm.x=0, "-", _xlpm.x)
)</f>
        <v>-</v>
      </c>
      <c r="AH167" s="56" t="str">
        <f>_xlfn.LET(
 _xlpm.x,
 _xlfn.MAXIFS(
  raw_stack!H$2:H$100000,
  raw_stack!D$2:D$100000, G167,
  raw_stack!F$2:F$100000, "Iya",
  raw_stack!G$2:G$100000, "&gt;="&amp;DATE(2026,4,1),
  raw_stack!G$2:G$100000, "&lt;="&amp;EOMONTH(DATE(2026,4,1),0)
 ),
 IF(OR(_xlpm.x=0, _xlpm.x=""), "-", _xlpm.x)
)</f>
        <v>-</v>
      </c>
    </row>
    <row r="168" spans="1:34">
      <c r="A168" s="48">
        <v>167</v>
      </c>
      <c r="B168" s="49" t="str">
        <f t="shared" si="2"/>
        <v>98751</v>
      </c>
      <c r="C168" s="50" t="s">
        <v>46</v>
      </c>
      <c r="D168" s="51" t="s">
        <v>606</v>
      </c>
      <c r="E168" s="51" t="s">
        <v>47</v>
      </c>
      <c r="F168" s="49" t="s">
        <v>117</v>
      </c>
      <c r="G168" s="49" t="s">
        <v>284</v>
      </c>
      <c r="H168" s="49" t="s">
        <v>48</v>
      </c>
      <c r="I168" s="49" t="s">
        <v>49</v>
      </c>
      <c r="J168" s="52">
        <v>6725000</v>
      </c>
      <c r="K168" s="53">
        <v>45558</v>
      </c>
      <c r="L168" s="53">
        <v>46652</v>
      </c>
      <c r="M168" s="53">
        <v>46075</v>
      </c>
      <c r="N168" s="49" t="s">
        <v>50</v>
      </c>
      <c r="O168" s="54" t="str">
        <f>_xlfn.LET(
 _xlpm.x,
 _xlfn.MAXIFS(
  raw_stack!G$2:G$100000,
  raw_stack!D$2:D$100000, G168,
  raw_stack!F$2:F$100000, "Iya",
  raw_stack!G$2:G$100000, "&gt;="&amp;DATE(2025,7,1),
  raw_stack!G$2:G$100000, "&lt;="&amp;EOMONTH(DATE(2025,7,1),0)
 ),
 IF(_xlpm.x=0, "-", _xlpm.x)
)</f>
        <v>-</v>
      </c>
      <c r="P168" s="65" t="str">
        <f>_xlfn.LET(
 _xlpm.x,
 _xlfn.MAXIFS(
  raw_stack!H$2:H$100000,
  raw_stack!D$2:D$100000, G168,
  raw_stack!F$2:F$100000, "Iya",
  raw_stack!G$2:G$100000, "&gt;="&amp;DATE(2025,7,1),
  raw_stack!G$2:G$100000, "&lt;="&amp;EOMONTH(DATE(2025,7,1),0)
 ),
 IF(OR(_xlpm.x=0, _xlpm.x=""), "-", _xlpm.x)
)</f>
        <v>-</v>
      </c>
      <c r="Q168" s="54" t="str">
        <f>_xlfn.LET(
 _xlpm.x,
 _xlfn.MAXIFS(
  raw_stack!G$2:G$99411,
  raw_stack!D$2:D$99411, G168,
  raw_stack!F$2:F$99411, "Iya",
  raw_stack!G$2:G$99411, "&gt;="&amp;DATE(2025,8,1),
  raw_stack!G$2:G$99411, "&lt;="&amp;EOMONTH(DATE(2025,8,1),0)
 ),
 IF(_xlpm.x=0, "-", _xlpm.x)
)</f>
        <v>-</v>
      </c>
      <c r="R168" s="65" t="str">
        <f>_xlfn.LET(
 _xlpm.x,
 _xlfn.MAXIFS(
  raw_stack!H$2:H$100000,
  raw_stack!D$2:D$100000, G168,
  raw_stack!F$2:F$100000, "Iya",
  raw_stack!G$2:G$100000, "&gt;="&amp;DATE(2025,8,1),
  raw_stack!G$2:G$100000, "&lt;="&amp;EOMONTH(DATE(2025,8,1),0)
 ),
 IF(OR(_xlpm.x=0, _xlpm.x=""), "-", _xlpm.x)
)</f>
        <v>-</v>
      </c>
      <c r="S168" s="54">
        <f>_xlfn.LET(
 _xlpm.x,
 _xlfn.MAXIFS(
  raw_stack!G$2:G$99411,
  raw_stack!D$2:D$99411, G168,
  raw_stack!F$2:F$99411, "Iya",
  raw_stack!G$2:G$99411, "&gt;="&amp;DATE(2025,9,1),
  raw_stack!G$2:G$99411, "&lt;="&amp;EOMONTH(DATE(2025,9,1),0)
 ),
 IF(_xlpm.x=0, "-", _xlpm.x)
)</f>
        <v>45928</v>
      </c>
      <c r="T168" s="65">
        <f>_xlfn.LET(
 _xlpm.x,
 _xlfn.MAXIFS(
  raw_stack!H$2:H$100000,
  raw_stack!D$2:D$100000, G168,
  raw_stack!F$2:F$100000, "Iya",
  raw_stack!G$2:G$100000, "&gt;="&amp;DATE(2025,9,1),
  raw_stack!G$2:G$100000, "&lt;="&amp;EOMONTH(DATE(2025,9,1),0)
 ),
 IF(OR(_xlpm.x=0, _xlpm.x=""), "-", _xlpm.x)
)</f>
        <v>16271</v>
      </c>
      <c r="U168" s="54" t="str">
        <f>_xlfn.LET(
 _xlpm.x,
 _xlfn.MAXIFS(
  raw_stack!G$2:G$99411,
  raw_stack!D$2:D$99411, G168,
  raw_stack!F$2:F$99411, "Iya",
  raw_stack!G$2:G$99411, "&gt;="&amp;DATE(2025,10,1),
  raw_stack!G$2:G$99411, "&lt;="&amp;EOMONTH(DATE(2025,10,1),0)
 ),
 IF(_xlpm.x=0, "-", _xlpm.x)
)</f>
        <v>-</v>
      </c>
      <c r="V168" s="65" t="str">
        <f>_xlfn.LET(
 _xlpm.x,
 _xlfn.MAXIFS(
  raw_stack!H$2:H$100000,
  raw_stack!D$2:D$100000, G168,
  raw_stack!F$2:F$100000, "Iya",
  raw_stack!G$2:G$100000, "&gt;="&amp;DATE(2025,10,1),
  raw_stack!G$2:G$100000, "&lt;="&amp;EOMONTH(DATE(2025,10,1),0)
 ),
 IF(OR(_xlpm.x=0, _xlpm.x=""), "-", _xlpm.x)
)</f>
        <v>-</v>
      </c>
      <c r="W168" s="55" t="str">
        <f>_xlfn.LET(
 _xlpm.x,
 _xlfn.MAXIFS(
  raw_stack!G$2:G$99411,
  raw_stack!D$2:D$99411, G168,
  raw_stack!F$2:F$99411, "Iya",
  raw_stack!G$2:G$99411, "&gt;="&amp;DATE(2025,11,1),
  raw_stack!G$2:G$99411, "&lt;="&amp;EOMONTH(DATE(2025,11,1),0)
 ),
 IF(_xlpm.x=0, "-", _xlpm.x)
)</f>
        <v>-</v>
      </c>
      <c r="X168" s="56" t="str">
        <f>_xlfn.LET(
 _xlpm.x,
 _xlfn.MAXIFS(
  raw_stack!H$2:H$100000,
  raw_stack!D$2:D$100000, G168,
  raw_stack!F$2:F$100000, "Iya",
  raw_stack!G$2:G$100000, "&gt;="&amp;DATE(2025,11,1),
  raw_stack!G$2:G$100000, "&lt;="&amp;EOMONTH(DATE(2025,11,1),0)
 ),
 IF(OR(_xlpm.x=0, _xlpm.x=""), "-", _xlpm.x)
)</f>
        <v>-</v>
      </c>
      <c r="Y168" s="55" t="str">
        <f>_xlfn.LET(
 _xlpm.x,
 _xlfn.MAXIFS(
  raw_stack!G$2:G$99411,
  raw_stack!D$2:D$99411, G168,
  raw_stack!F$2:F$99411, "Iya",
  raw_stack!G$2:G$99411, "&gt;="&amp;DATE(2025,12,1),
  raw_stack!G$2:G$99411, "&lt;="&amp;EOMONTH(DATE(2025,12,1),0)
 ),
 IF(_xlpm.x=0, "-", _xlpm.x)
)</f>
        <v>-</v>
      </c>
      <c r="Z168" s="56" t="str">
        <f>_xlfn.LET(
 _xlpm.x,
 _xlfn.MAXIFS(
  raw_stack!H$2:H$100000,
  raw_stack!D$2:D$100000, G168,
  raw_stack!F$2:F$100000, "Iya",
  raw_stack!G$2:G$100000, "&gt;="&amp;DATE(2025,12,1),
  raw_stack!G$2:G$100000, "&lt;="&amp;EOMONTH(DATE(2025,12,1),0)
 ),
 IF(OR(_xlpm.x=0, _xlpm.x=""), "-", _xlpm.x)
)</f>
        <v>-</v>
      </c>
      <c r="AA168" s="55" t="str">
        <f>_xlfn.LET(
 _xlpm.x,
 _xlfn.MAXIFS(
  raw_stack!G$2:G$99411,
  raw_stack!D$2:D$99411, G168,
  raw_stack!F$2:F$99411, "Iya",
  raw_stack!G$2:G$99411, "&gt;="&amp;DATE(2026,1,1),
  raw_stack!G$2:G$99411, "&lt;="&amp;EOMONTH(DATE(2026,1,1),0)
 ),
 IF(_xlpm.x=0, "-", _xlpm.x)
)</f>
        <v>-</v>
      </c>
      <c r="AB168" s="56" t="str">
        <f>_xlfn.LET(
 _xlpm.x,
 _xlfn.MAXIFS(
  raw_stack!H$2:H$100000,
  raw_stack!D$2:D$100000, G168,
  raw_stack!F$2:F$100000, "Iya",
  raw_stack!G$2:G$100000, "&gt;="&amp;DATE(2026,1,1),
  raw_stack!G$2:G$100000, "&lt;="&amp;EOMONTH(DATE(2026,1,1),0)
 ),
 IF(OR(_xlpm.x=0, _xlpm.x=""), "-", _xlpm.x)
)</f>
        <v>-</v>
      </c>
      <c r="AC168" s="55">
        <f>_xlfn.LET(
 _xlpm.x,
 _xlfn.MAXIFS(
  raw_stack!G$2:G$99411,
  raw_stack!D$2:D$99411, G168,
  raw_stack!F$2:F$99411, "Iya",
  raw_stack!G$2:G$99411, "&gt;="&amp;DATE(2026,2,1),
  raw_stack!G$2:G$99411, "&lt;="&amp;EOMONTH(DATE(2026,2,1),0)
 ),
 IF(_xlpm.x=0, "-", _xlpm.x)
)</f>
        <v>46081</v>
      </c>
      <c r="AD168" s="56">
        <f>_xlfn.LET(
 _xlpm.x,
 _xlfn.MAXIFS(
  raw_stack!H$2:H$100000,
  raw_stack!D$2:D$100000, G168,
  raw_stack!F$2:F$100000, "Iya",
  raw_stack!G$2:G$100000, "&gt;="&amp;DATE(2026,2,1),
  raw_stack!G$2:G$100000, "&lt;="&amp;EOMONTH(DATE(2026,2,1),0)
 ),
 IF(OR(_xlpm.x=0, _xlpm.x=""), "-", _xlpm.x)
)</f>
        <v>20022</v>
      </c>
      <c r="AE168" s="55" t="str">
        <f>_xlfn.LET(
 _xlpm.x,
 _xlfn.MAXIFS(
  raw_stack!G$2:G$100000,
  raw_stack!D$2:D$100000, G168,
  raw_stack!F$2:F$100000, "Iya",
  raw_stack!G$2:G$100000, "&gt;="&amp;DATE(2026,3,1),
  raw_stack!G$2:G$100000, "&lt;="&amp;EOMONTH(DATE(2026,3,1),0)
 ),
 IF(_xlpm.x=0, "-", _xlpm.x)
)</f>
        <v>-</v>
      </c>
      <c r="AF168" s="56" t="str">
        <f>_xlfn.LET(
 _xlpm.x,
 _xlfn.MAXIFS(
  raw_stack!H$2:H$100000,
  raw_stack!D$2:D$100000, G168,
  raw_stack!F$2:F$100000, "Iya",
  raw_stack!G$2:G$100000, "&gt;="&amp;DATE(2026,3,1),
  raw_stack!G$2:G$100000, "&lt;="&amp;EOMONTH(DATE(2026,3,1),0)
 ),
 IF(OR(_xlpm.x=0, _xlpm.x=""), "-", _xlpm.x)
)</f>
        <v>-</v>
      </c>
      <c r="AG168" s="55" t="str">
        <f>_xlfn.LET(
 _xlpm.x,
 _xlfn.MAXIFS(
  raw_stack!G$2:G$100000,
  raw_stack!D$2:D$100000, G168,
  raw_stack!F$2:F$100000, "Iya",
  raw_stack!G$2:G$100000, "&gt;="&amp;DATE(2026,4,1),
  raw_stack!G$2:G$100000, "&lt;="&amp;EOMONTH(DATE(2026,4,1),0)
 ),
 IF(_xlpm.x=0, "-", _xlpm.x)
)</f>
        <v>-</v>
      </c>
      <c r="AH168" s="56" t="str">
        <f>_xlfn.LET(
 _xlpm.x,
 _xlfn.MAXIFS(
  raw_stack!H$2:H$100000,
  raw_stack!D$2:D$100000, G168,
  raw_stack!F$2:F$100000, "Iya",
  raw_stack!G$2:G$100000, "&gt;="&amp;DATE(2026,4,1),
  raw_stack!G$2:G$100000, "&lt;="&amp;EOMONTH(DATE(2026,4,1),0)
 ),
 IF(OR(_xlpm.x=0, _xlpm.x=""), "-", _xlpm.x)
)</f>
        <v>-</v>
      </c>
    </row>
    <row r="169" spans="1:34">
      <c r="A169" s="48">
        <v>168</v>
      </c>
      <c r="B169" s="49" t="str">
        <f t="shared" si="2"/>
        <v>51266</v>
      </c>
      <c r="C169" s="50" t="s">
        <v>46</v>
      </c>
      <c r="D169" s="51" t="s">
        <v>607</v>
      </c>
      <c r="E169" s="51" t="s">
        <v>53</v>
      </c>
      <c r="F169" s="49" t="s">
        <v>117</v>
      </c>
      <c r="G169" s="49" t="s">
        <v>285</v>
      </c>
      <c r="H169" s="49" t="s">
        <v>48</v>
      </c>
      <c r="I169" s="49" t="s">
        <v>52</v>
      </c>
      <c r="J169" s="52">
        <v>3860000</v>
      </c>
      <c r="K169" s="53">
        <v>45563</v>
      </c>
      <c r="L169" s="53">
        <v>46657</v>
      </c>
      <c r="M169" s="53">
        <v>46080</v>
      </c>
      <c r="N169" s="49" t="s">
        <v>50</v>
      </c>
      <c r="O169" s="54" t="str">
        <f>_xlfn.LET(
 _xlpm.x,
 _xlfn.MAXIFS(
  raw_stack!G$2:G$100000,
  raw_stack!D$2:D$100000, G169,
  raw_stack!F$2:F$100000, "Iya",
  raw_stack!G$2:G$100000, "&gt;="&amp;DATE(2025,7,1),
  raw_stack!G$2:G$100000, "&lt;="&amp;EOMONTH(DATE(2025,7,1),0)
 ),
 IF(_xlpm.x=0, "-", _xlpm.x)
)</f>
        <v>-</v>
      </c>
      <c r="P169" s="65" t="str">
        <f>_xlfn.LET(
 _xlpm.x,
 _xlfn.MAXIFS(
  raw_stack!H$2:H$100000,
  raw_stack!D$2:D$100000, G169,
  raw_stack!F$2:F$100000, "Iya",
  raw_stack!G$2:G$100000, "&gt;="&amp;DATE(2025,7,1),
  raw_stack!G$2:G$100000, "&lt;="&amp;EOMONTH(DATE(2025,7,1),0)
 ),
 IF(OR(_xlpm.x=0, _xlpm.x=""), "-", _xlpm.x)
)</f>
        <v>-</v>
      </c>
      <c r="Q169" s="54">
        <f>_xlfn.LET(
 _xlpm.x,
 _xlfn.MAXIFS(
  raw_stack!G$2:G$99411,
  raw_stack!D$2:D$99411, G169,
  raw_stack!F$2:F$99411, "Iya",
  raw_stack!G$2:G$99411, "&gt;="&amp;DATE(2025,8,1),
  raw_stack!G$2:G$99411, "&lt;="&amp;EOMONTH(DATE(2025,8,1),0)
 ),
 IF(_xlpm.x=0, "-", _xlpm.x)
)</f>
        <v>45890</v>
      </c>
      <c r="R169" s="65">
        <f>_xlfn.LET(
 _xlpm.x,
 _xlfn.MAXIFS(
  raw_stack!H$2:H$100000,
  raw_stack!D$2:D$100000, G169,
  raw_stack!F$2:F$100000, "Iya",
  raw_stack!G$2:G$100000, "&gt;="&amp;DATE(2025,8,1),
  raw_stack!G$2:G$100000, "&lt;="&amp;EOMONTH(DATE(2025,8,1),0)
 ),
 IF(OR(_xlpm.x=0, _xlpm.x=""), "-", _xlpm.x)
)</f>
        <v>25651</v>
      </c>
      <c r="S169" s="54" t="str">
        <f>_xlfn.LET(
 _xlpm.x,
 _xlfn.MAXIFS(
  raw_stack!G$2:G$99411,
  raw_stack!D$2:D$99411, G169,
  raw_stack!F$2:F$99411, "Iya",
  raw_stack!G$2:G$99411, "&gt;="&amp;DATE(2025,9,1),
  raw_stack!G$2:G$99411, "&lt;="&amp;EOMONTH(DATE(2025,9,1),0)
 ),
 IF(_xlpm.x=0, "-", _xlpm.x)
)</f>
        <v>-</v>
      </c>
      <c r="T169" s="65" t="str">
        <f>_xlfn.LET(
 _xlpm.x,
 _xlfn.MAXIFS(
  raw_stack!H$2:H$100000,
  raw_stack!D$2:D$100000, G169,
  raw_stack!F$2:F$100000, "Iya",
  raw_stack!G$2:G$100000, "&gt;="&amp;DATE(2025,9,1),
  raw_stack!G$2:G$100000, "&lt;="&amp;EOMONTH(DATE(2025,9,1),0)
 ),
 IF(OR(_xlpm.x=0, _xlpm.x=""), "-", _xlpm.x)
)</f>
        <v>-</v>
      </c>
      <c r="U169" s="54" t="str">
        <f>_xlfn.LET(
 _xlpm.x,
 _xlfn.MAXIFS(
  raw_stack!G$2:G$99411,
  raw_stack!D$2:D$99411, G169,
  raw_stack!F$2:F$99411, "Iya",
  raw_stack!G$2:G$99411, "&gt;="&amp;DATE(2025,10,1),
  raw_stack!G$2:G$99411, "&lt;="&amp;EOMONTH(DATE(2025,10,1),0)
 ),
 IF(_xlpm.x=0, "-", _xlpm.x)
)</f>
        <v>-</v>
      </c>
      <c r="V169" s="65" t="str">
        <f>_xlfn.LET(
 _xlpm.x,
 _xlfn.MAXIFS(
  raw_stack!H$2:H$100000,
  raw_stack!D$2:D$100000, G169,
  raw_stack!F$2:F$100000, "Iya",
  raw_stack!G$2:G$100000, "&gt;="&amp;DATE(2025,10,1),
  raw_stack!G$2:G$100000, "&lt;="&amp;EOMONTH(DATE(2025,10,1),0)
 ),
 IF(OR(_xlpm.x=0, _xlpm.x=""), "-", _xlpm.x)
)</f>
        <v>-</v>
      </c>
      <c r="W169" s="55" t="str">
        <f>_xlfn.LET(
 _xlpm.x,
 _xlfn.MAXIFS(
  raw_stack!G$2:G$99411,
  raw_stack!D$2:D$99411, G169,
  raw_stack!F$2:F$99411, "Iya",
  raw_stack!G$2:G$99411, "&gt;="&amp;DATE(2025,11,1),
  raw_stack!G$2:G$99411, "&lt;="&amp;EOMONTH(DATE(2025,11,1),0)
 ),
 IF(_xlpm.x=0, "-", _xlpm.x)
)</f>
        <v>-</v>
      </c>
      <c r="X169" s="56" t="str">
        <f>_xlfn.LET(
 _xlpm.x,
 _xlfn.MAXIFS(
  raw_stack!H$2:H$100000,
  raw_stack!D$2:D$100000, G169,
  raw_stack!F$2:F$100000, "Iya",
  raw_stack!G$2:G$100000, "&gt;="&amp;DATE(2025,11,1),
  raw_stack!G$2:G$100000, "&lt;="&amp;EOMONTH(DATE(2025,11,1),0)
 ),
 IF(OR(_xlpm.x=0, _xlpm.x=""), "-", _xlpm.x)
)</f>
        <v>-</v>
      </c>
      <c r="Y169" s="55">
        <f>_xlfn.LET(
 _xlpm.x,
 _xlfn.MAXIFS(
  raw_stack!G$2:G$99411,
  raw_stack!D$2:D$99411, G169,
  raw_stack!F$2:F$99411, "Iya",
  raw_stack!G$2:G$99411, "&gt;="&amp;DATE(2025,12,1),
  raw_stack!G$2:G$99411, "&lt;="&amp;EOMONTH(DATE(2025,12,1),0)
 ),
 IF(_xlpm.x=0, "-", _xlpm.x)
)</f>
        <v>46012</v>
      </c>
      <c r="Z169" s="56">
        <f>_xlfn.LET(
 _xlpm.x,
 _xlfn.MAXIFS(
  raw_stack!H$2:H$100000,
  raw_stack!D$2:D$100000, G169,
  raw_stack!F$2:F$100000, "Iya",
  raw_stack!G$2:G$100000, "&gt;="&amp;DATE(2025,12,1),
  raw_stack!G$2:G$100000, "&lt;="&amp;EOMONTH(DATE(2025,12,1),0)
 ),
 IF(OR(_xlpm.x=0, _xlpm.x=""), "-", _xlpm.x)
)</f>
        <v>26792</v>
      </c>
      <c r="AA169" s="55">
        <f>_xlfn.LET(
 _xlpm.x,
 _xlfn.MAXIFS(
  raw_stack!G$2:G$99411,
  raw_stack!D$2:D$99411, G169,
  raw_stack!F$2:F$99411, "Iya",
  raw_stack!G$2:G$99411, "&gt;="&amp;DATE(2026,1,1),
  raw_stack!G$2:G$99411, "&lt;="&amp;EOMONTH(DATE(2026,1,1),0)
 ),
 IF(_xlpm.x=0, "-", _xlpm.x)
)</f>
        <v>46044</v>
      </c>
      <c r="AB169" s="56">
        <f>_xlfn.LET(
 _xlpm.x,
 _xlfn.MAXIFS(
  raw_stack!H$2:H$100000,
  raw_stack!D$2:D$100000, G169,
  raw_stack!F$2:F$100000, "Iya",
  raw_stack!G$2:G$100000, "&gt;="&amp;DATE(2026,1,1),
  raw_stack!G$2:G$100000, "&lt;="&amp;EOMONTH(DATE(2026,1,1),0)
 ),
 IF(OR(_xlpm.x=0, _xlpm.x=""), "-", _xlpm.x)
)</f>
        <v>33768</v>
      </c>
      <c r="AC169" s="55" t="str">
        <f>_xlfn.LET(
 _xlpm.x,
 _xlfn.MAXIFS(
  raw_stack!G$2:G$99411,
  raw_stack!D$2:D$99411, G169,
  raw_stack!F$2:F$99411, "Iya",
  raw_stack!G$2:G$99411, "&gt;="&amp;DATE(2026,2,1),
  raw_stack!G$2:G$99411, "&lt;="&amp;EOMONTH(DATE(2026,2,1),0)
 ),
 IF(_xlpm.x=0, "-", _xlpm.x)
)</f>
        <v>-</v>
      </c>
      <c r="AD169" s="56" t="str">
        <f>_xlfn.LET(
 _xlpm.x,
 _xlfn.MAXIFS(
  raw_stack!H$2:H$100000,
  raw_stack!D$2:D$100000, G169,
  raw_stack!F$2:F$100000, "Iya",
  raw_stack!G$2:G$100000, "&gt;="&amp;DATE(2026,2,1),
  raw_stack!G$2:G$100000, "&lt;="&amp;EOMONTH(DATE(2026,2,1),0)
 ),
 IF(OR(_xlpm.x=0, _xlpm.x=""), "-", _xlpm.x)
)</f>
        <v>-</v>
      </c>
      <c r="AE169" s="55" t="str">
        <f>_xlfn.LET(
 _xlpm.x,
 _xlfn.MAXIFS(
  raw_stack!G$2:G$100000,
  raw_stack!D$2:D$100000, G169,
  raw_stack!F$2:F$100000, "Iya",
  raw_stack!G$2:G$100000, "&gt;="&amp;DATE(2026,3,1),
  raw_stack!G$2:G$100000, "&lt;="&amp;EOMONTH(DATE(2026,3,1),0)
 ),
 IF(_xlpm.x=0, "-", _xlpm.x)
)</f>
        <v>-</v>
      </c>
      <c r="AF169" s="56" t="str">
        <f>_xlfn.LET(
 _xlpm.x,
 _xlfn.MAXIFS(
  raw_stack!H$2:H$100000,
  raw_stack!D$2:D$100000, G169,
  raw_stack!F$2:F$100000, "Iya",
  raw_stack!G$2:G$100000, "&gt;="&amp;DATE(2026,3,1),
  raw_stack!G$2:G$100000, "&lt;="&amp;EOMONTH(DATE(2026,3,1),0)
 ),
 IF(OR(_xlpm.x=0, _xlpm.x=""), "-", _xlpm.x)
)</f>
        <v>-</v>
      </c>
      <c r="AG169" s="55" t="str">
        <f>_xlfn.LET(
 _xlpm.x,
 _xlfn.MAXIFS(
  raw_stack!G$2:G$100000,
  raw_stack!D$2:D$100000, G169,
  raw_stack!F$2:F$100000, "Iya",
  raw_stack!G$2:G$100000, "&gt;="&amp;DATE(2026,4,1),
  raw_stack!G$2:G$100000, "&lt;="&amp;EOMONTH(DATE(2026,4,1),0)
 ),
 IF(_xlpm.x=0, "-", _xlpm.x)
)</f>
        <v>-</v>
      </c>
      <c r="AH169" s="56" t="str">
        <f>_xlfn.LET(
 _xlpm.x,
 _xlfn.MAXIFS(
  raw_stack!H$2:H$100000,
  raw_stack!D$2:D$100000, G169,
  raw_stack!F$2:F$100000, "Iya",
  raw_stack!G$2:G$100000, "&gt;="&amp;DATE(2026,4,1),
  raw_stack!G$2:G$100000, "&lt;="&amp;EOMONTH(DATE(2026,4,1),0)
 ),
 IF(OR(_xlpm.x=0, _xlpm.x=""), "-", _xlpm.x)
)</f>
        <v>-</v>
      </c>
    </row>
    <row r="170" spans="1:34">
      <c r="A170" s="48">
        <v>169</v>
      </c>
      <c r="B170" s="49" t="str">
        <f t="shared" si="2"/>
        <v>83955</v>
      </c>
      <c r="C170" s="50" t="s">
        <v>46</v>
      </c>
      <c r="D170" s="51" t="s">
        <v>608</v>
      </c>
      <c r="E170" s="51" t="s">
        <v>51</v>
      </c>
      <c r="F170" s="49" t="s">
        <v>117</v>
      </c>
      <c r="G170" s="49" t="s">
        <v>286</v>
      </c>
      <c r="H170" s="49" t="s">
        <v>48</v>
      </c>
      <c r="I170" s="49" t="s">
        <v>52</v>
      </c>
      <c r="J170" s="52">
        <v>3880000</v>
      </c>
      <c r="K170" s="53">
        <v>45574</v>
      </c>
      <c r="L170" s="53">
        <v>46668</v>
      </c>
      <c r="M170" s="53">
        <v>46089</v>
      </c>
      <c r="N170" s="49" t="s">
        <v>50</v>
      </c>
      <c r="O170" s="54">
        <f>_xlfn.LET(
 _xlpm.x,
 _xlfn.MAXIFS(
  raw_stack!G$2:G$100000,
  raw_stack!D$2:D$100000, G170,
  raw_stack!F$2:F$100000, "Iya",
  raw_stack!G$2:G$100000, "&gt;="&amp;DATE(2025,7,1),
  raw_stack!G$2:G$100000, "&lt;="&amp;EOMONTH(DATE(2025,7,1),0)
 ),
 IF(_xlpm.x=0, "-", _xlpm.x)
)</f>
        <v>45849</v>
      </c>
      <c r="P170" s="65">
        <f>_xlfn.LET(
 _xlpm.x,
 _xlfn.MAXIFS(
  raw_stack!H$2:H$100000,
  raw_stack!D$2:D$100000, G170,
  raw_stack!F$2:F$100000, "Iya",
  raw_stack!G$2:G$100000, "&gt;="&amp;DATE(2025,7,1),
  raw_stack!G$2:G$100000, "&lt;="&amp;EOMONTH(DATE(2025,7,1),0)
 ),
 IF(OR(_xlpm.x=0, _xlpm.x=""), "-", _xlpm.x)
)</f>
        <v>84645</v>
      </c>
      <c r="Q170" s="54" t="str">
        <f>_xlfn.LET(
 _xlpm.x,
 _xlfn.MAXIFS(
  raw_stack!G$2:G$99411,
  raw_stack!D$2:D$99411, G170,
  raw_stack!F$2:F$99411, "Iya",
  raw_stack!G$2:G$99411, "&gt;="&amp;DATE(2025,8,1),
  raw_stack!G$2:G$99411, "&lt;="&amp;EOMONTH(DATE(2025,8,1),0)
 ),
 IF(_xlpm.x=0, "-", _xlpm.x)
)</f>
        <v>-</v>
      </c>
      <c r="R170" s="65" t="str">
        <f>_xlfn.LET(
 _xlpm.x,
 _xlfn.MAXIFS(
  raw_stack!H$2:H$100000,
  raw_stack!D$2:D$100000, G170,
  raw_stack!F$2:F$100000, "Iya",
  raw_stack!G$2:G$100000, "&gt;="&amp;DATE(2025,8,1),
  raw_stack!G$2:G$100000, "&lt;="&amp;EOMONTH(DATE(2025,8,1),0)
 ),
 IF(OR(_xlpm.x=0, _xlpm.x=""), "-", _xlpm.x)
)</f>
        <v>-</v>
      </c>
      <c r="S170" s="54" t="str">
        <f>_xlfn.LET(
 _xlpm.x,
 _xlfn.MAXIFS(
  raw_stack!G$2:G$99411,
  raw_stack!D$2:D$99411, G170,
  raw_stack!F$2:F$99411, "Iya",
  raw_stack!G$2:G$99411, "&gt;="&amp;DATE(2025,9,1),
  raw_stack!G$2:G$99411, "&lt;="&amp;EOMONTH(DATE(2025,9,1),0)
 ),
 IF(_xlpm.x=0, "-", _xlpm.x)
)</f>
        <v>-</v>
      </c>
      <c r="T170" s="65" t="str">
        <f>_xlfn.LET(
 _xlpm.x,
 _xlfn.MAXIFS(
  raw_stack!H$2:H$100000,
  raw_stack!D$2:D$100000, G170,
  raw_stack!F$2:F$100000, "Iya",
  raw_stack!G$2:G$100000, "&gt;="&amp;DATE(2025,9,1),
  raw_stack!G$2:G$100000, "&lt;="&amp;EOMONTH(DATE(2025,9,1),0)
 ),
 IF(OR(_xlpm.x=0, _xlpm.x=""), "-", _xlpm.x)
)</f>
        <v>-</v>
      </c>
      <c r="U170" s="54" t="str">
        <f>_xlfn.LET(
 _xlpm.x,
 _xlfn.MAXIFS(
  raw_stack!G$2:G$99411,
  raw_stack!D$2:D$99411, G170,
  raw_stack!F$2:F$99411, "Iya",
  raw_stack!G$2:G$99411, "&gt;="&amp;DATE(2025,10,1),
  raw_stack!G$2:G$99411, "&lt;="&amp;EOMONTH(DATE(2025,10,1),0)
 ),
 IF(_xlpm.x=0, "-", _xlpm.x)
)</f>
        <v>-</v>
      </c>
      <c r="V170" s="65" t="str">
        <f>_xlfn.LET(
 _xlpm.x,
 _xlfn.MAXIFS(
  raw_stack!H$2:H$100000,
  raw_stack!D$2:D$100000, G170,
  raw_stack!F$2:F$100000, "Iya",
  raw_stack!G$2:G$100000, "&gt;="&amp;DATE(2025,10,1),
  raw_stack!G$2:G$100000, "&lt;="&amp;EOMONTH(DATE(2025,10,1),0)
 ),
 IF(OR(_xlpm.x=0, _xlpm.x=""), "-", _xlpm.x)
)</f>
        <v>-</v>
      </c>
      <c r="W170" s="55" t="str">
        <f>_xlfn.LET(
 _xlpm.x,
 _xlfn.MAXIFS(
  raw_stack!G$2:G$99411,
  raw_stack!D$2:D$99411, G170,
  raw_stack!F$2:F$99411, "Iya",
  raw_stack!G$2:G$99411, "&gt;="&amp;DATE(2025,11,1),
  raw_stack!G$2:G$99411, "&lt;="&amp;EOMONTH(DATE(2025,11,1),0)
 ),
 IF(_xlpm.x=0, "-", _xlpm.x)
)</f>
        <v>-</v>
      </c>
      <c r="X170" s="56" t="str">
        <f>_xlfn.LET(
 _xlpm.x,
 _xlfn.MAXIFS(
  raw_stack!H$2:H$100000,
  raw_stack!D$2:D$100000, G170,
  raw_stack!F$2:F$100000, "Iya",
  raw_stack!G$2:G$100000, "&gt;="&amp;DATE(2025,11,1),
  raw_stack!G$2:G$100000, "&lt;="&amp;EOMONTH(DATE(2025,11,1),0)
 ),
 IF(OR(_xlpm.x=0, _xlpm.x=""), "-", _xlpm.x)
)</f>
        <v>-</v>
      </c>
      <c r="Y170" s="55" t="str">
        <f>_xlfn.LET(
 _xlpm.x,
 _xlfn.MAXIFS(
  raw_stack!G$2:G$99411,
  raw_stack!D$2:D$99411, G170,
  raw_stack!F$2:F$99411, "Iya",
  raw_stack!G$2:G$99411, "&gt;="&amp;DATE(2025,12,1),
  raw_stack!G$2:G$99411, "&lt;="&amp;EOMONTH(DATE(2025,12,1),0)
 ),
 IF(_xlpm.x=0, "-", _xlpm.x)
)</f>
        <v>-</v>
      </c>
      <c r="Z170" s="56" t="str">
        <f>_xlfn.LET(
 _xlpm.x,
 _xlfn.MAXIFS(
  raw_stack!H$2:H$100000,
  raw_stack!D$2:D$100000, G170,
  raw_stack!F$2:F$100000, "Iya",
  raw_stack!G$2:G$100000, "&gt;="&amp;DATE(2025,12,1),
  raw_stack!G$2:G$100000, "&lt;="&amp;EOMONTH(DATE(2025,12,1),0)
 ),
 IF(OR(_xlpm.x=0, _xlpm.x=""), "-", _xlpm.x)
)</f>
        <v>-</v>
      </c>
      <c r="AA170" s="55">
        <f>_xlfn.LET(
 _xlpm.x,
 _xlfn.MAXIFS(
  raw_stack!G$2:G$99411,
  raw_stack!D$2:D$99411, G170,
  raw_stack!F$2:F$99411, "Iya",
  raw_stack!G$2:G$99411, "&gt;="&amp;DATE(2026,1,1),
  raw_stack!G$2:G$99411, "&lt;="&amp;EOMONTH(DATE(2026,1,1),0)
 ),
 IF(_xlpm.x=0, "-", _xlpm.x)
)</f>
        <v>46025</v>
      </c>
      <c r="AB170" s="56">
        <f>_xlfn.LET(
 _xlpm.x,
 _xlfn.MAXIFS(
  raw_stack!H$2:H$100000,
  raw_stack!D$2:D$100000, G170,
  raw_stack!F$2:F$100000, "Iya",
  raw_stack!G$2:G$100000, "&gt;="&amp;DATE(2026,1,1),
  raw_stack!G$2:G$100000, "&lt;="&amp;EOMONTH(DATE(2026,1,1),0)
 ),
 IF(OR(_xlpm.x=0, _xlpm.x=""), "-", _xlpm.x)
)</f>
        <v>11900</v>
      </c>
      <c r="AC170" s="55" t="str">
        <f>_xlfn.LET(
 _xlpm.x,
 _xlfn.MAXIFS(
  raw_stack!G$2:G$99411,
  raw_stack!D$2:D$99411, G170,
  raw_stack!F$2:F$99411, "Iya",
  raw_stack!G$2:G$99411, "&gt;="&amp;DATE(2026,2,1),
  raw_stack!G$2:G$99411, "&lt;="&amp;EOMONTH(DATE(2026,2,1),0)
 ),
 IF(_xlpm.x=0, "-", _xlpm.x)
)</f>
        <v>-</v>
      </c>
      <c r="AD170" s="56" t="str">
        <f>_xlfn.LET(
 _xlpm.x,
 _xlfn.MAXIFS(
  raw_stack!H$2:H$100000,
  raw_stack!D$2:D$100000, G170,
  raw_stack!F$2:F$100000, "Iya",
  raw_stack!G$2:G$100000, "&gt;="&amp;DATE(2026,2,1),
  raw_stack!G$2:G$100000, "&lt;="&amp;EOMONTH(DATE(2026,2,1),0)
 ),
 IF(OR(_xlpm.x=0, _xlpm.x=""), "-", _xlpm.x)
)</f>
        <v>-</v>
      </c>
      <c r="AE170" s="55" t="str">
        <f>_xlfn.LET(
 _xlpm.x,
 _xlfn.MAXIFS(
  raw_stack!G$2:G$100000,
  raw_stack!D$2:D$100000, G170,
  raw_stack!F$2:F$100000, "Iya",
  raw_stack!G$2:G$100000, "&gt;="&amp;DATE(2026,3,1),
  raw_stack!G$2:G$100000, "&lt;="&amp;EOMONTH(DATE(2026,3,1),0)
 ),
 IF(_xlpm.x=0, "-", _xlpm.x)
)</f>
        <v>-</v>
      </c>
      <c r="AF170" s="56" t="str">
        <f>_xlfn.LET(
 _xlpm.x,
 _xlfn.MAXIFS(
  raw_stack!H$2:H$100000,
  raw_stack!D$2:D$100000, G170,
  raw_stack!F$2:F$100000, "Iya",
  raw_stack!G$2:G$100000, "&gt;="&amp;DATE(2026,3,1),
  raw_stack!G$2:G$100000, "&lt;="&amp;EOMONTH(DATE(2026,3,1),0)
 ),
 IF(OR(_xlpm.x=0, _xlpm.x=""), "-", _xlpm.x)
)</f>
        <v>-</v>
      </c>
      <c r="AG170" s="55" t="str">
        <f>_xlfn.LET(
 _xlpm.x,
 _xlfn.MAXIFS(
  raw_stack!G$2:G$100000,
  raw_stack!D$2:D$100000, G170,
  raw_stack!F$2:F$100000, "Iya",
  raw_stack!G$2:G$100000, "&gt;="&amp;DATE(2026,4,1),
  raw_stack!G$2:G$100000, "&lt;="&amp;EOMONTH(DATE(2026,4,1),0)
 ),
 IF(_xlpm.x=0, "-", _xlpm.x)
)</f>
        <v>-</v>
      </c>
      <c r="AH170" s="56" t="str">
        <f>_xlfn.LET(
 _xlpm.x,
 _xlfn.MAXIFS(
  raw_stack!H$2:H$100000,
  raw_stack!D$2:D$100000, G170,
  raw_stack!F$2:F$100000, "Iya",
  raw_stack!G$2:G$100000, "&gt;="&amp;DATE(2026,4,1),
  raw_stack!G$2:G$100000, "&lt;="&amp;EOMONTH(DATE(2026,4,1),0)
 ),
 IF(OR(_xlpm.x=0, _xlpm.x=""), "-", _xlpm.x)
)</f>
        <v>-</v>
      </c>
    </row>
    <row r="171" spans="1:34">
      <c r="A171" s="48">
        <v>170</v>
      </c>
      <c r="B171" s="49" t="str">
        <f t="shared" si="2"/>
        <v>32882</v>
      </c>
      <c r="C171" s="50" t="s">
        <v>46</v>
      </c>
      <c r="D171" s="51" t="s">
        <v>609</v>
      </c>
      <c r="E171" s="51" t="s">
        <v>53</v>
      </c>
      <c r="F171" s="49" t="s">
        <v>117</v>
      </c>
      <c r="G171" s="49" t="s">
        <v>287</v>
      </c>
      <c r="H171" s="49" t="s">
        <v>48</v>
      </c>
      <c r="I171" s="49" t="s">
        <v>52</v>
      </c>
      <c r="J171" s="52">
        <v>3860000</v>
      </c>
      <c r="K171" s="53">
        <v>45584</v>
      </c>
      <c r="L171" s="53">
        <v>46678</v>
      </c>
      <c r="M171" s="53">
        <v>46071</v>
      </c>
      <c r="N171" s="49" t="s">
        <v>50</v>
      </c>
      <c r="O171" s="54" t="str">
        <f>_xlfn.LET(
 _xlpm.x,
 _xlfn.MAXIFS(
  raw_stack!G$2:G$100000,
  raw_stack!D$2:D$100000, G171,
  raw_stack!F$2:F$100000, "Iya",
  raw_stack!G$2:G$100000, "&gt;="&amp;DATE(2025,7,1),
  raw_stack!G$2:G$100000, "&lt;="&amp;EOMONTH(DATE(2025,7,1),0)
 ),
 IF(_xlpm.x=0, "-", _xlpm.x)
)</f>
        <v>-</v>
      </c>
      <c r="P171" s="65" t="str">
        <f>_xlfn.LET(
 _xlpm.x,
 _xlfn.MAXIFS(
  raw_stack!H$2:H$100000,
  raw_stack!D$2:D$100000, G171,
  raw_stack!F$2:F$100000, "Iya",
  raw_stack!G$2:G$100000, "&gt;="&amp;DATE(2025,7,1),
  raw_stack!G$2:G$100000, "&lt;="&amp;EOMONTH(DATE(2025,7,1),0)
 ),
 IF(OR(_xlpm.x=0, _xlpm.x=""), "-", _xlpm.x)
)</f>
        <v>-</v>
      </c>
      <c r="Q171" s="54" t="str">
        <f>_xlfn.LET(
 _xlpm.x,
 _xlfn.MAXIFS(
  raw_stack!G$2:G$99411,
  raw_stack!D$2:D$99411, G171,
  raw_stack!F$2:F$99411, "Iya",
  raw_stack!G$2:G$99411, "&gt;="&amp;DATE(2025,8,1),
  raw_stack!G$2:G$99411, "&lt;="&amp;EOMONTH(DATE(2025,8,1),0)
 ),
 IF(_xlpm.x=0, "-", _xlpm.x)
)</f>
        <v>-</v>
      </c>
      <c r="R171" s="65" t="str">
        <f>_xlfn.LET(
 _xlpm.x,
 _xlfn.MAXIFS(
  raw_stack!H$2:H$100000,
  raw_stack!D$2:D$100000, G171,
  raw_stack!F$2:F$100000, "Iya",
  raw_stack!G$2:G$100000, "&gt;="&amp;DATE(2025,8,1),
  raw_stack!G$2:G$100000, "&lt;="&amp;EOMONTH(DATE(2025,8,1),0)
 ),
 IF(OR(_xlpm.x=0, _xlpm.x=""), "-", _xlpm.x)
)</f>
        <v>-</v>
      </c>
      <c r="S171" s="54" t="str">
        <f>_xlfn.LET(
 _xlpm.x,
 _xlfn.MAXIFS(
  raw_stack!G$2:G$99411,
  raw_stack!D$2:D$99411, G171,
  raw_stack!F$2:F$99411, "Iya",
  raw_stack!G$2:G$99411, "&gt;="&amp;DATE(2025,9,1),
  raw_stack!G$2:G$99411, "&lt;="&amp;EOMONTH(DATE(2025,9,1),0)
 ),
 IF(_xlpm.x=0, "-", _xlpm.x)
)</f>
        <v>-</v>
      </c>
      <c r="T171" s="65" t="str">
        <f>_xlfn.LET(
 _xlpm.x,
 _xlfn.MAXIFS(
  raw_stack!H$2:H$100000,
  raw_stack!D$2:D$100000, G171,
  raw_stack!F$2:F$100000, "Iya",
  raw_stack!G$2:G$100000, "&gt;="&amp;DATE(2025,9,1),
  raw_stack!G$2:G$100000, "&lt;="&amp;EOMONTH(DATE(2025,9,1),0)
 ),
 IF(OR(_xlpm.x=0, _xlpm.x=""), "-", _xlpm.x)
)</f>
        <v>-</v>
      </c>
      <c r="U171" s="54" t="str">
        <f>_xlfn.LET(
 _xlpm.x,
 _xlfn.MAXIFS(
  raw_stack!G$2:G$99411,
  raw_stack!D$2:D$99411, G171,
  raw_stack!F$2:F$99411, "Iya",
  raw_stack!G$2:G$99411, "&gt;="&amp;DATE(2025,10,1),
  raw_stack!G$2:G$99411, "&lt;="&amp;EOMONTH(DATE(2025,10,1),0)
 ),
 IF(_xlpm.x=0, "-", _xlpm.x)
)</f>
        <v>-</v>
      </c>
      <c r="V171" s="65" t="str">
        <f>_xlfn.LET(
 _xlpm.x,
 _xlfn.MAXIFS(
  raw_stack!H$2:H$100000,
  raw_stack!D$2:D$100000, G171,
  raw_stack!F$2:F$100000, "Iya",
  raw_stack!G$2:G$100000, "&gt;="&amp;DATE(2025,10,1),
  raw_stack!G$2:G$100000, "&lt;="&amp;EOMONTH(DATE(2025,10,1),0)
 ),
 IF(OR(_xlpm.x=0, _xlpm.x=""), "-", _xlpm.x)
)</f>
        <v>-</v>
      </c>
      <c r="W171" s="55">
        <f>_xlfn.LET(
 _xlpm.x,
 _xlfn.MAXIFS(
  raw_stack!G$2:G$99411,
  raw_stack!D$2:D$99411, G171,
  raw_stack!F$2:F$99411, "Iya",
  raw_stack!G$2:G$99411, "&gt;="&amp;DATE(2025,11,1),
  raw_stack!G$2:G$99411, "&lt;="&amp;EOMONTH(DATE(2025,11,1),0)
 ),
 IF(_xlpm.x=0, "-", _xlpm.x)
)</f>
        <v>45982</v>
      </c>
      <c r="X171" s="56">
        <f>_xlfn.LET(
 _xlpm.x,
 _xlfn.MAXIFS(
  raw_stack!H$2:H$100000,
  raw_stack!D$2:D$100000, G171,
  raw_stack!F$2:F$100000, "Iya",
  raw_stack!G$2:G$100000, "&gt;="&amp;DATE(2025,11,1),
  raw_stack!G$2:G$100000, "&lt;="&amp;EOMONTH(DATE(2025,11,1),0)
 ),
 IF(OR(_xlpm.x=0, _xlpm.x=""), "-", _xlpm.x)
)</f>
        <v>27819</v>
      </c>
      <c r="Y171" s="55" t="str">
        <f>_xlfn.LET(
 _xlpm.x,
 _xlfn.MAXIFS(
  raw_stack!G$2:G$99411,
  raw_stack!D$2:D$99411, G171,
  raw_stack!F$2:F$99411, "Iya",
  raw_stack!G$2:G$99411, "&gt;="&amp;DATE(2025,12,1),
  raw_stack!G$2:G$99411, "&lt;="&amp;EOMONTH(DATE(2025,12,1),0)
 ),
 IF(_xlpm.x=0, "-", _xlpm.x)
)</f>
        <v>-</v>
      </c>
      <c r="Z171" s="56" t="str">
        <f>_xlfn.LET(
 _xlpm.x,
 _xlfn.MAXIFS(
  raw_stack!H$2:H$100000,
  raw_stack!D$2:D$100000, G171,
  raw_stack!F$2:F$100000, "Iya",
  raw_stack!G$2:G$100000, "&gt;="&amp;DATE(2025,12,1),
  raw_stack!G$2:G$100000, "&lt;="&amp;EOMONTH(DATE(2025,12,1),0)
 ),
 IF(OR(_xlpm.x=0, _xlpm.x=""), "-", _xlpm.x)
)</f>
        <v>-</v>
      </c>
      <c r="AA171" s="55" t="str">
        <f>_xlfn.LET(
 _xlpm.x,
 _xlfn.MAXIFS(
  raw_stack!G$2:G$99411,
  raw_stack!D$2:D$99411, G171,
  raw_stack!F$2:F$99411, "Iya",
  raw_stack!G$2:G$99411, "&gt;="&amp;DATE(2026,1,1),
  raw_stack!G$2:G$99411, "&lt;="&amp;EOMONTH(DATE(2026,1,1),0)
 ),
 IF(_xlpm.x=0, "-", _xlpm.x)
)</f>
        <v>-</v>
      </c>
      <c r="AB171" s="56" t="str">
        <f>_xlfn.LET(
 _xlpm.x,
 _xlfn.MAXIFS(
  raw_stack!H$2:H$100000,
  raw_stack!D$2:D$100000, G171,
  raw_stack!F$2:F$100000, "Iya",
  raw_stack!G$2:G$100000, "&gt;="&amp;DATE(2026,1,1),
  raw_stack!G$2:G$100000, "&lt;="&amp;EOMONTH(DATE(2026,1,1),0)
 ),
 IF(OR(_xlpm.x=0, _xlpm.x=""), "-", _xlpm.x)
)</f>
        <v>-</v>
      </c>
      <c r="AC171" s="55" t="str">
        <f>_xlfn.LET(
 _xlpm.x,
 _xlfn.MAXIFS(
  raw_stack!G$2:G$99411,
  raw_stack!D$2:D$99411, G171,
  raw_stack!F$2:F$99411, "Iya",
  raw_stack!G$2:G$99411, "&gt;="&amp;DATE(2026,2,1),
  raw_stack!G$2:G$99411, "&lt;="&amp;EOMONTH(DATE(2026,2,1),0)
 ),
 IF(_xlpm.x=0, "-", _xlpm.x)
)</f>
        <v>-</v>
      </c>
      <c r="AD171" s="56" t="str">
        <f>_xlfn.LET(
 _xlpm.x,
 _xlfn.MAXIFS(
  raw_stack!H$2:H$100000,
  raw_stack!D$2:D$100000, G171,
  raw_stack!F$2:F$100000, "Iya",
  raw_stack!G$2:G$100000, "&gt;="&amp;DATE(2026,2,1),
  raw_stack!G$2:G$100000, "&lt;="&amp;EOMONTH(DATE(2026,2,1),0)
 ),
 IF(OR(_xlpm.x=0, _xlpm.x=""), "-", _xlpm.x)
)</f>
        <v>-</v>
      </c>
      <c r="AE171" s="55" t="str">
        <f>_xlfn.LET(
 _xlpm.x,
 _xlfn.MAXIFS(
  raw_stack!G$2:G$100000,
  raw_stack!D$2:D$100000, G171,
  raw_stack!F$2:F$100000, "Iya",
  raw_stack!G$2:G$100000, "&gt;="&amp;DATE(2026,3,1),
  raw_stack!G$2:G$100000, "&lt;="&amp;EOMONTH(DATE(2026,3,1),0)
 ),
 IF(_xlpm.x=0, "-", _xlpm.x)
)</f>
        <v>-</v>
      </c>
      <c r="AF171" s="56" t="str">
        <f>_xlfn.LET(
 _xlpm.x,
 _xlfn.MAXIFS(
  raw_stack!H$2:H$100000,
  raw_stack!D$2:D$100000, G171,
  raw_stack!F$2:F$100000, "Iya",
  raw_stack!G$2:G$100000, "&gt;="&amp;DATE(2026,3,1),
  raw_stack!G$2:G$100000, "&lt;="&amp;EOMONTH(DATE(2026,3,1),0)
 ),
 IF(OR(_xlpm.x=0, _xlpm.x=""), "-", _xlpm.x)
)</f>
        <v>-</v>
      </c>
      <c r="AG171" s="55" t="str">
        <f>_xlfn.LET(
 _xlpm.x,
 _xlfn.MAXIFS(
  raw_stack!G$2:G$100000,
  raw_stack!D$2:D$100000, G171,
  raw_stack!F$2:F$100000, "Iya",
  raw_stack!G$2:G$100000, "&gt;="&amp;DATE(2026,4,1),
  raw_stack!G$2:G$100000, "&lt;="&amp;EOMONTH(DATE(2026,4,1),0)
 ),
 IF(_xlpm.x=0, "-", _xlpm.x)
)</f>
        <v>-</v>
      </c>
      <c r="AH171" s="56" t="str">
        <f>_xlfn.LET(
 _xlpm.x,
 _xlfn.MAXIFS(
  raw_stack!H$2:H$100000,
  raw_stack!D$2:D$100000, G171,
  raw_stack!F$2:F$100000, "Iya",
  raw_stack!G$2:G$100000, "&gt;="&amp;DATE(2026,4,1),
  raw_stack!G$2:G$100000, "&lt;="&amp;EOMONTH(DATE(2026,4,1),0)
 ),
 IF(OR(_xlpm.x=0, _xlpm.x=""), "-", _xlpm.x)
)</f>
        <v>-</v>
      </c>
    </row>
    <row r="172" spans="1:34">
      <c r="A172" s="48">
        <v>171</v>
      </c>
      <c r="B172" s="49" t="str">
        <f t="shared" si="2"/>
        <v>11037</v>
      </c>
      <c r="C172" s="50" t="s">
        <v>46</v>
      </c>
      <c r="D172" s="51" t="s">
        <v>464</v>
      </c>
      <c r="E172" s="51" t="s">
        <v>53</v>
      </c>
      <c r="F172" s="49" t="s">
        <v>117</v>
      </c>
      <c r="G172" s="49" t="s">
        <v>288</v>
      </c>
      <c r="H172" s="49" t="s">
        <v>48</v>
      </c>
      <c r="I172" s="49" t="s">
        <v>52</v>
      </c>
      <c r="J172" s="52">
        <v>3860000</v>
      </c>
      <c r="K172" s="53">
        <v>45589</v>
      </c>
      <c r="L172" s="53">
        <v>46683</v>
      </c>
      <c r="M172" s="53">
        <v>46076</v>
      </c>
      <c r="N172" s="49" t="s">
        <v>50</v>
      </c>
      <c r="O172" s="54">
        <f>_xlfn.LET(
 _xlpm.x,
 _xlfn.MAXIFS(
  raw_stack!G$2:G$100000,
  raw_stack!D$2:D$100000, G172,
  raw_stack!F$2:F$100000, "Iya",
  raw_stack!G$2:G$100000, "&gt;="&amp;DATE(2025,7,1),
  raw_stack!G$2:G$100000, "&lt;="&amp;EOMONTH(DATE(2025,7,1),0)
 ),
 IF(_xlpm.x=0, "-", _xlpm.x)
)</f>
        <v>45855</v>
      </c>
      <c r="P172" s="65">
        <f>_xlfn.LET(
 _xlpm.x,
 _xlfn.MAXIFS(
  raw_stack!H$2:H$100000,
  raw_stack!D$2:D$100000, G172,
  raw_stack!F$2:F$100000, "Iya",
  raw_stack!G$2:G$100000, "&gt;="&amp;DATE(2025,7,1),
  raw_stack!G$2:G$100000, "&lt;="&amp;EOMONTH(DATE(2025,7,1),0)
 ),
 IF(OR(_xlpm.x=0, _xlpm.x=""), "-", _xlpm.x)
)</f>
        <v>10455</v>
      </c>
      <c r="Q172" s="54" t="str">
        <f>_xlfn.LET(
 _xlpm.x,
 _xlfn.MAXIFS(
  raw_stack!G$2:G$99411,
  raw_stack!D$2:D$99411, G172,
  raw_stack!F$2:F$99411, "Iya",
  raw_stack!G$2:G$99411, "&gt;="&amp;DATE(2025,8,1),
  raw_stack!G$2:G$99411, "&lt;="&amp;EOMONTH(DATE(2025,8,1),0)
 ),
 IF(_xlpm.x=0, "-", _xlpm.x)
)</f>
        <v>-</v>
      </c>
      <c r="R172" s="65" t="str">
        <f>_xlfn.LET(
 _xlpm.x,
 _xlfn.MAXIFS(
  raw_stack!H$2:H$100000,
  raw_stack!D$2:D$100000, G172,
  raw_stack!F$2:F$100000, "Iya",
  raw_stack!G$2:G$100000, "&gt;="&amp;DATE(2025,8,1),
  raw_stack!G$2:G$100000, "&lt;="&amp;EOMONTH(DATE(2025,8,1),0)
 ),
 IF(OR(_xlpm.x=0, _xlpm.x=""), "-", _xlpm.x)
)</f>
        <v>-</v>
      </c>
      <c r="S172" s="54" t="str">
        <f>_xlfn.LET(
 _xlpm.x,
 _xlfn.MAXIFS(
  raw_stack!G$2:G$99411,
  raw_stack!D$2:D$99411, G172,
  raw_stack!F$2:F$99411, "Iya",
  raw_stack!G$2:G$99411, "&gt;="&amp;DATE(2025,9,1),
  raw_stack!G$2:G$99411, "&lt;="&amp;EOMONTH(DATE(2025,9,1),0)
 ),
 IF(_xlpm.x=0, "-", _xlpm.x)
)</f>
        <v>-</v>
      </c>
      <c r="T172" s="65" t="str">
        <f>_xlfn.LET(
 _xlpm.x,
 _xlfn.MAXIFS(
  raw_stack!H$2:H$100000,
  raw_stack!D$2:D$100000, G172,
  raw_stack!F$2:F$100000, "Iya",
  raw_stack!G$2:G$100000, "&gt;="&amp;DATE(2025,9,1),
  raw_stack!G$2:G$100000, "&lt;="&amp;EOMONTH(DATE(2025,9,1),0)
 ),
 IF(OR(_xlpm.x=0, _xlpm.x=""), "-", _xlpm.x)
)</f>
        <v>-</v>
      </c>
      <c r="U172" s="54" t="str">
        <f>_xlfn.LET(
 _xlpm.x,
 _xlfn.MAXIFS(
  raw_stack!G$2:G$99411,
  raw_stack!D$2:D$99411, G172,
  raw_stack!F$2:F$99411, "Iya",
  raw_stack!G$2:G$99411, "&gt;="&amp;DATE(2025,10,1),
  raw_stack!G$2:G$99411, "&lt;="&amp;EOMONTH(DATE(2025,10,1),0)
 ),
 IF(_xlpm.x=0, "-", _xlpm.x)
)</f>
        <v>-</v>
      </c>
      <c r="V172" s="65" t="str">
        <f>_xlfn.LET(
 _xlpm.x,
 _xlfn.MAXIFS(
  raw_stack!H$2:H$100000,
  raw_stack!D$2:D$100000, G172,
  raw_stack!F$2:F$100000, "Iya",
  raw_stack!G$2:G$100000, "&gt;="&amp;DATE(2025,10,1),
  raw_stack!G$2:G$100000, "&lt;="&amp;EOMONTH(DATE(2025,10,1),0)
 ),
 IF(OR(_xlpm.x=0, _xlpm.x=""), "-", _xlpm.x)
)</f>
        <v>-</v>
      </c>
      <c r="W172" s="55" t="str">
        <f>_xlfn.LET(
 _xlpm.x,
 _xlfn.MAXIFS(
  raw_stack!G$2:G$99411,
  raw_stack!D$2:D$99411, G172,
  raw_stack!F$2:F$99411, "Iya",
  raw_stack!G$2:G$99411, "&gt;="&amp;DATE(2025,11,1),
  raw_stack!G$2:G$99411, "&lt;="&amp;EOMONTH(DATE(2025,11,1),0)
 ),
 IF(_xlpm.x=0, "-", _xlpm.x)
)</f>
        <v>-</v>
      </c>
      <c r="X172" s="56" t="str">
        <f>_xlfn.LET(
 _xlpm.x,
 _xlfn.MAXIFS(
  raw_stack!H$2:H$100000,
  raw_stack!D$2:D$100000, G172,
  raw_stack!F$2:F$100000, "Iya",
  raw_stack!G$2:G$100000, "&gt;="&amp;DATE(2025,11,1),
  raw_stack!G$2:G$100000, "&lt;="&amp;EOMONTH(DATE(2025,11,1),0)
 ),
 IF(OR(_xlpm.x=0, _xlpm.x=""), "-", _xlpm.x)
)</f>
        <v>-</v>
      </c>
      <c r="Y172" s="55" t="str">
        <f>_xlfn.LET(
 _xlpm.x,
 _xlfn.MAXIFS(
  raw_stack!G$2:G$99411,
  raw_stack!D$2:D$99411, G172,
  raw_stack!F$2:F$99411, "Iya",
  raw_stack!G$2:G$99411, "&gt;="&amp;DATE(2025,12,1),
  raw_stack!G$2:G$99411, "&lt;="&amp;EOMONTH(DATE(2025,12,1),0)
 ),
 IF(_xlpm.x=0, "-", _xlpm.x)
)</f>
        <v>-</v>
      </c>
      <c r="Z172" s="56" t="str">
        <f>_xlfn.LET(
 _xlpm.x,
 _xlfn.MAXIFS(
  raw_stack!H$2:H$100000,
  raw_stack!D$2:D$100000, G172,
  raw_stack!F$2:F$100000, "Iya",
  raw_stack!G$2:G$100000, "&gt;="&amp;DATE(2025,12,1),
  raw_stack!G$2:G$100000, "&lt;="&amp;EOMONTH(DATE(2025,12,1),0)
 ),
 IF(OR(_xlpm.x=0, _xlpm.x=""), "-", _xlpm.x)
)</f>
        <v>-</v>
      </c>
      <c r="AA172" s="55">
        <f>_xlfn.LET(
 _xlpm.x,
 _xlfn.MAXIFS(
  raw_stack!G$2:G$99411,
  raw_stack!D$2:D$99411, G172,
  raw_stack!F$2:F$99411, "Iya",
  raw_stack!G$2:G$99411, "&gt;="&amp;DATE(2026,1,1),
  raw_stack!G$2:G$99411, "&lt;="&amp;EOMONTH(DATE(2026,1,1),0)
 ),
 IF(_xlpm.x=0, "-", _xlpm.x)
)</f>
        <v>46029</v>
      </c>
      <c r="AB172" s="56">
        <f>_xlfn.LET(
 _xlpm.x,
 _xlfn.MAXIFS(
  raw_stack!H$2:H$100000,
  raw_stack!D$2:D$100000, G172,
  raw_stack!F$2:F$100000, "Iya",
  raw_stack!G$2:G$100000, "&gt;="&amp;DATE(2026,1,1),
  raw_stack!G$2:G$100000, "&lt;="&amp;EOMONTH(DATE(2026,1,1),0)
 ),
 IF(OR(_xlpm.x=0, _xlpm.x=""), "-", _xlpm.x)
)</f>
        <v>12104</v>
      </c>
      <c r="AC172" s="55" t="str">
        <f>_xlfn.LET(
 _xlpm.x,
 _xlfn.MAXIFS(
  raw_stack!G$2:G$99411,
  raw_stack!D$2:D$99411, G172,
  raw_stack!F$2:F$99411, "Iya",
  raw_stack!G$2:G$99411, "&gt;="&amp;DATE(2026,2,1),
  raw_stack!G$2:G$99411, "&lt;="&amp;EOMONTH(DATE(2026,2,1),0)
 ),
 IF(_xlpm.x=0, "-", _xlpm.x)
)</f>
        <v>-</v>
      </c>
      <c r="AD172" s="56" t="str">
        <f>_xlfn.LET(
 _xlpm.x,
 _xlfn.MAXIFS(
  raw_stack!H$2:H$100000,
  raw_stack!D$2:D$100000, G172,
  raw_stack!F$2:F$100000, "Iya",
  raw_stack!G$2:G$100000, "&gt;="&amp;DATE(2026,2,1),
  raw_stack!G$2:G$100000, "&lt;="&amp;EOMONTH(DATE(2026,2,1),0)
 ),
 IF(OR(_xlpm.x=0, _xlpm.x=""), "-", _xlpm.x)
)</f>
        <v>-</v>
      </c>
      <c r="AE172" s="55" t="str">
        <f>_xlfn.LET(
 _xlpm.x,
 _xlfn.MAXIFS(
  raw_stack!G$2:G$100000,
  raw_stack!D$2:D$100000, G172,
  raw_stack!F$2:F$100000, "Iya",
  raw_stack!G$2:G$100000, "&gt;="&amp;DATE(2026,3,1),
  raw_stack!G$2:G$100000, "&lt;="&amp;EOMONTH(DATE(2026,3,1),0)
 ),
 IF(_xlpm.x=0, "-", _xlpm.x)
)</f>
        <v>-</v>
      </c>
      <c r="AF172" s="56" t="str">
        <f>_xlfn.LET(
 _xlpm.x,
 _xlfn.MAXIFS(
  raw_stack!H$2:H$100000,
  raw_stack!D$2:D$100000, G172,
  raw_stack!F$2:F$100000, "Iya",
  raw_stack!G$2:G$100000, "&gt;="&amp;DATE(2026,3,1),
  raw_stack!G$2:G$100000, "&lt;="&amp;EOMONTH(DATE(2026,3,1),0)
 ),
 IF(OR(_xlpm.x=0, _xlpm.x=""), "-", _xlpm.x)
)</f>
        <v>-</v>
      </c>
      <c r="AG172" s="55" t="str">
        <f>_xlfn.LET(
 _xlpm.x,
 _xlfn.MAXIFS(
  raw_stack!G$2:G$100000,
  raw_stack!D$2:D$100000, G172,
  raw_stack!F$2:F$100000, "Iya",
  raw_stack!G$2:G$100000, "&gt;="&amp;DATE(2026,4,1),
  raw_stack!G$2:G$100000, "&lt;="&amp;EOMONTH(DATE(2026,4,1),0)
 ),
 IF(_xlpm.x=0, "-", _xlpm.x)
)</f>
        <v>-</v>
      </c>
      <c r="AH172" s="56" t="str">
        <f>_xlfn.LET(
 _xlpm.x,
 _xlfn.MAXIFS(
  raw_stack!H$2:H$100000,
  raw_stack!D$2:D$100000, G172,
  raw_stack!F$2:F$100000, "Iya",
  raw_stack!G$2:G$100000, "&gt;="&amp;DATE(2026,4,1),
  raw_stack!G$2:G$100000, "&lt;="&amp;EOMONTH(DATE(2026,4,1),0)
 ),
 IF(OR(_xlpm.x=0, _xlpm.x=""), "-", _xlpm.x)
)</f>
        <v>-</v>
      </c>
    </row>
    <row r="173" spans="1:34">
      <c r="A173" s="48">
        <v>172</v>
      </c>
      <c r="B173" s="49" t="e">
        <f t="shared" si="2"/>
        <v>#N/A</v>
      </c>
      <c r="C173" s="50" t="s">
        <v>46</v>
      </c>
      <c r="D173" s="51" t="e">
        <v>#N/A</v>
      </c>
      <c r="E173" s="51" t="s">
        <v>54</v>
      </c>
      <c r="F173" s="49" t="s">
        <v>117</v>
      </c>
      <c r="G173" s="49" t="s">
        <v>289</v>
      </c>
      <c r="H173" s="49" t="s">
        <v>48</v>
      </c>
      <c r="I173" s="49" t="s">
        <v>52</v>
      </c>
      <c r="J173" s="52">
        <v>6600000</v>
      </c>
      <c r="K173" s="53">
        <v>45590</v>
      </c>
      <c r="L173" s="53">
        <v>46684</v>
      </c>
      <c r="M173" s="53">
        <v>46077</v>
      </c>
      <c r="N173" s="49" t="s">
        <v>50</v>
      </c>
      <c r="O173" s="54" t="str">
        <f>_xlfn.LET(
 _xlpm.x,
 _xlfn.MAXIFS(
  raw_stack!G$2:G$100000,
  raw_stack!D$2:D$100000, G173,
  raw_stack!F$2:F$100000, "Iya",
  raw_stack!G$2:G$100000, "&gt;="&amp;DATE(2025,7,1),
  raw_stack!G$2:G$100000, "&lt;="&amp;EOMONTH(DATE(2025,7,1),0)
 ),
 IF(_xlpm.x=0, "-", _xlpm.x)
)</f>
        <v>-</v>
      </c>
      <c r="P173" s="65" t="str">
        <f>_xlfn.LET(
 _xlpm.x,
 _xlfn.MAXIFS(
  raw_stack!H$2:H$100000,
  raw_stack!D$2:D$100000, G173,
  raw_stack!F$2:F$100000, "Iya",
  raw_stack!G$2:G$100000, "&gt;="&amp;DATE(2025,7,1),
  raw_stack!G$2:G$100000, "&lt;="&amp;EOMONTH(DATE(2025,7,1),0)
 ),
 IF(OR(_xlpm.x=0, _xlpm.x=""), "-", _xlpm.x)
)</f>
        <v>-</v>
      </c>
      <c r="Q173" s="54" t="str">
        <f>_xlfn.LET(
 _xlpm.x,
 _xlfn.MAXIFS(
  raw_stack!G$2:G$99411,
  raw_stack!D$2:D$99411, G173,
  raw_stack!F$2:F$99411, "Iya",
  raw_stack!G$2:G$99411, "&gt;="&amp;DATE(2025,8,1),
  raw_stack!G$2:G$99411, "&lt;="&amp;EOMONTH(DATE(2025,8,1),0)
 ),
 IF(_xlpm.x=0, "-", _xlpm.x)
)</f>
        <v>-</v>
      </c>
      <c r="R173" s="65" t="str">
        <f>_xlfn.LET(
 _xlpm.x,
 _xlfn.MAXIFS(
  raw_stack!H$2:H$100000,
  raw_stack!D$2:D$100000, G173,
  raw_stack!F$2:F$100000, "Iya",
  raw_stack!G$2:G$100000, "&gt;="&amp;DATE(2025,8,1),
  raw_stack!G$2:G$100000, "&lt;="&amp;EOMONTH(DATE(2025,8,1),0)
 ),
 IF(OR(_xlpm.x=0, _xlpm.x=""), "-", _xlpm.x)
)</f>
        <v>-</v>
      </c>
      <c r="S173" s="54" t="str">
        <f>_xlfn.LET(
 _xlpm.x,
 _xlfn.MAXIFS(
  raw_stack!G$2:G$99411,
  raw_stack!D$2:D$99411, G173,
  raw_stack!F$2:F$99411, "Iya",
  raw_stack!G$2:G$99411, "&gt;="&amp;DATE(2025,9,1),
  raw_stack!G$2:G$99411, "&lt;="&amp;EOMONTH(DATE(2025,9,1),0)
 ),
 IF(_xlpm.x=0, "-", _xlpm.x)
)</f>
        <v>-</v>
      </c>
      <c r="T173" s="65" t="str">
        <f>_xlfn.LET(
 _xlpm.x,
 _xlfn.MAXIFS(
  raw_stack!H$2:H$100000,
  raw_stack!D$2:D$100000, G173,
  raw_stack!F$2:F$100000, "Iya",
  raw_stack!G$2:G$100000, "&gt;="&amp;DATE(2025,9,1),
  raw_stack!G$2:G$100000, "&lt;="&amp;EOMONTH(DATE(2025,9,1),0)
 ),
 IF(OR(_xlpm.x=0, _xlpm.x=""), "-", _xlpm.x)
)</f>
        <v>-</v>
      </c>
      <c r="U173" s="54" t="str">
        <f>_xlfn.LET(
 _xlpm.x,
 _xlfn.MAXIFS(
  raw_stack!G$2:G$99411,
  raw_stack!D$2:D$99411, G173,
  raw_stack!F$2:F$99411, "Iya",
  raw_stack!G$2:G$99411, "&gt;="&amp;DATE(2025,10,1),
  raw_stack!G$2:G$99411, "&lt;="&amp;EOMONTH(DATE(2025,10,1),0)
 ),
 IF(_xlpm.x=0, "-", _xlpm.x)
)</f>
        <v>-</v>
      </c>
      <c r="V173" s="65" t="str">
        <f>_xlfn.LET(
 _xlpm.x,
 _xlfn.MAXIFS(
  raw_stack!H$2:H$100000,
  raw_stack!D$2:D$100000, G173,
  raw_stack!F$2:F$100000, "Iya",
  raw_stack!G$2:G$100000, "&gt;="&amp;DATE(2025,10,1),
  raw_stack!G$2:G$100000, "&lt;="&amp;EOMONTH(DATE(2025,10,1),0)
 ),
 IF(OR(_xlpm.x=0, _xlpm.x=""), "-", _xlpm.x)
)</f>
        <v>-</v>
      </c>
      <c r="W173" s="55" t="str">
        <f>_xlfn.LET(
 _xlpm.x,
 _xlfn.MAXIFS(
  raw_stack!G$2:G$99411,
  raw_stack!D$2:D$99411, G173,
  raw_stack!F$2:F$99411, "Iya",
  raw_stack!G$2:G$99411, "&gt;="&amp;DATE(2025,11,1),
  raw_stack!G$2:G$99411, "&lt;="&amp;EOMONTH(DATE(2025,11,1),0)
 ),
 IF(_xlpm.x=0, "-", _xlpm.x)
)</f>
        <v>-</v>
      </c>
      <c r="X173" s="56" t="str">
        <f>_xlfn.LET(
 _xlpm.x,
 _xlfn.MAXIFS(
  raw_stack!H$2:H$100000,
  raw_stack!D$2:D$100000, G173,
  raw_stack!F$2:F$100000, "Iya",
  raw_stack!G$2:G$100000, "&gt;="&amp;DATE(2025,11,1),
  raw_stack!G$2:G$100000, "&lt;="&amp;EOMONTH(DATE(2025,11,1),0)
 ),
 IF(OR(_xlpm.x=0, _xlpm.x=""), "-", _xlpm.x)
)</f>
        <v>-</v>
      </c>
      <c r="Y173" s="55" t="str">
        <f>_xlfn.LET(
 _xlpm.x,
 _xlfn.MAXIFS(
  raw_stack!G$2:G$99411,
  raw_stack!D$2:D$99411, G173,
  raw_stack!F$2:F$99411, "Iya",
  raw_stack!G$2:G$99411, "&gt;="&amp;DATE(2025,12,1),
  raw_stack!G$2:G$99411, "&lt;="&amp;EOMONTH(DATE(2025,12,1),0)
 ),
 IF(_xlpm.x=0, "-", _xlpm.x)
)</f>
        <v>-</v>
      </c>
      <c r="Z173" s="56" t="str">
        <f>_xlfn.LET(
 _xlpm.x,
 _xlfn.MAXIFS(
  raw_stack!H$2:H$100000,
  raw_stack!D$2:D$100000, G173,
  raw_stack!F$2:F$100000, "Iya",
  raw_stack!G$2:G$100000, "&gt;="&amp;DATE(2025,12,1),
  raw_stack!G$2:G$100000, "&lt;="&amp;EOMONTH(DATE(2025,12,1),0)
 ),
 IF(OR(_xlpm.x=0, _xlpm.x=""), "-", _xlpm.x)
)</f>
        <v>-</v>
      </c>
      <c r="AA173" s="55" t="str">
        <f>_xlfn.LET(
 _xlpm.x,
 _xlfn.MAXIFS(
  raw_stack!G$2:G$99411,
  raw_stack!D$2:D$99411, G173,
  raw_stack!F$2:F$99411, "Iya",
  raw_stack!G$2:G$99411, "&gt;="&amp;DATE(2026,1,1),
  raw_stack!G$2:G$99411, "&lt;="&amp;EOMONTH(DATE(2026,1,1),0)
 ),
 IF(_xlpm.x=0, "-", _xlpm.x)
)</f>
        <v>-</v>
      </c>
      <c r="AB173" s="56" t="str">
        <f>_xlfn.LET(
 _xlpm.x,
 _xlfn.MAXIFS(
  raw_stack!H$2:H$100000,
  raw_stack!D$2:D$100000, G173,
  raw_stack!F$2:F$100000, "Iya",
  raw_stack!G$2:G$100000, "&gt;="&amp;DATE(2026,1,1),
  raw_stack!G$2:G$100000, "&lt;="&amp;EOMONTH(DATE(2026,1,1),0)
 ),
 IF(OR(_xlpm.x=0, _xlpm.x=""), "-", _xlpm.x)
)</f>
        <v>-</v>
      </c>
      <c r="AC173" s="55" t="str">
        <f>_xlfn.LET(
 _xlpm.x,
 _xlfn.MAXIFS(
  raw_stack!G$2:G$99411,
  raw_stack!D$2:D$99411, G173,
  raw_stack!F$2:F$99411, "Iya",
  raw_stack!G$2:G$99411, "&gt;="&amp;DATE(2026,2,1),
  raw_stack!G$2:G$99411, "&lt;="&amp;EOMONTH(DATE(2026,2,1),0)
 ),
 IF(_xlpm.x=0, "-", _xlpm.x)
)</f>
        <v>-</v>
      </c>
      <c r="AD173" s="56" t="str">
        <f>_xlfn.LET(
 _xlpm.x,
 _xlfn.MAXIFS(
  raw_stack!H$2:H$100000,
  raw_stack!D$2:D$100000, G173,
  raw_stack!F$2:F$100000, "Iya",
  raw_stack!G$2:G$100000, "&gt;="&amp;DATE(2026,2,1),
  raw_stack!G$2:G$100000, "&lt;="&amp;EOMONTH(DATE(2026,2,1),0)
 ),
 IF(OR(_xlpm.x=0, _xlpm.x=""), "-", _xlpm.x)
)</f>
        <v>-</v>
      </c>
      <c r="AE173" s="55" t="str">
        <f>_xlfn.LET(
 _xlpm.x,
 _xlfn.MAXIFS(
  raw_stack!G$2:G$100000,
  raw_stack!D$2:D$100000, G173,
  raw_stack!F$2:F$100000, "Iya",
  raw_stack!G$2:G$100000, "&gt;="&amp;DATE(2026,3,1),
  raw_stack!G$2:G$100000, "&lt;="&amp;EOMONTH(DATE(2026,3,1),0)
 ),
 IF(_xlpm.x=0, "-", _xlpm.x)
)</f>
        <v>-</v>
      </c>
      <c r="AF173" s="56" t="str">
        <f>_xlfn.LET(
 _xlpm.x,
 _xlfn.MAXIFS(
  raw_stack!H$2:H$100000,
  raw_stack!D$2:D$100000, G173,
  raw_stack!F$2:F$100000, "Iya",
  raw_stack!G$2:G$100000, "&gt;="&amp;DATE(2026,3,1),
  raw_stack!G$2:G$100000, "&lt;="&amp;EOMONTH(DATE(2026,3,1),0)
 ),
 IF(OR(_xlpm.x=0, _xlpm.x=""), "-", _xlpm.x)
)</f>
        <v>-</v>
      </c>
      <c r="AG173" s="55" t="str">
        <f>_xlfn.LET(
 _xlpm.x,
 _xlfn.MAXIFS(
  raw_stack!G$2:G$100000,
  raw_stack!D$2:D$100000, G173,
  raw_stack!F$2:F$100000, "Iya",
  raw_stack!G$2:G$100000, "&gt;="&amp;DATE(2026,4,1),
  raw_stack!G$2:G$100000, "&lt;="&amp;EOMONTH(DATE(2026,4,1),0)
 ),
 IF(_xlpm.x=0, "-", _xlpm.x)
)</f>
        <v>-</v>
      </c>
      <c r="AH173" s="56" t="str">
        <f>_xlfn.LET(
 _xlpm.x,
 _xlfn.MAXIFS(
  raw_stack!H$2:H$100000,
  raw_stack!D$2:D$100000, G173,
  raw_stack!F$2:F$100000, "Iya",
  raw_stack!G$2:G$100000, "&gt;="&amp;DATE(2026,4,1),
  raw_stack!G$2:G$100000, "&lt;="&amp;EOMONTH(DATE(2026,4,1),0)
 ),
 IF(OR(_xlpm.x=0, _xlpm.x=""), "-", _xlpm.x)
)</f>
        <v>-</v>
      </c>
    </row>
    <row r="174" spans="1:34">
      <c r="A174" s="48">
        <v>173</v>
      </c>
      <c r="B174" s="49" t="str">
        <f t="shared" si="2"/>
        <v>16805</v>
      </c>
      <c r="C174" s="50" t="s">
        <v>46</v>
      </c>
      <c r="D174" s="51" t="s">
        <v>610</v>
      </c>
      <c r="E174" s="51" t="s">
        <v>53</v>
      </c>
      <c r="F174" s="49" t="s">
        <v>117</v>
      </c>
      <c r="G174" s="49" t="s">
        <v>290</v>
      </c>
      <c r="H174" s="49" t="s">
        <v>48</v>
      </c>
      <c r="I174" s="49" t="s">
        <v>52</v>
      </c>
      <c r="J174" s="52">
        <v>3860000</v>
      </c>
      <c r="K174" s="53">
        <v>45592</v>
      </c>
      <c r="L174" s="53">
        <v>46686</v>
      </c>
      <c r="M174" s="53">
        <v>46071</v>
      </c>
      <c r="N174" s="49" t="s">
        <v>50</v>
      </c>
      <c r="O174" s="54" t="str">
        <f>_xlfn.LET(
 _xlpm.x,
 _xlfn.MAXIFS(
  raw_stack!G$2:G$100000,
  raw_stack!D$2:D$100000, G174,
  raw_stack!F$2:F$100000, "Iya",
  raw_stack!G$2:G$100000, "&gt;="&amp;DATE(2025,7,1),
  raw_stack!G$2:G$100000, "&lt;="&amp;EOMONTH(DATE(2025,7,1),0)
 ),
 IF(_xlpm.x=0, "-", _xlpm.x)
)</f>
        <v>-</v>
      </c>
      <c r="P174" s="65" t="str">
        <f>_xlfn.LET(
 _xlpm.x,
 _xlfn.MAXIFS(
  raw_stack!H$2:H$100000,
  raw_stack!D$2:D$100000, G174,
  raw_stack!F$2:F$100000, "Iya",
  raw_stack!G$2:G$100000, "&gt;="&amp;DATE(2025,7,1),
  raw_stack!G$2:G$100000, "&lt;="&amp;EOMONTH(DATE(2025,7,1),0)
 ),
 IF(OR(_xlpm.x=0, _xlpm.x=""), "-", _xlpm.x)
)</f>
        <v>-</v>
      </c>
      <c r="Q174" s="54" t="str">
        <f>_xlfn.LET(
 _xlpm.x,
 _xlfn.MAXIFS(
  raw_stack!G$2:G$99411,
  raw_stack!D$2:D$99411, G174,
  raw_stack!F$2:F$99411, "Iya",
  raw_stack!G$2:G$99411, "&gt;="&amp;DATE(2025,8,1),
  raw_stack!G$2:G$99411, "&lt;="&amp;EOMONTH(DATE(2025,8,1),0)
 ),
 IF(_xlpm.x=0, "-", _xlpm.x)
)</f>
        <v>-</v>
      </c>
      <c r="R174" s="65" t="str">
        <f>_xlfn.LET(
 _xlpm.x,
 _xlfn.MAXIFS(
  raw_stack!H$2:H$100000,
  raw_stack!D$2:D$100000, G174,
  raw_stack!F$2:F$100000, "Iya",
  raw_stack!G$2:G$100000, "&gt;="&amp;DATE(2025,8,1),
  raw_stack!G$2:G$100000, "&lt;="&amp;EOMONTH(DATE(2025,8,1),0)
 ),
 IF(OR(_xlpm.x=0, _xlpm.x=""), "-", _xlpm.x)
)</f>
        <v>-</v>
      </c>
      <c r="S174" s="54" t="str">
        <f>_xlfn.LET(
 _xlpm.x,
 _xlfn.MAXIFS(
  raw_stack!G$2:G$99411,
  raw_stack!D$2:D$99411, G174,
  raw_stack!F$2:F$99411, "Iya",
  raw_stack!G$2:G$99411, "&gt;="&amp;DATE(2025,9,1),
  raw_stack!G$2:G$99411, "&lt;="&amp;EOMONTH(DATE(2025,9,1),0)
 ),
 IF(_xlpm.x=0, "-", _xlpm.x)
)</f>
        <v>-</v>
      </c>
      <c r="T174" s="65" t="str">
        <f>_xlfn.LET(
 _xlpm.x,
 _xlfn.MAXIFS(
  raw_stack!H$2:H$100000,
  raw_stack!D$2:D$100000, G174,
  raw_stack!F$2:F$100000, "Iya",
  raw_stack!G$2:G$100000, "&gt;="&amp;DATE(2025,9,1),
  raw_stack!G$2:G$100000, "&lt;="&amp;EOMONTH(DATE(2025,9,1),0)
 ),
 IF(OR(_xlpm.x=0, _xlpm.x=""), "-", _xlpm.x)
)</f>
        <v>-</v>
      </c>
      <c r="U174" s="54" t="str">
        <f>_xlfn.LET(
 _xlpm.x,
 _xlfn.MAXIFS(
  raw_stack!G$2:G$99411,
  raw_stack!D$2:D$99411, G174,
  raw_stack!F$2:F$99411, "Iya",
  raw_stack!G$2:G$99411, "&gt;="&amp;DATE(2025,10,1),
  raw_stack!G$2:G$99411, "&lt;="&amp;EOMONTH(DATE(2025,10,1),0)
 ),
 IF(_xlpm.x=0, "-", _xlpm.x)
)</f>
        <v>-</v>
      </c>
      <c r="V174" s="65" t="str">
        <f>_xlfn.LET(
 _xlpm.x,
 _xlfn.MAXIFS(
  raw_stack!H$2:H$100000,
  raw_stack!D$2:D$100000, G174,
  raw_stack!F$2:F$100000, "Iya",
  raw_stack!G$2:G$100000, "&gt;="&amp;DATE(2025,10,1),
  raw_stack!G$2:G$100000, "&lt;="&amp;EOMONTH(DATE(2025,10,1),0)
 ),
 IF(OR(_xlpm.x=0, _xlpm.x=""), "-", _xlpm.x)
)</f>
        <v>-</v>
      </c>
      <c r="W174" s="55">
        <f>_xlfn.LET(
 _xlpm.x,
 _xlfn.MAXIFS(
  raw_stack!G$2:G$99411,
  raw_stack!D$2:D$99411, G174,
  raw_stack!F$2:F$99411, "Iya",
  raw_stack!G$2:G$99411, "&gt;="&amp;DATE(2025,11,1),
  raw_stack!G$2:G$99411, "&lt;="&amp;EOMONTH(DATE(2025,11,1),0)
 ),
 IF(_xlpm.x=0, "-", _xlpm.x)
)</f>
        <v>45988</v>
      </c>
      <c r="X174" s="56">
        <f>_xlfn.LET(
 _xlpm.x,
 _xlfn.MAXIFS(
  raw_stack!H$2:H$100000,
  raw_stack!D$2:D$100000, G174,
  raw_stack!F$2:F$100000, "Iya",
  raw_stack!G$2:G$100000, "&gt;="&amp;DATE(2025,11,1),
  raw_stack!G$2:G$100000, "&lt;="&amp;EOMONTH(DATE(2025,11,1),0)
 ),
 IF(OR(_xlpm.x=0, _xlpm.x=""), "-", _xlpm.x)
)</f>
        <v>22330</v>
      </c>
      <c r="Y174" s="55" t="str">
        <f>_xlfn.LET(
 _xlpm.x,
 _xlfn.MAXIFS(
  raw_stack!G$2:G$99411,
  raw_stack!D$2:D$99411, G174,
  raw_stack!F$2:F$99411, "Iya",
  raw_stack!G$2:G$99411, "&gt;="&amp;DATE(2025,12,1),
  raw_stack!G$2:G$99411, "&lt;="&amp;EOMONTH(DATE(2025,12,1),0)
 ),
 IF(_xlpm.x=0, "-", _xlpm.x)
)</f>
        <v>-</v>
      </c>
      <c r="Z174" s="56" t="str">
        <f>_xlfn.LET(
 _xlpm.x,
 _xlfn.MAXIFS(
  raw_stack!H$2:H$100000,
  raw_stack!D$2:D$100000, G174,
  raw_stack!F$2:F$100000, "Iya",
  raw_stack!G$2:G$100000, "&gt;="&amp;DATE(2025,12,1),
  raw_stack!G$2:G$100000, "&lt;="&amp;EOMONTH(DATE(2025,12,1),0)
 ),
 IF(OR(_xlpm.x=0, _xlpm.x=""), "-", _xlpm.x)
)</f>
        <v>-</v>
      </c>
      <c r="AA174" s="55" t="str">
        <f>_xlfn.LET(
 _xlpm.x,
 _xlfn.MAXIFS(
  raw_stack!G$2:G$99411,
  raw_stack!D$2:D$99411, G174,
  raw_stack!F$2:F$99411, "Iya",
  raw_stack!G$2:G$99411, "&gt;="&amp;DATE(2026,1,1),
  raw_stack!G$2:G$99411, "&lt;="&amp;EOMONTH(DATE(2026,1,1),0)
 ),
 IF(_xlpm.x=0, "-", _xlpm.x)
)</f>
        <v>-</v>
      </c>
      <c r="AB174" s="56" t="str">
        <f>_xlfn.LET(
 _xlpm.x,
 _xlfn.MAXIFS(
  raw_stack!H$2:H$100000,
  raw_stack!D$2:D$100000, G174,
  raw_stack!F$2:F$100000, "Iya",
  raw_stack!G$2:G$100000, "&gt;="&amp;DATE(2026,1,1),
  raw_stack!G$2:G$100000, "&lt;="&amp;EOMONTH(DATE(2026,1,1),0)
 ),
 IF(OR(_xlpm.x=0, _xlpm.x=""), "-", _xlpm.x)
)</f>
        <v>-</v>
      </c>
      <c r="AC174" s="55" t="str">
        <f>_xlfn.LET(
 _xlpm.x,
 _xlfn.MAXIFS(
  raw_stack!G$2:G$99411,
  raw_stack!D$2:D$99411, G174,
  raw_stack!F$2:F$99411, "Iya",
  raw_stack!G$2:G$99411, "&gt;="&amp;DATE(2026,2,1),
  raw_stack!G$2:G$99411, "&lt;="&amp;EOMONTH(DATE(2026,2,1),0)
 ),
 IF(_xlpm.x=0, "-", _xlpm.x)
)</f>
        <v>-</v>
      </c>
      <c r="AD174" s="56" t="str">
        <f>_xlfn.LET(
 _xlpm.x,
 _xlfn.MAXIFS(
  raw_stack!H$2:H$100000,
  raw_stack!D$2:D$100000, G174,
  raw_stack!F$2:F$100000, "Iya",
  raw_stack!G$2:G$100000, "&gt;="&amp;DATE(2026,2,1),
  raw_stack!G$2:G$100000, "&lt;="&amp;EOMONTH(DATE(2026,2,1),0)
 ),
 IF(OR(_xlpm.x=0, _xlpm.x=""), "-", _xlpm.x)
)</f>
        <v>-</v>
      </c>
      <c r="AE174" s="55" t="str">
        <f>_xlfn.LET(
 _xlpm.x,
 _xlfn.MAXIFS(
  raw_stack!G$2:G$100000,
  raw_stack!D$2:D$100000, G174,
  raw_stack!F$2:F$100000, "Iya",
  raw_stack!G$2:G$100000, "&gt;="&amp;DATE(2026,3,1),
  raw_stack!G$2:G$100000, "&lt;="&amp;EOMONTH(DATE(2026,3,1),0)
 ),
 IF(_xlpm.x=0, "-", _xlpm.x)
)</f>
        <v>-</v>
      </c>
      <c r="AF174" s="56" t="str">
        <f>_xlfn.LET(
 _xlpm.x,
 _xlfn.MAXIFS(
  raw_stack!H$2:H$100000,
  raw_stack!D$2:D$100000, G174,
  raw_stack!F$2:F$100000, "Iya",
  raw_stack!G$2:G$100000, "&gt;="&amp;DATE(2026,3,1),
  raw_stack!G$2:G$100000, "&lt;="&amp;EOMONTH(DATE(2026,3,1),0)
 ),
 IF(OR(_xlpm.x=0, _xlpm.x=""), "-", _xlpm.x)
)</f>
        <v>-</v>
      </c>
      <c r="AG174" s="55" t="str">
        <f>_xlfn.LET(
 _xlpm.x,
 _xlfn.MAXIFS(
  raw_stack!G$2:G$100000,
  raw_stack!D$2:D$100000, G174,
  raw_stack!F$2:F$100000, "Iya",
  raw_stack!G$2:G$100000, "&gt;="&amp;DATE(2026,4,1),
  raw_stack!G$2:G$100000, "&lt;="&amp;EOMONTH(DATE(2026,4,1),0)
 ),
 IF(_xlpm.x=0, "-", _xlpm.x)
)</f>
        <v>-</v>
      </c>
      <c r="AH174" s="56" t="str">
        <f>_xlfn.LET(
 _xlpm.x,
 _xlfn.MAXIFS(
  raw_stack!H$2:H$100000,
  raw_stack!D$2:D$100000, G174,
  raw_stack!F$2:F$100000, "Iya",
  raw_stack!G$2:G$100000, "&gt;="&amp;DATE(2026,4,1),
  raw_stack!G$2:G$100000, "&lt;="&amp;EOMONTH(DATE(2026,4,1),0)
 ),
 IF(OR(_xlpm.x=0, _xlpm.x=""), "-", _xlpm.x)
)</f>
        <v>-</v>
      </c>
    </row>
    <row r="175" spans="1:34">
      <c r="A175" s="48">
        <v>174</v>
      </c>
      <c r="B175" s="49" t="str">
        <f t="shared" si="2"/>
        <v>34570</v>
      </c>
      <c r="C175" s="50" t="s">
        <v>46</v>
      </c>
      <c r="D175" s="51" t="s">
        <v>611</v>
      </c>
      <c r="E175" s="51" t="s">
        <v>51</v>
      </c>
      <c r="F175" s="49" t="s">
        <v>117</v>
      </c>
      <c r="G175" s="49" t="s">
        <v>291</v>
      </c>
      <c r="H175" s="49" t="s">
        <v>48</v>
      </c>
      <c r="I175" s="49" t="s">
        <v>52</v>
      </c>
      <c r="J175" s="52">
        <v>5790000</v>
      </c>
      <c r="K175" s="53">
        <v>45595</v>
      </c>
      <c r="L175" s="53">
        <v>46689</v>
      </c>
      <c r="M175" s="53">
        <v>46108</v>
      </c>
      <c r="N175" s="49" t="s">
        <v>50</v>
      </c>
      <c r="O175" s="54" t="str">
        <f>_xlfn.LET(
 _xlpm.x,
 _xlfn.MAXIFS(
  raw_stack!G$2:G$100000,
  raw_stack!D$2:D$100000, G175,
  raw_stack!F$2:F$100000, "Iya",
  raw_stack!G$2:G$100000, "&gt;="&amp;DATE(2025,7,1),
  raw_stack!G$2:G$100000, "&lt;="&amp;EOMONTH(DATE(2025,7,1),0)
 ),
 IF(_xlpm.x=0, "-", _xlpm.x)
)</f>
        <v>-</v>
      </c>
      <c r="P175" s="65" t="str">
        <f>_xlfn.LET(
 _xlpm.x,
 _xlfn.MAXIFS(
  raw_stack!H$2:H$100000,
  raw_stack!D$2:D$100000, G175,
  raw_stack!F$2:F$100000, "Iya",
  raw_stack!G$2:G$100000, "&gt;="&amp;DATE(2025,7,1),
  raw_stack!G$2:G$100000, "&lt;="&amp;EOMONTH(DATE(2025,7,1),0)
 ),
 IF(OR(_xlpm.x=0, _xlpm.x=""), "-", _xlpm.x)
)</f>
        <v>-</v>
      </c>
      <c r="Q175" s="54">
        <f>_xlfn.LET(
 _xlpm.x,
 _xlfn.MAXIFS(
  raw_stack!G$2:G$99411,
  raw_stack!D$2:D$99411, G175,
  raw_stack!F$2:F$99411, "Iya",
  raw_stack!G$2:G$99411, "&gt;="&amp;DATE(2025,8,1),
  raw_stack!G$2:G$99411, "&lt;="&amp;EOMONTH(DATE(2025,8,1),0)
 ),
 IF(_xlpm.x=0, "-", _xlpm.x)
)</f>
        <v>45895</v>
      </c>
      <c r="R175" s="65">
        <f>_xlfn.LET(
 _xlpm.x,
 _xlfn.MAXIFS(
  raw_stack!H$2:H$100000,
  raw_stack!D$2:D$100000, G175,
  raw_stack!F$2:F$100000, "Iya",
  raw_stack!G$2:G$100000, "&gt;="&amp;DATE(2025,8,1),
  raw_stack!G$2:G$100000, "&lt;="&amp;EOMONTH(DATE(2025,8,1),0)
 ),
 IF(OR(_xlpm.x=0, _xlpm.x=""), "-", _xlpm.x)
)</f>
        <v>8276</v>
      </c>
      <c r="S175" s="54" t="str">
        <f>_xlfn.LET(
 _xlpm.x,
 _xlfn.MAXIFS(
  raw_stack!G$2:G$99411,
  raw_stack!D$2:D$99411, G175,
  raw_stack!F$2:F$99411, "Iya",
  raw_stack!G$2:G$99411, "&gt;="&amp;DATE(2025,9,1),
  raw_stack!G$2:G$99411, "&lt;="&amp;EOMONTH(DATE(2025,9,1),0)
 ),
 IF(_xlpm.x=0, "-", _xlpm.x)
)</f>
        <v>-</v>
      </c>
      <c r="T175" s="65" t="str">
        <f>_xlfn.LET(
 _xlpm.x,
 _xlfn.MAXIFS(
  raw_stack!H$2:H$100000,
  raw_stack!D$2:D$100000, G175,
  raw_stack!F$2:F$100000, "Iya",
  raw_stack!G$2:G$100000, "&gt;="&amp;DATE(2025,9,1),
  raw_stack!G$2:G$100000, "&lt;="&amp;EOMONTH(DATE(2025,9,1),0)
 ),
 IF(OR(_xlpm.x=0, _xlpm.x=""), "-", _xlpm.x)
)</f>
        <v>-</v>
      </c>
      <c r="U175" s="54" t="str">
        <f>_xlfn.LET(
 _xlpm.x,
 _xlfn.MAXIFS(
  raw_stack!G$2:G$99411,
  raw_stack!D$2:D$99411, G175,
  raw_stack!F$2:F$99411, "Iya",
  raw_stack!G$2:G$99411, "&gt;="&amp;DATE(2025,10,1),
  raw_stack!G$2:G$99411, "&lt;="&amp;EOMONTH(DATE(2025,10,1),0)
 ),
 IF(_xlpm.x=0, "-", _xlpm.x)
)</f>
        <v>-</v>
      </c>
      <c r="V175" s="65" t="str">
        <f>_xlfn.LET(
 _xlpm.x,
 _xlfn.MAXIFS(
  raw_stack!H$2:H$100000,
  raw_stack!D$2:D$100000, G175,
  raw_stack!F$2:F$100000, "Iya",
  raw_stack!G$2:G$100000, "&gt;="&amp;DATE(2025,10,1),
  raw_stack!G$2:G$100000, "&lt;="&amp;EOMONTH(DATE(2025,10,1),0)
 ),
 IF(OR(_xlpm.x=0, _xlpm.x=""), "-", _xlpm.x)
)</f>
        <v>-</v>
      </c>
      <c r="W175" s="55">
        <f>_xlfn.LET(
 _xlpm.x,
 _xlfn.MAXIFS(
  raw_stack!G$2:G$99411,
  raw_stack!D$2:D$99411, G175,
  raw_stack!F$2:F$99411, "Iya",
  raw_stack!G$2:G$99411, "&gt;="&amp;DATE(2025,11,1),
  raw_stack!G$2:G$99411, "&lt;="&amp;EOMONTH(DATE(2025,11,1),0)
 ),
 IF(_xlpm.x=0, "-", _xlpm.x)
)</f>
        <v>45964</v>
      </c>
      <c r="X175" s="56">
        <f>_xlfn.LET(
 _xlpm.x,
 _xlfn.MAXIFS(
  raw_stack!H$2:H$100000,
  raw_stack!D$2:D$100000, G175,
  raw_stack!F$2:F$100000, "Iya",
  raw_stack!G$2:G$100000, "&gt;="&amp;DATE(2025,11,1),
  raw_stack!G$2:G$100000, "&lt;="&amp;EOMONTH(DATE(2025,11,1),0)
 ),
 IF(OR(_xlpm.x=0, _xlpm.x=""), "-", _xlpm.x)
)</f>
        <v>9707</v>
      </c>
      <c r="Y175" s="55">
        <f>_xlfn.LET(
 _xlpm.x,
 _xlfn.MAXIFS(
  raw_stack!G$2:G$99411,
  raw_stack!D$2:D$99411, G175,
  raw_stack!F$2:F$99411, "Iya",
  raw_stack!G$2:G$99411, "&gt;="&amp;DATE(2025,12,1),
  raw_stack!G$2:G$99411, "&lt;="&amp;EOMONTH(DATE(2025,12,1),0)
 ),
 IF(_xlpm.x=0, "-", _xlpm.x)
)</f>
        <v>46014</v>
      </c>
      <c r="Z175" s="56">
        <f>_xlfn.LET(
 _xlpm.x,
 _xlfn.MAXIFS(
  raw_stack!H$2:H$100000,
  raw_stack!D$2:D$100000, G175,
  raw_stack!F$2:F$100000, "Iya",
  raw_stack!G$2:G$100000, "&gt;="&amp;DATE(2025,12,1),
  raw_stack!G$2:G$100000, "&lt;="&amp;EOMONTH(DATE(2025,12,1),0)
 ),
 IF(OR(_xlpm.x=0, _xlpm.x=""), "-", _xlpm.x)
)</f>
        <v>13613</v>
      </c>
      <c r="AA175" s="55" t="str">
        <f>_xlfn.LET(
 _xlpm.x,
 _xlfn.MAXIFS(
  raw_stack!G$2:G$99411,
  raw_stack!D$2:D$99411, G175,
  raw_stack!F$2:F$99411, "Iya",
  raw_stack!G$2:G$99411, "&gt;="&amp;DATE(2026,1,1),
  raw_stack!G$2:G$99411, "&lt;="&amp;EOMONTH(DATE(2026,1,1),0)
 ),
 IF(_xlpm.x=0, "-", _xlpm.x)
)</f>
        <v>-</v>
      </c>
      <c r="AB175" s="56" t="str">
        <f>_xlfn.LET(
 _xlpm.x,
 _xlfn.MAXIFS(
  raw_stack!H$2:H$100000,
  raw_stack!D$2:D$100000, G175,
  raw_stack!F$2:F$100000, "Iya",
  raw_stack!G$2:G$100000, "&gt;="&amp;DATE(2026,1,1),
  raw_stack!G$2:G$100000, "&lt;="&amp;EOMONTH(DATE(2026,1,1),0)
 ),
 IF(OR(_xlpm.x=0, _xlpm.x=""), "-", _xlpm.x)
)</f>
        <v>-</v>
      </c>
      <c r="AC175" s="55" t="str">
        <f>_xlfn.LET(
 _xlpm.x,
 _xlfn.MAXIFS(
  raw_stack!G$2:G$99411,
  raw_stack!D$2:D$99411, G175,
  raw_stack!F$2:F$99411, "Iya",
  raw_stack!G$2:G$99411, "&gt;="&amp;DATE(2026,2,1),
  raw_stack!G$2:G$99411, "&lt;="&amp;EOMONTH(DATE(2026,2,1),0)
 ),
 IF(_xlpm.x=0, "-", _xlpm.x)
)</f>
        <v>-</v>
      </c>
      <c r="AD175" s="56" t="str">
        <f>_xlfn.LET(
 _xlpm.x,
 _xlfn.MAXIFS(
  raw_stack!H$2:H$100000,
  raw_stack!D$2:D$100000, G175,
  raw_stack!F$2:F$100000, "Iya",
  raw_stack!G$2:G$100000, "&gt;="&amp;DATE(2026,2,1),
  raw_stack!G$2:G$100000, "&lt;="&amp;EOMONTH(DATE(2026,2,1),0)
 ),
 IF(OR(_xlpm.x=0, _xlpm.x=""), "-", _xlpm.x)
)</f>
        <v>-</v>
      </c>
      <c r="AE175" s="55" t="str">
        <f>_xlfn.LET(
 _xlpm.x,
 _xlfn.MAXIFS(
  raw_stack!G$2:G$100000,
  raw_stack!D$2:D$100000, G175,
  raw_stack!F$2:F$100000, "Iya",
  raw_stack!G$2:G$100000, "&gt;="&amp;DATE(2026,3,1),
  raw_stack!G$2:G$100000, "&lt;="&amp;EOMONTH(DATE(2026,3,1),0)
 ),
 IF(_xlpm.x=0, "-", _xlpm.x)
)</f>
        <v>-</v>
      </c>
      <c r="AF175" s="56" t="str">
        <f>_xlfn.LET(
 _xlpm.x,
 _xlfn.MAXIFS(
  raw_stack!H$2:H$100000,
  raw_stack!D$2:D$100000, G175,
  raw_stack!F$2:F$100000, "Iya",
  raw_stack!G$2:G$100000, "&gt;="&amp;DATE(2026,3,1),
  raw_stack!G$2:G$100000, "&lt;="&amp;EOMONTH(DATE(2026,3,1),0)
 ),
 IF(OR(_xlpm.x=0, _xlpm.x=""), "-", _xlpm.x)
)</f>
        <v>-</v>
      </c>
      <c r="AG175" s="55" t="str">
        <f>_xlfn.LET(
 _xlpm.x,
 _xlfn.MAXIFS(
  raw_stack!G$2:G$100000,
  raw_stack!D$2:D$100000, G175,
  raw_stack!F$2:F$100000, "Iya",
  raw_stack!G$2:G$100000, "&gt;="&amp;DATE(2026,4,1),
  raw_stack!G$2:G$100000, "&lt;="&amp;EOMONTH(DATE(2026,4,1),0)
 ),
 IF(_xlpm.x=0, "-", _xlpm.x)
)</f>
        <v>-</v>
      </c>
      <c r="AH175" s="56" t="str">
        <f>_xlfn.LET(
 _xlpm.x,
 _xlfn.MAXIFS(
  raw_stack!H$2:H$100000,
  raw_stack!D$2:D$100000, G175,
  raw_stack!F$2:F$100000, "Iya",
  raw_stack!G$2:G$100000, "&gt;="&amp;DATE(2026,4,1),
  raw_stack!G$2:G$100000, "&lt;="&amp;EOMONTH(DATE(2026,4,1),0)
 ),
 IF(OR(_xlpm.x=0, _xlpm.x=""), "-", _xlpm.x)
)</f>
        <v>-</v>
      </c>
    </row>
    <row r="176" spans="1:34">
      <c r="A176" s="48">
        <v>175</v>
      </c>
      <c r="B176" s="49" t="str">
        <f t="shared" si="2"/>
        <v>57858</v>
      </c>
      <c r="C176" s="50" t="s">
        <v>46</v>
      </c>
      <c r="D176" s="51" t="s">
        <v>612</v>
      </c>
      <c r="E176" s="51" t="s">
        <v>51</v>
      </c>
      <c r="F176" s="49" t="s">
        <v>117</v>
      </c>
      <c r="G176" s="49" t="s">
        <v>292</v>
      </c>
      <c r="H176" s="49" t="s">
        <v>48</v>
      </c>
      <c r="I176" s="49" t="s">
        <v>52</v>
      </c>
      <c r="J176" s="52">
        <v>5790000</v>
      </c>
      <c r="K176" s="53">
        <v>45596</v>
      </c>
      <c r="L176" s="53">
        <v>46690</v>
      </c>
      <c r="M176" s="53">
        <v>46108</v>
      </c>
      <c r="N176" s="49" t="s">
        <v>50</v>
      </c>
      <c r="O176" s="54" t="str">
        <f>_xlfn.LET(
 _xlpm.x,
 _xlfn.MAXIFS(
  raw_stack!G$2:G$100000,
  raw_stack!D$2:D$100000, G176,
  raw_stack!F$2:F$100000, "Iya",
  raw_stack!G$2:G$100000, "&gt;="&amp;DATE(2025,7,1),
  raw_stack!G$2:G$100000, "&lt;="&amp;EOMONTH(DATE(2025,7,1),0)
 ),
 IF(_xlpm.x=0, "-", _xlpm.x)
)</f>
        <v>-</v>
      </c>
      <c r="P176" s="65" t="str">
        <f>_xlfn.LET(
 _xlpm.x,
 _xlfn.MAXIFS(
  raw_stack!H$2:H$100000,
  raw_stack!D$2:D$100000, G176,
  raw_stack!F$2:F$100000, "Iya",
  raw_stack!G$2:G$100000, "&gt;="&amp;DATE(2025,7,1),
  raw_stack!G$2:G$100000, "&lt;="&amp;EOMONTH(DATE(2025,7,1),0)
 ),
 IF(OR(_xlpm.x=0, _xlpm.x=""), "-", _xlpm.x)
)</f>
        <v>-</v>
      </c>
      <c r="Q176" s="54" t="str">
        <f>_xlfn.LET(
 _xlpm.x,
 _xlfn.MAXIFS(
  raw_stack!G$2:G$99411,
  raw_stack!D$2:D$99411, G176,
  raw_stack!F$2:F$99411, "Iya",
  raw_stack!G$2:G$99411, "&gt;="&amp;DATE(2025,8,1),
  raw_stack!G$2:G$99411, "&lt;="&amp;EOMONTH(DATE(2025,8,1),0)
 ),
 IF(_xlpm.x=0, "-", _xlpm.x)
)</f>
        <v>-</v>
      </c>
      <c r="R176" s="65" t="str">
        <f>_xlfn.LET(
 _xlpm.x,
 _xlfn.MAXIFS(
  raw_stack!H$2:H$100000,
  raw_stack!D$2:D$100000, G176,
  raw_stack!F$2:F$100000, "Iya",
  raw_stack!G$2:G$100000, "&gt;="&amp;DATE(2025,8,1),
  raw_stack!G$2:G$100000, "&lt;="&amp;EOMONTH(DATE(2025,8,1),0)
 ),
 IF(OR(_xlpm.x=0, _xlpm.x=""), "-", _xlpm.x)
)</f>
        <v>-</v>
      </c>
      <c r="S176" s="54">
        <f>_xlfn.LET(
 _xlpm.x,
 _xlfn.MAXIFS(
  raw_stack!G$2:G$99411,
  raw_stack!D$2:D$99411, G176,
  raw_stack!F$2:F$99411, "Iya",
  raw_stack!G$2:G$99411, "&gt;="&amp;DATE(2025,9,1),
  raw_stack!G$2:G$99411, "&lt;="&amp;EOMONTH(DATE(2025,9,1),0)
 ),
 IF(_xlpm.x=0, "-", _xlpm.x)
)</f>
        <v>45912</v>
      </c>
      <c r="T176" s="65">
        <f>_xlfn.LET(
 _xlpm.x,
 _xlfn.MAXIFS(
  raw_stack!H$2:H$100000,
  raw_stack!D$2:D$100000, G176,
  raw_stack!F$2:F$100000, "Iya",
  raw_stack!G$2:G$100000, "&gt;="&amp;DATE(2025,9,1),
  raw_stack!G$2:G$100000, "&lt;="&amp;EOMONTH(DATE(2025,9,1),0)
 ),
 IF(OR(_xlpm.x=0, _xlpm.x=""), "-", _xlpm.x)
)</f>
        <v>12817</v>
      </c>
      <c r="U176" s="54" t="str">
        <f>_xlfn.LET(
 _xlpm.x,
 _xlfn.MAXIFS(
  raw_stack!G$2:G$99411,
  raw_stack!D$2:D$99411, G176,
  raw_stack!F$2:F$99411, "Iya",
  raw_stack!G$2:G$99411, "&gt;="&amp;DATE(2025,10,1),
  raw_stack!G$2:G$99411, "&lt;="&amp;EOMONTH(DATE(2025,10,1),0)
 ),
 IF(_xlpm.x=0, "-", _xlpm.x)
)</f>
        <v>-</v>
      </c>
      <c r="V176" s="65" t="str">
        <f>_xlfn.LET(
 _xlpm.x,
 _xlfn.MAXIFS(
  raw_stack!H$2:H$100000,
  raw_stack!D$2:D$100000, G176,
  raw_stack!F$2:F$100000, "Iya",
  raw_stack!G$2:G$100000, "&gt;="&amp;DATE(2025,10,1),
  raw_stack!G$2:G$100000, "&lt;="&amp;EOMONTH(DATE(2025,10,1),0)
 ),
 IF(OR(_xlpm.x=0, _xlpm.x=""), "-", _xlpm.x)
)</f>
        <v>-</v>
      </c>
      <c r="W176" s="55" t="str">
        <f>_xlfn.LET(
 _xlpm.x,
 _xlfn.MAXIFS(
  raw_stack!G$2:G$99411,
  raw_stack!D$2:D$99411, G176,
  raw_stack!F$2:F$99411, "Iya",
  raw_stack!G$2:G$99411, "&gt;="&amp;DATE(2025,11,1),
  raw_stack!G$2:G$99411, "&lt;="&amp;EOMONTH(DATE(2025,11,1),0)
 ),
 IF(_xlpm.x=0, "-", _xlpm.x)
)</f>
        <v>-</v>
      </c>
      <c r="X176" s="56" t="str">
        <f>_xlfn.LET(
 _xlpm.x,
 _xlfn.MAXIFS(
  raw_stack!H$2:H$100000,
  raw_stack!D$2:D$100000, G176,
  raw_stack!F$2:F$100000, "Iya",
  raw_stack!G$2:G$100000, "&gt;="&amp;DATE(2025,11,1),
  raw_stack!G$2:G$100000, "&lt;="&amp;EOMONTH(DATE(2025,11,1),0)
 ),
 IF(OR(_xlpm.x=0, _xlpm.x=""), "-", _xlpm.x)
)</f>
        <v>-</v>
      </c>
      <c r="Y176" s="55" t="str">
        <f>_xlfn.LET(
 _xlpm.x,
 _xlfn.MAXIFS(
  raw_stack!G$2:G$99411,
  raw_stack!D$2:D$99411, G176,
  raw_stack!F$2:F$99411, "Iya",
  raw_stack!G$2:G$99411, "&gt;="&amp;DATE(2025,12,1),
  raw_stack!G$2:G$99411, "&lt;="&amp;EOMONTH(DATE(2025,12,1),0)
 ),
 IF(_xlpm.x=0, "-", _xlpm.x)
)</f>
        <v>-</v>
      </c>
      <c r="Z176" s="56" t="str">
        <f>_xlfn.LET(
 _xlpm.x,
 _xlfn.MAXIFS(
  raw_stack!H$2:H$100000,
  raw_stack!D$2:D$100000, G176,
  raw_stack!F$2:F$100000, "Iya",
  raw_stack!G$2:G$100000, "&gt;="&amp;DATE(2025,12,1),
  raw_stack!G$2:G$100000, "&lt;="&amp;EOMONTH(DATE(2025,12,1),0)
 ),
 IF(OR(_xlpm.x=0, _xlpm.x=""), "-", _xlpm.x)
)</f>
        <v>-</v>
      </c>
      <c r="AA176" s="55">
        <f>_xlfn.LET(
 _xlpm.x,
 _xlfn.MAXIFS(
  raw_stack!G$2:G$99411,
  raw_stack!D$2:D$99411, G176,
  raw_stack!F$2:F$99411, "Iya",
  raw_stack!G$2:G$99411, "&gt;="&amp;DATE(2026,1,1),
  raw_stack!G$2:G$99411, "&lt;="&amp;EOMONTH(DATE(2026,1,1),0)
 ),
 IF(_xlpm.x=0, "-", _xlpm.x)
)</f>
        <v>46042</v>
      </c>
      <c r="AB176" s="56">
        <f>_xlfn.LET(
 _xlpm.x,
 _xlfn.MAXIFS(
  raw_stack!H$2:H$100000,
  raw_stack!D$2:D$100000, G176,
  raw_stack!F$2:F$100000, "Iya",
  raw_stack!G$2:G$100000, "&gt;="&amp;DATE(2026,1,1),
  raw_stack!G$2:G$100000, "&lt;="&amp;EOMONTH(DATE(2026,1,1),0)
 ),
 IF(OR(_xlpm.x=0, _xlpm.x=""), "-", _xlpm.x)
)</f>
        <v>12577</v>
      </c>
      <c r="AC176" s="55" t="str">
        <f>_xlfn.LET(
 _xlpm.x,
 _xlfn.MAXIFS(
  raw_stack!G$2:G$99411,
  raw_stack!D$2:D$99411, G176,
  raw_stack!F$2:F$99411, "Iya",
  raw_stack!G$2:G$99411, "&gt;="&amp;DATE(2026,2,1),
  raw_stack!G$2:G$99411, "&lt;="&amp;EOMONTH(DATE(2026,2,1),0)
 ),
 IF(_xlpm.x=0, "-", _xlpm.x)
)</f>
        <v>-</v>
      </c>
      <c r="AD176" s="56" t="str">
        <f>_xlfn.LET(
 _xlpm.x,
 _xlfn.MAXIFS(
  raw_stack!H$2:H$100000,
  raw_stack!D$2:D$100000, G176,
  raw_stack!F$2:F$100000, "Iya",
  raw_stack!G$2:G$100000, "&gt;="&amp;DATE(2026,2,1),
  raw_stack!G$2:G$100000, "&lt;="&amp;EOMONTH(DATE(2026,2,1),0)
 ),
 IF(OR(_xlpm.x=0, _xlpm.x=""), "-", _xlpm.x)
)</f>
        <v>-</v>
      </c>
      <c r="AE176" s="55" t="str">
        <f>_xlfn.LET(
 _xlpm.x,
 _xlfn.MAXIFS(
  raw_stack!G$2:G$100000,
  raw_stack!D$2:D$100000, G176,
  raw_stack!F$2:F$100000, "Iya",
  raw_stack!G$2:G$100000, "&gt;="&amp;DATE(2026,3,1),
  raw_stack!G$2:G$100000, "&lt;="&amp;EOMONTH(DATE(2026,3,1),0)
 ),
 IF(_xlpm.x=0, "-", _xlpm.x)
)</f>
        <v>-</v>
      </c>
      <c r="AF176" s="56" t="str">
        <f>_xlfn.LET(
 _xlpm.x,
 _xlfn.MAXIFS(
  raw_stack!H$2:H$100000,
  raw_stack!D$2:D$100000, G176,
  raw_stack!F$2:F$100000, "Iya",
  raw_stack!G$2:G$100000, "&gt;="&amp;DATE(2026,3,1),
  raw_stack!G$2:G$100000, "&lt;="&amp;EOMONTH(DATE(2026,3,1),0)
 ),
 IF(OR(_xlpm.x=0, _xlpm.x=""), "-", _xlpm.x)
)</f>
        <v>-</v>
      </c>
      <c r="AG176" s="55" t="str">
        <f>_xlfn.LET(
 _xlpm.x,
 _xlfn.MAXIFS(
  raw_stack!G$2:G$100000,
  raw_stack!D$2:D$100000, G176,
  raw_stack!F$2:F$100000, "Iya",
  raw_stack!G$2:G$100000, "&gt;="&amp;DATE(2026,4,1),
  raw_stack!G$2:G$100000, "&lt;="&amp;EOMONTH(DATE(2026,4,1),0)
 ),
 IF(_xlpm.x=0, "-", _xlpm.x)
)</f>
        <v>-</v>
      </c>
      <c r="AH176" s="56" t="str">
        <f>_xlfn.LET(
 _xlpm.x,
 _xlfn.MAXIFS(
  raw_stack!H$2:H$100000,
  raw_stack!D$2:D$100000, G176,
  raw_stack!F$2:F$100000, "Iya",
  raw_stack!G$2:G$100000, "&gt;="&amp;DATE(2026,4,1),
  raw_stack!G$2:G$100000, "&lt;="&amp;EOMONTH(DATE(2026,4,1),0)
 ),
 IF(OR(_xlpm.x=0, _xlpm.x=""), "-", _xlpm.x)
)</f>
        <v>-</v>
      </c>
    </row>
    <row r="177" spans="1:34">
      <c r="A177" s="48">
        <v>176</v>
      </c>
      <c r="B177" s="49" t="str">
        <f t="shared" si="2"/>
        <v>36674</v>
      </c>
      <c r="C177" s="50" t="s">
        <v>46</v>
      </c>
      <c r="D177" s="51" t="s">
        <v>613</v>
      </c>
      <c r="E177" s="51" t="s">
        <v>51</v>
      </c>
      <c r="F177" s="49" t="s">
        <v>117</v>
      </c>
      <c r="G177" s="49" t="s">
        <v>293</v>
      </c>
      <c r="H177" s="49" t="s">
        <v>48</v>
      </c>
      <c r="I177" s="49" t="s">
        <v>52</v>
      </c>
      <c r="J177" s="52">
        <v>3880000</v>
      </c>
      <c r="K177" s="53">
        <v>45601</v>
      </c>
      <c r="L177" s="53">
        <v>46695</v>
      </c>
      <c r="M177" s="53">
        <v>46085</v>
      </c>
      <c r="N177" s="49" t="s">
        <v>50</v>
      </c>
      <c r="O177" s="54" t="str">
        <f>_xlfn.LET(
 _xlpm.x,
 _xlfn.MAXIFS(
  raw_stack!G$2:G$100000,
  raw_stack!D$2:D$100000, G177,
  raw_stack!F$2:F$100000, "Iya",
  raw_stack!G$2:G$100000, "&gt;="&amp;DATE(2025,7,1),
  raw_stack!G$2:G$100000, "&lt;="&amp;EOMONTH(DATE(2025,7,1),0)
 ),
 IF(_xlpm.x=0, "-", _xlpm.x)
)</f>
        <v>-</v>
      </c>
      <c r="P177" s="65" t="str">
        <f>_xlfn.LET(
 _xlpm.x,
 _xlfn.MAXIFS(
  raw_stack!H$2:H$100000,
  raw_stack!D$2:D$100000, G177,
  raw_stack!F$2:F$100000, "Iya",
  raw_stack!G$2:G$100000, "&gt;="&amp;DATE(2025,7,1),
  raw_stack!G$2:G$100000, "&lt;="&amp;EOMONTH(DATE(2025,7,1),0)
 ),
 IF(OR(_xlpm.x=0, _xlpm.x=""), "-", _xlpm.x)
)</f>
        <v>-</v>
      </c>
      <c r="Q177" s="54" t="str">
        <f>_xlfn.LET(
 _xlpm.x,
 _xlfn.MAXIFS(
  raw_stack!G$2:G$99411,
  raw_stack!D$2:D$99411, G177,
  raw_stack!F$2:F$99411, "Iya",
  raw_stack!G$2:G$99411, "&gt;="&amp;DATE(2025,8,1),
  raw_stack!G$2:G$99411, "&lt;="&amp;EOMONTH(DATE(2025,8,1),0)
 ),
 IF(_xlpm.x=0, "-", _xlpm.x)
)</f>
        <v>-</v>
      </c>
      <c r="R177" s="65" t="str">
        <f>_xlfn.LET(
 _xlpm.x,
 _xlfn.MAXIFS(
  raw_stack!H$2:H$100000,
  raw_stack!D$2:D$100000, G177,
  raw_stack!F$2:F$100000, "Iya",
  raw_stack!G$2:G$100000, "&gt;="&amp;DATE(2025,8,1),
  raw_stack!G$2:G$100000, "&lt;="&amp;EOMONTH(DATE(2025,8,1),0)
 ),
 IF(OR(_xlpm.x=0, _xlpm.x=""), "-", _xlpm.x)
)</f>
        <v>-</v>
      </c>
      <c r="S177" s="54" t="str">
        <f>_xlfn.LET(
 _xlpm.x,
 _xlfn.MAXIFS(
  raw_stack!G$2:G$99411,
  raw_stack!D$2:D$99411, G177,
  raw_stack!F$2:F$99411, "Iya",
  raw_stack!G$2:G$99411, "&gt;="&amp;DATE(2025,9,1),
  raw_stack!G$2:G$99411, "&lt;="&amp;EOMONTH(DATE(2025,9,1),0)
 ),
 IF(_xlpm.x=0, "-", _xlpm.x)
)</f>
        <v>-</v>
      </c>
      <c r="T177" s="65" t="str">
        <f>_xlfn.LET(
 _xlpm.x,
 _xlfn.MAXIFS(
  raw_stack!H$2:H$100000,
  raw_stack!D$2:D$100000, G177,
  raw_stack!F$2:F$100000, "Iya",
  raw_stack!G$2:G$100000, "&gt;="&amp;DATE(2025,9,1),
  raw_stack!G$2:G$100000, "&lt;="&amp;EOMONTH(DATE(2025,9,1),0)
 ),
 IF(OR(_xlpm.x=0, _xlpm.x=""), "-", _xlpm.x)
)</f>
        <v>-</v>
      </c>
      <c r="U177" s="54">
        <f>_xlfn.LET(
 _xlpm.x,
 _xlfn.MAXIFS(
  raw_stack!G$2:G$99411,
  raw_stack!D$2:D$99411, G177,
  raw_stack!F$2:F$99411, "Iya",
  raw_stack!G$2:G$99411, "&gt;="&amp;DATE(2025,10,1),
  raw_stack!G$2:G$99411, "&lt;="&amp;EOMONTH(DATE(2025,10,1),0)
 ),
 IF(_xlpm.x=0, "-", _xlpm.x)
)</f>
        <v>45947</v>
      </c>
      <c r="V177" s="65">
        <f>_xlfn.LET(
 _xlpm.x,
 _xlfn.MAXIFS(
  raw_stack!H$2:H$100000,
  raw_stack!D$2:D$100000, G177,
  raw_stack!F$2:F$100000, "Iya",
  raw_stack!G$2:G$100000, "&gt;="&amp;DATE(2025,10,1),
  raw_stack!G$2:G$100000, "&lt;="&amp;EOMONTH(DATE(2025,10,1),0)
 ),
 IF(OR(_xlpm.x=0, _xlpm.x=""), "-", _xlpm.x)
)</f>
        <v>32198</v>
      </c>
      <c r="W177" s="55" t="str">
        <f>_xlfn.LET(
 _xlpm.x,
 _xlfn.MAXIFS(
  raw_stack!G$2:G$99411,
  raw_stack!D$2:D$99411, G177,
  raw_stack!F$2:F$99411, "Iya",
  raw_stack!G$2:G$99411, "&gt;="&amp;DATE(2025,11,1),
  raw_stack!G$2:G$99411, "&lt;="&amp;EOMONTH(DATE(2025,11,1),0)
 ),
 IF(_xlpm.x=0, "-", _xlpm.x)
)</f>
        <v>-</v>
      </c>
      <c r="X177" s="56" t="str">
        <f>_xlfn.LET(
 _xlpm.x,
 _xlfn.MAXIFS(
  raw_stack!H$2:H$100000,
  raw_stack!D$2:D$100000, G177,
  raw_stack!F$2:F$100000, "Iya",
  raw_stack!G$2:G$100000, "&gt;="&amp;DATE(2025,11,1),
  raw_stack!G$2:G$100000, "&lt;="&amp;EOMONTH(DATE(2025,11,1),0)
 ),
 IF(OR(_xlpm.x=0, _xlpm.x=""), "-", _xlpm.x)
)</f>
        <v>-</v>
      </c>
      <c r="Y177" s="55" t="str">
        <f>_xlfn.LET(
 _xlpm.x,
 _xlfn.MAXIFS(
  raw_stack!G$2:G$99411,
  raw_stack!D$2:D$99411, G177,
  raw_stack!F$2:F$99411, "Iya",
  raw_stack!G$2:G$99411, "&gt;="&amp;DATE(2025,12,1),
  raw_stack!G$2:G$99411, "&lt;="&amp;EOMONTH(DATE(2025,12,1),0)
 ),
 IF(_xlpm.x=0, "-", _xlpm.x)
)</f>
        <v>-</v>
      </c>
      <c r="Z177" s="56" t="str">
        <f>_xlfn.LET(
 _xlpm.x,
 _xlfn.MAXIFS(
  raw_stack!H$2:H$100000,
  raw_stack!D$2:D$100000, G177,
  raw_stack!F$2:F$100000, "Iya",
  raw_stack!G$2:G$100000, "&gt;="&amp;DATE(2025,12,1),
  raw_stack!G$2:G$100000, "&lt;="&amp;EOMONTH(DATE(2025,12,1),0)
 ),
 IF(OR(_xlpm.x=0, _xlpm.x=""), "-", _xlpm.x)
)</f>
        <v>-</v>
      </c>
      <c r="AA177" s="55" t="str">
        <f>_xlfn.LET(
 _xlpm.x,
 _xlfn.MAXIFS(
  raw_stack!G$2:G$99411,
  raw_stack!D$2:D$99411, G177,
  raw_stack!F$2:F$99411, "Iya",
  raw_stack!G$2:G$99411, "&gt;="&amp;DATE(2026,1,1),
  raw_stack!G$2:G$99411, "&lt;="&amp;EOMONTH(DATE(2026,1,1),0)
 ),
 IF(_xlpm.x=0, "-", _xlpm.x)
)</f>
        <v>-</v>
      </c>
      <c r="AB177" s="56" t="str">
        <f>_xlfn.LET(
 _xlpm.x,
 _xlfn.MAXIFS(
  raw_stack!H$2:H$100000,
  raw_stack!D$2:D$100000, G177,
  raw_stack!F$2:F$100000, "Iya",
  raw_stack!G$2:G$100000, "&gt;="&amp;DATE(2026,1,1),
  raw_stack!G$2:G$100000, "&lt;="&amp;EOMONTH(DATE(2026,1,1),0)
 ),
 IF(OR(_xlpm.x=0, _xlpm.x=""), "-", _xlpm.x)
)</f>
        <v>-</v>
      </c>
      <c r="AC177" s="55" t="str">
        <f>_xlfn.LET(
 _xlpm.x,
 _xlfn.MAXIFS(
  raw_stack!G$2:G$99411,
  raw_stack!D$2:D$99411, G177,
  raw_stack!F$2:F$99411, "Iya",
  raw_stack!G$2:G$99411, "&gt;="&amp;DATE(2026,2,1),
  raw_stack!G$2:G$99411, "&lt;="&amp;EOMONTH(DATE(2026,2,1),0)
 ),
 IF(_xlpm.x=0, "-", _xlpm.x)
)</f>
        <v>-</v>
      </c>
      <c r="AD177" s="56" t="str">
        <f>_xlfn.LET(
 _xlpm.x,
 _xlfn.MAXIFS(
  raw_stack!H$2:H$100000,
  raw_stack!D$2:D$100000, G177,
  raw_stack!F$2:F$100000, "Iya",
  raw_stack!G$2:G$100000, "&gt;="&amp;DATE(2026,2,1),
  raw_stack!G$2:G$100000, "&lt;="&amp;EOMONTH(DATE(2026,2,1),0)
 ),
 IF(OR(_xlpm.x=0, _xlpm.x=""), "-", _xlpm.x)
)</f>
        <v>-</v>
      </c>
      <c r="AE177" s="55" t="str">
        <f>_xlfn.LET(
 _xlpm.x,
 _xlfn.MAXIFS(
  raw_stack!G$2:G$100000,
  raw_stack!D$2:D$100000, G177,
  raw_stack!F$2:F$100000, "Iya",
  raw_stack!G$2:G$100000, "&gt;="&amp;DATE(2026,3,1),
  raw_stack!G$2:G$100000, "&lt;="&amp;EOMONTH(DATE(2026,3,1),0)
 ),
 IF(_xlpm.x=0, "-", _xlpm.x)
)</f>
        <v>-</v>
      </c>
      <c r="AF177" s="56" t="str">
        <f>_xlfn.LET(
 _xlpm.x,
 _xlfn.MAXIFS(
  raw_stack!H$2:H$100000,
  raw_stack!D$2:D$100000, G177,
  raw_stack!F$2:F$100000, "Iya",
  raw_stack!G$2:G$100000, "&gt;="&amp;DATE(2026,3,1),
  raw_stack!G$2:G$100000, "&lt;="&amp;EOMONTH(DATE(2026,3,1),0)
 ),
 IF(OR(_xlpm.x=0, _xlpm.x=""), "-", _xlpm.x)
)</f>
        <v>-</v>
      </c>
      <c r="AG177" s="55">
        <f>_xlfn.LET(
 _xlpm.x,
 _xlfn.MAXIFS(
  raw_stack!G$2:G$100000,
  raw_stack!D$2:D$100000, G177,
  raw_stack!F$2:F$100000, "Iya",
  raw_stack!G$2:G$100000, "&gt;="&amp;DATE(2026,4,1),
  raw_stack!G$2:G$100000, "&lt;="&amp;EOMONTH(DATE(2026,4,1),0)
 ),
 IF(_xlpm.x=0, "-", _xlpm.x)
)</f>
        <v>46122</v>
      </c>
      <c r="AH177" s="56">
        <f>_xlfn.LET(
 _xlpm.x,
 _xlfn.MAXIFS(
  raw_stack!H$2:H$100000,
  raw_stack!D$2:D$100000, G177,
  raw_stack!F$2:F$100000, "Iya",
  raw_stack!G$2:G$100000, "&gt;="&amp;DATE(2026,4,1),
  raw_stack!G$2:G$100000, "&lt;="&amp;EOMONTH(DATE(2026,4,1),0)
 ),
 IF(OR(_xlpm.x=0, _xlpm.x=""), "-", _xlpm.x)
)</f>
        <v>33839</v>
      </c>
    </row>
    <row r="178" spans="1:34">
      <c r="A178" s="48">
        <v>177</v>
      </c>
      <c r="B178" s="49" t="str">
        <f t="shared" si="2"/>
        <v>98337</v>
      </c>
      <c r="C178" s="50" t="s">
        <v>46</v>
      </c>
      <c r="D178" s="51" t="s">
        <v>614</v>
      </c>
      <c r="E178" s="51" t="s">
        <v>51</v>
      </c>
      <c r="F178" s="49" t="s">
        <v>117</v>
      </c>
      <c r="G178" s="49" t="s">
        <v>294</v>
      </c>
      <c r="H178" s="49" t="s">
        <v>48</v>
      </c>
      <c r="I178" s="49" t="s">
        <v>52</v>
      </c>
      <c r="J178" s="52">
        <v>3880000</v>
      </c>
      <c r="K178" s="53">
        <v>45609</v>
      </c>
      <c r="L178" s="53">
        <v>46703</v>
      </c>
      <c r="M178" s="53">
        <v>46093</v>
      </c>
      <c r="N178" s="49" t="s">
        <v>50</v>
      </c>
      <c r="O178" s="54" t="str">
        <f>_xlfn.LET(
 _xlpm.x,
 _xlfn.MAXIFS(
  raw_stack!G$2:G$100000,
  raw_stack!D$2:D$100000, G178,
  raw_stack!F$2:F$100000, "Iya",
  raw_stack!G$2:G$100000, "&gt;="&amp;DATE(2025,7,1),
  raw_stack!G$2:G$100000, "&lt;="&amp;EOMONTH(DATE(2025,7,1),0)
 ),
 IF(_xlpm.x=0, "-", _xlpm.x)
)</f>
        <v>-</v>
      </c>
      <c r="P178" s="65" t="str">
        <f>_xlfn.LET(
 _xlpm.x,
 _xlfn.MAXIFS(
  raw_stack!H$2:H$100000,
  raw_stack!D$2:D$100000, G178,
  raw_stack!F$2:F$100000, "Iya",
  raw_stack!G$2:G$100000, "&gt;="&amp;DATE(2025,7,1),
  raw_stack!G$2:G$100000, "&lt;="&amp;EOMONTH(DATE(2025,7,1),0)
 ),
 IF(OR(_xlpm.x=0, _xlpm.x=""), "-", _xlpm.x)
)</f>
        <v>-</v>
      </c>
      <c r="Q178" s="54" t="str">
        <f>_xlfn.LET(
 _xlpm.x,
 _xlfn.MAXIFS(
  raw_stack!G$2:G$99411,
  raw_stack!D$2:D$99411, G178,
  raw_stack!F$2:F$99411, "Iya",
  raw_stack!G$2:G$99411, "&gt;="&amp;DATE(2025,8,1),
  raw_stack!G$2:G$99411, "&lt;="&amp;EOMONTH(DATE(2025,8,1),0)
 ),
 IF(_xlpm.x=0, "-", _xlpm.x)
)</f>
        <v>-</v>
      </c>
      <c r="R178" s="65" t="str">
        <f>_xlfn.LET(
 _xlpm.x,
 _xlfn.MAXIFS(
  raw_stack!H$2:H$100000,
  raw_stack!D$2:D$100000, G178,
  raw_stack!F$2:F$100000, "Iya",
  raw_stack!G$2:G$100000, "&gt;="&amp;DATE(2025,8,1),
  raw_stack!G$2:G$100000, "&lt;="&amp;EOMONTH(DATE(2025,8,1),0)
 ),
 IF(OR(_xlpm.x=0, _xlpm.x=""), "-", _xlpm.x)
)</f>
        <v>-</v>
      </c>
      <c r="S178" s="54" t="str">
        <f>_xlfn.LET(
 _xlpm.x,
 _xlfn.MAXIFS(
  raw_stack!G$2:G$99411,
  raw_stack!D$2:D$99411, G178,
  raw_stack!F$2:F$99411, "Iya",
  raw_stack!G$2:G$99411, "&gt;="&amp;DATE(2025,9,1),
  raw_stack!G$2:G$99411, "&lt;="&amp;EOMONTH(DATE(2025,9,1),0)
 ),
 IF(_xlpm.x=0, "-", _xlpm.x)
)</f>
        <v>-</v>
      </c>
      <c r="T178" s="65" t="str">
        <f>_xlfn.LET(
 _xlpm.x,
 _xlfn.MAXIFS(
  raw_stack!H$2:H$100000,
  raw_stack!D$2:D$100000, G178,
  raw_stack!F$2:F$100000, "Iya",
  raw_stack!G$2:G$100000, "&gt;="&amp;DATE(2025,9,1),
  raw_stack!G$2:G$100000, "&lt;="&amp;EOMONTH(DATE(2025,9,1),0)
 ),
 IF(OR(_xlpm.x=0, _xlpm.x=""), "-", _xlpm.x)
)</f>
        <v>-</v>
      </c>
      <c r="U178" s="54" t="str">
        <f>_xlfn.LET(
 _xlpm.x,
 _xlfn.MAXIFS(
  raw_stack!G$2:G$99411,
  raw_stack!D$2:D$99411, G178,
  raw_stack!F$2:F$99411, "Iya",
  raw_stack!G$2:G$99411, "&gt;="&amp;DATE(2025,10,1),
  raw_stack!G$2:G$99411, "&lt;="&amp;EOMONTH(DATE(2025,10,1),0)
 ),
 IF(_xlpm.x=0, "-", _xlpm.x)
)</f>
        <v>-</v>
      </c>
      <c r="V178" s="65" t="str">
        <f>_xlfn.LET(
 _xlpm.x,
 _xlfn.MAXIFS(
  raw_stack!H$2:H$100000,
  raw_stack!D$2:D$100000, G178,
  raw_stack!F$2:F$100000, "Iya",
  raw_stack!G$2:G$100000, "&gt;="&amp;DATE(2025,10,1),
  raw_stack!G$2:G$100000, "&lt;="&amp;EOMONTH(DATE(2025,10,1),0)
 ),
 IF(OR(_xlpm.x=0, _xlpm.x=""), "-", _xlpm.x)
)</f>
        <v>-</v>
      </c>
      <c r="W178" s="55" t="str">
        <f>_xlfn.LET(
 _xlpm.x,
 _xlfn.MAXIFS(
  raw_stack!G$2:G$99411,
  raw_stack!D$2:D$99411, G178,
  raw_stack!F$2:F$99411, "Iya",
  raw_stack!G$2:G$99411, "&gt;="&amp;DATE(2025,11,1),
  raw_stack!G$2:G$99411, "&lt;="&amp;EOMONTH(DATE(2025,11,1),0)
 ),
 IF(_xlpm.x=0, "-", _xlpm.x)
)</f>
        <v>-</v>
      </c>
      <c r="X178" s="56" t="str">
        <f>_xlfn.LET(
 _xlpm.x,
 _xlfn.MAXIFS(
  raw_stack!H$2:H$100000,
  raw_stack!D$2:D$100000, G178,
  raw_stack!F$2:F$100000, "Iya",
  raw_stack!G$2:G$100000, "&gt;="&amp;DATE(2025,11,1),
  raw_stack!G$2:G$100000, "&lt;="&amp;EOMONTH(DATE(2025,11,1),0)
 ),
 IF(OR(_xlpm.x=0, _xlpm.x=""), "-", _xlpm.x)
)</f>
        <v>-</v>
      </c>
      <c r="Y178" s="55">
        <f>_xlfn.LET(
 _xlpm.x,
 _xlfn.MAXIFS(
  raw_stack!G$2:G$99411,
  raw_stack!D$2:D$99411, G178,
  raw_stack!F$2:F$99411, "Iya",
  raw_stack!G$2:G$99411, "&gt;="&amp;DATE(2025,12,1),
  raw_stack!G$2:G$99411, "&lt;="&amp;EOMONTH(DATE(2025,12,1),0)
 ),
 IF(_xlpm.x=0, "-", _xlpm.x)
)</f>
        <v>45992</v>
      </c>
      <c r="Z178" s="56">
        <f>_xlfn.LET(
 _xlpm.x,
 _xlfn.MAXIFS(
  raw_stack!H$2:H$100000,
  raw_stack!D$2:D$100000, G178,
  raw_stack!F$2:F$100000, "Iya",
  raw_stack!G$2:G$100000, "&gt;="&amp;DATE(2025,12,1),
  raw_stack!G$2:G$100000, "&lt;="&amp;EOMONTH(DATE(2025,12,1),0)
 ),
 IF(OR(_xlpm.x=0, _xlpm.x=""), "-", _xlpm.x)
)</f>
        <v>24363</v>
      </c>
      <c r="AA178" s="55" t="str">
        <f>_xlfn.LET(
 _xlpm.x,
 _xlfn.MAXIFS(
  raw_stack!G$2:G$99411,
  raw_stack!D$2:D$99411, G178,
  raw_stack!F$2:F$99411, "Iya",
  raw_stack!G$2:G$99411, "&gt;="&amp;DATE(2026,1,1),
  raw_stack!G$2:G$99411, "&lt;="&amp;EOMONTH(DATE(2026,1,1),0)
 ),
 IF(_xlpm.x=0, "-", _xlpm.x)
)</f>
        <v>-</v>
      </c>
      <c r="AB178" s="56" t="str">
        <f>_xlfn.LET(
 _xlpm.x,
 _xlfn.MAXIFS(
  raw_stack!H$2:H$100000,
  raw_stack!D$2:D$100000, G178,
  raw_stack!F$2:F$100000, "Iya",
  raw_stack!G$2:G$100000, "&gt;="&amp;DATE(2026,1,1),
  raw_stack!G$2:G$100000, "&lt;="&amp;EOMONTH(DATE(2026,1,1),0)
 ),
 IF(OR(_xlpm.x=0, _xlpm.x=""), "-", _xlpm.x)
)</f>
        <v>-</v>
      </c>
      <c r="AC178" s="55" t="str">
        <f>_xlfn.LET(
 _xlpm.x,
 _xlfn.MAXIFS(
  raw_stack!G$2:G$99411,
  raw_stack!D$2:D$99411, G178,
  raw_stack!F$2:F$99411, "Iya",
  raw_stack!G$2:G$99411, "&gt;="&amp;DATE(2026,2,1),
  raw_stack!G$2:G$99411, "&lt;="&amp;EOMONTH(DATE(2026,2,1),0)
 ),
 IF(_xlpm.x=0, "-", _xlpm.x)
)</f>
        <v>-</v>
      </c>
      <c r="AD178" s="56" t="str">
        <f>_xlfn.LET(
 _xlpm.x,
 _xlfn.MAXIFS(
  raw_stack!H$2:H$100000,
  raw_stack!D$2:D$100000, G178,
  raw_stack!F$2:F$100000, "Iya",
  raw_stack!G$2:G$100000, "&gt;="&amp;DATE(2026,2,1),
  raw_stack!G$2:G$100000, "&lt;="&amp;EOMONTH(DATE(2026,2,1),0)
 ),
 IF(OR(_xlpm.x=0, _xlpm.x=""), "-", _xlpm.x)
)</f>
        <v>-</v>
      </c>
      <c r="AE178" s="55" t="str">
        <f>_xlfn.LET(
 _xlpm.x,
 _xlfn.MAXIFS(
  raw_stack!G$2:G$100000,
  raw_stack!D$2:D$100000, G178,
  raw_stack!F$2:F$100000, "Iya",
  raw_stack!G$2:G$100000, "&gt;="&amp;DATE(2026,3,1),
  raw_stack!G$2:G$100000, "&lt;="&amp;EOMONTH(DATE(2026,3,1),0)
 ),
 IF(_xlpm.x=0, "-", _xlpm.x)
)</f>
        <v>-</v>
      </c>
      <c r="AF178" s="56" t="str">
        <f>_xlfn.LET(
 _xlpm.x,
 _xlfn.MAXIFS(
  raw_stack!H$2:H$100000,
  raw_stack!D$2:D$100000, G178,
  raw_stack!F$2:F$100000, "Iya",
  raw_stack!G$2:G$100000, "&gt;="&amp;DATE(2026,3,1),
  raw_stack!G$2:G$100000, "&lt;="&amp;EOMONTH(DATE(2026,3,1),0)
 ),
 IF(OR(_xlpm.x=0, _xlpm.x=""), "-", _xlpm.x)
)</f>
        <v>-</v>
      </c>
      <c r="AG178" s="55" t="str">
        <f>_xlfn.LET(
 _xlpm.x,
 _xlfn.MAXIFS(
  raw_stack!G$2:G$100000,
  raw_stack!D$2:D$100000, G178,
  raw_stack!F$2:F$100000, "Iya",
  raw_stack!G$2:G$100000, "&gt;="&amp;DATE(2026,4,1),
  raw_stack!G$2:G$100000, "&lt;="&amp;EOMONTH(DATE(2026,4,1),0)
 ),
 IF(_xlpm.x=0, "-", _xlpm.x)
)</f>
        <v>-</v>
      </c>
      <c r="AH178" s="56" t="str">
        <f>_xlfn.LET(
 _xlpm.x,
 _xlfn.MAXIFS(
  raw_stack!H$2:H$100000,
  raw_stack!D$2:D$100000, G178,
  raw_stack!F$2:F$100000, "Iya",
  raw_stack!G$2:G$100000, "&gt;="&amp;DATE(2026,4,1),
  raw_stack!G$2:G$100000, "&lt;="&amp;EOMONTH(DATE(2026,4,1),0)
 ),
 IF(OR(_xlpm.x=0, _xlpm.x=""), "-", _xlpm.x)
)</f>
        <v>-</v>
      </c>
    </row>
    <row r="179" spans="1:34">
      <c r="A179" s="48">
        <v>178</v>
      </c>
      <c r="B179" s="49" t="str">
        <f t="shared" si="2"/>
        <v>89191</v>
      </c>
      <c r="C179" s="50" t="s">
        <v>46</v>
      </c>
      <c r="D179" s="51" t="s">
        <v>615</v>
      </c>
      <c r="E179" s="51" t="s">
        <v>51</v>
      </c>
      <c r="F179" s="49" t="s">
        <v>117</v>
      </c>
      <c r="G179" s="49" t="s">
        <v>295</v>
      </c>
      <c r="H179" s="49" t="s">
        <v>48</v>
      </c>
      <c r="I179" s="49" t="s">
        <v>52</v>
      </c>
      <c r="J179" s="52">
        <v>3880000</v>
      </c>
      <c r="K179" s="53">
        <v>45611</v>
      </c>
      <c r="L179" s="53">
        <v>46705</v>
      </c>
      <c r="M179" s="53">
        <v>46095</v>
      </c>
      <c r="N179" s="49" t="s">
        <v>50</v>
      </c>
      <c r="O179" s="54" t="str">
        <f>_xlfn.LET(
 _xlpm.x,
 _xlfn.MAXIFS(
  raw_stack!G$2:G$100000,
  raw_stack!D$2:D$100000, G179,
  raw_stack!F$2:F$100000, "Iya",
  raw_stack!G$2:G$100000, "&gt;="&amp;DATE(2025,7,1),
  raw_stack!G$2:G$100000, "&lt;="&amp;EOMONTH(DATE(2025,7,1),0)
 ),
 IF(_xlpm.x=0, "-", _xlpm.x)
)</f>
        <v>-</v>
      </c>
      <c r="P179" s="65" t="str">
        <f>_xlfn.LET(
 _xlpm.x,
 _xlfn.MAXIFS(
  raw_stack!H$2:H$100000,
  raw_stack!D$2:D$100000, G179,
  raw_stack!F$2:F$100000, "Iya",
  raw_stack!G$2:G$100000, "&gt;="&amp;DATE(2025,7,1),
  raw_stack!G$2:G$100000, "&lt;="&amp;EOMONTH(DATE(2025,7,1),0)
 ),
 IF(OR(_xlpm.x=0, _xlpm.x=""), "-", _xlpm.x)
)</f>
        <v>-</v>
      </c>
      <c r="Q179" s="54" t="str">
        <f>_xlfn.LET(
 _xlpm.x,
 _xlfn.MAXIFS(
  raw_stack!G$2:G$99411,
  raw_stack!D$2:D$99411, G179,
  raw_stack!F$2:F$99411, "Iya",
  raw_stack!G$2:G$99411, "&gt;="&amp;DATE(2025,8,1),
  raw_stack!G$2:G$99411, "&lt;="&amp;EOMONTH(DATE(2025,8,1),0)
 ),
 IF(_xlpm.x=0, "-", _xlpm.x)
)</f>
        <v>-</v>
      </c>
      <c r="R179" s="65" t="str">
        <f>_xlfn.LET(
 _xlpm.x,
 _xlfn.MAXIFS(
  raw_stack!H$2:H$100000,
  raw_stack!D$2:D$100000, G179,
  raw_stack!F$2:F$100000, "Iya",
  raw_stack!G$2:G$100000, "&gt;="&amp;DATE(2025,8,1),
  raw_stack!G$2:G$100000, "&lt;="&amp;EOMONTH(DATE(2025,8,1),0)
 ),
 IF(OR(_xlpm.x=0, _xlpm.x=""), "-", _xlpm.x)
)</f>
        <v>-</v>
      </c>
      <c r="S179" s="54" t="str">
        <f>_xlfn.LET(
 _xlpm.x,
 _xlfn.MAXIFS(
  raw_stack!G$2:G$99411,
  raw_stack!D$2:D$99411, G179,
  raw_stack!F$2:F$99411, "Iya",
  raw_stack!G$2:G$99411, "&gt;="&amp;DATE(2025,9,1),
  raw_stack!G$2:G$99411, "&lt;="&amp;EOMONTH(DATE(2025,9,1),0)
 ),
 IF(_xlpm.x=0, "-", _xlpm.x)
)</f>
        <v>-</v>
      </c>
      <c r="T179" s="65" t="str">
        <f>_xlfn.LET(
 _xlpm.x,
 _xlfn.MAXIFS(
  raw_stack!H$2:H$100000,
  raw_stack!D$2:D$100000, G179,
  raw_stack!F$2:F$100000, "Iya",
  raw_stack!G$2:G$100000, "&gt;="&amp;DATE(2025,9,1),
  raw_stack!G$2:G$100000, "&lt;="&amp;EOMONTH(DATE(2025,9,1),0)
 ),
 IF(OR(_xlpm.x=0, _xlpm.x=""), "-", _xlpm.x)
)</f>
        <v>-</v>
      </c>
      <c r="U179" s="54" t="str">
        <f>_xlfn.LET(
 _xlpm.x,
 _xlfn.MAXIFS(
  raw_stack!G$2:G$99411,
  raw_stack!D$2:D$99411, G179,
  raw_stack!F$2:F$99411, "Iya",
  raw_stack!G$2:G$99411, "&gt;="&amp;DATE(2025,10,1),
  raw_stack!G$2:G$99411, "&lt;="&amp;EOMONTH(DATE(2025,10,1),0)
 ),
 IF(_xlpm.x=0, "-", _xlpm.x)
)</f>
        <v>-</v>
      </c>
      <c r="V179" s="65" t="str">
        <f>_xlfn.LET(
 _xlpm.x,
 _xlfn.MAXIFS(
  raw_stack!H$2:H$100000,
  raw_stack!D$2:D$100000, G179,
  raw_stack!F$2:F$100000, "Iya",
  raw_stack!G$2:G$100000, "&gt;="&amp;DATE(2025,10,1),
  raw_stack!G$2:G$100000, "&lt;="&amp;EOMONTH(DATE(2025,10,1),0)
 ),
 IF(OR(_xlpm.x=0, _xlpm.x=""), "-", _xlpm.x)
)</f>
        <v>-</v>
      </c>
      <c r="W179" s="55">
        <f>_xlfn.LET(
 _xlpm.x,
 _xlfn.MAXIFS(
  raw_stack!G$2:G$99411,
  raw_stack!D$2:D$99411, G179,
  raw_stack!F$2:F$99411, "Iya",
  raw_stack!G$2:G$99411, "&gt;="&amp;DATE(2025,11,1),
  raw_stack!G$2:G$99411, "&lt;="&amp;EOMONTH(DATE(2025,11,1),0)
 ),
 IF(_xlpm.x=0, "-", _xlpm.x)
)</f>
        <v>45962</v>
      </c>
      <c r="X179" s="56">
        <f>_xlfn.LET(
 _xlpm.x,
 _xlfn.MAXIFS(
  raw_stack!H$2:H$100000,
  raw_stack!D$2:D$100000, G179,
  raw_stack!F$2:F$100000, "Iya",
  raw_stack!G$2:G$100000, "&gt;="&amp;DATE(2025,11,1),
  raw_stack!G$2:G$100000, "&lt;="&amp;EOMONTH(DATE(2025,11,1),0)
 ),
 IF(OR(_xlpm.x=0, _xlpm.x=""), "-", _xlpm.x)
)</f>
        <v>20898</v>
      </c>
      <c r="Y179" s="55" t="str">
        <f>_xlfn.LET(
 _xlpm.x,
 _xlfn.MAXIFS(
  raw_stack!G$2:G$99411,
  raw_stack!D$2:D$99411, G179,
  raw_stack!F$2:F$99411, "Iya",
  raw_stack!G$2:G$99411, "&gt;="&amp;DATE(2025,12,1),
  raw_stack!G$2:G$99411, "&lt;="&amp;EOMONTH(DATE(2025,12,1),0)
 ),
 IF(_xlpm.x=0, "-", _xlpm.x)
)</f>
        <v>-</v>
      </c>
      <c r="Z179" s="56" t="str">
        <f>_xlfn.LET(
 _xlpm.x,
 _xlfn.MAXIFS(
  raw_stack!H$2:H$100000,
  raw_stack!D$2:D$100000, G179,
  raw_stack!F$2:F$100000, "Iya",
  raw_stack!G$2:G$100000, "&gt;="&amp;DATE(2025,12,1),
  raw_stack!G$2:G$100000, "&lt;="&amp;EOMONTH(DATE(2025,12,1),0)
 ),
 IF(OR(_xlpm.x=0, _xlpm.x=""), "-", _xlpm.x)
)</f>
        <v>-</v>
      </c>
      <c r="AA179" s="55" t="str">
        <f>_xlfn.LET(
 _xlpm.x,
 _xlfn.MAXIFS(
  raw_stack!G$2:G$99411,
  raw_stack!D$2:D$99411, G179,
  raw_stack!F$2:F$99411, "Iya",
  raw_stack!G$2:G$99411, "&gt;="&amp;DATE(2026,1,1),
  raw_stack!G$2:G$99411, "&lt;="&amp;EOMONTH(DATE(2026,1,1),0)
 ),
 IF(_xlpm.x=0, "-", _xlpm.x)
)</f>
        <v>-</v>
      </c>
      <c r="AB179" s="56" t="str">
        <f>_xlfn.LET(
 _xlpm.x,
 _xlfn.MAXIFS(
  raw_stack!H$2:H$100000,
  raw_stack!D$2:D$100000, G179,
  raw_stack!F$2:F$100000, "Iya",
  raw_stack!G$2:G$100000, "&gt;="&amp;DATE(2026,1,1),
  raw_stack!G$2:G$100000, "&lt;="&amp;EOMONTH(DATE(2026,1,1),0)
 ),
 IF(OR(_xlpm.x=0, _xlpm.x=""), "-", _xlpm.x)
)</f>
        <v>-</v>
      </c>
      <c r="AC179" s="55" t="str">
        <f>_xlfn.LET(
 _xlpm.x,
 _xlfn.MAXIFS(
  raw_stack!G$2:G$99411,
  raw_stack!D$2:D$99411, G179,
  raw_stack!F$2:F$99411, "Iya",
  raw_stack!G$2:G$99411, "&gt;="&amp;DATE(2026,2,1),
  raw_stack!G$2:G$99411, "&lt;="&amp;EOMONTH(DATE(2026,2,1),0)
 ),
 IF(_xlpm.x=0, "-", _xlpm.x)
)</f>
        <v>-</v>
      </c>
      <c r="AD179" s="56" t="str">
        <f>_xlfn.LET(
 _xlpm.x,
 _xlfn.MAXIFS(
  raw_stack!H$2:H$100000,
  raw_stack!D$2:D$100000, G179,
  raw_stack!F$2:F$100000, "Iya",
  raw_stack!G$2:G$100000, "&gt;="&amp;DATE(2026,2,1),
  raw_stack!G$2:G$100000, "&lt;="&amp;EOMONTH(DATE(2026,2,1),0)
 ),
 IF(OR(_xlpm.x=0, _xlpm.x=""), "-", _xlpm.x)
)</f>
        <v>-</v>
      </c>
      <c r="AE179" s="55" t="str">
        <f>_xlfn.LET(
 _xlpm.x,
 _xlfn.MAXIFS(
  raw_stack!G$2:G$100000,
  raw_stack!D$2:D$100000, G179,
  raw_stack!F$2:F$100000, "Iya",
  raw_stack!G$2:G$100000, "&gt;="&amp;DATE(2026,3,1),
  raw_stack!G$2:G$100000, "&lt;="&amp;EOMONTH(DATE(2026,3,1),0)
 ),
 IF(_xlpm.x=0, "-", _xlpm.x)
)</f>
        <v>-</v>
      </c>
      <c r="AF179" s="56" t="str">
        <f>_xlfn.LET(
 _xlpm.x,
 _xlfn.MAXIFS(
  raw_stack!H$2:H$100000,
  raw_stack!D$2:D$100000, G179,
  raw_stack!F$2:F$100000, "Iya",
  raw_stack!G$2:G$100000, "&gt;="&amp;DATE(2026,3,1),
  raw_stack!G$2:G$100000, "&lt;="&amp;EOMONTH(DATE(2026,3,1),0)
 ),
 IF(OR(_xlpm.x=0, _xlpm.x=""), "-", _xlpm.x)
)</f>
        <v>-</v>
      </c>
      <c r="AG179" s="55" t="str">
        <f>_xlfn.LET(
 _xlpm.x,
 _xlfn.MAXIFS(
  raw_stack!G$2:G$100000,
  raw_stack!D$2:D$100000, G179,
  raw_stack!F$2:F$100000, "Iya",
  raw_stack!G$2:G$100000, "&gt;="&amp;DATE(2026,4,1),
  raw_stack!G$2:G$100000, "&lt;="&amp;EOMONTH(DATE(2026,4,1),0)
 ),
 IF(_xlpm.x=0, "-", _xlpm.x)
)</f>
        <v>-</v>
      </c>
      <c r="AH179" s="56" t="str">
        <f>_xlfn.LET(
 _xlpm.x,
 _xlfn.MAXIFS(
  raw_stack!H$2:H$100000,
  raw_stack!D$2:D$100000, G179,
  raw_stack!F$2:F$100000, "Iya",
  raw_stack!G$2:G$100000, "&gt;="&amp;DATE(2026,4,1),
  raw_stack!G$2:G$100000, "&lt;="&amp;EOMONTH(DATE(2026,4,1),0)
 ),
 IF(OR(_xlpm.x=0, _xlpm.x=""), "-", _xlpm.x)
)</f>
        <v>-</v>
      </c>
    </row>
    <row r="180" spans="1:34">
      <c r="A180" s="48">
        <v>179</v>
      </c>
      <c r="B180" s="49" t="str">
        <f t="shared" si="2"/>
        <v>98106</v>
      </c>
      <c r="C180" s="50" t="s">
        <v>46</v>
      </c>
      <c r="D180" s="51" t="s">
        <v>616</v>
      </c>
      <c r="E180" s="51" t="s">
        <v>53</v>
      </c>
      <c r="F180" s="49" t="s">
        <v>117</v>
      </c>
      <c r="G180" s="49" t="s">
        <v>296</v>
      </c>
      <c r="H180" s="49" t="s">
        <v>48</v>
      </c>
      <c r="I180" s="49" t="s">
        <v>52</v>
      </c>
      <c r="J180" s="52">
        <v>3860000</v>
      </c>
      <c r="K180" s="53">
        <v>45615</v>
      </c>
      <c r="L180" s="53">
        <v>46709</v>
      </c>
      <c r="M180" s="53">
        <v>46071</v>
      </c>
      <c r="N180" s="49" t="s">
        <v>50</v>
      </c>
      <c r="O180" s="54" t="str">
        <f>_xlfn.LET(
 _xlpm.x,
 _xlfn.MAXIFS(
  raw_stack!G$2:G$100000,
  raw_stack!D$2:D$100000, G180,
  raw_stack!F$2:F$100000, "Iya",
  raw_stack!G$2:G$100000, "&gt;="&amp;DATE(2025,7,1),
  raw_stack!G$2:G$100000, "&lt;="&amp;EOMONTH(DATE(2025,7,1),0)
 ),
 IF(_xlpm.x=0, "-", _xlpm.x)
)</f>
        <v>-</v>
      </c>
      <c r="P180" s="65" t="str">
        <f>_xlfn.LET(
 _xlpm.x,
 _xlfn.MAXIFS(
  raw_stack!H$2:H$100000,
  raw_stack!D$2:D$100000, G180,
  raw_stack!F$2:F$100000, "Iya",
  raw_stack!G$2:G$100000, "&gt;="&amp;DATE(2025,7,1),
  raw_stack!G$2:G$100000, "&lt;="&amp;EOMONTH(DATE(2025,7,1),0)
 ),
 IF(OR(_xlpm.x=0, _xlpm.x=""), "-", _xlpm.x)
)</f>
        <v>-</v>
      </c>
      <c r="Q180" s="54" t="str">
        <f>_xlfn.LET(
 _xlpm.x,
 _xlfn.MAXIFS(
  raw_stack!G$2:G$99411,
  raw_stack!D$2:D$99411, G180,
  raw_stack!F$2:F$99411, "Iya",
  raw_stack!G$2:G$99411, "&gt;="&amp;DATE(2025,8,1),
  raw_stack!G$2:G$99411, "&lt;="&amp;EOMONTH(DATE(2025,8,1),0)
 ),
 IF(_xlpm.x=0, "-", _xlpm.x)
)</f>
        <v>-</v>
      </c>
      <c r="R180" s="65" t="str">
        <f>_xlfn.LET(
 _xlpm.x,
 _xlfn.MAXIFS(
  raw_stack!H$2:H$100000,
  raw_stack!D$2:D$100000, G180,
  raw_stack!F$2:F$100000, "Iya",
  raw_stack!G$2:G$100000, "&gt;="&amp;DATE(2025,8,1),
  raw_stack!G$2:G$100000, "&lt;="&amp;EOMONTH(DATE(2025,8,1),0)
 ),
 IF(OR(_xlpm.x=0, _xlpm.x=""), "-", _xlpm.x)
)</f>
        <v>-</v>
      </c>
      <c r="S180" s="54" t="str">
        <f>_xlfn.LET(
 _xlpm.x,
 _xlfn.MAXIFS(
  raw_stack!G$2:G$99411,
  raw_stack!D$2:D$99411, G180,
  raw_stack!F$2:F$99411, "Iya",
  raw_stack!G$2:G$99411, "&gt;="&amp;DATE(2025,9,1),
  raw_stack!G$2:G$99411, "&lt;="&amp;EOMONTH(DATE(2025,9,1),0)
 ),
 IF(_xlpm.x=0, "-", _xlpm.x)
)</f>
        <v>-</v>
      </c>
      <c r="T180" s="65" t="str">
        <f>_xlfn.LET(
 _xlpm.x,
 _xlfn.MAXIFS(
  raw_stack!H$2:H$100000,
  raw_stack!D$2:D$100000, G180,
  raw_stack!F$2:F$100000, "Iya",
  raw_stack!G$2:G$100000, "&gt;="&amp;DATE(2025,9,1),
  raw_stack!G$2:G$100000, "&lt;="&amp;EOMONTH(DATE(2025,9,1),0)
 ),
 IF(OR(_xlpm.x=0, _xlpm.x=""), "-", _xlpm.x)
)</f>
        <v>-</v>
      </c>
      <c r="U180" s="54" t="str">
        <f>_xlfn.LET(
 _xlpm.x,
 _xlfn.MAXIFS(
  raw_stack!G$2:G$99411,
  raw_stack!D$2:D$99411, G180,
  raw_stack!F$2:F$99411, "Iya",
  raw_stack!G$2:G$99411, "&gt;="&amp;DATE(2025,10,1),
  raw_stack!G$2:G$99411, "&lt;="&amp;EOMONTH(DATE(2025,10,1),0)
 ),
 IF(_xlpm.x=0, "-", _xlpm.x)
)</f>
        <v>-</v>
      </c>
      <c r="V180" s="65" t="str">
        <f>_xlfn.LET(
 _xlpm.x,
 _xlfn.MAXIFS(
  raw_stack!H$2:H$100000,
  raw_stack!D$2:D$100000, G180,
  raw_stack!F$2:F$100000, "Iya",
  raw_stack!G$2:G$100000, "&gt;="&amp;DATE(2025,10,1),
  raw_stack!G$2:G$100000, "&lt;="&amp;EOMONTH(DATE(2025,10,1),0)
 ),
 IF(OR(_xlpm.x=0, _xlpm.x=""), "-", _xlpm.x)
)</f>
        <v>-</v>
      </c>
      <c r="W180" s="55" t="str">
        <f>_xlfn.LET(
 _xlpm.x,
 _xlfn.MAXIFS(
  raw_stack!G$2:G$99411,
  raw_stack!D$2:D$99411, G180,
  raw_stack!F$2:F$99411, "Iya",
  raw_stack!G$2:G$99411, "&gt;="&amp;DATE(2025,11,1),
  raw_stack!G$2:G$99411, "&lt;="&amp;EOMONTH(DATE(2025,11,1),0)
 ),
 IF(_xlpm.x=0, "-", _xlpm.x)
)</f>
        <v>-</v>
      </c>
      <c r="X180" s="56" t="str">
        <f>_xlfn.LET(
 _xlpm.x,
 _xlfn.MAXIFS(
  raw_stack!H$2:H$100000,
  raw_stack!D$2:D$100000, G180,
  raw_stack!F$2:F$100000, "Iya",
  raw_stack!G$2:G$100000, "&gt;="&amp;DATE(2025,11,1),
  raw_stack!G$2:G$100000, "&lt;="&amp;EOMONTH(DATE(2025,11,1),0)
 ),
 IF(OR(_xlpm.x=0, _xlpm.x=""), "-", _xlpm.x)
)</f>
        <v>-</v>
      </c>
      <c r="Y180" s="55" t="str">
        <f>_xlfn.LET(
 _xlpm.x,
 _xlfn.MAXIFS(
  raw_stack!G$2:G$99411,
  raw_stack!D$2:D$99411, G180,
  raw_stack!F$2:F$99411, "Iya",
  raw_stack!G$2:G$99411, "&gt;="&amp;DATE(2025,12,1),
  raw_stack!G$2:G$99411, "&lt;="&amp;EOMONTH(DATE(2025,12,1),0)
 ),
 IF(_xlpm.x=0, "-", _xlpm.x)
)</f>
        <v>-</v>
      </c>
      <c r="Z180" s="56" t="str">
        <f>_xlfn.LET(
 _xlpm.x,
 _xlfn.MAXIFS(
  raw_stack!H$2:H$100000,
  raw_stack!D$2:D$100000, G180,
  raw_stack!F$2:F$100000, "Iya",
  raw_stack!G$2:G$100000, "&gt;="&amp;DATE(2025,12,1),
  raw_stack!G$2:G$100000, "&lt;="&amp;EOMONTH(DATE(2025,12,1),0)
 ),
 IF(OR(_xlpm.x=0, _xlpm.x=""), "-", _xlpm.x)
)</f>
        <v>-</v>
      </c>
      <c r="AA180" s="55">
        <f>_xlfn.LET(
 _xlpm.x,
 _xlfn.MAXIFS(
  raw_stack!G$2:G$99411,
  raw_stack!D$2:D$99411, G180,
  raw_stack!F$2:F$99411, "Iya",
  raw_stack!G$2:G$99411, "&gt;="&amp;DATE(2026,1,1),
  raw_stack!G$2:G$99411, "&lt;="&amp;EOMONTH(DATE(2026,1,1),0)
 ),
 IF(_xlpm.x=0, "-", _xlpm.x)
)</f>
        <v>46037</v>
      </c>
      <c r="AB180" s="56">
        <f>_xlfn.LET(
 _xlpm.x,
 _xlfn.MAXIFS(
  raw_stack!H$2:H$100000,
  raw_stack!D$2:D$100000, G180,
  raw_stack!F$2:F$100000, "Iya",
  raw_stack!G$2:G$100000, "&gt;="&amp;DATE(2026,1,1),
  raw_stack!G$2:G$100000, "&lt;="&amp;EOMONTH(DATE(2026,1,1),0)
 ),
 IF(OR(_xlpm.x=0, _xlpm.x=""), "-", _xlpm.x)
)</f>
        <v>19836</v>
      </c>
      <c r="AC180" s="55" t="str">
        <f>_xlfn.LET(
 _xlpm.x,
 _xlfn.MAXIFS(
  raw_stack!G$2:G$99411,
  raw_stack!D$2:D$99411, G180,
  raw_stack!F$2:F$99411, "Iya",
  raw_stack!G$2:G$99411, "&gt;="&amp;DATE(2026,2,1),
  raw_stack!G$2:G$99411, "&lt;="&amp;EOMONTH(DATE(2026,2,1),0)
 ),
 IF(_xlpm.x=0, "-", _xlpm.x)
)</f>
        <v>-</v>
      </c>
      <c r="AD180" s="56" t="str">
        <f>_xlfn.LET(
 _xlpm.x,
 _xlfn.MAXIFS(
  raw_stack!H$2:H$100000,
  raw_stack!D$2:D$100000, G180,
  raw_stack!F$2:F$100000, "Iya",
  raw_stack!G$2:G$100000, "&gt;="&amp;DATE(2026,2,1),
  raw_stack!G$2:G$100000, "&lt;="&amp;EOMONTH(DATE(2026,2,1),0)
 ),
 IF(OR(_xlpm.x=0, _xlpm.x=""), "-", _xlpm.x)
)</f>
        <v>-</v>
      </c>
      <c r="AE180" s="55" t="str">
        <f>_xlfn.LET(
 _xlpm.x,
 _xlfn.MAXIFS(
  raw_stack!G$2:G$100000,
  raw_stack!D$2:D$100000, G180,
  raw_stack!F$2:F$100000, "Iya",
  raw_stack!G$2:G$100000, "&gt;="&amp;DATE(2026,3,1),
  raw_stack!G$2:G$100000, "&lt;="&amp;EOMONTH(DATE(2026,3,1),0)
 ),
 IF(_xlpm.x=0, "-", _xlpm.x)
)</f>
        <v>-</v>
      </c>
      <c r="AF180" s="56" t="str">
        <f>_xlfn.LET(
 _xlpm.x,
 _xlfn.MAXIFS(
  raw_stack!H$2:H$100000,
  raw_stack!D$2:D$100000, G180,
  raw_stack!F$2:F$100000, "Iya",
  raw_stack!G$2:G$100000, "&gt;="&amp;DATE(2026,3,1),
  raw_stack!G$2:G$100000, "&lt;="&amp;EOMONTH(DATE(2026,3,1),0)
 ),
 IF(OR(_xlpm.x=0, _xlpm.x=""), "-", _xlpm.x)
)</f>
        <v>-</v>
      </c>
      <c r="AG180" s="55" t="str">
        <f>_xlfn.LET(
 _xlpm.x,
 _xlfn.MAXIFS(
  raw_stack!G$2:G$100000,
  raw_stack!D$2:D$100000, G180,
  raw_stack!F$2:F$100000, "Iya",
  raw_stack!G$2:G$100000, "&gt;="&amp;DATE(2026,4,1),
  raw_stack!G$2:G$100000, "&lt;="&amp;EOMONTH(DATE(2026,4,1),0)
 ),
 IF(_xlpm.x=0, "-", _xlpm.x)
)</f>
        <v>-</v>
      </c>
      <c r="AH180" s="56" t="str">
        <f>_xlfn.LET(
 _xlpm.x,
 _xlfn.MAXIFS(
  raw_stack!H$2:H$100000,
  raw_stack!D$2:D$100000, G180,
  raw_stack!F$2:F$100000, "Iya",
  raw_stack!G$2:G$100000, "&gt;="&amp;DATE(2026,4,1),
  raw_stack!G$2:G$100000, "&lt;="&amp;EOMONTH(DATE(2026,4,1),0)
 ),
 IF(OR(_xlpm.x=0, _xlpm.x=""), "-", _xlpm.x)
)</f>
        <v>-</v>
      </c>
    </row>
    <row r="181" spans="1:34">
      <c r="A181" s="48">
        <v>180</v>
      </c>
      <c r="B181" s="49" t="str">
        <f t="shared" si="2"/>
        <v>58537</v>
      </c>
      <c r="C181" s="50" t="s">
        <v>46</v>
      </c>
      <c r="D181" s="51" t="s">
        <v>605</v>
      </c>
      <c r="E181" s="51" t="s">
        <v>47</v>
      </c>
      <c r="F181" s="49" t="s">
        <v>117</v>
      </c>
      <c r="G181" s="49" t="s">
        <v>297</v>
      </c>
      <c r="H181" s="49" t="s">
        <v>48</v>
      </c>
      <c r="I181" s="49" t="s">
        <v>49</v>
      </c>
      <c r="J181" s="52">
        <v>4475000</v>
      </c>
      <c r="K181" s="53">
        <v>45615</v>
      </c>
      <c r="L181" s="53">
        <v>46709</v>
      </c>
      <c r="M181" s="53">
        <v>46072</v>
      </c>
      <c r="N181" s="49" t="s">
        <v>50</v>
      </c>
      <c r="O181" s="54" t="str">
        <f>_xlfn.LET(
 _xlpm.x,
 _xlfn.MAXIFS(
  raw_stack!G$2:G$100000,
  raw_stack!D$2:D$100000, G181,
  raw_stack!F$2:F$100000, "Iya",
  raw_stack!G$2:G$100000, "&gt;="&amp;DATE(2025,7,1),
  raw_stack!G$2:G$100000, "&lt;="&amp;EOMONTH(DATE(2025,7,1),0)
 ),
 IF(_xlpm.x=0, "-", _xlpm.x)
)</f>
        <v>-</v>
      </c>
      <c r="P181" s="65" t="str">
        <f>_xlfn.LET(
 _xlpm.x,
 _xlfn.MAXIFS(
  raw_stack!H$2:H$100000,
  raw_stack!D$2:D$100000, G181,
  raw_stack!F$2:F$100000, "Iya",
  raw_stack!G$2:G$100000, "&gt;="&amp;DATE(2025,7,1),
  raw_stack!G$2:G$100000, "&lt;="&amp;EOMONTH(DATE(2025,7,1),0)
 ),
 IF(OR(_xlpm.x=0, _xlpm.x=""), "-", _xlpm.x)
)</f>
        <v>-</v>
      </c>
      <c r="Q181" s="54" t="str">
        <f>_xlfn.LET(
 _xlpm.x,
 _xlfn.MAXIFS(
  raw_stack!G$2:G$99411,
  raw_stack!D$2:D$99411, G181,
  raw_stack!F$2:F$99411, "Iya",
  raw_stack!G$2:G$99411, "&gt;="&amp;DATE(2025,8,1),
  raw_stack!G$2:G$99411, "&lt;="&amp;EOMONTH(DATE(2025,8,1),0)
 ),
 IF(_xlpm.x=0, "-", _xlpm.x)
)</f>
        <v>-</v>
      </c>
      <c r="R181" s="65" t="str">
        <f>_xlfn.LET(
 _xlpm.x,
 _xlfn.MAXIFS(
  raw_stack!H$2:H$100000,
  raw_stack!D$2:D$100000, G181,
  raw_stack!F$2:F$100000, "Iya",
  raw_stack!G$2:G$100000, "&gt;="&amp;DATE(2025,8,1),
  raw_stack!G$2:G$100000, "&lt;="&amp;EOMONTH(DATE(2025,8,1),0)
 ),
 IF(OR(_xlpm.x=0, _xlpm.x=""), "-", _xlpm.x)
)</f>
        <v>-</v>
      </c>
      <c r="S181" s="54" t="str">
        <f>_xlfn.LET(
 _xlpm.x,
 _xlfn.MAXIFS(
  raw_stack!G$2:G$99411,
  raw_stack!D$2:D$99411, G181,
  raw_stack!F$2:F$99411, "Iya",
  raw_stack!G$2:G$99411, "&gt;="&amp;DATE(2025,9,1),
  raw_stack!G$2:G$99411, "&lt;="&amp;EOMONTH(DATE(2025,9,1),0)
 ),
 IF(_xlpm.x=0, "-", _xlpm.x)
)</f>
        <v>-</v>
      </c>
      <c r="T181" s="65" t="str">
        <f>_xlfn.LET(
 _xlpm.x,
 _xlfn.MAXIFS(
  raw_stack!H$2:H$100000,
  raw_stack!D$2:D$100000, G181,
  raw_stack!F$2:F$100000, "Iya",
  raw_stack!G$2:G$100000, "&gt;="&amp;DATE(2025,9,1),
  raw_stack!G$2:G$100000, "&lt;="&amp;EOMONTH(DATE(2025,9,1),0)
 ),
 IF(OR(_xlpm.x=0, _xlpm.x=""), "-", _xlpm.x)
)</f>
        <v>-</v>
      </c>
      <c r="U181" s="54" t="str">
        <f>_xlfn.LET(
 _xlpm.x,
 _xlfn.MAXIFS(
  raw_stack!G$2:G$99411,
  raw_stack!D$2:D$99411, G181,
  raw_stack!F$2:F$99411, "Iya",
  raw_stack!G$2:G$99411, "&gt;="&amp;DATE(2025,10,1),
  raw_stack!G$2:G$99411, "&lt;="&amp;EOMONTH(DATE(2025,10,1),0)
 ),
 IF(_xlpm.x=0, "-", _xlpm.x)
)</f>
        <v>-</v>
      </c>
      <c r="V181" s="65" t="str">
        <f>_xlfn.LET(
 _xlpm.x,
 _xlfn.MAXIFS(
  raw_stack!H$2:H$100000,
  raw_stack!D$2:D$100000, G181,
  raw_stack!F$2:F$100000, "Iya",
  raw_stack!G$2:G$100000, "&gt;="&amp;DATE(2025,10,1),
  raw_stack!G$2:G$100000, "&lt;="&amp;EOMONTH(DATE(2025,10,1),0)
 ),
 IF(OR(_xlpm.x=0, _xlpm.x=""), "-", _xlpm.x)
)</f>
        <v>-</v>
      </c>
      <c r="W181" s="55">
        <f>_xlfn.LET(
 _xlpm.x,
 _xlfn.MAXIFS(
  raw_stack!G$2:G$99411,
  raw_stack!D$2:D$99411, G181,
  raw_stack!F$2:F$99411, "Iya",
  raw_stack!G$2:G$99411, "&gt;="&amp;DATE(2025,11,1),
  raw_stack!G$2:G$99411, "&lt;="&amp;EOMONTH(DATE(2025,11,1),0)
 ),
 IF(_xlpm.x=0, "-", _xlpm.x)
)</f>
        <v>45974</v>
      </c>
      <c r="X181" s="56">
        <f>_xlfn.LET(
 _xlpm.x,
 _xlfn.MAXIFS(
  raw_stack!H$2:H$100000,
  raw_stack!D$2:D$100000, G181,
  raw_stack!F$2:F$100000, "Iya",
  raw_stack!G$2:G$100000, "&gt;="&amp;DATE(2025,11,1),
  raw_stack!G$2:G$100000, "&lt;="&amp;EOMONTH(DATE(2025,11,1),0)
 ),
 IF(OR(_xlpm.x=0, _xlpm.x=""), "-", _xlpm.x)
)</f>
        <v>18046</v>
      </c>
      <c r="Y181" s="55" t="str">
        <f>_xlfn.LET(
 _xlpm.x,
 _xlfn.MAXIFS(
  raw_stack!G$2:G$99411,
  raw_stack!D$2:D$99411, G181,
  raw_stack!F$2:F$99411, "Iya",
  raw_stack!G$2:G$99411, "&gt;="&amp;DATE(2025,12,1),
  raw_stack!G$2:G$99411, "&lt;="&amp;EOMONTH(DATE(2025,12,1),0)
 ),
 IF(_xlpm.x=0, "-", _xlpm.x)
)</f>
        <v>-</v>
      </c>
      <c r="Z181" s="56" t="str">
        <f>_xlfn.LET(
 _xlpm.x,
 _xlfn.MAXIFS(
  raw_stack!H$2:H$100000,
  raw_stack!D$2:D$100000, G181,
  raw_stack!F$2:F$100000, "Iya",
  raw_stack!G$2:G$100000, "&gt;="&amp;DATE(2025,12,1),
  raw_stack!G$2:G$100000, "&lt;="&amp;EOMONTH(DATE(2025,12,1),0)
 ),
 IF(OR(_xlpm.x=0, _xlpm.x=""), "-", _xlpm.x)
)</f>
        <v>-</v>
      </c>
      <c r="AA181" s="55" t="str">
        <f>_xlfn.LET(
 _xlpm.x,
 _xlfn.MAXIFS(
  raw_stack!G$2:G$99411,
  raw_stack!D$2:D$99411, G181,
  raw_stack!F$2:F$99411, "Iya",
  raw_stack!G$2:G$99411, "&gt;="&amp;DATE(2026,1,1),
  raw_stack!G$2:G$99411, "&lt;="&amp;EOMONTH(DATE(2026,1,1),0)
 ),
 IF(_xlpm.x=0, "-", _xlpm.x)
)</f>
        <v>-</v>
      </c>
      <c r="AB181" s="56" t="str">
        <f>_xlfn.LET(
 _xlpm.x,
 _xlfn.MAXIFS(
  raw_stack!H$2:H$100000,
  raw_stack!D$2:D$100000, G181,
  raw_stack!F$2:F$100000, "Iya",
  raw_stack!G$2:G$100000, "&gt;="&amp;DATE(2026,1,1),
  raw_stack!G$2:G$100000, "&lt;="&amp;EOMONTH(DATE(2026,1,1),0)
 ),
 IF(OR(_xlpm.x=0, _xlpm.x=""), "-", _xlpm.x)
)</f>
        <v>-</v>
      </c>
      <c r="AC181" s="55" t="str">
        <f>_xlfn.LET(
 _xlpm.x,
 _xlfn.MAXIFS(
  raw_stack!G$2:G$99411,
  raw_stack!D$2:D$99411, G181,
  raw_stack!F$2:F$99411, "Iya",
  raw_stack!G$2:G$99411, "&gt;="&amp;DATE(2026,2,1),
  raw_stack!G$2:G$99411, "&lt;="&amp;EOMONTH(DATE(2026,2,1),0)
 ),
 IF(_xlpm.x=0, "-", _xlpm.x)
)</f>
        <v>-</v>
      </c>
      <c r="AD181" s="56" t="str">
        <f>_xlfn.LET(
 _xlpm.x,
 _xlfn.MAXIFS(
  raw_stack!H$2:H$100000,
  raw_stack!D$2:D$100000, G181,
  raw_stack!F$2:F$100000, "Iya",
  raw_stack!G$2:G$100000, "&gt;="&amp;DATE(2026,2,1),
  raw_stack!G$2:G$100000, "&lt;="&amp;EOMONTH(DATE(2026,2,1),0)
 ),
 IF(OR(_xlpm.x=0, _xlpm.x=""), "-", _xlpm.x)
)</f>
        <v>-</v>
      </c>
      <c r="AE181" s="55" t="str">
        <f>_xlfn.LET(
 _xlpm.x,
 _xlfn.MAXIFS(
  raw_stack!G$2:G$100000,
  raw_stack!D$2:D$100000, G181,
  raw_stack!F$2:F$100000, "Iya",
  raw_stack!G$2:G$100000, "&gt;="&amp;DATE(2026,3,1),
  raw_stack!G$2:G$100000, "&lt;="&amp;EOMONTH(DATE(2026,3,1),0)
 ),
 IF(_xlpm.x=0, "-", _xlpm.x)
)</f>
        <v>-</v>
      </c>
      <c r="AF181" s="56" t="str">
        <f>_xlfn.LET(
 _xlpm.x,
 _xlfn.MAXIFS(
  raw_stack!H$2:H$100000,
  raw_stack!D$2:D$100000, G181,
  raw_stack!F$2:F$100000, "Iya",
  raw_stack!G$2:G$100000, "&gt;="&amp;DATE(2026,3,1),
  raw_stack!G$2:G$100000, "&lt;="&amp;EOMONTH(DATE(2026,3,1),0)
 ),
 IF(OR(_xlpm.x=0, _xlpm.x=""), "-", _xlpm.x)
)</f>
        <v>-</v>
      </c>
      <c r="AG181" s="55" t="str">
        <f>_xlfn.LET(
 _xlpm.x,
 _xlfn.MAXIFS(
  raw_stack!G$2:G$100000,
  raw_stack!D$2:D$100000, G181,
  raw_stack!F$2:F$100000, "Iya",
  raw_stack!G$2:G$100000, "&gt;="&amp;DATE(2026,4,1),
  raw_stack!G$2:G$100000, "&lt;="&amp;EOMONTH(DATE(2026,4,1),0)
 ),
 IF(_xlpm.x=0, "-", _xlpm.x)
)</f>
        <v>-</v>
      </c>
      <c r="AH181" s="56" t="str">
        <f>_xlfn.LET(
 _xlpm.x,
 _xlfn.MAXIFS(
  raw_stack!H$2:H$100000,
  raw_stack!D$2:D$100000, G181,
  raw_stack!F$2:F$100000, "Iya",
  raw_stack!G$2:G$100000, "&gt;="&amp;DATE(2026,4,1),
  raw_stack!G$2:G$100000, "&lt;="&amp;EOMONTH(DATE(2026,4,1),0)
 ),
 IF(OR(_xlpm.x=0, _xlpm.x=""), "-", _xlpm.x)
)</f>
        <v>-</v>
      </c>
    </row>
    <row r="182" spans="1:34">
      <c r="A182" s="48">
        <v>181</v>
      </c>
      <c r="B182" s="49" t="str">
        <f t="shared" si="2"/>
        <v>90494</v>
      </c>
      <c r="C182" s="50" t="s">
        <v>46</v>
      </c>
      <c r="D182" s="51" t="s">
        <v>617</v>
      </c>
      <c r="E182" s="51" t="s">
        <v>56</v>
      </c>
      <c r="F182" s="49" t="s">
        <v>117</v>
      </c>
      <c r="G182" s="49" t="s">
        <v>298</v>
      </c>
      <c r="H182" s="49" t="s">
        <v>48</v>
      </c>
      <c r="I182" s="49" t="s">
        <v>52</v>
      </c>
      <c r="J182" s="52">
        <v>7310000</v>
      </c>
      <c r="K182" s="53">
        <v>45617</v>
      </c>
      <c r="L182" s="53">
        <v>46711</v>
      </c>
      <c r="M182" s="53">
        <v>46101</v>
      </c>
      <c r="N182" s="49" t="s">
        <v>50</v>
      </c>
      <c r="O182" s="54">
        <f>_xlfn.LET(
 _xlpm.x,
 _xlfn.MAXIFS(
  raw_stack!G$2:G$100000,
  raw_stack!D$2:D$100000, G182,
  raw_stack!F$2:F$100000, "Iya",
  raw_stack!G$2:G$100000, "&gt;="&amp;DATE(2025,7,1),
  raw_stack!G$2:G$100000, "&lt;="&amp;EOMONTH(DATE(2025,7,1),0)
 ),
 IF(_xlpm.x=0, "-", _xlpm.x)
)</f>
        <v>45845</v>
      </c>
      <c r="P182" s="65">
        <f>_xlfn.LET(
 _xlpm.x,
 _xlfn.MAXIFS(
  raw_stack!H$2:H$100000,
  raw_stack!D$2:D$100000, G182,
  raw_stack!F$2:F$100000, "Iya",
  raw_stack!G$2:G$100000, "&gt;="&amp;DATE(2025,7,1),
  raw_stack!G$2:G$100000, "&lt;="&amp;EOMONTH(DATE(2025,7,1),0)
 ),
 IF(OR(_xlpm.x=0, _xlpm.x=""), "-", _xlpm.x)
)</f>
        <v>31646</v>
      </c>
      <c r="Q182" s="54" t="str">
        <f>_xlfn.LET(
 _xlpm.x,
 _xlfn.MAXIFS(
  raw_stack!G$2:G$99411,
  raw_stack!D$2:D$99411, G182,
  raw_stack!F$2:F$99411, "Iya",
  raw_stack!G$2:G$99411, "&gt;="&amp;DATE(2025,8,1),
  raw_stack!G$2:G$99411, "&lt;="&amp;EOMONTH(DATE(2025,8,1),0)
 ),
 IF(_xlpm.x=0, "-", _xlpm.x)
)</f>
        <v>-</v>
      </c>
      <c r="R182" s="65" t="str">
        <f>_xlfn.LET(
 _xlpm.x,
 _xlfn.MAXIFS(
  raw_stack!H$2:H$100000,
  raw_stack!D$2:D$100000, G182,
  raw_stack!F$2:F$100000, "Iya",
  raw_stack!G$2:G$100000, "&gt;="&amp;DATE(2025,8,1),
  raw_stack!G$2:G$100000, "&lt;="&amp;EOMONTH(DATE(2025,8,1),0)
 ),
 IF(OR(_xlpm.x=0, _xlpm.x=""), "-", _xlpm.x)
)</f>
        <v>-</v>
      </c>
      <c r="S182" s="54" t="str">
        <f>_xlfn.LET(
 _xlpm.x,
 _xlfn.MAXIFS(
  raw_stack!G$2:G$99411,
  raw_stack!D$2:D$99411, G182,
  raw_stack!F$2:F$99411, "Iya",
  raw_stack!G$2:G$99411, "&gt;="&amp;DATE(2025,9,1),
  raw_stack!G$2:G$99411, "&lt;="&amp;EOMONTH(DATE(2025,9,1),0)
 ),
 IF(_xlpm.x=0, "-", _xlpm.x)
)</f>
        <v>-</v>
      </c>
      <c r="T182" s="65" t="str">
        <f>_xlfn.LET(
 _xlpm.x,
 _xlfn.MAXIFS(
  raw_stack!H$2:H$100000,
  raw_stack!D$2:D$100000, G182,
  raw_stack!F$2:F$100000, "Iya",
  raw_stack!G$2:G$100000, "&gt;="&amp;DATE(2025,9,1),
  raw_stack!G$2:G$100000, "&lt;="&amp;EOMONTH(DATE(2025,9,1),0)
 ),
 IF(OR(_xlpm.x=0, _xlpm.x=""), "-", _xlpm.x)
)</f>
        <v>-</v>
      </c>
      <c r="U182" s="54" t="str">
        <f>_xlfn.LET(
 _xlpm.x,
 _xlfn.MAXIFS(
  raw_stack!G$2:G$99411,
  raw_stack!D$2:D$99411, G182,
  raw_stack!F$2:F$99411, "Iya",
  raw_stack!G$2:G$99411, "&gt;="&amp;DATE(2025,10,1),
  raw_stack!G$2:G$99411, "&lt;="&amp;EOMONTH(DATE(2025,10,1),0)
 ),
 IF(_xlpm.x=0, "-", _xlpm.x)
)</f>
        <v>-</v>
      </c>
      <c r="V182" s="65" t="str">
        <f>_xlfn.LET(
 _xlpm.x,
 _xlfn.MAXIFS(
  raw_stack!H$2:H$100000,
  raw_stack!D$2:D$100000, G182,
  raw_stack!F$2:F$100000, "Iya",
  raw_stack!G$2:G$100000, "&gt;="&amp;DATE(2025,10,1),
  raw_stack!G$2:G$100000, "&lt;="&amp;EOMONTH(DATE(2025,10,1),0)
 ),
 IF(OR(_xlpm.x=0, _xlpm.x=""), "-", _xlpm.x)
)</f>
        <v>-</v>
      </c>
      <c r="W182" s="55" t="str">
        <f>_xlfn.LET(
 _xlpm.x,
 _xlfn.MAXIFS(
  raw_stack!G$2:G$99411,
  raw_stack!D$2:D$99411, G182,
  raw_stack!F$2:F$99411, "Iya",
  raw_stack!G$2:G$99411, "&gt;="&amp;DATE(2025,11,1),
  raw_stack!G$2:G$99411, "&lt;="&amp;EOMONTH(DATE(2025,11,1),0)
 ),
 IF(_xlpm.x=0, "-", _xlpm.x)
)</f>
        <v>-</v>
      </c>
      <c r="X182" s="56" t="str">
        <f>_xlfn.LET(
 _xlpm.x,
 _xlfn.MAXIFS(
  raw_stack!H$2:H$100000,
  raw_stack!D$2:D$100000, G182,
  raw_stack!F$2:F$100000, "Iya",
  raw_stack!G$2:G$100000, "&gt;="&amp;DATE(2025,11,1),
  raw_stack!G$2:G$100000, "&lt;="&amp;EOMONTH(DATE(2025,11,1),0)
 ),
 IF(OR(_xlpm.x=0, _xlpm.x=""), "-", _xlpm.x)
)</f>
        <v>-</v>
      </c>
      <c r="Y182" s="55" t="str">
        <f>_xlfn.LET(
 _xlpm.x,
 _xlfn.MAXIFS(
  raw_stack!G$2:G$99411,
  raw_stack!D$2:D$99411, G182,
  raw_stack!F$2:F$99411, "Iya",
  raw_stack!G$2:G$99411, "&gt;="&amp;DATE(2025,12,1),
  raw_stack!G$2:G$99411, "&lt;="&amp;EOMONTH(DATE(2025,12,1),0)
 ),
 IF(_xlpm.x=0, "-", _xlpm.x)
)</f>
        <v>-</v>
      </c>
      <c r="Z182" s="56" t="str">
        <f>_xlfn.LET(
 _xlpm.x,
 _xlfn.MAXIFS(
  raw_stack!H$2:H$100000,
  raw_stack!D$2:D$100000, G182,
  raw_stack!F$2:F$100000, "Iya",
  raw_stack!G$2:G$100000, "&gt;="&amp;DATE(2025,12,1),
  raw_stack!G$2:G$100000, "&lt;="&amp;EOMONTH(DATE(2025,12,1),0)
 ),
 IF(OR(_xlpm.x=0, _xlpm.x=""), "-", _xlpm.x)
)</f>
        <v>-</v>
      </c>
      <c r="AA182" s="55" t="str">
        <f>_xlfn.LET(
 _xlpm.x,
 _xlfn.MAXIFS(
  raw_stack!G$2:G$99411,
  raw_stack!D$2:D$99411, G182,
  raw_stack!F$2:F$99411, "Iya",
  raw_stack!G$2:G$99411, "&gt;="&amp;DATE(2026,1,1),
  raw_stack!G$2:G$99411, "&lt;="&amp;EOMONTH(DATE(2026,1,1),0)
 ),
 IF(_xlpm.x=0, "-", _xlpm.x)
)</f>
        <v>-</v>
      </c>
      <c r="AB182" s="56" t="str">
        <f>_xlfn.LET(
 _xlpm.x,
 _xlfn.MAXIFS(
  raw_stack!H$2:H$100000,
  raw_stack!D$2:D$100000, G182,
  raw_stack!F$2:F$100000, "Iya",
  raw_stack!G$2:G$100000, "&gt;="&amp;DATE(2026,1,1),
  raw_stack!G$2:G$100000, "&lt;="&amp;EOMONTH(DATE(2026,1,1),0)
 ),
 IF(OR(_xlpm.x=0, _xlpm.x=""), "-", _xlpm.x)
)</f>
        <v>-</v>
      </c>
      <c r="AC182" s="55" t="str">
        <f>_xlfn.LET(
 _xlpm.x,
 _xlfn.MAXIFS(
  raw_stack!G$2:G$99411,
  raw_stack!D$2:D$99411, G182,
  raw_stack!F$2:F$99411, "Iya",
  raw_stack!G$2:G$99411, "&gt;="&amp;DATE(2026,2,1),
  raw_stack!G$2:G$99411, "&lt;="&amp;EOMONTH(DATE(2026,2,1),0)
 ),
 IF(_xlpm.x=0, "-", _xlpm.x)
)</f>
        <v>-</v>
      </c>
      <c r="AD182" s="56" t="str">
        <f>_xlfn.LET(
 _xlpm.x,
 _xlfn.MAXIFS(
  raw_stack!H$2:H$100000,
  raw_stack!D$2:D$100000, G182,
  raw_stack!F$2:F$100000, "Iya",
  raw_stack!G$2:G$100000, "&gt;="&amp;DATE(2026,2,1),
  raw_stack!G$2:G$100000, "&lt;="&amp;EOMONTH(DATE(2026,2,1),0)
 ),
 IF(OR(_xlpm.x=0, _xlpm.x=""), "-", _xlpm.x)
)</f>
        <v>-</v>
      </c>
      <c r="AE182" s="55" t="str">
        <f>_xlfn.LET(
 _xlpm.x,
 _xlfn.MAXIFS(
  raw_stack!G$2:G$100000,
  raw_stack!D$2:D$100000, G182,
  raw_stack!F$2:F$100000, "Iya",
  raw_stack!G$2:G$100000, "&gt;="&amp;DATE(2026,3,1),
  raw_stack!G$2:G$100000, "&lt;="&amp;EOMONTH(DATE(2026,3,1),0)
 ),
 IF(_xlpm.x=0, "-", _xlpm.x)
)</f>
        <v>-</v>
      </c>
      <c r="AF182" s="56" t="str">
        <f>_xlfn.LET(
 _xlpm.x,
 _xlfn.MAXIFS(
  raw_stack!H$2:H$100000,
  raw_stack!D$2:D$100000, G182,
  raw_stack!F$2:F$100000, "Iya",
  raw_stack!G$2:G$100000, "&gt;="&amp;DATE(2026,3,1),
  raw_stack!G$2:G$100000, "&lt;="&amp;EOMONTH(DATE(2026,3,1),0)
 ),
 IF(OR(_xlpm.x=0, _xlpm.x=""), "-", _xlpm.x)
)</f>
        <v>-</v>
      </c>
      <c r="AG182" s="55" t="str">
        <f>_xlfn.LET(
 _xlpm.x,
 _xlfn.MAXIFS(
  raw_stack!G$2:G$100000,
  raw_stack!D$2:D$100000, G182,
  raw_stack!F$2:F$100000, "Iya",
  raw_stack!G$2:G$100000, "&gt;="&amp;DATE(2026,4,1),
  raw_stack!G$2:G$100000, "&lt;="&amp;EOMONTH(DATE(2026,4,1),0)
 ),
 IF(_xlpm.x=0, "-", _xlpm.x)
)</f>
        <v>-</v>
      </c>
      <c r="AH182" s="56" t="str">
        <f>_xlfn.LET(
 _xlpm.x,
 _xlfn.MAXIFS(
  raw_stack!H$2:H$100000,
  raw_stack!D$2:D$100000, G182,
  raw_stack!F$2:F$100000, "Iya",
  raw_stack!G$2:G$100000, "&gt;="&amp;DATE(2026,4,1),
  raw_stack!G$2:G$100000, "&lt;="&amp;EOMONTH(DATE(2026,4,1),0)
 ),
 IF(OR(_xlpm.x=0, _xlpm.x=""), "-", _xlpm.x)
)</f>
        <v>-</v>
      </c>
    </row>
    <row r="183" spans="1:34">
      <c r="A183" s="48">
        <v>182</v>
      </c>
      <c r="B183" s="49" t="str">
        <f t="shared" si="2"/>
        <v>17822</v>
      </c>
      <c r="C183" s="50" t="s">
        <v>46</v>
      </c>
      <c r="D183" s="51" t="s">
        <v>618</v>
      </c>
      <c r="E183" s="51" t="s">
        <v>47</v>
      </c>
      <c r="F183" s="49" t="s">
        <v>117</v>
      </c>
      <c r="G183" s="49" t="s">
        <v>299</v>
      </c>
      <c r="H183" s="49" t="s">
        <v>48</v>
      </c>
      <c r="I183" s="49" t="s">
        <v>49</v>
      </c>
      <c r="J183" s="52">
        <v>4475000</v>
      </c>
      <c r="K183" s="53">
        <v>45619</v>
      </c>
      <c r="L183" s="53">
        <v>46713</v>
      </c>
      <c r="M183" s="53">
        <v>46075</v>
      </c>
      <c r="N183" s="49" t="s">
        <v>50</v>
      </c>
      <c r="O183" s="54">
        <f>_xlfn.LET(
 _xlpm.x,
 _xlfn.MAXIFS(
  raw_stack!G$2:G$100000,
  raw_stack!D$2:D$100000, G183,
  raw_stack!F$2:F$100000, "Iya",
  raw_stack!G$2:G$100000, "&gt;="&amp;DATE(2025,7,1),
  raw_stack!G$2:G$100000, "&lt;="&amp;EOMONTH(DATE(2025,7,1),0)
 ),
 IF(_xlpm.x=0, "-", _xlpm.x)
)</f>
        <v>45852</v>
      </c>
      <c r="P183" s="65">
        <f>_xlfn.LET(
 _xlpm.x,
 _xlfn.MAXIFS(
  raw_stack!H$2:H$100000,
  raw_stack!D$2:D$100000, G183,
  raw_stack!F$2:F$100000, "Iya",
  raw_stack!G$2:G$100000, "&gt;="&amp;DATE(2025,7,1),
  raw_stack!G$2:G$100000, "&lt;="&amp;EOMONTH(DATE(2025,7,1),0)
 ),
 IF(OR(_xlpm.x=0, _xlpm.x=""), "-", _xlpm.x)
)</f>
        <v>18360</v>
      </c>
      <c r="Q183" s="54" t="str">
        <f>_xlfn.LET(
 _xlpm.x,
 _xlfn.MAXIFS(
  raw_stack!G$2:G$99411,
  raw_stack!D$2:D$99411, G183,
  raw_stack!F$2:F$99411, "Iya",
  raw_stack!G$2:G$99411, "&gt;="&amp;DATE(2025,8,1),
  raw_stack!G$2:G$99411, "&lt;="&amp;EOMONTH(DATE(2025,8,1),0)
 ),
 IF(_xlpm.x=0, "-", _xlpm.x)
)</f>
        <v>-</v>
      </c>
      <c r="R183" s="65" t="str">
        <f>_xlfn.LET(
 _xlpm.x,
 _xlfn.MAXIFS(
  raw_stack!H$2:H$100000,
  raw_stack!D$2:D$100000, G183,
  raw_stack!F$2:F$100000, "Iya",
  raw_stack!G$2:G$100000, "&gt;="&amp;DATE(2025,8,1),
  raw_stack!G$2:G$100000, "&lt;="&amp;EOMONTH(DATE(2025,8,1),0)
 ),
 IF(OR(_xlpm.x=0, _xlpm.x=""), "-", _xlpm.x)
)</f>
        <v>-</v>
      </c>
      <c r="S183" s="54">
        <f>_xlfn.LET(
 _xlpm.x,
 _xlfn.MAXIFS(
  raw_stack!G$2:G$99411,
  raw_stack!D$2:D$99411, G183,
  raw_stack!F$2:F$99411, "Iya",
  raw_stack!G$2:G$99411, "&gt;="&amp;DATE(2025,9,1),
  raw_stack!G$2:G$99411, "&lt;="&amp;EOMONTH(DATE(2025,9,1),0)
 ),
 IF(_xlpm.x=0, "-", _xlpm.x)
)</f>
        <v>45917</v>
      </c>
      <c r="T183" s="65">
        <f>_xlfn.LET(
 _xlpm.x,
 _xlfn.MAXIFS(
  raw_stack!H$2:H$100000,
  raw_stack!D$2:D$100000, G183,
  raw_stack!F$2:F$100000, "Iya",
  raw_stack!G$2:G$100000, "&gt;="&amp;DATE(2025,9,1),
  raw_stack!G$2:G$100000, "&lt;="&amp;EOMONTH(DATE(2025,9,1),0)
 ),
 IF(OR(_xlpm.x=0, _xlpm.x=""), "-", _xlpm.x)
)</f>
        <v>26803</v>
      </c>
      <c r="U183" s="54">
        <f>_xlfn.LET(
 _xlpm.x,
 _xlfn.MAXIFS(
  raw_stack!G$2:G$99411,
  raw_stack!D$2:D$99411, G183,
  raw_stack!F$2:F$99411, "Iya",
  raw_stack!G$2:G$99411, "&gt;="&amp;DATE(2025,10,1),
  raw_stack!G$2:G$99411, "&lt;="&amp;EOMONTH(DATE(2025,10,1),0)
 ),
 IF(_xlpm.x=0, "-", _xlpm.x)
)</f>
        <v>45955</v>
      </c>
      <c r="V183" s="65">
        <f>_xlfn.LET(
 _xlpm.x,
 _xlfn.MAXIFS(
  raw_stack!H$2:H$100000,
  raw_stack!D$2:D$100000, G183,
  raw_stack!F$2:F$100000, "Iya",
  raw_stack!G$2:G$100000, "&gt;="&amp;DATE(2025,10,1),
  raw_stack!G$2:G$100000, "&lt;="&amp;EOMONTH(DATE(2025,10,1),0)
 ),
 IF(OR(_xlpm.x=0, _xlpm.x=""), "-", _xlpm.x)
)</f>
        <v>31259</v>
      </c>
      <c r="W183" s="55" t="str">
        <f>_xlfn.LET(
 _xlpm.x,
 _xlfn.MAXIFS(
  raw_stack!G$2:G$99411,
  raw_stack!D$2:D$99411, G183,
  raw_stack!F$2:F$99411, "Iya",
  raw_stack!G$2:G$99411, "&gt;="&amp;DATE(2025,11,1),
  raw_stack!G$2:G$99411, "&lt;="&amp;EOMONTH(DATE(2025,11,1),0)
 ),
 IF(_xlpm.x=0, "-", _xlpm.x)
)</f>
        <v>-</v>
      </c>
      <c r="X183" s="56" t="str">
        <f>_xlfn.LET(
 _xlpm.x,
 _xlfn.MAXIFS(
  raw_stack!H$2:H$100000,
  raw_stack!D$2:D$100000, G183,
  raw_stack!F$2:F$100000, "Iya",
  raw_stack!G$2:G$100000, "&gt;="&amp;DATE(2025,11,1),
  raw_stack!G$2:G$100000, "&lt;="&amp;EOMONTH(DATE(2025,11,1),0)
 ),
 IF(OR(_xlpm.x=0, _xlpm.x=""), "-", _xlpm.x)
)</f>
        <v>-</v>
      </c>
      <c r="Y183" s="55" t="str">
        <f>_xlfn.LET(
 _xlpm.x,
 _xlfn.MAXIFS(
  raw_stack!G$2:G$99411,
  raw_stack!D$2:D$99411, G183,
  raw_stack!F$2:F$99411, "Iya",
  raw_stack!G$2:G$99411, "&gt;="&amp;DATE(2025,12,1),
  raw_stack!G$2:G$99411, "&lt;="&amp;EOMONTH(DATE(2025,12,1),0)
 ),
 IF(_xlpm.x=0, "-", _xlpm.x)
)</f>
        <v>-</v>
      </c>
      <c r="Z183" s="56" t="str">
        <f>_xlfn.LET(
 _xlpm.x,
 _xlfn.MAXIFS(
  raw_stack!H$2:H$100000,
  raw_stack!D$2:D$100000, G183,
  raw_stack!F$2:F$100000, "Iya",
  raw_stack!G$2:G$100000, "&gt;="&amp;DATE(2025,12,1),
  raw_stack!G$2:G$100000, "&lt;="&amp;EOMONTH(DATE(2025,12,1),0)
 ),
 IF(OR(_xlpm.x=0, _xlpm.x=""), "-", _xlpm.x)
)</f>
        <v>-</v>
      </c>
      <c r="AA183" s="55" t="str">
        <f>_xlfn.LET(
 _xlpm.x,
 _xlfn.MAXIFS(
  raw_stack!G$2:G$99411,
  raw_stack!D$2:D$99411, G183,
  raw_stack!F$2:F$99411, "Iya",
  raw_stack!G$2:G$99411, "&gt;="&amp;DATE(2026,1,1),
  raw_stack!G$2:G$99411, "&lt;="&amp;EOMONTH(DATE(2026,1,1),0)
 ),
 IF(_xlpm.x=0, "-", _xlpm.x)
)</f>
        <v>-</v>
      </c>
      <c r="AB183" s="56" t="str">
        <f>_xlfn.LET(
 _xlpm.x,
 _xlfn.MAXIFS(
  raw_stack!H$2:H$100000,
  raw_stack!D$2:D$100000, G183,
  raw_stack!F$2:F$100000, "Iya",
  raw_stack!G$2:G$100000, "&gt;="&amp;DATE(2026,1,1),
  raw_stack!G$2:G$100000, "&lt;="&amp;EOMONTH(DATE(2026,1,1),0)
 ),
 IF(OR(_xlpm.x=0, _xlpm.x=""), "-", _xlpm.x)
)</f>
        <v>-</v>
      </c>
      <c r="AC183" s="55" t="str">
        <f>_xlfn.LET(
 _xlpm.x,
 _xlfn.MAXIFS(
  raw_stack!G$2:G$99411,
  raw_stack!D$2:D$99411, G183,
  raw_stack!F$2:F$99411, "Iya",
  raw_stack!G$2:G$99411, "&gt;="&amp;DATE(2026,2,1),
  raw_stack!G$2:G$99411, "&lt;="&amp;EOMONTH(DATE(2026,2,1),0)
 ),
 IF(_xlpm.x=0, "-", _xlpm.x)
)</f>
        <v>-</v>
      </c>
      <c r="AD183" s="56" t="str">
        <f>_xlfn.LET(
 _xlpm.x,
 _xlfn.MAXIFS(
  raw_stack!H$2:H$100000,
  raw_stack!D$2:D$100000, G183,
  raw_stack!F$2:F$100000, "Iya",
  raw_stack!G$2:G$100000, "&gt;="&amp;DATE(2026,2,1),
  raw_stack!G$2:G$100000, "&lt;="&amp;EOMONTH(DATE(2026,2,1),0)
 ),
 IF(OR(_xlpm.x=0, _xlpm.x=""), "-", _xlpm.x)
)</f>
        <v>-</v>
      </c>
      <c r="AE183" s="55" t="str">
        <f>_xlfn.LET(
 _xlpm.x,
 _xlfn.MAXIFS(
  raw_stack!G$2:G$100000,
  raw_stack!D$2:D$100000, G183,
  raw_stack!F$2:F$100000, "Iya",
  raw_stack!G$2:G$100000, "&gt;="&amp;DATE(2026,3,1),
  raw_stack!G$2:G$100000, "&lt;="&amp;EOMONTH(DATE(2026,3,1),0)
 ),
 IF(_xlpm.x=0, "-", _xlpm.x)
)</f>
        <v>-</v>
      </c>
      <c r="AF183" s="56" t="str">
        <f>_xlfn.LET(
 _xlpm.x,
 _xlfn.MAXIFS(
  raw_stack!H$2:H$100000,
  raw_stack!D$2:D$100000, G183,
  raw_stack!F$2:F$100000, "Iya",
  raw_stack!G$2:G$100000, "&gt;="&amp;DATE(2026,3,1),
  raw_stack!G$2:G$100000, "&lt;="&amp;EOMONTH(DATE(2026,3,1),0)
 ),
 IF(OR(_xlpm.x=0, _xlpm.x=""), "-", _xlpm.x)
)</f>
        <v>-</v>
      </c>
      <c r="AG183" s="55" t="str">
        <f>_xlfn.LET(
 _xlpm.x,
 _xlfn.MAXIFS(
  raw_stack!G$2:G$100000,
  raw_stack!D$2:D$100000, G183,
  raw_stack!F$2:F$100000, "Iya",
  raw_stack!G$2:G$100000, "&gt;="&amp;DATE(2026,4,1),
  raw_stack!G$2:G$100000, "&lt;="&amp;EOMONTH(DATE(2026,4,1),0)
 ),
 IF(_xlpm.x=0, "-", _xlpm.x)
)</f>
        <v>-</v>
      </c>
      <c r="AH183" s="56" t="str">
        <f>_xlfn.LET(
 _xlpm.x,
 _xlfn.MAXIFS(
  raw_stack!H$2:H$100000,
  raw_stack!D$2:D$100000, G183,
  raw_stack!F$2:F$100000, "Iya",
  raw_stack!G$2:G$100000, "&gt;="&amp;DATE(2026,4,1),
  raw_stack!G$2:G$100000, "&lt;="&amp;EOMONTH(DATE(2026,4,1),0)
 ),
 IF(OR(_xlpm.x=0, _xlpm.x=""), "-", _xlpm.x)
)</f>
        <v>-</v>
      </c>
    </row>
    <row r="184" spans="1:34">
      <c r="A184" s="48">
        <v>183</v>
      </c>
      <c r="B184" s="49" t="str">
        <f t="shared" si="2"/>
        <v>90846</v>
      </c>
      <c r="C184" s="50" t="s">
        <v>46</v>
      </c>
      <c r="D184" s="51" t="s">
        <v>543</v>
      </c>
      <c r="E184" s="51" t="s">
        <v>47</v>
      </c>
      <c r="F184" s="49" t="s">
        <v>117</v>
      </c>
      <c r="G184" s="49" t="s">
        <v>300</v>
      </c>
      <c r="H184" s="49" t="s">
        <v>48</v>
      </c>
      <c r="I184" s="49" t="s">
        <v>49</v>
      </c>
      <c r="J184" s="52">
        <v>4595000</v>
      </c>
      <c r="K184" s="53">
        <v>45621</v>
      </c>
      <c r="L184" s="53">
        <v>46715</v>
      </c>
      <c r="M184" s="53">
        <v>46077</v>
      </c>
      <c r="N184" s="49" t="s">
        <v>50</v>
      </c>
      <c r="O184" s="54" t="str">
        <f>_xlfn.LET(
 _xlpm.x,
 _xlfn.MAXIFS(
  raw_stack!G$2:G$100000,
  raw_stack!D$2:D$100000, G184,
  raw_stack!F$2:F$100000, "Iya",
  raw_stack!G$2:G$100000, "&gt;="&amp;DATE(2025,7,1),
  raw_stack!G$2:G$100000, "&lt;="&amp;EOMONTH(DATE(2025,7,1),0)
 ),
 IF(_xlpm.x=0, "-", _xlpm.x)
)</f>
        <v>-</v>
      </c>
      <c r="P184" s="65" t="str">
        <f>_xlfn.LET(
 _xlpm.x,
 _xlfn.MAXIFS(
  raw_stack!H$2:H$100000,
  raw_stack!D$2:D$100000, G184,
  raw_stack!F$2:F$100000, "Iya",
  raw_stack!G$2:G$100000, "&gt;="&amp;DATE(2025,7,1),
  raw_stack!G$2:G$100000, "&lt;="&amp;EOMONTH(DATE(2025,7,1),0)
 ),
 IF(OR(_xlpm.x=0, _xlpm.x=""), "-", _xlpm.x)
)</f>
        <v>-</v>
      </c>
      <c r="Q184" s="54" t="str">
        <f>_xlfn.LET(
 _xlpm.x,
 _xlfn.MAXIFS(
  raw_stack!G$2:G$99411,
  raw_stack!D$2:D$99411, G184,
  raw_stack!F$2:F$99411, "Iya",
  raw_stack!G$2:G$99411, "&gt;="&amp;DATE(2025,8,1),
  raw_stack!G$2:G$99411, "&lt;="&amp;EOMONTH(DATE(2025,8,1),0)
 ),
 IF(_xlpm.x=0, "-", _xlpm.x)
)</f>
        <v>-</v>
      </c>
      <c r="R184" s="65" t="str">
        <f>_xlfn.LET(
 _xlpm.x,
 _xlfn.MAXIFS(
  raw_stack!H$2:H$100000,
  raw_stack!D$2:D$100000, G184,
  raw_stack!F$2:F$100000, "Iya",
  raw_stack!G$2:G$100000, "&gt;="&amp;DATE(2025,8,1),
  raw_stack!G$2:G$100000, "&lt;="&amp;EOMONTH(DATE(2025,8,1),0)
 ),
 IF(OR(_xlpm.x=0, _xlpm.x=""), "-", _xlpm.x)
)</f>
        <v>-</v>
      </c>
      <c r="S184" s="54" t="str">
        <f>_xlfn.LET(
 _xlpm.x,
 _xlfn.MAXIFS(
  raw_stack!G$2:G$99411,
  raw_stack!D$2:D$99411, G184,
  raw_stack!F$2:F$99411, "Iya",
  raw_stack!G$2:G$99411, "&gt;="&amp;DATE(2025,9,1),
  raw_stack!G$2:G$99411, "&lt;="&amp;EOMONTH(DATE(2025,9,1),0)
 ),
 IF(_xlpm.x=0, "-", _xlpm.x)
)</f>
        <v>-</v>
      </c>
      <c r="T184" s="65" t="str">
        <f>_xlfn.LET(
 _xlpm.x,
 _xlfn.MAXIFS(
  raw_stack!H$2:H$100000,
  raw_stack!D$2:D$100000, G184,
  raw_stack!F$2:F$100000, "Iya",
  raw_stack!G$2:G$100000, "&gt;="&amp;DATE(2025,9,1),
  raw_stack!G$2:G$100000, "&lt;="&amp;EOMONTH(DATE(2025,9,1),0)
 ),
 IF(OR(_xlpm.x=0, _xlpm.x=""), "-", _xlpm.x)
)</f>
        <v>-</v>
      </c>
      <c r="U184" s="54">
        <f>_xlfn.LET(
 _xlpm.x,
 _xlfn.MAXIFS(
  raw_stack!G$2:G$99411,
  raw_stack!D$2:D$99411, G184,
  raw_stack!F$2:F$99411, "Iya",
  raw_stack!G$2:G$99411, "&gt;="&amp;DATE(2025,10,1),
  raw_stack!G$2:G$99411, "&lt;="&amp;EOMONTH(DATE(2025,10,1),0)
 ),
 IF(_xlpm.x=0, "-", _xlpm.x)
)</f>
        <v>45957</v>
      </c>
      <c r="V184" s="65">
        <f>_xlfn.LET(
 _xlpm.x,
 _xlfn.MAXIFS(
  raw_stack!H$2:H$100000,
  raw_stack!D$2:D$100000, G184,
  raw_stack!F$2:F$100000, "Iya",
  raw_stack!G$2:G$100000, "&gt;="&amp;DATE(2025,10,1),
  raw_stack!G$2:G$100000, "&lt;="&amp;EOMONTH(DATE(2025,10,1),0)
 ),
 IF(OR(_xlpm.x=0, _xlpm.x=""), "-", _xlpm.x)
)</f>
        <v>20581</v>
      </c>
      <c r="W184" s="55" t="str">
        <f>_xlfn.LET(
 _xlpm.x,
 _xlfn.MAXIFS(
  raw_stack!G$2:G$99411,
  raw_stack!D$2:D$99411, G184,
  raw_stack!F$2:F$99411, "Iya",
  raw_stack!G$2:G$99411, "&gt;="&amp;DATE(2025,11,1),
  raw_stack!G$2:G$99411, "&lt;="&amp;EOMONTH(DATE(2025,11,1),0)
 ),
 IF(_xlpm.x=0, "-", _xlpm.x)
)</f>
        <v>-</v>
      </c>
      <c r="X184" s="56" t="str">
        <f>_xlfn.LET(
 _xlpm.x,
 _xlfn.MAXIFS(
  raw_stack!H$2:H$100000,
  raw_stack!D$2:D$100000, G184,
  raw_stack!F$2:F$100000, "Iya",
  raw_stack!G$2:G$100000, "&gt;="&amp;DATE(2025,11,1),
  raw_stack!G$2:G$100000, "&lt;="&amp;EOMONTH(DATE(2025,11,1),0)
 ),
 IF(OR(_xlpm.x=0, _xlpm.x=""), "-", _xlpm.x)
)</f>
        <v>-</v>
      </c>
      <c r="Y184" s="55" t="str">
        <f>_xlfn.LET(
 _xlpm.x,
 _xlfn.MAXIFS(
  raw_stack!G$2:G$99411,
  raw_stack!D$2:D$99411, G184,
  raw_stack!F$2:F$99411, "Iya",
  raw_stack!G$2:G$99411, "&gt;="&amp;DATE(2025,12,1),
  raw_stack!G$2:G$99411, "&lt;="&amp;EOMONTH(DATE(2025,12,1),0)
 ),
 IF(_xlpm.x=0, "-", _xlpm.x)
)</f>
        <v>-</v>
      </c>
      <c r="Z184" s="56" t="str">
        <f>_xlfn.LET(
 _xlpm.x,
 _xlfn.MAXIFS(
  raw_stack!H$2:H$100000,
  raw_stack!D$2:D$100000, G184,
  raw_stack!F$2:F$100000, "Iya",
  raw_stack!G$2:G$100000, "&gt;="&amp;DATE(2025,12,1),
  raw_stack!G$2:G$100000, "&lt;="&amp;EOMONTH(DATE(2025,12,1),0)
 ),
 IF(OR(_xlpm.x=0, _xlpm.x=""), "-", _xlpm.x)
)</f>
        <v>-</v>
      </c>
      <c r="AA184" s="55" t="str">
        <f>_xlfn.LET(
 _xlpm.x,
 _xlfn.MAXIFS(
  raw_stack!G$2:G$99411,
  raw_stack!D$2:D$99411, G184,
  raw_stack!F$2:F$99411, "Iya",
  raw_stack!G$2:G$99411, "&gt;="&amp;DATE(2026,1,1),
  raw_stack!G$2:G$99411, "&lt;="&amp;EOMONTH(DATE(2026,1,1),0)
 ),
 IF(_xlpm.x=0, "-", _xlpm.x)
)</f>
        <v>-</v>
      </c>
      <c r="AB184" s="56" t="str">
        <f>_xlfn.LET(
 _xlpm.x,
 _xlfn.MAXIFS(
  raw_stack!H$2:H$100000,
  raw_stack!D$2:D$100000, G184,
  raw_stack!F$2:F$100000, "Iya",
  raw_stack!G$2:G$100000, "&gt;="&amp;DATE(2026,1,1),
  raw_stack!G$2:G$100000, "&lt;="&amp;EOMONTH(DATE(2026,1,1),0)
 ),
 IF(OR(_xlpm.x=0, _xlpm.x=""), "-", _xlpm.x)
)</f>
        <v>-</v>
      </c>
      <c r="AC184" s="55" t="str">
        <f>_xlfn.LET(
 _xlpm.x,
 _xlfn.MAXIFS(
  raw_stack!G$2:G$99411,
  raw_stack!D$2:D$99411, G184,
  raw_stack!F$2:F$99411, "Iya",
  raw_stack!G$2:G$99411, "&gt;="&amp;DATE(2026,2,1),
  raw_stack!G$2:G$99411, "&lt;="&amp;EOMONTH(DATE(2026,2,1),0)
 ),
 IF(_xlpm.x=0, "-", _xlpm.x)
)</f>
        <v>-</v>
      </c>
      <c r="AD184" s="56" t="str">
        <f>_xlfn.LET(
 _xlpm.x,
 _xlfn.MAXIFS(
  raw_stack!H$2:H$100000,
  raw_stack!D$2:D$100000, G184,
  raw_stack!F$2:F$100000, "Iya",
  raw_stack!G$2:G$100000, "&gt;="&amp;DATE(2026,2,1),
  raw_stack!G$2:G$100000, "&lt;="&amp;EOMONTH(DATE(2026,2,1),0)
 ),
 IF(OR(_xlpm.x=0, _xlpm.x=""), "-", _xlpm.x)
)</f>
        <v>-</v>
      </c>
      <c r="AE184" s="55" t="str">
        <f>_xlfn.LET(
 _xlpm.x,
 _xlfn.MAXIFS(
  raw_stack!G$2:G$100000,
  raw_stack!D$2:D$100000, G184,
  raw_stack!F$2:F$100000, "Iya",
  raw_stack!G$2:G$100000, "&gt;="&amp;DATE(2026,3,1),
  raw_stack!G$2:G$100000, "&lt;="&amp;EOMONTH(DATE(2026,3,1),0)
 ),
 IF(_xlpm.x=0, "-", _xlpm.x)
)</f>
        <v>-</v>
      </c>
      <c r="AF184" s="56" t="str">
        <f>_xlfn.LET(
 _xlpm.x,
 _xlfn.MAXIFS(
  raw_stack!H$2:H$100000,
  raw_stack!D$2:D$100000, G184,
  raw_stack!F$2:F$100000, "Iya",
  raw_stack!G$2:G$100000, "&gt;="&amp;DATE(2026,3,1),
  raw_stack!G$2:G$100000, "&lt;="&amp;EOMONTH(DATE(2026,3,1),0)
 ),
 IF(OR(_xlpm.x=0, _xlpm.x=""), "-", _xlpm.x)
)</f>
        <v>-</v>
      </c>
      <c r="AG184" s="55" t="str">
        <f>_xlfn.LET(
 _xlpm.x,
 _xlfn.MAXIFS(
  raw_stack!G$2:G$100000,
  raw_stack!D$2:D$100000, G184,
  raw_stack!F$2:F$100000, "Iya",
  raw_stack!G$2:G$100000, "&gt;="&amp;DATE(2026,4,1),
  raw_stack!G$2:G$100000, "&lt;="&amp;EOMONTH(DATE(2026,4,1),0)
 ),
 IF(_xlpm.x=0, "-", _xlpm.x)
)</f>
        <v>-</v>
      </c>
      <c r="AH184" s="56" t="str">
        <f>_xlfn.LET(
 _xlpm.x,
 _xlfn.MAXIFS(
  raw_stack!H$2:H$100000,
  raw_stack!D$2:D$100000, G184,
  raw_stack!F$2:F$100000, "Iya",
  raw_stack!G$2:G$100000, "&gt;="&amp;DATE(2026,4,1),
  raw_stack!G$2:G$100000, "&lt;="&amp;EOMONTH(DATE(2026,4,1),0)
 ),
 IF(OR(_xlpm.x=0, _xlpm.x=""), "-", _xlpm.x)
)</f>
        <v>-</v>
      </c>
    </row>
    <row r="185" spans="1:34">
      <c r="A185" s="48">
        <v>184</v>
      </c>
      <c r="B185" s="49" t="str">
        <f t="shared" ref="B185:B244" si="3">LEFT(D185,5)</f>
        <v>86545</v>
      </c>
      <c r="C185" s="50" t="s">
        <v>46</v>
      </c>
      <c r="D185" s="51" t="s">
        <v>619</v>
      </c>
      <c r="E185" s="51" t="s">
        <v>47</v>
      </c>
      <c r="F185" s="49" t="s">
        <v>117</v>
      </c>
      <c r="G185" s="49" t="s">
        <v>301</v>
      </c>
      <c r="H185" s="49" t="s">
        <v>48</v>
      </c>
      <c r="I185" s="49" t="s">
        <v>49</v>
      </c>
      <c r="J185" s="52">
        <v>4595000</v>
      </c>
      <c r="K185" s="53">
        <v>45626</v>
      </c>
      <c r="L185" s="53">
        <v>46720</v>
      </c>
      <c r="M185" s="53">
        <v>46080</v>
      </c>
      <c r="N185" s="49" t="s">
        <v>50</v>
      </c>
      <c r="O185" s="54" t="str">
        <f>_xlfn.LET(
 _xlpm.x,
 _xlfn.MAXIFS(
  raw_stack!G$2:G$100000,
  raw_stack!D$2:D$100000, G185,
  raw_stack!F$2:F$100000, "Iya",
  raw_stack!G$2:G$100000, "&gt;="&amp;DATE(2025,7,1),
  raw_stack!G$2:G$100000, "&lt;="&amp;EOMONTH(DATE(2025,7,1),0)
 ),
 IF(_xlpm.x=0, "-", _xlpm.x)
)</f>
        <v>-</v>
      </c>
      <c r="P185" s="65" t="str">
        <f>_xlfn.LET(
 _xlpm.x,
 _xlfn.MAXIFS(
  raw_stack!H$2:H$100000,
  raw_stack!D$2:D$100000, G185,
  raw_stack!F$2:F$100000, "Iya",
  raw_stack!G$2:G$100000, "&gt;="&amp;DATE(2025,7,1),
  raw_stack!G$2:G$100000, "&lt;="&amp;EOMONTH(DATE(2025,7,1),0)
 ),
 IF(OR(_xlpm.x=0, _xlpm.x=""), "-", _xlpm.x)
)</f>
        <v>-</v>
      </c>
      <c r="Q185" s="54">
        <f>_xlfn.LET(
 _xlpm.x,
 _xlfn.MAXIFS(
  raw_stack!G$2:G$99411,
  raw_stack!D$2:D$99411, G185,
  raw_stack!F$2:F$99411, "Iya",
  raw_stack!G$2:G$99411, "&gt;="&amp;DATE(2025,8,1),
  raw_stack!G$2:G$99411, "&lt;="&amp;EOMONTH(DATE(2025,8,1),0)
 ),
 IF(_xlpm.x=0, "-", _xlpm.x)
)</f>
        <v>45875</v>
      </c>
      <c r="R185" s="65">
        <f>_xlfn.LET(
 _xlpm.x,
 _xlfn.MAXIFS(
  raw_stack!H$2:H$100000,
  raw_stack!D$2:D$100000, G185,
  raw_stack!F$2:F$100000, "Iya",
  raw_stack!G$2:G$100000, "&gt;="&amp;DATE(2025,8,1),
  raw_stack!G$2:G$100000, "&lt;="&amp;EOMONTH(DATE(2025,8,1),0)
 ),
 IF(OR(_xlpm.x=0, _xlpm.x=""), "-", _xlpm.x)
)</f>
        <v>18711</v>
      </c>
      <c r="S185" s="54" t="str">
        <f>_xlfn.LET(
 _xlpm.x,
 _xlfn.MAXIFS(
  raw_stack!G$2:G$99411,
  raw_stack!D$2:D$99411, G185,
  raw_stack!F$2:F$99411, "Iya",
  raw_stack!G$2:G$99411, "&gt;="&amp;DATE(2025,9,1),
  raw_stack!G$2:G$99411, "&lt;="&amp;EOMONTH(DATE(2025,9,1),0)
 ),
 IF(_xlpm.x=0, "-", _xlpm.x)
)</f>
        <v>-</v>
      </c>
      <c r="T185" s="65" t="str">
        <f>_xlfn.LET(
 _xlpm.x,
 _xlfn.MAXIFS(
  raw_stack!H$2:H$100000,
  raw_stack!D$2:D$100000, G185,
  raw_stack!F$2:F$100000, "Iya",
  raw_stack!G$2:G$100000, "&gt;="&amp;DATE(2025,9,1),
  raw_stack!G$2:G$100000, "&lt;="&amp;EOMONTH(DATE(2025,9,1),0)
 ),
 IF(OR(_xlpm.x=0, _xlpm.x=""), "-", _xlpm.x)
)</f>
        <v>-</v>
      </c>
      <c r="U185" s="54" t="str">
        <f>_xlfn.LET(
 _xlpm.x,
 _xlfn.MAXIFS(
  raw_stack!G$2:G$99411,
  raw_stack!D$2:D$99411, G185,
  raw_stack!F$2:F$99411, "Iya",
  raw_stack!G$2:G$99411, "&gt;="&amp;DATE(2025,10,1),
  raw_stack!G$2:G$99411, "&lt;="&amp;EOMONTH(DATE(2025,10,1),0)
 ),
 IF(_xlpm.x=0, "-", _xlpm.x)
)</f>
        <v>-</v>
      </c>
      <c r="V185" s="65" t="str">
        <f>_xlfn.LET(
 _xlpm.x,
 _xlfn.MAXIFS(
  raw_stack!H$2:H$100000,
  raw_stack!D$2:D$100000, G185,
  raw_stack!F$2:F$100000, "Iya",
  raw_stack!G$2:G$100000, "&gt;="&amp;DATE(2025,10,1),
  raw_stack!G$2:G$100000, "&lt;="&amp;EOMONTH(DATE(2025,10,1),0)
 ),
 IF(OR(_xlpm.x=0, _xlpm.x=""), "-", _xlpm.x)
)</f>
        <v>-</v>
      </c>
      <c r="W185" s="55">
        <f>_xlfn.LET(
 _xlpm.x,
 _xlfn.MAXIFS(
  raw_stack!G$2:G$99411,
  raw_stack!D$2:D$99411, G185,
  raw_stack!F$2:F$99411, "Iya",
  raw_stack!G$2:G$99411, "&gt;="&amp;DATE(2025,11,1),
  raw_stack!G$2:G$99411, "&lt;="&amp;EOMONTH(DATE(2025,11,1),0)
 ),
 IF(_xlpm.x=0, "-", _xlpm.x)
)</f>
        <v>45972</v>
      </c>
      <c r="X185" s="56">
        <f>_xlfn.LET(
 _xlpm.x,
 _xlfn.MAXIFS(
  raw_stack!H$2:H$100000,
  raw_stack!D$2:D$100000, G185,
  raw_stack!F$2:F$100000, "Iya",
  raw_stack!G$2:G$100000, "&gt;="&amp;DATE(2025,11,1),
  raw_stack!G$2:G$100000, "&lt;="&amp;EOMONTH(DATE(2025,11,1),0)
 ),
 IF(OR(_xlpm.x=0, _xlpm.x=""), "-", _xlpm.x)
)</f>
        <v>19562</v>
      </c>
      <c r="Y185" s="55" t="str">
        <f>_xlfn.LET(
 _xlpm.x,
 _xlfn.MAXIFS(
  raw_stack!G$2:G$99411,
  raw_stack!D$2:D$99411, G185,
  raw_stack!F$2:F$99411, "Iya",
  raw_stack!G$2:G$99411, "&gt;="&amp;DATE(2025,12,1),
  raw_stack!G$2:G$99411, "&lt;="&amp;EOMONTH(DATE(2025,12,1),0)
 ),
 IF(_xlpm.x=0, "-", _xlpm.x)
)</f>
        <v>-</v>
      </c>
      <c r="Z185" s="56" t="str">
        <f>_xlfn.LET(
 _xlpm.x,
 _xlfn.MAXIFS(
  raw_stack!H$2:H$100000,
  raw_stack!D$2:D$100000, G185,
  raw_stack!F$2:F$100000, "Iya",
  raw_stack!G$2:G$100000, "&gt;="&amp;DATE(2025,12,1),
  raw_stack!G$2:G$100000, "&lt;="&amp;EOMONTH(DATE(2025,12,1),0)
 ),
 IF(OR(_xlpm.x=0, _xlpm.x=""), "-", _xlpm.x)
)</f>
        <v>-</v>
      </c>
      <c r="AA185" s="55" t="str">
        <f>_xlfn.LET(
 _xlpm.x,
 _xlfn.MAXIFS(
  raw_stack!G$2:G$99411,
  raw_stack!D$2:D$99411, G185,
  raw_stack!F$2:F$99411, "Iya",
  raw_stack!G$2:G$99411, "&gt;="&amp;DATE(2026,1,1),
  raw_stack!G$2:G$99411, "&lt;="&amp;EOMONTH(DATE(2026,1,1),0)
 ),
 IF(_xlpm.x=0, "-", _xlpm.x)
)</f>
        <v>-</v>
      </c>
      <c r="AB185" s="56" t="str">
        <f>_xlfn.LET(
 _xlpm.x,
 _xlfn.MAXIFS(
  raw_stack!H$2:H$100000,
  raw_stack!D$2:D$100000, G185,
  raw_stack!F$2:F$100000, "Iya",
  raw_stack!G$2:G$100000, "&gt;="&amp;DATE(2026,1,1),
  raw_stack!G$2:G$100000, "&lt;="&amp;EOMONTH(DATE(2026,1,1),0)
 ),
 IF(OR(_xlpm.x=0, _xlpm.x=""), "-", _xlpm.x)
)</f>
        <v>-</v>
      </c>
      <c r="AC185" s="55">
        <f>_xlfn.LET(
 _xlpm.x,
 _xlfn.MAXIFS(
  raw_stack!G$2:G$99411,
  raw_stack!D$2:D$99411, G185,
  raw_stack!F$2:F$99411, "Iya",
  raw_stack!G$2:G$99411, "&gt;="&amp;DATE(2026,2,1),
  raw_stack!G$2:G$99411, "&lt;="&amp;EOMONTH(DATE(2026,2,1),0)
 ),
 IF(_xlpm.x=0, "-", _xlpm.x)
)</f>
        <v>46063</v>
      </c>
      <c r="AD185" s="56">
        <f>_xlfn.LET(
 _xlpm.x,
 _xlfn.MAXIFS(
  raw_stack!H$2:H$100000,
  raw_stack!D$2:D$100000, G185,
  raw_stack!F$2:F$100000, "Iya",
  raw_stack!G$2:G$100000, "&gt;="&amp;DATE(2026,2,1),
  raw_stack!G$2:G$100000, "&lt;="&amp;EOMONTH(DATE(2026,2,1),0)
 ),
 IF(OR(_xlpm.x=0, _xlpm.x=""), "-", _xlpm.x)
)</f>
        <v>23249</v>
      </c>
      <c r="AE185" s="55" t="str">
        <f>_xlfn.LET(
 _xlpm.x,
 _xlfn.MAXIFS(
  raw_stack!G$2:G$100000,
  raw_stack!D$2:D$100000, G185,
  raw_stack!F$2:F$100000, "Iya",
  raw_stack!G$2:G$100000, "&gt;="&amp;DATE(2026,3,1),
  raw_stack!G$2:G$100000, "&lt;="&amp;EOMONTH(DATE(2026,3,1),0)
 ),
 IF(_xlpm.x=0, "-", _xlpm.x)
)</f>
        <v>-</v>
      </c>
      <c r="AF185" s="56" t="str">
        <f>_xlfn.LET(
 _xlpm.x,
 _xlfn.MAXIFS(
  raw_stack!H$2:H$100000,
  raw_stack!D$2:D$100000, G185,
  raw_stack!F$2:F$100000, "Iya",
  raw_stack!G$2:G$100000, "&gt;="&amp;DATE(2026,3,1),
  raw_stack!G$2:G$100000, "&lt;="&amp;EOMONTH(DATE(2026,3,1),0)
 ),
 IF(OR(_xlpm.x=0, _xlpm.x=""), "-", _xlpm.x)
)</f>
        <v>-</v>
      </c>
      <c r="AG185" s="55" t="str">
        <f>_xlfn.LET(
 _xlpm.x,
 _xlfn.MAXIFS(
  raw_stack!G$2:G$100000,
  raw_stack!D$2:D$100000, G185,
  raw_stack!F$2:F$100000, "Iya",
  raw_stack!G$2:G$100000, "&gt;="&amp;DATE(2026,4,1),
  raw_stack!G$2:G$100000, "&lt;="&amp;EOMONTH(DATE(2026,4,1),0)
 ),
 IF(_xlpm.x=0, "-", _xlpm.x)
)</f>
        <v>-</v>
      </c>
      <c r="AH185" s="56" t="str">
        <f>_xlfn.LET(
 _xlpm.x,
 _xlfn.MAXIFS(
  raw_stack!H$2:H$100000,
  raw_stack!D$2:D$100000, G185,
  raw_stack!F$2:F$100000, "Iya",
  raw_stack!G$2:G$100000, "&gt;="&amp;DATE(2026,4,1),
  raw_stack!G$2:G$100000, "&lt;="&amp;EOMONTH(DATE(2026,4,1),0)
 ),
 IF(OR(_xlpm.x=0, _xlpm.x=""), "-", _xlpm.x)
)</f>
        <v>-</v>
      </c>
    </row>
    <row r="186" spans="1:34">
      <c r="A186" s="48">
        <v>185</v>
      </c>
      <c r="B186" s="49" t="str">
        <f t="shared" si="3"/>
        <v>83880</v>
      </c>
      <c r="C186" s="50" t="s">
        <v>46</v>
      </c>
      <c r="D186" s="51" t="s">
        <v>620</v>
      </c>
      <c r="E186" s="51" t="s">
        <v>47</v>
      </c>
      <c r="F186" s="49" t="s">
        <v>117</v>
      </c>
      <c r="G186" s="49" t="s">
        <v>302</v>
      </c>
      <c r="H186" s="49" t="s">
        <v>48</v>
      </c>
      <c r="I186" s="49" t="s">
        <v>49</v>
      </c>
      <c r="J186" s="52">
        <v>4475000</v>
      </c>
      <c r="K186" s="53">
        <v>45626</v>
      </c>
      <c r="L186" s="53">
        <v>46720</v>
      </c>
      <c r="M186" s="53">
        <v>46080</v>
      </c>
      <c r="N186" s="49" t="s">
        <v>50</v>
      </c>
      <c r="O186" s="54" t="str">
        <f>_xlfn.LET(
 _xlpm.x,
 _xlfn.MAXIFS(
  raw_stack!G$2:G$100000,
  raw_stack!D$2:D$100000, G186,
  raw_stack!F$2:F$100000, "Iya",
  raw_stack!G$2:G$100000, "&gt;="&amp;DATE(2025,7,1),
  raw_stack!G$2:G$100000, "&lt;="&amp;EOMONTH(DATE(2025,7,1),0)
 ),
 IF(_xlpm.x=0, "-", _xlpm.x)
)</f>
        <v>-</v>
      </c>
      <c r="P186" s="65" t="str">
        <f>_xlfn.LET(
 _xlpm.x,
 _xlfn.MAXIFS(
  raw_stack!H$2:H$100000,
  raw_stack!D$2:D$100000, G186,
  raw_stack!F$2:F$100000, "Iya",
  raw_stack!G$2:G$100000, "&gt;="&amp;DATE(2025,7,1),
  raw_stack!G$2:G$100000, "&lt;="&amp;EOMONTH(DATE(2025,7,1),0)
 ),
 IF(OR(_xlpm.x=0, _xlpm.x=""), "-", _xlpm.x)
)</f>
        <v>-</v>
      </c>
      <c r="Q186" s="54">
        <f>_xlfn.LET(
 _xlpm.x,
 _xlfn.MAXIFS(
  raw_stack!G$2:G$99411,
  raw_stack!D$2:D$99411, G186,
  raw_stack!F$2:F$99411, "Iya",
  raw_stack!G$2:G$99411, "&gt;="&amp;DATE(2025,8,1),
  raw_stack!G$2:G$99411, "&lt;="&amp;EOMONTH(DATE(2025,8,1),0)
 ),
 IF(_xlpm.x=0, "-", _xlpm.x)
)</f>
        <v>45890</v>
      </c>
      <c r="R186" s="65">
        <f>_xlfn.LET(
 _xlpm.x,
 _xlfn.MAXIFS(
  raw_stack!H$2:H$100000,
  raw_stack!D$2:D$100000, G186,
  raw_stack!F$2:F$100000, "Iya",
  raw_stack!G$2:G$100000, "&gt;="&amp;DATE(2025,8,1),
  raw_stack!G$2:G$100000, "&lt;="&amp;EOMONTH(DATE(2025,8,1),0)
 ),
 IF(OR(_xlpm.x=0, _xlpm.x=""), "-", _xlpm.x)
)</f>
        <v>14673</v>
      </c>
      <c r="S186" s="54" t="str">
        <f>_xlfn.LET(
 _xlpm.x,
 _xlfn.MAXIFS(
  raw_stack!G$2:G$99411,
  raw_stack!D$2:D$99411, G186,
  raw_stack!F$2:F$99411, "Iya",
  raw_stack!G$2:G$99411, "&gt;="&amp;DATE(2025,9,1),
  raw_stack!G$2:G$99411, "&lt;="&amp;EOMONTH(DATE(2025,9,1),0)
 ),
 IF(_xlpm.x=0, "-", _xlpm.x)
)</f>
        <v>-</v>
      </c>
      <c r="T186" s="65" t="str">
        <f>_xlfn.LET(
 _xlpm.x,
 _xlfn.MAXIFS(
  raw_stack!H$2:H$100000,
  raw_stack!D$2:D$100000, G186,
  raw_stack!F$2:F$100000, "Iya",
  raw_stack!G$2:G$100000, "&gt;="&amp;DATE(2025,9,1),
  raw_stack!G$2:G$100000, "&lt;="&amp;EOMONTH(DATE(2025,9,1),0)
 ),
 IF(OR(_xlpm.x=0, _xlpm.x=""), "-", _xlpm.x)
)</f>
        <v>-</v>
      </c>
      <c r="U186" s="54" t="str">
        <f>_xlfn.LET(
 _xlpm.x,
 _xlfn.MAXIFS(
  raw_stack!G$2:G$99411,
  raw_stack!D$2:D$99411, G186,
  raw_stack!F$2:F$99411, "Iya",
  raw_stack!G$2:G$99411, "&gt;="&amp;DATE(2025,10,1),
  raw_stack!G$2:G$99411, "&lt;="&amp;EOMONTH(DATE(2025,10,1),0)
 ),
 IF(_xlpm.x=0, "-", _xlpm.x)
)</f>
        <v>-</v>
      </c>
      <c r="V186" s="65" t="str">
        <f>_xlfn.LET(
 _xlpm.x,
 _xlfn.MAXIFS(
  raw_stack!H$2:H$100000,
  raw_stack!D$2:D$100000, G186,
  raw_stack!F$2:F$100000, "Iya",
  raw_stack!G$2:G$100000, "&gt;="&amp;DATE(2025,10,1),
  raw_stack!G$2:G$100000, "&lt;="&amp;EOMONTH(DATE(2025,10,1),0)
 ),
 IF(OR(_xlpm.x=0, _xlpm.x=""), "-", _xlpm.x)
)</f>
        <v>-</v>
      </c>
      <c r="W186" s="55">
        <f>_xlfn.LET(
 _xlpm.x,
 _xlfn.MAXIFS(
  raw_stack!G$2:G$99411,
  raw_stack!D$2:D$99411, G186,
  raw_stack!F$2:F$99411, "Iya",
  raw_stack!G$2:G$99411, "&gt;="&amp;DATE(2025,11,1),
  raw_stack!G$2:G$99411, "&lt;="&amp;EOMONTH(DATE(2025,11,1),0)
 ),
 IF(_xlpm.x=0, "-", _xlpm.x)
)</f>
        <v>45978</v>
      </c>
      <c r="X186" s="56">
        <f>_xlfn.LET(
 _xlpm.x,
 _xlfn.MAXIFS(
  raw_stack!H$2:H$100000,
  raw_stack!D$2:D$100000, G186,
  raw_stack!F$2:F$100000, "Iya",
  raw_stack!G$2:G$100000, "&gt;="&amp;DATE(2025,11,1),
  raw_stack!G$2:G$100000, "&lt;="&amp;EOMONTH(DATE(2025,11,1),0)
 ),
 IF(OR(_xlpm.x=0, _xlpm.x=""), "-", _xlpm.x)
)</f>
        <v>20333</v>
      </c>
      <c r="Y186" s="55" t="str">
        <f>_xlfn.LET(
 _xlpm.x,
 _xlfn.MAXIFS(
  raw_stack!G$2:G$99411,
  raw_stack!D$2:D$99411, G186,
  raw_stack!F$2:F$99411, "Iya",
  raw_stack!G$2:G$99411, "&gt;="&amp;DATE(2025,12,1),
  raw_stack!G$2:G$99411, "&lt;="&amp;EOMONTH(DATE(2025,12,1),0)
 ),
 IF(_xlpm.x=0, "-", _xlpm.x)
)</f>
        <v>-</v>
      </c>
      <c r="Z186" s="56" t="str">
        <f>_xlfn.LET(
 _xlpm.x,
 _xlfn.MAXIFS(
  raw_stack!H$2:H$100000,
  raw_stack!D$2:D$100000, G186,
  raw_stack!F$2:F$100000, "Iya",
  raw_stack!G$2:G$100000, "&gt;="&amp;DATE(2025,12,1),
  raw_stack!G$2:G$100000, "&lt;="&amp;EOMONTH(DATE(2025,12,1),0)
 ),
 IF(OR(_xlpm.x=0, _xlpm.x=""), "-", _xlpm.x)
)</f>
        <v>-</v>
      </c>
      <c r="AA186" s="55" t="str">
        <f>_xlfn.LET(
 _xlpm.x,
 _xlfn.MAXIFS(
  raw_stack!G$2:G$99411,
  raw_stack!D$2:D$99411, G186,
  raw_stack!F$2:F$99411, "Iya",
  raw_stack!G$2:G$99411, "&gt;="&amp;DATE(2026,1,1),
  raw_stack!G$2:G$99411, "&lt;="&amp;EOMONTH(DATE(2026,1,1),0)
 ),
 IF(_xlpm.x=0, "-", _xlpm.x)
)</f>
        <v>-</v>
      </c>
      <c r="AB186" s="56" t="str">
        <f>_xlfn.LET(
 _xlpm.x,
 _xlfn.MAXIFS(
  raw_stack!H$2:H$100000,
  raw_stack!D$2:D$100000, G186,
  raw_stack!F$2:F$100000, "Iya",
  raw_stack!G$2:G$100000, "&gt;="&amp;DATE(2026,1,1),
  raw_stack!G$2:G$100000, "&lt;="&amp;EOMONTH(DATE(2026,1,1),0)
 ),
 IF(OR(_xlpm.x=0, _xlpm.x=""), "-", _xlpm.x)
)</f>
        <v>-</v>
      </c>
      <c r="AC186" s="55" t="str">
        <f>_xlfn.LET(
 _xlpm.x,
 _xlfn.MAXIFS(
  raw_stack!G$2:G$99411,
  raw_stack!D$2:D$99411, G186,
  raw_stack!F$2:F$99411, "Iya",
  raw_stack!G$2:G$99411, "&gt;="&amp;DATE(2026,2,1),
  raw_stack!G$2:G$99411, "&lt;="&amp;EOMONTH(DATE(2026,2,1),0)
 ),
 IF(_xlpm.x=0, "-", _xlpm.x)
)</f>
        <v>-</v>
      </c>
      <c r="AD186" s="56" t="str">
        <f>_xlfn.LET(
 _xlpm.x,
 _xlfn.MAXIFS(
  raw_stack!H$2:H$100000,
  raw_stack!D$2:D$100000, G186,
  raw_stack!F$2:F$100000, "Iya",
  raw_stack!G$2:G$100000, "&gt;="&amp;DATE(2026,2,1),
  raw_stack!G$2:G$100000, "&lt;="&amp;EOMONTH(DATE(2026,2,1),0)
 ),
 IF(OR(_xlpm.x=0, _xlpm.x=""), "-", _xlpm.x)
)</f>
        <v>-</v>
      </c>
      <c r="AE186" s="55" t="str">
        <f>_xlfn.LET(
 _xlpm.x,
 _xlfn.MAXIFS(
  raw_stack!G$2:G$100000,
  raw_stack!D$2:D$100000, G186,
  raw_stack!F$2:F$100000, "Iya",
  raw_stack!G$2:G$100000, "&gt;="&amp;DATE(2026,3,1),
  raw_stack!G$2:G$100000, "&lt;="&amp;EOMONTH(DATE(2026,3,1),0)
 ),
 IF(_xlpm.x=0, "-", _xlpm.x)
)</f>
        <v>-</v>
      </c>
      <c r="AF186" s="56" t="str">
        <f>_xlfn.LET(
 _xlpm.x,
 _xlfn.MAXIFS(
  raw_stack!H$2:H$100000,
  raw_stack!D$2:D$100000, G186,
  raw_stack!F$2:F$100000, "Iya",
  raw_stack!G$2:G$100000, "&gt;="&amp;DATE(2026,3,1),
  raw_stack!G$2:G$100000, "&lt;="&amp;EOMONTH(DATE(2026,3,1),0)
 ),
 IF(OR(_xlpm.x=0, _xlpm.x=""), "-", _xlpm.x)
)</f>
        <v>-</v>
      </c>
      <c r="AG186" s="55" t="str">
        <f>_xlfn.LET(
 _xlpm.x,
 _xlfn.MAXIFS(
  raw_stack!G$2:G$100000,
  raw_stack!D$2:D$100000, G186,
  raw_stack!F$2:F$100000, "Iya",
  raw_stack!G$2:G$100000, "&gt;="&amp;DATE(2026,4,1),
  raw_stack!G$2:G$100000, "&lt;="&amp;EOMONTH(DATE(2026,4,1),0)
 ),
 IF(_xlpm.x=0, "-", _xlpm.x)
)</f>
        <v>-</v>
      </c>
      <c r="AH186" s="56" t="str">
        <f>_xlfn.LET(
 _xlpm.x,
 _xlfn.MAXIFS(
  raw_stack!H$2:H$100000,
  raw_stack!D$2:D$100000, G186,
  raw_stack!F$2:F$100000, "Iya",
  raw_stack!G$2:G$100000, "&gt;="&amp;DATE(2026,4,1),
  raw_stack!G$2:G$100000, "&lt;="&amp;EOMONTH(DATE(2026,4,1),0)
 ),
 IF(OR(_xlpm.x=0, _xlpm.x=""), "-", _xlpm.x)
)</f>
        <v>-</v>
      </c>
    </row>
    <row r="187" spans="1:34">
      <c r="A187" s="48">
        <v>186</v>
      </c>
      <c r="B187" s="49" t="str">
        <f t="shared" si="3"/>
        <v>71141</v>
      </c>
      <c r="C187" s="50" t="s">
        <v>46</v>
      </c>
      <c r="D187" s="51" t="s">
        <v>621</v>
      </c>
      <c r="E187" s="51" t="s">
        <v>51</v>
      </c>
      <c r="F187" s="49" t="s">
        <v>117</v>
      </c>
      <c r="G187" s="49" t="s">
        <v>303</v>
      </c>
      <c r="H187" s="49" t="s">
        <v>48</v>
      </c>
      <c r="I187" s="49" t="s">
        <v>52</v>
      </c>
      <c r="J187" s="52">
        <v>3880000</v>
      </c>
      <c r="K187" s="53">
        <v>45630</v>
      </c>
      <c r="L187" s="53">
        <v>46724</v>
      </c>
      <c r="M187" s="53">
        <v>46056</v>
      </c>
      <c r="N187" s="49" t="s">
        <v>50</v>
      </c>
      <c r="O187" s="54">
        <f>_xlfn.LET(
 _xlpm.x,
 _xlfn.MAXIFS(
  raw_stack!G$2:G$100000,
  raw_stack!D$2:D$100000, G187,
  raw_stack!F$2:F$100000, "Iya",
  raw_stack!G$2:G$100000, "&gt;="&amp;DATE(2025,7,1),
  raw_stack!G$2:G$100000, "&lt;="&amp;EOMONTH(DATE(2025,7,1),0)
 ),
 IF(_xlpm.x=0, "-", _xlpm.x)
)</f>
        <v>45846</v>
      </c>
      <c r="P187" s="65">
        <f>_xlfn.LET(
 _xlpm.x,
 _xlfn.MAXIFS(
  raw_stack!H$2:H$100000,
  raw_stack!D$2:D$100000, G187,
  raw_stack!F$2:F$100000, "Iya",
  raw_stack!G$2:G$100000, "&gt;="&amp;DATE(2025,7,1),
  raw_stack!G$2:G$100000, "&lt;="&amp;EOMONTH(DATE(2025,7,1),0)
 ),
 IF(OR(_xlpm.x=0, _xlpm.x=""), "-", _xlpm.x)
)</f>
        <v>9640</v>
      </c>
      <c r="Q187" s="54" t="str">
        <f>_xlfn.LET(
 _xlpm.x,
 _xlfn.MAXIFS(
  raw_stack!G$2:G$99411,
  raw_stack!D$2:D$99411, G187,
  raw_stack!F$2:F$99411, "Iya",
  raw_stack!G$2:G$99411, "&gt;="&amp;DATE(2025,8,1),
  raw_stack!G$2:G$99411, "&lt;="&amp;EOMONTH(DATE(2025,8,1),0)
 ),
 IF(_xlpm.x=0, "-", _xlpm.x)
)</f>
        <v>-</v>
      </c>
      <c r="R187" s="65" t="str">
        <f>_xlfn.LET(
 _xlpm.x,
 _xlfn.MAXIFS(
  raw_stack!H$2:H$100000,
  raw_stack!D$2:D$100000, G187,
  raw_stack!F$2:F$100000, "Iya",
  raw_stack!G$2:G$100000, "&gt;="&amp;DATE(2025,8,1),
  raw_stack!G$2:G$100000, "&lt;="&amp;EOMONTH(DATE(2025,8,1),0)
 ),
 IF(OR(_xlpm.x=0, _xlpm.x=""), "-", _xlpm.x)
)</f>
        <v>-</v>
      </c>
      <c r="S187" s="54" t="str">
        <f>_xlfn.LET(
 _xlpm.x,
 _xlfn.MAXIFS(
  raw_stack!G$2:G$99411,
  raw_stack!D$2:D$99411, G187,
  raw_stack!F$2:F$99411, "Iya",
  raw_stack!G$2:G$99411, "&gt;="&amp;DATE(2025,9,1),
  raw_stack!G$2:G$99411, "&lt;="&amp;EOMONTH(DATE(2025,9,1),0)
 ),
 IF(_xlpm.x=0, "-", _xlpm.x)
)</f>
        <v>-</v>
      </c>
      <c r="T187" s="65" t="str">
        <f>_xlfn.LET(
 _xlpm.x,
 _xlfn.MAXIFS(
  raw_stack!H$2:H$100000,
  raw_stack!D$2:D$100000, G187,
  raw_stack!F$2:F$100000, "Iya",
  raw_stack!G$2:G$100000, "&gt;="&amp;DATE(2025,9,1),
  raw_stack!G$2:G$100000, "&lt;="&amp;EOMONTH(DATE(2025,9,1),0)
 ),
 IF(OR(_xlpm.x=0, _xlpm.x=""), "-", _xlpm.x)
)</f>
        <v>-</v>
      </c>
      <c r="U187" s="54" t="str">
        <f>_xlfn.LET(
 _xlpm.x,
 _xlfn.MAXIFS(
  raw_stack!G$2:G$99411,
  raw_stack!D$2:D$99411, G187,
  raw_stack!F$2:F$99411, "Iya",
  raw_stack!G$2:G$99411, "&gt;="&amp;DATE(2025,10,1),
  raw_stack!G$2:G$99411, "&lt;="&amp;EOMONTH(DATE(2025,10,1),0)
 ),
 IF(_xlpm.x=0, "-", _xlpm.x)
)</f>
        <v>-</v>
      </c>
      <c r="V187" s="65" t="str">
        <f>_xlfn.LET(
 _xlpm.x,
 _xlfn.MAXIFS(
  raw_stack!H$2:H$100000,
  raw_stack!D$2:D$100000, G187,
  raw_stack!F$2:F$100000, "Iya",
  raw_stack!G$2:G$100000, "&gt;="&amp;DATE(2025,10,1),
  raw_stack!G$2:G$100000, "&lt;="&amp;EOMONTH(DATE(2025,10,1),0)
 ),
 IF(OR(_xlpm.x=0, _xlpm.x=""), "-", _xlpm.x)
)</f>
        <v>-</v>
      </c>
      <c r="W187" s="55" t="str">
        <f>_xlfn.LET(
 _xlpm.x,
 _xlfn.MAXIFS(
  raw_stack!G$2:G$99411,
  raw_stack!D$2:D$99411, G187,
  raw_stack!F$2:F$99411, "Iya",
  raw_stack!G$2:G$99411, "&gt;="&amp;DATE(2025,11,1),
  raw_stack!G$2:G$99411, "&lt;="&amp;EOMONTH(DATE(2025,11,1),0)
 ),
 IF(_xlpm.x=0, "-", _xlpm.x)
)</f>
        <v>-</v>
      </c>
      <c r="X187" s="56" t="str">
        <f>_xlfn.LET(
 _xlpm.x,
 _xlfn.MAXIFS(
  raw_stack!H$2:H$100000,
  raw_stack!D$2:D$100000, G187,
  raw_stack!F$2:F$100000, "Iya",
  raw_stack!G$2:G$100000, "&gt;="&amp;DATE(2025,11,1),
  raw_stack!G$2:G$100000, "&lt;="&amp;EOMONTH(DATE(2025,11,1),0)
 ),
 IF(OR(_xlpm.x=0, _xlpm.x=""), "-", _xlpm.x)
)</f>
        <v>-</v>
      </c>
      <c r="Y187" s="55">
        <f>_xlfn.LET(
 _xlpm.x,
 _xlfn.MAXIFS(
  raw_stack!G$2:G$99411,
  raw_stack!D$2:D$99411, G187,
  raw_stack!F$2:F$99411, "Iya",
  raw_stack!G$2:G$99411, "&gt;="&amp;DATE(2025,12,1),
  raw_stack!G$2:G$99411, "&lt;="&amp;EOMONTH(DATE(2025,12,1),0)
 ),
 IF(_xlpm.x=0, "-", _xlpm.x)
)</f>
        <v>45995</v>
      </c>
      <c r="Z187" s="56">
        <f>_xlfn.LET(
 _xlpm.x,
 _xlfn.MAXIFS(
  raw_stack!H$2:H$100000,
  raw_stack!D$2:D$100000, G187,
  raw_stack!F$2:F$100000, "Iya",
  raw_stack!G$2:G$100000, "&gt;="&amp;DATE(2025,12,1),
  raw_stack!G$2:G$100000, "&lt;="&amp;EOMONTH(DATE(2025,12,1),0)
 ),
 IF(OR(_xlpm.x=0, _xlpm.x=""), "-", _xlpm.x)
)</f>
        <v>11936</v>
      </c>
      <c r="AA187" s="55" t="str">
        <f>_xlfn.LET(
 _xlpm.x,
 _xlfn.MAXIFS(
  raw_stack!G$2:G$99411,
  raw_stack!D$2:D$99411, G187,
  raw_stack!F$2:F$99411, "Iya",
  raw_stack!G$2:G$99411, "&gt;="&amp;DATE(2026,1,1),
  raw_stack!G$2:G$99411, "&lt;="&amp;EOMONTH(DATE(2026,1,1),0)
 ),
 IF(_xlpm.x=0, "-", _xlpm.x)
)</f>
        <v>-</v>
      </c>
      <c r="AB187" s="56" t="str">
        <f>_xlfn.LET(
 _xlpm.x,
 _xlfn.MAXIFS(
  raw_stack!H$2:H$100000,
  raw_stack!D$2:D$100000, G187,
  raw_stack!F$2:F$100000, "Iya",
  raw_stack!G$2:G$100000, "&gt;="&amp;DATE(2026,1,1),
  raw_stack!G$2:G$100000, "&lt;="&amp;EOMONTH(DATE(2026,1,1),0)
 ),
 IF(OR(_xlpm.x=0, _xlpm.x=""), "-", _xlpm.x)
)</f>
        <v>-</v>
      </c>
      <c r="AC187" s="55" t="str">
        <f>_xlfn.LET(
 _xlpm.x,
 _xlfn.MAXIFS(
  raw_stack!G$2:G$99411,
  raw_stack!D$2:D$99411, G187,
  raw_stack!F$2:F$99411, "Iya",
  raw_stack!G$2:G$99411, "&gt;="&amp;DATE(2026,2,1),
  raw_stack!G$2:G$99411, "&lt;="&amp;EOMONTH(DATE(2026,2,1),0)
 ),
 IF(_xlpm.x=0, "-", _xlpm.x)
)</f>
        <v>-</v>
      </c>
      <c r="AD187" s="56" t="str">
        <f>_xlfn.LET(
 _xlpm.x,
 _xlfn.MAXIFS(
  raw_stack!H$2:H$100000,
  raw_stack!D$2:D$100000, G187,
  raw_stack!F$2:F$100000, "Iya",
  raw_stack!G$2:G$100000, "&gt;="&amp;DATE(2026,2,1),
  raw_stack!G$2:G$100000, "&lt;="&amp;EOMONTH(DATE(2026,2,1),0)
 ),
 IF(OR(_xlpm.x=0, _xlpm.x=""), "-", _xlpm.x)
)</f>
        <v>-</v>
      </c>
      <c r="AE187" s="55" t="str">
        <f>_xlfn.LET(
 _xlpm.x,
 _xlfn.MAXIFS(
  raw_stack!G$2:G$100000,
  raw_stack!D$2:D$100000, G187,
  raw_stack!F$2:F$100000, "Iya",
  raw_stack!G$2:G$100000, "&gt;="&amp;DATE(2026,3,1),
  raw_stack!G$2:G$100000, "&lt;="&amp;EOMONTH(DATE(2026,3,1),0)
 ),
 IF(_xlpm.x=0, "-", _xlpm.x)
)</f>
        <v>-</v>
      </c>
      <c r="AF187" s="56" t="str">
        <f>_xlfn.LET(
 _xlpm.x,
 _xlfn.MAXIFS(
  raw_stack!H$2:H$100000,
  raw_stack!D$2:D$100000, G187,
  raw_stack!F$2:F$100000, "Iya",
  raw_stack!G$2:G$100000, "&gt;="&amp;DATE(2026,3,1),
  raw_stack!G$2:G$100000, "&lt;="&amp;EOMONTH(DATE(2026,3,1),0)
 ),
 IF(OR(_xlpm.x=0, _xlpm.x=""), "-", _xlpm.x)
)</f>
        <v>-</v>
      </c>
      <c r="AG187" s="55" t="str">
        <f>_xlfn.LET(
 _xlpm.x,
 _xlfn.MAXIFS(
  raw_stack!G$2:G$100000,
  raw_stack!D$2:D$100000, G187,
  raw_stack!F$2:F$100000, "Iya",
  raw_stack!G$2:G$100000, "&gt;="&amp;DATE(2026,4,1),
  raw_stack!G$2:G$100000, "&lt;="&amp;EOMONTH(DATE(2026,4,1),0)
 ),
 IF(_xlpm.x=0, "-", _xlpm.x)
)</f>
        <v>-</v>
      </c>
      <c r="AH187" s="56" t="str">
        <f>_xlfn.LET(
 _xlpm.x,
 _xlfn.MAXIFS(
  raw_stack!H$2:H$100000,
  raw_stack!D$2:D$100000, G187,
  raw_stack!F$2:F$100000, "Iya",
  raw_stack!G$2:G$100000, "&gt;="&amp;DATE(2026,4,1),
  raw_stack!G$2:G$100000, "&lt;="&amp;EOMONTH(DATE(2026,4,1),0)
 ),
 IF(OR(_xlpm.x=0, _xlpm.x=""), "-", _xlpm.x)
)</f>
        <v>-</v>
      </c>
    </row>
    <row r="188" spans="1:34">
      <c r="A188" s="48">
        <v>187</v>
      </c>
      <c r="B188" s="49" t="str">
        <f t="shared" si="3"/>
        <v>97904</v>
      </c>
      <c r="C188" s="50" t="s">
        <v>46</v>
      </c>
      <c r="D188" s="51" t="s">
        <v>622</v>
      </c>
      <c r="E188" s="51" t="s">
        <v>47</v>
      </c>
      <c r="F188" s="49" t="s">
        <v>117</v>
      </c>
      <c r="G188" s="49" t="s">
        <v>304</v>
      </c>
      <c r="H188" s="49" t="s">
        <v>48</v>
      </c>
      <c r="I188" s="49" t="s">
        <v>49</v>
      </c>
      <c r="J188" s="52">
        <v>4475000</v>
      </c>
      <c r="K188" s="53">
        <v>45636</v>
      </c>
      <c r="L188" s="53">
        <v>46730</v>
      </c>
      <c r="M188" s="53">
        <v>46062</v>
      </c>
      <c r="N188" s="49" t="s">
        <v>50</v>
      </c>
      <c r="O188" s="54" t="str">
        <f>_xlfn.LET(
 _xlpm.x,
 _xlfn.MAXIFS(
  raw_stack!G$2:G$100000,
  raw_stack!D$2:D$100000, G188,
  raw_stack!F$2:F$100000, "Iya",
  raw_stack!G$2:G$100000, "&gt;="&amp;DATE(2025,7,1),
  raw_stack!G$2:G$100000, "&lt;="&amp;EOMONTH(DATE(2025,7,1),0)
 ),
 IF(_xlpm.x=0, "-", _xlpm.x)
)</f>
        <v>-</v>
      </c>
      <c r="P188" s="65" t="str">
        <f>_xlfn.LET(
 _xlpm.x,
 _xlfn.MAXIFS(
  raw_stack!H$2:H$100000,
  raw_stack!D$2:D$100000, G188,
  raw_stack!F$2:F$100000, "Iya",
  raw_stack!G$2:G$100000, "&gt;="&amp;DATE(2025,7,1),
  raw_stack!G$2:G$100000, "&lt;="&amp;EOMONTH(DATE(2025,7,1),0)
 ),
 IF(OR(_xlpm.x=0, _xlpm.x=""), "-", _xlpm.x)
)</f>
        <v>-</v>
      </c>
      <c r="Q188" s="54" t="str">
        <f>_xlfn.LET(
 _xlpm.x,
 _xlfn.MAXIFS(
  raw_stack!G$2:G$99411,
  raw_stack!D$2:D$99411, G188,
  raw_stack!F$2:F$99411, "Iya",
  raw_stack!G$2:G$99411, "&gt;="&amp;DATE(2025,8,1),
  raw_stack!G$2:G$99411, "&lt;="&amp;EOMONTH(DATE(2025,8,1),0)
 ),
 IF(_xlpm.x=0, "-", _xlpm.x)
)</f>
        <v>-</v>
      </c>
      <c r="R188" s="65" t="str">
        <f>_xlfn.LET(
 _xlpm.x,
 _xlfn.MAXIFS(
  raw_stack!H$2:H$100000,
  raw_stack!D$2:D$100000, G188,
  raw_stack!F$2:F$100000, "Iya",
  raw_stack!G$2:G$100000, "&gt;="&amp;DATE(2025,8,1),
  raw_stack!G$2:G$100000, "&lt;="&amp;EOMONTH(DATE(2025,8,1),0)
 ),
 IF(OR(_xlpm.x=0, _xlpm.x=""), "-", _xlpm.x)
)</f>
        <v>-</v>
      </c>
      <c r="S188" s="54" t="str">
        <f>_xlfn.LET(
 _xlpm.x,
 _xlfn.MAXIFS(
  raw_stack!G$2:G$99411,
  raw_stack!D$2:D$99411, G188,
  raw_stack!F$2:F$99411, "Iya",
  raw_stack!G$2:G$99411, "&gt;="&amp;DATE(2025,9,1),
  raw_stack!G$2:G$99411, "&lt;="&amp;EOMONTH(DATE(2025,9,1),0)
 ),
 IF(_xlpm.x=0, "-", _xlpm.x)
)</f>
        <v>-</v>
      </c>
      <c r="T188" s="65" t="str">
        <f>_xlfn.LET(
 _xlpm.x,
 _xlfn.MAXIFS(
  raw_stack!H$2:H$100000,
  raw_stack!D$2:D$100000, G188,
  raw_stack!F$2:F$100000, "Iya",
  raw_stack!G$2:G$100000, "&gt;="&amp;DATE(2025,9,1),
  raw_stack!G$2:G$100000, "&lt;="&amp;EOMONTH(DATE(2025,9,1),0)
 ),
 IF(OR(_xlpm.x=0, _xlpm.x=""), "-", _xlpm.x)
)</f>
        <v>-</v>
      </c>
      <c r="U188" s="54">
        <f>_xlfn.LET(
 _xlpm.x,
 _xlfn.MAXIFS(
  raw_stack!G$2:G$99411,
  raw_stack!D$2:D$99411, G188,
  raw_stack!F$2:F$99411, "Iya",
  raw_stack!G$2:G$99411, "&gt;="&amp;DATE(2025,10,1),
  raw_stack!G$2:G$99411, "&lt;="&amp;EOMONTH(DATE(2025,10,1),0)
 ),
 IF(_xlpm.x=0, "-", _xlpm.x)
)</f>
        <v>45953</v>
      </c>
      <c r="V188" s="65">
        <f>_xlfn.LET(
 _xlpm.x,
 _xlfn.MAXIFS(
  raw_stack!H$2:H$100000,
  raw_stack!D$2:D$100000, G188,
  raw_stack!F$2:F$100000, "Iya",
  raw_stack!G$2:G$100000, "&gt;="&amp;DATE(2025,10,1),
  raw_stack!G$2:G$100000, "&lt;="&amp;EOMONTH(DATE(2025,10,1),0)
 ),
 IF(OR(_xlpm.x=0, _xlpm.x=""), "-", _xlpm.x)
)</f>
        <v>26113</v>
      </c>
      <c r="W188" s="55" t="str">
        <f>_xlfn.LET(
 _xlpm.x,
 _xlfn.MAXIFS(
  raw_stack!G$2:G$99411,
  raw_stack!D$2:D$99411, G188,
  raw_stack!F$2:F$99411, "Iya",
  raw_stack!G$2:G$99411, "&gt;="&amp;DATE(2025,11,1),
  raw_stack!G$2:G$99411, "&lt;="&amp;EOMONTH(DATE(2025,11,1),0)
 ),
 IF(_xlpm.x=0, "-", _xlpm.x)
)</f>
        <v>-</v>
      </c>
      <c r="X188" s="56" t="str">
        <f>_xlfn.LET(
 _xlpm.x,
 _xlfn.MAXIFS(
  raw_stack!H$2:H$100000,
  raw_stack!D$2:D$100000, G188,
  raw_stack!F$2:F$100000, "Iya",
  raw_stack!G$2:G$100000, "&gt;="&amp;DATE(2025,11,1),
  raw_stack!G$2:G$100000, "&lt;="&amp;EOMONTH(DATE(2025,11,1),0)
 ),
 IF(OR(_xlpm.x=0, _xlpm.x=""), "-", _xlpm.x)
)</f>
        <v>-</v>
      </c>
      <c r="Y188" s="55" t="str">
        <f>_xlfn.LET(
 _xlpm.x,
 _xlfn.MAXIFS(
  raw_stack!G$2:G$99411,
  raw_stack!D$2:D$99411, G188,
  raw_stack!F$2:F$99411, "Iya",
  raw_stack!G$2:G$99411, "&gt;="&amp;DATE(2025,12,1),
  raw_stack!G$2:G$99411, "&lt;="&amp;EOMONTH(DATE(2025,12,1),0)
 ),
 IF(_xlpm.x=0, "-", _xlpm.x)
)</f>
        <v>-</v>
      </c>
      <c r="Z188" s="56" t="str">
        <f>_xlfn.LET(
 _xlpm.x,
 _xlfn.MAXIFS(
  raw_stack!H$2:H$100000,
  raw_stack!D$2:D$100000, G188,
  raw_stack!F$2:F$100000, "Iya",
  raw_stack!G$2:G$100000, "&gt;="&amp;DATE(2025,12,1),
  raw_stack!G$2:G$100000, "&lt;="&amp;EOMONTH(DATE(2025,12,1),0)
 ),
 IF(OR(_xlpm.x=0, _xlpm.x=""), "-", _xlpm.x)
)</f>
        <v>-</v>
      </c>
      <c r="AA188" s="55" t="str">
        <f>_xlfn.LET(
 _xlpm.x,
 _xlfn.MAXIFS(
  raw_stack!G$2:G$99411,
  raw_stack!D$2:D$99411, G188,
  raw_stack!F$2:F$99411, "Iya",
  raw_stack!G$2:G$99411, "&gt;="&amp;DATE(2026,1,1),
  raw_stack!G$2:G$99411, "&lt;="&amp;EOMONTH(DATE(2026,1,1),0)
 ),
 IF(_xlpm.x=0, "-", _xlpm.x)
)</f>
        <v>-</v>
      </c>
      <c r="AB188" s="56" t="str">
        <f>_xlfn.LET(
 _xlpm.x,
 _xlfn.MAXIFS(
  raw_stack!H$2:H$100000,
  raw_stack!D$2:D$100000, G188,
  raw_stack!F$2:F$100000, "Iya",
  raw_stack!G$2:G$100000, "&gt;="&amp;DATE(2026,1,1),
  raw_stack!G$2:G$100000, "&lt;="&amp;EOMONTH(DATE(2026,1,1),0)
 ),
 IF(OR(_xlpm.x=0, _xlpm.x=""), "-", _xlpm.x)
)</f>
        <v>-</v>
      </c>
      <c r="AC188" s="55" t="str">
        <f>_xlfn.LET(
 _xlpm.x,
 _xlfn.MAXIFS(
  raw_stack!G$2:G$99411,
  raw_stack!D$2:D$99411, G188,
  raw_stack!F$2:F$99411, "Iya",
  raw_stack!G$2:G$99411, "&gt;="&amp;DATE(2026,2,1),
  raw_stack!G$2:G$99411, "&lt;="&amp;EOMONTH(DATE(2026,2,1),0)
 ),
 IF(_xlpm.x=0, "-", _xlpm.x)
)</f>
        <v>-</v>
      </c>
      <c r="AD188" s="56" t="str">
        <f>_xlfn.LET(
 _xlpm.x,
 _xlfn.MAXIFS(
  raw_stack!H$2:H$100000,
  raw_stack!D$2:D$100000, G188,
  raw_stack!F$2:F$100000, "Iya",
  raw_stack!G$2:G$100000, "&gt;="&amp;DATE(2026,2,1),
  raw_stack!G$2:G$100000, "&lt;="&amp;EOMONTH(DATE(2026,2,1),0)
 ),
 IF(OR(_xlpm.x=0, _xlpm.x=""), "-", _xlpm.x)
)</f>
        <v>-</v>
      </c>
      <c r="AE188" s="55" t="str">
        <f>_xlfn.LET(
 _xlpm.x,
 _xlfn.MAXIFS(
  raw_stack!G$2:G$100000,
  raw_stack!D$2:D$100000, G188,
  raw_stack!F$2:F$100000, "Iya",
  raw_stack!G$2:G$100000, "&gt;="&amp;DATE(2026,3,1),
  raw_stack!G$2:G$100000, "&lt;="&amp;EOMONTH(DATE(2026,3,1),0)
 ),
 IF(_xlpm.x=0, "-", _xlpm.x)
)</f>
        <v>-</v>
      </c>
      <c r="AF188" s="56" t="str">
        <f>_xlfn.LET(
 _xlpm.x,
 _xlfn.MAXIFS(
  raw_stack!H$2:H$100000,
  raw_stack!D$2:D$100000, G188,
  raw_stack!F$2:F$100000, "Iya",
  raw_stack!G$2:G$100000, "&gt;="&amp;DATE(2026,3,1),
  raw_stack!G$2:G$100000, "&lt;="&amp;EOMONTH(DATE(2026,3,1),0)
 ),
 IF(OR(_xlpm.x=0, _xlpm.x=""), "-", _xlpm.x)
)</f>
        <v>-</v>
      </c>
      <c r="AG188" s="55" t="str">
        <f>_xlfn.LET(
 _xlpm.x,
 _xlfn.MAXIFS(
  raw_stack!G$2:G$100000,
  raw_stack!D$2:D$100000, G188,
  raw_stack!F$2:F$100000, "Iya",
  raw_stack!G$2:G$100000, "&gt;="&amp;DATE(2026,4,1),
  raw_stack!G$2:G$100000, "&lt;="&amp;EOMONTH(DATE(2026,4,1),0)
 ),
 IF(_xlpm.x=0, "-", _xlpm.x)
)</f>
        <v>-</v>
      </c>
      <c r="AH188" s="56" t="str">
        <f>_xlfn.LET(
 _xlpm.x,
 _xlfn.MAXIFS(
  raw_stack!H$2:H$100000,
  raw_stack!D$2:D$100000, G188,
  raw_stack!F$2:F$100000, "Iya",
  raw_stack!G$2:G$100000, "&gt;="&amp;DATE(2026,4,1),
  raw_stack!G$2:G$100000, "&lt;="&amp;EOMONTH(DATE(2026,4,1),0)
 ),
 IF(OR(_xlpm.x=0, _xlpm.x=""), "-", _xlpm.x)
)</f>
        <v>-</v>
      </c>
    </row>
    <row r="189" spans="1:34">
      <c r="A189" s="48">
        <v>188</v>
      </c>
      <c r="B189" s="49" t="str">
        <f t="shared" si="3"/>
        <v>49939</v>
      </c>
      <c r="C189" s="50" t="s">
        <v>46</v>
      </c>
      <c r="D189" s="51" t="s">
        <v>623</v>
      </c>
      <c r="E189" s="51" t="s">
        <v>54</v>
      </c>
      <c r="F189" s="49" t="s">
        <v>117</v>
      </c>
      <c r="G189" s="49" t="s">
        <v>305</v>
      </c>
      <c r="H189" s="49" t="s">
        <v>48</v>
      </c>
      <c r="I189" s="49" t="s">
        <v>52</v>
      </c>
      <c r="J189" s="52">
        <v>6600000</v>
      </c>
      <c r="K189" s="53">
        <v>45642</v>
      </c>
      <c r="L189" s="53">
        <v>46736</v>
      </c>
      <c r="M189" s="53">
        <v>46068</v>
      </c>
      <c r="N189" s="49" t="s">
        <v>50</v>
      </c>
      <c r="O189" s="54" t="str">
        <f>_xlfn.LET(
 _xlpm.x,
 _xlfn.MAXIFS(
  raw_stack!G$2:G$100000,
  raw_stack!D$2:D$100000, G189,
  raw_stack!F$2:F$100000, "Iya",
  raw_stack!G$2:G$100000, "&gt;="&amp;DATE(2025,7,1),
  raw_stack!G$2:G$100000, "&lt;="&amp;EOMONTH(DATE(2025,7,1),0)
 ),
 IF(_xlpm.x=0, "-", _xlpm.x)
)</f>
        <v>-</v>
      </c>
      <c r="P189" s="65" t="str">
        <f>_xlfn.LET(
 _xlpm.x,
 _xlfn.MAXIFS(
  raw_stack!H$2:H$100000,
  raw_stack!D$2:D$100000, G189,
  raw_stack!F$2:F$100000, "Iya",
  raw_stack!G$2:G$100000, "&gt;="&amp;DATE(2025,7,1),
  raw_stack!G$2:G$100000, "&lt;="&amp;EOMONTH(DATE(2025,7,1),0)
 ),
 IF(OR(_xlpm.x=0, _xlpm.x=""), "-", _xlpm.x)
)</f>
        <v>-</v>
      </c>
      <c r="Q189" s="54">
        <f>_xlfn.LET(
 _xlpm.x,
 _xlfn.MAXIFS(
  raw_stack!G$2:G$99411,
  raw_stack!D$2:D$99411, G189,
  raw_stack!F$2:F$99411, "Iya",
  raw_stack!G$2:G$99411, "&gt;="&amp;DATE(2025,8,1),
  raw_stack!G$2:G$99411, "&lt;="&amp;EOMONTH(DATE(2025,8,1),0)
 ),
 IF(_xlpm.x=0, "-", _xlpm.x)
)</f>
        <v>45881</v>
      </c>
      <c r="R189" s="65">
        <f>_xlfn.LET(
 _xlpm.x,
 _xlfn.MAXIFS(
  raw_stack!H$2:H$100000,
  raw_stack!D$2:D$100000, G189,
  raw_stack!F$2:F$100000, "Iya",
  raw_stack!G$2:G$100000, "&gt;="&amp;DATE(2025,8,1),
  raw_stack!G$2:G$100000, "&lt;="&amp;EOMONTH(DATE(2025,8,1),0)
 ),
 IF(OR(_xlpm.x=0, _xlpm.x=""), "-", _xlpm.x)
)</f>
        <v>21649</v>
      </c>
      <c r="S189" s="54" t="str">
        <f>_xlfn.LET(
 _xlpm.x,
 _xlfn.MAXIFS(
  raw_stack!G$2:G$99411,
  raw_stack!D$2:D$99411, G189,
  raw_stack!F$2:F$99411, "Iya",
  raw_stack!G$2:G$99411, "&gt;="&amp;DATE(2025,9,1),
  raw_stack!G$2:G$99411, "&lt;="&amp;EOMONTH(DATE(2025,9,1),0)
 ),
 IF(_xlpm.x=0, "-", _xlpm.x)
)</f>
        <v>-</v>
      </c>
      <c r="T189" s="65" t="str">
        <f>_xlfn.LET(
 _xlpm.x,
 _xlfn.MAXIFS(
  raw_stack!H$2:H$100000,
  raw_stack!D$2:D$100000, G189,
  raw_stack!F$2:F$100000, "Iya",
  raw_stack!G$2:G$100000, "&gt;="&amp;DATE(2025,9,1),
  raw_stack!G$2:G$100000, "&lt;="&amp;EOMONTH(DATE(2025,9,1),0)
 ),
 IF(OR(_xlpm.x=0, _xlpm.x=""), "-", _xlpm.x)
)</f>
        <v>-</v>
      </c>
      <c r="U189" s="54">
        <f>_xlfn.LET(
 _xlpm.x,
 _xlfn.MAXIFS(
  raw_stack!G$2:G$99411,
  raw_stack!D$2:D$99411, G189,
  raw_stack!F$2:F$99411, "Iya",
  raw_stack!G$2:G$99411, "&gt;="&amp;DATE(2025,10,1),
  raw_stack!G$2:G$99411, "&lt;="&amp;EOMONTH(DATE(2025,10,1),0)
 ),
 IF(_xlpm.x=0, "-", _xlpm.x)
)</f>
        <v>45946</v>
      </c>
      <c r="V189" s="65">
        <f>_xlfn.LET(
 _xlpm.x,
 _xlfn.MAXIFS(
  raw_stack!H$2:H$100000,
  raw_stack!D$2:D$100000, G189,
  raw_stack!F$2:F$100000, "Iya",
  raw_stack!G$2:G$100000, "&gt;="&amp;DATE(2025,10,1),
  raw_stack!G$2:G$100000, "&lt;="&amp;EOMONTH(DATE(2025,10,1),0)
 ),
 IF(OR(_xlpm.x=0, _xlpm.x=""), "-", _xlpm.x)
)</f>
        <v>28552</v>
      </c>
      <c r="W189" s="55" t="str">
        <f>_xlfn.LET(
 _xlpm.x,
 _xlfn.MAXIFS(
  raw_stack!G$2:G$99411,
  raw_stack!D$2:D$99411, G189,
  raw_stack!F$2:F$99411, "Iya",
  raw_stack!G$2:G$99411, "&gt;="&amp;DATE(2025,11,1),
  raw_stack!G$2:G$99411, "&lt;="&amp;EOMONTH(DATE(2025,11,1),0)
 ),
 IF(_xlpm.x=0, "-", _xlpm.x)
)</f>
        <v>-</v>
      </c>
      <c r="X189" s="56" t="str">
        <f>_xlfn.LET(
 _xlpm.x,
 _xlfn.MAXIFS(
  raw_stack!H$2:H$100000,
  raw_stack!D$2:D$100000, G189,
  raw_stack!F$2:F$100000, "Iya",
  raw_stack!G$2:G$100000, "&gt;="&amp;DATE(2025,11,1),
  raw_stack!G$2:G$100000, "&lt;="&amp;EOMONTH(DATE(2025,11,1),0)
 ),
 IF(OR(_xlpm.x=0, _xlpm.x=""), "-", _xlpm.x)
)</f>
        <v>-</v>
      </c>
      <c r="Y189" s="55" t="str">
        <f>_xlfn.LET(
 _xlpm.x,
 _xlfn.MAXIFS(
  raw_stack!G$2:G$99411,
  raw_stack!D$2:D$99411, G189,
  raw_stack!F$2:F$99411, "Iya",
  raw_stack!G$2:G$99411, "&gt;="&amp;DATE(2025,12,1),
  raw_stack!G$2:G$99411, "&lt;="&amp;EOMONTH(DATE(2025,12,1),0)
 ),
 IF(_xlpm.x=0, "-", _xlpm.x)
)</f>
        <v>-</v>
      </c>
      <c r="Z189" s="56" t="str">
        <f>_xlfn.LET(
 _xlpm.x,
 _xlfn.MAXIFS(
  raw_stack!H$2:H$100000,
  raw_stack!D$2:D$100000, G189,
  raw_stack!F$2:F$100000, "Iya",
  raw_stack!G$2:G$100000, "&gt;="&amp;DATE(2025,12,1),
  raw_stack!G$2:G$100000, "&lt;="&amp;EOMONTH(DATE(2025,12,1),0)
 ),
 IF(OR(_xlpm.x=0, _xlpm.x=""), "-", _xlpm.x)
)</f>
        <v>-</v>
      </c>
      <c r="AA189" s="55">
        <f>_xlfn.LET(
 _xlpm.x,
 _xlfn.MAXIFS(
  raw_stack!G$2:G$99411,
  raw_stack!D$2:D$99411, G189,
  raw_stack!F$2:F$99411, "Iya",
  raw_stack!G$2:G$99411, "&gt;="&amp;DATE(2026,1,1),
  raw_stack!G$2:G$99411, "&lt;="&amp;EOMONTH(DATE(2026,1,1),0)
 ),
 IF(_xlpm.x=0, "-", _xlpm.x)
)</f>
        <v>46035</v>
      </c>
      <c r="AB189" s="56">
        <f>_xlfn.LET(
 _xlpm.x,
 _xlfn.MAXIFS(
  raw_stack!H$2:H$100000,
  raw_stack!D$2:D$100000, G189,
  raw_stack!F$2:F$100000, "Iya",
  raw_stack!G$2:G$100000, "&gt;="&amp;DATE(2026,1,1),
  raw_stack!G$2:G$100000, "&lt;="&amp;EOMONTH(DATE(2026,1,1),0)
 ),
 IF(OR(_xlpm.x=0, _xlpm.x=""), "-", _xlpm.x)
)</f>
        <v>34269</v>
      </c>
      <c r="AC189" s="55">
        <f>_xlfn.LET(
 _xlpm.x,
 _xlfn.MAXIFS(
  raw_stack!G$2:G$99411,
  raw_stack!D$2:D$99411, G189,
  raw_stack!F$2:F$99411, "Iya",
  raw_stack!G$2:G$99411, "&gt;="&amp;DATE(2026,2,1),
  raw_stack!G$2:G$99411, "&lt;="&amp;EOMONTH(DATE(2026,2,1),0)
 ),
 IF(_xlpm.x=0, "-", _xlpm.x)
)</f>
        <v>46077</v>
      </c>
      <c r="AD189" s="56">
        <f>_xlfn.LET(
 _xlpm.x,
 _xlfn.MAXIFS(
  raw_stack!H$2:H$100000,
  raw_stack!D$2:D$100000, G189,
  raw_stack!F$2:F$100000, "Iya",
  raw_stack!G$2:G$100000, "&gt;="&amp;DATE(2026,2,1),
  raw_stack!G$2:G$100000, "&lt;="&amp;EOMONTH(DATE(2026,2,1),0)
 ),
 IF(OR(_xlpm.x=0, _xlpm.x=""), "-", _xlpm.x)
)</f>
        <v>40167</v>
      </c>
      <c r="AE189" s="55" t="str">
        <f>_xlfn.LET(
 _xlpm.x,
 _xlfn.MAXIFS(
  raw_stack!G$2:G$100000,
  raw_stack!D$2:D$100000, G189,
  raw_stack!F$2:F$100000, "Iya",
  raw_stack!G$2:G$100000, "&gt;="&amp;DATE(2026,3,1),
  raw_stack!G$2:G$100000, "&lt;="&amp;EOMONTH(DATE(2026,3,1),0)
 ),
 IF(_xlpm.x=0, "-", _xlpm.x)
)</f>
        <v>-</v>
      </c>
      <c r="AF189" s="56" t="str">
        <f>_xlfn.LET(
 _xlpm.x,
 _xlfn.MAXIFS(
  raw_stack!H$2:H$100000,
  raw_stack!D$2:D$100000, G189,
  raw_stack!F$2:F$100000, "Iya",
  raw_stack!G$2:G$100000, "&gt;="&amp;DATE(2026,3,1),
  raw_stack!G$2:G$100000, "&lt;="&amp;EOMONTH(DATE(2026,3,1),0)
 ),
 IF(OR(_xlpm.x=0, _xlpm.x=""), "-", _xlpm.x)
)</f>
        <v>-</v>
      </c>
      <c r="AG189" s="55">
        <f>_xlfn.LET(
 _xlpm.x,
 _xlfn.MAXIFS(
  raw_stack!G$2:G$100000,
  raw_stack!D$2:D$100000, G189,
  raw_stack!F$2:F$100000, "Iya",
  raw_stack!G$2:G$100000, "&gt;="&amp;DATE(2026,4,1),
  raw_stack!G$2:G$100000, "&lt;="&amp;EOMONTH(DATE(2026,4,1),0)
 ),
 IF(_xlpm.x=0, "-", _xlpm.x)
)</f>
        <v>46127</v>
      </c>
      <c r="AH189" s="56">
        <f>_xlfn.LET(
 _xlpm.x,
 _xlfn.MAXIFS(
  raw_stack!H$2:H$100000,
  raw_stack!D$2:D$100000, G189,
  raw_stack!F$2:F$100000, "Iya",
  raw_stack!G$2:G$100000, "&gt;="&amp;DATE(2026,4,1),
  raw_stack!G$2:G$100000, "&lt;="&amp;EOMONTH(DATE(2026,4,1),0)
 ),
 IF(OR(_xlpm.x=0, _xlpm.x=""), "-", _xlpm.x)
)</f>
        <v>42366</v>
      </c>
    </row>
    <row r="190" spans="1:34">
      <c r="A190" s="48">
        <v>189</v>
      </c>
      <c r="B190" s="49" t="str">
        <f t="shared" si="3"/>
        <v>92767</v>
      </c>
      <c r="C190" s="50" t="s">
        <v>46</v>
      </c>
      <c r="D190" s="51" t="s">
        <v>624</v>
      </c>
      <c r="E190" s="51" t="s">
        <v>51</v>
      </c>
      <c r="F190" s="49" t="s">
        <v>117</v>
      </c>
      <c r="G190" s="49" t="s">
        <v>306</v>
      </c>
      <c r="H190" s="49" t="s">
        <v>48</v>
      </c>
      <c r="I190" s="49" t="s">
        <v>52</v>
      </c>
      <c r="J190" s="52">
        <v>3880000</v>
      </c>
      <c r="K190" s="53">
        <v>45645</v>
      </c>
      <c r="L190" s="53">
        <v>46739</v>
      </c>
      <c r="M190" s="53">
        <v>46099</v>
      </c>
      <c r="N190" s="49" t="s">
        <v>50</v>
      </c>
      <c r="O190" s="54" t="str">
        <f>_xlfn.LET(
 _xlpm.x,
 _xlfn.MAXIFS(
  raw_stack!G$2:G$100000,
  raw_stack!D$2:D$100000, G190,
  raw_stack!F$2:F$100000, "Iya",
  raw_stack!G$2:G$100000, "&gt;="&amp;DATE(2025,7,1),
  raw_stack!G$2:G$100000, "&lt;="&amp;EOMONTH(DATE(2025,7,1),0)
 ),
 IF(_xlpm.x=0, "-", _xlpm.x)
)</f>
        <v>-</v>
      </c>
      <c r="P190" s="65" t="str">
        <f>_xlfn.LET(
 _xlpm.x,
 _xlfn.MAXIFS(
  raw_stack!H$2:H$100000,
  raw_stack!D$2:D$100000, G190,
  raw_stack!F$2:F$100000, "Iya",
  raw_stack!G$2:G$100000, "&gt;="&amp;DATE(2025,7,1),
  raw_stack!G$2:G$100000, "&lt;="&amp;EOMONTH(DATE(2025,7,1),0)
 ),
 IF(OR(_xlpm.x=0, _xlpm.x=""), "-", _xlpm.x)
)</f>
        <v>-</v>
      </c>
      <c r="Q190" s="54" t="str">
        <f>_xlfn.LET(
 _xlpm.x,
 _xlfn.MAXIFS(
  raw_stack!G$2:G$99411,
  raw_stack!D$2:D$99411, G190,
  raw_stack!F$2:F$99411, "Iya",
  raw_stack!G$2:G$99411, "&gt;="&amp;DATE(2025,8,1),
  raw_stack!G$2:G$99411, "&lt;="&amp;EOMONTH(DATE(2025,8,1),0)
 ),
 IF(_xlpm.x=0, "-", _xlpm.x)
)</f>
        <v>-</v>
      </c>
      <c r="R190" s="65" t="str">
        <f>_xlfn.LET(
 _xlpm.x,
 _xlfn.MAXIFS(
  raw_stack!H$2:H$100000,
  raw_stack!D$2:D$100000, G190,
  raw_stack!F$2:F$100000, "Iya",
  raw_stack!G$2:G$100000, "&gt;="&amp;DATE(2025,8,1),
  raw_stack!G$2:G$100000, "&lt;="&amp;EOMONTH(DATE(2025,8,1),0)
 ),
 IF(OR(_xlpm.x=0, _xlpm.x=""), "-", _xlpm.x)
)</f>
        <v>-</v>
      </c>
      <c r="S190" s="54" t="str">
        <f>_xlfn.LET(
 _xlpm.x,
 _xlfn.MAXIFS(
  raw_stack!G$2:G$99411,
  raw_stack!D$2:D$99411, G190,
  raw_stack!F$2:F$99411, "Iya",
  raw_stack!G$2:G$99411, "&gt;="&amp;DATE(2025,9,1),
  raw_stack!G$2:G$99411, "&lt;="&amp;EOMONTH(DATE(2025,9,1),0)
 ),
 IF(_xlpm.x=0, "-", _xlpm.x)
)</f>
        <v>-</v>
      </c>
      <c r="T190" s="65" t="str">
        <f>_xlfn.LET(
 _xlpm.x,
 _xlfn.MAXIFS(
  raw_stack!H$2:H$100000,
  raw_stack!D$2:D$100000, G190,
  raw_stack!F$2:F$100000, "Iya",
  raw_stack!G$2:G$100000, "&gt;="&amp;DATE(2025,9,1),
  raw_stack!G$2:G$100000, "&lt;="&amp;EOMONTH(DATE(2025,9,1),0)
 ),
 IF(OR(_xlpm.x=0, _xlpm.x=""), "-", _xlpm.x)
)</f>
        <v>-</v>
      </c>
      <c r="U190" s="54" t="str">
        <f>_xlfn.LET(
 _xlpm.x,
 _xlfn.MAXIFS(
  raw_stack!G$2:G$99411,
  raw_stack!D$2:D$99411, G190,
  raw_stack!F$2:F$99411, "Iya",
  raw_stack!G$2:G$99411, "&gt;="&amp;DATE(2025,10,1),
  raw_stack!G$2:G$99411, "&lt;="&amp;EOMONTH(DATE(2025,10,1),0)
 ),
 IF(_xlpm.x=0, "-", _xlpm.x)
)</f>
        <v>-</v>
      </c>
      <c r="V190" s="65" t="str">
        <f>_xlfn.LET(
 _xlpm.x,
 _xlfn.MAXIFS(
  raw_stack!H$2:H$100000,
  raw_stack!D$2:D$100000, G190,
  raw_stack!F$2:F$100000, "Iya",
  raw_stack!G$2:G$100000, "&gt;="&amp;DATE(2025,10,1),
  raw_stack!G$2:G$100000, "&lt;="&amp;EOMONTH(DATE(2025,10,1),0)
 ),
 IF(OR(_xlpm.x=0, _xlpm.x=""), "-", _xlpm.x)
)</f>
        <v>-</v>
      </c>
      <c r="W190" s="55" t="str">
        <f>_xlfn.LET(
 _xlpm.x,
 _xlfn.MAXIFS(
  raw_stack!G$2:G$99411,
  raw_stack!D$2:D$99411, G190,
  raw_stack!F$2:F$99411, "Iya",
  raw_stack!G$2:G$99411, "&gt;="&amp;DATE(2025,11,1),
  raw_stack!G$2:G$99411, "&lt;="&amp;EOMONTH(DATE(2025,11,1),0)
 ),
 IF(_xlpm.x=0, "-", _xlpm.x)
)</f>
        <v>-</v>
      </c>
      <c r="X190" s="56" t="str">
        <f>_xlfn.LET(
 _xlpm.x,
 _xlfn.MAXIFS(
  raw_stack!H$2:H$100000,
  raw_stack!D$2:D$100000, G190,
  raw_stack!F$2:F$100000, "Iya",
  raw_stack!G$2:G$100000, "&gt;="&amp;DATE(2025,11,1),
  raw_stack!G$2:G$100000, "&lt;="&amp;EOMONTH(DATE(2025,11,1),0)
 ),
 IF(OR(_xlpm.x=0, _xlpm.x=""), "-", _xlpm.x)
)</f>
        <v>-</v>
      </c>
      <c r="Y190" s="55" t="str">
        <f>_xlfn.LET(
 _xlpm.x,
 _xlfn.MAXIFS(
  raw_stack!G$2:G$99411,
  raw_stack!D$2:D$99411, G190,
  raw_stack!F$2:F$99411, "Iya",
  raw_stack!G$2:G$99411, "&gt;="&amp;DATE(2025,12,1),
  raw_stack!G$2:G$99411, "&lt;="&amp;EOMONTH(DATE(2025,12,1),0)
 ),
 IF(_xlpm.x=0, "-", _xlpm.x)
)</f>
        <v>-</v>
      </c>
      <c r="Z190" s="56" t="str">
        <f>_xlfn.LET(
 _xlpm.x,
 _xlfn.MAXIFS(
  raw_stack!H$2:H$100000,
  raw_stack!D$2:D$100000, G190,
  raw_stack!F$2:F$100000, "Iya",
  raw_stack!G$2:G$100000, "&gt;="&amp;DATE(2025,12,1),
  raw_stack!G$2:G$100000, "&lt;="&amp;EOMONTH(DATE(2025,12,1),0)
 ),
 IF(OR(_xlpm.x=0, _xlpm.x=""), "-", _xlpm.x)
)</f>
        <v>-</v>
      </c>
      <c r="AA190" s="55" t="str">
        <f>_xlfn.LET(
 _xlpm.x,
 _xlfn.MAXIFS(
  raw_stack!G$2:G$99411,
  raw_stack!D$2:D$99411, G190,
  raw_stack!F$2:F$99411, "Iya",
  raw_stack!G$2:G$99411, "&gt;="&amp;DATE(2026,1,1),
  raw_stack!G$2:G$99411, "&lt;="&amp;EOMONTH(DATE(2026,1,1),0)
 ),
 IF(_xlpm.x=0, "-", _xlpm.x)
)</f>
        <v>-</v>
      </c>
      <c r="AB190" s="56" t="str">
        <f>_xlfn.LET(
 _xlpm.x,
 _xlfn.MAXIFS(
  raw_stack!H$2:H$100000,
  raw_stack!D$2:D$100000, G190,
  raw_stack!F$2:F$100000, "Iya",
  raw_stack!G$2:G$100000, "&gt;="&amp;DATE(2026,1,1),
  raw_stack!G$2:G$100000, "&lt;="&amp;EOMONTH(DATE(2026,1,1),0)
 ),
 IF(OR(_xlpm.x=0, _xlpm.x=""), "-", _xlpm.x)
)</f>
        <v>-</v>
      </c>
      <c r="AC190" s="55" t="str">
        <f>_xlfn.LET(
 _xlpm.x,
 _xlfn.MAXIFS(
  raw_stack!G$2:G$99411,
  raw_stack!D$2:D$99411, G190,
  raw_stack!F$2:F$99411, "Iya",
  raw_stack!G$2:G$99411, "&gt;="&amp;DATE(2026,2,1),
  raw_stack!G$2:G$99411, "&lt;="&amp;EOMONTH(DATE(2026,2,1),0)
 ),
 IF(_xlpm.x=0, "-", _xlpm.x)
)</f>
        <v>-</v>
      </c>
      <c r="AD190" s="56" t="str">
        <f>_xlfn.LET(
 _xlpm.x,
 _xlfn.MAXIFS(
  raw_stack!H$2:H$100000,
  raw_stack!D$2:D$100000, G190,
  raw_stack!F$2:F$100000, "Iya",
  raw_stack!G$2:G$100000, "&gt;="&amp;DATE(2026,2,1),
  raw_stack!G$2:G$100000, "&lt;="&amp;EOMONTH(DATE(2026,2,1),0)
 ),
 IF(OR(_xlpm.x=0, _xlpm.x=""), "-", _xlpm.x)
)</f>
        <v>-</v>
      </c>
      <c r="AE190" s="55">
        <f>_xlfn.LET(
 _xlpm.x,
 _xlfn.MAXIFS(
  raw_stack!G$2:G$100000,
  raw_stack!D$2:D$100000, G190,
  raw_stack!F$2:F$100000, "Iya",
  raw_stack!G$2:G$100000, "&gt;="&amp;DATE(2026,3,1),
  raw_stack!G$2:G$100000, "&lt;="&amp;EOMONTH(DATE(2026,3,1),0)
 ),
 IF(_xlpm.x=0, "-", _xlpm.x)
)</f>
        <v>46106</v>
      </c>
      <c r="AF190" s="56">
        <f>_xlfn.LET(
 _xlpm.x,
 _xlfn.MAXIFS(
  raw_stack!H$2:H$100000,
  raw_stack!D$2:D$100000, G190,
  raw_stack!F$2:F$100000, "Iya",
  raw_stack!G$2:G$100000, "&gt;="&amp;DATE(2026,3,1),
  raw_stack!G$2:G$100000, "&lt;="&amp;EOMONTH(DATE(2026,3,1),0)
 ),
 IF(OR(_xlpm.x=0, _xlpm.x=""), "-", _xlpm.x)
)</f>
        <v>30144</v>
      </c>
      <c r="AG190" s="55" t="str">
        <f>_xlfn.LET(
 _xlpm.x,
 _xlfn.MAXIFS(
  raw_stack!G$2:G$100000,
  raw_stack!D$2:D$100000, G190,
  raw_stack!F$2:F$100000, "Iya",
  raw_stack!G$2:G$100000, "&gt;="&amp;DATE(2026,4,1),
  raw_stack!G$2:G$100000, "&lt;="&amp;EOMONTH(DATE(2026,4,1),0)
 ),
 IF(_xlpm.x=0, "-", _xlpm.x)
)</f>
        <v>-</v>
      </c>
      <c r="AH190" s="56" t="str">
        <f>_xlfn.LET(
 _xlpm.x,
 _xlfn.MAXIFS(
  raw_stack!H$2:H$100000,
  raw_stack!D$2:D$100000, G190,
  raw_stack!F$2:F$100000, "Iya",
  raw_stack!G$2:G$100000, "&gt;="&amp;DATE(2026,4,1),
  raw_stack!G$2:G$100000, "&lt;="&amp;EOMONTH(DATE(2026,4,1),0)
 ),
 IF(OR(_xlpm.x=0, _xlpm.x=""), "-", _xlpm.x)
)</f>
        <v>-</v>
      </c>
    </row>
    <row r="191" spans="1:34">
      <c r="A191" s="48">
        <v>190</v>
      </c>
      <c r="B191" s="49" t="str">
        <f t="shared" si="3"/>
        <v>64805</v>
      </c>
      <c r="C191" s="50" t="s">
        <v>46</v>
      </c>
      <c r="D191" s="51" t="s">
        <v>625</v>
      </c>
      <c r="E191" s="51" t="s">
        <v>51</v>
      </c>
      <c r="F191" s="49" t="s">
        <v>117</v>
      </c>
      <c r="G191" s="49" t="s">
        <v>307</v>
      </c>
      <c r="H191" s="49" t="s">
        <v>48</v>
      </c>
      <c r="I191" s="49" t="s">
        <v>52</v>
      </c>
      <c r="J191" s="52">
        <v>3880000</v>
      </c>
      <c r="K191" s="53">
        <v>45654</v>
      </c>
      <c r="L191" s="53">
        <v>46748</v>
      </c>
      <c r="M191" s="53">
        <v>46108</v>
      </c>
      <c r="N191" s="49" t="s">
        <v>50</v>
      </c>
      <c r="O191" s="54" t="str">
        <f>_xlfn.LET(
 _xlpm.x,
 _xlfn.MAXIFS(
  raw_stack!G$2:G$100000,
  raw_stack!D$2:D$100000, G191,
  raw_stack!F$2:F$100000, "Iya",
  raw_stack!G$2:G$100000, "&gt;="&amp;DATE(2025,7,1),
  raw_stack!G$2:G$100000, "&lt;="&amp;EOMONTH(DATE(2025,7,1),0)
 ),
 IF(_xlpm.x=0, "-", _xlpm.x)
)</f>
        <v>-</v>
      </c>
      <c r="P191" s="65" t="str">
        <f>_xlfn.LET(
 _xlpm.x,
 _xlfn.MAXIFS(
  raw_stack!H$2:H$100000,
  raw_stack!D$2:D$100000, G191,
  raw_stack!F$2:F$100000, "Iya",
  raw_stack!G$2:G$100000, "&gt;="&amp;DATE(2025,7,1),
  raw_stack!G$2:G$100000, "&lt;="&amp;EOMONTH(DATE(2025,7,1),0)
 ),
 IF(OR(_xlpm.x=0, _xlpm.x=""), "-", _xlpm.x)
)</f>
        <v>-</v>
      </c>
      <c r="Q191" s="54" t="str">
        <f>_xlfn.LET(
 _xlpm.x,
 _xlfn.MAXIFS(
  raw_stack!G$2:G$99411,
  raw_stack!D$2:D$99411, G191,
  raw_stack!F$2:F$99411, "Iya",
  raw_stack!G$2:G$99411, "&gt;="&amp;DATE(2025,8,1),
  raw_stack!G$2:G$99411, "&lt;="&amp;EOMONTH(DATE(2025,8,1),0)
 ),
 IF(_xlpm.x=0, "-", _xlpm.x)
)</f>
        <v>-</v>
      </c>
      <c r="R191" s="65" t="str">
        <f>_xlfn.LET(
 _xlpm.x,
 _xlfn.MAXIFS(
  raw_stack!H$2:H$100000,
  raw_stack!D$2:D$100000, G191,
  raw_stack!F$2:F$100000, "Iya",
  raw_stack!G$2:G$100000, "&gt;="&amp;DATE(2025,8,1),
  raw_stack!G$2:G$100000, "&lt;="&amp;EOMONTH(DATE(2025,8,1),0)
 ),
 IF(OR(_xlpm.x=0, _xlpm.x=""), "-", _xlpm.x)
)</f>
        <v>-</v>
      </c>
      <c r="S191" s="54">
        <f>_xlfn.LET(
 _xlpm.x,
 _xlfn.MAXIFS(
  raw_stack!G$2:G$99411,
  raw_stack!D$2:D$99411, G191,
  raw_stack!F$2:F$99411, "Iya",
  raw_stack!G$2:G$99411, "&gt;="&amp;DATE(2025,9,1),
  raw_stack!G$2:G$99411, "&lt;="&amp;EOMONTH(DATE(2025,9,1),0)
 ),
 IF(_xlpm.x=0, "-", _xlpm.x)
)</f>
        <v>45920</v>
      </c>
      <c r="T191" s="65">
        <f>_xlfn.LET(
 _xlpm.x,
 _xlfn.MAXIFS(
  raw_stack!H$2:H$100000,
  raw_stack!D$2:D$100000, G191,
  raw_stack!F$2:F$100000, "Iya",
  raw_stack!G$2:G$100000, "&gt;="&amp;DATE(2025,9,1),
  raw_stack!G$2:G$100000, "&lt;="&amp;EOMONTH(DATE(2025,9,1),0)
 ),
 IF(OR(_xlpm.x=0, _xlpm.x=""), "-", _xlpm.x)
)</f>
        <v>26226</v>
      </c>
      <c r="U191" s="54" t="str">
        <f>_xlfn.LET(
 _xlpm.x,
 _xlfn.MAXIFS(
  raw_stack!G$2:G$99411,
  raw_stack!D$2:D$99411, G191,
  raw_stack!F$2:F$99411, "Iya",
  raw_stack!G$2:G$99411, "&gt;="&amp;DATE(2025,10,1),
  raw_stack!G$2:G$99411, "&lt;="&amp;EOMONTH(DATE(2025,10,1),0)
 ),
 IF(_xlpm.x=0, "-", _xlpm.x)
)</f>
        <v>-</v>
      </c>
      <c r="V191" s="65" t="str">
        <f>_xlfn.LET(
 _xlpm.x,
 _xlfn.MAXIFS(
  raw_stack!H$2:H$100000,
  raw_stack!D$2:D$100000, G191,
  raw_stack!F$2:F$100000, "Iya",
  raw_stack!G$2:G$100000, "&gt;="&amp;DATE(2025,10,1),
  raw_stack!G$2:G$100000, "&lt;="&amp;EOMONTH(DATE(2025,10,1),0)
 ),
 IF(OR(_xlpm.x=0, _xlpm.x=""), "-", _xlpm.x)
)</f>
        <v>-</v>
      </c>
      <c r="W191" s="55" t="str">
        <f>_xlfn.LET(
 _xlpm.x,
 _xlfn.MAXIFS(
  raw_stack!G$2:G$99411,
  raw_stack!D$2:D$99411, G191,
  raw_stack!F$2:F$99411, "Iya",
  raw_stack!G$2:G$99411, "&gt;="&amp;DATE(2025,11,1),
  raw_stack!G$2:G$99411, "&lt;="&amp;EOMONTH(DATE(2025,11,1),0)
 ),
 IF(_xlpm.x=0, "-", _xlpm.x)
)</f>
        <v>-</v>
      </c>
      <c r="X191" s="56" t="str">
        <f>_xlfn.LET(
 _xlpm.x,
 _xlfn.MAXIFS(
  raw_stack!H$2:H$100000,
  raw_stack!D$2:D$100000, G191,
  raw_stack!F$2:F$100000, "Iya",
  raw_stack!G$2:G$100000, "&gt;="&amp;DATE(2025,11,1),
  raw_stack!G$2:G$100000, "&lt;="&amp;EOMONTH(DATE(2025,11,1),0)
 ),
 IF(OR(_xlpm.x=0, _xlpm.x=""), "-", _xlpm.x)
)</f>
        <v>-</v>
      </c>
      <c r="Y191" s="55" t="str">
        <f>_xlfn.LET(
 _xlpm.x,
 _xlfn.MAXIFS(
  raw_stack!G$2:G$99411,
  raw_stack!D$2:D$99411, G191,
  raw_stack!F$2:F$99411, "Iya",
  raw_stack!G$2:G$99411, "&gt;="&amp;DATE(2025,12,1),
  raw_stack!G$2:G$99411, "&lt;="&amp;EOMONTH(DATE(2025,12,1),0)
 ),
 IF(_xlpm.x=0, "-", _xlpm.x)
)</f>
        <v>-</v>
      </c>
      <c r="Z191" s="56" t="str">
        <f>_xlfn.LET(
 _xlpm.x,
 _xlfn.MAXIFS(
  raw_stack!H$2:H$100000,
  raw_stack!D$2:D$100000, G191,
  raw_stack!F$2:F$100000, "Iya",
  raw_stack!G$2:G$100000, "&gt;="&amp;DATE(2025,12,1),
  raw_stack!G$2:G$100000, "&lt;="&amp;EOMONTH(DATE(2025,12,1),0)
 ),
 IF(OR(_xlpm.x=0, _xlpm.x=""), "-", _xlpm.x)
)</f>
        <v>-</v>
      </c>
      <c r="AA191" s="55" t="str">
        <f>_xlfn.LET(
 _xlpm.x,
 _xlfn.MAXIFS(
  raw_stack!G$2:G$99411,
  raw_stack!D$2:D$99411, G191,
  raw_stack!F$2:F$99411, "Iya",
  raw_stack!G$2:G$99411, "&gt;="&amp;DATE(2026,1,1),
  raw_stack!G$2:G$99411, "&lt;="&amp;EOMONTH(DATE(2026,1,1),0)
 ),
 IF(_xlpm.x=0, "-", _xlpm.x)
)</f>
        <v>-</v>
      </c>
      <c r="AB191" s="56" t="str">
        <f>_xlfn.LET(
 _xlpm.x,
 _xlfn.MAXIFS(
  raw_stack!H$2:H$100000,
  raw_stack!D$2:D$100000, G191,
  raw_stack!F$2:F$100000, "Iya",
  raw_stack!G$2:G$100000, "&gt;="&amp;DATE(2026,1,1),
  raw_stack!G$2:G$100000, "&lt;="&amp;EOMONTH(DATE(2026,1,1),0)
 ),
 IF(OR(_xlpm.x=0, _xlpm.x=""), "-", _xlpm.x)
)</f>
        <v>-</v>
      </c>
      <c r="AC191" s="55">
        <f>_xlfn.LET(
 _xlpm.x,
 _xlfn.MAXIFS(
  raw_stack!G$2:G$99411,
  raw_stack!D$2:D$99411, G191,
  raw_stack!F$2:F$99411, "Iya",
  raw_stack!G$2:G$99411, "&gt;="&amp;DATE(2026,2,1),
  raw_stack!G$2:G$99411, "&lt;="&amp;EOMONTH(DATE(2026,2,1),0)
 ),
 IF(_xlpm.x=0, "-", _xlpm.x)
)</f>
        <v>46079</v>
      </c>
      <c r="AD191" s="56">
        <f>_xlfn.LET(
 _xlpm.x,
 _xlfn.MAXIFS(
  raw_stack!H$2:H$100000,
  raw_stack!D$2:D$100000, G191,
  raw_stack!F$2:F$100000, "Iya",
  raw_stack!G$2:G$100000, "&gt;="&amp;DATE(2026,2,1),
  raw_stack!G$2:G$100000, "&lt;="&amp;EOMONTH(DATE(2026,2,1),0)
 ),
 IF(OR(_xlpm.x=0, _xlpm.x=""), "-", _xlpm.x)
)</f>
        <v>31724</v>
      </c>
      <c r="AE191" s="55" t="str">
        <f>_xlfn.LET(
 _xlpm.x,
 _xlfn.MAXIFS(
  raw_stack!G$2:G$100000,
  raw_stack!D$2:D$100000, G191,
  raw_stack!F$2:F$100000, "Iya",
  raw_stack!G$2:G$100000, "&gt;="&amp;DATE(2026,3,1),
  raw_stack!G$2:G$100000, "&lt;="&amp;EOMONTH(DATE(2026,3,1),0)
 ),
 IF(_xlpm.x=0, "-", _xlpm.x)
)</f>
        <v>-</v>
      </c>
      <c r="AF191" s="56" t="str">
        <f>_xlfn.LET(
 _xlpm.x,
 _xlfn.MAXIFS(
  raw_stack!H$2:H$100000,
  raw_stack!D$2:D$100000, G191,
  raw_stack!F$2:F$100000, "Iya",
  raw_stack!G$2:G$100000, "&gt;="&amp;DATE(2026,3,1),
  raw_stack!G$2:G$100000, "&lt;="&amp;EOMONTH(DATE(2026,3,1),0)
 ),
 IF(OR(_xlpm.x=0, _xlpm.x=""), "-", _xlpm.x)
)</f>
        <v>-</v>
      </c>
      <c r="AG191" s="55" t="str">
        <f>_xlfn.LET(
 _xlpm.x,
 _xlfn.MAXIFS(
  raw_stack!G$2:G$100000,
  raw_stack!D$2:D$100000, G191,
  raw_stack!F$2:F$100000, "Iya",
  raw_stack!G$2:G$100000, "&gt;="&amp;DATE(2026,4,1),
  raw_stack!G$2:G$100000, "&lt;="&amp;EOMONTH(DATE(2026,4,1),0)
 ),
 IF(_xlpm.x=0, "-", _xlpm.x)
)</f>
        <v>-</v>
      </c>
      <c r="AH191" s="56" t="str">
        <f>_xlfn.LET(
 _xlpm.x,
 _xlfn.MAXIFS(
  raw_stack!H$2:H$100000,
  raw_stack!D$2:D$100000, G191,
  raw_stack!F$2:F$100000, "Iya",
  raw_stack!G$2:G$100000, "&gt;="&amp;DATE(2026,4,1),
  raw_stack!G$2:G$100000, "&lt;="&amp;EOMONTH(DATE(2026,4,1),0)
 ),
 IF(OR(_xlpm.x=0, _xlpm.x=""), "-", _xlpm.x)
)</f>
        <v>-</v>
      </c>
    </row>
    <row r="192" spans="1:34">
      <c r="A192" s="48">
        <v>191</v>
      </c>
      <c r="B192" s="49" t="str">
        <f t="shared" si="3"/>
        <v>97904</v>
      </c>
      <c r="C192" s="50" t="s">
        <v>46</v>
      </c>
      <c r="D192" s="51" t="s">
        <v>622</v>
      </c>
      <c r="E192" s="51" t="s">
        <v>51</v>
      </c>
      <c r="F192" s="49" t="s">
        <v>117</v>
      </c>
      <c r="G192" s="49" t="s">
        <v>308</v>
      </c>
      <c r="H192" s="49" t="s">
        <v>48</v>
      </c>
      <c r="I192" s="49" t="s">
        <v>52</v>
      </c>
      <c r="J192" s="52">
        <v>3880000</v>
      </c>
      <c r="K192" s="53">
        <v>45654</v>
      </c>
      <c r="L192" s="53">
        <v>46748</v>
      </c>
      <c r="M192" s="53">
        <v>46108</v>
      </c>
      <c r="N192" s="49" t="s">
        <v>50</v>
      </c>
      <c r="O192" s="54">
        <f>_xlfn.LET(
 _xlpm.x,
 _xlfn.MAXIFS(
  raw_stack!G$2:G$100000,
  raw_stack!D$2:D$100000, G192,
  raw_stack!F$2:F$100000, "Iya",
  raw_stack!G$2:G$100000, "&gt;="&amp;DATE(2025,7,1),
  raw_stack!G$2:G$100000, "&lt;="&amp;EOMONTH(DATE(2025,7,1),0)
 ),
 IF(_xlpm.x=0, "-", _xlpm.x)
)</f>
        <v>45863</v>
      </c>
      <c r="P192" s="65">
        <f>_xlfn.LET(
 _xlpm.x,
 _xlfn.MAXIFS(
  raw_stack!H$2:H$100000,
  raw_stack!D$2:D$100000, G192,
  raw_stack!F$2:F$100000, "Iya",
  raw_stack!G$2:G$100000, "&gt;="&amp;DATE(2025,7,1),
  raw_stack!G$2:G$100000, "&lt;="&amp;EOMONTH(DATE(2025,7,1),0)
 ),
 IF(OR(_xlpm.x=0, _xlpm.x=""), "-", _xlpm.x)
)</f>
        <v>14483</v>
      </c>
      <c r="Q192" s="54" t="str">
        <f>_xlfn.LET(
 _xlpm.x,
 _xlfn.MAXIFS(
  raw_stack!G$2:G$99411,
  raw_stack!D$2:D$99411, G192,
  raw_stack!F$2:F$99411, "Iya",
  raw_stack!G$2:G$99411, "&gt;="&amp;DATE(2025,8,1),
  raw_stack!G$2:G$99411, "&lt;="&amp;EOMONTH(DATE(2025,8,1),0)
 ),
 IF(_xlpm.x=0, "-", _xlpm.x)
)</f>
        <v>-</v>
      </c>
      <c r="R192" s="65" t="str">
        <f>_xlfn.LET(
 _xlpm.x,
 _xlfn.MAXIFS(
  raw_stack!H$2:H$100000,
  raw_stack!D$2:D$100000, G192,
  raw_stack!F$2:F$100000, "Iya",
  raw_stack!G$2:G$100000, "&gt;="&amp;DATE(2025,8,1),
  raw_stack!G$2:G$100000, "&lt;="&amp;EOMONTH(DATE(2025,8,1),0)
 ),
 IF(OR(_xlpm.x=0, _xlpm.x=""), "-", _xlpm.x)
)</f>
        <v>-</v>
      </c>
      <c r="S192" s="54" t="str">
        <f>_xlfn.LET(
 _xlpm.x,
 _xlfn.MAXIFS(
  raw_stack!G$2:G$99411,
  raw_stack!D$2:D$99411, G192,
  raw_stack!F$2:F$99411, "Iya",
  raw_stack!G$2:G$99411, "&gt;="&amp;DATE(2025,9,1),
  raw_stack!G$2:G$99411, "&lt;="&amp;EOMONTH(DATE(2025,9,1),0)
 ),
 IF(_xlpm.x=0, "-", _xlpm.x)
)</f>
        <v>-</v>
      </c>
      <c r="T192" s="65" t="str">
        <f>_xlfn.LET(
 _xlpm.x,
 _xlfn.MAXIFS(
  raw_stack!H$2:H$100000,
  raw_stack!D$2:D$100000, G192,
  raw_stack!F$2:F$100000, "Iya",
  raw_stack!G$2:G$100000, "&gt;="&amp;DATE(2025,9,1),
  raw_stack!G$2:G$100000, "&lt;="&amp;EOMONTH(DATE(2025,9,1),0)
 ),
 IF(OR(_xlpm.x=0, _xlpm.x=""), "-", _xlpm.x)
)</f>
        <v>-</v>
      </c>
      <c r="U192" s="54" t="str">
        <f>_xlfn.LET(
 _xlpm.x,
 _xlfn.MAXIFS(
  raw_stack!G$2:G$99411,
  raw_stack!D$2:D$99411, G192,
  raw_stack!F$2:F$99411, "Iya",
  raw_stack!G$2:G$99411, "&gt;="&amp;DATE(2025,10,1),
  raw_stack!G$2:G$99411, "&lt;="&amp;EOMONTH(DATE(2025,10,1),0)
 ),
 IF(_xlpm.x=0, "-", _xlpm.x)
)</f>
        <v>-</v>
      </c>
      <c r="V192" s="65" t="str">
        <f>_xlfn.LET(
 _xlpm.x,
 _xlfn.MAXIFS(
  raw_stack!H$2:H$100000,
  raw_stack!D$2:D$100000, G192,
  raw_stack!F$2:F$100000, "Iya",
  raw_stack!G$2:G$100000, "&gt;="&amp;DATE(2025,10,1),
  raw_stack!G$2:G$100000, "&lt;="&amp;EOMONTH(DATE(2025,10,1),0)
 ),
 IF(OR(_xlpm.x=0, _xlpm.x=""), "-", _xlpm.x)
)</f>
        <v>-</v>
      </c>
      <c r="W192" s="55" t="str">
        <f>_xlfn.LET(
 _xlpm.x,
 _xlfn.MAXIFS(
  raw_stack!G$2:G$99411,
  raw_stack!D$2:D$99411, G192,
  raw_stack!F$2:F$99411, "Iya",
  raw_stack!G$2:G$99411, "&gt;="&amp;DATE(2025,11,1),
  raw_stack!G$2:G$99411, "&lt;="&amp;EOMONTH(DATE(2025,11,1),0)
 ),
 IF(_xlpm.x=0, "-", _xlpm.x)
)</f>
        <v>-</v>
      </c>
      <c r="X192" s="56" t="str">
        <f>_xlfn.LET(
 _xlpm.x,
 _xlfn.MAXIFS(
  raw_stack!H$2:H$100000,
  raw_stack!D$2:D$100000, G192,
  raw_stack!F$2:F$100000, "Iya",
  raw_stack!G$2:G$100000, "&gt;="&amp;DATE(2025,11,1),
  raw_stack!G$2:G$100000, "&lt;="&amp;EOMONTH(DATE(2025,11,1),0)
 ),
 IF(OR(_xlpm.x=0, _xlpm.x=""), "-", _xlpm.x)
)</f>
        <v>-</v>
      </c>
      <c r="Y192" s="55" t="str">
        <f>_xlfn.LET(
 _xlpm.x,
 _xlfn.MAXIFS(
  raw_stack!G$2:G$99411,
  raw_stack!D$2:D$99411, G192,
  raw_stack!F$2:F$99411, "Iya",
  raw_stack!G$2:G$99411, "&gt;="&amp;DATE(2025,12,1),
  raw_stack!G$2:G$99411, "&lt;="&amp;EOMONTH(DATE(2025,12,1),0)
 ),
 IF(_xlpm.x=0, "-", _xlpm.x)
)</f>
        <v>-</v>
      </c>
      <c r="Z192" s="56" t="str">
        <f>_xlfn.LET(
 _xlpm.x,
 _xlfn.MAXIFS(
  raw_stack!H$2:H$100000,
  raw_stack!D$2:D$100000, G192,
  raw_stack!F$2:F$100000, "Iya",
  raw_stack!G$2:G$100000, "&gt;="&amp;DATE(2025,12,1),
  raw_stack!G$2:G$100000, "&lt;="&amp;EOMONTH(DATE(2025,12,1),0)
 ),
 IF(OR(_xlpm.x=0, _xlpm.x=""), "-", _xlpm.x)
)</f>
        <v>-</v>
      </c>
      <c r="AA192" s="55" t="str">
        <f>_xlfn.LET(
 _xlpm.x,
 _xlfn.MAXIFS(
  raw_stack!G$2:G$99411,
  raw_stack!D$2:D$99411, G192,
  raw_stack!F$2:F$99411, "Iya",
  raw_stack!G$2:G$99411, "&gt;="&amp;DATE(2026,1,1),
  raw_stack!G$2:G$99411, "&lt;="&amp;EOMONTH(DATE(2026,1,1),0)
 ),
 IF(_xlpm.x=0, "-", _xlpm.x)
)</f>
        <v>-</v>
      </c>
      <c r="AB192" s="56" t="str">
        <f>_xlfn.LET(
 _xlpm.x,
 _xlfn.MAXIFS(
  raw_stack!H$2:H$100000,
  raw_stack!D$2:D$100000, G192,
  raw_stack!F$2:F$100000, "Iya",
  raw_stack!G$2:G$100000, "&gt;="&amp;DATE(2026,1,1),
  raw_stack!G$2:G$100000, "&lt;="&amp;EOMONTH(DATE(2026,1,1),0)
 ),
 IF(OR(_xlpm.x=0, _xlpm.x=""), "-", _xlpm.x)
)</f>
        <v>-</v>
      </c>
      <c r="AC192" s="55" t="str">
        <f>_xlfn.LET(
 _xlpm.x,
 _xlfn.MAXIFS(
  raw_stack!G$2:G$99411,
  raw_stack!D$2:D$99411, G192,
  raw_stack!F$2:F$99411, "Iya",
  raw_stack!G$2:G$99411, "&gt;="&amp;DATE(2026,2,1),
  raw_stack!G$2:G$99411, "&lt;="&amp;EOMONTH(DATE(2026,2,1),0)
 ),
 IF(_xlpm.x=0, "-", _xlpm.x)
)</f>
        <v>-</v>
      </c>
      <c r="AD192" s="56" t="str">
        <f>_xlfn.LET(
 _xlpm.x,
 _xlfn.MAXIFS(
  raw_stack!H$2:H$100000,
  raw_stack!D$2:D$100000, G192,
  raw_stack!F$2:F$100000, "Iya",
  raw_stack!G$2:G$100000, "&gt;="&amp;DATE(2026,2,1),
  raw_stack!G$2:G$100000, "&lt;="&amp;EOMONTH(DATE(2026,2,1),0)
 ),
 IF(OR(_xlpm.x=0, _xlpm.x=""), "-", _xlpm.x)
)</f>
        <v>-</v>
      </c>
      <c r="AE192" s="55" t="str">
        <f>_xlfn.LET(
 _xlpm.x,
 _xlfn.MAXIFS(
  raw_stack!G$2:G$100000,
  raw_stack!D$2:D$100000, G192,
  raw_stack!F$2:F$100000, "Iya",
  raw_stack!G$2:G$100000, "&gt;="&amp;DATE(2026,3,1),
  raw_stack!G$2:G$100000, "&lt;="&amp;EOMONTH(DATE(2026,3,1),0)
 ),
 IF(_xlpm.x=0, "-", _xlpm.x)
)</f>
        <v>-</v>
      </c>
      <c r="AF192" s="56" t="str">
        <f>_xlfn.LET(
 _xlpm.x,
 _xlfn.MAXIFS(
  raw_stack!H$2:H$100000,
  raw_stack!D$2:D$100000, G192,
  raw_stack!F$2:F$100000, "Iya",
  raw_stack!G$2:G$100000, "&gt;="&amp;DATE(2026,3,1),
  raw_stack!G$2:G$100000, "&lt;="&amp;EOMONTH(DATE(2026,3,1),0)
 ),
 IF(OR(_xlpm.x=0, _xlpm.x=""), "-", _xlpm.x)
)</f>
        <v>-</v>
      </c>
      <c r="AG192" s="55" t="str">
        <f>_xlfn.LET(
 _xlpm.x,
 _xlfn.MAXIFS(
  raw_stack!G$2:G$100000,
  raw_stack!D$2:D$100000, G192,
  raw_stack!F$2:F$100000, "Iya",
  raw_stack!G$2:G$100000, "&gt;="&amp;DATE(2026,4,1),
  raw_stack!G$2:G$100000, "&lt;="&amp;EOMONTH(DATE(2026,4,1),0)
 ),
 IF(_xlpm.x=0, "-", _xlpm.x)
)</f>
        <v>-</v>
      </c>
      <c r="AH192" s="56" t="str">
        <f>_xlfn.LET(
 _xlpm.x,
 _xlfn.MAXIFS(
  raw_stack!H$2:H$100000,
  raw_stack!D$2:D$100000, G192,
  raw_stack!F$2:F$100000, "Iya",
  raw_stack!G$2:G$100000, "&gt;="&amp;DATE(2026,4,1),
  raw_stack!G$2:G$100000, "&lt;="&amp;EOMONTH(DATE(2026,4,1),0)
 ),
 IF(OR(_xlpm.x=0, _xlpm.x=""), "-", _xlpm.x)
)</f>
        <v>-</v>
      </c>
    </row>
    <row r="193" spans="1:34">
      <c r="A193" s="48">
        <v>192</v>
      </c>
      <c r="B193" s="49" t="str">
        <f t="shared" si="3"/>
        <v>38695</v>
      </c>
      <c r="C193" s="50" t="s">
        <v>46</v>
      </c>
      <c r="D193" s="51" t="s">
        <v>626</v>
      </c>
      <c r="E193" s="51" t="s">
        <v>51</v>
      </c>
      <c r="F193" s="49" t="s">
        <v>117</v>
      </c>
      <c r="G193" s="49" t="s">
        <v>309</v>
      </c>
      <c r="H193" s="49" t="s">
        <v>48</v>
      </c>
      <c r="I193" s="49" t="s">
        <v>52</v>
      </c>
      <c r="J193" s="52">
        <v>5500000</v>
      </c>
      <c r="K193" s="53">
        <v>45658</v>
      </c>
      <c r="L193" s="53">
        <v>46752</v>
      </c>
      <c r="M193" s="53">
        <v>46081</v>
      </c>
      <c r="N193" s="49" t="s">
        <v>50</v>
      </c>
      <c r="O193" s="54" t="str">
        <f>_xlfn.LET(
 _xlpm.x,
 _xlfn.MAXIFS(
  raw_stack!G$2:G$100000,
  raw_stack!D$2:D$100000, G193,
  raw_stack!F$2:F$100000, "Iya",
  raw_stack!G$2:G$100000, "&gt;="&amp;DATE(2025,7,1),
  raw_stack!G$2:G$100000, "&lt;="&amp;EOMONTH(DATE(2025,7,1),0)
 ),
 IF(_xlpm.x=0, "-", _xlpm.x)
)</f>
        <v>-</v>
      </c>
      <c r="P193" s="65" t="str">
        <f>_xlfn.LET(
 _xlpm.x,
 _xlfn.MAXIFS(
  raw_stack!H$2:H$100000,
  raw_stack!D$2:D$100000, G193,
  raw_stack!F$2:F$100000, "Iya",
  raw_stack!G$2:G$100000, "&gt;="&amp;DATE(2025,7,1),
  raw_stack!G$2:G$100000, "&lt;="&amp;EOMONTH(DATE(2025,7,1),0)
 ),
 IF(OR(_xlpm.x=0, _xlpm.x=""), "-", _xlpm.x)
)</f>
        <v>-</v>
      </c>
      <c r="Q193" s="54" t="str">
        <f>_xlfn.LET(
 _xlpm.x,
 _xlfn.MAXIFS(
  raw_stack!G$2:G$99411,
  raw_stack!D$2:D$99411, G193,
  raw_stack!F$2:F$99411, "Iya",
  raw_stack!G$2:G$99411, "&gt;="&amp;DATE(2025,8,1),
  raw_stack!G$2:G$99411, "&lt;="&amp;EOMONTH(DATE(2025,8,1),0)
 ),
 IF(_xlpm.x=0, "-", _xlpm.x)
)</f>
        <v>-</v>
      </c>
      <c r="R193" s="65" t="str">
        <f>_xlfn.LET(
 _xlpm.x,
 _xlfn.MAXIFS(
  raw_stack!H$2:H$100000,
  raw_stack!D$2:D$100000, G193,
  raw_stack!F$2:F$100000, "Iya",
  raw_stack!G$2:G$100000, "&gt;="&amp;DATE(2025,8,1),
  raw_stack!G$2:G$100000, "&lt;="&amp;EOMONTH(DATE(2025,8,1),0)
 ),
 IF(OR(_xlpm.x=0, _xlpm.x=""), "-", _xlpm.x)
)</f>
        <v>-</v>
      </c>
      <c r="S193" s="54" t="str">
        <f>_xlfn.LET(
 _xlpm.x,
 _xlfn.MAXIFS(
  raw_stack!G$2:G$99411,
  raw_stack!D$2:D$99411, G193,
  raw_stack!F$2:F$99411, "Iya",
  raw_stack!G$2:G$99411, "&gt;="&amp;DATE(2025,9,1),
  raw_stack!G$2:G$99411, "&lt;="&amp;EOMONTH(DATE(2025,9,1),0)
 ),
 IF(_xlpm.x=0, "-", _xlpm.x)
)</f>
        <v>-</v>
      </c>
      <c r="T193" s="65" t="str">
        <f>_xlfn.LET(
 _xlpm.x,
 _xlfn.MAXIFS(
  raw_stack!H$2:H$100000,
  raw_stack!D$2:D$100000, G193,
  raw_stack!F$2:F$100000, "Iya",
  raw_stack!G$2:G$100000, "&gt;="&amp;DATE(2025,9,1),
  raw_stack!G$2:G$100000, "&lt;="&amp;EOMONTH(DATE(2025,9,1),0)
 ),
 IF(OR(_xlpm.x=0, _xlpm.x=""), "-", _xlpm.x)
)</f>
        <v>-</v>
      </c>
      <c r="U193" s="54">
        <f>_xlfn.LET(
 _xlpm.x,
 _xlfn.MAXIFS(
  raw_stack!G$2:G$99411,
  raw_stack!D$2:D$99411, G193,
  raw_stack!F$2:F$99411, "Iya",
  raw_stack!G$2:G$99411, "&gt;="&amp;DATE(2025,10,1),
  raw_stack!G$2:G$99411, "&lt;="&amp;EOMONTH(DATE(2025,10,1),0)
 ),
 IF(_xlpm.x=0, "-", _xlpm.x)
)</f>
        <v>45955</v>
      </c>
      <c r="V193" s="65">
        <f>_xlfn.LET(
 _xlpm.x,
 _xlfn.MAXIFS(
  raw_stack!H$2:H$100000,
  raw_stack!D$2:D$100000, G193,
  raw_stack!F$2:F$100000, "Iya",
  raw_stack!G$2:G$100000, "&gt;="&amp;DATE(2025,10,1),
  raw_stack!G$2:G$100000, "&lt;="&amp;EOMONTH(DATE(2025,10,1),0)
 ),
 IF(OR(_xlpm.x=0, _xlpm.x=""), "-", _xlpm.x)
)</f>
        <v>27214</v>
      </c>
      <c r="W193" s="55" t="str">
        <f>_xlfn.LET(
 _xlpm.x,
 _xlfn.MAXIFS(
  raw_stack!G$2:G$99411,
  raw_stack!D$2:D$99411, G193,
  raw_stack!F$2:F$99411, "Iya",
  raw_stack!G$2:G$99411, "&gt;="&amp;DATE(2025,11,1),
  raw_stack!G$2:G$99411, "&lt;="&amp;EOMONTH(DATE(2025,11,1),0)
 ),
 IF(_xlpm.x=0, "-", _xlpm.x)
)</f>
        <v>-</v>
      </c>
      <c r="X193" s="56" t="str">
        <f>_xlfn.LET(
 _xlpm.x,
 _xlfn.MAXIFS(
  raw_stack!H$2:H$100000,
  raw_stack!D$2:D$100000, G193,
  raw_stack!F$2:F$100000, "Iya",
  raw_stack!G$2:G$100000, "&gt;="&amp;DATE(2025,11,1),
  raw_stack!G$2:G$100000, "&lt;="&amp;EOMONTH(DATE(2025,11,1),0)
 ),
 IF(OR(_xlpm.x=0, _xlpm.x=""), "-", _xlpm.x)
)</f>
        <v>-</v>
      </c>
      <c r="Y193" s="55" t="str">
        <f>_xlfn.LET(
 _xlpm.x,
 _xlfn.MAXIFS(
  raw_stack!G$2:G$99411,
  raw_stack!D$2:D$99411, G193,
  raw_stack!F$2:F$99411, "Iya",
  raw_stack!G$2:G$99411, "&gt;="&amp;DATE(2025,12,1),
  raw_stack!G$2:G$99411, "&lt;="&amp;EOMONTH(DATE(2025,12,1),0)
 ),
 IF(_xlpm.x=0, "-", _xlpm.x)
)</f>
        <v>-</v>
      </c>
      <c r="Z193" s="56" t="str">
        <f>_xlfn.LET(
 _xlpm.x,
 _xlfn.MAXIFS(
  raw_stack!H$2:H$100000,
  raw_stack!D$2:D$100000, G193,
  raw_stack!F$2:F$100000, "Iya",
  raw_stack!G$2:G$100000, "&gt;="&amp;DATE(2025,12,1),
  raw_stack!G$2:G$100000, "&lt;="&amp;EOMONTH(DATE(2025,12,1),0)
 ),
 IF(OR(_xlpm.x=0, _xlpm.x=""), "-", _xlpm.x)
)</f>
        <v>-</v>
      </c>
      <c r="AA193" s="55" t="str">
        <f>_xlfn.LET(
 _xlpm.x,
 _xlfn.MAXIFS(
  raw_stack!G$2:G$99411,
  raw_stack!D$2:D$99411, G193,
  raw_stack!F$2:F$99411, "Iya",
  raw_stack!G$2:G$99411, "&gt;="&amp;DATE(2026,1,1),
  raw_stack!G$2:G$99411, "&lt;="&amp;EOMONTH(DATE(2026,1,1),0)
 ),
 IF(_xlpm.x=0, "-", _xlpm.x)
)</f>
        <v>-</v>
      </c>
      <c r="AB193" s="56" t="str">
        <f>_xlfn.LET(
 _xlpm.x,
 _xlfn.MAXIFS(
  raw_stack!H$2:H$100000,
  raw_stack!D$2:D$100000, G193,
  raw_stack!F$2:F$100000, "Iya",
  raw_stack!G$2:G$100000, "&gt;="&amp;DATE(2026,1,1),
  raw_stack!G$2:G$100000, "&lt;="&amp;EOMONTH(DATE(2026,1,1),0)
 ),
 IF(OR(_xlpm.x=0, _xlpm.x=""), "-", _xlpm.x)
)</f>
        <v>-</v>
      </c>
      <c r="AC193" s="55" t="str">
        <f>_xlfn.LET(
 _xlpm.x,
 _xlfn.MAXIFS(
  raw_stack!G$2:G$99411,
  raw_stack!D$2:D$99411, G193,
  raw_stack!F$2:F$99411, "Iya",
  raw_stack!G$2:G$99411, "&gt;="&amp;DATE(2026,2,1),
  raw_stack!G$2:G$99411, "&lt;="&amp;EOMONTH(DATE(2026,2,1),0)
 ),
 IF(_xlpm.x=0, "-", _xlpm.x)
)</f>
        <v>-</v>
      </c>
      <c r="AD193" s="56" t="str">
        <f>_xlfn.LET(
 _xlpm.x,
 _xlfn.MAXIFS(
  raw_stack!H$2:H$100000,
  raw_stack!D$2:D$100000, G193,
  raw_stack!F$2:F$100000, "Iya",
  raw_stack!G$2:G$100000, "&gt;="&amp;DATE(2026,2,1),
  raw_stack!G$2:G$100000, "&lt;="&amp;EOMONTH(DATE(2026,2,1),0)
 ),
 IF(OR(_xlpm.x=0, _xlpm.x=""), "-", _xlpm.x)
)</f>
        <v>-</v>
      </c>
      <c r="AE193" s="55" t="str">
        <f>_xlfn.LET(
 _xlpm.x,
 _xlfn.MAXIFS(
  raw_stack!G$2:G$100000,
  raw_stack!D$2:D$100000, G193,
  raw_stack!F$2:F$100000, "Iya",
  raw_stack!G$2:G$100000, "&gt;="&amp;DATE(2026,3,1),
  raw_stack!G$2:G$100000, "&lt;="&amp;EOMONTH(DATE(2026,3,1),0)
 ),
 IF(_xlpm.x=0, "-", _xlpm.x)
)</f>
        <v>-</v>
      </c>
      <c r="AF193" s="56" t="str">
        <f>_xlfn.LET(
 _xlpm.x,
 _xlfn.MAXIFS(
  raw_stack!H$2:H$100000,
  raw_stack!D$2:D$100000, G193,
  raw_stack!F$2:F$100000, "Iya",
  raw_stack!G$2:G$100000, "&gt;="&amp;DATE(2026,3,1),
  raw_stack!G$2:G$100000, "&lt;="&amp;EOMONTH(DATE(2026,3,1),0)
 ),
 IF(OR(_xlpm.x=0, _xlpm.x=""), "-", _xlpm.x)
)</f>
        <v>-</v>
      </c>
      <c r="AG193" s="55" t="str">
        <f>_xlfn.LET(
 _xlpm.x,
 _xlfn.MAXIFS(
  raw_stack!G$2:G$100000,
  raw_stack!D$2:D$100000, G193,
  raw_stack!F$2:F$100000, "Iya",
  raw_stack!G$2:G$100000, "&gt;="&amp;DATE(2026,4,1),
  raw_stack!G$2:G$100000, "&lt;="&amp;EOMONTH(DATE(2026,4,1),0)
 ),
 IF(_xlpm.x=0, "-", _xlpm.x)
)</f>
        <v>-</v>
      </c>
      <c r="AH193" s="56" t="str">
        <f>_xlfn.LET(
 _xlpm.x,
 _xlfn.MAXIFS(
  raw_stack!H$2:H$100000,
  raw_stack!D$2:D$100000, G193,
  raw_stack!F$2:F$100000, "Iya",
  raw_stack!G$2:G$100000, "&gt;="&amp;DATE(2026,4,1),
  raw_stack!G$2:G$100000, "&lt;="&amp;EOMONTH(DATE(2026,4,1),0)
 ),
 IF(OR(_xlpm.x=0, _xlpm.x=""), "-", _xlpm.x)
)</f>
        <v>-</v>
      </c>
    </row>
    <row r="194" spans="1:34">
      <c r="A194" s="48">
        <v>193</v>
      </c>
      <c r="B194" s="49" t="str">
        <f t="shared" si="3"/>
        <v>15893</v>
      </c>
      <c r="C194" s="50" t="s">
        <v>46</v>
      </c>
      <c r="D194" s="51" t="s">
        <v>627</v>
      </c>
      <c r="E194" s="51" t="s">
        <v>51</v>
      </c>
      <c r="F194" s="49" t="s">
        <v>117</v>
      </c>
      <c r="G194" s="49" t="s">
        <v>310</v>
      </c>
      <c r="H194" s="49" t="s">
        <v>48</v>
      </c>
      <c r="I194" s="49" t="s">
        <v>52</v>
      </c>
      <c r="J194" s="52">
        <v>3880000</v>
      </c>
      <c r="K194" s="53">
        <v>45659</v>
      </c>
      <c r="L194" s="53">
        <v>46753</v>
      </c>
      <c r="M194" s="53">
        <v>46082</v>
      </c>
      <c r="N194" s="49" t="s">
        <v>50</v>
      </c>
      <c r="O194" s="54" t="str">
        <f>_xlfn.LET(
 _xlpm.x,
 _xlfn.MAXIFS(
  raw_stack!G$2:G$100000,
  raw_stack!D$2:D$100000, G194,
  raw_stack!F$2:F$100000, "Iya",
  raw_stack!G$2:G$100000, "&gt;="&amp;DATE(2025,7,1),
  raw_stack!G$2:G$100000, "&lt;="&amp;EOMONTH(DATE(2025,7,1),0)
 ),
 IF(_xlpm.x=0, "-", _xlpm.x)
)</f>
        <v>-</v>
      </c>
      <c r="P194" s="65" t="str">
        <f>_xlfn.LET(
 _xlpm.x,
 _xlfn.MAXIFS(
  raw_stack!H$2:H$100000,
  raw_stack!D$2:D$100000, G194,
  raw_stack!F$2:F$100000, "Iya",
  raw_stack!G$2:G$100000, "&gt;="&amp;DATE(2025,7,1),
  raw_stack!G$2:G$100000, "&lt;="&amp;EOMONTH(DATE(2025,7,1),0)
 ),
 IF(OR(_xlpm.x=0, _xlpm.x=""), "-", _xlpm.x)
)</f>
        <v>-</v>
      </c>
      <c r="Q194" s="54" t="str">
        <f>_xlfn.LET(
 _xlpm.x,
 _xlfn.MAXIFS(
  raw_stack!G$2:G$99411,
  raw_stack!D$2:D$99411, G194,
  raw_stack!F$2:F$99411, "Iya",
  raw_stack!G$2:G$99411, "&gt;="&amp;DATE(2025,8,1),
  raw_stack!G$2:G$99411, "&lt;="&amp;EOMONTH(DATE(2025,8,1),0)
 ),
 IF(_xlpm.x=0, "-", _xlpm.x)
)</f>
        <v>-</v>
      </c>
      <c r="R194" s="65" t="str">
        <f>_xlfn.LET(
 _xlpm.x,
 _xlfn.MAXIFS(
  raw_stack!H$2:H$100000,
  raw_stack!D$2:D$100000, G194,
  raw_stack!F$2:F$100000, "Iya",
  raw_stack!G$2:G$100000, "&gt;="&amp;DATE(2025,8,1),
  raw_stack!G$2:G$100000, "&lt;="&amp;EOMONTH(DATE(2025,8,1),0)
 ),
 IF(OR(_xlpm.x=0, _xlpm.x=""), "-", _xlpm.x)
)</f>
        <v>-</v>
      </c>
      <c r="S194" s="54" t="str">
        <f>_xlfn.LET(
 _xlpm.x,
 _xlfn.MAXIFS(
  raw_stack!G$2:G$99411,
  raw_stack!D$2:D$99411, G194,
  raw_stack!F$2:F$99411, "Iya",
  raw_stack!G$2:G$99411, "&gt;="&amp;DATE(2025,9,1),
  raw_stack!G$2:G$99411, "&lt;="&amp;EOMONTH(DATE(2025,9,1),0)
 ),
 IF(_xlpm.x=0, "-", _xlpm.x)
)</f>
        <v>-</v>
      </c>
      <c r="T194" s="65" t="str">
        <f>_xlfn.LET(
 _xlpm.x,
 _xlfn.MAXIFS(
  raw_stack!H$2:H$100000,
  raw_stack!D$2:D$100000, G194,
  raw_stack!F$2:F$100000, "Iya",
  raw_stack!G$2:G$100000, "&gt;="&amp;DATE(2025,9,1),
  raw_stack!G$2:G$100000, "&lt;="&amp;EOMONTH(DATE(2025,9,1),0)
 ),
 IF(OR(_xlpm.x=0, _xlpm.x=""), "-", _xlpm.x)
)</f>
        <v>-</v>
      </c>
      <c r="U194" s="54" t="str">
        <f>_xlfn.LET(
 _xlpm.x,
 _xlfn.MAXIFS(
  raw_stack!G$2:G$99411,
  raw_stack!D$2:D$99411, G194,
  raw_stack!F$2:F$99411, "Iya",
  raw_stack!G$2:G$99411, "&gt;="&amp;DATE(2025,10,1),
  raw_stack!G$2:G$99411, "&lt;="&amp;EOMONTH(DATE(2025,10,1),0)
 ),
 IF(_xlpm.x=0, "-", _xlpm.x)
)</f>
        <v>-</v>
      </c>
      <c r="V194" s="65" t="str">
        <f>_xlfn.LET(
 _xlpm.x,
 _xlfn.MAXIFS(
  raw_stack!H$2:H$100000,
  raw_stack!D$2:D$100000, G194,
  raw_stack!F$2:F$100000, "Iya",
  raw_stack!G$2:G$100000, "&gt;="&amp;DATE(2025,10,1),
  raw_stack!G$2:G$100000, "&lt;="&amp;EOMONTH(DATE(2025,10,1),0)
 ),
 IF(OR(_xlpm.x=0, _xlpm.x=""), "-", _xlpm.x)
)</f>
        <v>-</v>
      </c>
      <c r="W194" s="55" t="str">
        <f>_xlfn.LET(
 _xlpm.x,
 _xlfn.MAXIFS(
  raw_stack!G$2:G$99411,
  raw_stack!D$2:D$99411, G194,
  raw_stack!F$2:F$99411, "Iya",
  raw_stack!G$2:G$99411, "&gt;="&amp;DATE(2025,11,1),
  raw_stack!G$2:G$99411, "&lt;="&amp;EOMONTH(DATE(2025,11,1),0)
 ),
 IF(_xlpm.x=0, "-", _xlpm.x)
)</f>
        <v>-</v>
      </c>
      <c r="X194" s="56" t="str">
        <f>_xlfn.LET(
 _xlpm.x,
 _xlfn.MAXIFS(
  raw_stack!H$2:H$100000,
  raw_stack!D$2:D$100000, G194,
  raw_stack!F$2:F$100000, "Iya",
  raw_stack!G$2:G$100000, "&gt;="&amp;DATE(2025,11,1),
  raw_stack!G$2:G$100000, "&lt;="&amp;EOMONTH(DATE(2025,11,1),0)
 ),
 IF(OR(_xlpm.x=0, _xlpm.x=""), "-", _xlpm.x)
)</f>
        <v>-</v>
      </c>
      <c r="Y194" s="55">
        <f>_xlfn.LET(
 _xlpm.x,
 _xlfn.MAXIFS(
  raw_stack!G$2:G$99411,
  raw_stack!D$2:D$99411, G194,
  raw_stack!F$2:F$99411, "Iya",
  raw_stack!G$2:G$99411, "&gt;="&amp;DATE(2025,12,1),
  raw_stack!G$2:G$99411, "&lt;="&amp;EOMONTH(DATE(2025,12,1),0)
 ),
 IF(_xlpm.x=0, "-", _xlpm.x)
)</f>
        <v>46022</v>
      </c>
      <c r="Z194" s="56">
        <f>_xlfn.LET(
 _xlpm.x,
 _xlfn.MAXIFS(
  raw_stack!H$2:H$100000,
  raw_stack!D$2:D$100000, G194,
  raw_stack!F$2:F$100000, "Iya",
  raw_stack!G$2:G$100000, "&gt;="&amp;DATE(2025,12,1),
  raw_stack!G$2:G$100000, "&lt;="&amp;EOMONTH(DATE(2025,12,1),0)
 ),
 IF(OR(_xlpm.x=0, _xlpm.x=""), "-", _xlpm.x)
)</f>
        <v>11693</v>
      </c>
      <c r="AA194" s="55" t="str">
        <f>_xlfn.LET(
 _xlpm.x,
 _xlfn.MAXIFS(
  raw_stack!G$2:G$99411,
  raw_stack!D$2:D$99411, G194,
  raw_stack!F$2:F$99411, "Iya",
  raw_stack!G$2:G$99411, "&gt;="&amp;DATE(2026,1,1),
  raw_stack!G$2:G$99411, "&lt;="&amp;EOMONTH(DATE(2026,1,1),0)
 ),
 IF(_xlpm.x=0, "-", _xlpm.x)
)</f>
        <v>-</v>
      </c>
      <c r="AB194" s="56" t="str">
        <f>_xlfn.LET(
 _xlpm.x,
 _xlfn.MAXIFS(
  raw_stack!H$2:H$100000,
  raw_stack!D$2:D$100000, G194,
  raw_stack!F$2:F$100000, "Iya",
  raw_stack!G$2:G$100000, "&gt;="&amp;DATE(2026,1,1),
  raw_stack!G$2:G$100000, "&lt;="&amp;EOMONTH(DATE(2026,1,1),0)
 ),
 IF(OR(_xlpm.x=0, _xlpm.x=""), "-", _xlpm.x)
)</f>
        <v>-</v>
      </c>
      <c r="AC194" s="55" t="str">
        <f>_xlfn.LET(
 _xlpm.x,
 _xlfn.MAXIFS(
  raw_stack!G$2:G$99411,
  raw_stack!D$2:D$99411, G194,
  raw_stack!F$2:F$99411, "Iya",
  raw_stack!G$2:G$99411, "&gt;="&amp;DATE(2026,2,1),
  raw_stack!G$2:G$99411, "&lt;="&amp;EOMONTH(DATE(2026,2,1),0)
 ),
 IF(_xlpm.x=0, "-", _xlpm.x)
)</f>
        <v>-</v>
      </c>
      <c r="AD194" s="56" t="str">
        <f>_xlfn.LET(
 _xlpm.x,
 _xlfn.MAXIFS(
  raw_stack!H$2:H$100000,
  raw_stack!D$2:D$100000, G194,
  raw_stack!F$2:F$100000, "Iya",
  raw_stack!G$2:G$100000, "&gt;="&amp;DATE(2026,2,1),
  raw_stack!G$2:G$100000, "&lt;="&amp;EOMONTH(DATE(2026,2,1),0)
 ),
 IF(OR(_xlpm.x=0, _xlpm.x=""), "-", _xlpm.x)
)</f>
        <v>-</v>
      </c>
      <c r="AE194" s="55" t="str">
        <f>_xlfn.LET(
 _xlpm.x,
 _xlfn.MAXIFS(
  raw_stack!G$2:G$100000,
  raw_stack!D$2:D$100000, G194,
  raw_stack!F$2:F$100000, "Iya",
  raw_stack!G$2:G$100000, "&gt;="&amp;DATE(2026,3,1),
  raw_stack!G$2:G$100000, "&lt;="&amp;EOMONTH(DATE(2026,3,1),0)
 ),
 IF(_xlpm.x=0, "-", _xlpm.x)
)</f>
        <v>-</v>
      </c>
      <c r="AF194" s="56" t="str">
        <f>_xlfn.LET(
 _xlpm.x,
 _xlfn.MAXIFS(
  raw_stack!H$2:H$100000,
  raw_stack!D$2:D$100000, G194,
  raw_stack!F$2:F$100000, "Iya",
  raw_stack!G$2:G$100000, "&gt;="&amp;DATE(2026,3,1),
  raw_stack!G$2:G$100000, "&lt;="&amp;EOMONTH(DATE(2026,3,1),0)
 ),
 IF(OR(_xlpm.x=0, _xlpm.x=""), "-", _xlpm.x)
)</f>
        <v>-</v>
      </c>
      <c r="AG194" s="55" t="str">
        <f>_xlfn.LET(
 _xlpm.x,
 _xlfn.MAXIFS(
  raw_stack!G$2:G$100000,
  raw_stack!D$2:D$100000, G194,
  raw_stack!F$2:F$100000, "Iya",
  raw_stack!G$2:G$100000, "&gt;="&amp;DATE(2026,4,1),
  raw_stack!G$2:G$100000, "&lt;="&amp;EOMONTH(DATE(2026,4,1),0)
 ),
 IF(_xlpm.x=0, "-", _xlpm.x)
)</f>
        <v>-</v>
      </c>
      <c r="AH194" s="56" t="str">
        <f>_xlfn.LET(
 _xlpm.x,
 _xlfn.MAXIFS(
  raw_stack!H$2:H$100000,
  raw_stack!D$2:D$100000, G194,
  raw_stack!F$2:F$100000, "Iya",
  raw_stack!G$2:G$100000, "&gt;="&amp;DATE(2026,4,1),
  raw_stack!G$2:G$100000, "&lt;="&amp;EOMONTH(DATE(2026,4,1),0)
 ),
 IF(OR(_xlpm.x=0, _xlpm.x=""), "-", _xlpm.x)
)</f>
        <v>-</v>
      </c>
    </row>
    <row r="195" spans="1:34">
      <c r="A195" s="48">
        <v>194</v>
      </c>
      <c r="B195" s="49" t="str">
        <f t="shared" si="3"/>
        <v>38577</v>
      </c>
      <c r="C195" s="50" t="s">
        <v>46</v>
      </c>
      <c r="D195" s="51" t="s">
        <v>524</v>
      </c>
      <c r="E195" s="51" t="s">
        <v>56</v>
      </c>
      <c r="F195" s="49" t="s">
        <v>117</v>
      </c>
      <c r="G195" s="49" t="s">
        <v>311</v>
      </c>
      <c r="H195" s="49" t="s">
        <v>48</v>
      </c>
      <c r="I195" s="49" t="s">
        <v>52</v>
      </c>
      <c r="J195" s="52">
        <v>7310000</v>
      </c>
      <c r="K195" s="53">
        <v>45659</v>
      </c>
      <c r="L195" s="53">
        <v>46753</v>
      </c>
      <c r="M195" s="53">
        <v>46054</v>
      </c>
      <c r="N195" s="49" t="s">
        <v>50</v>
      </c>
      <c r="O195" s="54">
        <f>_xlfn.LET(
 _xlpm.x,
 _xlfn.MAXIFS(
  raw_stack!G$2:G$100000,
  raw_stack!D$2:D$100000, G195,
  raw_stack!F$2:F$100000, "Iya",
  raw_stack!G$2:G$100000, "&gt;="&amp;DATE(2025,7,1),
  raw_stack!G$2:G$100000, "&lt;="&amp;EOMONTH(DATE(2025,7,1),0)
 ),
 IF(_xlpm.x=0, "-", _xlpm.x)
)</f>
        <v>45840</v>
      </c>
      <c r="P195" s="65">
        <f>_xlfn.LET(
 _xlpm.x,
 _xlfn.MAXIFS(
  raw_stack!H$2:H$100000,
  raw_stack!D$2:D$100000, G195,
  raw_stack!F$2:F$100000, "Iya",
  raw_stack!G$2:G$100000, "&gt;="&amp;DATE(2025,7,1),
  raw_stack!G$2:G$100000, "&lt;="&amp;EOMONTH(DATE(2025,7,1),0)
 ),
 IF(OR(_xlpm.x=0, _xlpm.x=""), "-", _xlpm.x)
)</f>
        <v>13610</v>
      </c>
      <c r="Q195" s="54" t="str">
        <f>_xlfn.LET(
 _xlpm.x,
 _xlfn.MAXIFS(
  raw_stack!G$2:G$99411,
  raw_stack!D$2:D$99411, G195,
  raw_stack!F$2:F$99411, "Iya",
  raw_stack!G$2:G$99411, "&gt;="&amp;DATE(2025,8,1),
  raw_stack!G$2:G$99411, "&lt;="&amp;EOMONTH(DATE(2025,8,1),0)
 ),
 IF(_xlpm.x=0, "-", _xlpm.x)
)</f>
        <v>-</v>
      </c>
      <c r="R195" s="65" t="str">
        <f>_xlfn.LET(
 _xlpm.x,
 _xlfn.MAXIFS(
  raw_stack!H$2:H$100000,
  raw_stack!D$2:D$100000, G195,
  raw_stack!F$2:F$100000, "Iya",
  raw_stack!G$2:G$100000, "&gt;="&amp;DATE(2025,8,1),
  raw_stack!G$2:G$100000, "&lt;="&amp;EOMONTH(DATE(2025,8,1),0)
 ),
 IF(OR(_xlpm.x=0, _xlpm.x=""), "-", _xlpm.x)
)</f>
        <v>-</v>
      </c>
      <c r="S195" s="54" t="str">
        <f>_xlfn.LET(
 _xlpm.x,
 _xlfn.MAXIFS(
  raw_stack!G$2:G$99411,
  raw_stack!D$2:D$99411, G195,
  raw_stack!F$2:F$99411, "Iya",
  raw_stack!G$2:G$99411, "&gt;="&amp;DATE(2025,9,1),
  raw_stack!G$2:G$99411, "&lt;="&amp;EOMONTH(DATE(2025,9,1),0)
 ),
 IF(_xlpm.x=0, "-", _xlpm.x)
)</f>
        <v>-</v>
      </c>
      <c r="T195" s="65" t="str">
        <f>_xlfn.LET(
 _xlpm.x,
 _xlfn.MAXIFS(
  raw_stack!H$2:H$100000,
  raw_stack!D$2:D$100000, G195,
  raw_stack!F$2:F$100000, "Iya",
  raw_stack!G$2:G$100000, "&gt;="&amp;DATE(2025,9,1),
  raw_stack!G$2:G$100000, "&lt;="&amp;EOMONTH(DATE(2025,9,1),0)
 ),
 IF(OR(_xlpm.x=0, _xlpm.x=""), "-", _xlpm.x)
)</f>
        <v>-</v>
      </c>
      <c r="U195" s="54" t="str">
        <f>_xlfn.LET(
 _xlpm.x,
 _xlfn.MAXIFS(
  raw_stack!G$2:G$99411,
  raw_stack!D$2:D$99411, G195,
  raw_stack!F$2:F$99411, "Iya",
  raw_stack!G$2:G$99411, "&gt;="&amp;DATE(2025,10,1),
  raw_stack!G$2:G$99411, "&lt;="&amp;EOMONTH(DATE(2025,10,1),0)
 ),
 IF(_xlpm.x=0, "-", _xlpm.x)
)</f>
        <v>-</v>
      </c>
      <c r="V195" s="65" t="str">
        <f>_xlfn.LET(
 _xlpm.x,
 _xlfn.MAXIFS(
  raw_stack!H$2:H$100000,
  raw_stack!D$2:D$100000, G195,
  raw_stack!F$2:F$100000, "Iya",
  raw_stack!G$2:G$100000, "&gt;="&amp;DATE(2025,10,1),
  raw_stack!G$2:G$100000, "&lt;="&amp;EOMONTH(DATE(2025,10,1),0)
 ),
 IF(OR(_xlpm.x=0, _xlpm.x=""), "-", _xlpm.x)
)</f>
        <v>-</v>
      </c>
      <c r="W195" s="55">
        <f>_xlfn.LET(
 _xlpm.x,
 _xlfn.MAXIFS(
  raw_stack!G$2:G$99411,
  raw_stack!D$2:D$99411, G195,
  raw_stack!F$2:F$99411, "Iya",
  raw_stack!G$2:G$99411, "&gt;="&amp;DATE(2025,11,1),
  raw_stack!G$2:G$99411, "&lt;="&amp;EOMONTH(DATE(2025,11,1),0)
 ),
 IF(_xlpm.x=0, "-", _xlpm.x)
)</f>
        <v>45964</v>
      </c>
      <c r="X195" s="56">
        <f>_xlfn.LET(
 _xlpm.x,
 _xlfn.MAXIFS(
  raw_stack!H$2:H$100000,
  raw_stack!D$2:D$100000, G195,
  raw_stack!F$2:F$100000, "Iya",
  raw_stack!G$2:G$100000, "&gt;="&amp;DATE(2025,11,1),
  raw_stack!G$2:G$100000, "&lt;="&amp;EOMONTH(DATE(2025,11,1),0)
 ),
 IF(OR(_xlpm.x=0, _xlpm.x=""), "-", _xlpm.x)
)</f>
        <v>27710</v>
      </c>
      <c r="Y195" s="55" t="str">
        <f>_xlfn.LET(
 _xlpm.x,
 _xlfn.MAXIFS(
  raw_stack!G$2:G$99411,
  raw_stack!D$2:D$99411, G195,
  raw_stack!F$2:F$99411, "Iya",
  raw_stack!G$2:G$99411, "&gt;="&amp;DATE(2025,12,1),
  raw_stack!G$2:G$99411, "&lt;="&amp;EOMONTH(DATE(2025,12,1),0)
 ),
 IF(_xlpm.x=0, "-", _xlpm.x)
)</f>
        <v>-</v>
      </c>
      <c r="Z195" s="56" t="str">
        <f>_xlfn.LET(
 _xlpm.x,
 _xlfn.MAXIFS(
  raw_stack!H$2:H$100000,
  raw_stack!D$2:D$100000, G195,
  raw_stack!F$2:F$100000, "Iya",
  raw_stack!G$2:G$100000, "&gt;="&amp;DATE(2025,12,1),
  raw_stack!G$2:G$100000, "&lt;="&amp;EOMONTH(DATE(2025,12,1),0)
 ),
 IF(OR(_xlpm.x=0, _xlpm.x=""), "-", _xlpm.x)
)</f>
        <v>-</v>
      </c>
      <c r="AA195" s="55" t="str">
        <f>_xlfn.LET(
 _xlpm.x,
 _xlfn.MAXIFS(
  raw_stack!G$2:G$99411,
  raw_stack!D$2:D$99411, G195,
  raw_stack!F$2:F$99411, "Iya",
  raw_stack!G$2:G$99411, "&gt;="&amp;DATE(2026,1,1),
  raw_stack!G$2:G$99411, "&lt;="&amp;EOMONTH(DATE(2026,1,1),0)
 ),
 IF(_xlpm.x=0, "-", _xlpm.x)
)</f>
        <v>-</v>
      </c>
      <c r="AB195" s="56" t="str">
        <f>_xlfn.LET(
 _xlpm.x,
 _xlfn.MAXIFS(
  raw_stack!H$2:H$100000,
  raw_stack!D$2:D$100000, G195,
  raw_stack!F$2:F$100000, "Iya",
  raw_stack!G$2:G$100000, "&gt;="&amp;DATE(2026,1,1),
  raw_stack!G$2:G$100000, "&lt;="&amp;EOMONTH(DATE(2026,1,1),0)
 ),
 IF(OR(_xlpm.x=0, _xlpm.x=""), "-", _xlpm.x)
)</f>
        <v>-</v>
      </c>
      <c r="AC195" s="55" t="str">
        <f>_xlfn.LET(
 _xlpm.x,
 _xlfn.MAXIFS(
  raw_stack!G$2:G$99411,
  raw_stack!D$2:D$99411, G195,
  raw_stack!F$2:F$99411, "Iya",
  raw_stack!G$2:G$99411, "&gt;="&amp;DATE(2026,2,1),
  raw_stack!G$2:G$99411, "&lt;="&amp;EOMONTH(DATE(2026,2,1),0)
 ),
 IF(_xlpm.x=0, "-", _xlpm.x)
)</f>
        <v>-</v>
      </c>
      <c r="AD195" s="56" t="str">
        <f>_xlfn.LET(
 _xlpm.x,
 _xlfn.MAXIFS(
  raw_stack!H$2:H$100000,
  raw_stack!D$2:D$100000, G195,
  raw_stack!F$2:F$100000, "Iya",
  raw_stack!G$2:G$100000, "&gt;="&amp;DATE(2026,2,1),
  raw_stack!G$2:G$100000, "&lt;="&amp;EOMONTH(DATE(2026,2,1),0)
 ),
 IF(OR(_xlpm.x=0, _xlpm.x=""), "-", _xlpm.x)
)</f>
        <v>-</v>
      </c>
      <c r="AE195" s="55" t="str">
        <f>_xlfn.LET(
 _xlpm.x,
 _xlfn.MAXIFS(
  raw_stack!G$2:G$100000,
  raw_stack!D$2:D$100000, G195,
  raw_stack!F$2:F$100000, "Iya",
  raw_stack!G$2:G$100000, "&gt;="&amp;DATE(2026,3,1),
  raw_stack!G$2:G$100000, "&lt;="&amp;EOMONTH(DATE(2026,3,1),0)
 ),
 IF(_xlpm.x=0, "-", _xlpm.x)
)</f>
        <v>-</v>
      </c>
      <c r="AF195" s="56" t="str">
        <f>_xlfn.LET(
 _xlpm.x,
 _xlfn.MAXIFS(
  raw_stack!H$2:H$100000,
  raw_stack!D$2:D$100000, G195,
  raw_stack!F$2:F$100000, "Iya",
  raw_stack!G$2:G$100000, "&gt;="&amp;DATE(2026,3,1),
  raw_stack!G$2:G$100000, "&lt;="&amp;EOMONTH(DATE(2026,3,1),0)
 ),
 IF(OR(_xlpm.x=0, _xlpm.x=""), "-", _xlpm.x)
)</f>
        <v>-</v>
      </c>
      <c r="AG195" s="55" t="str">
        <f>_xlfn.LET(
 _xlpm.x,
 _xlfn.MAXIFS(
  raw_stack!G$2:G$100000,
  raw_stack!D$2:D$100000, G195,
  raw_stack!F$2:F$100000, "Iya",
  raw_stack!G$2:G$100000, "&gt;="&amp;DATE(2026,4,1),
  raw_stack!G$2:G$100000, "&lt;="&amp;EOMONTH(DATE(2026,4,1),0)
 ),
 IF(_xlpm.x=0, "-", _xlpm.x)
)</f>
        <v>-</v>
      </c>
      <c r="AH195" s="56" t="str">
        <f>_xlfn.LET(
 _xlpm.x,
 _xlfn.MAXIFS(
  raw_stack!H$2:H$100000,
  raw_stack!D$2:D$100000, G195,
  raw_stack!F$2:F$100000, "Iya",
  raw_stack!G$2:G$100000, "&gt;="&amp;DATE(2026,4,1),
  raw_stack!G$2:G$100000, "&lt;="&amp;EOMONTH(DATE(2026,4,1),0)
 ),
 IF(OR(_xlpm.x=0, _xlpm.x=""), "-", _xlpm.x)
)</f>
        <v>-</v>
      </c>
    </row>
    <row r="196" spans="1:34">
      <c r="A196" s="48">
        <v>195</v>
      </c>
      <c r="B196" s="49" t="str">
        <f t="shared" si="3"/>
        <v>42537</v>
      </c>
      <c r="C196" s="50" t="s">
        <v>46</v>
      </c>
      <c r="D196" s="51" t="s">
        <v>570</v>
      </c>
      <c r="E196" s="51" t="s">
        <v>51</v>
      </c>
      <c r="F196" s="49" t="s">
        <v>117</v>
      </c>
      <c r="G196" s="49" t="s">
        <v>312</v>
      </c>
      <c r="H196" s="49" t="s">
        <v>48</v>
      </c>
      <c r="I196" s="49" t="s">
        <v>52</v>
      </c>
      <c r="J196" s="52">
        <v>3880000</v>
      </c>
      <c r="K196" s="53">
        <v>45660</v>
      </c>
      <c r="L196" s="53">
        <v>46754</v>
      </c>
      <c r="M196" s="53">
        <v>46083</v>
      </c>
      <c r="N196" s="49" t="s">
        <v>50</v>
      </c>
      <c r="O196" s="54" t="str">
        <f>_xlfn.LET(
 _xlpm.x,
 _xlfn.MAXIFS(
  raw_stack!G$2:G$100000,
  raw_stack!D$2:D$100000, G196,
  raw_stack!F$2:F$100000, "Iya",
  raw_stack!G$2:G$100000, "&gt;="&amp;DATE(2025,7,1),
  raw_stack!G$2:G$100000, "&lt;="&amp;EOMONTH(DATE(2025,7,1),0)
 ),
 IF(_xlpm.x=0, "-", _xlpm.x)
)</f>
        <v>-</v>
      </c>
      <c r="P196" s="65" t="str">
        <f>_xlfn.LET(
 _xlpm.x,
 _xlfn.MAXIFS(
  raw_stack!H$2:H$100000,
  raw_stack!D$2:D$100000, G196,
  raw_stack!F$2:F$100000, "Iya",
  raw_stack!G$2:G$100000, "&gt;="&amp;DATE(2025,7,1),
  raw_stack!G$2:G$100000, "&lt;="&amp;EOMONTH(DATE(2025,7,1),0)
 ),
 IF(OR(_xlpm.x=0, _xlpm.x=""), "-", _xlpm.x)
)</f>
        <v>-</v>
      </c>
      <c r="Q196" s="54">
        <f>_xlfn.LET(
 _xlpm.x,
 _xlfn.MAXIFS(
  raw_stack!G$2:G$99411,
  raw_stack!D$2:D$99411, G196,
  raw_stack!F$2:F$99411, "Iya",
  raw_stack!G$2:G$99411, "&gt;="&amp;DATE(2025,8,1),
  raw_stack!G$2:G$99411, "&lt;="&amp;EOMONTH(DATE(2025,8,1),0)
 ),
 IF(_xlpm.x=0, "-", _xlpm.x)
)</f>
        <v>45883</v>
      </c>
      <c r="R196" s="65">
        <f>_xlfn.LET(
 _xlpm.x,
 _xlfn.MAXIFS(
  raw_stack!H$2:H$100000,
  raw_stack!D$2:D$100000, G196,
  raw_stack!F$2:F$100000, "Iya",
  raw_stack!G$2:G$100000, "&gt;="&amp;DATE(2025,8,1),
  raw_stack!G$2:G$100000, "&lt;="&amp;EOMONTH(DATE(2025,8,1),0)
 ),
 IF(OR(_xlpm.x=0, _xlpm.x=""), "-", _xlpm.x)
)</f>
        <v>1613</v>
      </c>
      <c r="S196" s="54" t="str">
        <f>_xlfn.LET(
 _xlpm.x,
 _xlfn.MAXIFS(
  raw_stack!G$2:G$99411,
  raw_stack!D$2:D$99411, G196,
  raw_stack!F$2:F$99411, "Iya",
  raw_stack!G$2:G$99411, "&gt;="&amp;DATE(2025,9,1),
  raw_stack!G$2:G$99411, "&lt;="&amp;EOMONTH(DATE(2025,9,1),0)
 ),
 IF(_xlpm.x=0, "-", _xlpm.x)
)</f>
        <v>-</v>
      </c>
      <c r="T196" s="65" t="str">
        <f>_xlfn.LET(
 _xlpm.x,
 _xlfn.MAXIFS(
  raw_stack!H$2:H$100000,
  raw_stack!D$2:D$100000, G196,
  raw_stack!F$2:F$100000, "Iya",
  raw_stack!G$2:G$100000, "&gt;="&amp;DATE(2025,9,1),
  raw_stack!G$2:G$100000, "&lt;="&amp;EOMONTH(DATE(2025,9,1),0)
 ),
 IF(OR(_xlpm.x=0, _xlpm.x=""), "-", _xlpm.x)
)</f>
        <v>-</v>
      </c>
      <c r="U196" s="54" t="str">
        <f>_xlfn.LET(
 _xlpm.x,
 _xlfn.MAXIFS(
  raw_stack!G$2:G$99411,
  raw_stack!D$2:D$99411, G196,
  raw_stack!F$2:F$99411, "Iya",
  raw_stack!G$2:G$99411, "&gt;="&amp;DATE(2025,10,1),
  raw_stack!G$2:G$99411, "&lt;="&amp;EOMONTH(DATE(2025,10,1),0)
 ),
 IF(_xlpm.x=0, "-", _xlpm.x)
)</f>
        <v>-</v>
      </c>
      <c r="V196" s="65" t="str">
        <f>_xlfn.LET(
 _xlpm.x,
 _xlfn.MAXIFS(
  raw_stack!H$2:H$100000,
  raw_stack!D$2:D$100000, G196,
  raw_stack!F$2:F$100000, "Iya",
  raw_stack!G$2:G$100000, "&gt;="&amp;DATE(2025,10,1),
  raw_stack!G$2:G$100000, "&lt;="&amp;EOMONTH(DATE(2025,10,1),0)
 ),
 IF(OR(_xlpm.x=0, _xlpm.x=""), "-", _xlpm.x)
)</f>
        <v>-</v>
      </c>
      <c r="W196" s="55" t="str">
        <f>_xlfn.LET(
 _xlpm.x,
 _xlfn.MAXIFS(
  raw_stack!G$2:G$99411,
  raw_stack!D$2:D$99411, G196,
  raw_stack!F$2:F$99411, "Iya",
  raw_stack!G$2:G$99411, "&gt;="&amp;DATE(2025,11,1),
  raw_stack!G$2:G$99411, "&lt;="&amp;EOMONTH(DATE(2025,11,1),0)
 ),
 IF(_xlpm.x=0, "-", _xlpm.x)
)</f>
        <v>-</v>
      </c>
      <c r="X196" s="56" t="str">
        <f>_xlfn.LET(
 _xlpm.x,
 _xlfn.MAXIFS(
  raw_stack!H$2:H$100000,
  raw_stack!D$2:D$100000, G196,
  raw_stack!F$2:F$100000, "Iya",
  raw_stack!G$2:G$100000, "&gt;="&amp;DATE(2025,11,1),
  raw_stack!G$2:G$100000, "&lt;="&amp;EOMONTH(DATE(2025,11,1),0)
 ),
 IF(OR(_xlpm.x=0, _xlpm.x=""), "-", _xlpm.x)
)</f>
        <v>-</v>
      </c>
      <c r="Y196" s="55">
        <f>_xlfn.LET(
 _xlpm.x,
 _xlfn.MAXIFS(
  raw_stack!G$2:G$99411,
  raw_stack!D$2:D$99411, G196,
  raw_stack!F$2:F$99411, "Iya",
  raw_stack!G$2:G$99411, "&gt;="&amp;DATE(2025,12,1),
  raw_stack!G$2:G$99411, "&lt;="&amp;EOMONTH(DATE(2025,12,1),0)
 ),
 IF(_xlpm.x=0, "-", _xlpm.x)
)</f>
        <v>46006</v>
      </c>
      <c r="Z196" s="56">
        <f>_xlfn.LET(
 _xlpm.x,
 _xlfn.MAXIFS(
  raw_stack!H$2:H$100000,
  raw_stack!D$2:D$100000, G196,
  raw_stack!F$2:F$100000, "Iya",
  raw_stack!G$2:G$100000, "&gt;="&amp;DATE(2025,12,1),
  raw_stack!G$2:G$100000, "&lt;="&amp;EOMONTH(DATE(2025,12,1),0)
 ),
 IF(OR(_xlpm.x=0, _xlpm.x=""), "-", _xlpm.x)
)</f>
        <v>1839</v>
      </c>
      <c r="AA196" s="55" t="str">
        <f>_xlfn.LET(
 _xlpm.x,
 _xlfn.MAXIFS(
  raw_stack!G$2:G$99411,
  raw_stack!D$2:D$99411, G196,
  raw_stack!F$2:F$99411, "Iya",
  raw_stack!G$2:G$99411, "&gt;="&amp;DATE(2026,1,1),
  raw_stack!G$2:G$99411, "&lt;="&amp;EOMONTH(DATE(2026,1,1),0)
 ),
 IF(_xlpm.x=0, "-", _xlpm.x)
)</f>
        <v>-</v>
      </c>
      <c r="AB196" s="56" t="str">
        <f>_xlfn.LET(
 _xlpm.x,
 _xlfn.MAXIFS(
  raw_stack!H$2:H$100000,
  raw_stack!D$2:D$100000, G196,
  raw_stack!F$2:F$100000, "Iya",
  raw_stack!G$2:G$100000, "&gt;="&amp;DATE(2026,1,1),
  raw_stack!G$2:G$100000, "&lt;="&amp;EOMONTH(DATE(2026,1,1),0)
 ),
 IF(OR(_xlpm.x=0, _xlpm.x=""), "-", _xlpm.x)
)</f>
        <v>-</v>
      </c>
      <c r="AC196" s="55" t="str">
        <f>_xlfn.LET(
 _xlpm.x,
 _xlfn.MAXIFS(
  raw_stack!G$2:G$99411,
  raw_stack!D$2:D$99411, G196,
  raw_stack!F$2:F$99411, "Iya",
  raw_stack!G$2:G$99411, "&gt;="&amp;DATE(2026,2,1),
  raw_stack!G$2:G$99411, "&lt;="&amp;EOMONTH(DATE(2026,2,1),0)
 ),
 IF(_xlpm.x=0, "-", _xlpm.x)
)</f>
        <v>-</v>
      </c>
      <c r="AD196" s="56" t="str">
        <f>_xlfn.LET(
 _xlpm.x,
 _xlfn.MAXIFS(
  raw_stack!H$2:H$100000,
  raw_stack!D$2:D$100000, G196,
  raw_stack!F$2:F$100000, "Iya",
  raw_stack!G$2:G$100000, "&gt;="&amp;DATE(2026,2,1),
  raw_stack!G$2:G$100000, "&lt;="&amp;EOMONTH(DATE(2026,2,1),0)
 ),
 IF(OR(_xlpm.x=0, _xlpm.x=""), "-", _xlpm.x)
)</f>
        <v>-</v>
      </c>
      <c r="AE196" s="55" t="str">
        <f>_xlfn.LET(
 _xlpm.x,
 _xlfn.MAXIFS(
  raw_stack!G$2:G$100000,
  raw_stack!D$2:D$100000, G196,
  raw_stack!F$2:F$100000, "Iya",
  raw_stack!G$2:G$100000, "&gt;="&amp;DATE(2026,3,1),
  raw_stack!G$2:G$100000, "&lt;="&amp;EOMONTH(DATE(2026,3,1),0)
 ),
 IF(_xlpm.x=0, "-", _xlpm.x)
)</f>
        <v>-</v>
      </c>
      <c r="AF196" s="56" t="str">
        <f>_xlfn.LET(
 _xlpm.x,
 _xlfn.MAXIFS(
  raw_stack!H$2:H$100000,
  raw_stack!D$2:D$100000, G196,
  raw_stack!F$2:F$100000, "Iya",
  raw_stack!G$2:G$100000, "&gt;="&amp;DATE(2026,3,1),
  raw_stack!G$2:G$100000, "&lt;="&amp;EOMONTH(DATE(2026,3,1),0)
 ),
 IF(OR(_xlpm.x=0, _xlpm.x=""), "-", _xlpm.x)
)</f>
        <v>-</v>
      </c>
      <c r="AG196" s="55" t="str">
        <f>_xlfn.LET(
 _xlpm.x,
 _xlfn.MAXIFS(
  raw_stack!G$2:G$100000,
  raw_stack!D$2:D$100000, G196,
  raw_stack!F$2:F$100000, "Iya",
  raw_stack!G$2:G$100000, "&gt;="&amp;DATE(2026,4,1),
  raw_stack!G$2:G$100000, "&lt;="&amp;EOMONTH(DATE(2026,4,1),0)
 ),
 IF(_xlpm.x=0, "-", _xlpm.x)
)</f>
        <v>-</v>
      </c>
      <c r="AH196" s="56" t="str">
        <f>_xlfn.LET(
 _xlpm.x,
 _xlfn.MAXIFS(
  raw_stack!H$2:H$100000,
  raw_stack!D$2:D$100000, G196,
  raw_stack!F$2:F$100000, "Iya",
  raw_stack!G$2:G$100000, "&gt;="&amp;DATE(2026,4,1),
  raw_stack!G$2:G$100000, "&lt;="&amp;EOMONTH(DATE(2026,4,1),0)
 ),
 IF(OR(_xlpm.x=0, _xlpm.x=""), "-", _xlpm.x)
)</f>
        <v>-</v>
      </c>
    </row>
    <row r="197" spans="1:34">
      <c r="A197" s="48">
        <v>196</v>
      </c>
      <c r="B197" s="49" t="str">
        <f t="shared" si="3"/>
        <v>64842</v>
      </c>
      <c r="C197" s="50" t="s">
        <v>46</v>
      </c>
      <c r="D197" s="51" t="s">
        <v>558</v>
      </c>
      <c r="E197" s="51" t="s">
        <v>54</v>
      </c>
      <c r="F197" s="49" t="s">
        <v>117</v>
      </c>
      <c r="G197" s="49" t="s">
        <v>313</v>
      </c>
      <c r="H197" s="49" t="s">
        <v>48</v>
      </c>
      <c r="I197" s="49" t="s">
        <v>52</v>
      </c>
      <c r="J197" s="52">
        <v>7021700</v>
      </c>
      <c r="K197" s="53">
        <v>45660</v>
      </c>
      <c r="L197" s="53">
        <v>46754</v>
      </c>
      <c r="M197" s="53">
        <v>46083</v>
      </c>
      <c r="N197" s="49" t="s">
        <v>50</v>
      </c>
      <c r="O197" s="54">
        <f>_xlfn.LET(
 _xlpm.x,
 _xlfn.MAXIFS(
  raw_stack!G$2:G$100000,
  raw_stack!D$2:D$100000, G197,
  raw_stack!F$2:F$100000, "Iya",
  raw_stack!G$2:G$100000, "&gt;="&amp;DATE(2025,7,1),
  raw_stack!G$2:G$100000, "&lt;="&amp;EOMONTH(DATE(2025,7,1),0)
 ),
 IF(_xlpm.x=0, "-", _xlpm.x)
)</f>
        <v>45840</v>
      </c>
      <c r="P197" s="65">
        <f>_xlfn.LET(
 _xlpm.x,
 _xlfn.MAXIFS(
  raw_stack!H$2:H$100000,
  raw_stack!D$2:D$100000, G197,
  raw_stack!F$2:F$100000, "Iya",
  raw_stack!G$2:G$100000, "&gt;="&amp;DATE(2025,7,1),
  raw_stack!G$2:G$100000, "&lt;="&amp;EOMONTH(DATE(2025,7,1),0)
 ),
 IF(OR(_xlpm.x=0, _xlpm.x=""), "-", _xlpm.x)
)</f>
        <v>11579</v>
      </c>
      <c r="Q197" s="54" t="str">
        <f>_xlfn.LET(
 _xlpm.x,
 _xlfn.MAXIFS(
  raw_stack!G$2:G$99411,
  raw_stack!D$2:D$99411, G197,
  raw_stack!F$2:F$99411, "Iya",
  raw_stack!G$2:G$99411, "&gt;="&amp;DATE(2025,8,1),
  raw_stack!G$2:G$99411, "&lt;="&amp;EOMONTH(DATE(2025,8,1),0)
 ),
 IF(_xlpm.x=0, "-", _xlpm.x)
)</f>
        <v>-</v>
      </c>
      <c r="R197" s="65" t="str">
        <f>_xlfn.LET(
 _xlpm.x,
 _xlfn.MAXIFS(
  raw_stack!H$2:H$100000,
  raw_stack!D$2:D$100000, G197,
  raw_stack!F$2:F$100000, "Iya",
  raw_stack!G$2:G$100000, "&gt;="&amp;DATE(2025,8,1),
  raw_stack!G$2:G$100000, "&lt;="&amp;EOMONTH(DATE(2025,8,1),0)
 ),
 IF(OR(_xlpm.x=0, _xlpm.x=""), "-", _xlpm.x)
)</f>
        <v>-</v>
      </c>
      <c r="S197" s="54" t="str">
        <f>_xlfn.LET(
 _xlpm.x,
 _xlfn.MAXIFS(
  raw_stack!G$2:G$99411,
  raw_stack!D$2:D$99411, G197,
  raw_stack!F$2:F$99411, "Iya",
  raw_stack!G$2:G$99411, "&gt;="&amp;DATE(2025,9,1),
  raw_stack!G$2:G$99411, "&lt;="&amp;EOMONTH(DATE(2025,9,1),0)
 ),
 IF(_xlpm.x=0, "-", _xlpm.x)
)</f>
        <v>-</v>
      </c>
      <c r="T197" s="65" t="str">
        <f>_xlfn.LET(
 _xlpm.x,
 _xlfn.MAXIFS(
  raw_stack!H$2:H$100000,
  raw_stack!D$2:D$100000, G197,
  raw_stack!F$2:F$100000, "Iya",
  raw_stack!G$2:G$100000, "&gt;="&amp;DATE(2025,9,1),
  raw_stack!G$2:G$100000, "&lt;="&amp;EOMONTH(DATE(2025,9,1),0)
 ),
 IF(OR(_xlpm.x=0, _xlpm.x=""), "-", _xlpm.x)
)</f>
        <v>-</v>
      </c>
      <c r="U197" s="54" t="str">
        <f>_xlfn.LET(
 _xlpm.x,
 _xlfn.MAXIFS(
  raw_stack!G$2:G$99411,
  raw_stack!D$2:D$99411, G197,
  raw_stack!F$2:F$99411, "Iya",
  raw_stack!G$2:G$99411, "&gt;="&amp;DATE(2025,10,1),
  raw_stack!G$2:G$99411, "&lt;="&amp;EOMONTH(DATE(2025,10,1),0)
 ),
 IF(_xlpm.x=0, "-", _xlpm.x)
)</f>
        <v>-</v>
      </c>
      <c r="V197" s="65" t="str">
        <f>_xlfn.LET(
 _xlpm.x,
 _xlfn.MAXIFS(
  raw_stack!H$2:H$100000,
  raw_stack!D$2:D$100000, G197,
  raw_stack!F$2:F$100000, "Iya",
  raw_stack!G$2:G$100000, "&gt;="&amp;DATE(2025,10,1),
  raw_stack!G$2:G$100000, "&lt;="&amp;EOMONTH(DATE(2025,10,1),0)
 ),
 IF(OR(_xlpm.x=0, _xlpm.x=""), "-", _xlpm.x)
)</f>
        <v>-</v>
      </c>
      <c r="W197" s="55" t="str">
        <f>_xlfn.LET(
 _xlpm.x,
 _xlfn.MAXIFS(
  raw_stack!G$2:G$99411,
  raw_stack!D$2:D$99411, G197,
  raw_stack!F$2:F$99411, "Iya",
  raw_stack!G$2:G$99411, "&gt;="&amp;DATE(2025,11,1),
  raw_stack!G$2:G$99411, "&lt;="&amp;EOMONTH(DATE(2025,11,1),0)
 ),
 IF(_xlpm.x=0, "-", _xlpm.x)
)</f>
        <v>-</v>
      </c>
      <c r="X197" s="56" t="str">
        <f>_xlfn.LET(
 _xlpm.x,
 _xlfn.MAXIFS(
  raw_stack!H$2:H$100000,
  raw_stack!D$2:D$100000, G197,
  raw_stack!F$2:F$100000, "Iya",
  raw_stack!G$2:G$100000, "&gt;="&amp;DATE(2025,11,1),
  raw_stack!G$2:G$100000, "&lt;="&amp;EOMONTH(DATE(2025,11,1),0)
 ),
 IF(OR(_xlpm.x=0, _xlpm.x=""), "-", _xlpm.x)
)</f>
        <v>-</v>
      </c>
      <c r="Y197" s="55" t="str">
        <f>_xlfn.LET(
 _xlpm.x,
 _xlfn.MAXIFS(
  raw_stack!G$2:G$99411,
  raw_stack!D$2:D$99411, G197,
  raw_stack!F$2:F$99411, "Iya",
  raw_stack!G$2:G$99411, "&gt;="&amp;DATE(2025,12,1),
  raw_stack!G$2:G$99411, "&lt;="&amp;EOMONTH(DATE(2025,12,1),0)
 ),
 IF(_xlpm.x=0, "-", _xlpm.x)
)</f>
        <v>-</v>
      </c>
      <c r="Z197" s="56" t="str">
        <f>_xlfn.LET(
 _xlpm.x,
 _xlfn.MAXIFS(
  raw_stack!H$2:H$100000,
  raw_stack!D$2:D$100000, G197,
  raw_stack!F$2:F$100000, "Iya",
  raw_stack!G$2:G$100000, "&gt;="&amp;DATE(2025,12,1),
  raw_stack!G$2:G$100000, "&lt;="&amp;EOMONTH(DATE(2025,12,1),0)
 ),
 IF(OR(_xlpm.x=0, _xlpm.x=""), "-", _xlpm.x)
)</f>
        <v>-</v>
      </c>
      <c r="AA197" s="55">
        <f>_xlfn.LET(
 _xlpm.x,
 _xlfn.MAXIFS(
  raw_stack!G$2:G$99411,
  raw_stack!D$2:D$99411, G197,
  raw_stack!F$2:F$99411, "Iya",
  raw_stack!G$2:G$99411, "&gt;="&amp;DATE(2026,1,1),
  raw_stack!G$2:G$99411, "&lt;="&amp;EOMONTH(DATE(2026,1,1),0)
 ),
 IF(_xlpm.x=0, "-", _xlpm.x)
)</f>
        <v>46051</v>
      </c>
      <c r="AB197" s="56">
        <f>_xlfn.LET(
 _xlpm.x,
 _xlfn.MAXIFS(
  raw_stack!H$2:H$100000,
  raw_stack!D$2:D$100000, G197,
  raw_stack!F$2:F$100000, "Iya",
  raw_stack!G$2:G$100000, "&gt;="&amp;DATE(2026,1,1),
  raw_stack!G$2:G$100000, "&lt;="&amp;EOMONTH(DATE(2026,1,1),0)
 ),
 IF(OR(_xlpm.x=0, _xlpm.x=""), "-", _xlpm.x)
)</f>
        <v>12682</v>
      </c>
      <c r="AC197" s="55" t="str">
        <f>_xlfn.LET(
 _xlpm.x,
 _xlfn.MAXIFS(
  raw_stack!G$2:G$99411,
  raw_stack!D$2:D$99411, G197,
  raw_stack!F$2:F$99411, "Iya",
  raw_stack!G$2:G$99411, "&gt;="&amp;DATE(2026,2,1),
  raw_stack!G$2:G$99411, "&lt;="&amp;EOMONTH(DATE(2026,2,1),0)
 ),
 IF(_xlpm.x=0, "-", _xlpm.x)
)</f>
        <v>-</v>
      </c>
      <c r="AD197" s="56" t="str">
        <f>_xlfn.LET(
 _xlpm.x,
 _xlfn.MAXIFS(
  raw_stack!H$2:H$100000,
  raw_stack!D$2:D$100000, G197,
  raw_stack!F$2:F$100000, "Iya",
  raw_stack!G$2:G$100000, "&gt;="&amp;DATE(2026,2,1),
  raw_stack!G$2:G$100000, "&lt;="&amp;EOMONTH(DATE(2026,2,1),0)
 ),
 IF(OR(_xlpm.x=0, _xlpm.x=""), "-", _xlpm.x)
)</f>
        <v>-</v>
      </c>
      <c r="AE197" s="55" t="str">
        <f>_xlfn.LET(
 _xlpm.x,
 _xlfn.MAXIFS(
  raw_stack!G$2:G$100000,
  raw_stack!D$2:D$100000, G197,
  raw_stack!F$2:F$100000, "Iya",
  raw_stack!G$2:G$100000, "&gt;="&amp;DATE(2026,3,1),
  raw_stack!G$2:G$100000, "&lt;="&amp;EOMONTH(DATE(2026,3,1),0)
 ),
 IF(_xlpm.x=0, "-", _xlpm.x)
)</f>
        <v>-</v>
      </c>
      <c r="AF197" s="56" t="str">
        <f>_xlfn.LET(
 _xlpm.x,
 _xlfn.MAXIFS(
  raw_stack!H$2:H$100000,
  raw_stack!D$2:D$100000, G197,
  raw_stack!F$2:F$100000, "Iya",
  raw_stack!G$2:G$100000, "&gt;="&amp;DATE(2026,3,1),
  raw_stack!G$2:G$100000, "&lt;="&amp;EOMONTH(DATE(2026,3,1),0)
 ),
 IF(OR(_xlpm.x=0, _xlpm.x=""), "-", _xlpm.x)
)</f>
        <v>-</v>
      </c>
      <c r="AG197" s="55" t="str">
        <f>_xlfn.LET(
 _xlpm.x,
 _xlfn.MAXIFS(
  raw_stack!G$2:G$100000,
  raw_stack!D$2:D$100000, G197,
  raw_stack!F$2:F$100000, "Iya",
  raw_stack!G$2:G$100000, "&gt;="&amp;DATE(2026,4,1),
  raw_stack!G$2:G$100000, "&lt;="&amp;EOMONTH(DATE(2026,4,1),0)
 ),
 IF(_xlpm.x=0, "-", _xlpm.x)
)</f>
        <v>-</v>
      </c>
      <c r="AH197" s="56" t="str">
        <f>_xlfn.LET(
 _xlpm.x,
 _xlfn.MAXIFS(
  raw_stack!H$2:H$100000,
  raw_stack!D$2:D$100000, G197,
  raw_stack!F$2:F$100000, "Iya",
  raw_stack!G$2:G$100000, "&gt;="&amp;DATE(2026,4,1),
  raw_stack!G$2:G$100000, "&lt;="&amp;EOMONTH(DATE(2026,4,1),0)
 ),
 IF(OR(_xlpm.x=0, _xlpm.x=""), "-", _xlpm.x)
)</f>
        <v>-</v>
      </c>
    </row>
    <row r="198" spans="1:34">
      <c r="A198" s="48">
        <v>197</v>
      </c>
      <c r="B198" s="49" t="str">
        <f t="shared" si="3"/>
        <v>91028</v>
      </c>
      <c r="C198" s="50" t="s">
        <v>46</v>
      </c>
      <c r="D198" s="51" t="s">
        <v>628</v>
      </c>
      <c r="E198" s="51" t="s">
        <v>51</v>
      </c>
      <c r="F198" s="49" t="s">
        <v>117</v>
      </c>
      <c r="G198" s="49" t="s">
        <v>314</v>
      </c>
      <c r="H198" s="49" t="s">
        <v>48</v>
      </c>
      <c r="I198" s="49" t="s">
        <v>52</v>
      </c>
      <c r="J198" s="52">
        <v>3880000</v>
      </c>
      <c r="K198" s="53">
        <v>45662</v>
      </c>
      <c r="L198" s="53">
        <v>46756</v>
      </c>
      <c r="M198" s="53">
        <v>46085</v>
      </c>
      <c r="N198" s="49" t="s">
        <v>50</v>
      </c>
      <c r="O198" s="54">
        <f>_xlfn.LET(
 _xlpm.x,
 _xlfn.MAXIFS(
  raw_stack!G$2:G$100000,
  raw_stack!D$2:D$100000, G198,
  raw_stack!F$2:F$100000, "Iya",
  raw_stack!G$2:G$100000, "&gt;="&amp;DATE(2025,7,1),
  raw_stack!G$2:G$100000, "&lt;="&amp;EOMONTH(DATE(2025,7,1),0)
 ),
 IF(_xlpm.x=0, "-", _xlpm.x)
)</f>
        <v>45860</v>
      </c>
      <c r="P198" s="65">
        <f>_xlfn.LET(
 _xlpm.x,
 _xlfn.MAXIFS(
  raw_stack!H$2:H$100000,
  raw_stack!D$2:D$100000, G198,
  raw_stack!F$2:F$100000, "Iya",
  raw_stack!G$2:G$100000, "&gt;="&amp;DATE(2025,7,1),
  raw_stack!G$2:G$100000, "&lt;="&amp;EOMONTH(DATE(2025,7,1),0)
 ),
 IF(OR(_xlpm.x=0, _xlpm.x=""), "-", _xlpm.x)
)</f>
        <v>7421</v>
      </c>
      <c r="Q198" s="54" t="str">
        <f>_xlfn.LET(
 _xlpm.x,
 _xlfn.MAXIFS(
  raw_stack!G$2:G$99411,
  raw_stack!D$2:D$99411, G198,
  raw_stack!F$2:F$99411, "Iya",
  raw_stack!G$2:G$99411, "&gt;="&amp;DATE(2025,8,1),
  raw_stack!G$2:G$99411, "&lt;="&amp;EOMONTH(DATE(2025,8,1),0)
 ),
 IF(_xlpm.x=0, "-", _xlpm.x)
)</f>
        <v>-</v>
      </c>
      <c r="R198" s="65" t="str">
        <f>_xlfn.LET(
 _xlpm.x,
 _xlfn.MAXIFS(
  raw_stack!H$2:H$100000,
  raw_stack!D$2:D$100000, G198,
  raw_stack!F$2:F$100000, "Iya",
  raw_stack!G$2:G$100000, "&gt;="&amp;DATE(2025,8,1),
  raw_stack!G$2:G$100000, "&lt;="&amp;EOMONTH(DATE(2025,8,1),0)
 ),
 IF(OR(_xlpm.x=0, _xlpm.x=""), "-", _xlpm.x)
)</f>
        <v>-</v>
      </c>
      <c r="S198" s="54" t="str">
        <f>_xlfn.LET(
 _xlpm.x,
 _xlfn.MAXIFS(
  raw_stack!G$2:G$99411,
  raw_stack!D$2:D$99411, G198,
  raw_stack!F$2:F$99411, "Iya",
  raw_stack!G$2:G$99411, "&gt;="&amp;DATE(2025,9,1),
  raw_stack!G$2:G$99411, "&lt;="&amp;EOMONTH(DATE(2025,9,1),0)
 ),
 IF(_xlpm.x=0, "-", _xlpm.x)
)</f>
        <v>-</v>
      </c>
      <c r="T198" s="65" t="str">
        <f>_xlfn.LET(
 _xlpm.x,
 _xlfn.MAXIFS(
  raw_stack!H$2:H$100000,
  raw_stack!D$2:D$100000, G198,
  raw_stack!F$2:F$100000, "Iya",
  raw_stack!G$2:G$100000, "&gt;="&amp;DATE(2025,9,1),
  raw_stack!G$2:G$100000, "&lt;="&amp;EOMONTH(DATE(2025,9,1),0)
 ),
 IF(OR(_xlpm.x=0, _xlpm.x=""), "-", _xlpm.x)
)</f>
        <v>-</v>
      </c>
      <c r="U198" s="54" t="str">
        <f>_xlfn.LET(
 _xlpm.x,
 _xlfn.MAXIFS(
  raw_stack!G$2:G$99411,
  raw_stack!D$2:D$99411, G198,
  raw_stack!F$2:F$99411, "Iya",
  raw_stack!G$2:G$99411, "&gt;="&amp;DATE(2025,10,1),
  raw_stack!G$2:G$99411, "&lt;="&amp;EOMONTH(DATE(2025,10,1),0)
 ),
 IF(_xlpm.x=0, "-", _xlpm.x)
)</f>
        <v>-</v>
      </c>
      <c r="V198" s="65" t="str">
        <f>_xlfn.LET(
 _xlpm.x,
 _xlfn.MAXIFS(
  raw_stack!H$2:H$100000,
  raw_stack!D$2:D$100000, G198,
  raw_stack!F$2:F$100000, "Iya",
  raw_stack!G$2:G$100000, "&gt;="&amp;DATE(2025,10,1),
  raw_stack!G$2:G$100000, "&lt;="&amp;EOMONTH(DATE(2025,10,1),0)
 ),
 IF(OR(_xlpm.x=0, _xlpm.x=""), "-", _xlpm.x)
)</f>
        <v>-</v>
      </c>
      <c r="W198" s="55">
        <f>_xlfn.LET(
 _xlpm.x,
 _xlfn.MAXIFS(
  raw_stack!G$2:G$99411,
  raw_stack!D$2:D$99411, G198,
  raw_stack!F$2:F$99411, "Iya",
  raw_stack!G$2:G$99411, "&gt;="&amp;DATE(2025,11,1),
  raw_stack!G$2:G$99411, "&lt;="&amp;EOMONTH(DATE(2025,11,1),0)
 ),
 IF(_xlpm.x=0, "-", _xlpm.x)
)</f>
        <v>45973</v>
      </c>
      <c r="X198" s="56">
        <f>_xlfn.LET(
 _xlpm.x,
 _xlfn.MAXIFS(
  raw_stack!H$2:H$100000,
  raw_stack!D$2:D$100000, G198,
  raw_stack!F$2:F$100000, "Iya",
  raw_stack!G$2:G$100000, "&gt;="&amp;DATE(2025,11,1),
  raw_stack!G$2:G$100000, "&lt;="&amp;EOMONTH(DATE(2025,11,1),0)
 ),
 IF(OR(_xlpm.x=0, _xlpm.x=""), "-", _xlpm.x)
)</f>
        <v>8587</v>
      </c>
      <c r="Y198" s="55" t="str">
        <f>_xlfn.LET(
 _xlpm.x,
 _xlfn.MAXIFS(
  raw_stack!G$2:G$99411,
  raw_stack!D$2:D$99411, G198,
  raw_stack!F$2:F$99411, "Iya",
  raw_stack!G$2:G$99411, "&gt;="&amp;DATE(2025,12,1),
  raw_stack!G$2:G$99411, "&lt;="&amp;EOMONTH(DATE(2025,12,1),0)
 ),
 IF(_xlpm.x=0, "-", _xlpm.x)
)</f>
        <v>-</v>
      </c>
      <c r="Z198" s="56" t="str">
        <f>_xlfn.LET(
 _xlpm.x,
 _xlfn.MAXIFS(
  raw_stack!H$2:H$100000,
  raw_stack!D$2:D$100000, G198,
  raw_stack!F$2:F$100000, "Iya",
  raw_stack!G$2:G$100000, "&gt;="&amp;DATE(2025,12,1),
  raw_stack!G$2:G$100000, "&lt;="&amp;EOMONTH(DATE(2025,12,1),0)
 ),
 IF(OR(_xlpm.x=0, _xlpm.x=""), "-", _xlpm.x)
)</f>
        <v>-</v>
      </c>
      <c r="AA198" s="55" t="str">
        <f>_xlfn.LET(
 _xlpm.x,
 _xlfn.MAXIFS(
  raw_stack!G$2:G$99411,
  raw_stack!D$2:D$99411, G198,
  raw_stack!F$2:F$99411, "Iya",
  raw_stack!G$2:G$99411, "&gt;="&amp;DATE(2026,1,1),
  raw_stack!G$2:G$99411, "&lt;="&amp;EOMONTH(DATE(2026,1,1),0)
 ),
 IF(_xlpm.x=0, "-", _xlpm.x)
)</f>
        <v>-</v>
      </c>
      <c r="AB198" s="56" t="str">
        <f>_xlfn.LET(
 _xlpm.x,
 _xlfn.MAXIFS(
  raw_stack!H$2:H$100000,
  raw_stack!D$2:D$100000, G198,
  raw_stack!F$2:F$100000, "Iya",
  raw_stack!G$2:G$100000, "&gt;="&amp;DATE(2026,1,1),
  raw_stack!G$2:G$100000, "&lt;="&amp;EOMONTH(DATE(2026,1,1),0)
 ),
 IF(OR(_xlpm.x=0, _xlpm.x=""), "-", _xlpm.x)
)</f>
        <v>-</v>
      </c>
      <c r="AC198" s="55" t="str">
        <f>_xlfn.LET(
 _xlpm.x,
 _xlfn.MAXIFS(
  raw_stack!G$2:G$99411,
  raw_stack!D$2:D$99411, G198,
  raw_stack!F$2:F$99411, "Iya",
  raw_stack!G$2:G$99411, "&gt;="&amp;DATE(2026,2,1),
  raw_stack!G$2:G$99411, "&lt;="&amp;EOMONTH(DATE(2026,2,1),0)
 ),
 IF(_xlpm.x=0, "-", _xlpm.x)
)</f>
        <v>-</v>
      </c>
      <c r="AD198" s="56" t="str">
        <f>_xlfn.LET(
 _xlpm.x,
 _xlfn.MAXIFS(
  raw_stack!H$2:H$100000,
  raw_stack!D$2:D$100000, G198,
  raw_stack!F$2:F$100000, "Iya",
  raw_stack!G$2:G$100000, "&gt;="&amp;DATE(2026,2,1),
  raw_stack!G$2:G$100000, "&lt;="&amp;EOMONTH(DATE(2026,2,1),0)
 ),
 IF(OR(_xlpm.x=0, _xlpm.x=""), "-", _xlpm.x)
)</f>
        <v>-</v>
      </c>
      <c r="AE198" s="55" t="str">
        <f>_xlfn.LET(
 _xlpm.x,
 _xlfn.MAXIFS(
  raw_stack!G$2:G$100000,
  raw_stack!D$2:D$100000, G198,
  raw_stack!F$2:F$100000, "Iya",
  raw_stack!G$2:G$100000, "&gt;="&amp;DATE(2026,3,1),
  raw_stack!G$2:G$100000, "&lt;="&amp;EOMONTH(DATE(2026,3,1),0)
 ),
 IF(_xlpm.x=0, "-", _xlpm.x)
)</f>
        <v>-</v>
      </c>
      <c r="AF198" s="56" t="str">
        <f>_xlfn.LET(
 _xlpm.x,
 _xlfn.MAXIFS(
  raw_stack!H$2:H$100000,
  raw_stack!D$2:D$100000, G198,
  raw_stack!F$2:F$100000, "Iya",
  raw_stack!G$2:G$100000, "&gt;="&amp;DATE(2026,3,1),
  raw_stack!G$2:G$100000, "&lt;="&amp;EOMONTH(DATE(2026,3,1),0)
 ),
 IF(OR(_xlpm.x=0, _xlpm.x=""), "-", _xlpm.x)
)</f>
        <v>-</v>
      </c>
      <c r="AG198" s="55" t="str">
        <f>_xlfn.LET(
 _xlpm.x,
 _xlfn.MAXIFS(
  raw_stack!G$2:G$100000,
  raw_stack!D$2:D$100000, G198,
  raw_stack!F$2:F$100000, "Iya",
  raw_stack!G$2:G$100000, "&gt;="&amp;DATE(2026,4,1),
  raw_stack!G$2:G$100000, "&lt;="&amp;EOMONTH(DATE(2026,4,1),0)
 ),
 IF(_xlpm.x=0, "-", _xlpm.x)
)</f>
        <v>-</v>
      </c>
      <c r="AH198" s="56" t="str">
        <f>_xlfn.LET(
 _xlpm.x,
 _xlfn.MAXIFS(
  raw_stack!H$2:H$100000,
  raw_stack!D$2:D$100000, G198,
  raw_stack!F$2:F$100000, "Iya",
  raw_stack!G$2:G$100000, "&gt;="&amp;DATE(2026,4,1),
  raw_stack!G$2:G$100000, "&lt;="&amp;EOMONTH(DATE(2026,4,1),0)
 ),
 IF(OR(_xlpm.x=0, _xlpm.x=""), "-", _xlpm.x)
)</f>
        <v>-</v>
      </c>
    </row>
    <row r="199" spans="1:34">
      <c r="A199" s="48">
        <v>198</v>
      </c>
      <c r="B199" s="49" t="str">
        <f t="shared" si="3"/>
        <v>24204</v>
      </c>
      <c r="C199" s="50" t="s">
        <v>46</v>
      </c>
      <c r="D199" s="51" t="s">
        <v>629</v>
      </c>
      <c r="E199" s="51" t="s">
        <v>54</v>
      </c>
      <c r="F199" s="49" t="s">
        <v>117</v>
      </c>
      <c r="G199" s="49" t="s">
        <v>315</v>
      </c>
      <c r="H199" s="49" t="s">
        <v>48</v>
      </c>
      <c r="I199" s="49" t="s">
        <v>52</v>
      </c>
      <c r="J199" s="52">
        <v>6600000</v>
      </c>
      <c r="K199" s="53">
        <v>45663</v>
      </c>
      <c r="L199" s="53">
        <v>46757</v>
      </c>
      <c r="M199" s="53">
        <v>46058</v>
      </c>
      <c r="N199" s="49" t="s">
        <v>50</v>
      </c>
      <c r="O199" s="54" t="str">
        <f>_xlfn.LET(
 _xlpm.x,
 _xlfn.MAXIFS(
  raw_stack!G$2:G$100000,
  raw_stack!D$2:D$100000, G199,
  raw_stack!F$2:F$100000, "Iya",
  raw_stack!G$2:G$100000, "&gt;="&amp;DATE(2025,7,1),
  raw_stack!G$2:G$100000, "&lt;="&amp;EOMONTH(DATE(2025,7,1),0)
 ),
 IF(_xlpm.x=0, "-", _xlpm.x)
)</f>
        <v>-</v>
      </c>
      <c r="P199" s="65" t="str">
        <f>_xlfn.LET(
 _xlpm.x,
 _xlfn.MAXIFS(
  raw_stack!H$2:H$100000,
  raw_stack!D$2:D$100000, G199,
  raw_stack!F$2:F$100000, "Iya",
  raw_stack!G$2:G$100000, "&gt;="&amp;DATE(2025,7,1),
  raw_stack!G$2:G$100000, "&lt;="&amp;EOMONTH(DATE(2025,7,1),0)
 ),
 IF(OR(_xlpm.x=0, _xlpm.x=""), "-", _xlpm.x)
)</f>
        <v>-</v>
      </c>
      <c r="Q199" s="54" t="str">
        <f>_xlfn.LET(
 _xlpm.x,
 _xlfn.MAXIFS(
  raw_stack!G$2:G$99411,
  raw_stack!D$2:D$99411, G199,
  raw_stack!F$2:F$99411, "Iya",
  raw_stack!G$2:G$99411, "&gt;="&amp;DATE(2025,8,1),
  raw_stack!G$2:G$99411, "&lt;="&amp;EOMONTH(DATE(2025,8,1),0)
 ),
 IF(_xlpm.x=0, "-", _xlpm.x)
)</f>
        <v>-</v>
      </c>
      <c r="R199" s="65" t="str">
        <f>_xlfn.LET(
 _xlpm.x,
 _xlfn.MAXIFS(
  raw_stack!H$2:H$100000,
  raw_stack!D$2:D$100000, G199,
  raw_stack!F$2:F$100000, "Iya",
  raw_stack!G$2:G$100000, "&gt;="&amp;DATE(2025,8,1),
  raw_stack!G$2:G$100000, "&lt;="&amp;EOMONTH(DATE(2025,8,1),0)
 ),
 IF(OR(_xlpm.x=0, _xlpm.x=""), "-", _xlpm.x)
)</f>
        <v>-</v>
      </c>
      <c r="S199" s="54">
        <f>_xlfn.LET(
 _xlpm.x,
 _xlfn.MAXIFS(
  raw_stack!G$2:G$99411,
  raw_stack!D$2:D$99411, G199,
  raw_stack!F$2:F$99411, "Iya",
  raw_stack!G$2:G$99411, "&gt;="&amp;DATE(2025,9,1),
  raw_stack!G$2:G$99411, "&lt;="&amp;EOMONTH(DATE(2025,9,1),0)
 ),
 IF(_xlpm.x=0, "-", _xlpm.x)
)</f>
        <v>45917</v>
      </c>
      <c r="T199" s="65">
        <f>_xlfn.LET(
 _xlpm.x,
 _xlfn.MAXIFS(
  raw_stack!H$2:H$100000,
  raw_stack!D$2:D$100000, G199,
  raw_stack!F$2:F$100000, "Iya",
  raw_stack!G$2:G$100000, "&gt;="&amp;DATE(2025,9,1),
  raw_stack!G$2:G$100000, "&lt;="&amp;EOMONTH(DATE(2025,9,1),0)
 ),
 IF(OR(_xlpm.x=0, _xlpm.x=""), "-", _xlpm.x)
)</f>
        <v>45464</v>
      </c>
      <c r="U199" s="54" t="str">
        <f>_xlfn.LET(
 _xlpm.x,
 _xlfn.MAXIFS(
  raw_stack!G$2:G$99411,
  raw_stack!D$2:D$99411, G199,
  raw_stack!F$2:F$99411, "Iya",
  raw_stack!G$2:G$99411, "&gt;="&amp;DATE(2025,10,1),
  raw_stack!G$2:G$99411, "&lt;="&amp;EOMONTH(DATE(2025,10,1),0)
 ),
 IF(_xlpm.x=0, "-", _xlpm.x)
)</f>
        <v>-</v>
      </c>
      <c r="V199" s="65" t="str">
        <f>_xlfn.LET(
 _xlpm.x,
 _xlfn.MAXIFS(
  raw_stack!H$2:H$100000,
  raw_stack!D$2:D$100000, G199,
  raw_stack!F$2:F$100000, "Iya",
  raw_stack!G$2:G$100000, "&gt;="&amp;DATE(2025,10,1),
  raw_stack!G$2:G$100000, "&lt;="&amp;EOMONTH(DATE(2025,10,1),0)
 ),
 IF(OR(_xlpm.x=0, _xlpm.x=""), "-", _xlpm.x)
)</f>
        <v>-</v>
      </c>
      <c r="W199" s="55" t="str">
        <f>_xlfn.LET(
 _xlpm.x,
 _xlfn.MAXIFS(
  raw_stack!G$2:G$99411,
  raw_stack!D$2:D$99411, G199,
  raw_stack!F$2:F$99411, "Iya",
  raw_stack!G$2:G$99411, "&gt;="&amp;DATE(2025,11,1),
  raw_stack!G$2:G$99411, "&lt;="&amp;EOMONTH(DATE(2025,11,1),0)
 ),
 IF(_xlpm.x=0, "-", _xlpm.x)
)</f>
        <v>-</v>
      </c>
      <c r="X199" s="56" t="str">
        <f>_xlfn.LET(
 _xlpm.x,
 _xlfn.MAXIFS(
  raw_stack!H$2:H$100000,
  raw_stack!D$2:D$100000, G199,
  raw_stack!F$2:F$100000, "Iya",
  raw_stack!G$2:G$100000, "&gt;="&amp;DATE(2025,11,1),
  raw_stack!G$2:G$100000, "&lt;="&amp;EOMONTH(DATE(2025,11,1),0)
 ),
 IF(OR(_xlpm.x=0, _xlpm.x=""), "-", _xlpm.x)
)</f>
        <v>-</v>
      </c>
      <c r="Y199" s="55" t="str">
        <f>_xlfn.LET(
 _xlpm.x,
 _xlfn.MAXIFS(
  raw_stack!G$2:G$99411,
  raw_stack!D$2:D$99411, G199,
  raw_stack!F$2:F$99411, "Iya",
  raw_stack!G$2:G$99411, "&gt;="&amp;DATE(2025,12,1),
  raw_stack!G$2:G$99411, "&lt;="&amp;EOMONTH(DATE(2025,12,1),0)
 ),
 IF(_xlpm.x=0, "-", _xlpm.x)
)</f>
        <v>-</v>
      </c>
      <c r="Z199" s="56" t="str">
        <f>_xlfn.LET(
 _xlpm.x,
 _xlfn.MAXIFS(
  raw_stack!H$2:H$100000,
  raw_stack!D$2:D$100000, G199,
  raw_stack!F$2:F$100000, "Iya",
  raw_stack!G$2:G$100000, "&gt;="&amp;DATE(2025,12,1),
  raw_stack!G$2:G$100000, "&lt;="&amp;EOMONTH(DATE(2025,12,1),0)
 ),
 IF(OR(_xlpm.x=0, _xlpm.x=""), "-", _xlpm.x)
)</f>
        <v>-</v>
      </c>
      <c r="AA199" s="55" t="str">
        <f>_xlfn.LET(
 _xlpm.x,
 _xlfn.MAXIFS(
  raw_stack!G$2:G$99411,
  raw_stack!D$2:D$99411, G199,
  raw_stack!F$2:F$99411, "Iya",
  raw_stack!G$2:G$99411, "&gt;="&amp;DATE(2026,1,1),
  raw_stack!G$2:G$99411, "&lt;="&amp;EOMONTH(DATE(2026,1,1),0)
 ),
 IF(_xlpm.x=0, "-", _xlpm.x)
)</f>
        <v>-</v>
      </c>
      <c r="AB199" s="56" t="str">
        <f>_xlfn.LET(
 _xlpm.x,
 _xlfn.MAXIFS(
  raw_stack!H$2:H$100000,
  raw_stack!D$2:D$100000, G199,
  raw_stack!F$2:F$100000, "Iya",
  raw_stack!G$2:G$100000, "&gt;="&amp;DATE(2026,1,1),
  raw_stack!G$2:G$100000, "&lt;="&amp;EOMONTH(DATE(2026,1,1),0)
 ),
 IF(OR(_xlpm.x=0, _xlpm.x=""), "-", _xlpm.x)
)</f>
        <v>-</v>
      </c>
      <c r="AC199" s="55" t="str">
        <f>_xlfn.LET(
 _xlpm.x,
 _xlfn.MAXIFS(
  raw_stack!G$2:G$99411,
  raw_stack!D$2:D$99411, G199,
  raw_stack!F$2:F$99411, "Iya",
  raw_stack!G$2:G$99411, "&gt;="&amp;DATE(2026,2,1),
  raw_stack!G$2:G$99411, "&lt;="&amp;EOMONTH(DATE(2026,2,1),0)
 ),
 IF(_xlpm.x=0, "-", _xlpm.x)
)</f>
        <v>-</v>
      </c>
      <c r="AD199" s="56" t="str">
        <f>_xlfn.LET(
 _xlpm.x,
 _xlfn.MAXIFS(
  raw_stack!H$2:H$100000,
  raw_stack!D$2:D$100000, G199,
  raw_stack!F$2:F$100000, "Iya",
  raw_stack!G$2:G$100000, "&gt;="&amp;DATE(2026,2,1),
  raw_stack!G$2:G$100000, "&lt;="&amp;EOMONTH(DATE(2026,2,1),0)
 ),
 IF(OR(_xlpm.x=0, _xlpm.x=""), "-", _xlpm.x)
)</f>
        <v>-</v>
      </c>
      <c r="AE199" s="55" t="str">
        <f>_xlfn.LET(
 _xlpm.x,
 _xlfn.MAXIFS(
  raw_stack!G$2:G$100000,
  raw_stack!D$2:D$100000, G199,
  raw_stack!F$2:F$100000, "Iya",
  raw_stack!G$2:G$100000, "&gt;="&amp;DATE(2026,3,1),
  raw_stack!G$2:G$100000, "&lt;="&amp;EOMONTH(DATE(2026,3,1),0)
 ),
 IF(_xlpm.x=0, "-", _xlpm.x)
)</f>
        <v>-</v>
      </c>
      <c r="AF199" s="56" t="str">
        <f>_xlfn.LET(
 _xlpm.x,
 _xlfn.MAXIFS(
  raw_stack!H$2:H$100000,
  raw_stack!D$2:D$100000, G199,
  raw_stack!F$2:F$100000, "Iya",
  raw_stack!G$2:G$100000, "&gt;="&amp;DATE(2026,3,1),
  raw_stack!G$2:G$100000, "&lt;="&amp;EOMONTH(DATE(2026,3,1),0)
 ),
 IF(OR(_xlpm.x=0, _xlpm.x=""), "-", _xlpm.x)
)</f>
        <v>-</v>
      </c>
      <c r="AG199" s="55" t="str">
        <f>_xlfn.LET(
 _xlpm.x,
 _xlfn.MAXIFS(
  raw_stack!G$2:G$100000,
  raw_stack!D$2:D$100000, G199,
  raw_stack!F$2:F$100000, "Iya",
  raw_stack!G$2:G$100000, "&gt;="&amp;DATE(2026,4,1),
  raw_stack!G$2:G$100000, "&lt;="&amp;EOMONTH(DATE(2026,4,1),0)
 ),
 IF(_xlpm.x=0, "-", _xlpm.x)
)</f>
        <v>-</v>
      </c>
      <c r="AH199" s="56" t="str">
        <f>_xlfn.LET(
 _xlpm.x,
 _xlfn.MAXIFS(
  raw_stack!H$2:H$100000,
  raw_stack!D$2:D$100000, G199,
  raw_stack!F$2:F$100000, "Iya",
  raw_stack!G$2:G$100000, "&gt;="&amp;DATE(2026,4,1),
  raw_stack!G$2:G$100000, "&lt;="&amp;EOMONTH(DATE(2026,4,1),0)
 ),
 IF(OR(_xlpm.x=0, _xlpm.x=""), "-", _xlpm.x)
)</f>
        <v>-</v>
      </c>
    </row>
    <row r="200" spans="1:34">
      <c r="A200" s="48">
        <v>199</v>
      </c>
      <c r="B200" s="49" t="str">
        <f t="shared" si="3"/>
        <v>82746</v>
      </c>
      <c r="C200" s="50" t="s">
        <v>46</v>
      </c>
      <c r="D200" s="51" t="s">
        <v>482</v>
      </c>
      <c r="E200" s="51" t="s">
        <v>51</v>
      </c>
      <c r="F200" s="49" t="s">
        <v>117</v>
      </c>
      <c r="G200" s="49" t="s">
        <v>316</v>
      </c>
      <c r="H200" s="49" t="s">
        <v>48</v>
      </c>
      <c r="I200" s="49" t="s">
        <v>52</v>
      </c>
      <c r="J200" s="52">
        <v>3880000</v>
      </c>
      <c r="K200" s="53">
        <v>45665</v>
      </c>
      <c r="L200" s="53">
        <v>46759</v>
      </c>
      <c r="M200" s="53">
        <v>46088</v>
      </c>
      <c r="N200" s="49" t="s">
        <v>50</v>
      </c>
      <c r="O200" s="54" t="str">
        <f>_xlfn.LET(
 _xlpm.x,
 _xlfn.MAXIFS(
  raw_stack!G$2:G$100000,
  raw_stack!D$2:D$100000, G200,
  raw_stack!F$2:F$100000, "Iya",
  raw_stack!G$2:G$100000, "&gt;="&amp;DATE(2025,7,1),
  raw_stack!G$2:G$100000, "&lt;="&amp;EOMONTH(DATE(2025,7,1),0)
 ),
 IF(_xlpm.x=0, "-", _xlpm.x)
)</f>
        <v>-</v>
      </c>
      <c r="P200" s="65" t="str">
        <f>_xlfn.LET(
 _xlpm.x,
 _xlfn.MAXIFS(
  raw_stack!H$2:H$100000,
  raw_stack!D$2:D$100000, G200,
  raw_stack!F$2:F$100000, "Iya",
  raw_stack!G$2:G$100000, "&gt;="&amp;DATE(2025,7,1),
  raw_stack!G$2:G$100000, "&lt;="&amp;EOMONTH(DATE(2025,7,1),0)
 ),
 IF(OR(_xlpm.x=0, _xlpm.x=""), "-", _xlpm.x)
)</f>
        <v>-</v>
      </c>
      <c r="Q200" s="54" t="str">
        <f>_xlfn.LET(
 _xlpm.x,
 _xlfn.MAXIFS(
  raw_stack!G$2:G$99411,
  raw_stack!D$2:D$99411, G200,
  raw_stack!F$2:F$99411, "Iya",
  raw_stack!G$2:G$99411, "&gt;="&amp;DATE(2025,8,1),
  raw_stack!G$2:G$99411, "&lt;="&amp;EOMONTH(DATE(2025,8,1),0)
 ),
 IF(_xlpm.x=0, "-", _xlpm.x)
)</f>
        <v>-</v>
      </c>
      <c r="R200" s="65" t="str">
        <f>_xlfn.LET(
 _xlpm.x,
 _xlfn.MAXIFS(
  raw_stack!H$2:H$100000,
  raw_stack!D$2:D$100000, G200,
  raw_stack!F$2:F$100000, "Iya",
  raw_stack!G$2:G$100000, "&gt;="&amp;DATE(2025,8,1),
  raw_stack!G$2:G$100000, "&lt;="&amp;EOMONTH(DATE(2025,8,1),0)
 ),
 IF(OR(_xlpm.x=0, _xlpm.x=""), "-", _xlpm.x)
)</f>
        <v>-</v>
      </c>
      <c r="S200" s="54" t="str">
        <f>_xlfn.LET(
 _xlpm.x,
 _xlfn.MAXIFS(
  raw_stack!G$2:G$99411,
  raw_stack!D$2:D$99411, G200,
  raw_stack!F$2:F$99411, "Iya",
  raw_stack!G$2:G$99411, "&gt;="&amp;DATE(2025,9,1),
  raw_stack!G$2:G$99411, "&lt;="&amp;EOMONTH(DATE(2025,9,1),0)
 ),
 IF(_xlpm.x=0, "-", _xlpm.x)
)</f>
        <v>-</v>
      </c>
      <c r="T200" s="65" t="str">
        <f>_xlfn.LET(
 _xlpm.x,
 _xlfn.MAXIFS(
  raw_stack!H$2:H$100000,
  raw_stack!D$2:D$100000, G200,
  raw_stack!F$2:F$100000, "Iya",
  raw_stack!G$2:G$100000, "&gt;="&amp;DATE(2025,9,1),
  raw_stack!G$2:G$100000, "&lt;="&amp;EOMONTH(DATE(2025,9,1),0)
 ),
 IF(OR(_xlpm.x=0, _xlpm.x=""), "-", _xlpm.x)
)</f>
        <v>-</v>
      </c>
      <c r="U200" s="54">
        <f>_xlfn.LET(
 _xlpm.x,
 _xlfn.MAXIFS(
  raw_stack!G$2:G$99411,
  raw_stack!D$2:D$99411, G200,
  raw_stack!F$2:F$99411, "Iya",
  raw_stack!G$2:G$99411, "&gt;="&amp;DATE(2025,10,1),
  raw_stack!G$2:G$99411, "&lt;="&amp;EOMONTH(DATE(2025,10,1),0)
 ),
 IF(_xlpm.x=0, "-", _xlpm.x)
)</f>
        <v>45936</v>
      </c>
      <c r="V200" s="65">
        <f>_xlfn.LET(
 _xlpm.x,
 _xlfn.MAXIFS(
  raw_stack!H$2:H$100000,
  raw_stack!D$2:D$100000, G200,
  raw_stack!F$2:F$100000, "Iya",
  raw_stack!G$2:G$100000, "&gt;="&amp;DATE(2025,10,1),
  raw_stack!G$2:G$100000, "&lt;="&amp;EOMONTH(DATE(2025,10,1),0)
 ),
 IF(OR(_xlpm.x=0, _xlpm.x=""), "-", _xlpm.x)
)</f>
        <v>10479</v>
      </c>
      <c r="W200" s="55" t="str">
        <f>_xlfn.LET(
 _xlpm.x,
 _xlfn.MAXIFS(
  raw_stack!G$2:G$99411,
  raw_stack!D$2:D$99411, G200,
  raw_stack!F$2:F$99411, "Iya",
  raw_stack!G$2:G$99411, "&gt;="&amp;DATE(2025,11,1),
  raw_stack!G$2:G$99411, "&lt;="&amp;EOMONTH(DATE(2025,11,1),0)
 ),
 IF(_xlpm.x=0, "-", _xlpm.x)
)</f>
        <v>-</v>
      </c>
      <c r="X200" s="56" t="str">
        <f>_xlfn.LET(
 _xlpm.x,
 _xlfn.MAXIFS(
  raw_stack!H$2:H$100000,
  raw_stack!D$2:D$100000, G200,
  raw_stack!F$2:F$100000, "Iya",
  raw_stack!G$2:G$100000, "&gt;="&amp;DATE(2025,11,1),
  raw_stack!G$2:G$100000, "&lt;="&amp;EOMONTH(DATE(2025,11,1),0)
 ),
 IF(OR(_xlpm.x=0, _xlpm.x=""), "-", _xlpm.x)
)</f>
        <v>-</v>
      </c>
      <c r="Y200" s="55" t="str">
        <f>_xlfn.LET(
 _xlpm.x,
 _xlfn.MAXIFS(
  raw_stack!G$2:G$99411,
  raw_stack!D$2:D$99411, G200,
  raw_stack!F$2:F$99411, "Iya",
  raw_stack!G$2:G$99411, "&gt;="&amp;DATE(2025,12,1),
  raw_stack!G$2:G$99411, "&lt;="&amp;EOMONTH(DATE(2025,12,1),0)
 ),
 IF(_xlpm.x=0, "-", _xlpm.x)
)</f>
        <v>-</v>
      </c>
      <c r="Z200" s="56" t="str">
        <f>_xlfn.LET(
 _xlpm.x,
 _xlfn.MAXIFS(
  raw_stack!H$2:H$100000,
  raw_stack!D$2:D$100000, G200,
  raw_stack!F$2:F$100000, "Iya",
  raw_stack!G$2:G$100000, "&gt;="&amp;DATE(2025,12,1),
  raw_stack!G$2:G$100000, "&lt;="&amp;EOMONTH(DATE(2025,12,1),0)
 ),
 IF(OR(_xlpm.x=0, _xlpm.x=""), "-", _xlpm.x)
)</f>
        <v>-</v>
      </c>
      <c r="AA200" s="55" t="str">
        <f>_xlfn.LET(
 _xlpm.x,
 _xlfn.MAXIFS(
  raw_stack!G$2:G$99411,
  raw_stack!D$2:D$99411, G200,
  raw_stack!F$2:F$99411, "Iya",
  raw_stack!G$2:G$99411, "&gt;="&amp;DATE(2026,1,1),
  raw_stack!G$2:G$99411, "&lt;="&amp;EOMONTH(DATE(2026,1,1),0)
 ),
 IF(_xlpm.x=0, "-", _xlpm.x)
)</f>
        <v>-</v>
      </c>
      <c r="AB200" s="56" t="str">
        <f>_xlfn.LET(
 _xlpm.x,
 _xlfn.MAXIFS(
  raw_stack!H$2:H$100000,
  raw_stack!D$2:D$100000, G200,
  raw_stack!F$2:F$100000, "Iya",
  raw_stack!G$2:G$100000, "&gt;="&amp;DATE(2026,1,1),
  raw_stack!G$2:G$100000, "&lt;="&amp;EOMONTH(DATE(2026,1,1),0)
 ),
 IF(OR(_xlpm.x=0, _xlpm.x=""), "-", _xlpm.x)
)</f>
        <v>-</v>
      </c>
      <c r="AC200" s="55" t="str">
        <f>_xlfn.LET(
 _xlpm.x,
 _xlfn.MAXIFS(
  raw_stack!G$2:G$99411,
  raw_stack!D$2:D$99411, G200,
  raw_stack!F$2:F$99411, "Iya",
  raw_stack!G$2:G$99411, "&gt;="&amp;DATE(2026,2,1),
  raw_stack!G$2:G$99411, "&lt;="&amp;EOMONTH(DATE(2026,2,1),0)
 ),
 IF(_xlpm.x=0, "-", _xlpm.x)
)</f>
        <v>-</v>
      </c>
      <c r="AD200" s="56" t="str">
        <f>_xlfn.LET(
 _xlpm.x,
 _xlfn.MAXIFS(
  raw_stack!H$2:H$100000,
  raw_stack!D$2:D$100000, G200,
  raw_stack!F$2:F$100000, "Iya",
  raw_stack!G$2:G$100000, "&gt;="&amp;DATE(2026,2,1),
  raw_stack!G$2:G$100000, "&lt;="&amp;EOMONTH(DATE(2026,2,1),0)
 ),
 IF(OR(_xlpm.x=0, _xlpm.x=""), "-", _xlpm.x)
)</f>
        <v>-</v>
      </c>
      <c r="AE200" s="55" t="str">
        <f>_xlfn.LET(
 _xlpm.x,
 _xlfn.MAXIFS(
  raw_stack!G$2:G$100000,
  raw_stack!D$2:D$100000, G200,
  raw_stack!F$2:F$100000, "Iya",
  raw_stack!G$2:G$100000, "&gt;="&amp;DATE(2026,3,1),
  raw_stack!G$2:G$100000, "&lt;="&amp;EOMONTH(DATE(2026,3,1),0)
 ),
 IF(_xlpm.x=0, "-", _xlpm.x)
)</f>
        <v>-</v>
      </c>
      <c r="AF200" s="56" t="str">
        <f>_xlfn.LET(
 _xlpm.x,
 _xlfn.MAXIFS(
  raw_stack!H$2:H$100000,
  raw_stack!D$2:D$100000, G200,
  raw_stack!F$2:F$100000, "Iya",
  raw_stack!G$2:G$100000, "&gt;="&amp;DATE(2026,3,1),
  raw_stack!G$2:G$100000, "&lt;="&amp;EOMONTH(DATE(2026,3,1),0)
 ),
 IF(OR(_xlpm.x=0, _xlpm.x=""), "-", _xlpm.x)
)</f>
        <v>-</v>
      </c>
      <c r="AG200" s="55" t="str">
        <f>_xlfn.LET(
 _xlpm.x,
 _xlfn.MAXIFS(
  raw_stack!G$2:G$100000,
  raw_stack!D$2:D$100000, G200,
  raw_stack!F$2:F$100000, "Iya",
  raw_stack!G$2:G$100000, "&gt;="&amp;DATE(2026,4,1),
  raw_stack!G$2:G$100000, "&lt;="&amp;EOMONTH(DATE(2026,4,1),0)
 ),
 IF(_xlpm.x=0, "-", _xlpm.x)
)</f>
        <v>-</v>
      </c>
      <c r="AH200" s="56" t="str">
        <f>_xlfn.LET(
 _xlpm.x,
 _xlfn.MAXIFS(
  raw_stack!H$2:H$100000,
  raw_stack!D$2:D$100000, G200,
  raw_stack!F$2:F$100000, "Iya",
  raw_stack!G$2:G$100000, "&gt;="&amp;DATE(2026,4,1),
  raw_stack!G$2:G$100000, "&lt;="&amp;EOMONTH(DATE(2026,4,1),0)
 ),
 IF(OR(_xlpm.x=0, _xlpm.x=""), "-", _xlpm.x)
)</f>
        <v>-</v>
      </c>
    </row>
    <row r="201" spans="1:34">
      <c r="A201" s="48">
        <v>200</v>
      </c>
      <c r="B201" s="49" t="str">
        <f t="shared" si="3"/>
        <v>85231</v>
      </c>
      <c r="C201" s="50" t="s">
        <v>46</v>
      </c>
      <c r="D201" s="51" t="s">
        <v>560</v>
      </c>
      <c r="E201" s="51" t="s">
        <v>53</v>
      </c>
      <c r="F201" s="49" t="s">
        <v>117</v>
      </c>
      <c r="G201" s="49" t="s">
        <v>317</v>
      </c>
      <c r="H201" s="49" t="s">
        <v>48</v>
      </c>
      <c r="I201" s="49" t="s">
        <v>52</v>
      </c>
      <c r="J201" s="52">
        <v>3880000</v>
      </c>
      <c r="K201" s="53">
        <v>45673</v>
      </c>
      <c r="L201" s="53">
        <v>46767</v>
      </c>
      <c r="M201" s="53">
        <v>46096</v>
      </c>
      <c r="N201" s="49" t="s">
        <v>50</v>
      </c>
      <c r="O201" s="54" t="str">
        <f>_xlfn.LET(
 _xlpm.x,
 _xlfn.MAXIFS(
  raw_stack!G$2:G$100000,
  raw_stack!D$2:D$100000, G201,
  raw_stack!F$2:F$100000, "Iya",
  raw_stack!G$2:G$100000, "&gt;="&amp;DATE(2025,7,1),
  raw_stack!G$2:G$100000, "&lt;="&amp;EOMONTH(DATE(2025,7,1),0)
 ),
 IF(_xlpm.x=0, "-", _xlpm.x)
)</f>
        <v>-</v>
      </c>
      <c r="P201" s="65" t="str">
        <f>_xlfn.LET(
 _xlpm.x,
 _xlfn.MAXIFS(
  raw_stack!H$2:H$100000,
  raw_stack!D$2:D$100000, G201,
  raw_stack!F$2:F$100000, "Iya",
  raw_stack!G$2:G$100000, "&gt;="&amp;DATE(2025,7,1),
  raw_stack!G$2:G$100000, "&lt;="&amp;EOMONTH(DATE(2025,7,1),0)
 ),
 IF(OR(_xlpm.x=0, _xlpm.x=""), "-", _xlpm.x)
)</f>
        <v>-</v>
      </c>
      <c r="Q201" s="54">
        <f>_xlfn.LET(
 _xlpm.x,
 _xlfn.MAXIFS(
  raw_stack!G$2:G$99411,
  raw_stack!D$2:D$99411, G201,
  raw_stack!F$2:F$99411, "Iya",
  raw_stack!G$2:G$99411, "&gt;="&amp;DATE(2025,8,1),
  raw_stack!G$2:G$99411, "&lt;="&amp;EOMONTH(DATE(2025,8,1),0)
 ),
 IF(_xlpm.x=0, "-", _xlpm.x)
)</f>
        <v>45883</v>
      </c>
      <c r="R201" s="65">
        <f>_xlfn.LET(
 _xlpm.x,
 _xlfn.MAXIFS(
  raw_stack!H$2:H$100000,
  raw_stack!D$2:D$100000, G201,
  raw_stack!F$2:F$100000, "Iya",
  raw_stack!G$2:G$100000, "&gt;="&amp;DATE(2025,8,1),
  raw_stack!G$2:G$100000, "&lt;="&amp;EOMONTH(DATE(2025,8,1),0)
 ),
 IF(OR(_xlpm.x=0, _xlpm.x=""), "-", _xlpm.x)
)</f>
        <v>5225</v>
      </c>
      <c r="S201" s="54" t="str">
        <f>_xlfn.LET(
 _xlpm.x,
 _xlfn.MAXIFS(
  raw_stack!G$2:G$99411,
  raw_stack!D$2:D$99411, G201,
  raw_stack!F$2:F$99411, "Iya",
  raw_stack!G$2:G$99411, "&gt;="&amp;DATE(2025,9,1),
  raw_stack!G$2:G$99411, "&lt;="&amp;EOMONTH(DATE(2025,9,1),0)
 ),
 IF(_xlpm.x=0, "-", _xlpm.x)
)</f>
        <v>-</v>
      </c>
      <c r="T201" s="65" t="str">
        <f>_xlfn.LET(
 _xlpm.x,
 _xlfn.MAXIFS(
  raw_stack!H$2:H$100000,
  raw_stack!D$2:D$100000, G201,
  raw_stack!F$2:F$100000, "Iya",
  raw_stack!G$2:G$100000, "&gt;="&amp;DATE(2025,9,1),
  raw_stack!G$2:G$100000, "&lt;="&amp;EOMONTH(DATE(2025,9,1),0)
 ),
 IF(OR(_xlpm.x=0, _xlpm.x=""), "-", _xlpm.x)
)</f>
        <v>-</v>
      </c>
      <c r="U201" s="54" t="str">
        <f>_xlfn.LET(
 _xlpm.x,
 _xlfn.MAXIFS(
  raw_stack!G$2:G$99411,
  raw_stack!D$2:D$99411, G201,
  raw_stack!F$2:F$99411, "Iya",
  raw_stack!G$2:G$99411, "&gt;="&amp;DATE(2025,10,1),
  raw_stack!G$2:G$99411, "&lt;="&amp;EOMONTH(DATE(2025,10,1),0)
 ),
 IF(_xlpm.x=0, "-", _xlpm.x)
)</f>
        <v>-</v>
      </c>
      <c r="V201" s="65" t="str">
        <f>_xlfn.LET(
 _xlpm.x,
 _xlfn.MAXIFS(
  raw_stack!H$2:H$100000,
  raw_stack!D$2:D$100000, G201,
  raw_stack!F$2:F$100000, "Iya",
  raw_stack!G$2:G$100000, "&gt;="&amp;DATE(2025,10,1),
  raw_stack!G$2:G$100000, "&lt;="&amp;EOMONTH(DATE(2025,10,1),0)
 ),
 IF(OR(_xlpm.x=0, _xlpm.x=""), "-", _xlpm.x)
)</f>
        <v>-</v>
      </c>
      <c r="W201" s="55" t="str">
        <f>_xlfn.LET(
 _xlpm.x,
 _xlfn.MAXIFS(
  raw_stack!G$2:G$99411,
  raw_stack!D$2:D$99411, G201,
  raw_stack!F$2:F$99411, "Iya",
  raw_stack!G$2:G$99411, "&gt;="&amp;DATE(2025,11,1),
  raw_stack!G$2:G$99411, "&lt;="&amp;EOMONTH(DATE(2025,11,1),0)
 ),
 IF(_xlpm.x=0, "-", _xlpm.x)
)</f>
        <v>-</v>
      </c>
      <c r="X201" s="56" t="str">
        <f>_xlfn.LET(
 _xlpm.x,
 _xlfn.MAXIFS(
  raw_stack!H$2:H$100000,
  raw_stack!D$2:D$100000, G201,
  raw_stack!F$2:F$100000, "Iya",
  raw_stack!G$2:G$100000, "&gt;="&amp;DATE(2025,11,1),
  raw_stack!G$2:G$100000, "&lt;="&amp;EOMONTH(DATE(2025,11,1),0)
 ),
 IF(OR(_xlpm.x=0, _xlpm.x=""), "-", _xlpm.x)
)</f>
        <v>-</v>
      </c>
      <c r="Y201" s="55" t="str">
        <f>_xlfn.LET(
 _xlpm.x,
 _xlfn.MAXIFS(
  raw_stack!G$2:G$99411,
  raw_stack!D$2:D$99411, G201,
  raw_stack!F$2:F$99411, "Iya",
  raw_stack!G$2:G$99411, "&gt;="&amp;DATE(2025,12,1),
  raw_stack!G$2:G$99411, "&lt;="&amp;EOMONTH(DATE(2025,12,1),0)
 ),
 IF(_xlpm.x=0, "-", _xlpm.x)
)</f>
        <v>-</v>
      </c>
      <c r="Z201" s="56" t="str">
        <f>_xlfn.LET(
 _xlpm.x,
 _xlfn.MAXIFS(
  raw_stack!H$2:H$100000,
  raw_stack!D$2:D$100000, G201,
  raw_stack!F$2:F$100000, "Iya",
  raw_stack!G$2:G$100000, "&gt;="&amp;DATE(2025,12,1),
  raw_stack!G$2:G$100000, "&lt;="&amp;EOMONTH(DATE(2025,12,1),0)
 ),
 IF(OR(_xlpm.x=0, _xlpm.x=""), "-", _xlpm.x)
)</f>
        <v>-</v>
      </c>
      <c r="AA201" s="55" t="str">
        <f>_xlfn.LET(
 _xlpm.x,
 _xlfn.MAXIFS(
  raw_stack!G$2:G$99411,
  raw_stack!D$2:D$99411, G201,
  raw_stack!F$2:F$99411, "Iya",
  raw_stack!G$2:G$99411, "&gt;="&amp;DATE(2026,1,1),
  raw_stack!G$2:G$99411, "&lt;="&amp;EOMONTH(DATE(2026,1,1),0)
 ),
 IF(_xlpm.x=0, "-", _xlpm.x)
)</f>
        <v>-</v>
      </c>
      <c r="AB201" s="56" t="str">
        <f>_xlfn.LET(
 _xlpm.x,
 _xlfn.MAXIFS(
  raw_stack!H$2:H$100000,
  raw_stack!D$2:D$100000, G201,
  raw_stack!F$2:F$100000, "Iya",
  raw_stack!G$2:G$100000, "&gt;="&amp;DATE(2026,1,1),
  raw_stack!G$2:G$100000, "&lt;="&amp;EOMONTH(DATE(2026,1,1),0)
 ),
 IF(OR(_xlpm.x=0, _xlpm.x=""), "-", _xlpm.x)
)</f>
        <v>-</v>
      </c>
      <c r="AC201" s="55" t="str">
        <f>_xlfn.LET(
 _xlpm.x,
 _xlfn.MAXIFS(
  raw_stack!G$2:G$99411,
  raw_stack!D$2:D$99411, G201,
  raw_stack!F$2:F$99411, "Iya",
  raw_stack!G$2:G$99411, "&gt;="&amp;DATE(2026,2,1),
  raw_stack!G$2:G$99411, "&lt;="&amp;EOMONTH(DATE(2026,2,1),0)
 ),
 IF(_xlpm.x=0, "-", _xlpm.x)
)</f>
        <v>-</v>
      </c>
      <c r="AD201" s="56" t="str">
        <f>_xlfn.LET(
 _xlpm.x,
 _xlfn.MAXIFS(
  raw_stack!H$2:H$100000,
  raw_stack!D$2:D$100000, G201,
  raw_stack!F$2:F$100000, "Iya",
  raw_stack!G$2:G$100000, "&gt;="&amp;DATE(2026,2,1),
  raw_stack!G$2:G$100000, "&lt;="&amp;EOMONTH(DATE(2026,2,1),0)
 ),
 IF(OR(_xlpm.x=0, _xlpm.x=""), "-", _xlpm.x)
)</f>
        <v>-</v>
      </c>
      <c r="AE201" s="55" t="str">
        <f>_xlfn.LET(
 _xlpm.x,
 _xlfn.MAXIFS(
  raw_stack!G$2:G$100000,
  raw_stack!D$2:D$100000, G201,
  raw_stack!F$2:F$100000, "Iya",
  raw_stack!G$2:G$100000, "&gt;="&amp;DATE(2026,3,1),
  raw_stack!G$2:G$100000, "&lt;="&amp;EOMONTH(DATE(2026,3,1),0)
 ),
 IF(_xlpm.x=0, "-", _xlpm.x)
)</f>
        <v>-</v>
      </c>
      <c r="AF201" s="56" t="str">
        <f>_xlfn.LET(
 _xlpm.x,
 _xlfn.MAXIFS(
  raw_stack!H$2:H$100000,
  raw_stack!D$2:D$100000, G201,
  raw_stack!F$2:F$100000, "Iya",
  raw_stack!G$2:G$100000, "&gt;="&amp;DATE(2026,3,1),
  raw_stack!G$2:G$100000, "&lt;="&amp;EOMONTH(DATE(2026,3,1),0)
 ),
 IF(OR(_xlpm.x=0, _xlpm.x=""), "-", _xlpm.x)
)</f>
        <v>-</v>
      </c>
      <c r="AG201" s="55" t="str">
        <f>_xlfn.LET(
 _xlpm.x,
 _xlfn.MAXIFS(
  raw_stack!G$2:G$100000,
  raw_stack!D$2:D$100000, G201,
  raw_stack!F$2:F$100000, "Iya",
  raw_stack!G$2:G$100000, "&gt;="&amp;DATE(2026,4,1),
  raw_stack!G$2:G$100000, "&lt;="&amp;EOMONTH(DATE(2026,4,1),0)
 ),
 IF(_xlpm.x=0, "-", _xlpm.x)
)</f>
        <v>-</v>
      </c>
      <c r="AH201" s="56" t="str">
        <f>_xlfn.LET(
 _xlpm.x,
 _xlfn.MAXIFS(
  raw_stack!H$2:H$100000,
  raw_stack!D$2:D$100000, G201,
  raw_stack!F$2:F$100000, "Iya",
  raw_stack!G$2:G$100000, "&gt;="&amp;DATE(2026,4,1),
  raw_stack!G$2:G$100000, "&lt;="&amp;EOMONTH(DATE(2026,4,1),0)
 ),
 IF(OR(_xlpm.x=0, _xlpm.x=""), "-", _xlpm.x)
)</f>
        <v>-</v>
      </c>
    </row>
    <row r="202" spans="1:34">
      <c r="A202" s="48">
        <v>201</v>
      </c>
      <c r="B202" s="49" t="str">
        <f t="shared" si="3"/>
        <v>23842</v>
      </c>
      <c r="C202" s="50" t="s">
        <v>46</v>
      </c>
      <c r="D202" s="51" t="s">
        <v>630</v>
      </c>
      <c r="E202" s="51" t="s">
        <v>53</v>
      </c>
      <c r="F202" s="49" t="s">
        <v>117</v>
      </c>
      <c r="G202" s="49" t="s">
        <v>318</v>
      </c>
      <c r="H202" s="49" t="s">
        <v>48</v>
      </c>
      <c r="I202" s="49" t="s">
        <v>52</v>
      </c>
      <c r="J202" s="52">
        <v>4200000</v>
      </c>
      <c r="K202" s="53">
        <v>45676</v>
      </c>
      <c r="L202" s="53">
        <v>46770</v>
      </c>
      <c r="M202" s="53">
        <v>46040</v>
      </c>
      <c r="N202" s="49" t="s">
        <v>50</v>
      </c>
      <c r="O202" s="54" t="str">
        <f>_xlfn.LET(
 _xlpm.x,
 _xlfn.MAXIFS(
  raw_stack!G$2:G$100000,
  raw_stack!D$2:D$100000, G202,
  raw_stack!F$2:F$100000, "Iya",
  raw_stack!G$2:G$100000, "&gt;="&amp;DATE(2025,7,1),
  raw_stack!G$2:G$100000, "&lt;="&amp;EOMONTH(DATE(2025,7,1),0)
 ),
 IF(_xlpm.x=0, "-", _xlpm.x)
)</f>
        <v>-</v>
      </c>
      <c r="P202" s="65" t="str">
        <f>_xlfn.LET(
 _xlpm.x,
 _xlfn.MAXIFS(
  raw_stack!H$2:H$100000,
  raw_stack!D$2:D$100000, G202,
  raw_stack!F$2:F$100000, "Iya",
  raw_stack!G$2:G$100000, "&gt;="&amp;DATE(2025,7,1),
  raw_stack!G$2:G$100000, "&lt;="&amp;EOMONTH(DATE(2025,7,1),0)
 ),
 IF(OR(_xlpm.x=0, _xlpm.x=""), "-", _xlpm.x)
)</f>
        <v>-</v>
      </c>
      <c r="Q202" s="54" t="str">
        <f>_xlfn.LET(
 _xlpm.x,
 _xlfn.MAXIFS(
  raw_stack!G$2:G$99411,
  raw_stack!D$2:D$99411, G202,
  raw_stack!F$2:F$99411, "Iya",
  raw_stack!G$2:G$99411, "&gt;="&amp;DATE(2025,8,1),
  raw_stack!G$2:G$99411, "&lt;="&amp;EOMONTH(DATE(2025,8,1),0)
 ),
 IF(_xlpm.x=0, "-", _xlpm.x)
)</f>
        <v>-</v>
      </c>
      <c r="R202" s="65" t="str">
        <f>_xlfn.LET(
 _xlpm.x,
 _xlfn.MAXIFS(
  raw_stack!H$2:H$100000,
  raw_stack!D$2:D$100000, G202,
  raw_stack!F$2:F$100000, "Iya",
  raw_stack!G$2:G$100000, "&gt;="&amp;DATE(2025,8,1),
  raw_stack!G$2:G$100000, "&lt;="&amp;EOMONTH(DATE(2025,8,1),0)
 ),
 IF(OR(_xlpm.x=0, _xlpm.x=""), "-", _xlpm.x)
)</f>
        <v>-</v>
      </c>
      <c r="S202" s="54">
        <f>_xlfn.LET(
 _xlpm.x,
 _xlfn.MAXIFS(
  raw_stack!G$2:G$99411,
  raw_stack!D$2:D$99411, G202,
  raw_stack!F$2:F$99411, "Iya",
  raw_stack!G$2:G$99411, "&gt;="&amp;DATE(2025,9,1),
  raw_stack!G$2:G$99411, "&lt;="&amp;EOMONTH(DATE(2025,9,1),0)
 ),
 IF(_xlpm.x=0, "-", _xlpm.x)
)</f>
        <v>45918</v>
      </c>
      <c r="T202" s="65">
        <f>_xlfn.LET(
 _xlpm.x,
 _xlfn.MAXIFS(
  raw_stack!H$2:H$100000,
  raw_stack!D$2:D$100000, G202,
  raw_stack!F$2:F$100000, "Iya",
  raw_stack!G$2:G$100000, "&gt;="&amp;DATE(2025,9,1),
  raw_stack!G$2:G$100000, "&lt;="&amp;EOMONTH(DATE(2025,9,1),0)
 ),
 IF(OR(_xlpm.x=0, _xlpm.x=""), "-", _xlpm.x)
)</f>
        <v>2848</v>
      </c>
      <c r="U202" s="54" t="str">
        <f>_xlfn.LET(
 _xlpm.x,
 _xlfn.MAXIFS(
  raw_stack!G$2:G$99411,
  raw_stack!D$2:D$99411, G202,
  raw_stack!F$2:F$99411, "Iya",
  raw_stack!G$2:G$99411, "&gt;="&amp;DATE(2025,10,1),
  raw_stack!G$2:G$99411, "&lt;="&amp;EOMONTH(DATE(2025,10,1),0)
 ),
 IF(_xlpm.x=0, "-", _xlpm.x)
)</f>
        <v>-</v>
      </c>
      <c r="V202" s="65" t="str">
        <f>_xlfn.LET(
 _xlpm.x,
 _xlfn.MAXIFS(
  raw_stack!H$2:H$100000,
  raw_stack!D$2:D$100000, G202,
  raw_stack!F$2:F$100000, "Iya",
  raw_stack!G$2:G$100000, "&gt;="&amp;DATE(2025,10,1),
  raw_stack!G$2:G$100000, "&lt;="&amp;EOMONTH(DATE(2025,10,1),0)
 ),
 IF(OR(_xlpm.x=0, _xlpm.x=""), "-", _xlpm.x)
)</f>
        <v>-</v>
      </c>
      <c r="W202" s="55" t="str">
        <f>_xlfn.LET(
 _xlpm.x,
 _xlfn.MAXIFS(
  raw_stack!G$2:G$99411,
  raw_stack!D$2:D$99411, G202,
  raw_stack!F$2:F$99411, "Iya",
  raw_stack!G$2:G$99411, "&gt;="&amp;DATE(2025,11,1),
  raw_stack!G$2:G$99411, "&lt;="&amp;EOMONTH(DATE(2025,11,1),0)
 ),
 IF(_xlpm.x=0, "-", _xlpm.x)
)</f>
        <v>-</v>
      </c>
      <c r="X202" s="56" t="str">
        <f>_xlfn.LET(
 _xlpm.x,
 _xlfn.MAXIFS(
  raw_stack!H$2:H$100000,
  raw_stack!D$2:D$100000, G202,
  raw_stack!F$2:F$100000, "Iya",
  raw_stack!G$2:G$100000, "&gt;="&amp;DATE(2025,11,1),
  raw_stack!G$2:G$100000, "&lt;="&amp;EOMONTH(DATE(2025,11,1),0)
 ),
 IF(OR(_xlpm.x=0, _xlpm.x=""), "-", _xlpm.x)
)</f>
        <v>-</v>
      </c>
      <c r="Y202" s="55" t="str">
        <f>_xlfn.LET(
 _xlpm.x,
 _xlfn.MAXIFS(
  raw_stack!G$2:G$99411,
  raw_stack!D$2:D$99411, G202,
  raw_stack!F$2:F$99411, "Iya",
  raw_stack!G$2:G$99411, "&gt;="&amp;DATE(2025,12,1),
  raw_stack!G$2:G$99411, "&lt;="&amp;EOMONTH(DATE(2025,12,1),0)
 ),
 IF(_xlpm.x=0, "-", _xlpm.x)
)</f>
        <v>-</v>
      </c>
      <c r="Z202" s="56" t="str">
        <f>_xlfn.LET(
 _xlpm.x,
 _xlfn.MAXIFS(
  raw_stack!H$2:H$100000,
  raw_stack!D$2:D$100000, G202,
  raw_stack!F$2:F$100000, "Iya",
  raw_stack!G$2:G$100000, "&gt;="&amp;DATE(2025,12,1),
  raw_stack!G$2:G$100000, "&lt;="&amp;EOMONTH(DATE(2025,12,1),0)
 ),
 IF(OR(_xlpm.x=0, _xlpm.x=""), "-", _xlpm.x)
)</f>
        <v>-</v>
      </c>
      <c r="AA202" s="55" t="str">
        <f>_xlfn.LET(
 _xlpm.x,
 _xlfn.MAXIFS(
  raw_stack!G$2:G$99411,
  raw_stack!D$2:D$99411, G202,
  raw_stack!F$2:F$99411, "Iya",
  raw_stack!G$2:G$99411, "&gt;="&amp;DATE(2026,1,1),
  raw_stack!G$2:G$99411, "&lt;="&amp;EOMONTH(DATE(2026,1,1),0)
 ),
 IF(_xlpm.x=0, "-", _xlpm.x)
)</f>
        <v>-</v>
      </c>
      <c r="AB202" s="56" t="str">
        <f>_xlfn.LET(
 _xlpm.x,
 _xlfn.MAXIFS(
  raw_stack!H$2:H$100000,
  raw_stack!D$2:D$100000, G202,
  raw_stack!F$2:F$100000, "Iya",
  raw_stack!G$2:G$100000, "&gt;="&amp;DATE(2026,1,1),
  raw_stack!G$2:G$100000, "&lt;="&amp;EOMONTH(DATE(2026,1,1),0)
 ),
 IF(OR(_xlpm.x=0, _xlpm.x=""), "-", _xlpm.x)
)</f>
        <v>-</v>
      </c>
      <c r="AC202" s="55" t="str">
        <f>_xlfn.LET(
 _xlpm.x,
 _xlfn.MAXIFS(
  raw_stack!G$2:G$99411,
  raw_stack!D$2:D$99411, G202,
  raw_stack!F$2:F$99411, "Iya",
  raw_stack!G$2:G$99411, "&gt;="&amp;DATE(2026,2,1),
  raw_stack!G$2:G$99411, "&lt;="&amp;EOMONTH(DATE(2026,2,1),0)
 ),
 IF(_xlpm.x=0, "-", _xlpm.x)
)</f>
        <v>-</v>
      </c>
      <c r="AD202" s="56" t="str">
        <f>_xlfn.LET(
 _xlpm.x,
 _xlfn.MAXIFS(
  raw_stack!H$2:H$100000,
  raw_stack!D$2:D$100000, G202,
  raw_stack!F$2:F$100000, "Iya",
  raw_stack!G$2:G$100000, "&gt;="&amp;DATE(2026,2,1),
  raw_stack!G$2:G$100000, "&lt;="&amp;EOMONTH(DATE(2026,2,1),0)
 ),
 IF(OR(_xlpm.x=0, _xlpm.x=""), "-", _xlpm.x)
)</f>
        <v>-</v>
      </c>
      <c r="AE202" s="55" t="str">
        <f>_xlfn.LET(
 _xlpm.x,
 _xlfn.MAXIFS(
  raw_stack!G$2:G$100000,
  raw_stack!D$2:D$100000, G202,
  raw_stack!F$2:F$100000, "Iya",
  raw_stack!G$2:G$100000, "&gt;="&amp;DATE(2026,3,1),
  raw_stack!G$2:G$100000, "&lt;="&amp;EOMONTH(DATE(2026,3,1),0)
 ),
 IF(_xlpm.x=0, "-", _xlpm.x)
)</f>
        <v>-</v>
      </c>
      <c r="AF202" s="56" t="str">
        <f>_xlfn.LET(
 _xlpm.x,
 _xlfn.MAXIFS(
  raw_stack!H$2:H$100000,
  raw_stack!D$2:D$100000, G202,
  raw_stack!F$2:F$100000, "Iya",
  raw_stack!G$2:G$100000, "&gt;="&amp;DATE(2026,3,1),
  raw_stack!G$2:G$100000, "&lt;="&amp;EOMONTH(DATE(2026,3,1),0)
 ),
 IF(OR(_xlpm.x=0, _xlpm.x=""), "-", _xlpm.x)
)</f>
        <v>-</v>
      </c>
      <c r="AG202" s="55">
        <f>_xlfn.LET(
 _xlpm.x,
 _xlfn.MAXIFS(
  raw_stack!G$2:G$100000,
  raw_stack!D$2:D$100000, G202,
  raw_stack!F$2:F$100000, "Iya",
  raw_stack!G$2:G$100000, "&gt;="&amp;DATE(2026,4,1),
  raw_stack!G$2:G$100000, "&lt;="&amp;EOMONTH(DATE(2026,4,1),0)
 ),
 IF(_xlpm.x=0, "-", _xlpm.x)
)</f>
        <v>46125</v>
      </c>
      <c r="AH202" s="56">
        <f>_xlfn.LET(
 _xlpm.x,
 _xlfn.MAXIFS(
  raw_stack!H$2:H$100000,
  raw_stack!D$2:D$100000, G202,
  raw_stack!F$2:F$100000, "Iya",
  raw_stack!G$2:G$100000, "&gt;="&amp;DATE(2026,4,1),
  raw_stack!G$2:G$100000, "&lt;="&amp;EOMONTH(DATE(2026,4,1),0)
 ),
 IF(OR(_xlpm.x=0, _xlpm.x=""), "-", _xlpm.x)
)</f>
        <v>9054</v>
      </c>
    </row>
    <row r="203" spans="1:34">
      <c r="A203" s="48">
        <v>202</v>
      </c>
      <c r="B203" s="49" t="str">
        <f t="shared" si="3"/>
        <v>88350</v>
      </c>
      <c r="C203" s="50" t="s">
        <v>46</v>
      </c>
      <c r="D203" s="51" t="s">
        <v>631</v>
      </c>
      <c r="E203" s="51" t="s">
        <v>51</v>
      </c>
      <c r="F203" s="49" t="s">
        <v>117</v>
      </c>
      <c r="G203" s="49" t="s">
        <v>319</v>
      </c>
      <c r="H203" s="49" t="s">
        <v>48</v>
      </c>
      <c r="I203" s="49" t="s">
        <v>52</v>
      </c>
      <c r="J203" s="52">
        <v>3880000</v>
      </c>
      <c r="K203" s="53">
        <v>45680</v>
      </c>
      <c r="L203" s="53">
        <v>46774</v>
      </c>
      <c r="M203" s="53">
        <v>46103</v>
      </c>
      <c r="N203" s="49" t="s">
        <v>50</v>
      </c>
      <c r="O203" s="54">
        <f>_xlfn.LET(
 _xlpm.x,
 _xlfn.MAXIFS(
  raw_stack!G$2:G$100000,
  raw_stack!D$2:D$100000, G203,
  raw_stack!F$2:F$100000, "Iya",
  raw_stack!G$2:G$100000, "&gt;="&amp;DATE(2025,7,1),
  raw_stack!G$2:G$100000, "&lt;="&amp;EOMONTH(DATE(2025,7,1),0)
 ),
 IF(_xlpm.x=0, "-", _xlpm.x)
)</f>
        <v>45845</v>
      </c>
      <c r="P203" s="65">
        <f>_xlfn.LET(
 _xlpm.x,
 _xlfn.MAXIFS(
  raw_stack!H$2:H$100000,
  raw_stack!D$2:D$100000, G203,
  raw_stack!F$2:F$100000, "Iya",
  raw_stack!G$2:G$100000, "&gt;="&amp;DATE(2025,7,1),
  raw_stack!G$2:G$100000, "&lt;="&amp;EOMONTH(DATE(2025,7,1),0)
 ),
 IF(OR(_xlpm.x=0, _xlpm.x=""), "-", _xlpm.x)
)</f>
        <v>7161</v>
      </c>
      <c r="Q203" s="54" t="str">
        <f>_xlfn.LET(
 _xlpm.x,
 _xlfn.MAXIFS(
  raw_stack!G$2:G$99411,
  raw_stack!D$2:D$99411, G203,
  raw_stack!F$2:F$99411, "Iya",
  raw_stack!G$2:G$99411, "&gt;="&amp;DATE(2025,8,1),
  raw_stack!G$2:G$99411, "&lt;="&amp;EOMONTH(DATE(2025,8,1),0)
 ),
 IF(_xlpm.x=0, "-", _xlpm.x)
)</f>
        <v>-</v>
      </c>
      <c r="R203" s="65" t="str">
        <f>_xlfn.LET(
 _xlpm.x,
 _xlfn.MAXIFS(
  raw_stack!H$2:H$100000,
  raw_stack!D$2:D$100000, G203,
  raw_stack!F$2:F$100000, "Iya",
  raw_stack!G$2:G$100000, "&gt;="&amp;DATE(2025,8,1),
  raw_stack!G$2:G$100000, "&lt;="&amp;EOMONTH(DATE(2025,8,1),0)
 ),
 IF(OR(_xlpm.x=0, _xlpm.x=""), "-", _xlpm.x)
)</f>
        <v>-</v>
      </c>
      <c r="S203" s="54" t="str">
        <f>_xlfn.LET(
 _xlpm.x,
 _xlfn.MAXIFS(
  raw_stack!G$2:G$99411,
  raw_stack!D$2:D$99411, G203,
  raw_stack!F$2:F$99411, "Iya",
  raw_stack!G$2:G$99411, "&gt;="&amp;DATE(2025,9,1),
  raw_stack!G$2:G$99411, "&lt;="&amp;EOMONTH(DATE(2025,9,1),0)
 ),
 IF(_xlpm.x=0, "-", _xlpm.x)
)</f>
        <v>-</v>
      </c>
      <c r="T203" s="65" t="str">
        <f>_xlfn.LET(
 _xlpm.x,
 _xlfn.MAXIFS(
  raw_stack!H$2:H$100000,
  raw_stack!D$2:D$100000, G203,
  raw_stack!F$2:F$100000, "Iya",
  raw_stack!G$2:G$100000, "&gt;="&amp;DATE(2025,9,1),
  raw_stack!G$2:G$100000, "&lt;="&amp;EOMONTH(DATE(2025,9,1),0)
 ),
 IF(OR(_xlpm.x=0, _xlpm.x=""), "-", _xlpm.x)
)</f>
        <v>-</v>
      </c>
      <c r="U203" s="54" t="str">
        <f>_xlfn.LET(
 _xlpm.x,
 _xlfn.MAXIFS(
  raw_stack!G$2:G$99411,
  raw_stack!D$2:D$99411, G203,
  raw_stack!F$2:F$99411, "Iya",
  raw_stack!G$2:G$99411, "&gt;="&amp;DATE(2025,10,1),
  raw_stack!G$2:G$99411, "&lt;="&amp;EOMONTH(DATE(2025,10,1),0)
 ),
 IF(_xlpm.x=0, "-", _xlpm.x)
)</f>
        <v>-</v>
      </c>
      <c r="V203" s="65" t="str">
        <f>_xlfn.LET(
 _xlpm.x,
 _xlfn.MAXIFS(
  raw_stack!H$2:H$100000,
  raw_stack!D$2:D$100000, G203,
  raw_stack!F$2:F$100000, "Iya",
  raw_stack!G$2:G$100000, "&gt;="&amp;DATE(2025,10,1),
  raw_stack!G$2:G$100000, "&lt;="&amp;EOMONTH(DATE(2025,10,1),0)
 ),
 IF(OR(_xlpm.x=0, _xlpm.x=""), "-", _xlpm.x)
)</f>
        <v>-</v>
      </c>
      <c r="W203" s="55">
        <f>_xlfn.LET(
 _xlpm.x,
 _xlfn.MAXIFS(
  raw_stack!G$2:G$99411,
  raw_stack!D$2:D$99411, G203,
  raw_stack!F$2:F$99411, "Iya",
  raw_stack!G$2:G$99411, "&gt;="&amp;DATE(2025,11,1),
  raw_stack!G$2:G$99411, "&lt;="&amp;EOMONTH(DATE(2025,11,1),0)
 ),
 IF(_xlpm.x=0, "-", _xlpm.x)
)</f>
        <v>45989</v>
      </c>
      <c r="X203" s="56">
        <f>_xlfn.LET(
 _xlpm.x,
 _xlfn.MAXIFS(
  raw_stack!H$2:H$100000,
  raw_stack!D$2:D$100000, G203,
  raw_stack!F$2:F$100000, "Iya",
  raw_stack!G$2:G$100000, "&gt;="&amp;DATE(2025,11,1),
  raw_stack!G$2:G$100000, "&lt;="&amp;EOMONTH(DATE(2025,11,1),0)
 ),
 IF(OR(_xlpm.x=0, _xlpm.x=""), "-", _xlpm.x)
)</f>
        <v>10259</v>
      </c>
      <c r="Y203" s="55" t="str">
        <f>_xlfn.LET(
 _xlpm.x,
 _xlfn.MAXIFS(
  raw_stack!G$2:G$99411,
  raw_stack!D$2:D$99411, G203,
  raw_stack!F$2:F$99411, "Iya",
  raw_stack!G$2:G$99411, "&gt;="&amp;DATE(2025,12,1),
  raw_stack!G$2:G$99411, "&lt;="&amp;EOMONTH(DATE(2025,12,1),0)
 ),
 IF(_xlpm.x=0, "-", _xlpm.x)
)</f>
        <v>-</v>
      </c>
      <c r="Z203" s="56" t="str">
        <f>_xlfn.LET(
 _xlpm.x,
 _xlfn.MAXIFS(
  raw_stack!H$2:H$100000,
  raw_stack!D$2:D$100000, G203,
  raw_stack!F$2:F$100000, "Iya",
  raw_stack!G$2:G$100000, "&gt;="&amp;DATE(2025,12,1),
  raw_stack!G$2:G$100000, "&lt;="&amp;EOMONTH(DATE(2025,12,1),0)
 ),
 IF(OR(_xlpm.x=0, _xlpm.x=""), "-", _xlpm.x)
)</f>
        <v>-</v>
      </c>
      <c r="AA203" s="55" t="str">
        <f>_xlfn.LET(
 _xlpm.x,
 _xlfn.MAXIFS(
  raw_stack!G$2:G$99411,
  raw_stack!D$2:D$99411, G203,
  raw_stack!F$2:F$99411, "Iya",
  raw_stack!G$2:G$99411, "&gt;="&amp;DATE(2026,1,1),
  raw_stack!G$2:G$99411, "&lt;="&amp;EOMONTH(DATE(2026,1,1),0)
 ),
 IF(_xlpm.x=0, "-", _xlpm.x)
)</f>
        <v>-</v>
      </c>
      <c r="AB203" s="56" t="str">
        <f>_xlfn.LET(
 _xlpm.x,
 _xlfn.MAXIFS(
  raw_stack!H$2:H$100000,
  raw_stack!D$2:D$100000, G203,
  raw_stack!F$2:F$100000, "Iya",
  raw_stack!G$2:G$100000, "&gt;="&amp;DATE(2026,1,1),
  raw_stack!G$2:G$100000, "&lt;="&amp;EOMONTH(DATE(2026,1,1),0)
 ),
 IF(OR(_xlpm.x=0, _xlpm.x=""), "-", _xlpm.x)
)</f>
        <v>-</v>
      </c>
      <c r="AC203" s="55" t="str">
        <f>_xlfn.LET(
 _xlpm.x,
 _xlfn.MAXIFS(
  raw_stack!G$2:G$99411,
  raw_stack!D$2:D$99411, G203,
  raw_stack!F$2:F$99411, "Iya",
  raw_stack!G$2:G$99411, "&gt;="&amp;DATE(2026,2,1),
  raw_stack!G$2:G$99411, "&lt;="&amp;EOMONTH(DATE(2026,2,1),0)
 ),
 IF(_xlpm.x=0, "-", _xlpm.x)
)</f>
        <v>-</v>
      </c>
      <c r="AD203" s="56" t="str">
        <f>_xlfn.LET(
 _xlpm.x,
 _xlfn.MAXIFS(
  raw_stack!H$2:H$100000,
  raw_stack!D$2:D$100000, G203,
  raw_stack!F$2:F$100000, "Iya",
  raw_stack!G$2:G$100000, "&gt;="&amp;DATE(2026,2,1),
  raw_stack!G$2:G$100000, "&lt;="&amp;EOMONTH(DATE(2026,2,1),0)
 ),
 IF(OR(_xlpm.x=0, _xlpm.x=""), "-", _xlpm.x)
)</f>
        <v>-</v>
      </c>
      <c r="AE203" s="55" t="str">
        <f>_xlfn.LET(
 _xlpm.x,
 _xlfn.MAXIFS(
  raw_stack!G$2:G$100000,
  raw_stack!D$2:D$100000, G203,
  raw_stack!F$2:F$100000, "Iya",
  raw_stack!G$2:G$100000, "&gt;="&amp;DATE(2026,3,1),
  raw_stack!G$2:G$100000, "&lt;="&amp;EOMONTH(DATE(2026,3,1),0)
 ),
 IF(_xlpm.x=0, "-", _xlpm.x)
)</f>
        <v>-</v>
      </c>
      <c r="AF203" s="56" t="str">
        <f>_xlfn.LET(
 _xlpm.x,
 _xlfn.MAXIFS(
  raw_stack!H$2:H$100000,
  raw_stack!D$2:D$100000, G203,
  raw_stack!F$2:F$100000, "Iya",
  raw_stack!G$2:G$100000, "&gt;="&amp;DATE(2026,3,1),
  raw_stack!G$2:G$100000, "&lt;="&amp;EOMONTH(DATE(2026,3,1),0)
 ),
 IF(OR(_xlpm.x=0, _xlpm.x=""), "-", _xlpm.x)
)</f>
        <v>-</v>
      </c>
      <c r="AG203" s="55" t="str">
        <f>_xlfn.LET(
 _xlpm.x,
 _xlfn.MAXIFS(
  raw_stack!G$2:G$100000,
  raw_stack!D$2:D$100000, G203,
  raw_stack!F$2:F$100000, "Iya",
  raw_stack!G$2:G$100000, "&gt;="&amp;DATE(2026,4,1),
  raw_stack!G$2:G$100000, "&lt;="&amp;EOMONTH(DATE(2026,4,1),0)
 ),
 IF(_xlpm.x=0, "-", _xlpm.x)
)</f>
        <v>-</v>
      </c>
      <c r="AH203" s="56" t="str">
        <f>_xlfn.LET(
 _xlpm.x,
 _xlfn.MAXIFS(
  raw_stack!H$2:H$100000,
  raw_stack!D$2:D$100000, G203,
  raw_stack!F$2:F$100000, "Iya",
  raw_stack!G$2:G$100000, "&gt;="&amp;DATE(2026,4,1),
  raw_stack!G$2:G$100000, "&lt;="&amp;EOMONTH(DATE(2026,4,1),0)
 ),
 IF(OR(_xlpm.x=0, _xlpm.x=""), "-", _xlpm.x)
)</f>
        <v>-</v>
      </c>
    </row>
    <row r="204" spans="1:34">
      <c r="A204" s="48">
        <v>203</v>
      </c>
      <c r="B204" s="49" t="str">
        <f t="shared" si="3"/>
        <v>23031</v>
      </c>
      <c r="C204" s="50" t="s">
        <v>46</v>
      </c>
      <c r="D204" s="51" t="s">
        <v>562</v>
      </c>
      <c r="E204" s="51" t="s">
        <v>51</v>
      </c>
      <c r="F204" s="49" t="s">
        <v>117</v>
      </c>
      <c r="G204" s="49" t="s">
        <v>320</v>
      </c>
      <c r="H204" s="49" t="s">
        <v>48</v>
      </c>
      <c r="I204" s="49" t="s">
        <v>52</v>
      </c>
      <c r="J204" s="52">
        <v>3880000</v>
      </c>
      <c r="K204" s="53">
        <v>45680</v>
      </c>
      <c r="L204" s="53">
        <v>46774</v>
      </c>
      <c r="M204" s="53">
        <v>46103</v>
      </c>
      <c r="N204" s="49" t="s">
        <v>50</v>
      </c>
      <c r="O204" s="54">
        <f>_xlfn.LET(
 _xlpm.x,
 _xlfn.MAXIFS(
  raw_stack!G$2:G$100000,
  raw_stack!D$2:D$100000, G204,
  raw_stack!F$2:F$100000, "Iya",
  raw_stack!G$2:G$100000, "&gt;="&amp;DATE(2025,7,1),
  raw_stack!G$2:G$100000, "&lt;="&amp;EOMONTH(DATE(2025,7,1),0)
 ),
 IF(_xlpm.x=0, "-", _xlpm.x)
)</f>
        <v>45847</v>
      </c>
      <c r="P204" s="65">
        <f>_xlfn.LET(
 _xlpm.x,
 _xlfn.MAXIFS(
  raw_stack!H$2:H$100000,
  raw_stack!D$2:D$100000, G204,
  raw_stack!F$2:F$100000, "Iya",
  raw_stack!G$2:G$100000, "&gt;="&amp;DATE(2025,7,1),
  raw_stack!G$2:G$100000, "&lt;="&amp;EOMONTH(DATE(2025,7,1),0)
 ),
 IF(OR(_xlpm.x=0, _xlpm.x=""), "-", _xlpm.x)
)</f>
        <v>18324</v>
      </c>
      <c r="Q204" s="54" t="str">
        <f>_xlfn.LET(
 _xlpm.x,
 _xlfn.MAXIFS(
  raw_stack!G$2:G$99411,
  raw_stack!D$2:D$99411, G204,
  raw_stack!F$2:F$99411, "Iya",
  raw_stack!G$2:G$99411, "&gt;="&amp;DATE(2025,8,1),
  raw_stack!G$2:G$99411, "&lt;="&amp;EOMONTH(DATE(2025,8,1),0)
 ),
 IF(_xlpm.x=0, "-", _xlpm.x)
)</f>
        <v>-</v>
      </c>
      <c r="R204" s="65" t="str">
        <f>_xlfn.LET(
 _xlpm.x,
 _xlfn.MAXIFS(
  raw_stack!H$2:H$100000,
  raw_stack!D$2:D$100000, G204,
  raw_stack!F$2:F$100000, "Iya",
  raw_stack!G$2:G$100000, "&gt;="&amp;DATE(2025,8,1),
  raw_stack!G$2:G$100000, "&lt;="&amp;EOMONTH(DATE(2025,8,1),0)
 ),
 IF(OR(_xlpm.x=0, _xlpm.x=""), "-", _xlpm.x)
)</f>
        <v>-</v>
      </c>
      <c r="S204" s="54" t="str">
        <f>_xlfn.LET(
 _xlpm.x,
 _xlfn.MAXIFS(
  raw_stack!G$2:G$99411,
  raw_stack!D$2:D$99411, G204,
  raw_stack!F$2:F$99411, "Iya",
  raw_stack!G$2:G$99411, "&gt;="&amp;DATE(2025,9,1),
  raw_stack!G$2:G$99411, "&lt;="&amp;EOMONTH(DATE(2025,9,1),0)
 ),
 IF(_xlpm.x=0, "-", _xlpm.x)
)</f>
        <v>-</v>
      </c>
      <c r="T204" s="65" t="str">
        <f>_xlfn.LET(
 _xlpm.x,
 _xlfn.MAXIFS(
  raw_stack!H$2:H$100000,
  raw_stack!D$2:D$100000, G204,
  raw_stack!F$2:F$100000, "Iya",
  raw_stack!G$2:G$100000, "&gt;="&amp;DATE(2025,9,1),
  raw_stack!G$2:G$100000, "&lt;="&amp;EOMONTH(DATE(2025,9,1),0)
 ),
 IF(OR(_xlpm.x=0, _xlpm.x=""), "-", _xlpm.x)
)</f>
        <v>-</v>
      </c>
      <c r="U204" s="54" t="str">
        <f>_xlfn.LET(
 _xlpm.x,
 _xlfn.MAXIFS(
  raw_stack!G$2:G$99411,
  raw_stack!D$2:D$99411, G204,
  raw_stack!F$2:F$99411, "Iya",
  raw_stack!G$2:G$99411, "&gt;="&amp;DATE(2025,10,1),
  raw_stack!G$2:G$99411, "&lt;="&amp;EOMONTH(DATE(2025,10,1),0)
 ),
 IF(_xlpm.x=0, "-", _xlpm.x)
)</f>
        <v>-</v>
      </c>
      <c r="V204" s="65" t="str">
        <f>_xlfn.LET(
 _xlpm.x,
 _xlfn.MAXIFS(
  raw_stack!H$2:H$100000,
  raw_stack!D$2:D$100000, G204,
  raw_stack!F$2:F$100000, "Iya",
  raw_stack!G$2:G$100000, "&gt;="&amp;DATE(2025,10,1),
  raw_stack!G$2:G$100000, "&lt;="&amp;EOMONTH(DATE(2025,10,1),0)
 ),
 IF(OR(_xlpm.x=0, _xlpm.x=""), "-", _xlpm.x)
)</f>
        <v>-</v>
      </c>
      <c r="W204" s="55" t="str">
        <f>_xlfn.LET(
 _xlpm.x,
 _xlfn.MAXIFS(
  raw_stack!G$2:G$99411,
  raw_stack!D$2:D$99411, G204,
  raw_stack!F$2:F$99411, "Iya",
  raw_stack!G$2:G$99411, "&gt;="&amp;DATE(2025,11,1),
  raw_stack!G$2:G$99411, "&lt;="&amp;EOMONTH(DATE(2025,11,1),0)
 ),
 IF(_xlpm.x=0, "-", _xlpm.x)
)</f>
        <v>-</v>
      </c>
      <c r="X204" s="56" t="str">
        <f>_xlfn.LET(
 _xlpm.x,
 _xlfn.MAXIFS(
  raw_stack!H$2:H$100000,
  raw_stack!D$2:D$100000, G204,
  raw_stack!F$2:F$100000, "Iya",
  raw_stack!G$2:G$100000, "&gt;="&amp;DATE(2025,11,1),
  raw_stack!G$2:G$100000, "&lt;="&amp;EOMONTH(DATE(2025,11,1),0)
 ),
 IF(OR(_xlpm.x=0, _xlpm.x=""), "-", _xlpm.x)
)</f>
        <v>-</v>
      </c>
      <c r="Y204" s="55">
        <f>_xlfn.LET(
 _xlpm.x,
 _xlfn.MAXIFS(
  raw_stack!G$2:G$99411,
  raw_stack!D$2:D$99411, G204,
  raw_stack!F$2:F$99411, "Iya",
  raw_stack!G$2:G$99411, "&gt;="&amp;DATE(2025,12,1),
  raw_stack!G$2:G$99411, "&lt;="&amp;EOMONTH(DATE(2025,12,1),0)
 ),
 IF(_xlpm.x=0, "-", _xlpm.x)
)</f>
        <v>45997</v>
      </c>
      <c r="Z204" s="56">
        <f>_xlfn.LET(
 _xlpm.x,
 _xlfn.MAXIFS(
  raw_stack!H$2:H$100000,
  raw_stack!D$2:D$100000, G204,
  raw_stack!F$2:F$100000, "Iya",
  raw_stack!G$2:G$100000, "&gt;="&amp;DATE(2025,12,1),
  raw_stack!G$2:G$100000, "&lt;="&amp;EOMONTH(DATE(2025,12,1),0)
 ),
 IF(OR(_xlpm.x=0, _xlpm.x=""), "-", _xlpm.x)
)</f>
        <v>28710</v>
      </c>
      <c r="AA204" s="55" t="str">
        <f>_xlfn.LET(
 _xlpm.x,
 _xlfn.MAXIFS(
  raw_stack!G$2:G$99411,
  raw_stack!D$2:D$99411, G204,
  raw_stack!F$2:F$99411, "Iya",
  raw_stack!G$2:G$99411, "&gt;="&amp;DATE(2026,1,1),
  raw_stack!G$2:G$99411, "&lt;="&amp;EOMONTH(DATE(2026,1,1),0)
 ),
 IF(_xlpm.x=0, "-", _xlpm.x)
)</f>
        <v>-</v>
      </c>
      <c r="AB204" s="56" t="str">
        <f>_xlfn.LET(
 _xlpm.x,
 _xlfn.MAXIFS(
  raw_stack!H$2:H$100000,
  raw_stack!D$2:D$100000, G204,
  raw_stack!F$2:F$100000, "Iya",
  raw_stack!G$2:G$100000, "&gt;="&amp;DATE(2026,1,1),
  raw_stack!G$2:G$100000, "&lt;="&amp;EOMONTH(DATE(2026,1,1),0)
 ),
 IF(OR(_xlpm.x=0, _xlpm.x=""), "-", _xlpm.x)
)</f>
        <v>-</v>
      </c>
      <c r="AC204" s="55" t="str">
        <f>_xlfn.LET(
 _xlpm.x,
 _xlfn.MAXIFS(
  raw_stack!G$2:G$99411,
  raw_stack!D$2:D$99411, G204,
  raw_stack!F$2:F$99411, "Iya",
  raw_stack!G$2:G$99411, "&gt;="&amp;DATE(2026,2,1),
  raw_stack!G$2:G$99411, "&lt;="&amp;EOMONTH(DATE(2026,2,1),0)
 ),
 IF(_xlpm.x=0, "-", _xlpm.x)
)</f>
        <v>-</v>
      </c>
      <c r="AD204" s="56" t="str">
        <f>_xlfn.LET(
 _xlpm.x,
 _xlfn.MAXIFS(
  raw_stack!H$2:H$100000,
  raw_stack!D$2:D$100000, G204,
  raw_stack!F$2:F$100000, "Iya",
  raw_stack!G$2:G$100000, "&gt;="&amp;DATE(2026,2,1),
  raw_stack!G$2:G$100000, "&lt;="&amp;EOMONTH(DATE(2026,2,1),0)
 ),
 IF(OR(_xlpm.x=0, _xlpm.x=""), "-", _xlpm.x)
)</f>
        <v>-</v>
      </c>
      <c r="AE204" s="55" t="str">
        <f>_xlfn.LET(
 _xlpm.x,
 _xlfn.MAXIFS(
  raw_stack!G$2:G$100000,
  raw_stack!D$2:D$100000, G204,
  raw_stack!F$2:F$100000, "Iya",
  raw_stack!G$2:G$100000, "&gt;="&amp;DATE(2026,3,1),
  raw_stack!G$2:G$100000, "&lt;="&amp;EOMONTH(DATE(2026,3,1),0)
 ),
 IF(_xlpm.x=0, "-", _xlpm.x)
)</f>
        <v>-</v>
      </c>
      <c r="AF204" s="56" t="str">
        <f>_xlfn.LET(
 _xlpm.x,
 _xlfn.MAXIFS(
  raw_stack!H$2:H$100000,
  raw_stack!D$2:D$100000, G204,
  raw_stack!F$2:F$100000, "Iya",
  raw_stack!G$2:G$100000, "&gt;="&amp;DATE(2026,3,1),
  raw_stack!G$2:G$100000, "&lt;="&amp;EOMONTH(DATE(2026,3,1),0)
 ),
 IF(OR(_xlpm.x=0, _xlpm.x=""), "-", _xlpm.x)
)</f>
        <v>-</v>
      </c>
      <c r="AG204" s="55" t="str">
        <f>_xlfn.LET(
 _xlpm.x,
 _xlfn.MAXIFS(
  raw_stack!G$2:G$100000,
  raw_stack!D$2:D$100000, G204,
  raw_stack!F$2:F$100000, "Iya",
  raw_stack!G$2:G$100000, "&gt;="&amp;DATE(2026,4,1),
  raw_stack!G$2:G$100000, "&lt;="&amp;EOMONTH(DATE(2026,4,1),0)
 ),
 IF(_xlpm.x=0, "-", _xlpm.x)
)</f>
        <v>-</v>
      </c>
      <c r="AH204" s="56" t="str">
        <f>_xlfn.LET(
 _xlpm.x,
 _xlfn.MAXIFS(
  raw_stack!H$2:H$100000,
  raw_stack!D$2:D$100000, G204,
  raw_stack!F$2:F$100000, "Iya",
  raw_stack!G$2:G$100000, "&gt;="&amp;DATE(2026,4,1),
  raw_stack!G$2:G$100000, "&lt;="&amp;EOMONTH(DATE(2026,4,1),0)
 ),
 IF(OR(_xlpm.x=0, _xlpm.x=""), "-", _xlpm.x)
)</f>
        <v>-</v>
      </c>
    </row>
    <row r="205" spans="1:34">
      <c r="A205" s="48">
        <v>204</v>
      </c>
      <c r="B205" s="49" t="str">
        <f t="shared" si="3"/>
        <v>62353</v>
      </c>
      <c r="C205" s="50" t="s">
        <v>46</v>
      </c>
      <c r="D205" s="51" t="s">
        <v>632</v>
      </c>
      <c r="E205" s="51" t="s">
        <v>51</v>
      </c>
      <c r="F205" s="49" t="s">
        <v>117</v>
      </c>
      <c r="G205" s="49" t="s">
        <v>321</v>
      </c>
      <c r="H205" s="49" t="s">
        <v>48</v>
      </c>
      <c r="I205" s="49" t="s">
        <v>52</v>
      </c>
      <c r="J205" s="52">
        <v>3880000</v>
      </c>
      <c r="K205" s="53">
        <v>45689</v>
      </c>
      <c r="L205" s="53">
        <v>46783</v>
      </c>
      <c r="M205" s="53">
        <v>46081</v>
      </c>
      <c r="N205" s="49" t="s">
        <v>50</v>
      </c>
      <c r="O205" s="54" t="str">
        <f>_xlfn.LET(
 _xlpm.x,
 _xlfn.MAXIFS(
  raw_stack!G$2:G$100000,
  raw_stack!D$2:D$100000, G205,
  raw_stack!F$2:F$100000, "Iya",
  raw_stack!G$2:G$100000, "&gt;="&amp;DATE(2025,7,1),
  raw_stack!G$2:G$100000, "&lt;="&amp;EOMONTH(DATE(2025,7,1),0)
 ),
 IF(_xlpm.x=0, "-", _xlpm.x)
)</f>
        <v>-</v>
      </c>
      <c r="P205" s="65" t="str">
        <f>_xlfn.LET(
 _xlpm.x,
 _xlfn.MAXIFS(
  raw_stack!H$2:H$100000,
  raw_stack!D$2:D$100000, G205,
  raw_stack!F$2:F$100000, "Iya",
  raw_stack!G$2:G$100000, "&gt;="&amp;DATE(2025,7,1),
  raw_stack!G$2:G$100000, "&lt;="&amp;EOMONTH(DATE(2025,7,1),0)
 ),
 IF(OR(_xlpm.x=0, _xlpm.x=""), "-", _xlpm.x)
)</f>
        <v>-</v>
      </c>
      <c r="Q205" s="54">
        <f>_xlfn.LET(
 _xlpm.x,
 _xlfn.MAXIFS(
  raw_stack!G$2:G$99411,
  raw_stack!D$2:D$99411, G205,
  raw_stack!F$2:F$99411, "Iya",
  raw_stack!G$2:G$99411, "&gt;="&amp;DATE(2025,8,1),
  raw_stack!G$2:G$99411, "&lt;="&amp;EOMONTH(DATE(2025,8,1),0)
 ),
 IF(_xlpm.x=0, "-", _xlpm.x)
)</f>
        <v>45890</v>
      </c>
      <c r="R205" s="65">
        <f>_xlfn.LET(
 _xlpm.x,
 _xlfn.MAXIFS(
  raw_stack!H$2:H$100000,
  raw_stack!D$2:D$100000, G205,
  raw_stack!F$2:F$100000, "Iya",
  raw_stack!G$2:G$100000, "&gt;="&amp;DATE(2025,8,1),
  raw_stack!G$2:G$100000, "&lt;="&amp;EOMONTH(DATE(2025,8,1),0)
 ),
 IF(OR(_xlpm.x=0, _xlpm.x=""), "-", _xlpm.x)
)</f>
        <v>4113</v>
      </c>
      <c r="S205" s="54" t="str">
        <f>_xlfn.LET(
 _xlpm.x,
 _xlfn.MAXIFS(
  raw_stack!G$2:G$99411,
  raw_stack!D$2:D$99411, G205,
  raw_stack!F$2:F$99411, "Iya",
  raw_stack!G$2:G$99411, "&gt;="&amp;DATE(2025,9,1),
  raw_stack!G$2:G$99411, "&lt;="&amp;EOMONTH(DATE(2025,9,1),0)
 ),
 IF(_xlpm.x=0, "-", _xlpm.x)
)</f>
        <v>-</v>
      </c>
      <c r="T205" s="65" t="str">
        <f>_xlfn.LET(
 _xlpm.x,
 _xlfn.MAXIFS(
  raw_stack!H$2:H$100000,
  raw_stack!D$2:D$100000, G205,
  raw_stack!F$2:F$100000, "Iya",
  raw_stack!G$2:G$100000, "&gt;="&amp;DATE(2025,9,1),
  raw_stack!G$2:G$100000, "&lt;="&amp;EOMONTH(DATE(2025,9,1),0)
 ),
 IF(OR(_xlpm.x=0, _xlpm.x=""), "-", _xlpm.x)
)</f>
        <v>-</v>
      </c>
      <c r="U205" s="54" t="str">
        <f>_xlfn.LET(
 _xlpm.x,
 _xlfn.MAXIFS(
  raw_stack!G$2:G$99411,
  raw_stack!D$2:D$99411, G205,
  raw_stack!F$2:F$99411, "Iya",
  raw_stack!G$2:G$99411, "&gt;="&amp;DATE(2025,10,1),
  raw_stack!G$2:G$99411, "&lt;="&amp;EOMONTH(DATE(2025,10,1),0)
 ),
 IF(_xlpm.x=0, "-", _xlpm.x)
)</f>
        <v>-</v>
      </c>
      <c r="V205" s="65" t="str">
        <f>_xlfn.LET(
 _xlpm.x,
 _xlfn.MAXIFS(
  raw_stack!H$2:H$100000,
  raw_stack!D$2:D$100000, G205,
  raw_stack!F$2:F$100000, "Iya",
  raw_stack!G$2:G$100000, "&gt;="&amp;DATE(2025,10,1),
  raw_stack!G$2:G$100000, "&lt;="&amp;EOMONTH(DATE(2025,10,1),0)
 ),
 IF(OR(_xlpm.x=0, _xlpm.x=""), "-", _xlpm.x)
)</f>
        <v>-</v>
      </c>
      <c r="W205" s="55" t="str">
        <f>_xlfn.LET(
 _xlpm.x,
 _xlfn.MAXIFS(
  raw_stack!G$2:G$99411,
  raw_stack!D$2:D$99411, G205,
  raw_stack!F$2:F$99411, "Iya",
  raw_stack!G$2:G$99411, "&gt;="&amp;DATE(2025,11,1),
  raw_stack!G$2:G$99411, "&lt;="&amp;EOMONTH(DATE(2025,11,1),0)
 ),
 IF(_xlpm.x=0, "-", _xlpm.x)
)</f>
        <v>-</v>
      </c>
      <c r="X205" s="56" t="str">
        <f>_xlfn.LET(
 _xlpm.x,
 _xlfn.MAXIFS(
  raw_stack!H$2:H$100000,
  raw_stack!D$2:D$100000, G205,
  raw_stack!F$2:F$100000, "Iya",
  raw_stack!G$2:G$100000, "&gt;="&amp;DATE(2025,11,1),
  raw_stack!G$2:G$100000, "&lt;="&amp;EOMONTH(DATE(2025,11,1),0)
 ),
 IF(OR(_xlpm.x=0, _xlpm.x=""), "-", _xlpm.x)
)</f>
        <v>-</v>
      </c>
      <c r="Y205" s="55" t="str">
        <f>_xlfn.LET(
 _xlpm.x,
 _xlfn.MAXIFS(
  raw_stack!G$2:G$99411,
  raw_stack!D$2:D$99411, G205,
  raw_stack!F$2:F$99411, "Iya",
  raw_stack!G$2:G$99411, "&gt;="&amp;DATE(2025,12,1),
  raw_stack!G$2:G$99411, "&lt;="&amp;EOMONTH(DATE(2025,12,1),0)
 ),
 IF(_xlpm.x=0, "-", _xlpm.x)
)</f>
        <v>-</v>
      </c>
      <c r="Z205" s="56" t="str">
        <f>_xlfn.LET(
 _xlpm.x,
 _xlfn.MAXIFS(
  raw_stack!H$2:H$100000,
  raw_stack!D$2:D$100000, G205,
  raw_stack!F$2:F$100000, "Iya",
  raw_stack!G$2:G$100000, "&gt;="&amp;DATE(2025,12,1),
  raw_stack!G$2:G$100000, "&lt;="&amp;EOMONTH(DATE(2025,12,1),0)
 ),
 IF(OR(_xlpm.x=0, _xlpm.x=""), "-", _xlpm.x)
)</f>
        <v>-</v>
      </c>
      <c r="AA205" s="55" t="str">
        <f>_xlfn.LET(
 _xlpm.x,
 _xlfn.MAXIFS(
  raw_stack!G$2:G$99411,
  raw_stack!D$2:D$99411, G205,
  raw_stack!F$2:F$99411, "Iya",
  raw_stack!G$2:G$99411, "&gt;="&amp;DATE(2026,1,1),
  raw_stack!G$2:G$99411, "&lt;="&amp;EOMONTH(DATE(2026,1,1),0)
 ),
 IF(_xlpm.x=0, "-", _xlpm.x)
)</f>
        <v>-</v>
      </c>
      <c r="AB205" s="56" t="str">
        <f>_xlfn.LET(
 _xlpm.x,
 _xlfn.MAXIFS(
  raw_stack!H$2:H$100000,
  raw_stack!D$2:D$100000, G205,
  raw_stack!F$2:F$100000, "Iya",
  raw_stack!G$2:G$100000, "&gt;="&amp;DATE(2026,1,1),
  raw_stack!G$2:G$100000, "&lt;="&amp;EOMONTH(DATE(2026,1,1),0)
 ),
 IF(OR(_xlpm.x=0, _xlpm.x=""), "-", _xlpm.x)
)</f>
        <v>-</v>
      </c>
      <c r="AC205" s="55" t="str">
        <f>_xlfn.LET(
 _xlpm.x,
 _xlfn.MAXIFS(
  raw_stack!G$2:G$99411,
  raw_stack!D$2:D$99411, G205,
  raw_stack!F$2:F$99411, "Iya",
  raw_stack!G$2:G$99411, "&gt;="&amp;DATE(2026,2,1),
  raw_stack!G$2:G$99411, "&lt;="&amp;EOMONTH(DATE(2026,2,1),0)
 ),
 IF(_xlpm.x=0, "-", _xlpm.x)
)</f>
        <v>-</v>
      </c>
      <c r="AD205" s="56" t="str">
        <f>_xlfn.LET(
 _xlpm.x,
 _xlfn.MAXIFS(
  raw_stack!H$2:H$100000,
  raw_stack!D$2:D$100000, G205,
  raw_stack!F$2:F$100000, "Iya",
  raw_stack!G$2:G$100000, "&gt;="&amp;DATE(2026,2,1),
  raw_stack!G$2:G$100000, "&lt;="&amp;EOMONTH(DATE(2026,2,1),0)
 ),
 IF(OR(_xlpm.x=0, _xlpm.x=""), "-", _xlpm.x)
)</f>
        <v>-</v>
      </c>
      <c r="AE205" s="55">
        <f>_xlfn.LET(
 _xlpm.x,
 _xlfn.MAXIFS(
  raw_stack!G$2:G$100000,
  raw_stack!D$2:D$100000, G205,
  raw_stack!F$2:F$100000, "Iya",
  raw_stack!G$2:G$100000, "&gt;="&amp;DATE(2026,3,1),
  raw_stack!G$2:G$100000, "&lt;="&amp;EOMONTH(DATE(2026,3,1),0)
 ),
 IF(_xlpm.x=0, "-", _xlpm.x)
)</f>
        <v>46086</v>
      </c>
      <c r="AF205" s="56">
        <f>_xlfn.LET(
 _xlpm.x,
 _xlfn.MAXIFS(
  raw_stack!H$2:H$100000,
  raw_stack!D$2:D$100000, G205,
  raw_stack!F$2:F$100000, "Iya",
  raw_stack!G$2:G$100000, "&gt;="&amp;DATE(2026,3,1),
  raw_stack!G$2:G$100000, "&lt;="&amp;EOMONTH(DATE(2026,3,1),0)
 ),
 IF(OR(_xlpm.x=0, _xlpm.x=""), "-", _xlpm.x)
)</f>
        <v>4819</v>
      </c>
      <c r="AG205" s="55" t="str">
        <f>_xlfn.LET(
 _xlpm.x,
 _xlfn.MAXIFS(
  raw_stack!G$2:G$100000,
  raw_stack!D$2:D$100000, G205,
  raw_stack!F$2:F$100000, "Iya",
  raw_stack!G$2:G$100000, "&gt;="&amp;DATE(2026,4,1),
  raw_stack!G$2:G$100000, "&lt;="&amp;EOMONTH(DATE(2026,4,1),0)
 ),
 IF(_xlpm.x=0, "-", _xlpm.x)
)</f>
        <v>-</v>
      </c>
      <c r="AH205" s="56" t="str">
        <f>_xlfn.LET(
 _xlpm.x,
 _xlfn.MAXIFS(
  raw_stack!H$2:H$100000,
  raw_stack!D$2:D$100000, G205,
  raw_stack!F$2:F$100000, "Iya",
  raw_stack!G$2:G$100000, "&gt;="&amp;DATE(2026,4,1),
  raw_stack!G$2:G$100000, "&lt;="&amp;EOMONTH(DATE(2026,4,1),0)
 ),
 IF(OR(_xlpm.x=0, _xlpm.x=""), "-", _xlpm.x)
)</f>
        <v>-</v>
      </c>
    </row>
    <row r="206" spans="1:34">
      <c r="A206" s="48">
        <v>205</v>
      </c>
      <c r="B206" s="49" t="str">
        <f t="shared" si="3"/>
        <v>25264</v>
      </c>
      <c r="C206" s="50" t="s">
        <v>46</v>
      </c>
      <c r="D206" s="51" t="s">
        <v>633</v>
      </c>
      <c r="E206" s="51" t="s">
        <v>54</v>
      </c>
      <c r="F206" s="49" t="s">
        <v>117</v>
      </c>
      <c r="G206" s="49" t="s">
        <v>322</v>
      </c>
      <c r="H206" s="49" t="s">
        <v>48</v>
      </c>
      <c r="I206" s="49" t="s">
        <v>52</v>
      </c>
      <c r="J206" s="52">
        <v>6600000</v>
      </c>
      <c r="K206" s="53">
        <v>45690</v>
      </c>
      <c r="L206" s="53">
        <v>46784</v>
      </c>
      <c r="M206" s="53">
        <v>46054</v>
      </c>
      <c r="N206" s="49" t="s">
        <v>50</v>
      </c>
      <c r="O206" s="54" t="str">
        <f>_xlfn.LET(
 _xlpm.x,
 _xlfn.MAXIFS(
  raw_stack!G$2:G$100000,
  raw_stack!D$2:D$100000, G206,
  raw_stack!F$2:F$100000, "Iya",
  raw_stack!G$2:G$100000, "&gt;="&amp;DATE(2025,7,1),
  raw_stack!G$2:G$100000, "&lt;="&amp;EOMONTH(DATE(2025,7,1),0)
 ),
 IF(_xlpm.x=0, "-", _xlpm.x)
)</f>
        <v>-</v>
      </c>
      <c r="P206" s="65" t="str">
        <f>_xlfn.LET(
 _xlpm.x,
 _xlfn.MAXIFS(
  raw_stack!H$2:H$100000,
  raw_stack!D$2:D$100000, G206,
  raw_stack!F$2:F$100000, "Iya",
  raw_stack!G$2:G$100000, "&gt;="&amp;DATE(2025,7,1),
  raw_stack!G$2:G$100000, "&lt;="&amp;EOMONTH(DATE(2025,7,1),0)
 ),
 IF(OR(_xlpm.x=0, _xlpm.x=""), "-", _xlpm.x)
)</f>
        <v>-</v>
      </c>
      <c r="Q206" s="54" t="str">
        <f>_xlfn.LET(
 _xlpm.x,
 _xlfn.MAXIFS(
  raw_stack!G$2:G$99411,
  raw_stack!D$2:D$99411, G206,
  raw_stack!F$2:F$99411, "Iya",
  raw_stack!G$2:G$99411, "&gt;="&amp;DATE(2025,8,1),
  raw_stack!G$2:G$99411, "&lt;="&amp;EOMONTH(DATE(2025,8,1),0)
 ),
 IF(_xlpm.x=0, "-", _xlpm.x)
)</f>
        <v>-</v>
      </c>
      <c r="R206" s="65" t="str">
        <f>_xlfn.LET(
 _xlpm.x,
 _xlfn.MAXIFS(
  raw_stack!H$2:H$100000,
  raw_stack!D$2:D$100000, G206,
  raw_stack!F$2:F$100000, "Iya",
  raw_stack!G$2:G$100000, "&gt;="&amp;DATE(2025,8,1),
  raw_stack!G$2:G$100000, "&lt;="&amp;EOMONTH(DATE(2025,8,1),0)
 ),
 IF(OR(_xlpm.x=0, _xlpm.x=""), "-", _xlpm.x)
)</f>
        <v>-</v>
      </c>
      <c r="S206" s="54" t="str">
        <f>_xlfn.LET(
 _xlpm.x,
 _xlfn.MAXIFS(
  raw_stack!G$2:G$99411,
  raw_stack!D$2:D$99411, G206,
  raw_stack!F$2:F$99411, "Iya",
  raw_stack!G$2:G$99411, "&gt;="&amp;DATE(2025,9,1),
  raw_stack!G$2:G$99411, "&lt;="&amp;EOMONTH(DATE(2025,9,1),0)
 ),
 IF(_xlpm.x=0, "-", _xlpm.x)
)</f>
        <v>-</v>
      </c>
      <c r="T206" s="65" t="str">
        <f>_xlfn.LET(
 _xlpm.x,
 _xlfn.MAXIFS(
  raw_stack!H$2:H$100000,
  raw_stack!D$2:D$100000, G206,
  raw_stack!F$2:F$100000, "Iya",
  raw_stack!G$2:G$100000, "&gt;="&amp;DATE(2025,9,1),
  raw_stack!G$2:G$100000, "&lt;="&amp;EOMONTH(DATE(2025,9,1),0)
 ),
 IF(OR(_xlpm.x=0, _xlpm.x=""), "-", _xlpm.x)
)</f>
        <v>-</v>
      </c>
      <c r="U206" s="54" t="str">
        <f>_xlfn.LET(
 _xlpm.x,
 _xlfn.MAXIFS(
  raw_stack!G$2:G$99411,
  raw_stack!D$2:D$99411, G206,
  raw_stack!F$2:F$99411, "Iya",
  raw_stack!G$2:G$99411, "&gt;="&amp;DATE(2025,10,1),
  raw_stack!G$2:G$99411, "&lt;="&amp;EOMONTH(DATE(2025,10,1),0)
 ),
 IF(_xlpm.x=0, "-", _xlpm.x)
)</f>
        <v>-</v>
      </c>
      <c r="V206" s="65" t="str">
        <f>_xlfn.LET(
 _xlpm.x,
 _xlfn.MAXIFS(
  raw_stack!H$2:H$100000,
  raw_stack!D$2:D$100000, G206,
  raw_stack!F$2:F$100000, "Iya",
  raw_stack!G$2:G$100000, "&gt;="&amp;DATE(2025,10,1),
  raw_stack!G$2:G$100000, "&lt;="&amp;EOMONTH(DATE(2025,10,1),0)
 ),
 IF(OR(_xlpm.x=0, _xlpm.x=""), "-", _xlpm.x)
)</f>
        <v>-</v>
      </c>
      <c r="W206" s="55" t="str">
        <f>_xlfn.LET(
 _xlpm.x,
 _xlfn.MAXIFS(
  raw_stack!G$2:G$99411,
  raw_stack!D$2:D$99411, G206,
  raw_stack!F$2:F$99411, "Iya",
  raw_stack!G$2:G$99411, "&gt;="&amp;DATE(2025,11,1),
  raw_stack!G$2:G$99411, "&lt;="&amp;EOMONTH(DATE(2025,11,1),0)
 ),
 IF(_xlpm.x=0, "-", _xlpm.x)
)</f>
        <v>-</v>
      </c>
      <c r="X206" s="56" t="str">
        <f>_xlfn.LET(
 _xlpm.x,
 _xlfn.MAXIFS(
  raw_stack!H$2:H$100000,
  raw_stack!D$2:D$100000, G206,
  raw_stack!F$2:F$100000, "Iya",
  raw_stack!G$2:G$100000, "&gt;="&amp;DATE(2025,11,1),
  raw_stack!G$2:G$100000, "&lt;="&amp;EOMONTH(DATE(2025,11,1),0)
 ),
 IF(OR(_xlpm.x=0, _xlpm.x=""), "-", _xlpm.x)
)</f>
        <v>-</v>
      </c>
      <c r="Y206" s="55" t="str">
        <f>_xlfn.LET(
 _xlpm.x,
 _xlfn.MAXIFS(
  raw_stack!G$2:G$99411,
  raw_stack!D$2:D$99411, G206,
  raw_stack!F$2:F$99411, "Iya",
  raw_stack!G$2:G$99411, "&gt;="&amp;DATE(2025,12,1),
  raw_stack!G$2:G$99411, "&lt;="&amp;EOMONTH(DATE(2025,12,1),0)
 ),
 IF(_xlpm.x=0, "-", _xlpm.x)
)</f>
        <v>-</v>
      </c>
      <c r="Z206" s="56" t="str">
        <f>_xlfn.LET(
 _xlpm.x,
 _xlfn.MAXIFS(
  raw_stack!H$2:H$100000,
  raw_stack!D$2:D$100000, G206,
  raw_stack!F$2:F$100000, "Iya",
  raw_stack!G$2:G$100000, "&gt;="&amp;DATE(2025,12,1),
  raw_stack!G$2:G$100000, "&lt;="&amp;EOMONTH(DATE(2025,12,1),0)
 ),
 IF(OR(_xlpm.x=0, _xlpm.x=""), "-", _xlpm.x)
)</f>
        <v>-</v>
      </c>
      <c r="AA206" s="55" t="str">
        <f>_xlfn.LET(
 _xlpm.x,
 _xlfn.MAXIFS(
  raw_stack!G$2:G$99411,
  raw_stack!D$2:D$99411, G206,
  raw_stack!F$2:F$99411, "Iya",
  raw_stack!G$2:G$99411, "&gt;="&amp;DATE(2026,1,1),
  raw_stack!G$2:G$99411, "&lt;="&amp;EOMONTH(DATE(2026,1,1),0)
 ),
 IF(_xlpm.x=0, "-", _xlpm.x)
)</f>
        <v>-</v>
      </c>
      <c r="AB206" s="56" t="str">
        <f>_xlfn.LET(
 _xlpm.x,
 _xlfn.MAXIFS(
  raw_stack!H$2:H$100000,
  raw_stack!D$2:D$100000, G206,
  raw_stack!F$2:F$100000, "Iya",
  raw_stack!G$2:G$100000, "&gt;="&amp;DATE(2026,1,1),
  raw_stack!G$2:G$100000, "&lt;="&amp;EOMONTH(DATE(2026,1,1),0)
 ),
 IF(OR(_xlpm.x=0, _xlpm.x=""), "-", _xlpm.x)
)</f>
        <v>-</v>
      </c>
      <c r="AC206" s="55" t="str">
        <f>_xlfn.LET(
 _xlpm.x,
 _xlfn.MAXIFS(
  raw_stack!G$2:G$99411,
  raw_stack!D$2:D$99411, G206,
  raw_stack!F$2:F$99411, "Iya",
  raw_stack!G$2:G$99411, "&gt;="&amp;DATE(2026,2,1),
  raw_stack!G$2:G$99411, "&lt;="&amp;EOMONTH(DATE(2026,2,1),0)
 ),
 IF(_xlpm.x=0, "-", _xlpm.x)
)</f>
        <v>-</v>
      </c>
      <c r="AD206" s="56" t="str">
        <f>_xlfn.LET(
 _xlpm.x,
 _xlfn.MAXIFS(
  raw_stack!H$2:H$100000,
  raw_stack!D$2:D$100000, G206,
  raw_stack!F$2:F$100000, "Iya",
  raw_stack!G$2:G$100000, "&gt;="&amp;DATE(2026,2,1),
  raw_stack!G$2:G$100000, "&lt;="&amp;EOMONTH(DATE(2026,2,1),0)
 ),
 IF(OR(_xlpm.x=0, _xlpm.x=""), "-", _xlpm.x)
)</f>
        <v>-</v>
      </c>
      <c r="AE206" s="55" t="str">
        <f>_xlfn.LET(
 _xlpm.x,
 _xlfn.MAXIFS(
  raw_stack!G$2:G$100000,
  raw_stack!D$2:D$100000, G206,
  raw_stack!F$2:F$100000, "Iya",
  raw_stack!G$2:G$100000, "&gt;="&amp;DATE(2026,3,1),
  raw_stack!G$2:G$100000, "&lt;="&amp;EOMONTH(DATE(2026,3,1),0)
 ),
 IF(_xlpm.x=0, "-", _xlpm.x)
)</f>
        <v>-</v>
      </c>
      <c r="AF206" s="56" t="str">
        <f>_xlfn.LET(
 _xlpm.x,
 _xlfn.MAXIFS(
  raw_stack!H$2:H$100000,
  raw_stack!D$2:D$100000, G206,
  raw_stack!F$2:F$100000, "Iya",
  raw_stack!G$2:G$100000, "&gt;="&amp;DATE(2026,3,1),
  raw_stack!G$2:G$100000, "&lt;="&amp;EOMONTH(DATE(2026,3,1),0)
 ),
 IF(OR(_xlpm.x=0, _xlpm.x=""), "-", _xlpm.x)
)</f>
        <v>-</v>
      </c>
      <c r="AG206" s="55" t="str">
        <f>_xlfn.LET(
 _xlpm.x,
 _xlfn.MAXIFS(
  raw_stack!G$2:G$100000,
  raw_stack!D$2:D$100000, G206,
  raw_stack!F$2:F$100000, "Iya",
  raw_stack!G$2:G$100000, "&gt;="&amp;DATE(2026,4,1),
  raw_stack!G$2:G$100000, "&lt;="&amp;EOMONTH(DATE(2026,4,1),0)
 ),
 IF(_xlpm.x=0, "-", _xlpm.x)
)</f>
        <v>-</v>
      </c>
      <c r="AH206" s="56" t="str">
        <f>_xlfn.LET(
 _xlpm.x,
 _xlfn.MAXIFS(
  raw_stack!H$2:H$100000,
  raw_stack!D$2:D$100000, G206,
  raw_stack!F$2:F$100000, "Iya",
  raw_stack!G$2:G$100000, "&gt;="&amp;DATE(2026,4,1),
  raw_stack!G$2:G$100000, "&lt;="&amp;EOMONTH(DATE(2026,4,1),0)
 ),
 IF(OR(_xlpm.x=0, _xlpm.x=""), "-", _xlpm.x)
)</f>
        <v>-</v>
      </c>
    </row>
    <row r="207" spans="1:34">
      <c r="A207" s="48">
        <v>206</v>
      </c>
      <c r="B207" s="49" t="e">
        <f t="shared" si="3"/>
        <v>#N/A</v>
      </c>
      <c r="C207" s="50" t="s">
        <v>46</v>
      </c>
      <c r="D207" s="51" t="e">
        <v>#N/A</v>
      </c>
      <c r="E207" s="51" t="s">
        <v>51</v>
      </c>
      <c r="F207" s="49" t="s">
        <v>117</v>
      </c>
      <c r="G207" s="49" t="s">
        <v>323</v>
      </c>
      <c r="H207" s="49" t="s">
        <v>48</v>
      </c>
      <c r="I207" s="49" t="s">
        <v>52</v>
      </c>
      <c r="J207" s="52">
        <v>5500000</v>
      </c>
      <c r="K207" s="53">
        <v>45691</v>
      </c>
      <c r="L207" s="53">
        <v>46785</v>
      </c>
      <c r="M207" s="53">
        <v>46083</v>
      </c>
      <c r="N207" s="49" t="s">
        <v>50</v>
      </c>
      <c r="O207" s="54" t="str">
        <f>_xlfn.LET(
 _xlpm.x,
 _xlfn.MAXIFS(
  raw_stack!G$2:G$100000,
  raw_stack!D$2:D$100000, G207,
  raw_stack!F$2:F$100000, "Iya",
  raw_stack!G$2:G$100000, "&gt;="&amp;DATE(2025,7,1),
  raw_stack!G$2:G$100000, "&lt;="&amp;EOMONTH(DATE(2025,7,1),0)
 ),
 IF(_xlpm.x=0, "-", _xlpm.x)
)</f>
        <v>-</v>
      </c>
      <c r="P207" s="65" t="str">
        <f>_xlfn.LET(
 _xlpm.x,
 _xlfn.MAXIFS(
  raw_stack!H$2:H$100000,
  raw_stack!D$2:D$100000, G207,
  raw_stack!F$2:F$100000, "Iya",
  raw_stack!G$2:G$100000, "&gt;="&amp;DATE(2025,7,1),
  raw_stack!G$2:G$100000, "&lt;="&amp;EOMONTH(DATE(2025,7,1),0)
 ),
 IF(OR(_xlpm.x=0, _xlpm.x=""), "-", _xlpm.x)
)</f>
        <v>-</v>
      </c>
      <c r="Q207" s="54" t="str">
        <f>_xlfn.LET(
 _xlpm.x,
 _xlfn.MAXIFS(
  raw_stack!G$2:G$99411,
  raw_stack!D$2:D$99411, G207,
  raw_stack!F$2:F$99411, "Iya",
  raw_stack!G$2:G$99411, "&gt;="&amp;DATE(2025,8,1),
  raw_stack!G$2:G$99411, "&lt;="&amp;EOMONTH(DATE(2025,8,1),0)
 ),
 IF(_xlpm.x=0, "-", _xlpm.x)
)</f>
        <v>-</v>
      </c>
      <c r="R207" s="65" t="str">
        <f>_xlfn.LET(
 _xlpm.x,
 _xlfn.MAXIFS(
  raw_stack!H$2:H$100000,
  raw_stack!D$2:D$100000, G207,
  raw_stack!F$2:F$100000, "Iya",
  raw_stack!G$2:G$100000, "&gt;="&amp;DATE(2025,8,1),
  raw_stack!G$2:G$100000, "&lt;="&amp;EOMONTH(DATE(2025,8,1),0)
 ),
 IF(OR(_xlpm.x=0, _xlpm.x=""), "-", _xlpm.x)
)</f>
        <v>-</v>
      </c>
      <c r="S207" s="54">
        <f>_xlfn.LET(
 _xlpm.x,
 _xlfn.MAXIFS(
  raw_stack!G$2:G$99411,
  raw_stack!D$2:D$99411, G207,
  raw_stack!F$2:F$99411, "Iya",
  raw_stack!G$2:G$99411, "&gt;="&amp;DATE(2025,9,1),
  raw_stack!G$2:G$99411, "&lt;="&amp;EOMONTH(DATE(2025,9,1),0)
 ),
 IF(_xlpm.x=0, "-", _xlpm.x)
)</f>
        <v>45918</v>
      </c>
      <c r="T207" s="65">
        <f>_xlfn.LET(
 _xlpm.x,
 _xlfn.MAXIFS(
  raw_stack!H$2:H$100000,
  raw_stack!D$2:D$100000, G207,
  raw_stack!F$2:F$100000, "Iya",
  raw_stack!G$2:G$100000, "&gt;="&amp;DATE(2025,9,1),
  raw_stack!G$2:G$100000, "&lt;="&amp;EOMONTH(DATE(2025,9,1),0)
 ),
 IF(OR(_xlpm.x=0, _xlpm.x=""), "-", _xlpm.x)
)</f>
        <v>20879</v>
      </c>
      <c r="U207" s="54" t="str">
        <f>_xlfn.LET(
 _xlpm.x,
 _xlfn.MAXIFS(
  raw_stack!G$2:G$99411,
  raw_stack!D$2:D$99411, G207,
  raw_stack!F$2:F$99411, "Iya",
  raw_stack!G$2:G$99411, "&gt;="&amp;DATE(2025,10,1),
  raw_stack!G$2:G$99411, "&lt;="&amp;EOMONTH(DATE(2025,10,1),0)
 ),
 IF(_xlpm.x=0, "-", _xlpm.x)
)</f>
        <v>-</v>
      </c>
      <c r="V207" s="65" t="str">
        <f>_xlfn.LET(
 _xlpm.x,
 _xlfn.MAXIFS(
  raw_stack!H$2:H$100000,
  raw_stack!D$2:D$100000, G207,
  raw_stack!F$2:F$100000, "Iya",
  raw_stack!G$2:G$100000, "&gt;="&amp;DATE(2025,10,1),
  raw_stack!G$2:G$100000, "&lt;="&amp;EOMONTH(DATE(2025,10,1),0)
 ),
 IF(OR(_xlpm.x=0, _xlpm.x=""), "-", _xlpm.x)
)</f>
        <v>-</v>
      </c>
      <c r="W207" s="55" t="str">
        <f>_xlfn.LET(
 _xlpm.x,
 _xlfn.MAXIFS(
  raw_stack!G$2:G$99411,
  raw_stack!D$2:D$99411, G207,
  raw_stack!F$2:F$99411, "Iya",
  raw_stack!G$2:G$99411, "&gt;="&amp;DATE(2025,11,1),
  raw_stack!G$2:G$99411, "&lt;="&amp;EOMONTH(DATE(2025,11,1),0)
 ),
 IF(_xlpm.x=0, "-", _xlpm.x)
)</f>
        <v>-</v>
      </c>
      <c r="X207" s="56" t="str">
        <f>_xlfn.LET(
 _xlpm.x,
 _xlfn.MAXIFS(
  raw_stack!H$2:H$100000,
  raw_stack!D$2:D$100000, G207,
  raw_stack!F$2:F$100000, "Iya",
  raw_stack!G$2:G$100000, "&gt;="&amp;DATE(2025,11,1),
  raw_stack!G$2:G$100000, "&lt;="&amp;EOMONTH(DATE(2025,11,1),0)
 ),
 IF(OR(_xlpm.x=0, _xlpm.x=""), "-", _xlpm.x)
)</f>
        <v>-</v>
      </c>
      <c r="Y207" s="55" t="str">
        <f>_xlfn.LET(
 _xlpm.x,
 _xlfn.MAXIFS(
  raw_stack!G$2:G$99411,
  raw_stack!D$2:D$99411, G207,
  raw_stack!F$2:F$99411, "Iya",
  raw_stack!G$2:G$99411, "&gt;="&amp;DATE(2025,12,1),
  raw_stack!G$2:G$99411, "&lt;="&amp;EOMONTH(DATE(2025,12,1),0)
 ),
 IF(_xlpm.x=0, "-", _xlpm.x)
)</f>
        <v>-</v>
      </c>
      <c r="Z207" s="56" t="str">
        <f>_xlfn.LET(
 _xlpm.x,
 _xlfn.MAXIFS(
  raw_stack!H$2:H$100000,
  raw_stack!D$2:D$100000, G207,
  raw_stack!F$2:F$100000, "Iya",
  raw_stack!G$2:G$100000, "&gt;="&amp;DATE(2025,12,1),
  raw_stack!G$2:G$100000, "&lt;="&amp;EOMONTH(DATE(2025,12,1),0)
 ),
 IF(OR(_xlpm.x=0, _xlpm.x=""), "-", _xlpm.x)
)</f>
        <v>-</v>
      </c>
      <c r="AA207" s="55" t="str">
        <f>_xlfn.LET(
 _xlpm.x,
 _xlfn.MAXIFS(
  raw_stack!G$2:G$99411,
  raw_stack!D$2:D$99411, G207,
  raw_stack!F$2:F$99411, "Iya",
  raw_stack!G$2:G$99411, "&gt;="&amp;DATE(2026,1,1),
  raw_stack!G$2:G$99411, "&lt;="&amp;EOMONTH(DATE(2026,1,1),0)
 ),
 IF(_xlpm.x=0, "-", _xlpm.x)
)</f>
        <v>-</v>
      </c>
      <c r="AB207" s="56" t="str">
        <f>_xlfn.LET(
 _xlpm.x,
 _xlfn.MAXIFS(
  raw_stack!H$2:H$100000,
  raw_stack!D$2:D$100000, G207,
  raw_stack!F$2:F$100000, "Iya",
  raw_stack!G$2:G$100000, "&gt;="&amp;DATE(2026,1,1),
  raw_stack!G$2:G$100000, "&lt;="&amp;EOMONTH(DATE(2026,1,1),0)
 ),
 IF(OR(_xlpm.x=0, _xlpm.x=""), "-", _xlpm.x)
)</f>
        <v>-</v>
      </c>
      <c r="AC207" s="55" t="str">
        <f>_xlfn.LET(
 _xlpm.x,
 _xlfn.MAXIFS(
  raw_stack!G$2:G$99411,
  raw_stack!D$2:D$99411, G207,
  raw_stack!F$2:F$99411, "Iya",
  raw_stack!G$2:G$99411, "&gt;="&amp;DATE(2026,2,1),
  raw_stack!G$2:G$99411, "&lt;="&amp;EOMONTH(DATE(2026,2,1),0)
 ),
 IF(_xlpm.x=0, "-", _xlpm.x)
)</f>
        <v>-</v>
      </c>
      <c r="AD207" s="56" t="str">
        <f>_xlfn.LET(
 _xlpm.x,
 _xlfn.MAXIFS(
  raw_stack!H$2:H$100000,
  raw_stack!D$2:D$100000, G207,
  raw_stack!F$2:F$100000, "Iya",
  raw_stack!G$2:G$100000, "&gt;="&amp;DATE(2026,2,1),
  raw_stack!G$2:G$100000, "&lt;="&amp;EOMONTH(DATE(2026,2,1),0)
 ),
 IF(OR(_xlpm.x=0, _xlpm.x=""), "-", _xlpm.x)
)</f>
        <v>-</v>
      </c>
      <c r="AE207" s="55" t="str">
        <f>_xlfn.LET(
 _xlpm.x,
 _xlfn.MAXIFS(
  raw_stack!G$2:G$100000,
  raw_stack!D$2:D$100000, G207,
  raw_stack!F$2:F$100000, "Iya",
  raw_stack!G$2:G$100000, "&gt;="&amp;DATE(2026,3,1),
  raw_stack!G$2:G$100000, "&lt;="&amp;EOMONTH(DATE(2026,3,1),0)
 ),
 IF(_xlpm.x=0, "-", _xlpm.x)
)</f>
        <v>-</v>
      </c>
      <c r="AF207" s="56" t="str">
        <f>_xlfn.LET(
 _xlpm.x,
 _xlfn.MAXIFS(
  raw_stack!H$2:H$100000,
  raw_stack!D$2:D$100000, G207,
  raw_stack!F$2:F$100000, "Iya",
  raw_stack!G$2:G$100000, "&gt;="&amp;DATE(2026,3,1),
  raw_stack!G$2:G$100000, "&lt;="&amp;EOMONTH(DATE(2026,3,1),0)
 ),
 IF(OR(_xlpm.x=0, _xlpm.x=""), "-", _xlpm.x)
)</f>
        <v>-</v>
      </c>
      <c r="AG207" s="55" t="str">
        <f>_xlfn.LET(
 _xlpm.x,
 _xlfn.MAXIFS(
  raw_stack!G$2:G$100000,
  raw_stack!D$2:D$100000, G207,
  raw_stack!F$2:F$100000, "Iya",
  raw_stack!G$2:G$100000, "&gt;="&amp;DATE(2026,4,1),
  raw_stack!G$2:G$100000, "&lt;="&amp;EOMONTH(DATE(2026,4,1),0)
 ),
 IF(_xlpm.x=0, "-", _xlpm.x)
)</f>
        <v>-</v>
      </c>
      <c r="AH207" s="56" t="str">
        <f>_xlfn.LET(
 _xlpm.x,
 _xlfn.MAXIFS(
  raw_stack!H$2:H$100000,
  raw_stack!D$2:D$100000, G207,
  raw_stack!F$2:F$100000, "Iya",
  raw_stack!G$2:G$100000, "&gt;="&amp;DATE(2026,4,1),
  raw_stack!G$2:G$100000, "&lt;="&amp;EOMONTH(DATE(2026,4,1),0)
 ),
 IF(OR(_xlpm.x=0, _xlpm.x=""), "-", _xlpm.x)
)</f>
        <v>-</v>
      </c>
    </row>
    <row r="208" spans="1:34">
      <c r="A208" s="48">
        <v>207</v>
      </c>
      <c r="B208" s="49" t="str">
        <f t="shared" si="3"/>
        <v>24740</v>
      </c>
      <c r="C208" s="50" t="s">
        <v>46</v>
      </c>
      <c r="D208" s="51" t="s">
        <v>597</v>
      </c>
      <c r="E208" s="51" t="s">
        <v>51</v>
      </c>
      <c r="F208" s="49" t="s">
        <v>117</v>
      </c>
      <c r="G208" s="49" t="s">
        <v>324</v>
      </c>
      <c r="H208" s="49" t="s">
        <v>48</v>
      </c>
      <c r="I208" s="49" t="s">
        <v>52</v>
      </c>
      <c r="J208" s="52">
        <v>3880000</v>
      </c>
      <c r="K208" s="53">
        <v>45696</v>
      </c>
      <c r="L208" s="53">
        <v>46790</v>
      </c>
      <c r="M208" s="53">
        <v>46088</v>
      </c>
      <c r="N208" s="49" t="s">
        <v>50</v>
      </c>
      <c r="O208" s="54" t="str">
        <f>_xlfn.LET(
 _xlpm.x,
 _xlfn.MAXIFS(
  raw_stack!G$2:G$100000,
  raw_stack!D$2:D$100000, G208,
  raw_stack!F$2:F$100000, "Iya",
  raw_stack!G$2:G$100000, "&gt;="&amp;DATE(2025,7,1),
  raw_stack!G$2:G$100000, "&lt;="&amp;EOMONTH(DATE(2025,7,1),0)
 ),
 IF(_xlpm.x=0, "-", _xlpm.x)
)</f>
        <v>-</v>
      </c>
      <c r="P208" s="65" t="str">
        <f>_xlfn.LET(
 _xlpm.x,
 _xlfn.MAXIFS(
  raw_stack!H$2:H$100000,
  raw_stack!D$2:D$100000, G208,
  raw_stack!F$2:F$100000, "Iya",
  raw_stack!G$2:G$100000, "&gt;="&amp;DATE(2025,7,1),
  raw_stack!G$2:G$100000, "&lt;="&amp;EOMONTH(DATE(2025,7,1),0)
 ),
 IF(OR(_xlpm.x=0, _xlpm.x=""), "-", _xlpm.x)
)</f>
        <v>-</v>
      </c>
      <c r="Q208" s="54" t="str">
        <f>_xlfn.LET(
 _xlpm.x,
 _xlfn.MAXIFS(
  raw_stack!G$2:G$99411,
  raw_stack!D$2:D$99411, G208,
  raw_stack!F$2:F$99411, "Iya",
  raw_stack!G$2:G$99411, "&gt;="&amp;DATE(2025,8,1),
  raw_stack!G$2:G$99411, "&lt;="&amp;EOMONTH(DATE(2025,8,1),0)
 ),
 IF(_xlpm.x=0, "-", _xlpm.x)
)</f>
        <v>-</v>
      </c>
      <c r="R208" s="65" t="str">
        <f>_xlfn.LET(
 _xlpm.x,
 _xlfn.MAXIFS(
  raw_stack!H$2:H$100000,
  raw_stack!D$2:D$100000, G208,
  raw_stack!F$2:F$100000, "Iya",
  raw_stack!G$2:G$100000, "&gt;="&amp;DATE(2025,8,1),
  raw_stack!G$2:G$100000, "&lt;="&amp;EOMONTH(DATE(2025,8,1),0)
 ),
 IF(OR(_xlpm.x=0, _xlpm.x=""), "-", _xlpm.x)
)</f>
        <v>-</v>
      </c>
      <c r="S208" s="54">
        <f>_xlfn.LET(
 _xlpm.x,
 _xlfn.MAXIFS(
  raw_stack!G$2:G$99411,
  raw_stack!D$2:D$99411, G208,
  raw_stack!F$2:F$99411, "Iya",
  raw_stack!G$2:G$99411, "&gt;="&amp;DATE(2025,9,1),
  raw_stack!G$2:G$99411, "&lt;="&amp;EOMONTH(DATE(2025,9,1),0)
 ),
 IF(_xlpm.x=0, "-", _xlpm.x)
)</f>
        <v>45904</v>
      </c>
      <c r="T208" s="65">
        <f>_xlfn.LET(
 _xlpm.x,
 _xlfn.MAXIFS(
  raw_stack!H$2:H$100000,
  raw_stack!D$2:D$100000, G208,
  raw_stack!F$2:F$100000, "Iya",
  raw_stack!G$2:G$100000, "&gt;="&amp;DATE(2025,9,1),
  raw_stack!G$2:G$100000, "&lt;="&amp;EOMONTH(DATE(2025,9,1),0)
 ),
 IF(OR(_xlpm.x=0, _xlpm.x=""), "-", _xlpm.x)
)</f>
        <v>14209</v>
      </c>
      <c r="U208" s="54" t="str">
        <f>_xlfn.LET(
 _xlpm.x,
 _xlfn.MAXIFS(
  raw_stack!G$2:G$99411,
  raw_stack!D$2:D$99411, G208,
  raw_stack!F$2:F$99411, "Iya",
  raw_stack!G$2:G$99411, "&gt;="&amp;DATE(2025,10,1),
  raw_stack!G$2:G$99411, "&lt;="&amp;EOMONTH(DATE(2025,10,1),0)
 ),
 IF(_xlpm.x=0, "-", _xlpm.x)
)</f>
        <v>-</v>
      </c>
      <c r="V208" s="65" t="str">
        <f>_xlfn.LET(
 _xlpm.x,
 _xlfn.MAXIFS(
  raw_stack!H$2:H$100000,
  raw_stack!D$2:D$100000, G208,
  raw_stack!F$2:F$100000, "Iya",
  raw_stack!G$2:G$100000, "&gt;="&amp;DATE(2025,10,1),
  raw_stack!G$2:G$100000, "&lt;="&amp;EOMONTH(DATE(2025,10,1),0)
 ),
 IF(OR(_xlpm.x=0, _xlpm.x=""), "-", _xlpm.x)
)</f>
        <v>-</v>
      </c>
      <c r="W208" s="55" t="str">
        <f>_xlfn.LET(
 _xlpm.x,
 _xlfn.MAXIFS(
  raw_stack!G$2:G$99411,
  raw_stack!D$2:D$99411, G208,
  raw_stack!F$2:F$99411, "Iya",
  raw_stack!G$2:G$99411, "&gt;="&amp;DATE(2025,11,1),
  raw_stack!G$2:G$99411, "&lt;="&amp;EOMONTH(DATE(2025,11,1),0)
 ),
 IF(_xlpm.x=0, "-", _xlpm.x)
)</f>
        <v>-</v>
      </c>
      <c r="X208" s="56" t="str">
        <f>_xlfn.LET(
 _xlpm.x,
 _xlfn.MAXIFS(
  raw_stack!H$2:H$100000,
  raw_stack!D$2:D$100000, G208,
  raw_stack!F$2:F$100000, "Iya",
  raw_stack!G$2:G$100000, "&gt;="&amp;DATE(2025,11,1),
  raw_stack!G$2:G$100000, "&lt;="&amp;EOMONTH(DATE(2025,11,1),0)
 ),
 IF(OR(_xlpm.x=0, _xlpm.x=""), "-", _xlpm.x)
)</f>
        <v>-</v>
      </c>
      <c r="Y208" s="55" t="str">
        <f>_xlfn.LET(
 _xlpm.x,
 _xlfn.MAXIFS(
  raw_stack!G$2:G$99411,
  raw_stack!D$2:D$99411, G208,
  raw_stack!F$2:F$99411, "Iya",
  raw_stack!G$2:G$99411, "&gt;="&amp;DATE(2025,12,1),
  raw_stack!G$2:G$99411, "&lt;="&amp;EOMONTH(DATE(2025,12,1),0)
 ),
 IF(_xlpm.x=0, "-", _xlpm.x)
)</f>
        <v>-</v>
      </c>
      <c r="Z208" s="56" t="str">
        <f>_xlfn.LET(
 _xlpm.x,
 _xlfn.MAXIFS(
  raw_stack!H$2:H$100000,
  raw_stack!D$2:D$100000, G208,
  raw_stack!F$2:F$100000, "Iya",
  raw_stack!G$2:G$100000, "&gt;="&amp;DATE(2025,12,1),
  raw_stack!G$2:G$100000, "&lt;="&amp;EOMONTH(DATE(2025,12,1),0)
 ),
 IF(OR(_xlpm.x=0, _xlpm.x=""), "-", _xlpm.x)
)</f>
        <v>-</v>
      </c>
      <c r="AA208" s="55" t="str">
        <f>_xlfn.LET(
 _xlpm.x,
 _xlfn.MAXIFS(
  raw_stack!G$2:G$99411,
  raw_stack!D$2:D$99411, G208,
  raw_stack!F$2:F$99411, "Iya",
  raw_stack!G$2:G$99411, "&gt;="&amp;DATE(2026,1,1),
  raw_stack!G$2:G$99411, "&lt;="&amp;EOMONTH(DATE(2026,1,1),0)
 ),
 IF(_xlpm.x=0, "-", _xlpm.x)
)</f>
        <v>-</v>
      </c>
      <c r="AB208" s="56" t="str">
        <f>_xlfn.LET(
 _xlpm.x,
 _xlfn.MAXIFS(
  raw_stack!H$2:H$100000,
  raw_stack!D$2:D$100000, G208,
  raw_stack!F$2:F$100000, "Iya",
  raw_stack!G$2:G$100000, "&gt;="&amp;DATE(2026,1,1),
  raw_stack!G$2:G$100000, "&lt;="&amp;EOMONTH(DATE(2026,1,1),0)
 ),
 IF(OR(_xlpm.x=0, _xlpm.x=""), "-", _xlpm.x)
)</f>
        <v>-</v>
      </c>
      <c r="AC208" s="55" t="str">
        <f>_xlfn.LET(
 _xlpm.x,
 _xlfn.MAXIFS(
  raw_stack!G$2:G$99411,
  raw_stack!D$2:D$99411, G208,
  raw_stack!F$2:F$99411, "Iya",
  raw_stack!G$2:G$99411, "&gt;="&amp;DATE(2026,2,1),
  raw_stack!G$2:G$99411, "&lt;="&amp;EOMONTH(DATE(2026,2,1),0)
 ),
 IF(_xlpm.x=0, "-", _xlpm.x)
)</f>
        <v>-</v>
      </c>
      <c r="AD208" s="56" t="str">
        <f>_xlfn.LET(
 _xlpm.x,
 _xlfn.MAXIFS(
  raw_stack!H$2:H$100000,
  raw_stack!D$2:D$100000, G208,
  raw_stack!F$2:F$100000, "Iya",
  raw_stack!G$2:G$100000, "&gt;="&amp;DATE(2026,2,1),
  raw_stack!G$2:G$100000, "&lt;="&amp;EOMONTH(DATE(2026,2,1),0)
 ),
 IF(OR(_xlpm.x=0, _xlpm.x=""), "-", _xlpm.x)
)</f>
        <v>-</v>
      </c>
      <c r="AE208" s="55" t="str">
        <f>_xlfn.LET(
 _xlpm.x,
 _xlfn.MAXIFS(
  raw_stack!G$2:G$100000,
  raw_stack!D$2:D$100000, G208,
  raw_stack!F$2:F$100000, "Iya",
  raw_stack!G$2:G$100000, "&gt;="&amp;DATE(2026,3,1),
  raw_stack!G$2:G$100000, "&lt;="&amp;EOMONTH(DATE(2026,3,1),0)
 ),
 IF(_xlpm.x=0, "-", _xlpm.x)
)</f>
        <v>-</v>
      </c>
      <c r="AF208" s="56" t="str">
        <f>_xlfn.LET(
 _xlpm.x,
 _xlfn.MAXIFS(
  raw_stack!H$2:H$100000,
  raw_stack!D$2:D$100000, G208,
  raw_stack!F$2:F$100000, "Iya",
  raw_stack!G$2:G$100000, "&gt;="&amp;DATE(2026,3,1),
  raw_stack!G$2:G$100000, "&lt;="&amp;EOMONTH(DATE(2026,3,1),0)
 ),
 IF(OR(_xlpm.x=0, _xlpm.x=""), "-", _xlpm.x)
)</f>
        <v>-</v>
      </c>
      <c r="AG208" s="55">
        <f>_xlfn.LET(
 _xlpm.x,
 _xlfn.MAXIFS(
  raw_stack!G$2:G$100000,
  raw_stack!D$2:D$100000, G208,
  raw_stack!F$2:F$100000, "Iya",
  raw_stack!G$2:G$100000, "&gt;="&amp;DATE(2026,4,1),
  raw_stack!G$2:G$100000, "&lt;="&amp;EOMONTH(DATE(2026,4,1),0)
 ),
 IF(_xlpm.x=0, "-", _xlpm.x)
)</f>
        <v>46129</v>
      </c>
      <c r="AH208" s="56">
        <f>_xlfn.LET(
 _xlpm.x,
 _xlfn.MAXIFS(
  raw_stack!H$2:H$100000,
  raw_stack!D$2:D$100000, G208,
  raw_stack!F$2:F$100000, "Iya",
  raw_stack!G$2:G$100000, "&gt;="&amp;DATE(2026,4,1),
  raw_stack!G$2:G$100000, "&lt;="&amp;EOMONTH(DATE(2026,4,1),0)
 ),
 IF(OR(_xlpm.x=0, _xlpm.x=""), "-", _xlpm.x)
)</f>
        <v>18385</v>
      </c>
    </row>
    <row r="209" spans="1:34">
      <c r="A209" s="48">
        <v>208</v>
      </c>
      <c r="B209" s="49" t="str">
        <f t="shared" si="3"/>
        <v>56143</v>
      </c>
      <c r="C209" s="50" t="s">
        <v>46</v>
      </c>
      <c r="D209" s="51" t="s">
        <v>634</v>
      </c>
      <c r="E209" s="51" t="s">
        <v>54</v>
      </c>
      <c r="F209" s="49" t="s">
        <v>117</v>
      </c>
      <c r="G209" s="49" t="s">
        <v>325</v>
      </c>
      <c r="H209" s="49" t="s">
        <v>48</v>
      </c>
      <c r="I209" s="49" t="s">
        <v>52</v>
      </c>
      <c r="J209" s="52">
        <v>7021700</v>
      </c>
      <c r="K209" s="53">
        <v>45697</v>
      </c>
      <c r="L209" s="53">
        <v>46791</v>
      </c>
      <c r="M209" s="53">
        <v>46061</v>
      </c>
      <c r="N209" s="49" t="s">
        <v>50</v>
      </c>
      <c r="O209" s="54">
        <f>_xlfn.LET(
 _xlpm.x,
 _xlfn.MAXIFS(
  raw_stack!G$2:G$100000,
  raw_stack!D$2:D$100000, G209,
  raw_stack!F$2:F$100000, "Iya",
  raw_stack!G$2:G$100000, "&gt;="&amp;DATE(2025,7,1),
  raw_stack!G$2:G$100000, "&lt;="&amp;EOMONTH(DATE(2025,7,1),0)
 ),
 IF(_xlpm.x=0, "-", _xlpm.x)
)</f>
        <v>45867</v>
      </c>
      <c r="P209" s="65">
        <f>_xlfn.LET(
 _xlpm.x,
 _xlfn.MAXIFS(
  raw_stack!H$2:H$100000,
  raw_stack!D$2:D$100000, G209,
  raw_stack!F$2:F$100000, "Iya",
  raw_stack!G$2:G$100000, "&gt;="&amp;DATE(2025,7,1),
  raw_stack!G$2:G$100000, "&lt;="&amp;EOMONTH(DATE(2025,7,1),0)
 ),
 IF(OR(_xlpm.x=0, _xlpm.x=""), "-", _xlpm.x)
)</f>
        <v>9969</v>
      </c>
      <c r="Q209" s="54">
        <f>_xlfn.LET(
 _xlpm.x,
 _xlfn.MAXIFS(
  raw_stack!G$2:G$99411,
  raw_stack!D$2:D$99411, G209,
  raw_stack!F$2:F$99411, "Iya",
  raw_stack!G$2:G$99411, "&gt;="&amp;DATE(2025,8,1),
  raw_stack!G$2:G$99411, "&lt;="&amp;EOMONTH(DATE(2025,8,1),0)
 ),
 IF(_xlpm.x=0, "-", _xlpm.x)
)</f>
        <v>45874</v>
      </c>
      <c r="R209" s="65">
        <f>_xlfn.LET(
 _xlpm.x,
 _xlfn.MAXIFS(
  raw_stack!H$2:H$100000,
  raw_stack!D$2:D$100000, G209,
  raw_stack!F$2:F$100000, "Iya",
  raw_stack!G$2:G$100000, "&gt;="&amp;DATE(2025,8,1),
  raw_stack!G$2:G$100000, "&lt;="&amp;EOMONTH(DATE(2025,8,1),0)
 ),
 IF(OR(_xlpm.x=0, _xlpm.x=""), "-", _xlpm.x)
)</f>
        <v>17051</v>
      </c>
      <c r="S209" s="54" t="str">
        <f>_xlfn.LET(
 _xlpm.x,
 _xlfn.MAXIFS(
  raw_stack!G$2:G$99411,
  raw_stack!D$2:D$99411, G209,
  raw_stack!F$2:F$99411, "Iya",
  raw_stack!G$2:G$99411, "&gt;="&amp;DATE(2025,9,1),
  raw_stack!G$2:G$99411, "&lt;="&amp;EOMONTH(DATE(2025,9,1),0)
 ),
 IF(_xlpm.x=0, "-", _xlpm.x)
)</f>
        <v>-</v>
      </c>
      <c r="T209" s="65" t="str">
        <f>_xlfn.LET(
 _xlpm.x,
 _xlfn.MAXIFS(
  raw_stack!H$2:H$100000,
  raw_stack!D$2:D$100000, G209,
  raw_stack!F$2:F$100000, "Iya",
  raw_stack!G$2:G$100000, "&gt;="&amp;DATE(2025,9,1),
  raw_stack!G$2:G$100000, "&lt;="&amp;EOMONTH(DATE(2025,9,1),0)
 ),
 IF(OR(_xlpm.x=0, _xlpm.x=""), "-", _xlpm.x)
)</f>
        <v>-</v>
      </c>
      <c r="U209" s="54" t="str">
        <f>_xlfn.LET(
 _xlpm.x,
 _xlfn.MAXIFS(
  raw_stack!G$2:G$99411,
  raw_stack!D$2:D$99411, G209,
  raw_stack!F$2:F$99411, "Iya",
  raw_stack!G$2:G$99411, "&gt;="&amp;DATE(2025,10,1),
  raw_stack!G$2:G$99411, "&lt;="&amp;EOMONTH(DATE(2025,10,1),0)
 ),
 IF(_xlpm.x=0, "-", _xlpm.x)
)</f>
        <v>-</v>
      </c>
      <c r="V209" s="65" t="str">
        <f>_xlfn.LET(
 _xlpm.x,
 _xlfn.MAXIFS(
  raw_stack!H$2:H$100000,
  raw_stack!D$2:D$100000, G209,
  raw_stack!F$2:F$100000, "Iya",
  raw_stack!G$2:G$100000, "&gt;="&amp;DATE(2025,10,1),
  raw_stack!G$2:G$100000, "&lt;="&amp;EOMONTH(DATE(2025,10,1),0)
 ),
 IF(OR(_xlpm.x=0, _xlpm.x=""), "-", _xlpm.x)
)</f>
        <v>-</v>
      </c>
      <c r="W209" s="55" t="str">
        <f>_xlfn.LET(
 _xlpm.x,
 _xlfn.MAXIFS(
  raw_stack!G$2:G$99411,
  raw_stack!D$2:D$99411, G209,
  raw_stack!F$2:F$99411, "Iya",
  raw_stack!G$2:G$99411, "&gt;="&amp;DATE(2025,11,1),
  raw_stack!G$2:G$99411, "&lt;="&amp;EOMONTH(DATE(2025,11,1),0)
 ),
 IF(_xlpm.x=0, "-", _xlpm.x)
)</f>
        <v>-</v>
      </c>
      <c r="X209" s="56" t="str">
        <f>_xlfn.LET(
 _xlpm.x,
 _xlfn.MAXIFS(
  raw_stack!H$2:H$100000,
  raw_stack!D$2:D$100000, G209,
  raw_stack!F$2:F$100000, "Iya",
  raw_stack!G$2:G$100000, "&gt;="&amp;DATE(2025,11,1),
  raw_stack!G$2:G$100000, "&lt;="&amp;EOMONTH(DATE(2025,11,1),0)
 ),
 IF(OR(_xlpm.x=0, _xlpm.x=""), "-", _xlpm.x)
)</f>
        <v>-</v>
      </c>
      <c r="Y209" s="55" t="str">
        <f>_xlfn.LET(
 _xlpm.x,
 _xlfn.MAXIFS(
  raw_stack!G$2:G$99411,
  raw_stack!D$2:D$99411, G209,
  raw_stack!F$2:F$99411, "Iya",
  raw_stack!G$2:G$99411, "&gt;="&amp;DATE(2025,12,1),
  raw_stack!G$2:G$99411, "&lt;="&amp;EOMONTH(DATE(2025,12,1),0)
 ),
 IF(_xlpm.x=0, "-", _xlpm.x)
)</f>
        <v>-</v>
      </c>
      <c r="Z209" s="56" t="str">
        <f>_xlfn.LET(
 _xlpm.x,
 _xlfn.MAXIFS(
  raw_stack!H$2:H$100000,
  raw_stack!D$2:D$100000, G209,
  raw_stack!F$2:F$100000, "Iya",
  raw_stack!G$2:G$100000, "&gt;="&amp;DATE(2025,12,1),
  raw_stack!G$2:G$100000, "&lt;="&amp;EOMONTH(DATE(2025,12,1),0)
 ),
 IF(OR(_xlpm.x=0, _xlpm.x=""), "-", _xlpm.x)
)</f>
        <v>-</v>
      </c>
      <c r="AA209" s="55" t="str">
        <f>_xlfn.LET(
 _xlpm.x,
 _xlfn.MAXIFS(
  raw_stack!G$2:G$99411,
  raw_stack!D$2:D$99411, G209,
  raw_stack!F$2:F$99411, "Iya",
  raw_stack!G$2:G$99411, "&gt;="&amp;DATE(2026,1,1),
  raw_stack!G$2:G$99411, "&lt;="&amp;EOMONTH(DATE(2026,1,1),0)
 ),
 IF(_xlpm.x=0, "-", _xlpm.x)
)</f>
        <v>-</v>
      </c>
      <c r="AB209" s="56" t="str">
        <f>_xlfn.LET(
 _xlpm.x,
 _xlfn.MAXIFS(
  raw_stack!H$2:H$100000,
  raw_stack!D$2:D$100000, G209,
  raw_stack!F$2:F$100000, "Iya",
  raw_stack!G$2:G$100000, "&gt;="&amp;DATE(2026,1,1),
  raw_stack!G$2:G$100000, "&lt;="&amp;EOMONTH(DATE(2026,1,1),0)
 ),
 IF(OR(_xlpm.x=0, _xlpm.x=""), "-", _xlpm.x)
)</f>
        <v>-</v>
      </c>
      <c r="AC209" s="55" t="str">
        <f>_xlfn.LET(
 _xlpm.x,
 _xlfn.MAXIFS(
  raw_stack!G$2:G$99411,
  raw_stack!D$2:D$99411, G209,
  raw_stack!F$2:F$99411, "Iya",
  raw_stack!G$2:G$99411, "&gt;="&amp;DATE(2026,2,1),
  raw_stack!G$2:G$99411, "&lt;="&amp;EOMONTH(DATE(2026,2,1),0)
 ),
 IF(_xlpm.x=0, "-", _xlpm.x)
)</f>
        <v>-</v>
      </c>
      <c r="AD209" s="56" t="str">
        <f>_xlfn.LET(
 _xlpm.x,
 _xlfn.MAXIFS(
  raw_stack!H$2:H$100000,
  raw_stack!D$2:D$100000, G209,
  raw_stack!F$2:F$100000, "Iya",
  raw_stack!G$2:G$100000, "&gt;="&amp;DATE(2026,2,1),
  raw_stack!G$2:G$100000, "&lt;="&amp;EOMONTH(DATE(2026,2,1),0)
 ),
 IF(OR(_xlpm.x=0, _xlpm.x=""), "-", _xlpm.x)
)</f>
        <v>-</v>
      </c>
      <c r="AE209" s="55">
        <f>_xlfn.LET(
 _xlpm.x,
 _xlfn.MAXIFS(
  raw_stack!G$2:G$100000,
  raw_stack!D$2:D$100000, G209,
  raw_stack!F$2:F$100000, "Iya",
  raw_stack!G$2:G$100000, "&gt;="&amp;DATE(2026,3,1),
  raw_stack!G$2:G$100000, "&lt;="&amp;EOMONTH(DATE(2026,3,1),0)
 ),
 IF(_xlpm.x=0, "-", _xlpm.x)
)</f>
        <v>46087</v>
      </c>
      <c r="AF209" s="56">
        <f>_xlfn.LET(
 _xlpm.x,
 _xlfn.MAXIFS(
  raw_stack!H$2:H$100000,
  raw_stack!D$2:D$100000, G209,
  raw_stack!F$2:F$100000, "Iya",
  raw_stack!G$2:G$100000, "&gt;="&amp;DATE(2026,3,1),
  raw_stack!G$2:G$100000, "&lt;="&amp;EOMONTH(DATE(2026,3,1),0)
 ),
 IF(OR(_xlpm.x=0, _xlpm.x=""), "-", _xlpm.x)
)</f>
        <v>21609</v>
      </c>
      <c r="AG209" s="55" t="str">
        <f>_xlfn.LET(
 _xlpm.x,
 _xlfn.MAXIFS(
  raw_stack!G$2:G$100000,
  raw_stack!D$2:D$100000, G209,
  raw_stack!F$2:F$100000, "Iya",
  raw_stack!G$2:G$100000, "&gt;="&amp;DATE(2026,4,1),
  raw_stack!G$2:G$100000, "&lt;="&amp;EOMONTH(DATE(2026,4,1),0)
 ),
 IF(_xlpm.x=0, "-", _xlpm.x)
)</f>
        <v>-</v>
      </c>
      <c r="AH209" s="56" t="str">
        <f>_xlfn.LET(
 _xlpm.x,
 _xlfn.MAXIFS(
  raw_stack!H$2:H$100000,
  raw_stack!D$2:D$100000, G209,
  raw_stack!F$2:F$100000, "Iya",
  raw_stack!G$2:G$100000, "&gt;="&amp;DATE(2026,4,1),
  raw_stack!G$2:G$100000, "&lt;="&amp;EOMONTH(DATE(2026,4,1),0)
 ),
 IF(OR(_xlpm.x=0, _xlpm.x=""), "-", _xlpm.x)
)</f>
        <v>-</v>
      </c>
    </row>
    <row r="210" spans="1:34">
      <c r="A210" s="48">
        <v>209</v>
      </c>
      <c r="B210" s="49" t="str">
        <f t="shared" si="3"/>
        <v>19260</v>
      </c>
      <c r="C210" s="50" t="s">
        <v>46</v>
      </c>
      <c r="D210" s="51" t="s">
        <v>635</v>
      </c>
      <c r="E210" s="51" t="s">
        <v>56</v>
      </c>
      <c r="F210" s="49" t="s">
        <v>117</v>
      </c>
      <c r="G210" s="49" t="s">
        <v>326</v>
      </c>
      <c r="H210" s="49" t="s">
        <v>48</v>
      </c>
      <c r="I210" s="49" t="s">
        <v>52</v>
      </c>
      <c r="J210" s="52">
        <v>7310000</v>
      </c>
      <c r="K210" s="53">
        <v>45702</v>
      </c>
      <c r="L210" s="53">
        <v>46796</v>
      </c>
      <c r="M210" s="53">
        <v>46066</v>
      </c>
      <c r="N210" s="49" t="s">
        <v>50</v>
      </c>
      <c r="O210" s="54">
        <f>_xlfn.LET(
 _xlpm.x,
 _xlfn.MAXIFS(
  raw_stack!G$2:G$100000,
  raw_stack!D$2:D$100000, G210,
  raw_stack!F$2:F$100000, "Iya",
  raw_stack!G$2:G$100000, "&gt;="&amp;DATE(2025,7,1),
  raw_stack!G$2:G$100000, "&lt;="&amp;EOMONTH(DATE(2025,7,1),0)
 ),
 IF(_xlpm.x=0, "-", _xlpm.x)
)</f>
        <v>45864</v>
      </c>
      <c r="P210" s="65">
        <f>_xlfn.LET(
 _xlpm.x,
 _xlfn.MAXIFS(
  raw_stack!H$2:H$100000,
  raw_stack!D$2:D$100000, G210,
  raw_stack!F$2:F$100000, "Iya",
  raw_stack!G$2:G$100000, "&gt;="&amp;DATE(2025,7,1),
  raw_stack!G$2:G$100000, "&lt;="&amp;EOMONTH(DATE(2025,7,1),0)
 ),
 IF(OR(_xlpm.x=0, _xlpm.x=""), "-", _xlpm.x)
)</f>
        <v>27346</v>
      </c>
      <c r="Q210" s="54" t="str">
        <f>_xlfn.LET(
 _xlpm.x,
 _xlfn.MAXIFS(
  raw_stack!G$2:G$99411,
  raw_stack!D$2:D$99411, G210,
  raw_stack!F$2:F$99411, "Iya",
  raw_stack!G$2:G$99411, "&gt;="&amp;DATE(2025,8,1),
  raw_stack!G$2:G$99411, "&lt;="&amp;EOMONTH(DATE(2025,8,1),0)
 ),
 IF(_xlpm.x=0, "-", _xlpm.x)
)</f>
        <v>-</v>
      </c>
      <c r="R210" s="65" t="str">
        <f>_xlfn.LET(
 _xlpm.x,
 _xlfn.MAXIFS(
  raw_stack!H$2:H$100000,
  raw_stack!D$2:D$100000, G210,
  raw_stack!F$2:F$100000, "Iya",
  raw_stack!G$2:G$100000, "&gt;="&amp;DATE(2025,8,1),
  raw_stack!G$2:G$100000, "&lt;="&amp;EOMONTH(DATE(2025,8,1),0)
 ),
 IF(OR(_xlpm.x=0, _xlpm.x=""), "-", _xlpm.x)
)</f>
        <v>-</v>
      </c>
      <c r="S210" s="54" t="str">
        <f>_xlfn.LET(
 _xlpm.x,
 _xlfn.MAXIFS(
  raw_stack!G$2:G$99411,
  raw_stack!D$2:D$99411, G210,
  raw_stack!F$2:F$99411, "Iya",
  raw_stack!G$2:G$99411, "&gt;="&amp;DATE(2025,9,1),
  raw_stack!G$2:G$99411, "&lt;="&amp;EOMONTH(DATE(2025,9,1),0)
 ),
 IF(_xlpm.x=0, "-", _xlpm.x)
)</f>
        <v>-</v>
      </c>
      <c r="T210" s="65" t="str">
        <f>_xlfn.LET(
 _xlpm.x,
 _xlfn.MAXIFS(
  raw_stack!H$2:H$100000,
  raw_stack!D$2:D$100000, G210,
  raw_stack!F$2:F$100000, "Iya",
  raw_stack!G$2:G$100000, "&gt;="&amp;DATE(2025,9,1),
  raw_stack!G$2:G$100000, "&lt;="&amp;EOMONTH(DATE(2025,9,1),0)
 ),
 IF(OR(_xlpm.x=0, _xlpm.x=""), "-", _xlpm.x)
)</f>
        <v>-</v>
      </c>
      <c r="U210" s="54">
        <f>_xlfn.LET(
 _xlpm.x,
 _xlfn.MAXIFS(
  raw_stack!G$2:G$99411,
  raw_stack!D$2:D$99411, G210,
  raw_stack!F$2:F$99411, "Iya",
  raw_stack!G$2:G$99411, "&gt;="&amp;DATE(2025,10,1),
  raw_stack!G$2:G$99411, "&lt;="&amp;EOMONTH(DATE(2025,10,1),0)
 ),
 IF(_xlpm.x=0, "-", _xlpm.x)
)</f>
        <v>45953</v>
      </c>
      <c r="V210" s="65">
        <f>_xlfn.LET(
 _xlpm.x,
 _xlfn.MAXIFS(
  raw_stack!H$2:H$100000,
  raw_stack!D$2:D$100000, G210,
  raw_stack!F$2:F$100000, "Iya",
  raw_stack!G$2:G$100000, "&gt;="&amp;DATE(2025,10,1),
  raw_stack!G$2:G$100000, "&lt;="&amp;EOMONTH(DATE(2025,10,1),0)
 ),
 IF(OR(_xlpm.x=0, _xlpm.x=""), "-", _xlpm.x)
)</f>
        <v>38184</v>
      </c>
      <c r="W210" s="55" t="str">
        <f>_xlfn.LET(
 _xlpm.x,
 _xlfn.MAXIFS(
  raw_stack!G$2:G$99411,
  raw_stack!D$2:D$99411, G210,
  raw_stack!F$2:F$99411, "Iya",
  raw_stack!G$2:G$99411, "&gt;="&amp;DATE(2025,11,1),
  raw_stack!G$2:G$99411, "&lt;="&amp;EOMONTH(DATE(2025,11,1),0)
 ),
 IF(_xlpm.x=0, "-", _xlpm.x)
)</f>
        <v>-</v>
      </c>
      <c r="X210" s="56" t="str">
        <f>_xlfn.LET(
 _xlpm.x,
 _xlfn.MAXIFS(
  raw_stack!H$2:H$100000,
  raw_stack!D$2:D$100000, G210,
  raw_stack!F$2:F$100000, "Iya",
  raw_stack!G$2:G$100000, "&gt;="&amp;DATE(2025,11,1),
  raw_stack!G$2:G$100000, "&lt;="&amp;EOMONTH(DATE(2025,11,1),0)
 ),
 IF(OR(_xlpm.x=0, _xlpm.x=""), "-", _xlpm.x)
)</f>
        <v>-</v>
      </c>
      <c r="Y210" s="55" t="str">
        <f>_xlfn.LET(
 _xlpm.x,
 _xlfn.MAXIFS(
  raw_stack!G$2:G$99411,
  raw_stack!D$2:D$99411, G210,
  raw_stack!F$2:F$99411, "Iya",
  raw_stack!G$2:G$99411, "&gt;="&amp;DATE(2025,12,1),
  raw_stack!G$2:G$99411, "&lt;="&amp;EOMONTH(DATE(2025,12,1),0)
 ),
 IF(_xlpm.x=0, "-", _xlpm.x)
)</f>
        <v>-</v>
      </c>
      <c r="Z210" s="56" t="str">
        <f>_xlfn.LET(
 _xlpm.x,
 _xlfn.MAXIFS(
  raw_stack!H$2:H$100000,
  raw_stack!D$2:D$100000, G210,
  raw_stack!F$2:F$100000, "Iya",
  raw_stack!G$2:G$100000, "&gt;="&amp;DATE(2025,12,1),
  raw_stack!G$2:G$100000, "&lt;="&amp;EOMONTH(DATE(2025,12,1),0)
 ),
 IF(OR(_xlpm.x=0, _xlpm.x=""), "-", _xlpm.x)
)</f>
        <v>-</v>
      </c>
      <c r="AA210" s="55" t="str">
        <f>_xlfn.LET(
 _xlpm.x,
 _xlfn.MAXIFS(
  raw_stack!G$2:G$99411,
  raw_stack!D$2:D$99411, G210,
  raw_stack!F$2:F$99411, "Iya",
  raw_stack!G$2:G$99411, "&gt;="&amp;DATE(2026,1,1),
  raw_stack!G$2:G$99411, "&lt;="&amp;EOMONTH(DATE(2026,1,1),0)
 ),
 IF(_xlpm.x=0, "-", _xlpm.x)
)</f>
        <v>-</v>
      </c>
      <c r="AB210" s="56" t="str">
        <f>_xlfn.LET(
 _xlpm.x,
 _xlfn.MAXIFS(
  raw_stack!H$2:H$100000,
  raw_stack!D$2:D$100000, G210,
  raw_stack!F$2:F$100000, "Iya",
  raw_stack!G$2:G$100000, "&gt;="&amp;DATE(2026,1,1),
  raw_stack!G$2:G$100000, "&lt;="&amp;EOMONTH(DATE(2026,1,1),0)
 ),
 IF(OR(_xlpm.x=0, _xlpm.x=""), "-", _xlpm.x)
)</f>
        <v>-</v>
      </c>
      <c r="AC210" s="55">
        <f>_xlfn.LET(
 _xlpm.x,
 _xlfn.MAXIFS(
  raw_stack!G$2:G$99411,
  raw_stack!D$2:D$99411, G210,
  raw_stack!F$2:F$99411, "Iya",
  raw_stack!G$2:G$99411, "&gt;="&amp;DATE(2026,2,1),
  raw_stack!G$2:G$99411, "&lt;="&amp;EOMONTH(DATE(2026,2,1),0)
 ),
 IF(_xlpm.x=0, "-", _xlpm.x)
)</f>
        <v>46065</v>
      </c>
      <c r="AD210" s="56">
        <f>_xlfn.LET(
 _xlpm.x,
 _xlfn.MAXIFS(
  raw_stack!H$2:H$100000,
  raw_stack!D$2:D$100000, G210,
  raw_stack!F$2:F$100000, "Iya",
  raw_stack!G$2:G$100000, "&gt;="&amp;DATE(2026,2,1),
  raw_stack!G$2:G$100000, "&lt;="&amp;EOMONTH(DATE(2026,2,1),0)
 ),
 IF(OR(_xlpm.x=0, _xlpm.x=""), "-", _xlpm.x)
)</f>
        <v>41775</v>
      </c>
      <c r="AE210" s="55" t="str">
        <f>_xlfn.LET(
 _xlpm.x,
 _xlfn.MAXIFS(
  raw_stack!G$2:G$100000,
  raw_stack!D$2:D$100000, G210,
  raw_stack!F$2:F$100000, "Iya",
  raw_stack!G$2:G$100000, "&gt;="&amp;DATE(2026,3,1),
  raw_stack!G$2:G$100000, "&lt;="&amp;EOMONTH(DATE(2026,3,1),0)
 ),
 IF(_xlpm.x=0, "-", _xlpm.x)
)</f>
        <v>-</v>
      </c>
      <c r="AF210" s="56" t="str">
        <f>_xlfn.LET(
 _xlpm.x,
 _xlfn.MAXIFS(
  raw_stack!H$2:H$100000,
  raw_stack!D$2:D$100000, G210,
  raw_stack!F$2:F$100000, "Iya",
  raw_stack!G$2:G$100000, "&gt;="&amp;DATE(2026,3,1),
  raw_stack!G$2:G$100000, "&lt;="&amp;EOMONTH(DATE(2026,3,1),0)
 ),
 IF(OR(_xlpm.x=0, _xlpm.x=""), "-", _xlpm.x)
)</f>
        <v>-</v>
      </c>
      <c r="AG210" s="55" t="str">
        <f>_xlfn.LET(
 _xlpm.x,
 _xlfn.MAXIFS(
  raw_stack!G$2:G$100000,
  raw_stack!D$2:D$100000, G210,
  raw_stack!F$2:F$100000, "Iya",
  raw_stack!G$2:G$100000, "&gt;="&amp;DATE(2026,4,1),
  raw_stack!G$2:G$100000, "&lt;="&amp;EOMONTH(DATE(2026,4,1),0)
 ),
 IF(_xlpm.x=0, "-", _xlpm.x)
)</f>
        <v>-</v>
      </c>
      <c r="AH210" s="56" t="str">
        <f>_xlfn.LET(
 _xlpm.x,
 _xlfn.MAXIFS(
  raw_stack!H$2:H$100000,
  raw_stack!D$2:D$100000, G210,
  raw_stack!F$2:F$100000, "Iya",
  raw_stack!G$2:G$100000, "&gt;="&amp;DATE(2026,4,1),
  raw_stack!G$2:G$100000, "&lt;="&amp;EOMONTH(DATE(2026,4,1),0)
 ),
 IF(OR(_xlpm.x=0, _xlpm.x=""), "-", _xlpm.x)
)</f>
        <v>-</v>
      </c>
    </row>
    <row r="211" spans="1:34">
      <c r="A211" s="48">
        <v>210</v>
      </c>
      <c r="B211" s="49" t="str">
        <f t="shared" si="3"/>
        <v>66820</v>
      </c>
      <c r="C211" s="50" t="s">
        <v>46</v>
      </c>
      <c r="D211" s="51" t="s">
        <v>536</v>
      </c>
      <c r="E211" s="51" t="s">
        <v>51</v>
      </c>
      <c r="F211" s="49" t="s">
        <v>117</v>
      </c>
      <c r="G211" s="49" t="s">
        <v>327</v>
      </c>
      <c r="H211" s="49" t="s">
        <v>48</v>
      </c>
      <c r="I211" s="49" t="s">
        <v>52</v>
      </c>
      <c r="J211" s="52">
        <v>3880000</v>
      </c>
      <c r="K211" s="53">
        <v>45703</v>
      </c>
      <c r="L211" s="53">
        <v>46797</v>
      </c>
      <c r="M211" s="53">
        <v>46095</v>
      </c>
      <c r="N211" s="49" t="s">
        <v>50</v>
      </c>
      <c r="O211" s="54" t="str">
        <f>_xlfn.LET(
 _xlpm.x,
 _xlfn.MAXIFS(
  raw_stack!G$2:G$100000,
  raw_stack!D$2:D$100000, G211,
  raw_stack!F$2:F$100000, "Iya",
  raw_stack!G$2:G$100000, "&gt;="&amp;DATE(2025,7,1),
  raw_stack!G$2:G$100000, "&lt;="&amp;EOMONTH(DATE(2025,7,1),0)
 ),
 IF(_xlpm.x=0, "-", _xlpm.x)
)</f>
        <v>-</v>
      </c>
      <c r="P211" s="65" t="str">
        <f>_xlfn.LET(
 _xlpm.x,
 _xlfn.MAXIFS(
  raw_stack!H$2:H$100000,
  raw_stack!D$2:D$100000, G211,
  raw_stack!F$2:F$100000, "Iya",
  raw_stack!G$2:G$100000, "&gt;="&amp;DATE(2025,7,1),
  raw_stack!G$2:G$100000, "&lt;="&amp;EOMONTH(DATE(2025,7,1),0)
 ),
 IF(OR(_xlpm.x=0, _xlpm.x=""), "-", _xlpm.x)
)</f>
        <v>-</v>
      </c>
      <c r="Q211" s="54">
        <f>_xlfn.LET(
 _xlpm.x,
 _xlfn.MAXIFS(
  raw_stack!G$2:G$99411,
  raw_stack!D$2:D$99411, G211,
  raw_stack!F$2:F$99411, "Iya",
  raw_stack!G$2:G$99411, "&gt;="&amp;DATE(2025,8,1),
  raw_stack!G$2:G$99411, "&lt;="&amp;EOMONTH(DATE(2025,8,1),0)
 ),
 IF(_xlpm.x=0, "-", _xlpm.x)
)</f>
        <v>45882</v>
      </c>
      <c r="R211" s="65">
        <f>_xlfn.LET(
 _xlpm.x,
 _xlfn.MAXIFS(
  raw_stack!H$2:H$100000,
  raw_stack!D$2:D$100000, G211,
  raw_stack!F$2:F$100000, "Iya",
  raw_stack!G$2:G$100000, "&gt;="&amp;DATE(2025,8,1),
  raw_stack!G$2:G$100000, "&lt;="&amp;EOMONTH(DATE(2025,8,1),0)
 ),
 IF(OR(_xlpm.x=0, _xlpm.x=""), "-", _xlpm.x)
)</f>
        <v>18372</v>
      </c>
      <c r="S211" s="54" t="str">
        <f>_xlfn.LET(
 _xlpm.x,
 _xlfn.MAXIFS(
  raw_stack!G$2:G$99411,
  raw_stack!D$2:D$99411, G211,
  raw_stack!F$2:F$99411, "Iya",
  raw_stack!G$2:G$99411, "&gt;="&amp;DATE(2025,9,1),
  raw_stack!G$2:G$99411, "&lt;="&amp;EOMONTH(DATE(2025,9,1),0)
 ),
 IF(_xlpm.x=0, "-", _xlpm.x)
)</f>
        <v>-</v>
      </c>
      <c r="T211" s="65" t="str">
        <f>_xlfn.LET(
 _xlpm.x,
 _xlfn.MAXIFS(
  raw_stack!H$2:H$100000,
  raw_stack!D$2:D$100000, G211,
  raw_stack!F$2:F$100000, "Iya",
  raw_stack!G$2:G$100000, "&gt;="&amp;DATE(2025,9,1),
  raw_stack!G$2:G$100000, "&lt;="&amp;EOMONTH(DATE(2025,9,1),0)
 ),
 IF(OR(_xlpm.x=0, _xlpm.x=""), "-", _xlpm.x)
)</f>
        <v>-</v>
      </c>
      <c r="U211" s="54" t="str">
        <f>_xlfn.LET(
 _xlpm.x,
 _xlfn.MAXIFS(
  raw_stack!G$2:G$99411,
  raw_stack!D$2:D$99411, G211,
  raw_stack!F$2:F$99411, "Iya",
  raw_stack!G$2:G$99411, "&gt;="&amp;DATE(2025,10,1),
  raw_stack!G$2:G$99411, "&lt;="&amp;EOMONTH(DATE(2025,10,1),0)
 ),
 IF(_xlpm.x=0, "-", _xlpm.x)
)</f>
        <v>-</v>
      </c>
      <c r="V211" s="65" t="str">
        <f>_xlfn.LET(
 _xlpm.x,
 _xlfn.MAXIFS(
  raw_stack!H$2:H$100000,
  raw_stack!D$2:D$100000, G211,
  raw_stack!F$2:F$100000, "Iya",
  raw_stack!G$2:G$100000, "&gt;="&amp;DATE(2025,10,1),
  raw_stack!G$2:G$100000, "&lt;="&amp;EOMONTH(DATE(2025,10,1),0)
 ),
 IF(OR(_xlpm.x=0, _xlpm.x=""), "-", _xlpm.x)
)</f>
        <v>-</v>
      </c>
      <c r="W211" s="55" t="str">
        <f>_xlfn.LET(
 _xlpm.x,
 _xlfn.MAXIFS(
  raw_stack!G$2:G$99411,
  raw_stack!D$2:D$99411, G211,
  raw_stack!F$2:F$99411, "Iya",
  raw_stack!G$2:G$99411, "&gt;="&amp;DATE(2025,11,1),
  raw_stack!G$2:G$99411, "&lt;="&amp;EOMONTH(DATE(2025,11,1),0)
 ),
 IF(_xlpm.x=0, "-", _xlpm.x)
)</f>
        <v>-</v>
      </c>
      <c r="X211" s="56" t="str">
        <f>_xlfn.LET(
 _xlpm.x,
 _xlfn.MAXIFS(
  raw_stack!H$2:H$100000,
  raw_stack!D$2:D$100000, G211,
  raw_stack!F$2:F$100000, "Iya",
  raw_stack!G$2:G$100000, "&gt;="&amp;DATE(2025,11,1),
  raw_stack!G$2:G$100000, "&lt;="&amp;EOMONTH(DATE(2025,11,1),0)
 ),
 IF(OR(_xlpm.x=0, _xlpm.x=""), "-", _xlpm.x)
)</f>
        <v>-</v>
      </c>
      <c r="Y211" s="55" t="str">
        <f>_xlfn.LET(
 _xlpm.x,
 _xlfn.MAXIFS(
  raw_stack!G$2:G$99411,
  raw_stack!D$2:D$99411, G211,
  raw_stack!F$2:F$99411, "Iya",
  raw_stack!G$2:G$99411, "&gt;="&amp;DATE(2025,12,1),
  raw_stack!G$2:G$99411, "&lt;="&amp;EOMONTH(DATE(2025,12,1),0)
 ),
 IF(_xlpm.x=0, "-", _xlpm.x)
)</f>
        <v>-</v>
      </c>
      <c r="Z211" s="56" t="str">
        <f>_xlfn.LET(
 _xlpm.x,
 _xlfn.MAXIFS(
  raw_stack!H$2:H$100000,
  raw_stack!D$2:D$100000, G211,
  raw_stack!F$2:F$100000, "Iya",
  raw_stack!G$2:G$100000, "&gt;="&amp;DATE(2025,12,1),
  raw_stack!G$2:G$100000, "&lt;="&amp;EOMONTH(DATE(2025,12,1),0)
 ),
 IF(OR(_xlpm.x=0, _xlpm.x=""), "-", _xlpm.x)
)</f>
        <v>-</v>
      </c>
      <c r="AA211" s="55">
        <f>_xlfn.LET(
 _xlpm.x,
 _xlfn.MAXIFS(
  raw_stack!G$2:G$99411,
  raw_stack!D$2:D$99411, G211,
  raw_stack!F$2:F$99411, "Iya",
  raw_stack!G$2:G$99411, "&gt;="&amp;DATE(2026,1,1),
  raw_stack!G$2:G$99411, "&lt;="&amp;EOMONTH(DATE(2026,1,1),0)
 ),
 IF(_xlpm.x=0, "-", _xlpm.x)
)</f>
        <v>46048</v>
      </c>
      <c r="AB211" s="56">
        <f>_xlfn.LET(
 _xlpm.x,
 _xlfn.MAXIFS(
  raw_stack!H$2:H$100000,
  raw_stack!D$2:D$100000, G211,
  raw_stack!F$2:F$100000, "Iya",
  raw_stack!G$2:G$100000, "&gt;="&amp;DATE(2026,1,1),
  raw_stack!G$2:G$100000, "&lt;="&amp;EOMONTH(DATE(2026,1,1),0)
 ),
 IF(OR(_xlpm.x=0, _xlpm.x=""), "-", _xlpm.x)
)</f>
        <v>24312</v>
      </c>
      <c r="AC211" s="55" t="str">
        <f>_xlfn.LET(
 _xlpm.x,
 _xlfn.MAXIFS(
  raw_stack!G$2:G$99411,
  raw_stack!D$2:D$99411, G211,
  raw_stack!F$2:F$99411, "Iya",
  raw_stack!G$2:G$99411, "&gt;="&amp;DATE(2026,2,1),
  raw_stack!G$2:G$99411, "&lt;="&amp;EOMONTH(DATE(2026,2,1),0)
 ),
 IF(_xlpm.x=0, "-", _xlpm.x)
)</f>
        <v>-</v>
      </c>
      <c r="AD211" s="56" t="str">
        <f>_xlfn.LET(
 _xlpm.x,
 _xlfn.MAXIFS(
  raw_stack!H$2:H$100000,
  raw_stack!D$2:D$100000, G211,
  raw_stack!F$2:F$100000, "Iya",
  raw_stack!G$2:G$100000, "&gt;="&amp;DATE(2026,2,1),
  raw_stack!G$2:G$100000, "&lt;="&amp;EOMONTH(DATE(2026,2,1),0)
 ),
 IF(OR(_xlpm.x=0, _xlpm.x=""), "-", _xlpm.x)
)</f>
        <v>-</v>
      </c>
      <c r="AE211" s="55" t="str">
        <f>_xlfn.LET(
 _xlpm.x,
 _xlfn.MAXIFS(
  raw_stack!G$2:G$100000,
  raw_stack!D$2:D$100000, G211,
  raw_stack!F$2:F$100000, "Iya",
  raw_stack!G$2:G$100000, "&gt;="&amp;DATE(2026,3,1),
  raw_stack!G$2:G$100000, "&lt;="&amp;EOMONTH(DATE(2026,3,1),0)
 ),
 IF(_xlpm.x=0, "-", _xlpm.x)
)</f>
        <v>-</v>
      </c>
      <c r="AF211" s="56" t="str">
        <f>_xlfn.LET(
 _xlpm.x,
 _xlfn.MAXIFS(
  raw_stack!H$2:H$100000,
  raw_stack!D$2:D$100000, G211,
  raw_stack!F$2:F$100000, "Iya",
  raw_stack!G$2:G$100000, "&gt;="&amp;DATE(2026,3,1),
  raw_stack!G$2:G$100000, "&lt;="&amp;EOMONTH(DATE(2026,3,1),0)
 ),
 IF(OR(_xlpm.x=0, _xlpm.x=""), "-", _xlpm.x)
)</f>
        <v>-</v>
      </c>
      <c r="AG211" s="55" t="str">
        <f>_xlfn.LET(
 _xlpm.x,
 _xlfn.MAXIFS(
  raw_stack!G$2:G$100000,
  raw_stack!D$2:D$100000, G211,
  raw_stack!F$2:F$100000, "Iya",
  raw_stack!G$2:G$100000, "&gt;="&amp;DATE(2026,4,1),
  raw_stack!G$2:G$100000, "&lt;="&amp;EOMONTH(DATE(2026,4,1),0)
 ),
 IF(_xlpm.x=0, "-", _xlpm.x)
)</f>
        <v>-</v>
      </c>
      <c r="AH211" s="56" t="str">
        <f>_xlfn.LET(
 _xlpm.x,
 _xlfn.MAXIFS(
  raw_stack!H$2:H$100000,
  raw_stack!D$2:D$100000, G211,
  raw_stack!F$2:F$100000, "Iya",
  raw_stack!G$2:G$100000, "&gt;="&amp;DATE(2026,4,1),
  raw_stack!G$2:G$100000, "&lt;="&amp;EOMONTH(DATE(2026,4,1),0)
 ),
 IF(OR(_xlpm.x=0, _xlpm.x=""), "-", _xlpm.x)
)</f>
        <v>-</v>
      </c>
    </row>
    <row r="212" spans="1:34">
      <c r="A212" s="48">
        <v>211</v>
      </c>
      <c r="B212" s="49" t="str">
        <f t="shared" si="3"/>
        <v>44488</v>
      </c>
      <c r="C212" s="50" t="s">
        <v>46</v>
      </c>
      <c r="D212" s="51" t="s">
        <v>601</v>
      </c>
      <c r="E212" s="51" t="s">
        <v>51</v>
      </c>
      <c r="F212" s="49" t="s">
        <v>117</v>
      </c>
      <c r="G212" s="49" t="s">
        <v>328</v>
      </c>
      <c r="H212" s="49" t="s">
        <v>48</v>
      </c>
      <c r="I212" s="49" t="s">
        <v>52</v>
      </c>
      <c r="J212" s="52">
        <v>3880000</v>
      </c>
      <c r="K212" s="53">
        <v>45710</v>
      </c>
      <c r="L212" s="53">
        <v>46804</v>
      </c>
      <c r="M212" s="53">
        <v>46102</v>
      </c>
      <c r="N212" s="49" t="s">
        <v>50</v>
      </c>
      <c r="O212" s="54">
        <f>_xlfn.LET(
 _xlpm.x,
 _xlfn.MAXIFS(
  raw_stack!G$2:G$100000,
  raw_stack!D$2:D$100000, G212,
  raw_stack!F$2:F$100000, "Iya",
  raw_stack!G$2:G$100000, "&gt;="&amp;DATE(2025,7,1),
  raw_stack!G$2:G$100000, "&lt;="&amp;EOMONTH(DATE(2025,7,1),0)
 ),
 IF(_xlpm.x=0, "-", _xlpm.x)
)</f>
        <v>45842</v>
      </c>
      <c r="P212" s="65">
        <f>_xlfn.LET(
 _xlpm.x,
 _xlfn.MAXIFS(
  raw_stack!H$2:H$100000,
  raw_stack!D$2:D$100000, G212,
  raw_stack!F$2:F$100000, "Iya",
  raw_stack!G$2:G$100000, "&gt;="&amp;DATE(2025,7,1),
  raw_stack!G$2:G$100000, "&lt;="&amp;EOMONTH(DATE(2025,7,1),0)
 ),
 IF(OR(_xlpm.x=0, _xlpm.x=""), "-", _xlpm.x)
)</f>
        <v>3792</v>
      </c>
      <c r="Q212" s="54" t="str">
        <f>_xlfn.LET(
 _xlpm.x,
 _xlfn.MAXIFS(
  raw_stack!G$2:G$99411,
  raw_stack!D$2:D$99411, G212,
  raw_stack!F$2:F$99411, "Iya",
  raw_stack!G$2:G$99411, "&gt;="&amp;DATE(2025,8,1),
  raw_stack!G$2:G$99411, "&lt;="&amp;EOMONTH(DATE(2025,8,1),0)
 ),
 IF(_xlpm.x=0, "-", _xlpm.x)
)</f>
        <v>-</v>
      </c>
      <c r="R212" s="65" t="str">
        <f>_xlfn.LET(
 _xlpm.x,
 _xlfn.MAXIFS(
  raw_stack!H$2:H$100000,
  raw_stack!D$2:D$100000, G212,
  raw_stack!F$2:F$100000, "Iya",
  raw_stack!G$2:G$100000, "&gt;="&amp;DATE(2025,8,1),
  raw_stack!G$2:G$100000, "&lt;="&amp;EOMONTH(DATE(2025,8,1),0)
 ),
 IF(OR(_xlpm.x=0, _xlpm.x=""), "-", _xlpm.x)
)</f>
        <v>-</v>
      </c>
      <c r="S212" s="54" t="str">
        <f>_xlfn.LET(
 _xlpm.x,
 _xlfn.MAXIFS(
  raw_stack!G$2:G$99411,
  raw_stack!D$2:D$99411, G212,
  raw_stack!F$2:F$99411, "Iya",
  raw_stack!G$2:G$99411, "&gt;="&amp;DATE(2025,9,1),
  raw_stack!G$2:G$99411, "&lt;="&amp;EOMONTH(DATE(2025,9,1),0)
 ),
 IF(_xlpm.x=0, "-", _xlpm.x)
)</f>
        <v>-</v>
      </c>
      <c r="T212" s="65" t="str">
        <f>_xlfn.LET(
 _xlpm.x,
 _xlfn.MAXIFS(
  raw_stack!H$2:H$100000,
  raw_stack!D$2:D$100000, G212,
  raw_stack!F$2:F$100000, "Iya",
  raw_stack!G$2:G$100000, "&gt;="&amp;DATE(2025,9,1),
  raw_stack!G$2:G$100000, "&lt;="&amp;EOMONTH(DATE(2025,9,1),0)
 ),
 IF(OR(_xlpm.x=0, _xlpm.x=""), "-", _xlpm.x)
)</f>
        <v>-</v>
      </c>
      <c r="U212" s="54" t="str">
        <f>_xlfn.LET(
 _xlpm.x,
 _xlfn.MAXIFS(
  raw_stack!G$2:G$99411,
  raw_stack!D$2:D$99411, G212,
  raw_stack!F$2:F$99411, "Iya",
  raw_stack!G$2:G$99411, "&gt;="&amp;DATE(2025,10,1),
  raw_stack!G$2:G$99411, "&lt;="&amp;EOMONTH(DATE(2025,10,1),0)
 ),
 IF(_xlpm.x=0, "-", _xlpm.x)
)</f>
        <v>-</v>
      </c>
      <c r="V212" s="65" t="str">
        <f>_xlfn.LET(
 _xlpm.x,
 _xlfn.MAXIFS(
  raw_stack!H$2:H$100000,
  raw_stack!D$2:D$100000, G212,
  raw_stack!F$2:F$100000, "Iya",
  raw_stack!G$2:G$100000, "&gt;="&amp;DATE(2025,10,1),
  raw_stack!G$2:G$100000, "&lt;="&amp;EOMONTH(DATE(2025,10,1),0)
 ),
 IF(OR(_xlpm.x=0, _xlpm.x=""), "-", _xlpm.x)
)</f>
        <v>-</v>
      </c>
      <c r="W212" s="55" t="str">
        <f>_xlfn.LET(
 _xlpm.x,
 _xlfn.MAXIFS(
  raw_stack!G$2:G$99411,
  raw_stack!D$2:D$99411, G212,
  raw_stack!F$2:F$99411, "Iya",
  raw_stack!G$2:G$99411, "&gt;="&amp;DATE(2025,11,1),
  raw_stack!G$2:G$99411, "&lt;="&amp;EOMONTH(DATE(2025,11,1),0)
 ),
 IF(_xlpm.x=0, "-", _xlpm.x)
)</f>
        <v>-</v>
      </c>
      <c r="X212" s="56" t="str">
        <f>_xlfn.LET(
 _xlpm.x,
 _xlfn.MAXIFS(
  raw_stack!H$2:H$100000,
  raw_stack!D$2:D$100000, G212,
  raw_stack!F$2:F$100000, "Iya",
  raw_stack!G$2:G$100000, "&gt;="&amp;DATE(2025,11,1),
  raw_stack!G$2:G$100000, "&lt;="&amp;EOMONTH(DATE(2025,11,1),0)
 ),
 IF(OR(_xlpm.x=0, _xlpm.x=""), "-", _xlpm.x)
)</f>
        <v>-</v>
      </c>
      <c r="Y212" s="55" t="str">
        <f>_xlfn.LET(
 _xlpm.x,
 _xlfn.MAXIFS(
  raw_stack!G$2:G$99411,
  raw_stack!D$2:D$99411, G212,
  raw_stack!F$2:F$99411, "Iya",
  raw_stack!G$2:G$99411, "&gt;="&amp;DATE(2025,12,1),
  raw_stack!G$2:G$99411, "&lt;="&amp;EOMONTH(DATE(2025,12,1),0)
 ),
 IF(_xlpm.x=0, "-", _xlpm.x)
)</f>
        <v>-</v>
      </c>
      <c r="Z212" s="56" t="str">
        <f>_xlfn.LET(
 _xlpm.x,
 _xlfn.MAXIFS(
  raw_stack!H$2:H$100000,
  raw_stack!D$2:D$100000, G212,
  raw_stack!F$2:F$100000, "Iya",
  raw_stack!G$2:G$100000, "&gt;="&amp;DATE(2025,12,1),
  raw_stack!G$2:G$100000, "&lt;="&amp;EOMONTH(DATE(2025,12,1),0)
 ),
 IF(OR(_xlpm.x=0, _xlpm.x=""), "-", _xlpm.x)
)</f>
        <v>-</v>
      </c>
      <c r="AA212" s="55" t="str">
        <f>_xlfn.LET(
 _xlpm.x,
 _xlfn.MAXIFS(
  raw_stack!G$2:G$99411,
  raw_stack!D$2:D$99411, G212,
  raw_stack!F$2:F$99411, "Iya",
  raw_stack!G$2:G$99411, "&gt;="&amp;DATE(2026,1,1),
  raw_stack!G$2:G$99411, "&lt;="&amp;EOMONTH(DATE(2026,1,1),0)
 ),
 IF(_xlpm.x=0, "-", _xlpm.x)
)</f>
        <v>-</v>
      </c>
      <c r="AB212" s="56" t="str">
        <f>_xlfn.LET(
 _xlpm.x,
 _xlfn.MAXIFS(
  raw_stack!H$2:H$100000,
  raw_stack!D$2:D$100000, G212,
  raw_stack!F$2:F$100000, "Iya",
  raw_stack!G$2:G$100000, "&gt;="&amp;DATE(2026,1,1),
  raw_stack!G$2:G$100000, "&lt;="&amp;EOMONTH(DATE(2026,1,1),0)
 ),
 IF(OR(_xlpm.x=0, _xlpm.x=""), "-", _xlpm.x)
)</f>
        <v>-</v>
      </c>
      <c r="AC212" s="55" t="str">
        <f>_xlfn.LET(
 _xlpm.x,
 _xlfn.MAXIFS(
  raw_stack!G$2:G$99411,
  raw_stack!D$2:D$99411, G212,
  raw_stack!F$2:F$99411, "Iya",
  raw_stack!G$2:G$99411, "&gt;="&amp;DATE(2026,2,1),
  raw_stack!G$2:G$99411, "&lt;="&amp;EOMONTH(DATE(2026,2,1),0)
 ),
 IF(_xlpm.x=0, "-", _xlpm.x)
)</f>
        <v>-</v>
      </c>
      <c r="AD212" s="56" t="str">
        <f>_xlfn.LET(
 _xlpm.x,
 _xlfn.MAXIFS(
  raw_stack!H$2:H$100000,
  raw_stack!D$2:D$100000, G212,
  raw_stack!F$2:F$100000, "Iya",
  raw_stack!G$2:G$100000, "&gt;="&amp;DATE(2026,2,1),
  raw_stack!G$2:G$100000, "&lt;="&amp;EOMONTH(DATE(2026,2,1),0)
 ),
 IF(OR(_xlpm.x=0, _xlpm.x=""), "-", _xlpm.x)
)</f>
        <v>-</v>
      </c>
      <c r="AE212" s="55" t="str">
        <f>_xlfn.LET(
 _xlpm.x,
 _xlfn.MAXIFS(
  raw_stack!G$2:G$100000,
  raw_stack!D$2:D$100000, G212,
  raw_stack!F$2:F$100000, "Iya",
  raw_stack!G$2:G$100000, "&gt;="&amp;DATE(2026,3,1),
  raw_stack!G$2:G$100000, "&lt;="&amp;EOMONTH(DATE(2026,3,1),0)
 ),
 IF(_xlpm.x=0, "-", _xlpm.x)
)</f>
        <v>-</v>
      </c>
      <c r="AF212" s="56" t="str">
        <f>_xlfn.LET(
 _xlpm.x,
 _xlfn.MAXIFS(
  raw_stack!H$2:H$100000,
  raw_stack!D$2:D$100000, G212,
  raw_stack!F$2:F$100000, "Iya",
  raw_stack!G$2:G$100000, "&gt;="&amp;DATE(2026,3,1),
  raw_stack!G$2:G$100000, "&lt;="&amp;EOMONTH(DATE(2026,3,1),0)
 ),
 IF(OR(_xlpm.x=0, _xlpm.x=""), "-", _xlpm.x)
)</f>
        <v>-</v>
      </c>
      <c r="AG212" s="55" t="str">
        <f>_xlfn.LET(
 _xlpm.x,
 _xlfn.MAXIFS(
  raw_stack!G$2:G$100000,
  raw_stack!D$2:D$100000, G212,
  raw_stack!F$2:F$100000, "Iya",
  raw_stack!G$2:G$100000, "&gt;="&amp;DATE(2026,4,1),
  raw_stack!G$2:G$100000, "&lt;="&amp;EOMONTH(DATE(2026,4,1),0)
 ),
 IF(_xlpm.x=0, "-", _xlpm.x)
)</f>
        <v>-</v>
      </c>
      <c r="AH212" s="56" t="str">
        <f>_xlfn.LET(
 _xlpm.x,
 _xlfn.MAXIFS(
  raw_stack!H$2:H$100000,
  raw_stack!D$2:D$100000, G212,
  raw_stack!F$2:F$100000, "Iya",
  raw_stack!G$2:G$100000, "&gt;="&amp;DATE(2026,4,1),
  raw_stack!G$2:G$100000, "&lt;="&amp;EOMONTH(DATE(2026,4,1),0)
 ),
 IF(OR(_xlpm.x=0, _xlpm.x=""), "-", _xlpm.x)
)</f>
        <v>-</v>
      </c>
    </row>
    <row r="213" spans="1:34">
      <c r="A213" s="48">
        <v>212</v>
      </c>
      <c r="B213" s="49" t="str">
        <f t="shared" si="3"/>
        <v>36596</v>
      </c>
      <c r="C213" s="50" t="s">
        <v>46</v>
      </c>
      <c r="D213" s="51" t="s">
        <v>636</v>
      </c>
      <c r="E213" s="51" t="s">
        <v>51</v>
      </c>
      <c r="F213" s="49" t="s">
        <v>117</v>
      </c>
      <c r="G213" s="49" t="s">
        <v>329</v>
      </c>
      <c r="H213" s="49" t="s">
        <v>48</v>
      </c>
      <c r="I213" s="49" t="s">
        <v>52</v>
      </c>
      <c r="J213" s="52">
        <v>3880000</v>
      </c>
      <c r="K213" s="53">
        <v>45712</v>
      </c>
      <c r="L213" s="53">
        <v>46806</v>
      </c>
      <c r="M213" s="53">
        <v>46104</v>
      </c>
      <c r="N213" s="49" t="s">
        <v>50</v>
      </c>
      <c r="O213" s="54" t="str">
        <f>_xlfn.LET(
 _xlpm.x,
 _xlfn.MAXIFS(
  raw_stack!G$2:G$100000,
  raw_stack!D$2:D$100000, G213,
  raw_stack!F$2:F$100000, "Iya",
  raw_stack!G$2:G$100000, "&gt;="&amp;DATE(2025,7,1),
  raw_stack!G$2:G$100000, "&lt;="&amp;EOMONTH(DATE(2025,7,1),0)
 ),
 IF(_xlpm.x=0, "-", _xlpm.x)
)</f>
        <v>-</v>
      </c>
      <c r="P213" s="65" t="str">
        <f>_xlfn.LET(
 _xlpm.x,
 _xlfn.MAXIFS(
  raw_stack!H$2:H$100000,
  raw_stack!D$2:D$100000, G213,
  raw_stack!F$2:F$100000, "Iya",
  raw_stack!G$2:G$100000, "&gt;="&amp;DATE(2025,7,1),
  raw_stack!G$2:G$100000, "&lt;="&amp;EOMONTH(DATE(2025,7,1),0)
 ),
 IF(OR(_xlpm.x=0, _xlpm.x=""), "-", _xlpm.x)
)</f>
        <v>-</v>
      </c>
      <c r="Q213" s="54">
        <f>_xlfn.LET(
 _xlpm.x,
 _xlfn.MAXIFS(
  raw_stack!G$2:G$99411,
  raw_stack!D$2:D$99411, G213,
  raw_stack!F$2:F$99411, "Iya",
  raw_stack!G$2:G$99411, "&gt;="&amp;DATE(2025,8,1),
  raw_stack!G$2:G$99411, "&lt;="&amp;EOMONTH(DATE(2025,8,1),0)
 ),
 IF(_xlpm.x=0, "-", _xlpm.x)
)</f>
        <v>45899</v>
      </c>
      <c r="R213" s="65">
        <f>_xlfn.LET(
 _xlpm.x,
 _xlfn.MAXIFS(
  raw_stack!H$2:H$100000,
  raw_stack!D$2:D$100000, G213,
  raw_stack!F$2:F$100000, "Iya",
  raw_stack!G$2:G$100000, "&gt;="&amp;DATE(2025,8,1),
  raw_stack!G$2:G$100000, "&lt;="&amp;EOMONTH(DATE(2025,8,1),0)
 ),
 IF(OR(_xlpm.x=0, _xlpm.x=""), "-", _xlpm.x)
)</f>
        <v>3086</v>
      </c>
      <c r="S213" s="54" t="str">
        <f>_xlfn.LET(
 _xlpm.x,
 _xlfn.MAXIFS(
  raw_stack!G$2:G$99411,
  raw_stack!D$2:D$99411, G213,
  raw_stack!F$2:F$99411, "Iya",
  raw_stack!G$2:G$99411, "&gt;="&amp;DATE(2025,9,1),
  raw_stack!G$2:G$99411, "&lt;="&amp;EOMONTH(DATE(2025,9,1),0)
 ),
 IF(_xlpm.x=0, "-", _xlpm.x)
)</f>
        <v>-</v>
      </c>
      <c r="T213" s="65" t="str">
        <f>_xlfn.LET(
 _xlpm.x,
 _xlfn.MAXIFS(
  raw_stack!H$2:H$100000,
  raw_stack!D$2:D$100000, G213,
  raw_stack!F$2:F$100000, "Iya",
  raw_stack!G$2:G$100000, "&gt;="&amp;DATE(2025,9,1),
  raw_stack!G$2:G$100000, "&lt;="&amp;EOMONTH(DATE(2025,9,1),0)
 ),
 IF(OR(_xlpm.x=0, _xlpm.x=""), "-", _xlpm.x)
)</f>
        <v>-</v>
      </c>
      <c r="U213" s="54" t="str">
        <f>_xlfn.LET(
 _xlpm.x,
 _xlfn.MAXIFS(
  raw_stack!G$2:G$99411,
  raw_stack!D$2:D$99411, G213,
  raw_stack!F$2:F$99411, "Iya",
  raw_stack!G$2:G$99411, "&gt;="&amp;DATE(2025,10,1),
  raw_stack!G$2:G$99411, "&lt;="&amp;EOMONTH(DATE(2025,10,1),0)
 ),
 IF(_xlpm.x=0, "-", _xlpm.x)
)</f>
        <v>-</v>
      </c>
      <c r="V213" s="65" t="str">
        <f>_xlfn.LET(
 _xlpm.x,
 _xlfn.MAXIFS(
  raw_stack!H$2:H$100000,
  raw_stack!D$2:D$100000, G213,
  raw_stack!F$2:F$100000, "Iya",
  raw_stack!G$2:G$100000, "&gt;="&amp;DATE(2025,10,1),
  raw_stack!G$2:G$100000, "&lt;="&amp;EOMONTH(DATE(2025,10,1),0)
 ),
 IF(OR(_xlpm.x=0, _xlpm.x=""), "-", _xlpm.x)
)</f>
        <v>-</v>
      </c>
      <c r="W213" s="55" t="str">
        <f>_xlfn.LET(
 _xlpm.x,
 _xlfn.MAXIFS(
  raw_stack!G$2:G$99411,
  raw_stack!D$2:D$99411, G213,
  raw_stack!F$2:F$99411, "Iya",
  raw_stack!G$2:G$99411, "&gt;="&amp;DATE(2025,11,1),
  raw_stack!G$2:G$99411, "&lt;="&amp;EOMONTH(DATE(2025,11,1),0)
 ),
 IF(_xlpm.x=0, "-", _xlpm.x)
)</f>
        <v>-</v>
      </c>
      <c r="X213" s="56" t="str">
        <f>_xlfn.LET(
 _xlpm.x,
 _xlfn.MAXIFS(
  raw_stack!H$2:H$100000,
  raw_stack!D$2:D$100000, G213,
  raw_stack!F$2:F$100000, "Iya",
  raw_stack!G$2:G$100000, "&gt;="&amp;DATE(2025,11,1),
  raw_stack!G$2:G$100000, "&lt;="&amp;EOMONTH(DATE(2025,11,1),0)
 ),
 IF(OR(_xlpm.x=0, _xlpm.x=""), "-", _xlpm.x)
)</f>
        <v>-</v>
      </c>
      <c r="Y213" s="55" t="str">
        <f>_xlfn.LET(
 _xlpm.x,
 _xlfn.MAXIFS(
  raw_stack!G$2:G$99411,
  raw_stack!D$2:D$99411, G213,
  raw_stack!F$2:F$99411, "Iya",
  raw_stack!G$2:G$99411, "&gt;="&amp;DATE(2025,12,1),
  raw_stack!G$2:G$99411, "&lt;="&amp;EOMONTH(DATE(2025,12,1),0)
 ),
 IF(_xlpm.x=0, "-", _xlpm.x)
)</f>
        <v>-</v>
      </c>
      <c r="Z213" s="56" t="str">
        <f>_xlfn.LET(
 _xlpm.x,
 _xlfn.MAXIFS(
  raw_stack!H$2:H$100000,
  raw_stack!D$2:D$100000, G213,
  raw_stack!F$2:F$100000, "Iya",
  raw_stack!G$2:G$100000, "&gt;="&amp;DATE(2025,12,1),
  raw_stack!G$2:G$100000, "&lt;="&amp;EOMONTH(DATE(2025,12,1),0)
 ),
 IF(OR(_xlpm.x=0, _xlpm.x=""), "-", _xlpm.x)
)</f>
        <v>-</v>
      </c>
      <c r="AA213" s="55" t="str">
        <f>_xlfn.LET(
 _xlpm.x,
 _xlfn.MAXIFS(
  raw_stack!G$2:G$99411,
  raw_stack!D$2:D$99411, G213,
  raw_stack!F$2:F$99411, "Iya",
  raw_stack!G$2:G$99411, "&gt;="&amp;DATE(2026,1,1),
  raw_stack!G$2:G$99411, "&lt;="&amp;EOMONTH(DATE(2026,1,1),0)
 ),
 IF(_xlpm.x=0, "-", _xlpm.x)
)</f>
        <v>-</v>
      </c>
      <c r="AB213" s="56" t="str">
        <f>_xlfn.LET(
 _xlpm.x,
 _xlfn.MAXIFS(
  raw_stack!H$2:H$100000,
  raw_stack!D$2:D$100000, G213,
  raw_stack!F$2:F$100000, "Iya",
  raw_stack!G$2:G$100000, "&gt;="&amp;DATE(2026,1,1),
  raw_stack!G$2:G$100000, "&lt;="&amp;EOMONTH(DATE(2026,1,1),0)
 ),
 IF(OR(_xlpm.x=0, _xlpm.x=""), "-", _xlpm.x)
)</f>
        <v>-</v>
      </c>
      <c r="AC213" s="55" t="str">
        <f>_xlfn.LET(
 _xlpm.x,
 _xlfn.MAXIFS(
  raw_stack!G$2:G$99411,
  raw_stack!D$2:D$99411, G213,
  raw_stack!F$2:F$99411, "Iya",
  raw_stack!G$2:G$99411, "&gt;="&amp;DATE(2026,2,1),
  raw_stack!G$2:G$99411, "&lt;="&amp;EOMONTH(DATE(2026,2,1),0)
 ),
 IF(_xlpm.x=0, "-", _xlpm.x)
)</f>
        <v>-</v>
      </c>
      <c r="AD213" s="56" t="str">
        <f>_xlfn.LET(
 _xlpm.x,
 _xlfn.MAXIFS(
  raw_stack!H$2:H$100000,
  raw_stack!D$2:D$100000, G213,
  raw_stack!F$2:F$100000, "Iya",
  raw_stack!G$2:G$100000, "&gt;="&amp;DATE(2026,2,1),
  raw_stack!G$2:G$100000, "&lt;="&amp;EOMONTH(DATE(2026,2,1),0)
 ),
 IF(OR(_xlpm.x=0, _xlpm.x=""), "-", _xlpm.x)
)</f>
        <v>-</v>
      </c>
      <c r="AE213" s="55" t="str">
        <f>_xlfn.LET(
 _xlpm.x,
 _xlfn.MAXIFS(
  raw_stack!G$2:G$100000,
  raw_stack!D$2:D$100000, G213,
  raw_stack!F$2:F$100000, "Iya",
  raw_stack!G$2:G$100000, "&gt;="&amp;DATE(2026,3,1),
  raw_stack!G$2:G$100000, "&lt;="&amp;EOMONTH(DATE(2026,3,1),0)
 ),
 IF(_xlpm.x=0, "-", _xlpm.x)
)</f>
        <v>-</v>
      </c>
      <c r="AF213" s="56" t="str">
        <f>_xlfn.LET(
 _xlpm.x,
 _xlfn.MAXIFS(
  raw_stack!H$2:H$100000,
  raw_stack!D$2:D$100000, G213,
  raw_stack!F$2:F$100000, "Iya",
  raw_stack!G$2:G$100000, "&gt;="&amp;DATE(2026,3,1),
  raw_stack!G$2:G$100000, "&lt;="&amp;EOMONTH(DATE(2026,3,1),0)
 ),
 IF(OR(_xlpm.x=0, _xlpm.x=""), "-", _xlpm.x)
)</f>
        <v>-</v>
      </c>
      <c r="AG213" s="55" t="str">
        <f>_xlfn.LET(
 _xlpm.x,
 _xlfn.MAXIFS(
  raw_stack!G$2:G$100000,
  raw_stack!D$2:D$100000, G213,
  raw_stack!F$2:F$100000, "Iya",
  raw_stack!G$2:G$100000, "&gt;="&amp;DATE(2026,4,1),
  raw_stack!G$2:G$100000, "&lt;="&amp;EOMONTH(DATE(2026,4,1),0)
 ),
 IF(_xlpm.x=0, "-", _xlpm.x)
)</f>
        <v>-</v>
      </c>
      <c r="AH213" s="56" t="str">
        <f>_xlfn.LET(
 _xlpm.x,
 _xlfn.MAXIFS(
  raw_stack!H$2:H$100000,
  raw_stack!D$2:D$100000, G213,
  raw_stack!F$2:F$100000, "Iya",
  raw_stack!G$2:G$100000, "&gt;="&amp;DATE(2026,4,1),
  raw_stack!G$2:G$100000, "&lt;="&amp;EOMONTH(DATE(2026,4,1),0)
 ),
 IF(OR(_xlpm.x=0, _xlpm.x=""), "-", _xlpm.x)
)</f>
        <v>-</v>
      </c>
    </row>
    <row r="214" spans="1:34">
      <c r="A214" s="48">
        <v>213</v>
      </c>
      <c r="B214" s="49" t="str">
        <f t="shared" si="3"/>
        <v>25566</v>
      </c>
      <c r="C214" s="50" t="s">
        <v>46</v>
      </c>
      <c r="D214" s="51" t="s">
        <v>637</v>
      </c>
      <c r="E214" s="51" t="s">
        <v>54</v>
      </c>
      <c r="F214" s="49" t="s">
        <v>117</v>
      </c>
      <c r="G214" s="49" t="s">
        <v>330</v>
      </c>
      <c r="H214" s="49" t="s">
        <v>48</v>
      </c>
      <c r="I214" s="49" t="s">
        <v>52</v>
      </c>
      <c r="J214" s="52">
        <v>6600000</v>
      </c>
      <c r="K214" s="53">
        <v>45713</v>
      </c>
      <c r="L214" s="53">
        <v>46807</v>
      </c>
      <c r="M214" s="53">
        <v>46077</v>
      </c>
      <c r="N214" s="49" t="s">
        <v>50</v>
      </c>
      <c r="O214" s="54">
        <f>_xlfn.LET(
 _xlpm.x,
 _xlfn.MAXIFS(
  raw_stack!G$2:G$100000,
  raw_stack!D$2:D$100000, G214,
  raw_stack!F$2:F$100000, "Iya",
  raw_stack!G$2:G$100000, "&gt;="&amp;DATE(2025,7,1),
  raw_stack!G$2:G$100000, "&lt;="&amp;EOMONTH(DATE(2025,7,1),0)
 ),
 IF(_xlpm.x=0, "-", _xlpm.x)
)</f>
        <v>45848</v>
      </c>
      <c r="P214" s="65">
        <f>_xlfn.LET(
 _xlpm.x,
 _xlfn.MAXIFS(
  raw_stack!H$2:H$100000,
  raw_stack!D$2:D$100000, G214,
  raw_stack!F$2:F$100000, "Iya",
  raw_stack!G$2:G$100000, "&gt;="&amp;DATE(2025,7,1),
  raw_stack!G$2:G$100000, "&lt;="&amp;EOMONTH(DATE(2025,7,1),0)
 ),
 IF(OR(_xlpm.x=0, _xlpm.x=""), "-", _xlpm.x)
)</f>
        <v>19439</v>
      </c>
      <c r="Q214" s="54" t="str">
        <f>_xlfn.LET(
 _xlpm.x,
 _xlfn.MAXIFS(
  raw_stack!G$2:G$99411,
  raw_stack!D$2:D$99411, G214,
  raw_stack!F$2:F$99411, "Iya",
  raw_stack!G$2:G$99411, "&gt;="&amp;DATE(2025,8,1),
  raw_stack!G$2:G$99411, "&lt;="&amp;EOMONTH(DATE(2025,8,1),0)
 ),
 IF(_xlpm.x=0, "-", _xlpm.x)
)</f>
        <v>-</v>
      </c>
      <c r="R214" s="65" t="str">
        <f>_xlfn.LET(
 _xlpm.x,
 _xlfn.MAXIFS(
  raw_stack!H$2:H$100000,
  raw_stack!D$2:D$100000, G214,
  raw_stack!F$2:F$100000, "Iya",
  raw_stack!G$2:G$100000, "&gt;="&amp;DATE(2025,8,1),
  raw_stack!G$2:G$100000, "&lt;="&amp;EOMONTH(DATE(2025,8,1),0)
 ),
 IF(OR(_xlpm.x=0, _xlpm.x=""), "-", _xlpm.x)
)</f>
        <v>-</v>
      </c>
      <c r="S214" s="54" t="str">
        <f>_xlfn.LET(
 _xlpm.x,
 _xlfn.MAXIFS(
  raw_stack!G$2:G$99411,
  raw_stack!D$2:D$99411, G214,
  raw_stack!F$2:F$99411, "Iya",
  raw_stack!G$2:G$99411, "&gt;="&amp;DATE(2025,9,1),
  raw_stack!G$2:G$99411, "&lt;="&amp;EOMONTH(DATE(2025,9,1),0)
 ),
 IF(_xlpm.x=0, "-", _xlpm.x)
)</f>
        <v>-</v>
      </c>
      <c r="T214" s="65" t="str">
        <f>_xlfn.LET(
 _xlpm.x,
 _xlfn.MAXIFS(
  raw_stack!H$2:H$100000,
  raw_stack!D$2:D$100000, G214,
  raw_stack!F$2:F$100000, "Iya",
  raw_stack!G$2:G$100000, "&gt;="&amp;DATE(2025,9,1),
  raw_stack!G$2:G$100000, "&lt;="&amp;EOMONTH(DATE(2025,9,1),0)
 ),
 IF(OR(_xlpm.x=0, _xlpm.x=""), "-", _xlpm.x)
)</f>
        <v>-</v>
      </c>
      <c r="U214" s="54">
        <f>_xlfn.LET(
 _xlpm.x,
 _xlfn.MAXIFS(
  raw_stack!G$2:G$99411,
  raw_stack!D$2:D$99411, G214,
  raw_stack!F$2:F$99411, "Iya",
  raw_stack!G$2:G$99411, "&gt;="&amp;DATE(2025,10,1),
  raw_stack!G$2:G$99411, "&lt;="&amp;EOMONTH(DATE(2025,10,1),0)
 ),
 IF(_xlpm.x=0, "-", _xlpm.x)
)</f>
        <v>45941</v>
      </c>
      <c r="V214" s="65">
        <f>_xlfn.LET(
 _xlpm.x,
 _xlfn.MAXIFS(
  raw_stack!H$2:H$100000,
  raw_stack!D$2:D$100000, G214,
  raw_stack!F$2:F$100000, "Iya",
  raw_stack!G$2:G$100000, "&gt;="&amp;DATE(2025,10,1),
  raw_stack!G$2:G$100000, "&lt;="&amp;EOMONTH(DATE(2025,10,1),0)
 ),
 IF(OR(_xlpm.x=0, _xlpm.x=""), "-", _xlpm.x)
)</f>
        <v>27760</v>
      </c>
      <c r="W214" s="55" t="str">
        <f>_xlfn.LET(
 _xlpm.x,
 _xlfn.MAXIFS(
  raw_stack!G$2:G$99411,
  raw_stack!D$2:D$99411, G214,
  raw_stack!F$2:F$99411, "Iya",
  raw_stack!G$2:G$99411, "&gt;="&amp;DATE(2025,11,1),
  raw_stack!G$2:G$99411, "&lt;="&amp;EOMONTH(DATE(2025,11,1),0)
 ),
 IF(_xlpm.x=0, "-", _xlpm.x)
)</f>
        <v>-</v>
      </c>
      <c r="X214" s="56" t="str">
        <f>_xlfn.LET(
 _xlpm.x,
 _xlfn.MAXIFS(
  raw_stack!H$2:H$100000,
  raw_stack!D$2:D$100000, G214,
  raw_stack!F$2:F$100000, "Iya",
  raw_stack!G$2:G$100000, "&gt;="&amp;DATE(2025,11,1),
  raw_stack!G$2:G$100000, "&lt;="&amp;EOMONTH(DATE(2025,11,1),0)
 ),
 IF(OR(_xlpm.x=0, _xlpm.x=""), "-", _xlpm.x)
)</f>
        <v>-</v>
      </c>
      <c r="Y214" s="55" t="str">
        <f>_xlfn.LET(
 _xlpm.x,
 _xlfn.MAXIFS(
  raw_stack!G$2:G$99411,
  raw_stack!D$2:D$99411, G214,
  raw_stack!F$2:F$99411, "Iya",
  raw_stack!G$2:G$99411, "&gt;="&amp;DATE(2025,12,1),
  raw_stack!G$2:G$99411, "&lt;="&amp;EOMONTH(DATE(2025,12,1),0)
 ),
 IF(_xlpm.x=0, "-", _xlpm.x)
)</f>
        <v>-</v>
      </c>
      <c r="Z214" s="56" t="str">
        <f>_xlfn.LET(
 _xlpm.x,
 _xlfn.MAXIFS(
  raw_stack!H$2:H$100000,
  raw_stack!D$2:D$100000, G214,
  raw_stack!F$2:F$100000, "Iya",
  raw_stack!G$2:G$100000, "&gt;="&amp;DATE(2025,12,1),
  raw_stack!G$2:G$100000, "&lt;="&amp;EOMONTH(DATE(2025,12,1),0)
 ),
 IF(OR(_xlpm.x=0, _xlpm.x=""), "-", _xlpm.x)
)</f>
        <v>-</v>
      </c>
      <c r="AA214" s="55">
        <f>_xlfn.LET(
 _xlpm.x,
 _xlfn.MAXIFS(
  raw_stack!G$2:G$99411,
  raw_stack!D$2:D$99411, G214,
  raw_stack!F$2:F$99411, "Iya",
  raw_stack!G$2:G$99411, "&gt;="&amp;DATE(2026,1,1),
  raw_stack!G$2:G$99411, "&lt;="&amp;EOMONTH(DATE(2026,1,1),0)
 ),
 IF(_xlpm.x=0, "-", _xlpm.x)
)</f>
        <v>46037</v>
      </c>
      <c r="AB214" s="56">
        <f>_xlfn.LET(
 _xlpm.x,
 _xlfn.MAXIFS(
  raw_stack!H$2:H$100000,
  raw_stack!D$2:D$100000, G214,
  raw_stack!F$2:F$100000, "Iya",
  raw_stack!G$2:G$100000, "&gt;="&amp;DATE(2026,1,1),
  raw_stack!G$2:G$100000, "&lt;="&amp;EOMONTH(DATE(2026,1,1),0)
 ),
 IF(OR(_xlpm.x=0, _xlpm.x=""), "-", _xlpm.x)
)</f>
        <v>30289</v>
      </c>
      <c r="AC214" s="55" t="str">
        <f>_xlfn.LET(
 _xlpm.x,
 _xlfn.MAXIFS(
  raw_stack!G$2:G$99411,
  raw_stack!D$2:D$99411, G214,
  raw_stack!F$2:F$99411, "Iya",
  raw_stack!G$2:G$99411, "&gt;="&amp;DATE(2026,2,1),
  raw_stack!G$2:G$99411, "&lt;="&amp;EOMONTH(DATE(2026,2,1),0)
 ),
 IF(_xlpm.x=0, "-", _xlpm.x)
)</f>
        <v>-</v>
      </c>
      <c r="AD214" s="56" t="str">
        <f>_xlfn.LET(
 _xlpm.x,
 _xlfn.MAXIFS(
  raw_stack!H$2:H$100000,
  raw_stack!D$2:D$100000, G214,
  raw_stack!F$2:F$100000, "Iya",
  raw_stack!G$2:G$100000, "&gt;="&amp;DATE(2026,2,1),
  raw_stack!G$2:G$100000, "&lt;="&amp;EOMONTH(DATE(2026,2,1),0)
 ),
 IF(OR(_xlpm.x=0, _xlpm.x=""), "-", _xlpm.x)
)</f>
        <v>-</v>
      </c>
      <c r="AE214" s="55" t="str">
        <f>_xlfn.LET(
 _xlpm.x,
 _xlfn.MAXIFS(
  raw_stack!G$2:G$100000,
  raw_stack!D$2:D$100000, G214,
  raw_stack!F$2:F$100000, "Iya",
  raw_stack!G$2:G$100000, "&gt;="&amp;DATE(2026,3,1),
  raw_stack!G$2:G$100000, "&lt;="&amp;EOMONTH(DATE(2026,3,1),0)
 ),
 IF(_xlpm.x=0, "-", _xlpm.x)
)</f>
        <v>-</v>
      </c>
      <c r="AF214" s="56" t="str">
        <f>_xlfn.LET(
 _xlpm.x,
 _xlfn.MAXIFS(
  raw_stack!H$2:H$100000,
  raw_stack!D$2:D$100000, G214,
  raw_stack!F$2:F$100000, "Iya",
  raw_stack!G$2:G$100000, "&gt;="&amp;DATE(2026,3,1),
  raw_stack!G$2:G$100000, "&lt;="&amp;EOMONTH(DATE(2026,3,1),0)
 ),
 IF(OR(_xlpm.x=0, _xlpm.x=""), "-", _xlpm.x)
)</f>
        <v>-</v>
      </c>
      <c r="AG214" s="55">
        <f>_xlfn.LET(
 _xlpm.x,
 _xlfn.MAXIFS(
  raw_stack!G$2:G$100000,
  raw_stack!D$2:D$100000, G214,
  raw_stack!F$2:F$100000, "Iya",
  raw_stack!G$2:G$100000, "&gt;="&amp;DATE(2026,4,1),
  raw_stack!G$2:G$100000, "&lt;="&amp;EOMONTH(DATE(2026,4,1),0)
 ),
 IF(_xlpm.x=0, "-", _xlpm.x)
)</f>
        <v>46129</v>
      </c>
      <c r="AH214" s="56">
        <f>_xlfn.LET(
 _xlpm.x,
 _xlfn.MAXIFS(
  raw_stack!H$2:H$100000,
  raw_stack!D$2:D$100000, G214,
  raw_stack!F$2:F$100000, "Iya",
  raw_stack!G$2:G$100000, "&gt;="&amp;DATE(2026,4,1),
  raw_stack!G$2:G$100000, "&lt;="&amp;EOMONTH(DATE(2026,4,1),0)
 ),
 IF(OR(_xlpm.x=0, _xlpm.x=""), "-", _xlpm.x)
)</f>
        <v>35090</v>
      </c>
    </row>
    <row r="215" spans="1:34">
      <c r="A215" s="48">
        <v>214</v>
      </c>
      <c r="B215" s="49" t="str">
        <f t="shared" si="3"/>
        <v>63604</v>
      </c>
      <c r="C215" s="50" t="s">
        <v>46</v>
      </c>
      <c r="D215" s="51" t="s">
        <v>638</v>
      </c>
      <c r="E215" s="51" t="s">
        <v>53</v>
      </c>
      <c r="F215" s="49" t="s">
        <v>117</v>
      </c>
      <c r="G215" s="49" t="s">
        <v>331</v>
      </c>
      <c r="H215" s="49" t="s">
        <v>48</v>
      </c>
      <c r="I215" s="49" t="s">
        <v>52</v>
      </c>
      <c r="J215" s="52">
        <v>3860000</v>
      </c>
      <c r="K215" s="53">
        <v>45714</v>
      </c>
      <c r="L215" s="53">
        <v>46808</v>
      </c>
      <c r="M215" s="53">
        <v>46069</v>
      </c>
      <c r="N215" s="49" t="s">
        <v>50</v>
      </c>
      <c r="O215" s="54">
        <f>_xlfn.LET(
 _xlpm.x,
 _xlfn.MAXIFS(
  raw_stack!G$2:G$100000,
  raw_stack!D$2:D$100000, G215,
  raw_stack!F$2:F$100000, "Iya",
  raw_stack!G$2:G$100000, "&gt;="&amp;DATE(2025,7,1),
  raw_stack!G$2:G$100000, "&lt;="&amp;EOMONTH(DATE(2025,7,1),0)
 ),
 IF(_xlpm.x=0, "-", _xlpm.x)
)</f>
        <v>45867</v>
      </c>
      <c r="P215" s="65">
        <f>_xlfn.LET(
 _xlpm.x,
 _xlfn.MAXIFS(
  raw_stack!H$2:H$100000,
  raw_stack!D$2:D$100000, G215,
  raw_stack!F$2:F$100000, "Iya",
  raw_stack!G$2:G$100000, "&gt;="&amp;DATE(2025,7,1),
  raw_stack!G$2:G$100000, "&lt;="&amp;EOMONTH(DATE(2025,7,1),0)
 ),
 IF(OR(_xlpm.x=0, _xlpm.x=""), "-", _xlpm.x)
)</f>
        <v>10283</v>
      </c>
      <c r="Q215" s="54" t="str">
        <f>_xlfn.LET(
 _xlpm.x,
 _xlfn.MAXIFS(
  raw_stack!G$2:G$99411,
  raw_stack!D$2:D$99411, G215,
  raw_stack!F$2:F$99411, "Iya",
  raw_stack!G$2:G$99411, "&gt;="&amp;DATE(2025,8,1),
  raw_stack!G$2:G$99411, "&lt;="&amp;EOMONTH(DATE(2025,8,1),0)
 ),
 IF(_xlpm.x=0, "-", _xlpm.x)
)</f>
        <v>-</v>
      </c>
      <c r="R215" s="65" t="str">
        <f>_xlfn.LET(
 _xlpm.x,
 _xlfn.MAXIFS(
  raw_stack!H$2:H$100000,
  raw_stack!D$2:D$100000, G215,
  raw_stack!F$2:F$100000, "Iya",
  raw_stack!G$2:G$100000, "&gt;="&amp;DATE(2025,8,1),
  raw_stack!G$2:G$100000, "&lt;="&amp;EOMONTH(DATE(2025,8,1),0)
 ),
 IF(OR(_xlpm.x=0, _xlpm.x=""), "-", _xlpm.x)
)</f>
        <v>-</v>
      </c>
      <c r="S215" s="54" t="str">
        <f>_xlfn.LET(
 _xlpm.x,
 _xlfn.MAXIFS(
  raw_stack!G$2:G$99411,
  raw_stack!D$2:D$99411, G215,
  raw_stack!F$2:F$99411, "Iya",
  raw_stack!G$2:G$99411, "&gt;="&amp;DATE(2025,9,1),
  raw_stack!G$2:G$99411, "&lt;="&amp;EOMONTH(DATE(2025,9,1),0)
 ),
 IF(_xlpm.x=0, "-", _xlpm.x)
)</f>
        <v>-</v>
      </c>
      <c r="T215" s="65" t="str">
        <f>_xlfn.LET(
 _xlpm.x,
 _xlfn.MAXIFS(
  raw_stack!H$2:H$100000,
  raw_stack!D$2:D$100000, G215,
  raw_stack!F$2:F$100000, "Iya",
  raw_stack!G$2:G$100000, "&gt;="&amp;DATE(2025,9,1),
  raw_stack!G$2:G$100000, "&lt;="&amp;EOMONTH(DATE(2025,9,1),0)
 ),
 IF(OR(_xlpm.x=0, _xlpm.x=""), "-", _xlpm.x)
)</f>
        <v>-</v>
      </c>
      <c r="U215" s="54" t="str">
        <f>_xlfn.LET(
 _xlpm.x,
 _xlfn.MAXIFS(
  raw_stack!G$2:G$99411,
  raw_stack!D$2:D$99411, G215,
  raw_stack!F$2:F$99411, "Iya",
  raw_stack!G$2:G$99411, "&gt;="&amp;DATE(2025,10,1),
  raw_stack!G$2:G$99411, "&lt;="&amp;EOMONTH(DATE(2025,10,1),0)
 ),
 IF(_xlpm.x=0, "-", _xlpm.x)
)</f>
        <v>-</v>
      </c>
      <c r="V215" s="65" t="str">
        <f>_xlfn.LET(
 _xlpm.x,
 _xlfn.MAXIFS(
  raw_stack!H$2:H$100000,
  raw_stack!D$2:D$100000, G215,
  raw_stack!F$2:F$100000, "Iya",
  raw_stack!G$2:G$100000, "&gt;="&amp;DATE(2025,10,1),
  raw_stack!G$2:G$100000, "&lt;="&amp;EOMONTH(DATE(2025,10,1),0)
 ),
 IF(OR(_xlpm.x=0, _xlpm.x=""), "-", _xlpm.x)
)</f>
        <v>-</v>
      </c>
      <c r="W215" s="55" t="str">
        <f>_xlfn.LET(
 _xlpm.x,
 _xlfn.MAXIFS(
  raw_stack!G$2:G$99411,
  raw_stack!D$2:D$99411, G215,
  raw_stack!F$2:F$99411, "Iya",
  raw_stack!G$2:G$99411, "&gt;="&amp;DATE(2025,11,1),
  raw_stack!G$2:G$99411, "&lt;="&amp;EOMONTH(DATE(2025,11,1),0)
 ),
 IF(_xlpm.x=0, "-", _xlpm.x)
)</f>
        <v>-</v>
      </c>
      <c r="X215" s="56" t="str">
        <f>_xlfn.LET(
 _xlpm.x,
 _xlfn.MAXIFS(
  raw_stack!H$2:H$100000,
  raw_stack!D$2:D$100000, G215,
  raw_stack!F$2:F$100000, "Iya",
  raw_stack!G$2:G$100000, "&gt;="&amp;DATE(2025,11,1),
  raw_stack!G$2:G$100000, "&lt;="&amp;EOMONTH(DATE(2025,11,1),0)
 ),
 IF(OR(_xlpm.x=0, _xlpm.x=""), "-", _xlpm.x)
)</f>
        <v>-</v>
      </c>
      <c r="Y215" s="55" t="str">
        <f>_xlfn.LET(
 _xlpm.x,
 _xlfn.MAXIFS(
  raw_stack!G$2:G$99411,
  raw_stack!D$2:D$99411, G215,
  raw_stack!F$2:F$99411, "Iya",
  raw_stack!G$2:G$99411, "&gt;="&amp;DATE(2025,12,1),
  raw_stack!G$2:G$99411, "&lt;="&amp;EOMONTH(DATE(2025,12,1),0)
 ),
 IF(_xlpm.x=0, "-", _xlpm.x)
)</f>
        <v>-</v>
      </c>
      <c r="Z215" s="56" t="str">
        <f>_xlfn.LET(
 _xlpm.x,
 _xlfn.MAXIFS(
  raw_stack!H$2:H$100000,
  raw_stack!D$2:D$100000, G215,
  raw_stack!F$2:F$100000, "Iya",
  raw_stack!G$2:G$100000, "&gt;="&amp;DATE(2025,12,1),
  raw_stack!G$2:G$100000, "&lt;="&amp;EOMONTH(DATE(2025,12,1),0)
 ),
 IF(OR(_xlpm.x=0, _xlpm.x=""), "-", _xlpm.x)
)</f>
        <v>-</v>
      </c>
      <c r="AA215" s="55">
        <f>_xlfn.LET(
 _xlpm.x,
 _xlfn.MAXIFS(
  raw_stack!G$2:G$99411,
  raw_stack!D$2:D$99411, G215,
  raw_stack!F$2:F$99411, "Iya",
  raw_stack!G$2:G$99411, "&gt;="&amp;DATE(2026,1,1),
  raw_stack!G$2:G$99411, "&lt;="&amp;EOMONTH(DATE(2026,1,1),0)
 ),
 IF(_xlpm.x=0, "-", _xlpm.x)
)</f>
        <v>46053</v>
      </c>
      <c r="AB215" s="56">
        <f>_xlfn.LET(
 _xlpm.x,
 _xlfn.MAXIFS(
  raw_stack!H$2:H$100000,
  raw_stack!D$2:D$100000, G215,
  raw_stack!F$2:F$100000, "Iya",
  raw_stack!G$2:G$100000, "&gt;="&amp;DATE(2026,1,1),
  raw_stack!G$2:G$100000, "&lt;="&amp;EOMONTH(DATE(2026,1,1),0)
 ),
 IF(OR(_xlpm.x=0, _xlpm.x=""), "-", _xlpm.x)
)</f>
        <v>10832</v>
      </c>
      <c r="AC215" s="55" t="str">
        <f>_xlfn.LET(
 _xlpm.x,
 _xlfn.MAXIFS(
  raw_stack!G$2:G$99411,
  raw_stack!D$2:D$99411, G215,
  raw_stack!F$2:F$99411, "Iya",
  raw_stack!G$2:G$99411, "&gt;="&amp;DATE(2026,2,1),
  raw_stack!G$2:G$99411, "&lt;="&amp;EOMONTH(DATE(2026,2,1),0)
 ),
 IF(_xlpm.x=0, "-", _xlpm.x)
)</f>
        <v>-</v>
      </c>
      <c r="AD215" s="56" t="str">
        <f>_xlfn.LET(
 _xlpm.x,
 _xlfn.MAXIFS(
  raw_stack!H$2:H$100000,
  raw_stack!D$2:D$100000, G215,
  raw_stack!F$2:F$100000, "Iya",
  raw_stack!G$2:G$100000, "&gt;="&amp;DATE(2026,2,1),
  raw_stack!G$2:G$100000, "&lt;="&amp;EOMONTH(DATE(2026,2,1),0)
 ),
 IF(OR(_xlpm.x=0, _xlpm.x=""), "-", _xlpm.x)
)</f>
        <v>-</v>
      </c>
      <c r="AE215" s="55" t="str">
        <f>_xlfn.LET(
 _xlpm.x,
 _xlfn.MAXIFS(
  raw_stack!G$2:G$100000,
  raw_stack!D$2:D$100000, G215,
  raw_stack!F$2:F$100000, "Iya",
  raw_stack!G$2:G$100000, "&gt;="&amp;DATE(2026,3,1),
  raw_stack!G$2:G$100000, "&lt;="&amp;EOMONTH(DATE(2026,3,1),0)
 ),
 IF(_xlpm.x=0, "-", _xlpm.x)
)</f>
        <v>-</v>
      </c>
      <c r="AF215" s="56" t="str">
        <f>_xlfn.LET(
 _xlpm.x,
 _xlfn.MAXIFS(
  raw_stack!H$2:H$100000,
  raw_stack!D$2:D$100000, G215,
  raw_stack!F$2:F$100000, "Iya",
  raw_stack!G$2:G$100000, "&gt;="&amp;DATE(2026,3,1),
  raw_stack!G$2:G$100000, "&lt;="&amp;EOMONTH(DATE(2026,3,1),0)
 ),
 IF(OR(_xlpm.x=0, _xlpm.x=""), "-", _xlpm.x)
)</f>
        <v>-</v>
      </c>
      <c r="AG215" s="55" t="str">
        <f>_xlfn.LET(
 _xlpm.x,
 _xlfn.MAXIFS(
  raw_stack!G$2:G$100000,
  raw_stack!D$2:D$100000, G215,
  raw_stack!F$2:F$100000, "Iya",
  raw_stack!G$2:G$100000, "&gt;="&amp;DATE(2026,4,1),
  raw_stack!G$2:G$100000, "&lt;="&amp;EOMONTH(DATE(2026,4,1),0)
 ),
 IF(_xlpm.x=0, "-", _xlpm.x)
)</f>
        <v>-</v>
      </c>
      <c r="AH215" s="56" t="str">
        <f>_xlfn.LET(
 _xlpm.x,
 _xlfn.MAXIFS(
  raw_stack!H$2:H$100000,
  raw_stack!D$2:D$100000, G215,
  raw_stack!F$2:F$100000, "Iya",
  raw_stack!G$2:G$100000, "&gt;="&amp;DATE(2026,4,1),
  raw_stack!G$2:G$100000, "&lt;="&amp;EOMONTH(DATE(2026,4,1),0)
 ),
 IF(OR(_xlpm.x=0, _xlpm.x=""), "-", _xlpm.x)
)</f>
        <v>-</v>
      </c>
    </row>
    <row r="216" spans="1:34">
      <c r="A216" s="48">
        <v>215</v>
      </c>
      <c r="B216" s="49" t="str">
        <f t="shared" si="3"/>
        <v>50697</v>
      </c>
      <c r="C216" s="50" t="s">
        <v>46</v>
      </c>
      <c r="D216" s="51" t="s">
        <v>639</v>
      </c>
      <c r="E216" s="51" t="s">
        <v>53</v>
      </c>
      <c r="F216" s="49" t="s">
        <v>117</v>
      </c>
      <c r="G216" s="49" t="s">
        <v>332</v>
      </c>
      <c r="H216" s="49" t="s">
        <v>48</v>
      </c>
      <c r="I216" s="49" t="s">
        <v>52</v>
      </c>
      <c r="J216" s="52">
        <v>3860000</v>
      </c>
      <c r="K216" s="53">
        <v>45715</v>
      </c>
      <c r="L216" s="53">
        <v>46809</v>
      </c>
      <c r="M216" s="53">
        <v>46079</v>
      </c>
      <c r="N216" s="49" t="s">
        <v>50</v>
      </c>
      <c r="O216" s="54" t="str">
        <f>_xlfn.LET(
 _xlpm.x,
 _xlfn.MAXIFS(
  raw_stack!G$2:G$100000,
  raw_stack!D$2:D$100000, G216,
  raw_stack!F$2:F$100000, "Iya",
  raw_stack!G$2:G$100000, "&gt;="&amp;DATE(2025,7,1),
  raw_stack!G$2:G$100000, "&lt;="&amp;EOMONTH(DATE(2025,7,1),0)
 ),
 IF(_xlpm.x=0, "-", _xlpm.x)
)</f>
        <v>-</v>
      </c>
      <c r="P216" s="65" t="str">
        <f>_xlfn.LET(
 _xlpm.x,
 _xlfn.MAXIFS(
  raw_stack!H$2:H$100000,
  raw_stack!D$2:D$100000, G216,
  raw_stack!F$2:F$100000, "Iya",
  raw_stack!G$2:G$100000, "&gt;="&amp;DATE(2025,7,1),
  raw_stack!G$2:G$100000, "&lt;="&amp;EOMONTH(DATE(2025,7,1),0)
 ),
 IF(OR(_xlpm.x=0, _xlpm.x=""), "-", _xlpm.x)
)</f>
        <v>-</v>
      </c>
      <c r="Q216" s="54" t="str">
        <f>_xlfn.LET(
 _xlpm.x,
 _xlfn.MAXIFS(
  raw_stack!G$2:G$99411,
  raw_stack!D$2:D$99411, G216,
  raw_stack!F$2:F$99411, "Iya",
  raw_stack!G$2:G$99411, "&gt;="&amp;DATE(2025,8,1),
  raw_stack!G$2:G$99411, "&lt;="&amp;EOMONTH(DATE(2025,8,1),0)
 ),
 IF(_xlpm.x=0, "-", _xlpm.x)
)</f>
        <v>-</v>
      </c>
      <c r="R216" s="65" t="str">
        <f>_xlfn.LET(
 _xlpm.x,
 _xlfn.MAXIFS(
  raw_stack!H$2:H$100000,
  raw_stack!D$2:D$100000, G216,
  raw_stack!F$2:F$100000, "Iya",
  raw_stack!G$2:G$100000, "&gt;="&amp;DATE(2025,8,1),
  raw_stack!G$2:G$100000, "&lt;="&amp;EOMONTH(DATE(2025,8,1),0)
 ),
 IF(OR(_xlpm.x=0, _xlpm.x=""), "-", _xlpm.x)
)</f>
        <v>-</v>
      </c>
      <c r="S216" s="54">
        <f>_xlfn.LET(
 _xlpm.x,
 _xlfn.MAXIFS(
  raw_stack!G$2:G$99411,
  raw_stack!D$2:D$99411, G216,
  raw_stack!F$2:F$99411, "Iya",
  raw_stack!G$2:G$99411, "&gt;="&amp;DATE(2025,9,1),
  raw_stack!G$2:G$99411, "&lt;="&amp;EOMONTH(DATE(2025,9,1),0)
 ),
 IF(_xlpm.x=0, "-", _xlpm.x)
)</f>
        <v>45917</v>
      </c>
      <c r="T216" s="65">
        <f>_xlfn.LET(
 _xlpm.x,
 _xlfn.MAXIFS(
  raw_stack!H$2:H$100000,
  raw_stack!D$2:D$100000, G216,
  raw_stack!F$2:F$100000, "Iya",
  raw_stack!G$2:G$100000, "&gt;="&amp;DATE(2025,9,1),
  raw_stack!G$2:G$100000, "&lt;="&amp;EOMONTH(DATE(2025,9,1),0)
 ),
 IF(OR(_xlpm.x=0, _xlpm.x=""), "-", _xlpm.x)
)</f>
        <v>15429</v>
      </c>
      <c r="U216" s="54" t="str">
        <f>_xlfn.LET(
 _xlpm.x,
 _xlfn.MAXIFS(
  raw_stack!G$2:G$99411,
  raw_stack!D$2:D$99411, G216,
  raw_stack!F$2:F$99411, "Iya",
  raw_stack!G$2:G$99411, "&gt;="&amp;DATE(2025,10,1),
  raw_stack!G$2:G$99411, "&lt;="&amp;EOMONTH(DATE(2025,10,1),0)
 ),
 IF(_xlpm.x=0, "-", _xlpm.x)
)</f>
        <v>-</v>
      </c>
      <c r="V216" s="65" t="str">
        <f>_xlfn.LET(
 _xlpm.x,
 _xlfn.MAXIFS(
  raw_stack!H$2:H$100000,
  raw_stack!D$2:D$100000, G216,
  raw_stack!F$2:F$100000, "Iya",
  raw_stack!G$2:G$100000, "&gt;="&amp;DATE(2025,10,1),
  raw_stack!G$2:G$100000, "&lt;="&amp;EOMONTH(DATE(2025,10,1),0)
 ),
 IF(OR(_xlpm.x=0, _xlpm.x=""), "-", _xlpm.x)
)</f>
        <v>-</v>
      </c>
      <c r="W216" s="55" t="str">
        <f>_xlfn.LET(
 _xlpm.x,
 _xlfn.MAXIFS(
  raw_stack!G$2:G$99411,
  raw_stack!D$2:D$99411, G216,
  raw_stack!F$2:F$99411, "Iya",
  raw_stack!G$2:G$99411, "&gt;="&amp;DATE(2025,11,1),
  raw_stack!G$2:G$99411, "&lt;="&amp;EOMONTH(DATE(2025,11,1),0)
 ),
 IF(_xlpm.x=0, "-", _xlpm.x)
)</f>
        <v>-</v>
      </c>
      <c r="X216" s="56" t="str">
        <f>_xlfn.LET(
 _xlpm.x,
 _xlfn.MAXIFS(
  raw_stack!H$2:H$100000,
  raw_stack!D$2:D$100000, G216,
  raw_stack!F$2:F$100000, "Iya",
  raw_stack!G$2:G$100000, "&gt;="&amp;DATE(2025,11,1),
  raw_stack!G$2:G$100000, "&lt;="&amp;EOMONTH(DATE(2025,11,1),0)
 ),
 IF(OR(_xlpm.x=0, _xlpm.x=""), "-", _xlpm.x)
)</f>
        <v>-</v>
      </c>
      <c r="Y216" s="55" t="str">
        <f>_xlfn.LET(
 _xlpm.x,
 _xlfn.MAXIFS(
  raw_stack!G$2:G$99411,
  raw_stack!D$2:D$99411, G216,
  raw_stack!F$2:F$99411, "Iya",
  raw_stack!G$2:G$99411, "&gt;="&amp;DATE(2025,12,1),
  raw_stack!G$2:G$99411, "&lt;="&amp;EOMONTH(DATE(2025,12,1),0)
 ),
 IF(_xlpm.x=0, "-", _xlpm.x)
)</f>
        <v>-</v>
      </c>
      <c r="Z216" s="56" t="str">
        <f>_xlfn.LET(
 _xlpm.x,
 _xlfn.MAXIFS(
  raw_stack!H$2:H$100000,
  raw_stack!D$2:D$100000, G216,
  raw_stack!F$2:F$100000, "Iya",
  raw_stack!G$2:G$100000, "&gt;="&amp;DATE(2025,12,1),
  raw_stack!G$2:G$100000, "&lt;="&amp;EOMONTH(DATE(2025,12,1),0)
 ),
 IF(OR(_xlpm.x=0, _xlpm.x=""), "-", _xlpm.x)
)</f>
        <v>-</v>
      </c>
      <c r="AA216" s="55" t="str">
        <f>_xlfn.LET(
 _xlpm.x,
 _xlfn.MAXIFS(
  raw_stack!G$2:G$99411,
  raw_stack!D$2:D$99411, G216,
  raw_stack!F$2:F$99411, "Iya",
  raw_stack!G$2:G$99411, "&gt;="&amp;DATE(2026,1,1),
  raw_stack!G$2:G$99411, "&lt;="&amp;EOMONTH(DATE(2026,1,1),0)
 ),
 IF(_xlpm.x=0, "-", _xlpm.x)
)</f>
        <v>-</v>
      </c>
      <c r="AB216" s="56" t="str">
        <f>_xlfn.LET(
 _xlpm.x,
 _xlfn.MAXIFS(
  raw_stack!H$2:H$100000,
  raw_stack!D$2:D$100000, G216,
  raw_stack!F$2:F$100000, "Iya",
  raw_stack!G$2:G$100000, "&gt;="&amp;DATE(2026,1,1),
  raw_stack!G$2:G$100000, "&lt;="&amp;EOMONTH(DATE(2026,1,1),0)
 ),
 IF(OR(_xlpm.x=0, _xlpm.x=""), "-", _xlpm.x)
)</f>
        <v>-</v>
      </c>
      <c r="AC216" s="55" t="str">
        <f>_xlfn.LET(
 _xlpm.x,
 _xlfn.MAXIFS(
  raw_stack!G$2:G$99411,
  raw_stack!D$2:D$99411, G216,
  raw_stack!F$2:F$99411, "Iya",
  raw_stack!G$2:G$99411, "&gt;="&amp;DATE(2026,2,1),
  raw_stack!G$2:G$99411, "&lt;="&amp;EOMONTH(DATE(2026,2,1),0)
 ),
 IF(_xlpm.x=0, "-", _xlpm.x)
)</f>
        <v>-</v>
      </c>
      <c r="AD216" s="56" t="str">
        <f>_xlfn.LET(
 _xlpm.x,
 _xlfn.MAXIFS(
  raw_stack!H$2:H$100000,
  raw_stack!D$2:D$100000, G216,
  raw_stack!F$2:F$100000, "Iya",
  raw_stack!G$2:G$100000, "&gt;="&amp;DATE(2026,2,1),
  raw_stack!G$2:G$100000, "&lt;="&amp;EOMONTH(DATE(2026,2,1),0)
 ),
 IF(OR(_xlpm.x=0, _xlpm.x=""), "-", _xlpm.x)
)</f>
        <v>-</v>
      </c>
      <c r="AE216" s="55">
        <f>_xlfn.LET(
 _xlpm.x,
 _xlfn.MAXIFS(
  raw_stack!G$2:G$100000,
  raw_stack!D$2:D$100000, G216,
  raw_stack!F$2:F$100000, "Iya",
  raw_stack!G$2:G$100000, "&gt;="&amp;DATE(2026,3,1),
  raw_stack!G$2:G$100000, "&lt;="&amp;EOMONTH(DATE(2026,3,1),0)
 ),
 IF(_xlpm.x=0, "-", _xlpm.x)
)</f>
        <v>46097</v>
      </c>
      <c r="AF216" s="56">
        <f>_xlfn.LET(
 _xlpm.x,
 _xlfn.MAXIFS(
  raw_stack!H$2:H$100000,
  raw_stack!D$2:D$100000, G216,
  raw_stack!F$2:F$100000, "Iya",
  raw_stack!G$2:G$100000, "&gt;="&amp;DATE(2026,3,1),
  raw_stack!G$2:G$100000, "&lt;="&amp;EOMONTH(DATE(2026,3,1),0)
 ),
 IF(OR(_xlpm.x=0, _xlpm.x=""), "-", _xlpm.x)
)</f>
        <v>19731</v>
      </c>
      <c r="AG216" s="55" t="str">
        <f>_xlfn.LET(
 _xlpm.x,
 _xlfn.MAXIFS(
  raw_stack!G$2:G$100000,
  raw_stack!D$2:D$100000, G216,
  raw_stack!F$2:F$100000, "Iya",
  raw_stack!G$2:G$100000, "&gt;="&amp;DATE(2026,4,1),
  raw_stack!G$2:G$100000, "&lt;="&amp;EOMONTH(DATE(2026,4,1),0)
 ),
 IF(_xlpm.x=0, "-", _xlpm.x)
)</f>
        <v>-</v>
      </c>
      <c r="AH216" s="56" t="str">
        <f>_xlfn.LET(
 _xlpm.x,
 _xlfn.MAXIFS(
  raw_stack!H$2:H$100000,
  raw_stack!D$2:D$100000, G216,
  raw_stack!F$2:F$100000, "Iya",
  raw_stack!G$2:G$100000, "&gt;="&amp;DATE(2026,4,1),
  raw_stack!G$2:G$100000, "&lt;="&amp;EOMONTH(DATE(2026,4,1),0)
 ),
 IF(OR(_xlpm.x=0, _xlpm.x=""), "-", _xlpm.x)
)</f>
        <v>-</v>
      </c>
    </row>
    <row r="217" spans="1:34">
      <c r="A217" s="48">
        <v>216</v>
      </c>
      <c r="B217" s="49" t="str">
        <f t="shared" si="3"/>
        <v>44914</v>
      </c>
      <c r="C217" s="50" t="s">
        <v>46</v>
      </c>
      <c r="D217" s="51" t="s">
        <v>640</v>
      </c>
      <c r="E217" s="51" t="s">
        <v>53</v>
      </c>
      <c r="F217" s="49" t="s">
        <v>117</v>
      </c>
      <c r="G217" s="49" t="s">
        <v>333</v>
      </c>
      <c r="H217" s="49" t="s">
        <v>48</v>
      </c>
      <c r="I217" s="49" t="s">
        <v>52</v>
      </c>
      <c r="J217" s="52">
        <v>3860000</v>
      </c>
      <c r="K217" s="53">
        <v>45716</v>
      </c>
      <c r="L217" s="53">
        <v>46810</v>
      </c>
      <c r="M217" s="53">
        <v>46080</v>
      </c>
      <c r="N217" s="49" t="s">
        <v>50</v>
      </c>
      <c r="O217" s="54" t="str">
        <f>_xlfn.LET(
 _xlpm.x,
 _xlfn.MAXIFS(
  raw_stack!G$2:G$100000,
  raw_stack!D$2:D$100000, G217,
  raw_stack!F$2:F$100000, "Iya",
  raw_stack!G$2:G$100000, "&gt;="&amp;DATE(2025,7,1),
  raw_stack!G$2:G$100000, "&lt;="&amp;EOMONTH(DATE(2025,7,1),0)
 ),
 IF(_xlpm.x=0, "-", _xlpm.x)
)</f>
        <v>-</v>
      </c>
      <c r="P217" s="65" t="str">
        <f>_xlfn.LET(
 _xlpm.x,
 _xlfn.MAXIFS(
  raw_stack!H$2:H$100000,
  raw_stack!D$2:D$100000, G217,
  raw_stack!F$2:F$100000, "Iya",
  raw_stack!G$2:G$100000, "&gt;="&amp;DATE(2025,7,1),
  raw_stack!G$2:G$100000, "&lt;="&amp;EOMONTH(DATE(2025,7,1),0)
 ),
 IF(OR(_xlpm.x=0, _xlpm.x=""), "-", _xlpm.x)
)</f>
        <v>-</v>
      </c>
      <c r="Q217" s="54">
        <f>_xlfn.LET(
 _xlpm.x,
 _xlfn.MAXIFS(
  raw_stack!G$2:G$99411,
  raw_stack!D$2:D$99411, G217,
  raw_stack!F$2:F$99411, "Iya",
  raw_stack!G$2:G$99411, "&gt;="&amp;DATE(2025,8,1),
  raw_stack!G$2:G$99411, "&lt;="&amp;EOMONTH(DATE(2025,8,1),0)
 ),
 IF(_xlpm.x=0, "-", _xlpm.x)
)</f>
        <v>45881</v>
      </c>
      <c r="R217" s="65">
        <f>_xlfn.LET(
 _xlpm.x,
 _xlfn.MAXIFS(
  raw_stack!H$2:H$100000,
  raw_stack!D$2:D$100000, G217,
  raw_stack!F$2:F$100000, "Iya",
  raw_stack!G$2:G$100000, "&gt;="&amp;DATE(2025,8,1),
  raw_stack!G$2:G$100000, "&lt;="&amp;EOMONTH(DATE(2025,8,1),0)
 ),
 IF(OR(_xlpm.x=0, _xlpm.x=""), "-", _xlpm.x)
)</f>
        <v>12826</v>
      </c>
      <c r="S217" s="54" t="str">
        <f>_xlfn.LET(
 _xlpm.x,
 _xlfn.MAXIFS(
  raw_stack!G$2:G$99411,
  raw_stack!D$2:D$99411, G217,
  raw_stack!F$2:F$99411, "Iya",
  raw_stack!G$2:G$99411, "&gt;="&amp;DATE(2025,9,1),
  raw_stack!G$2:G$99411, "&lt;="&amp;EOMONTH(DATE(2025,9,1),0)
 ),
 IF(_xlpm.x=0, "-", _xlpm.x)
)</f>
        <v>-</v>
      </c>
      <c r="T217" s="65" t="str">
        <f>_xlfn.LET(
 _xlpm.x,
 _xlfn.MAXIFS(
  raw_stack!H$2:H$100000,
  raw_stack!D$2:D$100000, G217,
  raw_stack!F$2:F$100000, "Iya",
  raw_stack!G$2:G$100000, "&gt;="&amp;DATE(2025,9,1),
  raw_stack!G$2:G$100000, "&lt;="&amp;EOMONTH(DATE(2025,9,1),0)
 ),
 IF(OR(_xlpm.x=0, _xlpm.x=""), "-", _xlpm.x)
)</f>
        <v>-</v>
      </c>
      <c r="U217" s="54" t="str">
        <f>_xlfn.LET(
 _xlpm.x,
 _xlfn.MAXIFS(
  raw_stack!G$2:G$99411,
  raw_stack!D$2:D$99411, G217,
  raw_stack!F$2:F$99411, "Iya",
  raw_stack!G$2:G$99411, "&gt;="&amp;DATE(2025,10,1),
  raw_stack!G$2:G$99411, "&lt;="&amp;EOMONTH(DATE(2025,10,1),0)
 ),
 IF(_xlpm.x=0, "-", _xlpm.x)
)</f>
        <v>-</v>
      </c>
      <c r="V217" s="65" t="str">
        <f>_xlfn.LET(
 _xlpm.x,
 _xlfn.MAXIFS(
  raw_stack!H$2:H$100000,
  raw_stack!D$2:D$100000, G217,
  raw_stack!F$2:F$100000, "Iya",
  raw_stack!G$2:G$100000, "&gt;="&amp;DATE(2025,10,1),
  raw_stack!G$2:G$100000, "&lt;="&amp;EOMONTH(DATE(2025,10,1),0)
 ),
 IF(OR(_xlpm.x=0, _xlpm.x=""), "-", _xlpm.x)
)</f>
        <v>-</v>
      </c>
      <c r="W217" s="55" t="str">
        <f>_xlfn.LET(
 _xlpm.x,
 _xlfn.MAXIFS(
  raw_stack!G$2:G$99411,
  raw_stack!D$2:D$99411, G217,
  raw_stack!F$2:F$99411, "Iya",
  raw_stack!G$2:G$99411, "&gt;="&amp;DATE(2025,11,1),
  raw_stack!G$2:G$99411, "&lt;="&amp;EOMONTH(DATE(2025,11,1),0)
 ),
 IF(_xlpm.x=0, "-", _xlpm.x)
)</f>
        <v>-</v>
      </c>
      <c r="X217" s="56" t="str">
        <f>_xlfn.LET(
 _xlpm.x,
 _xlfn.MAXIFS(
  raw_stack!H$2:H$100000,
  raw_stack!D$2:D$100000, G217,
  raw_stack!F$2:F$100000, "Iya",
  raw_stack!G$2:G$100000, "&gt;="&amp;DATE(2025,11,1),
  raw_stack!G$2:G$100000, "&lt;="&amp;EOMONTH(DATE(2025,11,1),0)
 ),
 IF(OR(_xlpm.x=0, _xlpm.x=""), "-", _xlpm.x)
)</f>
        <v>-</v>
      </c>
      <c r="Y217" s="55" t="str">
        <f>_xlfn.LET(
 _xlpm.x,
 _xlfn.MAXIFS(
  raw_stack!G$2:G$99411,
  raw_stack!D$2:D$99411, G217,
  raw_stack!F$2:F$99411, "Iya",
  raw_stack!G$2:G$99411, "&gt;="&amp;DATE(2025,12,1),
  raw_stack!G$2:G$99411, "&lt;="&amp;EOMONTH(DATE(2025,12,1),0)
 ),
 IF(_xlpm.x=0, "-", _xlpm.x)
)</f>
        <v>-</v>
      </c>
      <c r="Z217" s="56" t="str">
        <f>_xlfn.LET(
 _xlpm.x,
 _xlfn.MAXIFS(
  raw_stack!H$2:H$100000,
  raw_stack!D$2:D$100000, G217,
  raw_stack!F$2:F$100000, "Iya",
  raw_stack!G$2:G$100000, "&gt;="&amp;DATE(2025,12,1),
  raw_stack!G$2:G$100000, "&lt;="&amp;EOMONTH(DATE(2025,12,1),0)
 ),
 IF(OR(_xlpm.x=0, _xlpm.x=""), "-", _xlpm.x)
)</f>
        <v>-</v>
      </c>
      <c r="AA217" s="55" t="str">
        <f>_xlfn.LET(
 _xlpm.x,
 _xlfn.MAXIFS(
  raw_stack!G$2:G$99411,
  raw_stack!D$2:D$99411, G217,
  raw_stack!F$2:F$99411, "Iya",
  raw_stack!G$2:G$99411, "&gt;="&amp;DATE(2026,1,1),
  raw_stack!G$2:G$99411, "&lt;="&amp;EOMONTH(DATE(2026,1,1),0)
 ),
 IF(_xlpm.x=0, "-", _xlpm.x)
)</f>
        <v>-</v>
      </c>
      <c r="AB217" s="56" t="str">
        <f>_xlfn.LET(
 _xlpm.x,
 _xlfn.MAXIFS(
  raw_stack!H$2:H$100000,
  raw_stack!D$2:D$100000, G217,
  raw_stack!F$2:F$100000, "Iya",
  raw_stack!G$2:G$100000, "&gt;="&amp;DATE(2026,1,1),
  raw_stack!G$2:G$100000, "&lt;="&amp;EOMONTH(DATE(2026,1,1),0)
 ),
 IF(OR(_xlpm.x=0, _xlpm.x=""), "-", _xlpm.x)
)</f>
        <v>-</v>
      </c>
      <c r="AC217" s="55">
        <f>_xlfn.LET(
 _xlpm.x,
 _xlfn.MAXIFS(
  raw_stack!G$2:G$99411,
  raw_stack!D$2:D$99411, G217,
  raw_stack!F$2:F$99411, "Iya",
  raw_stack!G$2:G$99411, "&gt;="&amp;DATE(2026,2,1),
  raw_stack!G$2:G$99411, "&lt;="&amp;EOMONTH(DATE(2026,2,1),0)
 ),
 IF(_xlpm.x=0, "-", _xlpm.x)
)</f>
        <v>46074</v>
      </c>
      <c r="AD217" s="56">
        <f>_xlfn.LET(
 _xlpm.x,
 _xlfn.MAXIFS(
  raw_stack!H$2:H$100000,
  raw_stack!D$2:D$100000, G217,
  raw_stack!F$2:F$100000, "Iya",
  raw_stack!G$2:G$100000, "&gt;="&amp;DATE(2026,2,1),
  raw_stack!G$2:G$100000, "&lt;="&amp;EOMONTH(DATE(2026,2,1),0)
 ),
 IF(OR(_xlpm.x=0, _xlpm.x=""), "-", _xlpm.x)
)</f>
        <v>17232</v>
      </c>
      <c r="AE217" s="55" t="str">
        <f>_xlfn.LET(
 _xlpm.x,
 _xlfn.MAXIFS(
  raw_stack!G$2:G$100000,
  raw_stack!D$2:D$100000, G217,
  raw_stack!F$2:F$100000, "Iya",
  raw_stack!G$2:G$100000, "&gt;="&amp;DATE(2026,3,1),
  raw_stack!G$2:G$100000, "&lt;="&amp;EOMONTH(DATE(2026,3,1),0)
 ),
 IF(_xlpm.x=0, "-", _xlpm.x)
)</f>
        <v>-</v>
      </c>
      <c r="AF217" s="56" t="str">
        <f>_xlfn.LET(
 _xlpm.x,
 _xlfn.MAXIFS(
  raw_stack!H$2:H$100000,
  raw_stack!D$2:D$100000, G217,
  raw_stack!F$2:F$100000, "Iya",
  raw_stack!G$2:G$100000, "&gt;="&amp;DATE(2026,3,1),
  raw_stack!G$2:G$100000, "&lt;="&amp;EOMONTH(DATE(2026,3,1),0)
 ),
 IF(OR(_xlpm.x=0, _xlpm.x=""), "-", _xlpm.x)
)</f>
        <v>-</v>
      </c>
      <c r="AG217" s="55" t="str">
        <f>_xlfn.LET(
 _xlpm.x,
 _xlfn.MAXIFS(
  raw_stack!G$2:G$100000,
  raw_stack!D$2:D$100000, G217,
  raw_stack!F$2:F$100000, "Iya",
  raw_stack!G$2:G$100000, "&gt;="&amp;DATE(2026,4,1),
  raw_stack!G$2:G$100000, "&lt;="&amp;EOMONTH(DATE(2026,4,1),0)
 ),
 IF(_xlpm.x=0, "-", _xlpm.x)
)</f>
        <v>-</v>
      </c>
      <c r="AH217" s="56" t="str">
        <f>_xlfn.LET(
 _xlpm.x,
 _xlfn.MAXIFS(
  raw_stack!H$2:H$100000,
  raw_stack!D$2:D$100000, G217,
  raw_stack!F$2:F$100000, "Iya",
  raw_stack!G$2:G$100000, "&gt;="&amp;DATE(2026,4,1),
  raw_stack!G$2:G$100000, "&lt;="&amp;EOMONTH(DATE(2026,4,1),0)
 ),
 IF(OR(_xlpm.x=0, _xlpm.x=""), "-", _xlpm.x)
)</f>
        <v>-</v>
      </c>
    </row>
    <row r="218" spans="1:34">
      <c r="A218" s="48">
        <v>217</v>
      </c>
      <c r="B218" s="49" t="str">
        <f t="shared" si="3"/>
        <v>24300</v>
      </c>
      <c r="C218" s="50" t="s">
        <v>46</v>
      </c>
      <c r="D218" s="51" t="s">
        <v>569</v>
      </c>
      <c r="E218" s="51" t="s">
        <v>55</v>
      </c>
      <c r="F218" s="49" t="s">
        <v>117</v>
      </c>
      <c r="G218" s="49" t="s">
        <v>334</v>
      </c>
      <c r="H218" s="49" t="s">
        <v>48</v>
      </c>
      <c r="I218" s="49" t="s">
        <v>52</v>
      </c>
      <c r="J218" s="52">
        <v>3960000</v>
      </c>
      <c r="K218" s="53">
        <v>45716</v>
      </c>
      <c r="L218" s="53">
        <v>46810</v>
      </c>
      <c r="M218" s="53">
        <v>46080</v>
      </c>
      <c r="N218" s="49" t="s">
        <v>50</v>
      </c>
      <c r="O218" s="54" t="str">
        <f>_xlfn.LET(
 _xlpm.x,
 _xlfn.MAXIFS(
  raw_stack!G$2:G$100000,
  raw_stack!D$2:D$100000, G218,
  raw_stack!F$2:F$100000, "Iya",
  raw_stack!G$2:G$100000, "&gt;="&amp;DATE(2025,7,1),
  raw_stack!G$2:G$100000, "&lt;="&amp;EOMONTH(DATE(2025,7,1),0)
 ),
 IF(_xlpm.x=0, "-", _xlpm.x)
)</f>
        <v>-</v>
      </c>
      <c r="P218" s="65" t="str">
        <f>_xlfn.LET(
 _xlpm.x,
 _xlfn.MAXIFS(
  raw_stack!H$2:H$100000,
  raw_stack!D$2:D$100000, G218,
  raw_stack!F$2:F$100000, "Iya",
  raw_stack!G$2:G$100000, "&gt;="&amp;DATE(2025,7,1),
  raw_stack!G$2:G$100000, "&lt;="&amp;EOMONTH(DATE(2025,7,1),0)
 ),
 IF(OR(_xlpm.x=0, _xlpm.x=""), "-", _xlpm.x)
)</f>
        <v>-</v>
      </c>
      <c r="Q218" s="54" t="str">
        <f>_xlfn.LET(
 _xlpm.x,
 _xlfn.MAXIFS(
  raw_stack!G$2:G$99411,
  raw_stack!D$2:D$99411, G218,
  raw_stack!F$2:F$99411, "Iya",
  raw_stack!G$2:G$99411, "&gt;="&amp;DATE(2025,8,1),
  raw_stack!G$2:G$99411, "&lt;="&amp;EOMONTH(DATE(2025,8,1),0)
 ),
 IF(_xlpm.x=0, "-", _xlpm.x)
)</f>
        <v>-</v>
      </c>
      <c r="R218" s="65" t="str">
        <f>_xlfn.LET(
 _xlpm.x,
 _xlfn.MAXIFS(
  raw_stack!H$2:H$100000,
  raw_stack!D$2:D$100000, G218,
  raw_stack!F$2:F$100000, "Iya",
  raw_stack!G$2:G$100000, "&gt;="&amp;DATE(2025,8,1),
  raw_stack!G$2:G$100000, "&lt;="&amp;EOMONTH(DATE(2025,8,1),0)
 ),
 IF(OR(_xlpm.x=0, _xlpm.x=""), "-", _xlpm.x)
)</f>
        <v>-</v>
      </c>
      <c r="S218" s="54" t="str">
        <f>_xlfn.LET(
 _xlpm.x,
 _xlfn.MAXIFS(
  raw_stack!G$2:G$99411,
  raw_stack!D$2:D$99411, G218,
  raw_stack!F$2:F$99411, "Iya",
  raw_stack!G$2:G$99411, "&gt;="&amp;DATE(2025,9,1),
  raw_stack!G$2:G$99411, "&lt;="&amp;EOMONTH(DATE(2025,9,1),0)
 ),
 IF(_xlpm.x=0, "-", _xlpm.x)
)</f>
        <v>-</v>
      </c>
      <c r="T218" s="65" t="str">
        <f>_xlfn.LET(
 _xlpm.x,
 _xlfn.MAXIFS(
  raw_stack!H$2:H$100000,
  raw_stack!D$2:D$100000, G218,
  raw_stack!F$2:F$100000, "Iya",
  raw_stack!G$2:G$100000, "&gt;="&amp;DATE(2025,9,1),
  raw_stack!G$2:G$100000, "&lt;="&amp;EOMONTH(DATE(2025,9,1),0)
 ),
 IF(OR(_xlpm.x=0, _xlpm.x=""), "-", _xlpm.x)
)</f>
        <v>-</v>
      </c>
      <c r="U218" s="54" t="str">
        <f>_xlfn.LET(
 _xlpm.x,
 _xlfn.MAXIFS(
  raw_stack!G$2:G$99411,
  raw_stack!D$2:D$99411, G218,
  raw_stack!F$2:F$99411, "Iya",
  raw_stack!G$2:G$99411, "&gt;="&amp;DATE(2025,10,1),
  raw_stack!G$2:G$99411, "&lt;="&amp;EOMONTH(DATE(2025,10,1),0)
 ),
 IF(_xlpm.x=0, "-", _xlpm.x)
)</f>
        <v>-</v>
      </c>
      <c r="V218" s="65" t="str">
        <f>_xlfn.LET(
 _xlpm.x,
 _xlfn.MAXIFS(
  raw_stack!H$2:H$100000,
  raw_stack!D$2:D$100000, G218,
  raw_stack!F$2:F$100000, "Iya",
  raw_stack!G$2:G$100000, "&gt;="&amp;DATE(2025,10,1),
  raw_stack!G$2:G$100000, "&lt;="&amp;EOMONTH(DATE(2025,10,1),0)
 ),
 IF(OR(_xlpm.x=0, _xlpm.x=""), "-", _xlpm.x)
)</f>
        <v>-</v>
      </c>
      <c r="W218" s="55" t="str">
        <f>_xlfn.LET(
 _xlpm.x,
 _xlfn.MAXIFS(
  raw_stack!G$2:G$99411,
  raw_stack!D$2:D$99411, G218,
  raw_stack!F$2:F$99411, "Iya",
  raw_stack!G$2:G$99411, "&gt;="&amp;DATE(2025,11,1),
  raw_stack!G$2:G$99411, "&lt;="&amp;EOMONTH(DATE(2025,11,1),0)
 ),
 IF(_xlpm.x=0, "-", _xlpm.x)
)</f>
        <v>-</v>
      </c>
      <c r="X218" s="56" t="str">
        <f>_xlfn.LET(
 _xlpm.x,
 _xlfn.MAXIFS(
  raw_stack!H$2:H$100000,
  raw_stack!D$2:D$100000, G218,
  raw_stack!F$2:F$100000, "Iya",
  raw_stack!G$2:G$100000, "&gt;="&amp;DATE(2025,11,1),
  raw_stack!G$2:G$100000, "&lt;="&amp;EOMONTH(DATE(2025,11,1),0)
 ),
 IF(OR(_xlpm.x=0, _xlpm.x=""), "-", _xlpm.x)
)</f>
        <v>-</v>
      </c>
      <c r="Y218" s="55" t="str">
        <f>_xlfn.LET(
 _xlpm.x,
 _xlfn.MAXIFS(
  raw_stack!G$2:G$99411,
  raw_stack!D$2:D$99411, G218,
  raw_stack!F$2:F$99411, "Iya",
  raw_stack!G$2:G$99411, "&gt;="&amp;DATE(2025,12,1),
  raw_stack!G$2:G$99411, "&lt;="&amp;EOMONTH(DATE(2025,12,1),0)
 ),
 IF(_xlpm.x=0, "-", _xlpm.x)
)</f>
        <v>-</v>
      </c>
      <c r="Z218" s="56" t="str">
        <f>_xlfn.LET(
 _xlpm.x,
 _xlfn.MAXIFS(
  raw_stack!H$2:H$100000,
  raw_stack!D$2:D$100000, G218,
  raw_stack!F$2:F$100000, "Iya",
  raw_stack!G$2:G$100000, "&gt;="&amp;DATE(2025,12,1),
  raw_stack!G$2:G$100000, "&lt;="&amp;EOMONTH(DATE(2025,12,1),0)
 ),
 IF(OR(_xlpm.x=0, _xlpm.x=""), "-", _xlpm.x)
)</f>
        <v>-</v>
      </c>
      <c r="AA218" s="55" t="str">
        <f>_xlfn.LET(
 _xlpm.x,
 _xlfn.MAXIFS(
  raw_stack!G$2:G$99411,
  raw_stack!D$2:D$99411, G218,
  raw_stack!F$2:F$99411, "Iya",
  raw_stack!G$2:G$99411, "&gt;="&amp;DATE(2026,1,1),
  raw_stack!G$2:G$99411, "&lt;="&amp;EOMONTH(DATE(2026,1,1),0)
 ),
 IF(_xlpm.x=0, "-", _xlpm.x)
)</f>
        <v>-</v>
      </c>
      <c r="AB218" s="56" t="str">
        <f>_xlfn.LET(
 _xlpm.x,
 _xlfn.MAXIFS(
  raw_stack!H$2:H$100000,
  raw_stack!D$2:D$100000, G218,
  raw_stack!F$2:F$100000, "Iya",
  raw_stack!G$2:G$100000, "&gt;="&amp;DATE(2026,1,1),
  raw_stack!G$2:G$100000, "&lt;="&amp;EOMONTH(DATE(2026,1,1),0)
 ),
 IF(OR(_xlpm.x=0, _xlpm.x=""), "-", _xlpm.x)
)</f>
        <v>-</v>
      </c>
      <c r="AC218" s="55" t="str">
        <f>_xlfn.LET(
 _xlpm.x,
 _xlfn.MAXIFS(
  raw_stack!G$2:G$99411,
  raw_stack!D$2:D$99411, G218,
  raw_stack!F$2:F$99411, "Iya",
  raw_stack!G$2:G$99411, "&gt;="&amp;DATE(2026,2,1),
  raw_stack!G$2:G$99411, "&lt;="&amp;EOMONTH(DATE(2026,2,1),0)
 ),
 IF(_xlpm.x=0, "-", _xlpm.x)
)</f>
        <v>-</v>
      </c>
      <c r="AD218" s="56" t="str">
        <f>_xlfn.LET(
 _xlpm.x,
 _xlfn.MAXIFS(
  raw_stack!H$2:H$100000,
  raw_stack!D$2:D$100000, G218,
  raw_stack!F$2:F$100000, "Iya",
  raw_stack!G$2:G$100000, "&gt;="&amp;DATE(2026,2,1),
  raw_stack!G$2:G$100000, "&lt;="&amp;EOMONTH(DATE(2026,2,1),0)
 ),
 IF(OR(_xlpm.x=0, _xlpm.x=""), "-", _xlpm.x)
)</f>
        <v>-</v>
      </c>
      <c r="AE218" s="55" t="str">
        <f>_xlfn.LET(
 _xlpm.x,
 _xlfn.MAXIFS(
  raw_stack!G$2:G$100000,
  raw_stack!D$2:D$100000, G218,
  raw_stack!F$2:F$100000, "Iya",
  raw_stack!G$2:G$100000, "&gt;="&amp;DATE(2026,3,1),
  raw_stack!G$2:G$100000, "&lt;="&amp;EOMONTH(DATE(2026,3,1),0)
 ),
 IF(_xlpm.x=0, "-", _xlpm.x)
)</f>
        <v>-</v>
      </c>
      <c r="AF218" s="56" t="str">
        <f>_xlfn.LET(
 _xlpm.x,
 _xlfn.MAXIFS(
  raw_stack!H$2:H$100000,
  raw_stack!D$2:D$100000, G218,
  raw_stack!F$2:F$100000, "Iya",
  raw_stack!G$2:G$100000, "&gt;="&amp;DATE(2026,3,1),
  raw_stack!G$2:G$100000, "&lt;="&amp;EOMONTH(DATE(2026,3,1),0)
 ),
 IF(OR(_xlpm.x=0, _xlpm.x=""), "-", _xlpm.x)
)</f>
        <v>-</v>
      </c>
      <c r="AG218" s="55" t="str">
        <f>_xlfn.LET(
 _xlpm.x,
 _xlfn.MAXIFS(
  raw_stack!G$2:G$100000,
  raw_stack!D$2:D$100000, G218,
  raw_stack!F$2:F$100000, "Iya",
  raw_stack!G$2:G$100000, "&gt;="&amp;DATE(2026,4,1),
  raw_stack!G$2:G$100000, "&lt;="&amp;EOMONTH(DATE(2026,4,1),0)
 ),
 IF(_xlpm.x=0, "-", _xlpm.x)
)</f>
        <v>-</v>
      </c>
      <c r="AH218" s="56" t="str">
        <f>_xlfn.LET(
 _xlpm.x,
 _xlfn.MAXIFS(
  raw_stack!H$2:H$100000,
  raw_stack!D$2:D$100000, G218,
  raw_stack!F$2:F$100000, "Iya",
  raw_stack!G$2:G$100000, "&gt;="&amp;DATE(2026,4,1),
  raw_stack!G$2:G$100000, "&lt;="&amp;EOMONTH(DATE(2026,4,1),0)
 ),
 IF(OR(_xlpm.x=0, _xlpm.x=""), "-", _xlpm.x)
)</f>
        <v>-</v>
      </c>
    </row>
    <row r="219" spans="1:34">
      <c r="A219" s="48">
        <v>218</v>
      </c>
      <c r="B219" s="49" t="str">
        <f t="shared" si="3"/>
        <v>50324</v>
      </c>
      <c r="C219" s="50" t="s">
        <v>46</v>
      </c>
      <c r="D219" s="51" t="s">
        <v>550</v>
      </c>
      <c r="E219" s="51" t="s">
        <v>51</v>
      </c>
      <c r="F219" s="49" t="s">
        <v>117</v>
      </c>
      <c r="G219" s="49" t="s">
        <v>335</v>
      </c>
      <c r="H219" s="49" t="s">
        <v>48</v>
      </c>
      <c r="I219" s="49" t="s">
        <v>52</v>
      </c>
      <c r="J219" s="52">
        <v>4361000</v>
      </c>
      <c r="K219" s="53">
        <v>45721</v>
      </c>
      <c r="L219" s="53">
        <v>46816</v>
      </c>
      <c r="M219" s="53">
        <v>46085</v>
      </c>
      <c r="N219" s="49" t="s">
        <v>50</v>
      </c>
      <c r="O219" s="54" t="str">
        <f>_xlfn.LET(
 _xlpm.x,
 _xlfn.MAXIFS(
  raw_stack!G$2:G$100000,
  raw_stack!D$2:D$100000, G219,
  raw_stack!F$2:F$100000, "Iya",
  raw_stack!G$2:G$100000, "&gt;="&amp;DATE(2025,7,1),
  raw_stack!G$2:G$100000, "&lt;="&amp;EOMONTH(DATE(2025,7,1),0)
 ),
 IF(_xlpm.x=0, "-", _xlpm.x)
)</f>
        <v>-</v>
      </c>
      <c r="P219" s="65" t="str">
        <f>_xlfn.LET(
 _xlpm.x,
 _xlfn.MAXIFS(
  raw_stack!H$2:H$100000,
  raw_stack!D$2:D$100000, G219,
  raw_stack!F$2:F$100000, "Iya",
  raw_stack!G$2:G$100000, "&gt;="&amp;DATE(2025,7,1),
  raw_stack!G$2:G$100000, "&lt;="&amp;EOMONTH(DATE(2025,7,1),0)
 ),
 IF(OR(_xlpm.x=0, _xlpm.x=""), "-", _xlpm.x)
)</f>
        <v>-</v>
      </c>
      <c r="Q219" s="54" t="str">
        <f>_xlfn.LET(
 _xlpm.x,
 _xlfn.MAXIFS(
  raw_stack!G$2:G$99411,
  raw_stack!D$2:D$99411, G219,
  raw_stack!F$2:F$99411, "Iya",
  raw_stack!G$2:G$99411, "&gt;="&amp;DATE(2025,8,1),
  raw_stack!G$2:G$99411, "&lt;="&amp;EOMONTH(DATE(2025,8,1),0)
 ),
 IF(_xlpm.x=0, "-", _xlpm.x)
)</f>
        <v>-</v>
      </c>
      <c r="R219" s="65" t="str">
        <f>_xlfn.LET(
 _xlpm.x,
 _xlfn.MAXIFS(
  raw_stack!H$2:H$100000,
  raw_stack!D$2:D$100000, G219,
  raw_stack!F$2:F$100000, "Iya",
  raw_stack!G$2:G$100000, "&gt;="&amp;DATE(2025,8,1),
  raw_stack!G$2:G$100000, "&lt;="&amp;EOMONTH(DATE(2025,8,1),0)
 ),
 IF(OR(_xlpm.x=0, _xlpm.x=""), "-", _xlpm.x)
)</f>
        <v>-</v>
      </c>
      <c r="S219" s="54" t="str">
        <f>_xlfn.LET(
 _xlpm.x,
 _xlfn.MAXIFS(
  raw_stack!G$2:G$99411,
  raw_stack!D$2:D$99411, G219,
  raw_stack!F$2:F$99411, "Iya",
  raw_stack!G$2:G$99411, "&gt;="&amp;DATE(2025,9,1),
  raw_stack!G$2:G$99411, "&lt;="&amp;EOMONTH(DATE(2025,9,1),0)
 ),
 IF(_xlpm.x=0, "-", _xlpm.x)
)</f>
        <v>-</v>
      </c>
      <c r="T219" s="65" t="str">
        <f>_xlfn.LET(
 _xlpm.x,
 _xlfn.MAXIFS(
  raw_stack!H$2:H$100000,
  raw_stack!D$2:D$100000, G219,
  raw_stack!F$2:F$100000, "Iya",
  raw_stack!G$2:G$100000, "&gt;="&amp;DATE(2025,9,1),
  raw_stack!G$2:G$100000, "&lt;="&amp;EOMONTH(DATE(2025,9,1),0)
 ),
 IF(OR(_xlpm.x=0, _xlpm.x=""), "-", _xlpm.x)
)</f>
        <v>-</v>
      </c>
      <c r="U219" s="54" t="str">
        <f>_xlfn.LET(
 _xlpm.x,
 _xlfn.MAXIFS(
  raw_stack!G$2:G$99411,
  raw_stack!D$2:D$99411, G219,
  raw_stack!F$2:F$99411, "Iya",
  raw_stack!G$2:G$99411, "&gt;="&amp;DATE(2025,10,1),
  raw_stack!G$2:G$99411, "&lt;="&amp;EOMONTH(DATE(2025,10,1),0)
 ),
 IF(_xlpm.x=0, "-", _xlpm.x)
)</f>
        <v>-</v>
      </c>
      <c r="V219" s="65" t="str">
        <f>_xlfn.LET(
 _xlpm.x,
 _xlfn.MAXIFS(
  raw_stack!H$2:H$100000,
  raw_stack!D$2:D$100000, G219,
  raw_stack!F$2:F$100000, "Iya",
  raw_stack!G$2:G$100000, "&gt;="&amp;DATE(2025,10,1),
  raw_stack!G$2:G$100000, "&lt;="&amp;EOMONTH(DATE(2025,10,1),0)
 ),
 IF(OR(_xlpm.x=0, _xlpm.x=""), "-", _xlpm.x)
)</f>
        <v>-</v>
      </c>
      <c r="W219" s="55">
        <f>_xlfn.LET(
 _xlpm.x,
 _xlfn.MAXIFS(
  raw_stack!G$2:G$99411,
  raw_stack!D$2:D$99411, G219,
  raw_stack!F$2:F$99411, "Iya",
  raw_stack!G$2:G$99411, "&gt;="&amp;DATE(2025,11,1),
  raw_stack!G$2:G$99411, "&lt;="&amp;EOMONTH(DATE(2025,11,1),0)
 ),
 IF(_xlpm.x=0, "-", _xlpm.x)
)</f>
        <v>45987</v>
      </c>
      <c r="X219" s="56">
        <f>_xlfn.LET(
 _xlpm.x,
 _xlfn.MAXIFS(
  raw_stack!H$2:H$100000,
  raw_stack!D$2:D$100000, G219,
  raw_stack!F$2:F$100000, "Iya",
  raw_stack!G$2:G$100000, "&gt;="&amp;DATE(2025,11,1),
  raw_stack!G$2:G$100000, "&lt;="&amp;EOMONTH(DATE(2025,11,1),0)
 ),
 IF(OR(_xlpm.x=0, _xlpm.x=""), "-", _xlpm.x)
)</f>
        <v>15848</v>
      </c>
      <c r="Y219" s="55" t="str">
        <f>_xlfn.LET(
 _xlpm.x,
 _xlfn.MAXIFS(
  raw_stack!G$2:G$99411,
  raw_stack!D$2:D$99411, G219,
  raw_stack!F$2:F$99411, "Iya",
  raw_stack!G$2:G$99411, "&gt;="&amp;DATE(2025,12,1),
  raw_stack!G$2:G$99411, "&lt;="&amp;EOMONTH(DATE(2025,12,1),0)
 ),
 IF(_xlpm.x=0, "-", _xlpm.x)
)</f>
        <v>-</v>
      </c>
      <c r="Z219" s="56" t="str">
        <f>_xlfn.LET(
 _xlpm.x,
 _xlfn.MAXIFS(
  raw_stack!H$2:H$100000,
  raw_stack!D$2:D$100000, G219,
  raw_stack!F$2:F$100000, "Iya",
  raw_stack!G$2:G$100000, "&gt;="&amp;DATE(2025,12,1),
  raw_stack!G$2:G$100000, "&lt;="&amp;EOMONTH(DATE(2025,12,1),0)
 ),
 IF(OR(_xlpm.x=0, _xlpm.x=""), "-", _xlpm.x)
)</f>
        <v>-</v>
      </c>
      <c r="AA219" s="55" t="str">
        <f>_xlfn.LET(
 _xlpm.x,
 _xlfn.MAXIFS(
  raw_stack!G$2:G$99411,
  raw_stack!D$2:D$99411, G219,
  raw_stack!F$2:F$99411, "Iya",
  raw_stack!G$2:G$99411, "&gt;="&amp;DATE(2026,1,1),
  raw_stack!G$2:G$99411, "&lt;="&amp;EOMONTH(DATE(2026,1,1),0)
 ),
 IF(_xlpm.x=0, "-", _xlpm.x)
)</f>
        <v>-</v>
      </c>
      <c r="AB219" s="56" t="str">
        <f>_xlfn.LET(
 _xlpm.x,
 _xlfn.MAXIFS(
  raw_stack!H$2:H$100000,
  raw_stack!D$2:D$100000, G219,
  raw_stack!F$2:F$100000, "Iya",
  raw_stack!G$2:G$100000, "&gt;="&amp;DATE(2026,1,1),
  raw_stack!G$2:G$100000, "&lt;="&amp;EOMONTH(DATE(2026,1,1),0)
 ),
 IF(OR(_xlpm.x=0, _xlpm.x=""), "-", _xlpm.x)
)</f>
        <v>-</v>
      </c>
      <c r="AC219" s="55" t="str">
        <f>_xlfn.LET(
 _xlpm.x,
 _xlfn.MAXIFS(
  raw_stack!G$2:G$99411,
  raw_stack!D$2:D$99411, G219,
  raw_stack!F$2:F$99411, "Iya",
  raw_stack!G$2:G$99411, "&gt;="&amp;DATE(2026,2,1),
  raw_stack!G$2:G$99411, "&lt;="&amp;EOMONTH(DATE(2026,2,1),0)
 ),
 IF(_xlpm.x=0, "-", _xlpm.x)
)</f>
        <v>-</v>
      </c>
      <c r="AD219" s="56" t="str">
        <f>_xlfn.LET(
 _xlpm.x,
 _xlfn.MAXIFS(
  raw_stack!H$2:H$100000,
  raw_stack!D$2:D$100000, G219,
  raw_stack!F$2:F$100000, "Iya",
  raw_stack!G$2:G$100000, "&gt;="&amp;DATE(2026,2,1),
  raw_stack!G$2:G$100000, "&lt;="&amp;EOMONTH(DATE(2026,2,1),0)
 ),
 IF(OR(_xlpm.x=0, _xlpm.x=""), "-", _xlpm.x)
)</f>
        <v>-</v>
      </c>
      <c r="AE219" s="55" t="str">
        <f>_xlfn.LET(
 _xlpm.x,
 _xlfn.MAXIFS(
  raw_stack!G$2:G$100000,
  raw_stack!D$2:D$100000, G219,
  raw_stack!F$2:F$100000, "Iya",
  raw_stack!G$2:G$100000, "&gt;="&amp;DATE(2026,3,1),
  raw_stack!G$2:G$100000, "&lt;="&amp;EOMONTH(DATE(2026,3,1),0)
 ),
 IF(_xlpm.x=0, "-", _xlpm.x)
)</f>
        <v>-</v>
      </c>
      <c r="AF219" s="56" t="str">
        <f>_xlfn.LET(
 _xlpm.x,
 _xlfn.MAXIFS(
  raw_stack!H$2:H$100000,
  raw_stack!D$2:D$100000, G219,
  raw_stack!F$2:F$100000, "Iya",
  raw_stack!G$2:G$100000, "&gt;="&amp;DATE(2026,3,1),
  raw_stack!G$2:G$100000, "&lt;="&amp;EOMONTH(DATE(2026,3,1),0)
 ),
 IF(OR(_xlpm.x=0, _xlpm.x=""), "-", _xlpm.x)
)</f>
        <v>-</v>
      </c>
      <c r="AG219" s="55" t="str">
        <f>_xlfn.LET(
 _xlpm.x,
 _xlfn.MAXIFS(
  raw_stack!G$2:G$100000,
  raw_stack!D$2:D$100000, G219,
  raw_stack!F$2:F$100000, "Iya",
  raw_stack!G$2:G$100000, "&gt;="&amp;DATE(2026,4,1),
  raw_stack!G$2:G$100000, "&lt;="&amp;EOMONTH(DATE(2026,4,1),0)
 ),
 IF(_xlpm.x=0, "-", _xlpm.x)
)</f>
        <v>-</v>
      </c>
      <c r="AH219" s="56" t="str">
        <f>_xlfn.LET(
 _xlpm.x,
 _xlfn.MAXIFS(
  raw_stack!H$2:H$100000,
  raw_stack!D$2:D$100000, G219,
  raw_stack!F$2:F$100000, "Iya",
  raw_stack!G$2:G$100000, "&gt;="&amp;DATE(2026,4,1),
  raw_stack!G$2:G$100000, "&lt;="&amp;EOMONTH(DATE(2026,4,1),0)
 ),
 IF(OR(_xlpm.x=0, _xlpm.x=""), "-", _xlpm.x)
)</f>
        <v>-</v>
      </c>
    </row>
    <row r="220" spans="1:34">
      <c r="A220" s="48">
        <v>219</v>
      </c>
      <c r="B220" s="49" t="str">
        <f t="shared" si="3"/>
        <v>65003</v>
      </c>
      <c r="C220" s="50" t="s">
        <v>46</v>
      </c>
      <c r="D220" s="51" t="s">
        <v>641</v>
      </c>
      <c r="E220" s="51" t="s">
        <v>51</v>
      </c>
      <c r="F220" s="49" t="s">
        <v>117</v>
      </c>
      <c r="G220" s="49" t="s">
        <v>336</v>
      </c>
      <c r="H220" s="49" t="s">
        <v>48</v>
      </c>
      <c r="I220" s="49" t="s">
        <v>52</v>
      </c>
      <c r="J220" s="52">
        <v>5790000</v>
      </c>
      <c r="K220" s="53">
        <v>45721</v>
      </c>
      <c r="L220" s="53">
        <v>46816</v>
      </c>
      <c r="M220" s="53">
        <v>46085</v>
      </c>
      <c r="N220" s="49" t="s">
        <v>50</v>
      </c>
      <c r="O220" s="54">
        <f>_xlfn.LET(
 _xlpm.x,
 _xlfn.MAXIFS(
  raw_stack!G$2:G$100000,
  raw_stack!D$2:D$100000, G220,
  raw_stack!F$2:F$100000, "Iya",
  raw_stack!G$2:G$100000, "&gt;="&amp;DATE(2025,7,1),
  raw_stack!G$2:G$100000, "&lt;="&amp;EOMONTH(DATE(2025,7,1),0)
 ),
 IF(_xlpm.x=0, "-", _xlpm.x)
)</f>
        <v>45862</v>
      </c>
      <c r="P220" s="65">
        <f>_xlfn.LET(
 _xlpm.x,
 _xlfn.MAXIFS(
  raw_stack!H$2:H$100000,
  raw_stack!D$2:D$100000, G220,
  raw_stack!F$2:F$100000, "Iya",
  raw_stack!G$2:G$100000, "&gt;="&amp;DATE(2025,7,1),
  raw_stack!G$2:G$100000, "&lt;="&amp;EOMONTH(DATE(2025,7,1),0)
 ),
 IF(OR(_xlpm.x=0, _xlpm.x=""), "-", _xlpm.x)
)</f>
        <v>6212</v>
      </c>
      <c r="Q220" s="54" t="str">
        <f>_xlfn.LET(
 _xlpm.x,
 _xlfn.MAXIFS(
  raw_stack!G$2:G$99411,
  raw_stack!D$2:D$99411, G220,
  raw_stack!F$2:F$99411, "Iya",
  raw_stack!G$2:G$99411, "&gt;="&amp;DATE(2025,8,1),
  raw_stack!G$2:G$99411, "&lt;="&amp;EOMONTH(DATE(2025,8,1),0)
 ),
 IF(_xlpm.x=0, "-", _xlpm.x)
)</f>
        <v>-</v>
      </c>
      <c r="R220" s="65" t="str">
        <f>_xlfn.LET(
 _xlpm.x,
 _xlfn.MAXIFS(
  raw_stack!H$2:H$100000,
  raw_stack!D$2:D$100000, G220,
  raw_stack!F$2:F$100000, "Iya",
  raw_stack!G$2:G$100000, "&gt;="&amp;DATE(2025,8,1),
  raw_stack!G$2:G$100000, "&lt;="&amp;EOMONTH(DATE(2025,8,1),0)
 ),
 IF(OR(_xlpm.x=0, _xlpm.x=""), "-", _xlpm.x)
)</f>
        <v>-</v>
      </c>
      <c r="S220" s="54">
        <f>_xlfn.LET(
 _xlpm.x,
 _xlfn.MAXIFS(
  raw_stack!G$2:G$99411,
  raw_stack!D$2:D$99411, G220,
  raw_stack!F$2:F$99411, "Iya",
  raw_stack!G$2:G$99411, "&gt;="&amp;DATE(2025,9,1),
  raw_stack!G$2:G$99411, "&lt;="&amp;EOMONTH(DATE(2025,9,1),0)
 ),
 IF(_xlpm.x=0, "-", _xlpm.x)
)</f>
        <v>45923</v>
      </c>
      <c r="T220" s="65">
        <f>_xlfn.LET(
 _xlpm.x,
 _xlfn.MAXIFS(
  raw_stack!H$2:H$100000,
  raw_stack!D$2:D$100000, G220,
  raw_stack!F$2:F$100000, "Iya",
  raw_stack!G$2:G$100000, "&gt;="&amp;DATE(2025,9,1),
  raw_stack!G$2:G$100000, "&lt;="&amp;EOMONTH(DATE(2025,9,1),0)
 ),
 IF(OR(_xlpm.x=0, _xlpm.x=""), "-", _xlpm.x)
)</f>
        <v>18624</v>
      </c>
      <c r="U220" s="54" t="str">
        <f>_xlfn.LET(
 _xlpm.x,
 _xlfn.MAXIFS(
  raw_stack!G$2:G$99411,
  raw_stack!D$2:D$99411, G220,
  raw_stack!F$2:F$99411, "Iya",
  raw_stack!G$2:G$99411, "&gt;="&amp;DATE(2025,10,1),
  raw_stack!G$2:G$99411, "&lt;="&amp;EOMONTH(DATE(2025,10,1),0)
 ),
 IF(_xlpm.x=0, "-", _xlpm.x)
)</f>
        <v>-</v>
      </c>
      <c r="V220" s="65" t="str">
        <f>_xlfn.LET(
 _xlpm.x,
 _xlfn.MAXIFS(
  raw_stack!H$2:H$100000,
  raw_stack!D$2:D$100000, G220,
  raw_stack!F$2:F$100000, "Iya",
  raw_stack!G$2:G$100000, "&gt;="&amp;DATE(2025,10,1),
  raw_stack!G$2:G$100000, "&lt;="&amp;EOMONTH(DATE(2025,10,1),0)
 ),
 IF(OR(_xlpm.x=0, _xlpm.x=""), "-", _xlpm.x)
)</f>
        <v>-</v>
      </c>
      <c r="W220" s="55" t="str">
        <f>_xlfn.LET(
 _xlpm.x,
 _xlfn.MAXIFS(
  raw_stack!G$2:G$99411,
  raw_stack!D$2:D$99411, G220,
  raw_stack!F$2:F$99411, "Iya",
  raw_stack!G$2:G$99411, "&gt;="&amp;DATE(2025,11,1),
  raw_stack!G$2:G$99411, "&lt;="&amp;EOMONTH(DATE(2025,11,1),0)
 ),
 IF(_xlpm.x=0, "-", _xlpm.x)
)</f>
        <v>-</v>
      </c>
      <c r="X220" s="56" t="str">
        <f>_xlfn.LET(
 _xlpm.x,
 _xlfn.MAXIFS(
  raw_stack!H$2:H$100000,
  raw_stack!D$2:D$100000, G220,
  raw_stack!F$2:F$100000, "Iya",
  raw_stack!G$2:G$100000, "&gt;="&amp;DATE(2025,11,1),
  raw_stack!G$2:G$100000, "&lt;="&amp;EOMONTH(DATE(2025,11,1),0)
 ),
 IF(OR(_xlpm.x=0, _xlpm.x=""), "-", _xlpm.x)
)</f>
        <v>-</v>
      </c>
      <c r="Y220" s="55" t="str">
        <f>_xlfn.LET(
 _xlpm.x,
 _xlfn.MAXIFS(
  raw_stack!G$2:G$99411,
  raw_stack!D$2:D$99411, G220,
  raw_stack!F$2:F$99411, "Iya",
  raw_stack!G$2:G$99411, "&gt;="&amp;DATE(2025,12,1),
  raw_stack!G$2:G$99411, "&lt;="&amp;EOMONTH(DATE(2025,12,1),0)
 ),
 IF(_xlpm.x=0, "-", _xlpm.x)
)</f>
        <v>-</v>
      </c>
      <c r="Z220" s="56" t="str">
        <f>_xlfn.LET(
 _xlpm.x,
 _xlfn.MAXIFS(
  raw_stack!H$2:H$100000,
  raw_stack!D$2:D$100000, G220,
  raw_stack!F$2:F$100000, "Iya",
  raw_stack!G$2:G$100000, "&gt;="&amp;DATE(2025,12,1),
  raw_stack!G$2:G$100000, "&lt;="&amp;EOMONTH(DATE(2025,12,1),0)
 ),
 IF(OR(_xlpm.x=0, _xlpm.x=""), "-", _xlpm.x)
)</f>
        <v>-</v>
      </c>
      <c r="AA220" s="55" t="str">
        <f>_xlfn.LET(
 _xlpm.x,
 _xlfn.MAXIFS(
  raw_stack!G$2:G$99411,
  raw_stack!D$2:D$99411, G220,
  raw_stack!F$2:F$99411, "Iya",
  raw_stack!G$2:G$99411, "&gt;="&amp;DATE(2026,1,1),
  raw_stack!G$2:G$99411, "&lt;="&amp;EOMONTH(DATE(2026,1,1),0)
 ),
 IF(_xlpm.x=0, "-", _xlpm.x)
)</f>
        <v>-</v>
      </c>
      <c r="AB220" s="56" t="str">
        <f>_xlfn.LET(
 _xlpm.x,
 _xlfn.MAXIFS(
  raw_stack!H$2:H$100000,
  raw_stack!D$2:D$100000, G220,
  raw_stack!F$2:F$100000, "Iya",
  raw_stack!G$2:G$100000, "&gt;="&amp;DATE(2026,1,1),
  raw_stack!G$2:G$100000, "&lt;="&amp;EOMONTH(DATE(2026,1,1),0)
 ),
 IF(OR(_xlpm.x=0, _xlpm.x=""), "-", _xlpm.x)
)</f>
        <v>-</v>
      </c>
      <c r="AC220" s="55" t="str">
        <f>_xlfn.LET(
 _xlpm.x,
 _xlfn.MAXIFS(
  raw_stack!G$2:G$99411,
  raw_stack!D$2:D$99411, G220,
  raw_stack!F$2:F$99411, "Iya",
  raw_stack!G$2:G$99411, "&gt;="&amp;DATE(2026,2,1),
  raw_stack!G$2:G$99411, "&lt;="&amp;EOMONTH(DATE(2026,2,1),0)
 ),
 IF(_xlpm.x=0, "-", _xlpm.x)
)</f>
        <v>-</v>
      </c>
      <c r="AD220" s="56" t="str">
        <f>_xlfn.LET(
 _xlpm.x,
 _xlfn.MAXIFS(
  raw_stack!H$2:H$100000,
  raw_stack!D$2:D$100000, G220,
  raw_stack!F$2:F$100000, "Iya",
  raw_stack!G$2:G$100000, "&gt;="&amp;DATE(2026,2,1),
  raw_stack!G$2:G$100000, "&lt;="&amp;EOMONTH(DATE(2026,2,1),0)
 ),
 IF(OR(_xlpm.x=0, _xlpm.x=""), "-", _xlpm.x)
)</f>
        <v>-</v>
      </c>
      <c r="AE220" s="55">
        <f>_xlfn.LET(
 _xlpm.x,
 _xlfn.MAXIFS(
  raw_stack!G$2:G$100000,
  raw_stack!D$2:D$100000, G220,
  raw_stack!F$2:F$100000, "Iya",
  raw_stack!G$2:G$100000, "&gt;="&amp;DATE(2026,3,1),
  raw_stack!G$2:G$100000, "&lt;="&amp;EOMONTH(DATE(2026,3,1),0)
 ),
 IF(_xlpm.x=0, "-", _xlpm.x)
)</f>
        <v>46085</v>
      </c>
      <c r="AF220" s="56">
        <f>_xlfn.LET(
 _xlpm.x,
 _xlfn.MAXIFS(
  raw_stack!H$2:H$100000,
  raw_stack!D$2:D$100000, G220,
  raw_stack!F$2:F$100000, "Iya",
  raw_stack!G$2:G$100000, "&gt;="&amp;DATE(2026,3,1),
  raw_stack!G$2:G$100000, "&lt;="&amp;EOMONTH(DATE(2026,3,1),0)
 ),
 IF(OR(_xlpm.x=0, _xlpm.x=""), "-", _xlpm.x)
)</f>
        <v>22293</v>
      </c>
      <c r="AG220" s="55" t="str">
        <f>_xlfn.LET(
 _xlpm.x,
 _xlfn.MAXIFS(
  raw_stack!G$2:G$100000,
  raw_stack!D$2:D$100000, G220,
  raw_stack!F$2:F$100000, "Iya",
  raw_stack!G$2:G$100000, "&gt;="&amp;DATE(2026,4,1),
  raw_stack!G$2:G$100000, "&lt;="&amp;EOMONTH(DATE(2026,4,1),0)
 ),
 IF(_xlpm.x=0, "-", _xlpm.x)
)</f>
        <v>-</v>
      </c>
      <c r="AH220" s="56" t="str">
        <f>_xlfn.LET(
 _xlpm.x,
 _xlfn.MAXIFS(
  raw_stack!H$2:H$100000,
  raw_stack!D$2:D$100000, G220,
  raw_stack!F$2:F$100000, "Iya",
  raw_stack!G$2:G$100000, "&gt;="&amp;DATE(2026,4,1),
  raw_stack!G$2:G$100000, "&lt;="&amp;EOMONTH(DATE(2026,4,1),0)
 ),
 IF(OR(_xlpm.x=0, _xlpm.x=""), "-", _xlpm.x)
)</f>
        <v>-</v>
      </c>
    </row>
    <row r="221" spans="1:34">
      <c r="A221" s="48">
        <v>220</v>
      </c>
      <c r="B221" s="49" t="str">
        <f t="shared" si="3"/>
        <v>40571</v>
      </c>
      <c r="C221" s="50" t="s">
        <v>46</v>
      </c>
      <c r="D221" s="51" t="s">
        <v>642</v>
      </c>
      <c r="E221" s="51" t="s">
        <v>53</v>
      </c>
      <c r="F221" s="49" t="s">
        <v>117</v>
      </c>
      <c r="G221" s="49" t="s">
        <v>337</v>
      </c>
      <c r="H221" s="49" t="s">
        <v>48</v>
      </c>
      <c r="I221" s="49" t="s">
        <v>52</v>
      </c>
      <c r="J221" s="52">
        <v>3860000</v>
      </c>
      <c r="K221" s="53">
        <v>45723</v>
      </c>
      <c r="L221" s="53">
        <v>46818</v>
      </c>
      <c r="M221" s="53">
        <v>46087</v>
      </c>
      <c r="N221" s="49" t="s">
        <v>50</v>
      </c>
      <c r="O221" s="54" t="str">
        <f>_xlfn.LET(
 _xlpm.x,
 _xlfn.MAXIFS(
  raw_stack!G$2:G$100000,
  raw_stack!D$2:D$100000, G221,
  raw_stack!F$2:F$100000, "Iya",
  raw_stack!G$2:G$100000, "&gt;="&amp;DATE(2025,7,1),
  raw_stack!G$2:G$100000, "&lt;="&amp;EOMONTH(DATE(2025,7,1),0)
 ),
 IF(_xlpm.x=0, "-", _xlpm.x)
)</f>
        <v>-</v>
      </c>
      <c r="P221" s="65" t="str">
        <f>_xlfn.LET(
 _xlpm.x,
 _xlfn.MAXIFS(
  raw_stack!H$2:H$100000,
  raw_stack!D$2:D$100000, G221,
  raw_stack!F$2:F$100000, "Iya",
  raw_stack!G$2:G$100000, "&gt;="&amp;DATE(2025,7,1),
  raw_stack!G$2:G$100000, "&lt;="&amp;EOMONTH(DATE(2025,7,1),0)
 ),
 IF(OR(_xlpm.x=0, _xlpm.x=""), "-", _xlpm.x)
)</f>
        <v>-</v>
      </c>
      <c r="Q221" s="54" t="str">
        <f>_xlfn.LET(
 _xlpm.x,
 _xlfn.MAXIFS(
  raw_stack!G$2:G$99411,
  raw_stack!D$2:D$99411, G221,
  raw_stack!F$2:F$99411, "Iya",
  raw_stack!G$2:G$99411, "&gt;="&amp;DATE(2025,8,1),
  raw_stack!G$2:G$99411, "&lt;="&amp;EOMONTH(DATE(2025,8,1),0)
 ),
 IF(_xlpm.x=0, "-", _xlpm.x)
)</f>
        <v>-</v>
      </c>
      <c r="R221" s="65" t="str">
        <f>_xlfn.LET(
 _xlpm.x,
 _xlfn.MAXIFS(
  raw_stack!H$2:H$100000,
  raw_stack!D$2:D$100000, G221,
  raw_stack!F$2:F$100000, "Iya",
  raw_stack!G$2:G$100000, "&gt;="&amp;DATE(2025,8,1),
  raw_stack!G$2:G$100000, "&lt;="&amp;EOMONTH(DATE(2025,8,1),0)
 ),
 IF(OR(_xlpm.x=0, _xlpm.x=""), "-", _xlpm.x)
)</f>
        <v>-</v>
      </c>
      <c r="S221" s="54">
        <f>_xlfn.LET(
 _xlpm.x,
 _xlfn.MAXIFS(
  raw_stack!G$2:G$99411,
  raw_stack!D$2:D$99411, G221,
  raw_stack!F$2:F$99411, "Iya",
  raw_stack!G$2:G$99411, "&gt;="&amp;DATE(2025,9,1),
  raw_stack!G$2:G$99411, "&lt;="&amp;EOMONTH(DATE(2025,9,1),0)
 ),
 IF(_xlpm.x=0, "-", _xlpm.x)
)</f>
        <v>45923</v>
      </c>
      <c r="T221" s="65">
        <f>_xlfn.LET(
 _xlpm.x,
 _xlfn.MAXIFS(
  raw_stack!H$2:H$100000,
  raw_stack!D$2:D$100000, G221,
  raw_stack!F$2:F$100000, "Iya",
  raw_stack!G$2:G$100000, "&gt;="&amp;DATE(2025,9,1),
  raw_stack!G$2:G$100000, "&lt;="&amp;EOMONTH(DATE(2025,9,1),0)
 ),
 IF(OR(_xlpm.x=0, _xlpm.x=""), "-", _xlpm.x)
)</f>
        <v>20743</v>
      </c>
      <c r="U221" s="54" t="str">
        <f>_xlfn.LET(
 _xlpm.x,
 _xlfn.MAXIFS(
  raw_stack!G$2:G$99411,
  raw_stack!D$2:D$99411, G221,
  raw_stack!F$2:F$99411, "Iya",
  raw_stack!G$2:G$99411, "&gt;="&amp;DATE(2025,10,1),
  raw_stack!G$2:G$99411, "&lt;="&amp;EOMONTH(DATE(2025,10,1),0)
 ),
 IF(_xlpm.x=0, "-", _xlpm.x)
)</f>
        <v>-</v>
      </c>
      <c r="V221" s="65" t="str">
        <f>_xlfn.LET(
 _xlpm.x,
 _xlfn.MAXIFS(
  raw_stack!H$2:H$100000,
  raw_stack!D$2:D$100000, G221,
  raw_stack!F$2:F$100000, "Iya",
  raw_stack!G$2:G$100000, "&gt;="&amp;DATE(2025,10,1),
  raw_stack!G$2:G$100000, "&lt;="&amp;EOMONTH(DATE(2025,10,1),0)
 ),
 IF(OR(_xlpm.x=0, _xlpm.x=""), "-", _xlpm.x)
)</f>
        <v>-</v>
      </c>
      <c r="W221" s="55" t="str">
        <f>_xlfn.LET(
 _xlpm.x,
 _xlfn.MAXIFS(
  raw_stack!G$2:G$99411,
  raw_stack!D$2:D$99411, G221,
  raw_stack!F$2:F$99411, "Iya",
  raw_stack!G$2:G$99411, "&gt;="&amp;DATE(2025,11,1),
  raw_stack!G$2:G$99411, "&lt;="&amp;EOMONTH(DATE(2025,11,1),0)
 ),
 IF(_xlpm.x=0, "-", _xlpm.x)
)</f>
        <v>-</v>
      </c>
      <c r="X221" s="56" t="str">
        <f>_xlfn.LET(
 _xlpm.x,
 _xlfn.MAXIFS(
  raw_stack!H$2:H$100000,
  raw_stack!D$2:D$100000, G221,
  raw_stack!F$2:F$100000, "Iya",
  raw_stack!G$2:G$100000, "&gt;="&amp;DATE(2025,11,1),
  raw_stack!G$2:G$100000, "&lt;="&amp;EOMONTH(DATE(2025,11,1),0)
 ),
 IF(OR(_xlpm.x=0, _xlpm.x=""), "-", _xlpm.x)
)</f>
        <v>-</v>
      </c>
      <c r="Y221" s="55" t="str">
        <f>_xlfn.LET(
 _xlpm.x,
 _xlfn.MAXIFS(
  raw_stack!G$2:G$99411,
  raw_stack!D$2:D$99411, G221,
  raw_stack!F$2:F$99411, "Iya",
  raw_stack!G$2:G$99411, "&gt;="&amp;DATE(2025,12,1),
  raw_stack!G$2:G$99411, "&lt;="&amp;EOMONTH(DATE(2025,12,1),0)
 ),
 IF(_xlpm.x=0, "-", _xlpm.x)
)</f>
        <v>-</v>
      </c>
      <c r="Z221" s="56" t="str">
        <f>_xlfn.LET(
 _xlpm.x,
 _xlfn.MAXIFS(
  raw_stack!H$2:H$100000,
  raw_stack!D$2:D$100000, G221,
  raw_stack!F$2:F$100000, "Iya",
  raw_stack!G$2:G$100000, "&gt;="&amp;DATE(2025,12,1),
  raw_stack!G$2:G$100000, "&lt;="&amp;EOMONTH(DATE(2025,12,1),0)
 ),
 IF(OR(_xlpm.x=0, _xlpm.x=""), "-", _xlpm.x)
)</f>
        <v>-</v>
      </c>
      <c r="AA221" s="55" t="str">
        <f>_xlfn.LET(
 _xlpm.x,
 _xlfn.MAXIFS(
  raw_stack!G$2:G$99411,
  raw_stack!D$2:D$99411, G221,
  raw_stack!F$2:F$99411, "Iya",
  raw_stack!G$2:G$99411, "&gt;="&amp;DATE(2026,1,1),
  raw_stack!G$2:G$99411, "&lt;="&amp;EOMONTH(DATE(2026,1,1),0)
 ),
 IF(_xlpm.x=0, "-", _xlpm.x)
)</f>
        <v>-</v>
      </c>
      <c r="AB221" s="56" t="str">
        <f>_xlfn.LET(
 _xlpm.x,
 _xlfn.MAXIFS(
  raw_stack!H$2:H$100000,
  raw_stack!D$2:D$100000, G221,
  raw_stack!F$2:F$100000, "Iya",
  raw_stack!G$2:G$100000, "&gt;="&amp;DATE(2026,1,1),
  raw_stack!G$2:G$100000, "&lt;="&amp;EOMONTH(DATE(2026,1,1),0)
 ),
 IF(OR(_xlpm.x=0, _xlpm.x=""), "-", _xlpm.x)
)</f>
        <v>-</v>
      </c>
      <c r="AC221" s="55" t="str">
        <f>_xlfn.LET(
 _xlpm.x,
 _xlfn.MAXIFS(
  raw_stack!G$2:G$99411,
  raw_stack!D$2:D$99411, G221,
  raw_stack!F$2:F$99411, "Iya",
  raw_stack!G$2:G$99411, "&gt;="&amp;DATE(2026,2,1),
  raw_stack!G$2:G$99411, "&lt;="&amp;EOMONTH(DATE(2026,2,1),0)
 ),
 IF(_xlpm.x=0, "-", _xlpm.x)
)</f>
        <v>-</v>
      </c>
      <c r="AD221" s="56" t="str">
        <f>_xlfn.LET(
 _xlpm.x,
 _xlfn.MAXIFS(
  raw_stack!H$2:H$100000,
  raw_stack!D$2:D$100000, G221,
  raw_stack!F$2:F$100000, "Iya",
  raw_stack!G$2:G$100000, "&gt;="&amp;DATE(2026,2,1),
  raw_stack!G$2:G$100000, "&lt;="&amp;EOMONTH(DATE(2026,2,1),0)
 ),
 IF(OR(_xlpm.x=0, _xlpm.x=""), "-", _xlpm.x)
)</f>
        <v>-</v>
      </c>
      <c r="AE221" s="55" t="str">
        <f>_xlfn.LET(
 _xlpm.x,
 _xlfn.MAXIFS(
  raw_stack!G$2:G$100000,
  raw_stack!D$2:D$100000, G221,
  raw_stack!F$2:F$100000, "Iya",
  raw_stack!G$2:G$100000, "&gt;="&amp;DATE(2026,3,1),
  raw_stack!G$2:G$100000, "&lt;="&amp;EOMONTH(DATE(2026,3,1),0)
 ),
 IF(_xlpm.x=0, "-", _xlpm.x)
)</f>
        <v>-</v>
      </c>
      <c r="AF221" s="56" t="str">
        <f>_xlfn.LET(
 _xlpm.x,
 _xlfn.MAXIFS(
  raw_stack!H$2:H$100000,
  raw_stack!D$2:D$100000, G221,
  raw_stack!F$2:F$100000, "Iya",
  raw_stack!G$2:G$100000, "&gt;="&amp;DATE(2026,3,1),
  raw_stack!G$2:G$100000, "&lt;="&amp;EOMONTH(DATE(2026,3,1),0)
 ),
 IF(OR(_xlpm.x=0, _xlpm.x=""), "-", _xlpm.x)
)</f>
        <v>-</v>
      </c>
      <c r="AG221" s="55" t="str">
        <f>_xlfn.LET(
 _xlpm.x,
 _xlfn.MAXIFS(
  raw_stack!G$2:G$100000,
  raw_stack!D$2:D$100000, G221,
  raw_stack!F$2:F$100000, "Iya",
  raw_stack!G$2:G$100000, "&gt;="&amp;DATE(2026,4,1),
  raw_stack!G$2:G$100000, "&lt;="&amp;EOMONTH(DATE(2026,4,1),0)
 ),
 IF(_xlpm.x=0, "-", _xlpm.x)
)</f>
        <v>-</v>
      </c>
      <c r="AH221" s="56" t="str">
        <f>_xlfn.LET(
 _xlpm.x,
 _xlfn.MAXIFS(
  raw_stack!H$2:H$100000,
  raw_stack!D$2:D$100000, G221,
  raw_stack!F$2:F$100000, "Iya",
  raw_stack!G$2:G$100000, "&gt;="&amp;DATE(2026,4,1),
  raw_stack!G$2:G$100000, "&lt;="&amp;EOMONTH(DATE(2026,4,1),0)
 ),
 IF(OR(_xlpm.x=0, _xlpm.x=""), "-", _xlpm.x)
)</f>
        <v>-</v>
      </c>
    </row>
    <row r="222" spans="1:34">
      <c r="A222" s="48">
        <v>221</v>
      </c>
      <c r="B222" s="49" t="str">
        <f t="shared" si="3"/>
        <v>24242</v>
      </c>
      <c r="C222" s="50" t="s">
        <v>46</v>
      </c>
      <c r="D222" s="51" t="s">
        <v>643</v>
      </c>
      <c r="E222" s="51" t="s">
        <v>53</v>
      </c>
      <c r="F222" s="49" t="s">
        <v>117</v>
      </c>
      <c r="G222" s="49" t="s">
        <v>338</v>
      </c>
      <c r="H222" s="49" t="s">
        <v>48</v>
      </c>
      <c r="I222" s="49" t="s">
        <v>52</v>
      </c>
      <c r="J222" s="52">
        <v>3860000</v>
      </c>
      <c r="K222" s="53">
        <v>45723</v>
      </c>
      <c r="L222" s="53">
        <v>46818</v>
      </c>
      <c r="M222" s="53">
        <v>46087</v>
      </c>
      <c r="N222" s="49" t="s">
        <v>50</v>
      </c>
      <c r="O222" s="54" t="str">
        <f>_xlfn.LET(
 _xlpm.x,
 _xlfn.MAXIFS(
  raw_stack!G$2:G$100000,
  raw_stack!D$2:D$100000, G222,
  raw_stack!F$2:F$100000, "Iya",
  raw_stack!G$2:G$100000, "&gt;="&amp;DATE(2025,7,1),
  raw_stack!G$2:G$100000, "&lt;="&amp;EOMONTH(DATE(2025,7,1),0)
 ),
 IF(_xlpm.x=0, "-", _xlpm.x)
)</f>
        <v>-</v>
      </c>
      <c r="P222" s="65" t="str">
        <f>_xlfn.LET(
 _xlpm.x,
 _xlfn.MAXIFS(
  raw_stack!H$2:H$100000,
  raw_stack!D$2:D$100000, G222,
  raw_stack!F$2:F$100000, "Iya",
  raw_stack!G$2:G$100000, "&gt;="&amp;DATE(2025,7,1),
  raw_stack!G$2:G$100000, "&lt;="&amp;EOMONTH(DATE(2025,7,1),0)
 ),
 IF(OR(_xlpm.x=0, _xlpm.x=""), "-", _xlpm.x)
)</f>
        <v>-</v>
      </c>
      <c r="Q222" s="54" t="str">
        <f>_xlfn.LET(
 _xlpm.x,
 _xlfn.MAXIFS(
  raw_stack!G$2:G$99411,
  raw_stack!D$2:D$99411, G222,
  raw_stack!F$2:F$99411, "Iya",
  raw_stack!G$2:G$99411, "&gt;="&amp;DATE(2025,8,1),
  raw_stack!G$2:G$99411, "&lt;="&amp;EOMONTH(DATE(2025,8,1),0)
 ),
 IF(_xlpm.x=0, "-", _xlpm.x)
)</f>
        <v>-</v>
      </c>
      <c r="R222" s="65" t="str">
        <f>_xlfn.LET(
 _xlpm.x,
 _xlfn.MAXIFS(
  raw_stack!H$2:H$100000,
  raw_stack!D$2:D$100000, G222,
  raw_stack!F$2:F$100000, "Iya",
  raw_stack!G$2:G$100000, "&gt;="&amp;DATE(2025,8,1),
  raw_stack!G$2:G$100000, "&lt;="&amp;EOMONTH(DATE(2025,8,1),0)
 ),
 IF(OR(_xlpm.x=0, _xlpm.x=""), "-", _xlpm.x)
)</f>
        <v>-</v>
      </c>
      <c r="S222" s="54">
        <f>_xlfn.LET(
 _xlpm.x,
 _xlfn.MAXIFS(
  raw_stack!G$2:G$99411,
  raw_stack!D$2:D$99411, G222,
  raw_stack!F$2:F$99411, "Iya",
  raw_stack!G$2:G$99411, "&gt;="&amp;DATE(2025,9,1),
  raw_stack!G$2:G$99411, "&lt;="&amp;EOMONTH(DATE(2025,9,1),0)
 ),
 IF(_xlpm.x=0, "-", _xlpm.x)
)</f>
        <v>45923</v>
      </c>
      <c r="T222" s="65">
        <f>_xlfn.LET(
 _xlpm.x,
 _xlfn.MAXIFS(
  raw_stack!H$2:H$100000,
  raw_stack!D$2:D$100000, G222,
  raw_stack!F$2:F$100000, "Iya",
  raw_stack!G$2:G$100000, "&gt;="&amp;DATE(2025,9,1),
  raw_stack!G$2:G$100000, "&lt;="&amp;EOMONTH(DATE(2025,9,1),0)
 ),
 IF(OR(_xlpm.x=0, _xlpm.x=""), "-", _xlpm.x)
)</f>
        <v>13303</v>
      </c>
      <c r="U222" s="54" t="str">
        <f>_xlfn.LET(
 _xlpm.x,
 _xlfn.MAXIFS(
  raw_stack!G$2:G$99411,
  raw_stack!D$2:D$99411, G222,
  raw_stack!F$2:F$99411, "Iya",
  raw_stack!G$2:G$99411, "&gt;="&amp;DATE(2025,10,1),
  raw_stack!G$2:G$99411, "&lt;="&amp;EOMONTH(DATE(2025,10,1),0)
 ),
 IF(_xlpm.x=0, "-", _xlpm.x)
)</f>
        <v>-</v>
      </c>
      <c r="V222" s="65" t="str">
        <f>_xlfn.LET(
 _xlpm.x,
 _xlfn.MAXIFS(
  raw_stack!H$2:H$100000,
  raw_stack!D$2:D$100000, G222,
  raw_stack!F$2:F$100000, "Iya",
  raw_stack!G$2:G$100000, "&gt;="&amp;DATE(2025,10,1),
  raw_stack!G$2:G$100000, "&lt;="&amp;EOMONTH(DATE(2025,10,1),0)
 ),
 IF(OR(_xlpm.x=0, _xlpm.x=""), "-", _xlpm.x)
)</f>
        <v>-</v>
      </c>
      <c r="W222" s="55" t="str">
        <f>_xlfn.LET(
 _xlpm.x,
 _xlfn.MAXIFS(
  raw_stack!G$2:G$99411,
  raw_stack!D$2:D$99411, G222,
  raw_stack!F$2:F$99411, "Iya",
  raw_stack!G$2:G$99411, "&gt;="&amp;DATE(2025,11,1),
  raw_stack!G$2:G$99411, "&lt;="&amp;EOMONTH(DATE(2025,11,1),0)
 ),
 IF(_xlpm.x=0, "-", _xlpm.x)
)</f>
        <v>-</v>
      </c>
      <c r="X222" s="56" t="str">
        <f>_xlfn.LET(
 _xlpm.x,
 _xlfn.MAXIFS(
  raw_stack!H$2:H$100000,
  raw_stack!D$2:D$100000, G222,
  raw_stack!F$2:F$100000, "Iya",
  raw_stack!G$2:G$100000, "&gt;="&amp;DATE(2025,11,1),
  raw_stack!G$2:G$100000, "&lt;="&amp;EOMONTH(DATE(2025,11,1),0)
 ),
 IF(OR(_xlpm.x=0, _xlpm.x=""), "-", _xlpm.x)
)</f>
        <v>-</v>
      </c>
      <c r="Y222" s="55" t="str">
        <f>_xlfn.LET(
 _xlpm.x,
 _xlfn.MAXIFS(
  raw_stack!G$2:G$99411,
  raw_stack!D$2:D$99411, G222,
  raw_stack!F$2:F$99411, "Iya",
  raw_stack!G$2:G$99411, "&gt;="&amp;DATE(2025,12,1),
  raw_stack!G$2:G$99411, "&lt;="&amp;EOMONTH(DATE(2025,12,1),0)
 ),
 IF(_xlpm.x=0, "-", _xlpm.x)
)</f>
        <v>-</v>
      </c>
      <c r="Z222" s="56" t="str">
        <f>_xlfn.LET(
 _xlpm.x,
 _xlfn.MAXIFS(
  raw_stack!H$2:H$100000,
  raw_stack!D$2:D$100000, G222,
  raw_stack!F$2:F$100000, "Iya",
  raw_stack!G$2:G$100000, "&gt;="&amp;DATE(2025,12,1),
  raw_stack!G$2:G$100000, "&lt;="&amp;EOMONTH(DATE(2025,12,1),0)
 ),
 IF(OR(_xlpm.x=0, _xlpm.x=""), "-", _xlpm.x)
)</f>
        <v>-</v>
      </c>
      <c r="AA222" s="55" t="str">
        <f>_xlfn.LET(
 _xlpm.x,
 _xlfn.MAXIFS(
  raw_stack!G$2:G$99411,
  raw_stack!D$2:D$99411, G222,
  raw_stack!F$2:F$99411, "Iya",
  raw_stack!G$2:G$99411, "&gt;="&amp;DATE(2026,1,1),
  raw_stack!G$2:G$99411, "&lt;="&amp;EOMONTH(DATE(2026,1,1),0)
 ),
 IF(_xlpm.x=0, "-", _xlpm.x)
)</f>
        <v>-</v>
      </c>
      <c r="AB222" s="56" t="str">
        <f>_xlfn.LET(
 _xlpm.x,
 _xlfn.MAXIFS(
  raw_stack!H$2:H$100000,
  raw_stack!D$2:D$100000, G222,
  raw_stack!F$2:F$100000, "Iya",
  raw_stack!G$2:G$100000, "&gt;="&amp;DATE(2026,1,1),
  raw_stack!G$2:G$100000, "&lt;="&amp;EOMONTH(DATE(2026,1,1),0)
 ),
 IF(OR(_xlpm.x=0, _xlpm.x=""), "-", _xlpm.x)
)</f>
        <v>-</v>
      </c>
      <c r="AC222" s="55">
        <f>_xlfn.LET(
 _xlpm.x,
 _xlfn.MAXIFS(
  raw_stack!G$2:G$99411,
  raw_stack!D$2:D$99411, G222,
  raw_stack!F$2:F$99411, "Iya",
  raw_stack!G$2:G$99411, "&gt;="&amp;DATE(2026,2,1),
  raw_stack!G$2:G$99411, "&lt;="&amp;EOMONTH(DATE(2026,2,1),0)
 ),
 IF(_xlpm.x=0, "-", _xlpm.x)
)</f>
        <v>46064</v>
      </c>
      <c r="AD222" s="56">
        <f>_xlfn.LET(
 _xlpm.x,
 _xlfn.MAXIFS(
  raw_stack!H$2:H$100000,
  raw_stack!D$2:D$100000, G222,
  raw_stack!F$2:F$100000, "Iya",
  raw_stack!G$2:G$100000, "&gt;="&amp;DATE(2026,2,1),
  raw_stack!G$2:G$100000, "&lt;="&amp;EOMONTH(DATE(2026,2,1),0)
 ),
 IF(OR(_xlpm.x=0, _xlpm.x=""), "-", _xlpm.x)
)</f>
        <v>17534</v>
      </c>
      <c r="AE222" s="55" t="str">
        <f>_xlfn.LET(
 _xlpm.x,
 _xlfn.MAXIFS(
  raw_stack!G$2:G$100000,
  raw_stack!D$2:D$100000, G222,
  raw_stack!F$2:F$100000, "Iya",
  raw_stack!G$2:G$100000, "&gt;="&amp;DATE(2026,3,1),
  raw_stack!G$2:G$100000, "&lt;="&amp;EOMONTH(DATE(2026,3,1),0)
 ),
 IF(_xlpm.x=0, "-", _xlpm.x)
)</f>
        <v>-</v>
      </c>
      <c r="AF222" s="56" t="str">
        <f>_xlfn.LET(
 _xlpm.x,
 _xlfn.MAXIFS(
  raw_stack!H$2:H$100000,
  raw_stack!D$2:D$100000, G222,
  raw_stack!F$2:F$100000, "Iya",
  raw_stack!G$2:G$100000, "&gt;="&amp;DATE(2026,3,1),
  raw_stack!G$2:G$100000, "&lt;="&amp;EOMONTH(DATE(2026,3,1),0)
 ),
 IF(OR(_xlpm.x=0, _xlpm.x=""), "-", _xlpm.x)
)</f>
        <v>-</v>
      </c>
      <c r="AG222" s="55" t="str">
        <f>_xlfn.LET(
 _xlpm.x,
 _xlfn.MAXIFS(
  raw_stack!G$2:G$100000,
  raw_stack!D$2:D$100000, G222,
  raw_stack!F$2:F$100000, "Iya",
  raw_stack!G$2:G$100000, "&gt;="&amp;DATE(2026,4,1),
  raw_stack!G$2:G$100000, "&lt;="&amp;EOMONTH(DATE(2026,4,1),0)
 ),
 IF(_xlpm.x=0, "-", _xlpm.x)
)</f>
        <v>-</v>
      </c>
      <c r="AH222" s="56" t="str">
        <f>_xlfn.LET(
 _xlpm.x,
 _xlfn.MAXIFS(
  raw_stack!H$2:H$100000,
  raw_stack!D$2:D$100000, G222,
  raw_stack!F$2:F$100000, "Iya",
  raw_stack!G$2:G$100000, "&gt;="&amp;DATE(2026,4,1),
  raw_stack!G$2:G$100000, "&lt;="&amp;EOMONTH(DATE(2026,4,1),0)
 ),
 IF(OR(_xlpm.x=0, _xlpm.x=""), "-", _xlpm.x)
)</f>
        <v>-</v>
      </c>
    </row>
    <row r="223" spans="1:34">
      <c r="A223" s="48">
        <v>222</v>
      </c>
      <c r="B223" s="49" t="str">
        <f t="shared" si="3"/>
        <v>71985</v>
      </c>
      <c r="C223" s="50" t="s">
        <v>46</v>
      </c>
      <c r="D223" s="51" t="s">
        <v>644</v>
      </c>
      <c r="E223" s="51" t="s">
        <v>53</v>
      </c>
      <c r="F223" s="49" t="s">
        <v>117</v>
      </c>
      <c r="G223" s="49" t="s">
        <v>339</v>
      </c>
      <c r="H223" s="49" t="s">
        <v>48</v>
      </c>
      <c r="I223" s="49" t="s">
        <v>52</v>
      </c>
      <c r="J223" s="52">
        <v>3860000</v>
      </c>
      <c r="K223" s="53">
        <v>45723</v>
      </c>
      <c r="L223" s="53">
        <v>46818</v>
      </c>
      <c r="M223" s="53">
        <v>46087</v>
      </c>
      <c r="N223" s="49" t="s">
        <v>50</v>
      </c>
      <c r="O223" s="54" t="str">
        <f>_xlfn.LET(
 _xlpm.x,
 _xlfn.MAXIFS(
  raw_stack!G$2:G$100000,
  raw_stack!D$2:D$100000, G223,
  raw_stack!F$2:F$100000, "Iya",
  raw_stack!G$2:G$100000, "&gt;="&amp;DATE(2025,7,1),
  raw_stack!G$2:G$100000, "&lt;="&amp;EOMONTH(DATE(2025,7,1),0)
 ),
 IF(_xlpm.x=0, "-", _xlpm.x)
)</f>
        <v>-</v>
      </c>
      <c r="P223" s="65" t="str">
        <f>_xlfn.LET(
 _xlpm.x,
 _xlfn.MAXIFS(
  raw_stack!H$2:H$100000,
  raw_stack!D$2:D$100000, G223,
  raw_stack!F$2:F$100000, "Iya",
  raw_stack!G$2:G$100000, "&gt;="&amp;DATE(2025,7,1),
  raw_stack!G$2:G$100000, "&lt;="&amp;EOMONTH(DATE(2025,7,1),0)
 ),
 IF(OR(_xlpm.x=0, _xlpm.x=""), "-", _xlpm.x)
)</f>
        <v>-</v>
      </c>
      <c r="Q223" s="54">
        <f>_xlfn.LET(
 _xlpm.x,
 _xlfn.MAXIFS(
  raw_stack!G$2:G$99411,
  raw_stack!D$2:D$99411, G223,
  raw_stack!F$2:F$99411, "Iya",
  raw_stack!G$2:G$99411, "&gt;="&amp;DATE(2025,8,1),
  raw_stack!G$2:G$99411, "&lt;="&amp;EOMONTH(DATE(2025,8,1),0)
 ),
 IF(_xlpm.x=0, "-", _xlpm.x)
)</f>
        <v>45891</v>
      </c>
      <c r="R223" s="65">
        <f>_xlfn.LET(
 _xlpm.x,
 _xlfn.MAXIFS(
  raw_stack!H$2:H$100000,
  raw_stack!D$2:D$100000, G223,
  raw_stack!F$2:F$100000, "Iya",
  raw_stack!G$2:G$100000, "&gt;="&amp;DATE(2025,8,1),
  raw_stack!G$2:G$100000, "&lt;="&amp;EOMONTH(DATE(2025,8,1),0)
 ),
 IF(OR(_xlpm.x=0, _xlpm.x=""), "-", _xlpm.x)
)</f>
        <v>4829</v>
      </c>
      <c r="S223" s="54">
        <f>_xlfn.LET(
 _xlpm.x,
 _xlfn.MAXIFS(
  raw_stack!G$2:G$99411,
  raw_stack!D$2:D$99411, G223,
  raw_stack!F$2:F$99411, "Iya",
  raw_stack!G$2:G$99411, "&gt;="&amp;DATE(2025,9,1),
  raw_stack!G$2:G$99411, "&lt;="&amp;EOMONTH(DATE(2025,9,1),0)
 ),
 IF(_xlpm.x=0, "-", _xlpm.x)
)</f>
        <v>45926</v>
      </c>
      <c r="T223" s="65">
        <f>_xlfn.LET(
 _xlpm.x,
 _xlfn.MAXIFS(
  raw_stack!H$2:H$100000,
  raw_stack!D$2:D$100000, G223,
  raw_stack!F$2:F$100000, "Iya",
  raw_stack!G$2:G$100000, "&gt;="&amp;DATE(2025,9,1),
  raw_stack!G$2:G$100000, "&lt;="&amp;EOMONTH(DATE(2025,9,1),0)
 ),
 IF(OR(_xlpm.x=0, _xlpm.x=""), "-", _xlpm.x)
)</f>
        <v>7396</v>
      </c>
      <c r="U223" s="54">
        <f>_xlfn.LET(
 _xlpm.x,
 _xlfn.MAXIFS(
  raw_stack!G$2:G$99411,
  raw_stack!D$2:D$99411, G223,
  raw_stack!F$2:F$99411, "Iya",
  raw_stack!G$2:G$99411, "&gt;="&amp;DATE(2025,10,1),
  raw_stack!G$2:G$99411, "&lt;="&amp;EOMONTH(DATE(2025,10,1),0)
 ),
 IF(_xlpm.x=0, "-", _xlpm.x)
)</f>
        <v>45957</v>
      </c>
      <c r="V223" s="65">
        <f>_xlfn.LET(
 _xlpm.x,
 _xlfn.MAXIFS(
  raw_stack!H$2:H$100000,
  raw_stack!D$2:D$100000, G223,
  raw_stack!F$2:F$100000, "Iya",
  raw_stack!G$2:G$100000, "&gt;="&amp;DATE(2025,10,1),
  raw_stack!G$2:G$100000, "&lt;="&amp;EOMONTH(DATE(2025,10,1),0)
 ),
 IF(OR(_xlpm.x=0, _xlpm.x=""), "-", _xlpm.x)
)</f>
        <v>7227</v>
      </c>
      <c r="W223" s="55">
        <f>_xlfn.LET(
 _xlpm.x,
 _xlfn.MAXIFS(
  raw_stack!G$2:G$99411,
  raw_stack!D$2:D$99411, G223,
  raw_stack!F$2:F$99411, "Iya",
  raw_stack!G$2:G$99411, "&gt;="&amp;DATE(2025,11,1),
  raw_stack!G$2:G$99411, "&lt;="&amp;EOMONTH(DATE(2025,11,1),0)
 ),
 IF(_xlpm.x=0, "-", _xlpm.x)
)</f>
        <v>45972</v>
      </c>
      <c r="X223" s="56">
        <f>_xlfn.LET(
 _xlpm.x,
 _xlfn.MAXIFS(
  raw_stack!H$2:H$100000,
  raw_stack!D$2:D$100000, G223,
  raw_stack!F$2:F$100000, "Iya",
  raw_stack!G$2:G$100000, "&gt;="&amp;DATE(2025,11,1),
  raw_stack!G$2:G$100000, "&lt;="&amp;EOMONTH(DATE(2025,11,1),0)
 ),
 IF(OR(_xlpm.x=0, _xlpm.x=""), "-", _xlpm.x)
)</f>
        <v>12646</v>
      </c>
      <c r="Y223" s="55" t="str">
        <f>_xlfn.LET(
 _xlpm.x,
 _xlfn.MAXIFS(
  raw_stack!G$2:G$99411,
  raw_stack!D$2:D$99411, G223,
  raw_stack!F$2:F$99411, "Iya",
  raw_stack!G$2:G$99411, "&gt;="&amp;DATE(2025,12,1),
  raw_stack!G$2:G$99411, "&lt;="&amp;EOMONTH(DATE(2025,12,1),0)
 ),
 IF(_xlpm.x=0, "-", _xlpm.x)
)</f>
        <v>-</v>
      </c>
      <c r="Z223" s="56" t="str">
        <f>_xlfn.LET(
 _xlpm.x,
 _xlfn.MAXIFS(
  raw_stack!H$2:H$100000,
  raw_stack!D$2:D$100000, G223,
  raw_stack!F$2:F$100000, "Iya",
  raw_stack!G$2:G$100000, "&gt;="&amp;DATE(2025,12,1),
  raw_stack!G$2:G$100000, "&lt;="&amp;EOMONTH(DATE(2025,12,1),0)
 ),
 IF(OR(_xlpm.x=0, _xlpm.x=""), "-", _xlpm.x)
)</f>
        <v>-</v>
      </c>
      <c r="AA223" s="55" t="str">
        <f>_xlfn.LET(
 _xlpm.x,
 _xlfn.MAXIFS(
  raw_stack!G$2:G$99411,
  raw_stack!D$2:D$99411, G223,
  raw_stack!F$2:F$99411, "Iya",
  raw_stack!G$2:G$99411, "&gt;="&amp;DATE(2026,1,1),
  raw_stack!G$2:G$99411, "&lt;="&amp;EOMONTH(DATE(2026,1,1),0)
 ),
 IF(_xlpm.x=0, "-", _xlpm.x)
)</f>
        <v>-</v>
      </c>
      <c r="AB223" s="56" t="str">
        <f>_xlfn.LET(
 _xlpm.x,
 _xlfn.MAXIFS(
  raw_stack!H$2:H$100000,
  raw_stack!D$2:D$100000, G223,
  raw_stack!F$2:F$100000, "Iya",
  raw_stack!G$2:G$100000, "&gt;="&amp;DATE(2026,1,1),
  raw_stack!G$2:G$100000, "&lt;="&amp;EOMONTH(DATE(2026,1,1),0)
 ),
 IF(OR(_xlpm.x=0, _xlpm.x=""), "-", _xlpm.x)
)</f>
        <v>-</v>
      </c>
      <c r="AC223" s="55" t="str">
        <f>_xlfn.LET(
 _xlpm.x,
 _xlfn.MAXIFS(
  raw_stack!G$2:G$99411,
  raw_stack!D$2:D$99411, G223,
  raw_stack!F$2:F$99411, "Iya",
  raw_stack!G$2:G$99411, "&gt;="&amp;DATE(2026,2,1),
  raw_stack!G$2:G$99411, "&lt;="&amp;EOMONTH(DATE(2026,2,1),0)
 ),
 IF(_xlpm.x=0, "-", _xlpm.x)
)</f>
        <v>-</v>
      </c>
      <c r="AD223" s="56" t="str">
        <f>_xlfn.LET(
 _xlpm.x,
 _xlfn.MAXIFS(
  raw_stack!H$2:H$100000,
  raw_stack!D$2:D$100000, G223,
  raw_stack!F$2:F$100000, "Iya",
  raw_stack!G$2:G$100000, "&gt;="&amp;DATE(2026,2,1),
  raw_stack!G$2:G$100000, "&lt;="&amp;EOMONTH(DATE(2026,2,1),0)
 ),
 IF(OR(_xlpm.x=0, _xlpm.x=""), "-", _xlpm.x)
)</f>
        <v>-</v>
      </c>
      <c r="AE223" s="55" t="str">
        <f>_xlfn.LET(
 _xlpm.x,
 _xlfn.MAXIFS(
  raw_stack!G$2:G$100000,
  raw_stack!D$2:D$100000, G223,
  raw_stack!F$2:F$100000, "Iya",
  raw_stack!G$2:G$100000, "&gt;="&amp;DATE(2026,3,1),
  raw_stack!G$2:G$100000, "&lt;="&amp;EOMONTH(DATE(2026,3,1),0)
 ),
 IF(_xlpm.x=0, "-", _xlpm.x)
)</f>
        <v>-</v>
      </c>
      <c r="AF223" s="56" t="str">
        <f>_xlfn.LET(
 _xlpm.x,
 _xlfn.MAXIFS(
  raw_stack!H$2:H$100000,
  raw_stack!D$2:D$100000, G223,
  raw_stack!F$2:F$100000, "Iya",
  raw_stack!G$2:G$100000, "&gt;="&amp;DATE(2026,3,1),
  raw_stack!G$2:G$100000, "&lt;="&amp;EOMONTH(DATE(2026,3,1),0)
 ),
 IF(OR(_xlpm.x=0, _xlpm.x=""), "-", _xlpm.x)
)</f>
        <v>-</v>
      </c>
      <c r="AG223" s="55" t="str">
        <f>_xlfn.LET(
 _xlpm.x,
 _xlfn.MAXIFS(
  raw_stack!G$2:G$100000,
  raw_stack!D$2:D$100000, G223,
  raw_stack!F$2:F$100000, "Iya",
  raw_stack!G$2:G$100000, "&gt;="&amp;DATE(2026,4,1),
  raw_stack!G$2:G$100000, "&lt;="&amp;EOMONTH(DATE(2026,4,1),0)
 ),
 IF(_xlpm.x=0, "-", _xlpm.x)
)</f>
        <v>-</v>
      </c>
      <c r="AH223" s="56" t="str">
        <f>_xlfn.LET(
 _xlpm.x,
 _xlfn.MAXIFS(
  raw_stack!H$2:H$100000,
  raw_stack!D$2:D$100000, G223,
  raw_stack!F$2:F$100000, "Iya",
  raw_stack!G$2:G$100000, "&gt;="&amp;DATE(2026,4,1),
  raw_stack!G$2:G$100000, "&lt;="&amp;EOMONTH(DATE(2026,4,1),0)
 ),
 IF(OR(_xlpm.x=0, _xlpm.x=""), "-", _xlpm.x)
)</f>
        <v>-</v>
      </c>
    </row>
    <row r="224" spans="1:34">
      <c r="A224" s="48">
        <v>223</v>
      </c>
      <c r="B224" s="49" t="str">
        <f t="shared" si="3"/>
        <v>40804</v>
      </c>
      <c r="C224" s="50" t="s">
        <v>46</v>
      </c>
      <c r="D224" s="51" t="s">
        <v>645</v>
      </c>
      <c r="E224" s="51" t="s">
        <v>53</v>
      </c>
      <c r="F224" s="49" t="s">
        <v>117</v>
      </c>
      <c r="G224" s="49" t="s">
        <v>340</v>
      </c>
      <c r="H224" s="49" t="s">
        <v>48</v>
      </c>
      <c r="I224" s="49" t="s">
        <v>52</v>
      </c>
      <c r="J224" s="52">
        <v>3860000</v>
      </c>
      <c r="K224" s="53">
        <v>45723</v>
      </c>
      <c r="L224" s="53">
        <v>46818</v>
      </c>
      <c r="M224" s="53">
        <v>46087</v>
      </c>
      <c r="N224" s="49" t="s">
        <v>50</v>
      </c>
      <c r="O224" s="54" t="str">
        <f>_xlfn.LET(
 _xlpm.x,
 _xlfn.MAXIFS(
  raw_stack!G$2:G$100000,
  raw_stack!D$2:D$100000, G224,
  raw_stack!F$2:F$100000, "Iya",
  raw_stack!G$2:G$100000, "&gt;="&amp;DATE(2025,7,1),
  raw_stack!G$2:G$100000, "&lt;="&amp;EOMONTH(DATE(2025,7,1),0)
 ),
 IF(_xlpm.x=0, "-", _xlpm.x)
)</f>
        <v>-</v>
      </c>
      <c r="P224" s="65" t="str">
        <f>_xlfn.LET(
 _xlpm.x,
 _xlfn.MAXIFS(
  raw_stack!H$2:H$100000,
  raw_stack!D$2:D$100000, G224,
  raw_stack!F$2:F$100000, "Iya",
  raw_stack!G$2:G$100000, "&gt;="&amp;DATE(2025,7,1),
  raw_stack!G$2:G$100000, "&lt;="&amp;EOMONTH(DATE(2025,7,1),0)
 ),
 IF(OR(_xlpm.x=0, _xlpm.x=""), "-", _xlpm.x)
)</f>
        <v>-</v>
      </c>
      <c r="Q224" s="54" t="str">
        <f>_xlfn.LET(
 _xlpm.x,
 _xlfn.MAXIFS(
  raw_stack!G$2:G$99411,
  raw_stack!D$2:D$99411, G224,
  raw_stack!F$2:F$99411, "Iya",
  raw_stack!G$2:G$99411, "&gt;="&amp;DATE(2025,8,1),
  raw_stack!G$2:G$99411, "&lt;="&amp;EOMONTH(DATE(2025,8,1),0)
 ),
 IF(_xlpm.x=0, "-", _xlpm.x)
)</f>
        <v>-</v>
      </c>
      <c r="R224" s="65" t="str">
        <f>_xlfn.LET(
 _xlpm.x,
 _xlfn.MAXIFS(
  raw_stack!H$2:H$100000,
  raw_stack!D$2:D$100000, G224,
  raw_stack!F$2:F$100000, "Iya",
  raw_stack!G$2:G$100000, "&gt;="&amp;DATE(2025,8,1),
  raw_stack!G$2:G$100000, "&lt;="&amp;EOMONTH(DATE(2025,8,1),0)
 ),
 IF(OR(_xlpm.x=0, _xlpm.x=""), "-", _xlpm.x)
)</f>
        <v>-</v>
      </c>
      <c r="S224" s="54" t="str">
        <f>_xlfn.LET(
 _xlpm.x,
 _xlfn.MAXIFS(
  raw_stack!G$2:G$99411,
  raw_stack!D$2:D$99411, G224,
  raw_stack!F$2:F$99411, "Iya",
  raw_stack!G$2:G$99411, "&gt;="&amp;DATE(2025,9,1),
  raw_stack!G$2:G$99411, "&lt;="&amp;EOMONTH(DATE(2025,9,1),0)
 ),
 IF(_xlpm.x=0, "-", _xlpm.x)
)</f>
        <v>-</v>
      </c>
      <c r="T224" s="65" t="str">
        <f>_xlfn.LET(
 _xlpm.x,
 _xlfn.MAXIFS(
  raw_stack!H$2:H$100000,
  raw_stack!D$2:D$100000, G224,
  raw_stack!F$2:F$100000, "Iya",
  raw_stack!G$2:G$100000, "&gt;="&amp;DATE(2025,9,1),
  raw_stack!G$2:G$100000, "&lt;="&amp;EOMONTH(DATE(2025,9,1),0)
 ),
 IF(OR(_xlpm.x=0, _xlpm.x=""), "-", _xlpm.x)
)</f>
        <v>-</v>
      </c>
      <c r="U224" s="54" t="str">
        <f>_xlfn.LET(
 _xlpm.x,
 _xlfn.MAXIFS(
  raw_stack!G$2:G$99411,
  raw_stack!D$2:D$99411, G224,
  raw_stack!F$2:F$99411, "Iya",
  raw_stack!G$2:G$99411, "&gt;="&amp;DATE(2025,10,1),
  raw_stack!G$2:G$99411, "&lt;="&amp;EOMONTH(DATE(2025,10,1),0)
 ),
 IF(_xlpm.x=0, "-", _xlpm.x)
)</f>
        <v>-</v>
      </c>
      <c r="V224" s="65" t="str">
        <f>_xlfn.LET(
 _xlpm.x,
 _xlfn.MAXIFS(
  raw_stack!H$2:H$100000,
  raw_stack!D$2:D$100000, G224,
  raw_stack!F$2:F$100000, "Iya",
  raw_stack!G$2:G$100000, "&gt;="&amp;DATE(2025,10,1),
  raw_stack!G$2:G$100000, "&lt;="&amp;EOMONTH(DATE(2025,10,1),0)
 ),
 IF(OR(_xlpm.x=0, _xlpm.x=""), "-", _xlpm.x)
)</f>
        <v>-</v>
      </c>
      <c r="W224" s="55" t="str">
        <f>_xlfn.LET(
 _xlpm.x,
 _xlfn.MAXIFS(
  raw_stack!G$2:G$99411,
  raw_stack!D$2:D$99411, G224,
  raw_stack!F$2:F$99411, "Iya",
  raw_stack!G$2:G$99411, "&gt;="&amp;DATE(2025,11,1),
  raw_stack!G$2:G$99411, "&lt;="&amp;EOMONTH(DATE(2025,11,1),0)
 ),
 IF(_xlpm.x=0, "-", _xlpm.x)
)</f>
        <v>-</v>
      </c>
      <c r="X224" s="56" t="str">
        <f>_xlfn.LET(
 _xlpm.x,
 _xlfn.MAXIFS(
  raw_stack!H$2:H$100000,
  raw_stack!D$2:D$100000, G224,
  raw_stack!F$2:F$100000, "Iya",
  raw_stack!G$2:G$100000, "&gt;="&amp;DATE(2025,11,1),
  raw_stack!G$2:G$100000, "&lt;="&amp;EOMONTH(DATE(2025,11,1),0)
 ),
 IF(OR(_xlpm.x=0, _xlpm.x=""), "-", _xlpm.x)
)</f>
        <v>-</v>
      </c>
      <c r="Y224" s="55" t="str">
        <f>_xlfn.LET(
 _xlpm.x,
 _xlfn.MAXIFS(
  raw_stack!G$2:G$99411,
  raw_stack!D$2:D$99411, G224,
  raw_stack!F$2:F$99411, "Iya",
  raw_stack!G$2:G$99411, "&gt;="&amp;DATE(2025,12,1),
  raw_stack!G$2:G$99411, "&lt;="&amp;EOMONTH(DATE(2025,12,1),0)
 ),
 IF(_xlpm.x=0, "-", _xlpm.x)
)</f>
        <v>-</v>
      </c>
      <c r="Z224" s="56" t="str">
        <f>_xlfn.LET(
 _xlpm.x,
 _xlfn.MAXIFS(
  raw_stack!H$2:H$100000,
  raw_stack!D$2:D$100000, G224,
  raw_stack!F$2:F$100000, "Iya",
  raw_stack!G$2:G$100000, "&gt;="&amp;DATE(2025,12,1),
  raw_stack!G$2:G$100000, "&lt;="&amp;EOMONTH(DATE(2025,12,1),0)
 ),
 IF(OR(_xlpm.x=0, _xlpm.x=""), "-", _xlpm.x)
)</f>
        <v>-</v>
      </c>
      <c r="AA224" s="55" t="str">
        <f>_xlfn.LET(
 _xlpm.x,
 _xlfn.MAXIFS(
  raw_stack!G$2:G$99411,
  raw_stack!D$2:D$99411, G224,
  raw_stack!F$2:F$99411, "Iya",
  raw_stack!G$2:G$99411, "&gt;="&amp;DATE(2026,1,1),
  raw_stack!G$2:G$99411, "&lt;="&amp;EOMONTH(DATE(2026,1,1),0)
 ),
 IF(_xlpm.x=0, "-", _xlpm.x)
)</f>
        <v>-</v>
      </c>
      <c r="AB224" s="56" t="str">
        <f>_xlfn.LET(
 _xlpm.x,
 _xlfn.MAXIFS(
  raw_stack!H$2:H$100000,
  raw_stack!D$2:D$100000, G224,
  raw_stack!F$2:F$100000, "Iya",
  raw_stack!G$2:G$100000, "&gt;="&amp;DATE(2026,1,1),
  raw_stack!G$2:G$100000, "&lt;="&amp;EOMONTH(DATE(2026,1,1),0)
 ),
 IF(OR(_xlpm.x=0, _xlpm.x=""), "-", _xlpm.x)
)</f>
        <v>-</v>
      </c>
      <c r="AC224" s="55" t="str">
        <f>_xlfn.LET(
 _xlpm.x,
 _xlfn.MAXIFS(
  raw_stack!G$2:G$99411,
  raw_stack!D$2:D$99411, G224,
  raw_stack!F$2:F$99411, "Iya",
  raw_stack!G$2:G$99411, "&gt;="&amp;DATE(2026,2,1),
  raw_stack!G$2:G$99411, "&lt;="&amp;EOMONTH(DATE(2026,2,1),0)
 ),
 IF(_xlpm.x=0, "-", _xlpm.x)
)</f>
        <v>-</v>
      </c>
      <c r="AD224" s="56" t="str">
        <f>_xlfn.LET(
 _xlpm.x,
 _xlfn.MAXIFS(
  raw_stack!H$2:H$100000,
  raw_stack!D$2:D$100000, G224,
  raw_stack!F$2:F$100000, "Iya",
  raw_stack!G$2:G$100000, "&gt;="&amp;DATE(2026,2,1),
  raw_stack!G$2:G$100000, "&lt;="&amp;EOMONTH(DATE(2026,2,1),0)
 ),
 IF(OR(_xlpm.x=0, _xlpm.x=""), "-", _xlpm.x)
)</f>
        <v>-</v>
      </c>
      <c r="AE224" s="55" t="str">
        <f>_xlfn.LET(
 _xlpm.x,
 _xlfn.MAXIFS(
  raw_stack!G$2:G$100000,
  raw_stack!D$2:D$100000, G224,
  raw_stack!F$2:F$100000, "Iya",
  raw_stack!G$2:G$100000, "&gt;="&amp;DATE(2026,3,1),
  raw_stack!G$2:G$100000, "&lt;="&amp;EOMONTH(DATE(2026,3,1),0)
 ),
 IF(_xlpm.x=0, "-", _xlpm.x)
)</f>
        <v>-</v>
      </c>
      <c r="AF224" s="56" t="str">
        <f>_xlfn.LET(
 _xlpm.x,
 _xlfn.MAXIFS(
  raw_stack!H$2:H$100000,
  raw_stack!D$2:D$100000, G224,
  raw_stack!F$2:F$100000, "Iya",
  raw_stack!G$2:G$100000, "&gt;="&amp;DATE(2026,3,1),
  raw_stack!G$2:G$100000, "&lt;="&amp;EOMONTH(DATE(2026,3,1),0)
 ),
 IF(OR(_xlpm.x=0, _xlpm.x=""), "-", _xlpm.x)
)</f>
        <v>-</v>
      </c>
      <c r="AG224" s="55" t="str">
        <f>_xlfn.LET(
 _xlpm.x,
 _xlfn.MAXIFS(
  raw_stack!G$2:G$100000,
  raw_stack!D$2:D$100000, G224,
  raw_stack!F$2:F$100000, "Iya",
  raw_stack!G$2:G$100000, "&gt;="&amp;DATE(2026,4,1),
  raw_stack!G$2:G$100000, "&lt;="&amp;EOMONTH(DATE(2026,4,1),0)
 ),
 IF(_xlpm.x=0, "-", _xlpm.x)
)</f>
        <v>-</v>
      </c>
      <c r="AH224" s="56" t="str">
        <f>_xlfn.LET(
 _xlpm.x,
 _xlfn.MAXIFS(
  raw_stack!H$2:H$100000,
  raw_stack!D$2:D$100000, G224,
  raw_stack!F$2:F$100000, "Iya",
  raw_stack!G$2:G$100000, "&gt;="&amp;DATE(2026,4,1),
  raw_stack!G$2:G$100000, "&lt;="&amp;EOMONTH(DATE(2026,4,1),0)
 ),
 IF(OR(_xlpm.x=0, _xlpm.x=""), "-", _xlpm.x)
)</f>
        <v>-</v>
      </c>
    </row>
    <row r="225" spans="1:34">
      <c r="A225" s="48">
        <v>224</v>
      </c>
      <c r="B225" s="49" t="str">
        <f t="shared" si="3"/>
        <v>26358</v>
      </c>
      <c r="C225" s="50" t="s">
        <v>46</v>
      </c>
      <c r="D225" s="51" t="s">
        <v>646</v>
      </c>
      <c r="E225" s="51" t="s">
        <v>53</v>
      </c>
      <c r="F225" s="49" t="s">
        <v>117</v>
      </c>
      <c r="G225" s="49" t="s">
        <v>341</v>
      </c>
      <c r="H225" s="49" t="s">
        <v>48</v>
      </c>
      <c r="I225" s="49" t="s">
        <v>52</v>
      </c>
      <c r="J225" s="52">
        <v>3860000</v>
      </c>
      <c r="K225" s="53">
        <v>45724</v>
      </c>
      <c r="L225" s="53">
        <v>46819</v>
      </c>
      <c r="M225" s="53">
        <v>46088</v>
      </c>
      <c r="N225" s="49" t="s">
        <v>50</v>
      </c>
      <c r="O225" s="54" t="str">
        <f>_xlfn.LET(
 _xlpm.x,
 _xlfn.MAXIFS(
  raw_stack!G$2:G$100000,
  raw_stack!D$2:D$100000, G225,
  raw_stack!F$2:F$100000, "Iya",
  raw_stack!G$2:G$100000, "&gt;="&amp;DATE(2025,7,1),
  raw_stack!G$2:G$100000, "&lt;="&amp;EOMONTH(DATE(2025,7,1),0)
 ),
 IF(_xlpm.x=0, "-", _xlpm.x)
)</f>
        <v>-</v>
      </c>
      <c r="P225" s="65" t="str">
        <f>_xlfn.LET(
 _xlpm.x,
 _xlfn.MAXIFS(
  raw_stack!H$2:H$100000,
  raw_stack!D$2:D$100000, G225,
  raw_stack!F$2:F$100000, "Iya",
  raw_stack!G$2:G$100000, "&gt;="&amp;DATE(2025,7,1),
  raw_stack!G$2:G$100000, "&lt;="&amp;EOMONTH(DATE(2025,7,1),0)
 ),
 IF(OR(_xlpm.x=0, _xlpm.x=""), "-", _xlpm.x)
)</f>
        <v>-</v>
      </c>
      <c r="Q225" s="54" t="str">
        <f>_xlfn.LET(
 _xlpm.x,
 _xlfn.MAXIFS(
  raw_stack!G$2:G$99411,
  raw_stack!D$2:D$99411, G225,
  raw_stack!F$2:F$99411, "Iya",
  raw_stack!G$2:G$99411, "&gt;="&amp;DATE(2025,8,1),
  raw_stack!G$2:G$99411, "&lt;="&amp;EOMONTH(DATE(2025,8,1),0)
 ),
 IF(_xlpm.x=0, "-", _xlpm.x)
)</f>
        <v>-</v>
      </c>
      <c r="R225" s="65" t="str">
        <f>_xlfn.LET(
 _xlpm.x,
 _xlfn.MAXIFS(
  raw_stack!H$2:H$100000,
  raw_stack!D$2:D$100000, G225,
  raw_stack!F$2:F$100000, "Iya",
  raw_stack!G$2:G$100000, "&gt;="&amp;DATE(2025,8,1),
  raw_stack!G$2:G$100000, "&lt;="&amp;EOMONTH(DATE(2025,8,1),0)
 ),
 IF(OR(_xlpm.x=0, _xlpm.x=""), "-", _xlpm.x)
)</f>
        <v>-</v>
      </c>
      <c r="S225" s="54" t="str">
        <f>_xlfn.LET(
 _xlpm.x,
 _xlfn.MAXIFS(
  raw_stack!G$2:G$99411,
  raw_stack!D$2:D$99411, G225,
  raw_stack!F$2:F$99411, "Iya",
  raw_stack!G$2:G$99411, "&gt;="&amp;DATE(2025,9,1),
  raw_stack!G$2:G$99411, "&lt;="&amp;EOMONTH(DATE(2025,9,1),0)
 ),
 IF(_xlpm.x=0, "-", _xlpm.x)
)</f>
        <v>-</v>
      </c>
      <c r="T225" s="65" t="str">
        <f>_xlfn.LET(
 _xlpm.x,
 _xlfn.MAXIFS(
  raw_stack!H$2:H$100000,
  raw_stack!D$2:D$100000, G225,
  raw_stack!F$2:F$100000, "Iya",
  raw_stack!G$2:G$100000, "&gt;="&amp;DATE(2025,9,1),
  raw_stack!G$2:G$100000, "&lt;="&amp;EOMONTH(DATE(2025,9,1),0)
 ),
 IF(OR(_xlpm.x=0, _xlpm.x=""), "-", _xlpm.x)
)</f>
        <v>-</v>
      </c>
      <c r="U225" s="54" t="str">
        <f>_xlfn.LET(
 _xlpm.x,
 _xlfn.MAXIFS(
  raw_stack!G$2:G$99411,
  raw_stack!D$2:D$99411, G225,
  raw_stack!F$2:F$99411, "Iya",
  raw_stack!G$2:G$99411, "&gt;="&amp;DATE(2025,10,1),
  raw_stack!G$2:G$99411, "&lt;="&amp;EOMONTH(DATE(2025,10,1),0)
 ),
 IF(_xlpm.x=0, "-", _xlpm.x)
)</f>
        <v>-</v>
      </c>
      <c r="V225" s="65" t="str">
        <f>_xlfn.LET(
 _xlpm.x,
 _xlfn.MAXIFS(
  raw_stack!H$2:H$100000,
  raw_stack!D$2:D$100000, G225,
  raw_stack!F$2:F$100000, "Iya",
  raw_stack!G$2:G$100000, "&gt;="&amp;DATE(2025,10,1),
  raw_stack!G$2:G$100000, "&lt;="&amp;EOMONTH(DATE(2025,10,1),0)
 ),
 IF(OR(_xlpm.x=0, _xlpm.x=""), "-", _xlpm.x)
)</f>
        <v>-</v>
      </c>
      <c r="W225" s="55" t="str">
        <f>_xlfn.LET(
 _xlpm.x,
 _xlfn.MAXIFS(
  raw_stack!G$2:G$99411,
  raw_stack!D$2:D$99411, G225,
  raw_stack!F$2:F$99411, "Iya",
  raw_stack!G$2:G$99411, "&gt;="&amp;DATE(2025,11,1),
  raw_stack!G$2:G$99411, "&lt;="&amp;EOMONTH(DATE(2025,11,1),0)
 ),
 IF(_xlpm.x=0, "-", _xlpm.x)
)</f>
        <v>-</v>
      </c>
      <c r="X225" s="56" t="str">
        <f>_xlfn.LET(
 _xlpm.x,
 _xlfn.MAXIFS(
  raw_stack!H$2:H$100000,
  raw_stack!D$2:D$100000, G225,
  raw_stack!F$2:F$100000, "Iya",
  raw_stack!G$2:G$100000, "&gt;="&amp;DATE(2025,11,1),
  raw_stack!G$2:G$100000, "&lt;="&amp;EOMONTH(DATE(2025,11,1),0)
 ),
 IF(OR(_xlpm.x=0, _xlpm.x=""), "-", _xlpm.x)
)</f>
        <v>-</v>
      </c>
      <c r="Y225" s="55" t="str">
        <f>_xlfn.LET(
 _xlpm.x,
 _xlfn.MAXIFS(
  raw_stack!G$2:G$99411,
  raw_stack!D$2:D$99411, G225,
  raw_stack!F$2:F$99411, "Iya",
  raw_stack!G$2:G$99411, "&gt;="&amp;DATE(2025,12,1),
  raw_stack!G$2:G$99411, "&lt;="&amp;EOMONTH(DATE(2025,12,1),0)
 ),
 IF(_xlpm.x=0, "-", _xlpm.x)
)</f>
        <v>-</v>
      </c>
      <c r="Z225" s="56" t="str">
        <f>_xlfn.LET(
 _xlpm.x,
 _xlfn.MAXIFS(
  raw_stack!H$2:H$100000,
  raw_stack!D$2:D$100000, G225,
  raw_stack!F$2:F$100000, "Iya",
  raw_stack!G$2:G$100000, "&gt;="&amp;DATE(2025,12,1),
  raw_stack!G$2:G$100000, "&lt;="&amp;EOMONTH(DATE(2025,12,1),0)
 ),
 IF(OR(_xlpm.x=0, _xlpm.x=""), "-", _xlpm.x)
)</f>
        <v>-</v>
      </c>
      <c r="AA225" s="55">
        <f>_xlfn.LET(
 _xlpm.x,
 _xlfn.MAXIFS(
  raw_stack!G$2:G$99411,
  raw_stack!D$2:D$99411, G225,
  raw_stack!F$2:F$99411, "Iya",
  raw_stack!G$2:G$99411, "&gt;="&amp;DATE(2026,1,1),
  raw_stack!G$2:G$99411, "&lt;="&amp;EOMONTH(DATE(2026,1,1),0)
 ),
 IF(_xlpm.x=0, "-", _xlpm.x)
)</f>
        <v>46044</v>
      </c>
      <c r="AB225" s="56">
        <f>_xlfn.LET(
 _xlpm.x,
 _xlfn.MAXIFS(
  raw_stack!H$2:H$100000,
  raw_stack!D$2:D$100000, G225,
  raw_stack!F$2:F$100000, "Iya",
  raw_stack!G$2:G$100000, "&gt;="&amp;DATE(2026,1,1),
  raw_stack!G$2:G$100000, "&lt;="&amp;EOMONTH(DATE(2026,1,1),0)
 ),
 IF(OR(_xlpm.x=0, _xlpm.x=""), "-", _xlpm.x)
)</f>
        <v>6315</v>
      </c>
      <c r="AC225" s="55" t="str">
        <f>_xlfn.LET(
 _xlpm.x,
 _xlfn.MAXIFS(
  raw_stack!G$2:G$99411,
  raw_stack!D$2:D$99411, G225,
  raw_stack!F$2:F$99411, "Iya",
  raw_stack!G$2:G$99411, "&gt;="&amp;DATE(2026,2,1),
  raw_stack!G$2:G$99411, "&lt;="&amp;EOMONTH(DATE(2026,2,1),0)
 ),
 IF(_xlpm.x=0, "-", _xlpm.x)
)</f>
        <v>-</v>
      </c>
      <c r="AD225" s="56" t="str">
        <f>_xlfn.LET(
 _xlpm.x,
 _xlfn.MAXIFS(
  raw_stack!H$2:H$100000,
  raw_stack!D$2:D$100000, G225,
  raw_stack!F$2:F$100000, "Iya",
  raw_stack!G$2:G$100000, "&gt;="&amp;DATE(2026,2,1),
  raw_stack!G$2:G$100000, "&lt;="&amp;EOMONTH(DATE(2026,2,1),0)
 ),
 IF(OR(_xlpm.x=0, _xlpm.x=""), "-", _xlpm.x)
)</f>
        <v>-</v>
      </c>
      <c r="AE225" s="55" t="str">
        <f>_xlfn.LET(
 _xlpm.x,
 _xlfn.MAXIFS(
  raw_stack!G$2:G$100000,
  raw_stack!D$2:D$100000, G225,
  raw_stack!F$2:F$100000, "Iya",
  raw_stack!G$2:G$100000, "&gt;="&amp;DATE(2026,3,1),
  raw_stack!G$2:G$100000, "&lt;="&amp;EOMONTH(DATE(2026,3,1),0)
 ),
 IF(_xlpm.x=0, "-", _xlpm.x)
)</f>
        <v>-</v>
      </c>
      <c r="AF225" s="56" t="str">
        <f>_xlfn.LET(
 _xlpm.x,
 _xlfn.MAXIFS(
  raw_stack!H$2:H$100000,
  raw_stack!D$2:D$100000, G225,
  raw_stack!F$2:F$100000, "Iya",
  raw_stack!G$2:G$100000, "&gt;="&amp;DATE(2026,3,1),
  raw_stack!G$2:G$100000, "&lt;="&amp;EOMONTH(DATE(2026,3,1),0)
 ),
 IF(OR(_xlpm.x=0, _xlpm.x=""), "-", _xlpm.x)
)</f>
        <v>-</v>
      </c>
      <c r="AG225" s="55" t="str">
        <f>_xlfn.LET(
 _xlpm.x,
 _xlfn.MAXIFS(
  raw_stack!G$2:G$100000,
  raw_stack!D$2:D$100000, G225,
  raw_stack!F$2:F$100000, "Iya",
  raw_stack!G$2:G$100000, "&gt;="&amp;DATE(2026,4,1),
  raw_stack!G$2:G$100000, "&lt;="&amp;EOMONTH(DATE(2026,4,1),0)
 ),
 IF(_xlpm.x=0, "-", _xlpm.x)
)</f>
        <v>-</v>
      </c>
      <c r="AH225" s="56" t="str">
        <f>_xlfn.LET(
 _xlpm.x,
 _xlfn.MAXIFS(
  raw_stack!H$2:H$100000,
  raw_stack!D$2:D$100000, G225,
  raw_stack!F$2:F$100000, "Iya",
  raw_stack!G$2:G$100000, "&gt;="&amp;DATE(2026,4,1),
  raw_stack!G$2:G$100000, "&lt;="&amp;EOMONTH(DATE(2026,4,1),0)
 ),
 IF(OR(_xlpm.x=0, _xlpm.x=""), "-", _xlpm.x)
)</f>
        <v>-</v>
      </c>
    </row>
    <row r="226" spans="1:34">
      <c r="A226" s="48">
        <v>225</v>
      </c>
      <c r="B226" s="49" t="str">
        <f t="shared" si="3"/>
        <v>11749</v>
      </c>
      <c r="C226" s="50" t="s">
        <v>46</v>
      </c>
      <c r="D226" s="51" t="s">
        <v>647</v>
      </c>
      <c r="E226" s="51" t="s">
        <v>53</v>
      </c>
      <c r="F226" s="49" t="s">
        <v>117</v>
      </c>
      <c r="G226" s="49" t="s">
        <v>342</v>
      </c>
      <c r="H226" s="49" t="s">
        <v>48</v>
      </c>
      <c r="I226" s="49" t="s">
        <v>52</v>
      </c>
      <c r="J226" s="52">
        <v>3960000</v>
      </c>
      <c r="K226" s="53">
        <v>45724</v>
      </c>
      <c r="L226" s="53">
        <v>46819</v>
      </c>
      <c r="M226" s="53">
        <v>46088</v>
      </c>
      <c r="N226" s="49" t="s">
        <v>50</v>
      </c>
      <c r="O226" s="54" t="str">
        <f>_xlfn.LET(
 _xlpm.x,
 _xlfn.MAXIFS(
  raw_stack!G$2:G$100000,
  raw_stack!D$2:D$100000, G226,
  raw_stack!F$2:F$100000, "Iya",
  raw_stack!G$2:G$100000, "&gt;="&amp;DATE(2025,7,1),
  raw_stack!G$2:G$100000, "&lt;="&amp;EOMONTH(DATE(2025,7,1),0)
 ),
 IF(_xlpm.x=0, "-", _xlpm.x)
)</f>
        <v>-</v>
      </c>
      <c r="P226" s="65" t="str">
        <f>_xlfn.LET(
 _xlpm.x,
 _xlfn.MAXIFS(
  raw_stack!H$2:H$100000,
  raw_stack!D$2:D$100000, G226,
  raw_stack!F$2:F$100000, "Iya",
  raw_stack!G$2:G$100000, "&gt;="&amp;DATE(2025,7,1),
  raw_stack!G$2:G$100000, "&lt;="&amp;EOMONTH(DATE(2025,7,1),0)
 ),
 IF(OR(_xlpm.x=0, _xlpm.x=""), "-", _xlpm.x)
)</f>
        <v>-</v>
      </c>
      <c r="Q226" s="54" t="str">
        <f>_xlfn.LET(
 _xlpm.x,
 _xlfn.MAXIFS(
  raw_stack!G$2:G$99411,
  raw_stack!D$2:D$99411, G226,
  raw_stack!F$2:F$99411, "Iya",
  raw_stack!G$2:G$99411, "&gt;="&amp;DATE(2025,8,1),
  raw_stack!G$2:G$99411, "&lt;="&amp;EOMONTH(DATE(2025,8,1),0)
 ),
 IF(_xlpm.x=0, "-", _xlpm.x)
)</f>
        <v>-</v>
      </c>
      <c r="R226" s="65" t="str">
        <f>_xlfn.LET(
 _xlpm.x,
 _xlfn.MAXIFS(
  raw_stack!H$2:H$100000,
  raw_stack!D$2:D$100000, G226,
  raw_stack!F$2:F$100000, "Iya",
  raw_stack!G$2:G$100000, "&gt;="&amp;DATE(2025,8,1),
  raw_stack!G$2:G$100000, "&lt;="&amp;EOMONTH(DATE(2025,8,1),0)
 ),
 IF(OR(_xlpm.x=0, _xlpm.x=""), "-", _xlpm.x)
)</f>
        <v>-</v>
      </c>
      <c r="S226" s="54">
        <f>_xlfn.LET(
 _xlpm.x,
 _xlfn.MAXIFS(
  raw_stack!G$2:G$99411,
  raw_stack!D$2:D$99411, G226,
  raw_stack!F$2:F$99411, "Iya",
  raw_stack!G$2:G$99411, "&gt;="&amp;DATE(2025,9,1),
  raw_stack!G$2:G$99411, "&lt;="&amp;EOMONTH(DATE(2025,9,1),0)
 ),
 IF(_xlpm.x=0, "-", _xlpm.x)
)</f>
        <v>45902</v>
      </c>
      <c r="T226" s="65">
        <f>_xlfn.LET(
 _xlpm.x,
 _xlfn.MAXIFS(
  raw_stack!H$2:H$100000,
  raw_stack!D$2:D$100000, G226,
  raw_stack!F$2:F$100000, "Iya",
  raw_stack!G$2:G$100000, "&gt;="&amp;DATE(2025,9,1),
  raw_stack!G$2:G$100000, "&lt;="&amp;EOMONTH(DATE(2025,9,1),0)
 ),
 IF(OR(_xlpm.x=0, _xlpm.x=""), "-", _xlpm.x)
)</f>
        <v>8171</v>
      </c>
      <c r="U226" s="54" t="str">
        <f>_xlfn.LET(
 _xlpm.x,
 _xlfn.MAXIFS(
  raw_stack!G$2:G$99411,
  raw_stack!D$2:D$99411, G226,
  raw_stack!F$2:F$99411, "Iya",
  raw_stack!G$2:G$99411, "&gt;="&amp;DATE(2025,10,1),
  raw_stack!G$2:G$99411, "&lt;="&amp;EOMONTH(DATE(2025,10,1),0)
 ),
 IF(_xlpm.x=0, "-", _xlpm.x)
)</f>
        <v>-</v>
      </c>
      <c r="V226" s="65" t="str">
        <f>_xlfn.LET(
 _xlpm.x,
 _xlfn.MAXIFS(
  raw_stack!H$2:H$100000,
  raw_stack!D$2:D$100000, G226,
  raw_stack!F$2:F$100000, "Iya",
  raw_stack!G$2:G$100000, "&gt;="&amp;DATE(2025,10,1),
  raw_stack!G$2:G$100000, "&lt;="&amp;EOMONTH(DATE(2025,10,1),0)
 ),
 IF(OR(_xlpm.x=0, _xlpm.x=""), "-", _xlpm.x)
)</f>
        <v>-</v>
      </c>
      <c r="W226" s="55" t="str">
        <f>_xlfn.LET(
 _xlpm.x,
 _xlfn.MAXIFS(
  raw_stack!G$2:G$99411,
  raw_stack!D$2:D$99411, G226,
  raw_stack!F$2:F$99411, "Iya",
  raw_stack!G$2:G$99411, "&gt;="&amp;DATE(2025,11,1),
  raw_stack!G$2:G$99411, "&lt;="&amp;EOMONTH(DATE(2025,11,1),0)
 ),
 IF(_xlpm.x=0, "-", _xlpm.x)
)</f>
        <v>-</v>
      </c>
      <c r="X226" s="56" t="str">
        <f>_xlfn.LET(
 _xlpm.x,
 _xlfn.MAXIFS(
  raw_stack!H$2:H$100000,
  raw_stack!D$2:D$100000, G226,
  raw_stack!F$2:F$100000, "Iya",
  raw_stack!G$2:G$100000, "&gt;="&amp;DATE(2025,11,1),
  raw_stack!G$2:G$100000, "&lt;="&amp;EOMONTH(DATE(2025,11,1),0)
 ),
 IF(OR(_xlpm.x=0, _xlpm.x=""), "-", _xlpm.x)
)</f>
        <v>-</v>
      </c>
      <c r="Y226" s="55" t="str">
        <f>_xlfn.LET(
 _xlpm.x,
 _xlfn.MAXIFS(
  raw_stack!G$2:G$99411,
  raw_stack!D$2:D$99411, G226,
  raw_stack!F$2:F$99411, "Iya",
  raw_stack!G$2:G$99411, "&gt;="&amp;DATE(2025,12,1),
  raw_stack!G$2:G$99411, "&lt;="&amp;EOMONTH(DATE(2025,12,1),0)
 ),
 IF(_xlpm.x=0, "-", _xlpm.x)
)</f>
        <v>-</v>
      </c>
      <c r="Z226" s="56" t="str">
        <f>_xlfn.LET(
 _xlpm.x,
 _xlfn.MAXIFS(
  raw_stack!H$2:H$100000,
  raw_stack!D$2:D$100000, G226,
  raw_stack!F$2:F$100000, "Iya",
  raw_stack!G$2:G$100000, "&gt;="&amp;DATE(2025,12,1),
  raw_stack!G$2:G$100000, "&lt;="&amp;EOMONTH(DATE(2025,12,1),0)
 ),
 IF(OR(_xlpm.x=0, _xlpm.x=""), "-", _xlpm.x)
)</f>
        <v>-</v>
      </c>
      <c r="AA226" s="55" t="str">
        <f>_xlfn.LET(
 _xlpm.x,
 _xlfn.MAXIFS(
  raw_stack!G$2:G$99411,
  raw_stack!D$2:D$99411, G226,
  raw_stack!F$2:F$99411, "Iya",
  raw_stack!G$2:G$99411, "&gt;="&amp;DATE(2026,1,1),
  raw_stack!G$2:G$99411, "&lt;="&amp;EOMONTH(DATE(2026,1,1),0)
 ),
 IF(_xlpm.x=0, "-", _xlpm.x)
)</f>
        <v>-</v>
      </c>
      <c r="AB226" s="56" t="str">
        <f>_xlfn.LET(
 _xlpm.x,
 _xlfn.MAXIFS(
  raw_stack!H$2:H$100000,
  raw_stack!D$2:D$100000, G226,
  raw_stack!F$2:F$100000, "Iya",
  raw_stack!G$2:G$100000, "&gt;="&amp;DATE(2026,1,1),
  raw_stack!G$2:G$100000, "&lt;="&amp;EOMONTH(DATE(2026,1,1),0)
 ),
 IF(OR(_xlpm.x=0, _xlpm.x=""), "-", _xlpm.x)
)</f>
        <v>-</v>
      </c>
      <c r="AC226" s="55" t="str">
        <f>_xlfn.LET(
 _xlpm.x,
 _xlfn.MAXIFS(
  raw_stack!G$2:G$99411,
  raw_stack!D$2:D$99411, G226,
  raw_stack!F$2:F$99411, "Iya",
  raw_stack!G$2:G$99411, "&gt;="&amp;DATE(2026,2,1),
  raw_stack!G$2:G$99411, "&lt;="&amp;EOMONTH(DATE(2026,2,1),0)
 ),
 IF(_xlpm.x=0, "-", _xlpm.x)
)</f>
        <v>-</v>
      </c>
      <c r="AD226" s="56" t="str">
        <f>_xlfn.LET(
 _xlpm.x,
 _xlfn.MAXIFS(
  raw_stack!H$2:H$100000,
  raw_stack!D$2:D$100000, G226,
  raw_stack!F$2:F$100000, "Iya",
  raw_stack!G$2:G$100000, "&gt;="&amp;DATE(2026,2,1),
  raw_stack!G$2:G$100000, "&lt;="&amp;EOMONTH(DATE(2026,2,1),0)
 ),
 IF(OR(_xlpm.x=0, _xlpm.x=""), "-", _xlpm.x)
)</f>
        <v>-</v>
      </c>
      <c r="AE226" s="55" t="str">
        <f>_xlfn.LET(
 _xlpm.x,
 _xlfn.MAXIFS(
  raw_stack!G$2:G$100000,
  raw_stack!D$2:D$100000, G226,
  raw_stack!F$2:F$100000, "Iya",
  raw_stack!G$2:G$100000, "&gt;="&amp;DATE(2026,3,1),
  raw_stack!G$2:G$100000, "&lt;="&amp;EOMONTH(DATE(2026,3,1),0)
 ),
 IF(_xlpm.x=0, "-", _xlpm.x)
)</f>
        <v>-</v>
      </c>
      <c r="AF226" s="56" t="str">
        <f>_xlfn.LET(
 _xlpm.x,
 _xlfn.MAXIFS(
  raw_stack!H$2:H$100000,
  raw_stack!D$2:D$100000, G226,
  raw_stack!F$2:F$100000, "Iya",
  raw_stack!G$2:G$100000, "&gt;="&amp;DATE(2026,3,1),
  raw_stack!G$2:G$100000, "&lt;="&amp;EOMONTH(DATE(2026,3,1),0)
 ),
 IF(OR(_xlpm.x=0, _xlpm.x=""), "-", _xlpm.x)
)</f>
        <v>-</v>
      </c>
      <c r="AG226" s="55" t="str">
        <f>_xlfn.LET(
 _xlpm.x,
 _xlfn.MAXIFS(
  raw_stack!G$2:G$100000,
  raw_stack!D$2:D$100000, G226,
  raw_stack!F$2:F$100000, "Iya",
  raw_stack!G$2:G$100000, "&gt;="&amp;DATE(2026,4,1),
  raw_stack!G$2:G$100000, "&lt;="&amp;EOMONTH(DATE(2026,4,1),0)
 ),
 IF(_xlpm.x=0, "-", _xlpm.x)
)</f>
        <v>-</v>
      </c>
      <c r="AH226" s="56" t="str">
        <f>_xlfn.LET(
 _xlpm.x,
 _xlfn.MAXIFS(
  raw_stack!H$2:H$100000,
  raw_stack!D$2:D$100000, G226,
  raw_stack!F$2:F$100000, "Iya",
  raw_stack!G$2:G$100000, "&gt;="&amp;DATE(2026,4,1),
  raw_stack!G$2:G$100000, "&lt;="&amp;EOMONTH(DATE(2026,4,1),0)
 ),
 IF(OR(_xlpm.x=0, _xlpm.x=""), "-", _xlpm.x)
)</f>
        <v>-</v>
      </c>
    </row>
    <row r="227" spans="1:34">
      <c r="A227" s="48">
        <v>226</v>
      </c>
      <c r="B227" s="49" t="str">
        <f t="shared" si="3"/>
        <v>50579</v>
      </c>
      <c r="C227" s="50" t="s">
        <v>46</v>
      </c>
      <c r="D227" s="51" t="s">
        <v>559</v>
      </c>
      <c r="E227" s="51" t="s">
        <v>54</v>
      </c>
      <c r="F227" s="49" t="s">
        <v>117</v>
      </c>
      <c r="G227" s="49" t="s">
        <v>343</v>
      </c>
      <c r="H227" s="49" t="s">
        <v>48</v>
      </c>
      <c r="I227" s="49" t="s">
        <v>52</v>
      </c>
      <c r="J227" s="52">
        <v>7021700</v>
      </c>
      <c r="K227" s="53">
        <v>45726</v>
      </c>
      <c r="L227" s="53">
        <v>46821</v>
      </c>
      <c r="M227" s="53">
        <v>46062</v>
      </c>
      <c r="N227" s="49" t="s">
        <v>50</v>
      </c>
      <c r="O227" s="54" t="str">
        <f>_xlfn.LET(
 _xlpm.x,
 _xlfn.MAXIFS(
  raw_stack!G$2:G$100000,
  raw_stack!D$2:D$100000, G227,
  raw_stack!F$2:F$100000, "Iya",
  raw_stack!G$2:G$100000, "&gt;="&amp;DATE(2025,7,1),
  raw_stack!G$2:G$100000, "&lt;="&amp;EOMONTH(DATE(2025,7,1),0)
 ),
 IF(_xlpm.x=0, "-", _xlpm.x)
)</f>
        <v>-</v>
      </c>
      <c r="P227" s="65" t="str">
        <f>_xlfn.LET(
 _xlpm.x,
 _xlfn.MAXIFS(
  raw_stack!H$2:H$100000,
  raw_stack!D$2:D$100000, G227,
  raw_stack!F$2:F$100000, "Iya",
  raw_stack!G$2:G$100000, "&gt;="&amp;DATE(2025,7,1),
  raw_stack!G$2:G$100000, "&lt;="&amp;EOMONTH(DATE(2025,7,1),0)
 ),
 IF(OR(_xlpm.x=0, _xlpm.x=""), "-", _xlpm.x)
)</f>
        <v>-</v>
      </c>
      <c r="Q227" s="54">
        <f>_xlfn.LET(
 _xlpm.x,
 _xlfn.MAXIFS(
  raw_stack!G$2:G$99411,
  raw_stack!D$2:D$99411, G227,
  raw_stack!F$2:F$99411, "Iya",
  raw_stack!G$2:G$99411, "&gt;="&amp;DATE(2025,8,1),
  raw_stack!G$2:G$99411, "&lt;="&amp;EOMONTH(DATE(2025,8,1),0)
 ),
 IF(_xlpm.x=0, "-", _xlpm.x)
)</f>
        <v>45870</v>
      </c>
      <c r="R227" s="65">
        <f>_xlfn.LET(
 _xlpm.x,
 _xlfn.MAXIFS(
  raw_stack!H$2:H$100000,
  raw_stack!D$2:D$100000, G227,
  raw_stack!F$2:F$100000, "Iya",
  raw_stack!G$2:G$100000, "&gt;="&amp;DATE(2025,8,1),
  raw_stack!G$2:G$100000, "&lt;="&amp;EOMONTH(DATE(2025,8,1),0)
 ),
 IF(OR(_xlpm.x=0, _xlpm.x=""), "-", _xlpm.x)
)</f>
        <v>4509</v>
      </c>
      <c r="S227" s="54" t="str">
        <f>_xlfn.LET(
 _xlpm.x,
 _xlfn.MAXIFS(
  raw_stack!G$2:G$99411,
  raw_stack!D$2:D$99411, G227,
  raw_stack!F$2:F$99411, "Iya",
  raw_stack!G$2:G$99411, "&gt;="&amp;DATE(2025,9,1),
  raw_stack!G$2:G$99411, "&lt;="&amp;EOMONTH(DATE(2025,9,1),0)
 ),
 IF(_xlpm.x=0, "-", _xlpm.x)
)</f>
        <v>-</v>
      </c>
      <c r="T227" s="65" t="str">
        <f>_xlfn.LET(
 _xlpm.x,
 _xlfn.MAXIFS(
  raw_stack!H$2:H$100000,
  raw_stack!D$2:D$100000, G227,
  raw_stack!F$2:F$100000, "Iya",
  raw_stack!G$2:G$100000, "&gt;="&amp;DATE(2025,9,1),
  raw_stack!G$2:G$100000, "&lt;="&amp;EOMONTH(DATE(2025,9,1),0)
 ),
 IF(OR(_xlpm.x=0, _xlpm.x=""), "-", _xlpm.x)
)</f>
        <v>-</v>
      </c>
      <c r="U227" s="54" t="str">
        <f>_xlfn.LET(
 _xlpm.x,
 _xlfn.MAXIFS(
  raw_stack!G$2:G$99411,
  raw_stack!D$2:D$99411, G227,
  raw_stack!F$2:F$99411, "Iya",
  raw_stack!G$2:G$99411, "&gt;="&amp;DATE(2025,10,1),
  raw_stack!G$2:G$99411, "&lt;="&amp;EOMONTH(DATE(2025,10,1),0)
 ),
 IF(_xlpm.x=0, "-", _xlpm.x)
)</f>
        <v>-</v>
      </c>
      <c r="V227" s="65" t="str">
        <f>_xlfn.LET(
 _xlpm.x,
 _xlfn.MAXIFS(
  raw_stack!H$2:H$100000,
  raw_stack!D$2:D$100000, G227,
  raw_stack!F$2:F$100000, "Iya",
  raw_stack!G$2:G$100000, "&gt;="&amp;DATE(2025,10,1),
  raw_stack!G$2:G$100000, "&lt;="&amp;EOMONTH(DATE(2025,10,1),0)
 ),
 IF(OR(_xlpm.x=0, _xlpm.x=""), "-", _xlpm.x)
)</f>
        <v>-</v>
      </c>
      <c r="W227" s="55" t="str">
        <f>_xlfn.LET(
 _xlpm.x,
 _xlfn.MAXIFS(
  raw_stack!G$2:G$99411,
  raw_stack!D$2:D$99411, G227,
  raw_stack!F$2:F$99411, "Iya",
  raw_stack!G$2:G$99411, "&gt;="&amp;DATE(2025,11,1),
  raw_stack!G$2:G$99411, "&lt;="&amp;EOMONTH(DATE(2025,11,1),0)
 ),
 IF(_xlpm.x=0, "-", _xlpm.x)
)</f>
        <v>-</v>
      </c>
      <c r="X227" s="56" t="str">
        <f>_xlfn.LET(
 _xlpm.x,
 _xlfn.MAXIFS(
  raw_stack!H$2:H$100000,
  raw_stack!D$2:D$100000, G227,
  raw_stack!F$2:F$100000, "Iya",
  raw_stack!G$2:G$100000, "&gt;="&amp;DATE(2025,11,1),
  raw_stack!G$2:G$100000, "&lt;="&amp;EOMONTH(DATE(2025,11,1),0)
 ),
 IF(OR(_xlpm.x=0, _xlpm.x=""), "-", _xlpm.x)
)</f>
        <v>-</v>
      </c>
      <c r="Y227" s="55" t="str">
        <f>_xlfn.LET(
 _xlpm.x,
 _xlfn.MAXIFS(
  raw_stack!G$2:G$99411,
  raw_stack!D$2:D$99411, G227,
  raw_stack!F$2:F$99411, "Iya",
  raw_stack!G$2:G$99411, "&gt;="&amp;DATE(2025,12,1),
  raw_stack!G$2:G$99411, "&lt;="&amp;EOMONTH(DATE(2025,12,1),0)
 ),
 IF(_xlpm.x=0, "-", _xlpm.x)
)</f>
        <v>-</v>
      </c>
      <c r="Z227" s="56" t="str">
        <f>_xlfn.LET(
 _xlpm.x,
 _xlfn.MAXIFS(
  raw_stack!H$2:H$100000,
  raw_stack!D$2:D$100000, G227,
  raw_stack!F$2:F$100000, "Iya",
  raw_stack!G$2:G$100000, "&gt;="&amp;DATE(2025,12,1),
  raw_stack!G$2:G$100000, "&lt;="&amp;EOMONTH(DATE(2025,12,1),0)
 ),
 IF(OR(_xlpm.x=0, _xlpm.x=""), "-", _xlpm.x)
)</f>
        <v>-</v>
      </c>
      <c r="AA227" s="55" t="str">
        <f>_xlfn.LET(
 _xlpm.x,
 _xlfn.MAXIFS(
  raw_stack!G$2:G$99411,
  raw_stack!D$2:D$99411, G227,
  raw_stack!F$2:F$99411, "Iya",
  raw_stack!G$2:G$99411, "&gt;="&amp;DATE(2026,1,1),
  raw_stack!G$2:G$99411, "&lt;="&amp;EOMONTH(DATE(2026,1,1),0)
 ),
 IF(_xlpm.x=0, "-", _xlpm.x)
)</f>
        <v>-</v>
      </c>
      <c r="AB227" s="56" t="str">
        <f>_xlfn.LET(
 _xlpm.x,
 _xlfn.MAXIFS(
  raw_stack!H$2:H$100000,
  raw_stack!D$2:D$100000, G227,
  raw_stack!F$2:F$100000, "Iya",
  raw_stack!G$2:G$100000, "&gt;="&amp;DATE(2026,1,1),
  raw_stack!G$2:G$100000, "&lt;="&amp;EOMONTH(DATE(2026,1,1),0)
 ),
 IF(OR(_xlpm.x=0, _xlpm.x=""), "-", _xlpm.x)
)</f>
        <v>-</v>
      </c>
      <c r="AC227" s="55" t="str">
        <f>_xlfn.LET(
 _xlpm.x,
 _xlfn.MAXIFS(
  raw_stack!G$2:G$99411,
  raw_stack!D$2:D$99411, G227,
  raw_stack!F$2:F$99411, "Iya",
  raw_stack!G$2:G$99411, "&gt;="&amp;DATE(2026,2,1),
  raw_stack!G$2:G$99411, "&lt;="&amp;EOMONTH(DATE(2026,2,1),0)
 ),
 IF(_xlpm.x=0, "-", _xlpm.x)
)</f>
        <v>-</v>
      </c>
      <c r="AD227" s="56" t="str">
        <f>_xlfn.LET(
 _xlpm.x,
 _xlfn.MAXIFS(
  raw_stack!H$2:H$100000,
  raw_stack!D$2:D$100000, G227,
  raw_stack!F$2:F$100000, "Iya",
  raw_stack!G$2:G$100000, "&gt;="&amp;DATE(2026,2,1),
  raw_stack!G$2:G$100000, "&lt;="&amp;EOMONTH(DATE(2026,2,1),0)
 ),
 IF(OR(_xlpm.x=0, _xlpm.x=""), "-", _xlpm.x)
)</f>
        <v>-</v>
      </c>
      <c r="AE227" s="55" t="str">
        <f>_xlfn.LET(
 _xlpm.x,
 _xlfn.MAXIFS(
  raw_stack!G$2:G$100000,
  raw_stack!D$2:D$100000, G227,
  raw_stack!F$2:F$100000, "Iya",
  raw_stack!G$2:G$100000, "&gt;="&amp;DATE(2026,3,1),
  raw_stack!G$2:G$100000, "&lt;="&amp;EOMONTH(DATE(2026,3,1),0)
 ),
 IF(_xlpm.x=0, "-", _xlpm.x)
)</f>
        <v>-</v>
      </c>
      <c r="AF227" s="56" t="str">
        <f>_xlfn.LET(
 _xlpm.x,
 _xlfn.MAXIFS(
  raw_stack!H$2:H$100000,
  raw_stack!D$2:D$100000, G227,
  raw_stack!F$2:F$100000, "Iya",
  raw_stack!G$2:G$100000, "&gt;="&amp;DATE(2026,3,1),
  raw_stack!G$2:G$100000, "&lt;="&amp;EOMONTH(DATE(2026,3,1),0)
 ),
 IF(OR(_xlpm.x=0, _xlpm.x=""), "-", _xlpm.x)
)</f>
        <v>-</v>
      </c>
      <c r="AG227" s="55" t="str">
        <f>_xlfn.LET(
 _xlpm.x,
 _xlfn.MAXIFS(
  raw_stack!G$2:G$100000,
  raw_stack!D$2:D$100000, G227,
  raw_stack!F$2:F$100000, "Iya",
  raw_stack!G$2:G$100000, "&gt;="&amp;DATE(2026,4,1),
  raw_stack!G$2:G$100000, "&lt;="&amp;EOMONTH(DATE(2026,4,1),0)
 ),
 IF(_xlpm.x=0, "-", _xlpm.x)
)</f>
        <v>-</v>
      </c>
      <c r="AH227" s="56" t="str">
        <f>_xlfn.LET(
 _xlpm.x,
 _xlfn.MAXIFS(
  raw_stack!H$2:H$100000,
  raw_stack!D$2:D$100000, G227,
  raw_stack!F$2:F$100000, "Iya",
  raw_stack!G$2:G$100000, "&gt;="&amp;DATE(2026,4,1),
  raw_stack!G$2:G$100000, "&lt;="&amp;EOMONTH(DATE(2026,4,1),0)
 ),
 IF(OR(_xlpm.x=0, _xlpm.x=""), "-", _xlpm.x)
)</f>
        <v>-</v>
      </c>
    </row>
    <row r="228" spans="1:34">
      <c r="A228" s="48">
        <v>227</v>
      </c>
      <c r="B228" s="49" t="str">
        <f t="shared" si="3"/>
        <v>85365</v>
      </c>
      <c r="C228" s="50" t="s">
        <v>46</v>
      </c>
      <c r="D228" s="51" t="s">
        <v>648</v>
      </c>
      <c r="E228" s="51" t="s">
        <v>53</v>
      </c>
      <c r="F228" s="49" t="s">
        <v>117</v>
      </c>
      <c r="G228" s="49" t="s">
        <v>344</v>
      </c>
      <c r="H228" s="49" t="s">
        <v>48</v>
      </c>
      <c r="I228" s="49" t="s">
        <v>52</v>
      </c>
      <c r="J228" s="52">
        <v>3880000</v>
      </c>
      <c r="K228" s="53">
        <v>45728</v>
      </c>
      <c r="L228" s="53">
        <v>46823</v>
      </c>
      <c r="M228" s="53">
        <v>46092</v>
      </c>
      <c r="N228" s="49" t="s">
        <v>50</v>
      </c>
      <c r="O228" s="54" t="str">
        <f>_xlfn.LET(
 _xlpm.x,
 _xlfn.MAXIFS(
  raw_stack!G$2:G$100000,
  raw_stack!D$2:D$100000, G228,
  raw_stack!F$2:F$100000, "Iya",
  raw_stack!G$2:G$100000, "&gt;="&amp;DATE(2025,7,1),
  raw_stack!G$2:G$100000, "&lt;="&amp;EOMONTH(DATE(2025,7,1),0)
 ),
 IF(_xlpm.x=0, "-", _xlpm.x)
)</f>
        <v>-</v>
      </c>
      <c r="P228" s="65" t="str">
        <f>_xlfn.LET(
 _xlpm.x,
 _xlfn.MAXIFS(
  raw_stack!H$2:H$100000,
  raw_stack!D$2:D$100000, G228,
  raw_stack!F$2:F$100000, "Iya",
  raw_stack!G$2:G$100000, "&gt;="&amp;DATE(2025,7,1),
  raw_stack!G$2:G$100000, "&lt;="&amp;EOMONTH(DATE(2025,7,1),0)
 ),
 IF(OR(_xlpm.x=0, _xlpm.x=""), "-", _xlpm.x)
)</f>
        <v>-</v>
      </c>
      <c r="Q228" s="54" t="str">
        <f>_xlfn.LET(
 _xlpm.x,
 _xlfn.MAXIFS(
  raw_stack!G$2:G$99411,
  raw_stack!D$2:D$99411, G228,
  raw_stack!F$2:F$99411, "Iya",
  raw_stack!G$2:G$99411, "&gt;="&amp;DATE(2025,8,1),
  raw_stack!G$2:G$99411, "&lt;="&amp;EOMONTH(DATE(2025,8,1),0)
 ),
 IF(_xlpm.x=0, "-", _xlpm.x)
)</f>
        <v>-</v>
      </c>
      <c r="R228" s="65" t="str">
        <f>_xlfn.LET(
 _xlpm.x,
 _xlfn.MAXIFS(
  raw_stack!H$2:H$100000,
  raw_stack!D$2:D$100000, G228,
  raw_stack!F$2:F$100000, "Iya",
  raw_stack!G$2:G$100000, "&gt;="&amp;DATE(2025,8,1),
  raw_stack!G$2:G$100000, "&lt;="&amp;EOMONTH(DATE(2025,8,1),0)
 ),
 IF(OR(_xlpm.x=0, _xlpm.x=""), "-", _xlpm.x)
)</f>
        <v>-</v>
      </c>
      <c r="S228" s="54">
        <f>_xlfn.LET(
 _xlpm.x,
 _xlfn.MAXIFS(
  raw_stack!G$2:G$99411,
  raw_stack!D$2:D$99411, G228,
  raw_stack!F$2:F$99411, "Iya",
  raw_stack!G$2:G$99411, "&gt;="&amp;DATE(2025,9,1),
  raw_stack!G$2:G$99411, "&lt;="&amp;EOMONTH(DATE(2025,9,1),0)
 ),
 IF(_xlpm.x=0, "-", _xlpm.x)
)</f>
        <v>45916</v>
      </c>
      <c r="T228" s="65">
        <f>_xlfn.LET(
 _xlpm.x,
 _xlfn.MAXIFS(
  raw_stack!H$2:H$100000,
  raw_stack!D$2:D$100000, G228,
  raw_stack!F$2:F$100000, "Iya",
  raw_stack!G$2:G$100000, "&gt;="&amp;DATE(2025,9,1),
  raw_stack!G$2:G$100000, "&lt;="&amp;EOMONTH(DATE(2025,9,1),0)
 ),
 IF(OR(_xlpm.x=0, _xlpm.x=""), "-", _xlpm.x)
)</f>
        <v>17427</v>
      </c>
      <c r="U228" s="54" t="str">
        <f>_xlfn.LET(
 _xlpm.x,
 _xlfn.MAXIFS(
  raw_stack!G$2:G$99411,
  raw_stack!D$2:D$99411, G228,
  raw_stack!F$2:F$99411, "Iya",
  raw_stack!G$2:G$99411, "&gt;="&amp;DATE(2025,10,1),
  raw_stack!G$2:G$99411, "&lt;="&amp;EOMONTH(DATE(2025,10,1),0)
 ),
 IF(_xlpm.x=0, "-", _xlpm.x)
)</f>
        <v>-</v>
      </c>
      <c r="V228" s="65" t="str">
        <f>_xlfn.LET(
 _xlpm.x,
 _xlfn.MAXIFS(
  raw_stack!H$2:H$100000,
  raw_stack!D$2:D$100000, G228,
  raw_stack!F$2:F$100000, "Iya",
  raw_stack!G$2:G$100000, "&gt;="&amp;DATE(2025,10,1),
  raw_stack!G$2:G$100000, "&lt;="&amp;EOMONTH(DATE(2025,10,1),0)
 ),
 IF(OR(_xlpm.x=0, _xlpm.x=""), "-", _xlpm.x)
)</f>
        <v>-</v>
      </c>
      <c r="W228" s="55" t="str">
        <f>_xlfn.LET(
 _xlpm.x,
 _xlfn.MAXIFS(
  raw_stack!G$2:G$99411,
  raw_stack!D$2:D$99411, G228,
  raw_stack!F$2:F$99411, "Iya",
  raw_stack!G$2:G$99411, "&gt;="&amp;DATE(2025,11,1),
  raw_stack!G$2:G$99411, "&lt;="&amp;EOMONTH(DATE(2025,11,1),0)
 ),
 IF(_xlpm.x=0, "-", _xlpm.x)
)</f>
        <v>-</v>
      </c>
      <c r="X228" s="56" t="str">
        <f>_xlfn.LET(
 _xlpm.x,
 _xlfn.MAXIFS(
  raw_stack!H$2:H$100000,
  raw_stack!D$2:D$100000, G228,
  raw_stack!F$2:F$100000, "Iya",
  raw_stack!G$2:G$100000, "&gt;="&amp;DATE(2025,11,1),
  raw_stack!G$2:G$100000, "&lt;="&amp;EOMONTH(DATE(2025,11,1),0)
 ),
 IF(OR(_xlpm.x=0, _xlpm.x=""), "-", _xlpm.x)
)</f>
        <v>-</v>
      </c>
      <c r="Y228" s="55" t="str">
        <f>_xlfn.LET(
 _xlpm.x,
 _xlfn.MAXIFS(
  raw_stack!G$2:G$99411,
  raw_stack!D$2:D$99411, G228,
  raw_stack!F$2:F$99411, "Iya",
  raw_stack!G$2:G$99411, "&gt;="&amp;DATE(2025,12,1),
  raw_stack!G$2:G$99411, "&lt;="&amp;EOMONTH(DATE(2025,12,1),0)
 ),
 IF(_xlpm.x=0, "-", _xlpm.x)
)</f>
        <v>-</v>
      </c>
      <c r="Z228" s="56" t="str">
        <f>_xlfn.LET(
 _xlpm.x,
 _xlfn.MAXIFS(
  raw_stack!H$2:H$100000,
  raw_stack!D$2:D$100000, G228,
  raw_stack!F$2:F$100000, "Iya",
  raw_stack!G$2:G$100000, "&gt;="&amp;DATE(2025,12,1),
  raw_stack!G$2:G$100000, "&lt;="&amp;EOMONTH(DATE(2025,12,1),0)
 ),
 IF(OR(_xlpm.x=0, _xlpm.x=""), "-", _xlpm.x)
)</f>
        <v>-</v>
      </c>
      <c r="AA228" s="55" t="str">
        <f>_xlfn.LET(
 _xlpm.x,
 _xlfn.MAXIFS(
  raw_stack!G$2:G$99411,
  raw_stack!D$2:D$99411, G228,
  raw_stack!F$2:F$99411, "Iya",
  raw_stack!G$2:G$99411, "&gt;="&amp;DATE(2026,1,1),
  raw_stack!G$2:G$99411, "&lt;="&amp;EOMONTH(DATE(2026,1,1),0)
 ),
 IF(_xlpm.x=0, "-", _xlpm.x)
)</f>
        <v>-</v>
      </c>
      <c r="AB228" s="56" t="str">
        <f>_xlfn.LET(
 _xlpm.x,
 _xlfn.MAXIFS(
  raw_stack!H$2:H$100000,
  raw_stack!D$2:D$100000, G228,
  raw_stack!F$2:F$100000, "Iya",
  raw_stack!G$2:G$100000, "&gt;="&amp;DATE(2026,1,1),
  raw_stack!G$2:G$100000, "&lt;="&amp;EOMONTH(DATE(2026,1,1),0)
 ),
 IF(OR(_xlpm.x=0, _xlpm.x=""), "-", _xlpm.x)
)</f>
        <v>-</v>
      </c>
      <c r="AC228" s="55" t="str">
        <f>_xlfn.LET(
 _xlpm.x,
 _xlfn.MAXIFS(
  raw_stack!G$2:G$99411,
  raw_stack!D$2:D$99411, G228,
  raw_stack!F$2:F$99411, "Iya",
  raw_stack!G$2:G$99411, "&gt;="&amp;DATE(2026,2,1),
  raw_stack!G$2:G$99411, "&lt;="&amp;EOMONTH(DATE(2026,2,1),0)
 ),
 IF(_xlpm.x=0, "-", _xlpm.x)
)</f>
        <v>-</v>
      </c>
      <c r="AD228" s="56" t="str">
        <f>_xlfn.LET(
 _xlpm.x,
 _xlfn.MAXIFS(
  raw_stack!H$2:H$100000,
  raw_stack!D$2:D$100000, G228,
  raw_stack!F$2:F$100000, "Iya",
  raw_stack!G$2:G$100000, "&gt;="&amp;DATE(2026,2,1),
  raw_stack!G$2:G$100000, "&lt;="&amp;EOMONTH(DATE(2026,2,1),0)
 ),
 IF(OR(_xlpm.x=0, _xlpm.x=""), "-", _xlpm.x)
)</f>
        <v>-</v>
      </c>
      <c r="AE228" s="55" t="str">
        <f>_xlfn.LET(
 _xlpm.x,
 _xlfn.MAXIFS(
  raw_stack!G$2:G$100000,
  raw_stack!D$2:D$100000, G228,
  raw_stack!F$2:F$100000, "Iya",
  raw_stack!G$2:G$100000, "&gt;="&amp;DATE(2026,3,1),
  raw_stack!G$2:G$100000, "&lt;="&amp;EOMONTH(DATE(2026,3,1),0)
 ),
 IF(_xlpm.x=0, "-", _xlpm.x)
)</f>
        <v>-</v>
      </c>
      <c r="AF228" s="56" t="str">
        <f>_xlfn.LET(
 _xlpm.x,
 _xlfn.MAXIFS(
  raw_stack!H$2:H$100000,
  raw_stack!D$2:D$100000, G228,
  raw_stack!F$2:F$100000, "Iya",
  raw_stack!G$2:G$100000, "&gt;="&amp;DATE(2026,3,1),
  raw_stack!G$2:G$100000, "&lt;="&amp;EOMONTH(DATE(2026,3,1),0)
 ),
 IF(OR(_xlpm.x=0, _xlpm.x=""), "-", _xlpm.x)
)</f>
        <v>-</v>
      </c>
      <c r="AG228" s="55" t="str">
        <f>_xlfn.LET(
 _xlpm.x,
 _xlfn.MAXIFS(
  raw_stack!G$2:G$100000,
  raw_stack!D$2:D$100000, G228,
  raw_stack!F$2:F$100000, "Iya",
  raw_stack!G$2:G$100000, "&gt;="&amp;DATE(2026,4,1),
  raw_stack!G$2:G$100000, "&lt;="&amp;EOMONTH(DATE(2026,4,1),0)
 ),
 IF(_xlpm.x=0, "-", _xlpm.x)
)</f>
        <v>-</v>
      </c>
      <c r="AH228" s="56" t="str">
        <f>_xlfn.LET(
 _xlpm.x,
 _xlfn.MAXIFS(
  raw_stack!H$2:H$100000,
  raw_stack!D$2:D$100000, G228,
  raw_stack!F$2:F$100000, "Iya",
  raw_stack!G$2:G$100000, "&gt;="&amp;DATE(2026,4,1),
  raw_stack!G$2:G$100000, "&lt;="&amp;EOMONTH(DATE(2026,4,1),0)
 ),
 IF(OR(_xlpm.x=0, _xlpm.x=""), "-", _xlpm.x)
)</f>
        <v>-</v>
      </c>
    </row>
    <row r="229" spans="1:34">
      <c r="A229" s="48">
        <v>228</v>
      </c>
      <c r="B229" s="49" t="str">
        <f t="shared" si="3"/>
        <v>46658</v>
      </c>
      <c r="C229" s="50" t="s">
        <v>46</v>
      </c>
      <c r="D229" s="51" t="s">
        <v>649</v>
      </c>
      <c r="E229" s="51" t="s">
        <v>51</v>
      </c>
      <c r="F229" s="49" t="s">
        <v>117</v>
      </c>
      <c r="G229" s="49" t="s">
        <v>345</v>
      </c>
      <c r="H229" s="49" t="s">
        <v>48</v>
      </c>
      <c r="I229" s="49" t="s">
        <v>52</v>
      </c>
      <c r="J229" s="52">
        <v>3880000</v>
      </c>
      <c r="K229" s="53">
        <v>45729</v>
      </c>
      <c r="L229" s="53">
        <v>46824</v>
      </c>
      <c r="M229" s="53">
        <v>46065</v>
      </c>
      <c r="N229" s="49" t="s">
        <v>50</v>
      </c>
      <c r="O229" s="54" t="str">
        <f>_xlfn.LET(
 _xlpm.x,
 _xlfn.MAXIFS(
  raw_stack!G$2:G$100000,
  raw_stack!D$2:D$100000, G229,
  raw_stack!F$2:F$100000, "Iya",
  raw_stack!G$2:G$100000, "&gt;="&amp;DATE(2025,7,1),
  raw_stack!G$2:G$100000, "&lt;="&amp;EOMONTH(DATE(2025,7,1),0)
 ),
 IF(_xlpm.x=0, "-", _xlpm.x)
)</f>
        <v>-</v>
      </c>
      <c r="P229" s="65" t="str">
        <f>_xlfn.LET(
 _xlpm.x,
 _xlfn.MAXIFS(
  raw_stack!H$2:H$100000,
  raw_stack!D$2:D$100000, G229,
  raw_stack!F$2:F$100000, "Iya",
  raw_stack!G$2:G$100000, "&gt;="&amp;DATE(2025,7,1),
  raw_stack!G$2:G$100000, "&lt;="&amp;EOMONTH(DATE(2025,7,1),0)
 ),
 IF(OR(_xlpm.x=0, _xlpm.x=""), "-", _xlpm.x)
)</f>
        <v>-</v>
      </c>
      <c r="Q229" s="54" t="str">
        <f>_xlfn.LET(
 _xlpm.x,
 _xlfn.MAXIFS(
  raw_stack!G$2:G$99411,
  raw_stack!D$2:D$99411, G229,
  raw_stack!F$2:F$99411, "Iya",
  raw_stack!G$2:G$99411, "&gt;="&amp;DATE(2025,8,1),
  raw_stack!G$2:G$99411, "&lt;="&amp;EOMONTH(DATE(2025,8,1),0)
 ),
 IF(_xlpm.x=0, "-", _xlpm.x)
)</f>
        <v>-</v>
      </c>
      <c r="R229" s="65" t="str">
        <f>_xlfn.LET(
 _xlpm.x,
 _xlfn.MAXIFS(
  raw_stack!H$2:H$100000,
  raw_stack!D$2:D$100000, G229,
  raw_stack!F$2:F$100000, "Iya",
  raw_stack!G$2:G$100000, "&gt;="&amp;DATE(2025,8,1),
  raw_stack!G$2:G$100000, "&lt;="&amp;EOMONTH(DATE(2025,8,1),0)
 ),
 IF(OR(_xlpm.x=0, _xlpm.x=""), "-", _xlpm.x)
)</f>
        <v>-</v>
      </c>
      <c r="S229" s="54" t="str">
        <f>_xlfn.LET(
 _xlpm.x,
 _xlfn.MAXIFS(
  raw_stack!G$2:G$99411,
  raw_stack!D$2:D$99411, G229,
  raw_stack!F$2:F$99411, "Iya",
  raw_stack!G$2:G$99411, "&gt;="&amp;DATE(2025,9,1),
  raw_stack!G$2:G$99411, "&lt;="&amp;EOMONTH(DATE(2025,9,1),0)
 ),
 IF(_xlpm.x=0, "-", _xlpm.x)
)</f>
        <v>-</v>
      </c>
      <c r="T229" s="65" t="str">
        <f>_xlfn.LET(
 _xlpm.x,
 _xlfn.MAXIFS(
  raw_stack!H$2:H$100000,
  raw_stack!D$2:D$100000, G229,
  raw_stack!F$2:F$100000, "Iya",
  raw_stack!G$2:G$100000, "&gt;="&amp;DATE(2025,9,1),
  raw_stack!G$2:G$100000, "&lt;="&amp;EOMONTH(DATE(2025,9,1),0)
 ),
 IF(OR(_xlpm.x=0, _xlpm.x=""), "-", _xlpm.x)
)</f>
        <v>-</v>
      </c>
      <c r="U229" s="54" t="str">
        <f>_xlfn.LET(
 _xlpm.x,
 _xlfn.MAXIFS(
  raw_stack!G$2:G$99411,
  raw_stack!D$2:D$99411, G229,
  raw_stack!F$2:F$99411, "Iya",
  raw_stack!G$2:G$99411, "&gt;="&amp;DATE(2025,10,1),
  raw_stack!G$2:G$99411, "&lt;="&amp;EOMONTH(DATE(2025,10,1),0)
 ),
 IF(_xlpm.x=0, "-", _xlpm.x)
)</f>
        <v>-</v>
      </c>
      <c r="V229" s="65" t="str">
        <f>_xlfn.LET(
 _xlpm.x,
 _xlfn.MAXIFS(
  raw_stack!H$2:H$100000,
  raw_stack!D$2:D$100000, G229,
  raw_stack!F$2:F$100000, "Iya",
  raw_stack!G$2:G$100000, "&gt;="&amp;DATE(2025,10,1),
  raw_stack!G$2:G$100000, "&lt;="&amp;EOMONTH(DATE(2025,10,1),0)
 ),
 IF(OR(_xlpm.x=0, _xlpm.x=""), "-", _xlpm.x)
)</f>
        <v>-</v>
      </c>
      <c r="W229" s="55" t="str">
        <f>_xlfn.LET(
 _xlpm.x,
 _xlfn.MAXIFS(
  raw_stack!G$2:G$99411,
  raw_stack!D$2:D$99411, G229,
  raw_stack!F$2:F$99411, "Iya",
  raw_stack!G$2:G$99411, "&gt;="&amp;DATE(2025,11,1),
  raw_stack!G$2:G$99411, "&lt;="&amp;EOMONTH(DATE(2025,11,1),0)
 ),
 IF(_xlpm.x=0, "-", _xlpm.x)
)</f>
        <v>-</v>
      </c>
      <c r="X229" s="56" t="str">
        <f>_xlfn.LET(
 _xlpm.x,
 _xlfn.MAXIFS(
  raw_stack!H$2:H$100000,
  raw_stack!D$2:D$100000, G229,
  raw_stack!F$2:F$100000, "Iya",
  raw_stack!G$2:G$100000, "&gt;="&amp;DATE(2025,11,1),
  raw_stack!G$2:G$100000, "&lt;="&amp;EOMONTH(DATE(2025,11,1),0)
 ),
 IF(OR(_xlpm.x=0, _xlpm.x=""), "-", _xlpm.x)
)</f>
        <v>-</v>
      </c>
      <c r="Y229" s="55">
        <f>_xlfn.LET(
 _xlpm.x,
 _xlfn.MAXIFS(
  raw_stack!G$2:G$99411,
  raw_stack!D$2:D$99411, G229,
  raw_stack!F$2:F$99411, "Iya",
  raw_stack!G$2:G$99411, "&gt;="&amp;DATE(2025,12,1),
  raw_stack!G$2:G$99411, "&lt;="&amp;EOMONTH(DATE(2025,12,1),0)
 ),
 IF(_xlpm.x=0, "-", _xlpm.x)
)</f>
        <v>45996</v>
      </c>
      <c r="Z229" s="56">
        <f>_xlfn.LET(
 _xlpm.x,
 _xlfn.MAXIFS(
  raw_stack!H$2:H$100000,
  raw_stack!D$2:D$100000, G229,
  raw_stack!F$2:F$100000, "Iya",
  raw_stack!G$2:G$100000, "&gt;="&amp;DATE(2025,12,1),
  raw_stack!G$2:G$100000, "&lt;="&amp;EOMONTH(DATE(2025,12,1),0)
 ),
 IF(OR(_xlpm.x=0, _xlpm.x=""), "-", _xlpm.x)
)</f>
        <v>9735</v>
      </c>
      <c r="AA229" s="55" t="str">
        <f>_xlfn.LET(
 _xlpm.x,
 _xlfn.MAXIFS(
  raw_stack!G$2:G$99411,
  raw_stack!D$2:D$99411, G229,
  raw_stack!F$2:F$99411, "Iya",
  raw_stack!G$2:G$99411, "&gt;="&amp;DATE(2026,1,1),
  raw_stack!G$2:G$99411, "&lt;="&amp;EOMONTH(DATE(2026,1,1),0)
 ),
 IF(_xlpm.x=0, "-", _xlpm.x)
)</f>
        <v>-</v>
      </c>
      <c r="AB229" s="56" t="str">
        <f>_xlfn.LET(
 _xlpm.x,
 _xlfn.MAXIFS(
  raw_stack!H$2:H$100000,
  raw_stack!D$2:D$100000, G229,
  raw_stack!F$2:F$100000, "Iya",
  raw_stack!G$2:G$100000, "&gt;="&amp;DATE(2026,1,1),
  raw_stack!G$2:G$100000, "&lt;="&amp;EOMONTH(DATE(2026,1,1),0)
 ),
 IF(OR(_xlpm.x=0, _xlpm.x=""), "-", _xlpm.x)
)</f>
        <v>-</v>
      </c>
      <c r="AC229" s="55" t="str">
        <f>_xlfn.LET(
 _xlpm.x,
 _xlfn.MAXIFS(
  raw_stack!G$2:G$99411,
  raw_stack!D$2:D$99411, G229,
  raw_stack!F$2:F$99411, "Iya",
  raw_stack!G$2:G$99411, "&gt;="&amp;DATE(2026,2,1),
  raw_stack!G$2:G$99411, "&lt;="&amp;EOMONTH(DATE(2026,2,1),0)
 ),
 IF(_xlpm.x=0, "-", _xlpm.x)
)</f>
        <v>-</v>
      </c>
      <c r="AD229" s="56" t="str">
        <f>_xlfn.LET(
 _xlpm.x,
 _xlfn.MAXIFS(
  raw_stack!H$2:H$100000,
  raw_stack!D$2:D$100000, G229,
  raw_stack!F$2:F$100000, "Iya",
  raw_stack!G$2:G$100000, "&gt;="&amp;DATE(2026,2,1),
  raw_stack!G$2:G$100000, "&lt;="&amp;EOMONTH(DATE(2026,2,1),0)
 ),
 IF(OR(_xlpm.x=0, _xlpm.x=""), "-", _xlpm.x)
)</f>
        <v>-</v>
      </c>
      <c r="AE229" s="55" t="str">
        <f>_xlfn.LET(
 _xlpm.x,
 _xlfn.MAXIFS(
  raw_stack!G$2:G$100000,
  raw_stack!D$2:D$100000, G229,
  raw_stack!F$2:F$100000, "Iya",
  raw_stack!G$2:G$100000, "&gt;="&amp;DATE(2026,3,1),
  raw_stack!G$2:G$100000, "&lt;="&amp;EOMONTH(DATE(2026,3,1),0)
 ),
 IF(_xlpm.x=0, "-", _xlpm.x)
)</f>
        <v>-</v>
      </c>
      <c r="AF229" s="56" t="str">
        <f>_xlfn.LET(
 _xlpm.x,
 _xlfn.MAXIFS(
  raw_stack!H$2:H$100000,
  raw_stack!D$2:D$100000, G229,
  raw_stack!F$2:F$100000, "Iya",
  raw_stack!G$2:G$100000, "&gt;="&amp;DATE(2026,3,1),
  raw_stack!G$2:G$100000, "&lt;="&amp;EOMONTH(DATE(2026,3,1),0)
 ),
 IF(OR(_xlpm.x=0, _xlpm.x=""), "-", _xlpm.x)
)</f>
        <v>-</v>
      </c>
      <c r="AG229" s="55">
        <f>_xlfn.LET(
 _xlpm.x,
 _xlfn.MAXIFS(
  raw_stack!G$2:G$100000,
  raw_stack!D$2:D$100000, G229,
  raw_stack!F$2:F$100000, "Iya",
  raw_stack!G$2:G$100000, "&gt;="&amp;DATE(2026,4,1),
  raw_stack!G$2:G$100000, "&lt;="&amp;EOMONTH(DATE(2026,4,1),0)
 ),
 IF(_xlpm.x=0, "-", _xlpm.x)
)</f>
        <v>46113</v>
      </c>
      <c r="AH229" s="56">
        <f>_xlfn.LET(
 _xlpm.x,
 _xlfn.MAXIFS(
  raw_stack!H$2:H$100000,
  raw_stack!D$2:D$100000, G229,
  raw_stack!F$2:F$100000, "Iya",
  raw_stack!G$2:G$100000, "&gt;="&amp;DATE(2026,4,1),
  raw_stack!G$2:G$100000, "&lt;="&amp;EOMONTH(DATE(2026,4,1),0)
 ),
 IF(OR(_xlpm.x=0, _xlpm.x=""), "-", _xlpm.x)
)</f>
        <v>7293</v>
      </c>
    </row>
    <row r="230" spans="1:34">
      <c r="A230" s="48">
        <v>229</v>
      </c>
      <c r="B230" s="49" t="str">
        <f t="shared" si="3"/>
        <v>94865</v>
      </c>
      <c r="C230" s="50" t="s">
        <v>46</v>
      </c>
      <c r="D230" s="51" t="s">
        <v>571</v>
      </c>
      <c r="E230" s="51" t="s">
        <v>51</v>
      </c>
      <c r="F230" s="49" t="s">
        <v>117</v>
      </c>
      <c r="G230" s="49" t="s">
        <v>346</v>
      </c>
      <c r="H230" s="49" t="s">
        <v>48</v>
      </c>
      <c r="I230" s="49" t="s">
        <v>52</v>
      </c>
      <c r="J230" s="52">
        <v>3880000</v>
      </c>
      <c r="K230" s="53">
        <v>45734</v>
      </c>
      <c r="L230" s="53">
        <v>46829</v>
      </c>
      <c r="M230" s="53">
        <v>46070</v>
      </c>
      <c r="N230" s="49" t="s">
        <v>50</v>
      </c>
      <c r="O230" s="54" t="str">
        <f>_xlfn.LET(
 _xlpm.x,
 _xlfn.MAXIFS(
  raw_stack!G$2:G$100000,
  raw_stack!D$2:D$100000, G230,
  raw_stack!F$2:F$100000, "Iya",
  raw_stack!G$2:G$100000, "&gt;="&amp;DATE(2025,7,1),
  raw_stack!G$2:G$100000, "&lt;="&amp;EOMONTH(DATE(2025,7,1),0)
 ),
 IF(_xlpm.x=0, "-", _xlpm.x)
)</f>
        <v>-</v>
      </c>
      <c r="P230" s="65" t="str">
        <f>_xlfn.LET(
 _xlpm.x,
 _xlfn.MAXIFS(
  raw_stack!H$2:H$100000,
  raw_stack!D$2:D$100000, G230,
  raw_stack!F$2:F$100000, "Iya",
  raw_stack!G$2:G$100000, "&gt;="&amp;DATE(2025,7,1),
  raw_stack!G$2:G$100000, "&lt;="&amp;EOMONTH(DATE(2025,7,1),0)
 ),
 IF(OR(_xlpm.x=0, _xlpm.x=""), "-", _xlpm.x)
)</f>
        <v>-</v>
      </c>
      <c r="Q230" s="54" t="str">
        <f>_xlfn.LET(
 _xlpm.x,
 _xlfn.MAXIFS(
  raw_stack!G$2:G$99411,
  raw_stack!D$2:D$99411, G230,
  raw_stack!F$2:F$99411, "Iya",
  raw_stack!G$2:G$99411, "&gt;="&amp;DATE(2025,8,1),
  raw_stack!G$2:G$99411, "&lt;="&amp;EOMONTH(DATE(2025,8,1),0)
 ),
 IF(_xlpm.x=0, "-", _xlpm.x)
)</f>
        <v>-</v>
      </c>
      <c r="R230" s="65" t="str">
        <f>_xlfn.LET(
 _xlpm.x,
 _xlfn.MAXIFS(
  raw_stack!H$2:H$100000,
  raw_stack!D$2:D$100000, G230,
  raw_stack!F$2:F$100000, "Iya",
  raw_stack!G$2:G$100000, "&gt;="&amp;DATE(2025,8,1),
  raw_stack!G$2:G$100000, "&lt;="&amp;EOMONTH(DATE(2025,8,1),0)
 ),
 IF(OR(_xlpm.x=0, _xlpm.x=""), "-", _xlpm.x)
)</f>
        <v>-</v>
      </c>
      <c r="S230" s="54">
        <f>_xlfn.LET(
 _xlpm.x,
 _xlfn.MAXIFS(
  raw_stack!G$2:G$99411,
  raw_stack!D$2:D$99411, G230,
  raw_stack!F$2:F$99411, "Iya",
  raw_stack!G$2:G$99411, "&gt;="&amp;DATE(2025,9,1),
  raw_stack!G$2:G$99411, "&lt;="&amp;EOMONTH(DATE(2025,9,1),0)
 ),
 IF(_xlpm.x=0, "-", _xlpm.x)
)</f>
        <v>45919</v>
      </c>
      <c r="T230" s="65">
        <f>_xlfn.LET(
 _xlpm.x,
 _xlfn.MAXIFS(
  raw_stack!H$2:H$100000,
  raw_stack!D$2:D$100000, G230,
  raw_stack!F$2:F$100000, "Iya",
  raw_stack!G$2:G$100000, "&gt;="&amp;DATE(2025,9,1),
  raw_stack!G$2:G$100000, "&lt;="&amp;EOMONTH(DATE(2025,9,1),0)
 ),
 IF(OR(_xlpm.x=0, _xlpm.x=""), "-", _xlpm.x)
)</f>
        <v>14397</v>
      </c>
      <c r="U230" s="54" t="str">
        <f>_xlfn.LET(
 _xlpm.x,
 _xlfn.MAXIFS(
  raw_stack!G$2:G$99411,
  raw_stack!D$2:D$99411, G230,
  raw_stack!F$2:F$99411, "Iya",
  raw_stack!G$2:G$99411, "&gt;="&amp;DATE(2025,10,1),
  raw_stack!G$2:G$99411, "&lt;="&amp;EOMONTH(DATE(2025,10,1),0)
 ),
 IF(_xlpm.x=0, "-", _xlpm.x)
)</f>
        <v>-</v>
      </c>
      <c r="V230" s="65" t="str">
        <f>_xlfn.LET(
 _xlpm.x,
 _xlfn.MAXIFS(
  raw_stack!H$2:H$100000,
  raw_stack!D$2:D$100000, G230,
  raw_stack!F$2:F$100000, "Iya",
  raw_stack!G$2:G$100000, "&gt;="&amp;DATE(2025,10,1),
  raw_stack!G$2:G$100000, "&lt;="&amp;EOMONTH(DATE(2025,10,1),0)
 ),
 IF(OR(_xlpm.x=0, _xlpm.x=""), "-", _xlpm.x)
)</f>
        <v>-</v>
      </c>
      <c r="W230" s="55" t="str">
        <f>_xlfn.LET(
 _xlpm.x,
 _xlfn.MAXIFS(
  raw_stack!G$2:G$99411,
  raw_stack!D$2:D$99411, G230,
  raw_stack!F$2:F$99411, "Iya",
  raw_stack!G$2:G$99411, "&gt;="&amp;DATE(2025,11,1),
  raw_stack!G$2:G$99411, "&lt;="&amp;EOMONTH(DATE(2025,11,1),0)
 ),
 IF(_xlpm.x=0, "-", _xlpm.x)
)</f>
        <v>-</v>
      </c>
      <c r="X230" s="56" t="str">
        <f>_xlfn.LET(
 _xlpm.x,
 _xlfn.MAXIFS(
  raw_stack!H$2:H$100000,
  raw_stack!D$2:D$100000, G230,
  raw_stack!F$2:F$100000, "Iya",
  raw_stack!G$2:G$100000, "&gt;="&amp;DATE(2025,11,1),
  raw_stack!G$2:G$100000, "&lt;="&amp;EOMONTH(DATE(2025,11,1),0)
 ),
 IF(OR(_xlpm.x=0, _xlpm.x=""), "-", _xlpm.x)
)</f>
        <v>-</v>
      </c>
      <c r="Y230" s="55" t="str">
        <f>_xlfn.LET(
 _xlpm.x,
 _xlfn.MAXIFS(
  raw_stack!G$2:G$99411,
  raw_stack!D$2:D$99411, G230,
  raw_stack!F$2:F$99411, "Iya",
  raw_stack!G$2:G$99411, "&gt;="&amp;DATE(2025,12,1),
  raw_stack!G$2:G$99411, "&lt;="&amp;EOMONTH(DATE(2025,12,1),0)
 ),
 IF(_xlpm.x=0, "-", _xlpm.x)
)</f>
        <v>-</v>
      </c>
      <c r="Z230" s="56" t="str">
        <f>_xlfn.LET(
 _xlpm.x,
 _xlfn.MAXIFS(
  raw_stack!H$2:H$100000,
  raw_stack!D$2:D$100000, G230,
  raw_stack!F$2:F$100000, "Iya",
  raw_stack!G$2:G$100000, "&gt;="&amp;DATE(2025,12,1),
  raw_stack!G$2:G$100000, "&lt;="&amp;EOMONTH(DATE(2025,12,1),0)
 ),
 IF(OR(_xlpm.x=0, _xlpm.x=""), "-", _xlpm.x)
)</f>
        <v>-</v>
      </c>
      <c r="AA230" s="55" t="str">
        <f>_xlfn.LET(
 _xlpm.x,
 _xlfn.MAXIFS(
  raw_stack!G$2:G$99411,
  raw_stack!D$2:D$99411, G230,
  raw_stack!F$2:F$99411, "Iya",
  raw_stack!G$2:G$99411, "&gt;="&amp;DATE(2026,1,1),
  raw_stack!G$2:G$99411, "&lt;="&amp;EOMONTH(DATE(2026,1,1),0)
 ),
 IF(_xlpm.x=0, "-", _xlpm.x)
)</f>
        <v>-</v>
      </c>
      <c r="AB230" s="56" t="str">
        <f>_xlfn.LET(
 _xlpm.x,
 _xlfn.MAXIFS(
  raw_stack!H$2:H$100000,
  raw_stack!D$2:D$100000, G230,
  raw_stack!F$2:F$100000, "Iya",
  raw_stack!G$2:G$100000, "&gt;="&amp;DATE(2026,1,1),
  raw_stack!G$2:G$100000, "&lt;="&amp;EOMONTH(DATE(2026,1,1),0)
 ),
 IF(OR(_xlpm.x=0, _xlpm.x=""), "-", _xlpm.x)
)</f>
        <v>-</v>
      </c>
      <c r="AC230" s="55">
        <f>_xlfn.LET(
 _xlpm.x,
 _xlfn.MAXIFS(
  raw_stack!G$2:G$99411,
  raw_stack!D$2:D$99411, G230,
  raw_stack!F$2:F$99411, "Iya",
  raw_stack!G$2:G$99411, "&gt;="&amp;DATE(2026,2,1),
  raw_stack!G$2:G$99411, "&lt;="&amp;EOMONTH(DATE(2026,2,1),0)
 ),
 IF(_xlpm.x=0, "-", _xlpm.x)
)</f>
        <v>46056</v>
      </c>
      <c r="AD230" s="56">
        <f>_xlfn.LET(
 _xlpm.x,
 _xlfn.MAXIFS(
  raw_stack!H$2:H$100000,
  raw_stack!D$2:D$100000, G230,
  raw_stack!F$2:F$100000, "Iya",
  raw_stack!G$2:G$100000, "&gt;="&amp;DATE(2026,2,1),
  raw_stack!G$2:G$100000, "&lt;="&amp;EOMONTH(DATE(2026,2,1),0)
 ),
 IF(OR(_xlpm.x=0, _xlpm.x=""), "-", _xlpm.x)
)</f>
        <v>18313</v>
      </c>
      <c r="AE230" s="55" t="str">
        <f>_xlfn.LET(
 _xlpm.x,
 _xlfn.MAXIFS(
  raw_stack!G$2:G$100000,
  raw_stack!D$2:D$100000, G230,
  raw_stack!F$2:F$100000, "Iya",
  raw_stack!G$2:G$100000, "&gt;="&amp;DATE(2026,3,1),
  raw_stack!G$2:G$100000, "&lt;="&amp;EOMONTH(DATE(2026,3,1),0)
 ),
 IF(_xlpm.x=0, "-", _xlpm.x)
)</f>
        <v>-</v>
      </c>
      <c r="AF230" s="56" t="str">
        <f>_xlfn.LET(
 _xlpm.x,
 _xlfn.MAXIFS(
  raw_stack!H$2:H$100000,
  raw_stack!D$2:D$100000, G230,
  raw_stack!F$2:F$100000, "Iya",
  raw_stack!G$2:G$100000, "&gt;="&amp;DATE(2026,3,1),
  raw_stack!G$2:G$100000, "&lt;="&amp;EOMONTH(DATE(2026,3,1),0)
 ),
 IF(OR(_xlpm.x=0, _xlpm.x=""), "-", _xlpm.x)
)</f>
        <v>-</v>
      </c>
      <c r="AG230" s="55" t="str">
        <f>_xlfn.LET(
 _xlpm.x,
 _xlfn.MAXIFS(
  raw_stack!G$2:G$100000,
  raw_stack!D$2:D$100000, G230,
  raw_stack!F$2:F$100000, "Iya",
  raw_stack!G$2:G$100000, "&gt;="&amp;DATE(2026,4,1),
  raw_stack!G$2:G$100000, "&lt;="&amp;EOMONTH(DATE(2026,4,1),0)
 ),
 IF(_xlpm.x=0, "-", _xlpm.x)
)</f>
        <v>-</v>
      </c>
      <c r="AH230" s="56" t="str">
        <f>_xlfn.LET(
 _xlpm.x,
 _xlfn.MAXIFS(
  raw_stack!H$2:H$100000,
  raw_stack!D$2:D$100000, G230,
  raw_stack!F$2:F$100000, "Iya",
  raw_stack!G$2:G$100000, "&gt;="&amp;DATE(2026,4,1),
  raw_stack!G$2:G$100000, "&lt;="&amp;EOMONTH(DATE(2026,4,1),0)
 ),
 IF(OR(_xlpm.x=0, _xlpm.x=""), "-", _xlpm.x)
)</f>
        <v>-</v>
      </c>
    </row>
    <row r="231" spans="1:34">
      <c r="A231" s="48">
        <v>230</v>
      </c>
      <c r="B231" s="49" t="str">
        <f t="shared" si="3"/>
        <v>30352</v>
      </c>
      <c r="C231" s="50" t="s">
        <v>46</v>
      </c>
      <c r="D231" s="51" t="s">
        <v>650</v>
      </c>
      <c r="E231" s="51" t="s">
        <v>51</v>
      </c>
      <c r="F231" s="49" t="s">
        <v>117</v>
      </c>
      <c r="G231" s="49" t="s">
        <v>347</v>
      </c>
      <c r="H231" s="49" t="s">
        <v>48</v>
      </c>
      <c r="I231" s="49" t="s">
        <v>52</v>
      </c>
      <c r="J231" s="52">
        <v>3880000</v>
      </c>
      <c r="K231" s="53">
        <v>45734</v>
      </c>
      <c r="L231" s="53">
        <v>46829</v>
      </c>
      <c r="M231" s="53">
        <v>46098</v>
      </c>
      <c r="N231" s="49" t="s">
        <v>50</v>
      </c>
      <c r="O231" s="54" t="str">
        <f>_xlfn.LET(
 _xlpm.x,
 _xlfn.MAXIFS(
  raw_stack!G$2:G$100000,
  raw_stack!D$2:D$100000, G231,
  raw_stack!F$2:F$100000, "Iya",
  raw_stack!G$2:G$100000, "&gt;="&amp;DATE(2025,7,1),
  raw_stack!G$2:G$100000, "&lt;="&amp;EOMONTH(DATE(2025,7,1),0)
 ),
 IF(_xlpm.x=0, "-", _xlpm.x)
)</f>
        <v>-</v>
      </c>
      <c r="P231" s="65" t="str">
        <f>_xlfn.LET(
 _xlpm.x,
 _xlfn.MAXIFS(
  raw_stack!H$2:H$100000,
  raw_stack!D$2:D$100000, G231,
  raw_stack!F$2:F$100000, "Iya",
  raw_stack!G$2:G$100000, "&gt;="&amp;DATE(2025,7,1),
  raw_stack!G$2:G$100000, "&lt;="&amp;EOMONTH(DATE(2025,7,1),0)
 ),
 IF(OR(_xlpm.x=0, _xlpm.x=""), "-", _xlpm.x)
)</f>
        <v>-</v>
      </c>
      <c r="Q231" s="54" t="str">
        <f>_xlfn.LET(
 _xlpm.x,
 _xlfn.MAXIFS(
  raw_stack!G$2:G$99411,
  raw_stack!D$2:D$99411, G231,
  raw_stack!F$2:F$99411, "Iya",
  raw_stack!G$2:G$99411, "&gt;="&amp;DATE(2025,8,1),
  raw_stack!G$2:G$99411, "&lt;="&amp;EOMONTH(DATE(2025,8,1),0)
 ),
 IF(_xlpm.x=0, "-", _xlpm.x)
)</f>
        <v>-</v>
      </c>
      <c r="R231" s="65" t="str">
        <f>_xlfn.LET(
 _xlpm.x,
 _xlfn.MAXIFS(
  raw_stack!H$2:H$100000,
  raw_stack!D$2:D$100000, G231,
  raw_stack!F$2:F$100000, "Iya",
  raw_stack!G$2:G$100000, "&gt;="&amp;DATE(2025,8,1),
  raw_stack!G$2:G$100000, "&lt;="&amp;EOMONTH(DATE(2025,8,1),0)
 ),
 IF(OR(_xlpm.x=0, _xlpm.x=""), "-", _xlpm.x)
)</f>
        <v>-</v>
      </c>
      <c r="S231" s="54">
        <f>_xlfn.LET(
 _xlpm.x,
 _xlfn.MAXIFS(
  raw_stack!G$2:G$99411,
  raw_stack!D$2:D$99411, G231,
  raw_stack!F$2:F$99411, "Iya",
  raw_stack!G$2:G$99411, "&gt;="&amp;DATE(2025,9,1),
  raw_stack!G$2:G$99411, "&lt;="&amp;EOMONTH(DATE(2025,9,1),0)
 ),
 IF(_xlpm.x=0, "-", _xlpm.x)
)</f>
        <v>45916</v>
      </c>
      <c r="T231" s="65">
        <f>_xlfn.LET(
 _xlpm.x,
 _xlfn.MAXIFS(
  raw_stack!H$2:H$100000,
  raw_stack!D$2:D$100000, G231,
  raw_stack!F$2:F$100000, "Iya",
  raw_stack!G$2:G$100000, "&gt;="&amp;DATE(2025,9,1),
  raw_stack!G$2:G$100000, "&lt;="&amp;EOMONTH(DATE(2025,9,1),0)
 ),
 IF(OR(_xlpm.x=0, _xlpm.x=""), "-", _xlpm.x)
)</f>
        <v>1302389</v>
      </c>
      <c r="U231" s="54" t="str">
        <f>_xlfn.LET(
 _xlpm.x,
 _xlfn.MAXIFS(
  raw_stack!G$2:G$99411,
  raw_stack!D$2:D$99411, G231,
  raw_stack!F$2:F$99411, "Iya",
  raw_stack!G$2:G$99411, "&gt;="&amp;DATE(2025,10,1),
  raw_stack!G$2:G$99411, "&lt;="&amp;EOMONTH(DATE(2025,10,1),0)
 ),
 IF(_xlpm.x=0, "-", _xlpm.x)
)</f>
        <v>-</v>
      </c>
      <c r="V231" s="65" t="str">
        <f>_xlfn.LET(
 _xlpm.x,
 _xlfn.MAXIFS(
  raw_stack!H$2:H$100000,
  raw_stack!D$2:D$100000, G231,
  raw_stack!F$2:F$100000, "Iya",
  raw_stack!G$2:G$100000, "&gt;="&amp;DATE(2025,10,1),
  raw_stack!G$2:G$100000, "&lt;="&amp;EOMONTH(DATE(2025,10,1),0)
 ),
 IF(OR(_xlpm.x=0, _xlpm.x=""), "-", _xlpm.x)
)</f>
        <v>-</v>
      </c>
      <c r="W231" s="55" t="str">
        <f>_xlfn.LET(
 _xlpm.x,
 _xlfn.MAXIFS(
  raw_stack!G$2:G$99411,
  raw_stack!D$2:D$99411, G231,
  raw_stack!F$2:F$99411, "Iya",
  raw_stack!G$2:G$99411, "&gt;="&amp;DATE(2025,11,1),
  raw_stack!G$2:G$99411, "&lt;="&amp;EOMONTH(DATE(2025,11,1),0)
 ),
 IF(_xlpm.x=0, "-", _xlpm.x)
)</f>
        <v>-</v>
      </c>
      <c r="X231" s="56" t="str">
        <f>_xlfn.LET(
 _xlpm.x,
 _xlfn.MAXIFS(
  raw_stack!H$2:H$100000,
  raw_stack!D$2:D$100000, G231,
  raw_stack!F$2:F$100000, "Iya",
  raw_stack!G$2:G$100000, "&gt;="&amp;DATE(2025,11,1),
  raw_stack!G$2:G$100000, "&lt;="&amp;EOMONTH(DATE(2025,11,1),0)
 ),
 IF(OR(_xlpm.x=0, _xlpm.x=""), "-", _xlpm.x)
)</f>
        <v>-</v>
      </c>
      <c r="Y231" s="55" t="str">
        <f>_xlfn.LET(
 _xlpm.x,
 _xlfn.MAXIFS(
  raw_stack!G$2:G$99411,
  raw_stack!D$2:D$99411, G231,
  raw_stack!F$2:F$99411, "Iya",
  raw_stack!G$2:G$99411, "&gt;="&amp;DATE(2025,12,1),
  raw_stack!G$2:G$99411, "&lt;="&amp;EOMONTH(DATE(2025,12,1),0)
 ),
 IF(_xlpm.x=0, "-", _xlpm.x)
)</f>
        <v>-</v>
      </c>
      <c r="Z231" s="56" t="str">
        <f>_xlfn.LET(
 _xlpm.x,
 _xlfn.MAXIFS(
  raw_stack!H$2:H$100000,
  raw_stack!D$2:D$100000, G231,
  raw_stack!F$2:F$100000, "Iya",
  raw_stack!G$2:G$100000, "&gt;="&amp;DATE(2025,12,1),
  raw_stack!G$2:G$100000, "&lt;="&amp;EOMONTH(DATE(2025,12,1),0)
 ),
 IF(OR(_xlpm.x=0, _xlpm.x=""), "-", _xlpm.x)
)</f>
        <v>-</v>
      </c>
      <c r="AA231" s="55" t="str">
        <f>_xlfn.LET(
 _xlpm.x,
 _xlfn.MAXIFS(
  raw_stack!G$2:G$99411,
  raw_stack!D$2:D$99411, G231,
  raw_stack!F$2:F$99411, "Iya",
  raw_stack!G$2:G$99411, "&gt;="&amp;DATE(2026,1,1),
  raw_stack!G$2:G$99411, "&lt;="&amp;EOMONTH(DATE(2026,1,1),0)
 ),
 IF(_xlpm.x=0, "-", _xlpm.x)
)</f>
        <v>-</v>
      </c>
      <c r="AB231" s="56" t="str">
        <f>_xlfn.LET(
 _xlpm.x,
 _xlfn.MAXIFS(
  raw_stack!H$2:H$100000,
  raw_stack!D$2:D$100000, G231,
  raw_stack!F$2:F$100000, "Iya",
  raw_stack!G$2:G$100000, "&gt;="&amp;DATE(2026,1,1),
  raw_stack!G$2:G$100000, "&lt;="&amp;EOMONTH(DATE(2026,1,1),0)
 ),
 IF(OR(_xlpm.x=0, _xlpm.x=""), "-", _xlpm.x)
)</f>
        <v>-</v>
      </c>
      <c r="AC231" s="55" t="str">
        <f>_xlfn.LET(
 _xlpm.x,
 _xlfn.MAXIFS(
  raw_stack!G$2:G$99411,
  raw_stack!D$2:D$99411, G231,
  raw_stack!F$2:F$99411, "Iya",
  raw_stack!G$2:G$99411, "&gt;="&amp;DATE(2026,2,1),
  raw_stack!G$2:G$99411, "&lt;="&amp;EOMONTH(DATE(2026,2,1),0)
 ),
 IF(_xlpm.x=0, "-", _xlpm.x)
)</f>
        <v>-</v>
      </c>
      <c r="AD231" s="56" t="str">
        <f>_xlfn.LET(
 _xlpm.x,
 _xlfn.MAXIFS(
  raw_stack!H$2:H$100000,
  raw_stack!D$2:D$100000, G231,
  raw_stack!F$2:F$100000, "Iya",
  raw_stack!G$2:G$100000, "&gt;="&amp;DATE(2026,2,1),
  raw_stack!G$2:G$100000, "&lt;="&amp;EOMONTH(DATE(2026,2,1),0)
 ),
 IF(OR(_xlpm.x=0, _xlpm.x=""), "-", _xlpm.x)
)</f>
        <v>-</v>
      </c>
      <c r="AE231" s="55">
        <f>_xlfn.LET(
 _xlpm.x,
 _xlfn.MAXIFS(
  raw_stack!G$2:G$100000,
  raw_stack!D$2:D$100000, G231,
  raw_stack!F$2:F$100000, "Iya",
  raw_stack!G$2:G$100000, "&gt;="&amp;DATE(2026,3,1),
  raw_stack!G$2:G$100000, "&lt;="&amp;EOMONTH(DATE(2026,3,1),0)
 ),
 IF(_xlpm.x=0, "-", _xlpm.x)
)</f>
        <v>46090</v>
      </c>
      <c r="AF231" s="56">
        <f>_xlfn.LET(
 _xlpm.x,
 _xlfn.MAXIFS(
  raw_stack!H$2:H$100000,
  raw_stack!D$2:D$100000, G231,
  raw_stack!F$2:F$100000, "Iya",
  raw_stack!G$2:G$100000, "&gt;="&amp;DATE(2026,3,1),
  raw_stack!G$2:G$100000, "&lt;="&amp;EOMONTH(DATE(2026,3,1),0)
 ),
 IF(OR(_xlpm.x=0, _xlpm.x=""), "-", _xlpm.x)
)</f>
        <v>16282</v>
      </c>
      <c r="AG231" s="55" t="str">
        <f>_xlfn.LET(
 _xlpm.x,
 _xlfn.MAXIFS(
  raw_stack!G$2:G$100000,
  raw_stack!D$2:D$100000, G231,
  raw_stack!F$2:F$100000, "Iya",
  raw_stack!G$2:G$100000, "&gt;="&amp;DATE(2026,4,1),
  raw_stack!G$2:G$100000, "&lt;="&amp;EOMONTH(DATE(2026,4,1),0)
 ),
 IF(_xlpm.x=0, "-", _xlpm.x)
)</f>
        <v>-</v>
      </c>
      <c r="AH231" s="56" t="str">
        <f>_xlfn.LET(
 _xlpm.x,
 _xlfn.MAXIFS(
  raw_stack!H$2:H$100000,
  raw_stack!D$2:D$100000, G231,
  raw_stack!F$2:F$100000, "Iya",
  raw_stack!G$2:G$100000, "&gt;="&amp;DATE(2026,4,1),
  raw_stack!G$2:G$100000, "&lt;="&amp;EOMONTH(DATE(2026,4,1),0)
 ),
 IF(OR(_xlpm.x=0, _xlpm.x=""), "-", _xlpm.x)
)</f>
        <v>-</v>
      </c>
    </row>
    <row r="232" spans="1:34">
      <c r="A232" s="48">
        <v>231</v>
      </c>
      <c r="B232" s="49" t="str">
        <f t="shared" si="3"/>
        <v>29563</v>
      </c>
      <c r="C232" s="50" t="s">
        <v>46</v>
      </c>
      <c r="D232" s="51" t="s">
        <v>651</v>
      </c>
      <c r="E232" s="51" t="s">
        <v>51</v>
      </c>
      <c r="F232" s="49" t="s">
        <v>117</v>
      </c>
      <c r="G232" s="49" t="s">
        <v>348</v>
      </c>
      <c r="H232" s="49" t="s">
        <v>48</v>
      </c>
      <c r="I232" s="49" t="s">
        <v>52</v>
      </c>
      <c r="J232" s="52">
        <v>3880000</v>
      </c>
      <c r="K232" s="53">
        <v>45734</v>
      </c>
      <c r="L232" s="53">
        <v>46829</v>
      </c>
      <c r="M232" s="53">
        <v>46070</v>
      </c>
      <c r="N232" s="49" t="s">
        <v>50</v>
      </c>
      <c r="O232" s="54">
        <f>_xlfn.LET(
 _xlpm.x,
 _xlfn.MAXIFS(
  raw_stack!G$2:G$100000,
  raw_stack!D$2:D$100000, G232,
  raw_stack!F$2:F$100000, "Iya",
  raw_stack!G$2:G$100000, "&gt;="&amp;DATE(2025,7,1),
  raw_stack!G$2:G$100000, "&lt;="&amp;EOMONTH(DATE(2025,7,1),0)
 ),
 IF(_xlpm.x=0, "-", _xlpm.x)
)</f>
        <v>45854</v>
      </c>
      <c r="P232" s="65">
        <f>_xlfn.LET(
 _xlpm.x,
 _xlfn.MAXIFS(
  raw_stack!H$2:H$100000,
  raw_stack!D$2:D$100000, G232,
  raw_stack!F$2:F$100000, "Iya",
  raw_stack!G$2:G$100000, "&gt;="&amp;DATE(2025,7,1),
  raw_stack!G$2:G$100000, "&lt;="&amp;EOMONTH(DATE(2025,7,1),0)
 ),
 IF(OR(_xlpm.x=0, _xlpm.x=""), "-", _xlpm.x)
)</f>
        <v>18016</v>
      </c>
      <c r="Q232" s="54" t="str">
        <f>_xlfn.LET(
 _xlpm.x,
 _xlfn.MAXIFS(
  raw_stack!G$2:G$99411,
  raw_stack!D$2:D$99411, G232,
  raw_stack!F$2:F$99411, "Iya",
  raw_stack!G$2:G$99411, "&gt;="&amp;DATE(2025,8,1),
  raw_stack!G$2:G$99411, "&lt;="&amp;EOMONTH(DATE(2025,8,1),0)
 ),
 IF(_xlpm.x=0, "-", _xlpm.x)
)</f>
        <v>-</v>
      </c>
      <c r="R232" s="65" t="str">
        <f>_xlfn.LET(
 _xlpm.x,
 _xlfn.MAXIFS(
  raw_stack!H$2:H$100000,
  raw_stack!D$2:D$100000, G232,
  raw_stack!F$2:F$100000, "Iya",
  raw_stack!G$2:G$100000, "&gt;="&amp;DATE(2025,8,1),
  raw_stack!G$2:G$100000, "&lt;="&amp;EOMONTH(DATE(2025,8,1),0)
 ),
 IF(OR(_xlpm.x=0, _xlpm.x=""), "-", _xlpm.x)
)</f>
        <v>-</v>
      </c>
      <c r="S232" s="54" t="str">
        <f>_xlfn.LET(
 _xlpm.x,
 _xlfn.MAXIFS(
  raw_stack!G$2:G$99411,
  raw_stack!D$2:D$99411, G232,
  raw_stack!F$2:F$99411, "Iya",
  raw_stack!G$2:G$99411, "&gt;="&amp;DATE(2025,9,1),
  raw_stack!G$2:G$99411, "&lt;="&amp;EOMONTH(DATE(2025,9,1),0)
 ),
 IF(_xlpm.x=0, "-", _xlpm.x)
)</f>
        <v>-</v>
      </c>
      <c r="T232" s="65" t="str">
        <f>_xlfn.LET(
 _xlpm.x,
 _xlfn.MAXIFS(
  raw_stack!H$2:H$100000,
  raw_stack!D$2:D$100000, G232,
  raw_stack!F$2:F$100000, "Iya",
  raw_stack!G$2:G$100000, "&gt;="&amp;DATE(2025,9,1),
  raw_stack!G$2:G$100000, "&lt;="&amp;EOMONTH(DATE(2025,9,1),0)
 ),
 IF(OR(_xlpm.x=0, _xlpm.x=""), "-", _xlpm.x)
)</f>
        <v>-</v>
      </c>
      <c r="U232" s="54" t="str">
        <f>_xlfn.LET(
 _xlpm.x,
 _xlfn.MAXIFS(
  raw_stack!G$2:G$99411,
  raw_stack!D$2:D$99411, G232,
  raw_stack!F$2:F$99411, "Iya",
  raw_stack!G$2:G$99411, "&gt;="&amp;DATE(2025,10,1),
  raw_stack!G$2:G$99411, "&lt;="&amp;EOMONTH(DATE(2025,10,1),0)
 ),
 IF(_xlpm.x=0, "-", _xlpm.x)
)</f>
        <v>-</v>
      </c>
      <c r="V232" s="65" t="str">
        <f>_xlfn.LET(
 _xlpm.x,
 _xlfn.MAXIFS(
  raw_stack!H$2:H$100000,
  raw_stack!D$2:D$100000, G232,
  raw_stack!F$2:F$100000, "Iya",
  raw_stack!G$2:G$100000, "&gt;="&amp;DATE(2025,10,1),
  raw_stack!G$2:G$100000, "&lt;="&amp;EOMONTH(DATE(2025,10,1),0)
 ),
 IF(OR(_xlpm.x=0, _xlpm.x=""), "-", _xlpm.x)
)</f>
        <v>-</v>
      </c>
      <c r="W232" s="55" t="str">
        <f>_xlfn.LET(
 _xlpm.x,
 _xlfn.MAXIFS(
  raw_stack!G$2:G$99411,
  raw_stack!D$2:D$99411, G232,
  raw_stack!F$2:F$99411, "Iya",
  raw_stack!G$2:G$99411, "&gt;="&amp;DATE(2025,11,1),
  raw_stack!G$2:G$99411, "&lt;="&amp;EOMONTH(DATE(2025,11,1),0)
 ),
 IF(_xlpm.x=0, "-", _xlpm.x)
)</f>
        <v>-</v>
      </c>
      <c r="X232" s="56" t="str">
        <f>_xlfn.LET(
 _xlpm.x,
 _xlfn.MAXIFS(
  raw_stack!H$2:H$100000,
  raw_stack!D$2:D$100000, G232,
  raw_stack!F$2:F$100000, "Iya",
  raw_stack!G$2:G$100000, "&gt;="&amp;DATE(2025,11,1),
  raw_stack!G$2:G$100000, "&lt;="&amp;EOMONTH(DATE(2025,11,1),0)
 ),
 IF(OR(_xlpm.x=0, _xlpm.x=""), "-", _xlpm.x)
)</f>
        <v>-</v>
      </c>
      <c r="Y232" s="55">
        <f>_xlfn.LET(
 _xlpm.x,
 _xlfn.MAXIFS(
  raw_stack!G$2:G$99411,
  raw_stack!D$2:D$99411, G232,
  raw_stack!F$2:F$99411, "Iya",
  raw_stack!G$2:G$99411, "&gt;="&amp;DATE(2025,12,1),
  raw_stack!G$2:G$99411, "&lt;="&amp;EOMONTH(DATE(2025,12,1),0)
 ),
 IF(_xlpm.x=0, "-", _xlpm.x)
)</f>
        <v>46008</v>
      </c>
      <c r="Z232" s="56">
        <f>_xlfn.LET(
 _xlpm.x,
 _xlfn.MAXIFS(
  raw_stack!H$2:H$100000,
  raw_stack!D$2:D$100000, G232,
  raw_stack!F$2:F$100000, "Iya",
  raw_stack!G$2:G$100000, "&gt;="&amp;DATE(2025,12,1),
  raw_stack!G$2:G$100000, "&lt;="&amp;EOMONTH(DATE(2025,12,1),0)
 ),
 IF(OR(_xlpm.x=0, _xlpm.x=""), "-", _xlpm.x)
)</f>
        <v>24109</v>
      </c>
      <c r="AA232" s="55" t="str">
        <f>_xlfn.LET(
 _xlpm.x,
 _xlfn.MAXIFS(
  raw_stack!G$2:G$99411,
  raw_stack!D$2:D$99411, G232,
  raw_stack!F$2:F$99411, "Iya",
  raw_stack!G$2:G$99411, "&gt;="&amp;DATE(2026,1,1),
  raw_stack!G$2:G$99411, "&lt;="&amp;EOMONTH(DATE(2026,1,1),0)
 ),
 IF(_xlpm.x=0, "-", _xlpm.x)
)</f>
        <v>-</v>
      </c>
      <c r="AB232" s="56" t="str">
        <f>_xlfn.LET(
 _xlpm.x,
 _xlfn.MAXIFS(
  raw_stack!H$2:H$100000,
  raw_stack!D$2:D$100000, G232,
  raw_stack!F$2:F$100000, "Iya",
  raw_stack!G$2:G$100000, "&gt;="&amp;DATE(2026,1,1),
  raw_stack!G$2:G$100000, "&lt;="&amp;EOMONTH(DATE(2026,1,1),0)
 ),
 IF(OR(_xlpm.x=0, _xlpm.x=""), "-", _xlpm.x)
)</f>
        <v>-</v>
      </c>
      <c r="AC232" s="55" t="str">
        <f>_xlfn.LET(
 _xlpm.x,
 _xlfn.MAXIFS(
  raw_stack!G$2:G$99411,
  raw_stack!D$2:D$99411, G232,
  raw_stack!F$2:F$99411, "Iya",
  raw_stack!G$2:G$99411, "&gt;="&amp;DATE(2026,2,1),
  raw_stack!G$2:G$99411, "&lt;="&amp;EOMONTH(DATE(2026,2,1),0)
 ),
 IF(_xlpm.x=0, "-", _xlpm.x)
)</f>
        <v>-</v>
      </c>
      <c r="AD232" s="56" t="str">
        <f>_xlfn.LET(
 _xlpm.x,
 _xlfn.MAXIFS(
  raw_stack!H$2:H$100000,
  raw_stack!D$2:D$100000, G232,
  raw_stack!F$2:F$100000, "Iya",
  raw_stack!G$2:G$100000, "&gt;="&amp;DATE(2026,2,1),
  raw_stack!G$2:G$100000, "&lt;="&amp;EOMONTH(DATE(2026,2,1),0)
 ),
 IF(OR(_xlpm.x=0, _xlpm.x=""), "-", _xlpm.x)
)</f>
        <v>-</v>
      </c>
      <c r="AE232" s="55" t="str">
        <f>_xlfn.LET(
 _xlpm.x,
 _xlfn.MAXIFS(
  raw_stack!G$2:G$100000,
  raw_stack!D$2:D$100000, G232,
  raw_stack!F$2:F$100000, "Iya",
  raw_stack!G$2:G$100000, "&gt;="&amp;DATE(2026,3,1),
  raw_stack!G$2:G$100000, "&lt;="&amp;EOMONTH(DATE(2026,3,1),0)
 ),
 IF(_xlpm.x=0, "-", _xlpm.x)
)</f>
        <v>-</v>
      </c>
      <c r="AF232" s="56" t="str">
        <f>_xlfn.LET(
 _xlpm.x,
 _xlfn.MAXIFS(
  raw_stack!H$2:H$100000,
  raw_stack!D$2:D$100000, G232,
  raw_stack!F$2:F$100000, "Iya",
  raw_stack!G$2:G$100000, "&gt;="&amp;DATE(2026,3,1),
  raw_stack!G$2:G$100000, "&lt;="&amp;EOMONTH(DATE(2026,3,1),0)
 ),
 IF(OR(_xlpm.x=0, _xlpm.x=""), "-", _xlpm.x)
)</f>
        <v>-</v>
      </c>
      <c r="AG232" s="55" t="str">
        <f>_xlfn.LET(
 _xlpm.x,
 _xlfn.MAXIFS(
  raw_stack!G$2:G$100000,
  raw_stack!D$2:D$100000, G232,
  raw_stack!F$2:F$100000, "Iya",
  raw_stack!G$2:G$100000, "&gt;="&amp;DATE(2026,4,1),
  raw_stack!G$2:G$100000, "&lt;="&amp;EOMONTH(DATE(2026,4,1),0)
 ),
 IF(_xlpm.x=0, "-", _xlpm.x)
)</f>
        <v>-</v>
      </c>
      <c r="AH232" s="56" t="str">
        <f>_xlfn.LET(
 _xlpm.x,
 _xlfn.MAXIFS(
  raw_stack!H$2:H$100000,
  raw_stack!D$2:D$100000, G232,
  raw_stack!F$2:F$100000, "Iya",
  raw_stack!G$2:G$100000, "&gt;="&amp;DATE(2026,4,1),
  raw_stack!G$2:G$100000, "&lt;="&amp;EOMONTH(DATE(2026,4,1),0)
 ),
 IF(OR(_xlpm.x=0, _xlpm.x=""), "-", _xlpm.x)
)</f>
        <v>-</v>
      </c>
    </row>
    <row r="233" spans="1:34">
      <c r="A233" s="48">
        <v>232</v>
      </c>
      <c r="B233" s="49" t="str">
        <f t="shared" si="3"/>
        <v>64805</v>
      </c>
      <c r="C233" s="50" t="s">
        <v>46</v>
      </c>
      <c r="D233" s="51" t="s">
        <v>625</v>
      </c>
      <c r="E233" s="51" t="s">
        <v>47</v>
      </c>
      <c r="F233" s="49" t="s">
        <v>117</v>
      </c>
      <c r="G233" s="49" t="s">
        <v>349</v>
      </c>
      <c r="H233" s="49" t="s">
        <v>48</v>
      </c>
      <c r="I233" s="49" t="s">
        <v>49</v>
      </c>
      <c r="J233" s="52">
        <v>4475000</v>
      </c>
      <c r="K233" s="53">
        <v>45735</v>
      </c>
      <c r="L233" s="53">
        <v>46830</v>
      </c>
      <c r="M233" s="53">
        <v>46071</v>
      </c>
      <c r="N233" s="49" t="s">
        <v>50</v>
      </c>
      <c r="O233" s="54">
        <f>_xlfn.LET(
 _xlpm.x,
 _xlfn.MAXIFS(
  raw_stack!G$2:G$100000,
  raw_stack!D$2:D$100000, G233,
  raw_stack!F$2:F$100000, "Iya",
  raw_stack!G$2:G$100000, "&gt;="&amp;DATE(2025,7,1),
  raw_stack!G$2:G$100000, "&lt;="&amp;EOMONTH(DATE(2025,7,1),0)
 ),
 IF(_xlpm.x=0, "-", _xlpm.x)
)</f>
        <v>45866</v>
      </c>
      <c r="P233" s="65">
        <f>_xlfn.LET(
 _xlpm.x,
 _xlfn.MAXIFS(
  raw_stack!H$2:H$100000,
  raw_stack!D$2:D$100000, G233,
  raw_stack!F$2:F$100000, "Iya",
  raw_stack!G$2:G$100000, "&gt;="&amp;DATE(2025,7,1),
  raw_stack!G$2:G$100000, "&lt;="&amp;EOMONTH(DATE(2025,7,1),0)
 ),
 IF(OR(_xlpm.x=0, _xlpm.x=""), "-", _xlpm.x)
)</f>
        <v>17990</v>
      </c>
      <c r="Q233" s="54" t="str">
        <f>_xlfn.LET(
 _xlpm.x,
 _xlfn.MAXIFS(
  raw_stack!G$2:G$99411,
  raw_stack!D$2:D$99411, G233,
  raw_stack!F$2:F$99411, "Iya",
  raw_stack!G$2:G$99411, "&gt;="&amp;DATE(2025,8,1),
  raw_stack!G$2:G$99411, "&lt;="&amp;EOMONTH(DATE(2025,8,1),0)
 ),
 IF(_xlpm.x=0, "-", _xlpm.x)
)</f>
        <v>-</v>
      </c>
      <c r="R233" s="65" t="str">
        <f>_xlfn.LET(
 _xlpm.x,
 _xlfn.MAXIFS(
  raw_stack!H$2:H$100000,
  raw_stack!D$2:D$100000, G233,
  raw_stack!F$2:F$100000, "Iya",
  raw_stack!G$2:G$100000, "&gt;="&amp;DATE(2025,8,1),
  raw_stack!G$2:G$100000, "&lt;="&amp;EOMONTH(DATE(2025,8,1),0)
 ),
 IF(OR(_xlpm.x=0, _xlpm.x=""), "-", _xlpm.x)
)</f>
        <v>-</v>
      </c>
      <c r="S233" s="54" t="str">
        <f>_xlfn.LET(
 _xlpm.x,
 _xlfn.MAXIFS(
  raw_stack!G$2:G$99411,
  raw_stack!D$2:D$99411, G233,
  raw_stack!F$2:F$99411, "Iya",
  raw_stack!G$2:G$99411, "&gt;="&amp;DATE(2025,9,1),
  raw_stack!G$2:G$99411, "&lt;="&amp;EOMONTH(DATE(2025,9,1),0)
 ),
 IF(_xlpm.x=0, "-", _xlpm.x)
)</f>
        <v>-</v>
      </c>
      <c r="T233" s="65" t="str">
        <f>_xlfn.LET(
 _xlpm.x,
 _xlfn.MAXIFS(
  raw_stack!H$2:H$100000,
  raw_stack!D$2:D$100000, G233,
  raw_stack!F$2:F$100000, "Iya",
  raw_stack!G$2:G$100000, "&gt;="&amp;DATE(2025,9,1),
  raw_stack!G$2:G$100000, "&lt;="&amp;EOMONTH(DATE(2025,9,1),0)
 ),
 IF(OR(_xlpm.x=0, _xlpm.x=""), "-", _xlpm.x)
)</f>
        <v>-</v>
      </c>
      <c r="U233" s="54" t="str">
        <f>_xlfn.LET(
 _xlpm.x,
 _xlfn.MAXIFS(
  raw_stack!G$2:G$99411,
  raw_stack!D$2:D$99411, G233,
  raw_stack!F$2:F$99411, "Iya",
  raw_stack!G$2:G$99411, "&gt;="&amp;DATE(2025,10,1),
  raw_stack!G$2:G$99411, "&lt;="&amp;EOMONTH(DATE(2025,10,1),0)
 ),
 IF(_xlpm.x=0, "-", _xlpm.x)
)</f>
        <v>-</v>
      </c>
      <c r="V233" s="65" t="str">
        <f>_xlfn.LET(
 _xlpm.x,
 _xlfn.MAXIFS(
  raw_stack!H$2:H$100000,
  raw_stack!D$2:D$100000, G233,
  raw_stack!F$2:F$100000, "Iya",
  raw_stack!G$2:G$100000, "&gt;="&amp;DATE(2025,10,1),
  raw_stack!G$2:G$100000, "&lt;="&amp;EOMONTH(DATE(2025,10,1),0)
 ),
 IF(OR(_xlpm.x=0, _xlpm.x=""), "-", _xlpm.x)
)</f>
        <v>-</v>
      </c>
      <c r="W233" s="55" t="str">
        <f>_xlfn.LET(
 _xlpm.x,
 _xlfn.MAXIFS(
  raw_stack!G$2:G$99411,
  raw_stack!D$2:D$99411, G233,
  raw_stack!F$2:F$99411, "Iya",
  raw_stack!G$2:G$99411, "&gt;="&amp;DATE(2025,11,1),
  raw_stack!G$2:G$99411, "&lt;="&amp;EOMONTH(DATE(2025,11,1),0)
 ),
 IF(_xlpm.x=0, "-", _xlpm.x)
)</f>
        <v>-</v>
      </c>
      <c r="X233" s="56" t="str">
        <f>_xlfn.LET(
 _xlpm.x,
 _xlfn.MAXIFS(
  raw_stack!H$2:H$100000,
  raw_stack!D$2:D$100000, G233,
  raw_stack!F$2:F$100000, "Iya",
  raw_stack!G$2:G$100000, "&gt;="&amp;DATE(2025,11,1),
  raw_stack!G$2:G$100000, "&lt;="&amp;EOMONTH(DATE(2025,11,1),0)
 ),
 IF(OR(_xlpm.x=0, _xlpm.x=""), "-", _xlpm.x)
)</f>
        <v>-</v>
      </c>
      <c r="Y233" s="55" t="str">
        <f>_xlfn.LET(
 _xlpm.x,
 _xlfn.MAXIFS(
  raw_stack!G$2:G$99411,
  raw_stack!D$2:D$99411, G233,
  raw_stack!F$2:F$99411, "Iya",
  raw_stack!G$2:G$99411, "&gt;="&amp;DATE(2025,12,1),
  raw_stack!G$2:G$99411, "&lt;="&amp;EOMONTH(DATE(2025,12,1),0)
 ),
 IF(_xlpm.x=0, "-", _xlpm.x)
)</f>
        <v>-</v>
      </c>
      <c r="Z233" s="56" t="str">
        <f>_xlfn.LET(
 _xlpm.x,
 _xlfn.MAXIFS(
  raw_stack!H$2:H$100000,
  raw_stack!D$2:D$100000, G233,
  raw_stack!F$2:F$100000, "Iya",
  raw_stack!G$2:G$100000, "&gt;="&amp;DATE(2025,12,1),
  raw_stack!G$2:G$100000, "&lt;="&amp;EOMONTH(DATE(2025,12,1),0)
 ),
 IF(OR(_xlpm.x=0, _xlpm.x=""), "-", _xlpm.x)
)</f>
        <v>-</v>
      </c>
      <c r="AA233" s="55">
        <f>_xlfn.LET(
 _xlpm.x,
 _xlfn.MAXIFS(
  raw_stack!G$2:G$99411,
  raw_stack!D$2:D$99411, G233,
  raw_stack!F$2:F$99411, "Iya",
  raw_stack!G$2:G$99411, "&gt;="&amp;DATE(2026,1,1),
  raw_stack!G$2:G$99411, "&lt;="&amp;EOMONTH(DATE(2026,1,1),0)
 ),
 IF(_xlpm.x=0, "-", _xlpm.x)
)</f>
        <v>46035</v>
      </c>
      <c r="AB233" s="56">
        <f>_xlfn.LET(
 _xlpm.x,
 _xlfn.MAXIFS(
  raw_stack!H$2:H$100000,
  raw_stack!D$2:D$100000, G233,
  raw_stack!F$2:F$100000, "Iya",
  raw_stack!G$2:G$100000, "&gt;="&amp;DATE(2026,1,1),
  raw_stack!G$2:G$100000, "&lt;="&amp;EOMONTH(DATE(2026,1,1),0)
 ),
 IF(OR(_xlpm.x=0, _xlpm.x=""), "-", _xlpm.x)
)</f>
        <v>21210</v>
      </c>
      <c r="AC233" s="55" t="str">
        <f>_xlfn.LET(
 _xlpm.x,
 _xlfn.MAXIFS(
  raw_stack!G$2:G$99411,
  raw_stack!D$2:D$99411, G233,
  raw_stack!F$2:F$99411, "Iya",
  raw_stack!G$2:G$99411, "&gt;="&amp;DATE(2026,2,1),
  raw_stack!G$2:G$99411, "&lt;="&amp;EOMONTH(DATE(2026,2,1),0)
 ),
 IF(_xlpm.x=0, "-", _xlpm.x)
)</f>
        <v>-</v>
      </c>
      <c r="AD233" s="56" t="str">
        <f>_xlfn.LET(
 _xlpm.x,
 _xlfn.MAXIFS(
  raw_stack!H$2:H$100000,
  raw_stack!D$2:D$100000, G233,
  raw_stack!F$2:F$100000, "Iya",
  raw_stack!G$2:G$100000, "&gt;="&amp;DATE(2026,2,1),
  raw_stack!G$2:G$100000, "&lt;="&amp;EOMONTH(DATE(2026,2,1),0)
 ),
 IF(OR(_xlpm.x=0, _xlpm.x=""), "-", _xlpm.x)
)</f>
        <v>-</v>
      </c>
      <c r="AE233" s="55" t="str">
        <f>_xlfn.LET(
 _xlpm.x,
 _xlfn.MAXIFS(
  raw_stack!G$2:G$100000,
  raw_stack!D$2:D$100000, G233,
  raw_stack!F$2:F$100000, "Iya",
  raw_stack!G$2:G$100000, "&gt;="&amp;DATE(2026,3,1),
  raw_stack!G$2:G$100000, "&lt;="&amp;EOMONTH(DATE(2026,3,1),0)
 ),
 IF(_xlpm.x=0, "-", _xlpm.x)
)</f>
        <v>-</v>
      </c>
      <c r="AF233" s="56" t="str">
        <f>_xlfn.LET(
 _xlpm.x,
 _xlfn.MAXIFS(
  raw_stack!H$2:H$100000,
  raw_stack!D$2:D$100000, G233,
  raw_stack!F$2:F$100000, "Iya",
  raw_stack!G$2:G$100000, "&gt;="&amp;DATE(2026,3,1),
  raw_stack!G$2:G$100000, "&lt;="&amp;EOMONTH(DATE(2026,3,1),0)
 ),
 IF(OR(_xlpm.x=0, _xlpm.x=""), "-", _xlpm.x)
)</f>
        <v>-</v>
      </c>
      <c r="AG233" s="55" t="str">
        <f>_xlfn.LET(
 _xlpm.x,
 _xlfn.MAXIFS(
  raw_stack!G$2:G$100000,
  raw_stack!D$2:D$100000, G233,
  raw_stack!F$2:F$100000, "Iya",
  raw_stack!G$2:G$100000, "&gt;="&amp;DATE(2026,4,1),
  raw_stack!G$2:G$100000, "&lt;="&amp;EOMONTH(DATE(2026,4,1),0)
 ),
 IF(_xlpm.x=0, "-", _xlpm.x)
)</f>
        <v>-</v>
      </c>
      <c r="AH233" s="56" t="str">
        <f>_xlfn.LET(
 _xlpm.x,
 _xlfn.MAXIFS(
  raw_stack!H$2:H$100000,
  raw_stack!D$2:D$100000, G233,
  raw_stack!F$2:F$100000, "Iya",
  raw_stack!G$2:G$100000, "&gt;="&amp;DATE(2026,4,1),
  raw_stack!G$2:G$100000, "&lt;="&amp;EOMONTH(DATE(2026,4,1),0)
 ),
 IF(OR(_xlpm.x=0, _xlpm.x=""), "-", _xlpm.x)
)</f>
        <v>-</v>
      </c>
    </row>
    <row r="234" spans="1:34">
      <c r="A234" s="48">
        <v>233</v>
      </c>
      <c r="B234" s="49" t="str">
        <f t="shared" si="3"/>
        <v>59397</v>
      </c>
      <c r="C234" s="50" t="s">
        <v>46</v>
      </c>
      <c r="D234" s="51" t="s">
        <v>652</v>
      </c>
      <c r="E234" s="51" t="s">
        <v>51</v>
      </c>
      <c r="F234" s="49" t="s">
        <v>117</v>
      </c>
      <c r="G234" s="49" t="s">
        <v>350</v>
      </c>
      <c r="H234" s="49" t="s">
        <v>48</v>
      </c>
      <c r="I234" s="49" t="s">
        <v>52</v>
      </c>
      <c r="J234" s="52">
        <v>3880000</v>
      </c>
      <c r="K234" s="53">
        <v>45735</v>
      </c>
      <c r="L234" s="53">
        <v>46830</v>
      </c>
      <c r="M234" s="53">
        <v>46071</v>
      </c>
      <c r="N234" s="49" t="s">
        <v>50</v>
      </c>
      <c r="O234" s="54" t="str">
        <f>_xlfn.LET(
 _xlpm.x,
 _xlfn.MAXIFS(
  raw_stack!G$2:G$100000,
  raw_stack!D$2:D$100000, G234,
  raw_stack!F$2:F$100000, "Iya",
  raw_stack!G$2:G$100000, "&gt;="&amp;DATE(2025,7,1),
  raw_stack!G$2:G$100000, "&lt;="&amp;EOMONTH(DATE(2025,7,1),0)
 ),
 IF(_xlpm.x=0, "-", _xlpm.x)
)</f>
        <v>-</v>
      </c>
      <c r="P234" s="65" t="str">
        <f>_xlfn.LET(
 _xlpm.x,
 _xlfn.MAXIFS(
  raw_stack!H$2:H$100000,
  raw_stack!D$2:D$100000, G234,
  raw_stack!F$2:F$100000, "Iya",
  raw_stack!G$2:G$100000, "&gt;="&amp;DATE(2025,7,1),
  raw_stack!G$2:G$100000, "&lt;="&amp;EOMONTH(DATE(2025,7,1),0)
 ),
 IF(OR(_xlpm.x=0, _xlpm.x=""), "-", _xlpm.x)
)</f>
        <v>-</v>
      </c>
      <c r="Q234" s="54">
        <f>_xlfn.LET(
 _xlpm.x,
 _xlfn.MAXIFS(
  raw_stack!G$2:G$99411,
  raw_stack!D$2:D$99411, G234,
  raw_stack!F$2:F$99411, "Iya",
  raw_stack!G$2:G$99411, "&gt;="&amp;DATE(2025,8,1),
  raw_stack!G$2:G$99411, "&lt;="&amp;EOMONTH(DATE(2025,8,1),0)
 ),
 IF(_xlpm.x=0, "-", _xlpm.x)
)</f>
        <v>45884</v>
      </c>
      <c r="R234" s="65">
        <f>_xlfn.LET(
 _xlpm.x,
 _xlfn.MAXIFS(
  raw_stack!H$2:H$100000,
  raw_stack!D$2:D$100000, G234,
  raw_stack!F$2:F$100000, "Iya",
  raw_stack!G$2:G$100000, "&gt;="&amp;DATE(2025,8,1),
  raw_stack!G$2:G$100000, "&lt;="&amp;EOMONTH(DATE(2025,8,1),0)
 ),
 IF(OR(_xlpm.x=0, _xlpm.x=""), "-", _xlpm.x)
)</f>
        <v>10907</v>
      </c>
      <c r="S234" s="54" t="str">
        <f>_xlfn.LET(
 _xlpm.x,
 _xlfn.MAXIFS(
  raw_stack!G$2:G$99411,
  raw_stack!D$2:D$99411, G234,
  raw_stack!F$2:F$99411, "Iya",
  raw_stack!G$2:G$99411, "&gt;="&amp;DATE(2025,9,1),
  raw_stack!G$2:G$99411, "&lt;="&amp;EOMONTH(DATE(2025,9,1),0)
 ),
 IF(_xlpm.x=0, "-", _xlpm.x)
)</f>
        <v>-</v>
      </c>
      <c r="T234" s="65" t="str">
        <f>_xlfn.LET(
 _xlpm.x,
 _xlfn.MAXIFS(
  raw_stack!H$2:H$100000,
  raw_stack!D$2:D$100000, G234,
  raw_stack!F$2:F$100000, "Iya",
  raw_stack!G$2:G$100000, "&gt;="&amp;DATE(2025,9,1),
  raw_stack!G$2:G$100000, "&lt;="&amp;EOMONTH(DATE(2025,9,1),0)
 ),
 IF(OR(_xlpm.x=0, _xlpm.x=""), "-", _xlpm.x)
)</f>
        <v>-</v>
      </c>
      <c r="U234" s="54" t="str">
        <f>_xlfn.LET(
 _xlpm.x,
 _xlfn.MAXIFS(
  raw_stack!G$2:G$99411,
  raw_stack!D$2:D$99411, G234,
  raw_stack!F$2:F$99411, "Iya",
  raw_stack!G$2:G$99411, "&gt;="&amp;DATE(2025,10,1),
  raw_stack!G$2:G$99411, "&lt;="&amp;EOMONTH(DATE(2025,10,1),0)
 ),
 IF(_xlpm.x=0, "-", _xlpm.x)
)</f>
        <v>-</v>
      </c>
      <c r="V234" s="65" t="str">
        <f>_xlfn.LET(
 _xlpm.x,
 _xlfn.MAXIFS(
  raw_stack!H$2:H$100000,
  raw_stack!D$2:D$100000, G234,
  raw_stack!F$2:F$100000, "Iya",
  raw_stack!G$2:G$100000, "&gt;="&amp;DATE(2025,10,1),
  raw_stack!G$2:G$100000, "&lt;="&amp;EOMONTH(DATE(2025,10,1),0)
 ),
 IF(OR(_xlpm.x=0, _xlpm.x=""), "-", _xlpm.x)
)</f>
        <v>-</v>
      </c>
      <c r="W234" s="55" t="str">
        <f>_xlfn.LET(
 _xlpm.x,
 _xlfn.MAXIFS(
  raw_stack!G$2:G$99411,
  raw_stack!D$2:D$99411, G234,
  raw_stack!F$2:F$99411, "Iya",
  raw_stack!G$2:G$99411, "&gt;="&amp;DATE(2025,11,1),
  raw_stack!G$2:G$99411, "&lt;="&amp;EOMONTH(DATE(2025,11,1),0)
 ),
 IF(_xlpm.x=0, "-", _xlpm.x)
)</f>
        <v>-</v>
      </c>
      <c r="X234" s="56" t="str">
        <f>_xlfn.LET(
 _xlpm.x,
 _xlfn.MAXIFS(
  raw_stack!H$2:H$100000,
  raw_stack!D$2:D$100000, G234,
  raw_stack!F$2:F$100000, "Iya",
  raw_stack!G$2:G$100000, "&gt;="&amp;DATE(2025,11,1),
  raw_stack!G$2:G$100000, "&lt;="&amp;EOMONTH(DATE(2025,11,1),0)
 ),
 IF(OR(_xlpm.x=0, _xlpm.x=""), "-", _xlpm.x)
)</f>
        <v>-</v>
      </c>
      <c r="Y234" s="55" t="str">
        <f>_xlfn.LET(
 _xlpm.x,
 _xlfn.MAXIFS(
  raw_stack!G$2:G$99411,
  raw_stack!D$2:D$99411, G234,
  raw_stack!F$2:F$99411, "Iya",
  raw_stack!G$2:G$99411, "&gt;="&amp;DATE(2025,12,1),
  raw_stack!G$2:G$99411, "&lt;="&amp;EOMONTH(DATE(2025,12,1),0)
 ),
 IF(_xlpm.x=0, "-", _xlpm.x)
)</f>
        <v>-</v>
      </c>
      <c r="Z234" s="56" t="str">
        <f>_xlfn.LET(
 _xlpm.x,
 _xlfn.MAXIFS(
  raw_stack!H$2:H$100000,
  raw_stack!D$2:D$100000, G234,
  raw_stack!F$2:F$100000, "Iya",
  raw_stack!G$2:G$100000, "&gt;="&amp;DATE(2025,12,1),
  raw_stack!G$2:G$100000, "&lt;="&amp;EOMONTH(DATE(2025,12,1),0)
 ),
 IF(OR(_xlpm.x=0, _xlpm.x=""), "-", _xlpm.x)
)</f>
        <v>-</v>
      </c>
      <c r="AA234" s="55" t="str">
        <f>_xlfn.LET(
 _xlpm.x,
 _xlfn.MAXIFS(
  raw_stack!G$2:G$99411,
  raw_stack!D$2:D$99411, G234,
  raw_stack!F$2:F$99411, "Iya",
  raw_stack!G$2:G$99411, "&gt;="&amp;DATE(2026,1,1),
  raw_stack!G$2:G$99411, "&lt;="&amp;EOMONTH(DATE(2026,1,1),0)
 ),
 IF(_xlpm.x=0, "-", _xlpm.x)
)</f>
        <v>-</v>
      </c>
      <c r="AB234" s="56" t="str">
        <f>_xlfn.LET(
 _xlpm.x,
 _xlfn.MAXIFS(
  raw_stack!H$2:H$100000,
  raw_stack!D$2:D$100000, G234,
  raw_stack!F$2:F$100000, "Iya",
  raw_stack!G$2:G$100000, "&gt;="&amp;DATE(2026,1,1),
  raw_stack!G$2:G$100000, "&lt;="&amp;EOMONTH(DATE(2026,1,1),0)
 ),
 IF(OR(_xlpm.x=0, _xlpm.x=""), "-", _xlpm.x)
)</f>
        <v>-</v>
      </c>
      <c r="AC234" s="55">
        <f>_xlfn.LET(
 _xlpm.x,
 _xlfn.MAXIFS(
  raw_stack!G$2:G$99411,
  raw_stack!D$2:D$99411, G234,
  raw_stack!F$2:F$99411, "Iya",
  raw_stack!G$2:G$99411, "&gt;="&amp;DATE(2026,2,1),
  raw_stack!G$2:G$99411, "&lt;="&amp;EOMONTH(DATE(2026,2,1),0)
 ),
 IF(_xlpm.x=0, "-", _xlpm.x)
)</f>
        <v>46056</v>
      </c>
      <c r="AD234" s="56">
        <f>_xlfn.LET(
 _xlpm.x,
 _xlfn.MAXIFS(
  raw_stack!H$2:H$100000,
  raw_stack!D$2:D$100000, G234,
  raw_stack!F$2:F$100000, "Iya",
  raw_stack!G$2:G$100000, "&gt;="&amp;DATE(2026,2,1),
  raw_stack!G$2:G$100000, "&lt;="&amp;EOMONTH(DATE(2026,2,1),0)
 ),
 IF(OR(_xlpm.x=0, _xlpm.x=""), "-", _xlpm.x)
)</f>
        <v>12454</v>
      </c>
      <c r="AE234" s="55" t="str">
        <f>_xlfn.LET(
 _xlpm.x,
 _xlfn.MAXIFS(
  raw_stack!G$2:G$100000,
  raw_stack!D$2:D$100000, G234,
  raw_stack!F$2:F$100000, "Iya",
  raw_stack!G$2:G$100000, "&gt;="&amp;DATE(2026,3,1),
  raw_stack!G$2:G$100000, "&lt;="&amp;EOMONTH(DATE(2026,3,1),0)
 ),
 IF(_xlpm.x=0, "-", _xlpm.x)
)</f>
        <v>-</v>
      </c>
      <c r="AF234" s="56" t="str">
        <f>_xlfn.LET(
 _xlpm.x,
 _xlfn.MAXIFS(
  raw_stack!H$2:H$100000,
  raw_stack!D$2:D$100000, G234,
  raw_stack!F$2:F$100000, "Iya",
  raw_stack!G$2:G$100000, "&gt;="&amp;DATE(2026,3,1),
  raw_stack!G$2:G$100000, "&lt;="&amp;EOMONTH(DATE(2026,3,1),0)
 ),
 IF(OR(_xlpm.x=0, _xlpm.x=""), "-", _xlpm.x)
)</f>
        <v>-</v>
      </c>
      <c r="AG234" s="55" t="str">
        <f>_xlfn.LET(
 _xlpm.x,
 _xlfn.MAXIFS(
  raw_stack!G$2:G$100000,
  raw_stack!D$2:D$100000, G234,
  raw_stack!F$2:F$100000, "Iya",
  raw_stack!G$2:G$100000, "&gt;="&amp;DATE(2026,4,1),
  raw_stack!G$2:G$100000, "&lt;="&amp;EOMONTH(DATE(2026,4,1),0)
 ),
 IF(_xlpm.x=0, "-", _xlpm.x)
)</f>
        <v>-</v>
      </c>
      <c r="AH234" s="56" t="str">
        <f>_xlfn.LET(
 _xlpm.x,
 _xlfn.MAXIFS(
  raw_stack!H$2:H$100000,
  raw_stack!D$2:D$100000, G234,
  raw_stack!F$2:F$100000, "Iya",
  raw_stack!G$2:G$100000, "&gt;="&amp;DATE(2026,4,1),
  raw_stack!G$2:G$100000, "&lt;="&amp;EOMONTH(DATE(2026,4,1),0)
 ),
 IF(OR(_xlpm.x=0, _xlpm.x=""), "-", _xlpm.x)
)</f>
        <v>-</v>
      </c>
    </row>
    <row r="235" spans="1:34">
      <c r="A235" s="48">
        <v>234</v>
      </c>
      <c r="B235" s="49" t="str">
        <f t="shared" si="3"/>
        <v>16172</v>
      </c>
      <c r="C235" s="50" t="s">
        <v>46</v>
      </c>
      <c r="D235" s="51" t="s">
        <v>653</v>
      </c>
      <c r="E235" s="51" t="s">
        <v>47</v>
      </c>
      <c r="F235" s="49" t="s">
        <v>117</v>
      </c>
      <c r="G235" s="49" t="s">
        <v>351</v>
      </c>
      <c r="H235" s="49" t="s">
        <v>48</v>
      </c>
      <c r="I235" s="49" t="s">
        <v>49</v>
      </c>
      <c r="J235" s="52">
        <v>4475000</v>
      </c>
      <c r="K235" s="53">
        <v>45735</v>
      </c>
      <c r="L235" s="53">
        <v>46830</v>
      </c>
      <c r="M235" s="53">
        <v>46071</v>
      </c>
      <c r="N235" s="49" t="s">
        <v>50</v>
      </c>
      <c r="O235" s="54" t="str">
        <f>_xlfn.LET(
 _xlpm.x,
 _xlfn.MAXIFS(
  raw_stack!G$2:G$100000,
  raw_stack!D$2:D$100000, G235,
  raw_stack!F$2:F$100000, "Iya",
  raw_stack!G$2:G$100000, "&gt;="&amp;DATE(2025,7,1),
  raw_stack!G$2:G$100000, "&lt;="&amp;EOMONTH(DATE(2025,7,1),0)
 ),
 IF(_xlpm.x=0, "-", _xlpm.x)
)</f>
        <v>-</v>
      </c>
      <c r="P235" s="65" t="str">
        <f>_xlfn.LET(
 _xlpm.x,
 _xlfn.MAXIFS(
  raw_stack!H$2:H$100000,
  raw_stack!D$2:D$100000, G235,
  raw_stack!F$2:F$100000, "Iya",
  raw_stack!G$2:G$100000, "&gt;="&amp;DATE(2025,7,1),
  raw_stack!G$2:G$100000, "&lt;="&amp;EOMONTH(DATE(2025,7,1),0)
 ),
 IF(OR(_xlpm.x=0, _xlpm.x=""), "-", _xlpm.x)
)</f>
        <v>-</v>
      </c>
      <c r="Q235" s="54" t="str">
        <f>_xlfn.LET(
 _xlpm.x,
 _xlfn.MAXIFS(
  raw_stack!G$2:G$99411,
  raw_stack!D$2:D$99411, G235,
  raw_stack!F$2:F$99411, "Iya",
  raw_stack!G$2:G$99411, "&gt;="&amp;DATE(2025,8,1),
  raw_stack!G$2:G$99411, "&lt;="&amp;EOMONTH(DATE(2025,8,1),0)
 ),
 IF(_xlpm.x=0, "-", _xlpm.x)
)</f>
        <v>-</v>
      </c>
      <c r="R235" s="65" t="str">
        <f>_xlfn.LET(
 _xlpm.x,
 _xlfn.MAXIFS(
  raw_stack!H$2:H$100000,
  raw_stack!D$2:D$100000, G235,
  raw_stack!F$2:F$100000, "Iya",
  raw_stack!G$2:G$100000, "&gt;="&amp;DATE(2025,8,1),
  raw_stack!G$2:G$100000, "&lt;="&amp;EOMONTH(DATE(2025,8,1),0)
 ),
 IF(OR(_xlpm.x=0, _xlpm.x=""), "-", _xlpm.x)
)</f>
        <v>-</v>
      </c>
      <c r="S235" s="54" t="str">
        <f>_xlfn.LET(
 _xlpm.x,
 _xlfn.MAXIFS(
  raw_stack!G$2:G$99411,
  raw_stack!D$2:D$99411, G235,
  raw_stack!F$2:F$99411, "Iya",
  raw_stack!G$2:G$99411, "&gt;="&amp;DATE(2025,9,1),
  raw_stack!G$2:G$99411, "&lt;="&amp;EOMONTH(DATE(2025,9,1),0)
 ),
 IF(_xlpm.x=0, "-", _xlpm.x)
)</f>
        <v>-</v>
      </c>
      <c r="T235" s="65" t="str">
        <f>_xlfn.LET(
 _xlpm.x,
 _xlfn.MAXIFS(
  raw_stack!H$2:H$100000,
  raw_stack!D$2:D$100000, G235,
  raw_stack!F$2:F$100000, "Iya",
  raw_stack!G$2:G$100000, "&gt;="&amp;DATE(2025,9,1),
  raw_stack!G$2:G$100000, "&lt;="&amp;EOMONTH(DATE(2025,9,1),0)
 ),
 IF(OR(_xlpm.x=0, _xlpm.x=""), "-", _xlpm.x)
)</f>
        <v>-</v>
      </c>
      <c r="U235" s="54" t="str">
        <f>_xlfn.LET(
 _xlpm.x,
 _xlfn.MAXIFS(
  raw_stack!G$2:G$99411,
  raw_stack!D$2:D$99411, G235,
  raw_stack!F$2:F$99411, "Iya",
  raw_stack!G$2:G$99411, "&gt;="&amp;DATE(2025,10,1),
  raw_stack!G$2:G$99411, "&lt;="&amp;EOMONTH(DATE(2025,10,1),0)
 ),
 IF(_xlpm.x=0, "-", _xlpm.x)
)</f>
        <v>-</v>
      </c>
      <c r="V235" s="65" t="str">
        <f>_xlfn.LET(
 _xlpm.x,
 _xlfn.MAXIFS(
  raw_stack!H$2:H$100000,
  raw_stack!D$2:D$100000, G235,
  raw_stack!F$2:F$100000, "Iya",
  raw_stack!G$2:G$100000, "&gt;="&amp;DATE(2025,10,1),
  raw_stack!G$2:G$100000, "&lt;="&amp;EOMONTH(DATE(2025,10,1),0)
 ),
 IF(OR(_xlpm.x=0, _xlpm.x=""), "-", _xlpm.x)
)</f>
        <v>-</v>
      </c>
      <c r="W235" s="55" t="str">
        <f>_xlfn.LET(
 _xlpm.x,
 _xlfn.MAXIFS(
  raw_stack!G$2:G$99411,
  raw_stack!D$2:D$99411, G235,
  raw_stack!F$2:F$99411, "Iya",
  raw_stack!G$2:G$99411, "&gt;="&amp;DATE(2025,11,1),
  raw_stack!G$2:G$99411, "&lt;="&amp;EOMONTH(DATE(2025,11,1),0)
 ),
 IF(_xlpm.x=0, "-", _xlpm.x)
)</f>
        <v>-</v>
      </c>
      <c r="X235" s="56" t="str">
        <f>_xlfn.LET(
 _xlpm.x,
 _xlfn.MAXIFS(
  raw_stack!H$2:H$100000,
  raw_stack!D$2:D$100000, G235,
  raw_stack!F$2:F$100000, "Iya",
  raw_stack!G$2:G$100000, "&gt;="&amp;DATE(2025,11,1),
  raw_stack!G$2:G$100000, "&lt;="&amp;EOMONTH(DATE(2025,11,1),0)
 ),
 IF(OR(_xlpm.x=0, _xlpm.x=""), "-", _xlpm.x)
)</f>
        <v>-</v>
      </c>
      <c r="Y235" s="55">
        <f>_xlfn.LET(
 _xlpm.x,
 _xlfn.MAXIFS(
  raw_stack!G$2:G$99411,
  raw_stack!D$2:D$99411, G235,
  raw_stack!F$2:F$99411, "Iya",
  raw_stack!G$2:G$99411, "&gt;="&amp;DATE(2025,12,1),
  raw_stack!G$2:G$99411, "&lt;="&amp;EOMONTH(DATE(2025,12,1),0)
 ),
 IF(_xlpm.x=0, "-", _xlpm.x)
)</f>
        <v>46009</v>
      </c>
      <c r="Z235" s="56">
        <f>_xlfn.LET(
 _xlpm.x,
 _xlfn.MAXIFS(
  raw_stack!H$2:H$100000,
  raw_stack!D$2:D$100000, G235,
  raw_stack!F$2:F$100000, "Iya",
  raw_stack!G$2:G$100000, "&gt;="&amp;DATE(2025,12,1),
  raw_stack!G$2:G$100000, "&lt;="&amp;EOMONTH(DATE(2025,12,1),0)
 ),
 IF(OR(_xlpm.x=0, _xlpm.x=""), "-", _xlpm.x)
)</f>
        <v>20801</v>
      </c>
      <c r="AA235" s="55" t="str">
        <f>_xlfn.LET(
 _xlpm.x,
 _xlfn.MAXIFS(
  raw_stack!G$2:G$99411,
  raw_stack!D$2:D$99411, G235,
  raw_stack!F$2:F$99411, "Iya",
  raw_stack!G$2:G$99411, "&gt;="&amp;DATE(2026,1,1),
  raw_stack!G$2:G$99411, "&lt;="&amp;EOMONTH(DATE(2026,1,1),0)
 ),
 IF(_xlpm.x=0, "-", _xlpm.x)
)</f>
        <v>-</v>
      </c>
      <c r="AB235" s="56" t="str">
        <f>_xlfn.LET(
 _xlpm.x,
 _xlfn.MAXIFS(
  raw_stack!H$2:H$100000,
  raw_stack!D$2:D$100000, G235,
  raw_stack!F$2:F$100000, "Iya",
  raw_stack!G$2:G$100000, "&gt;="&amp;DATE(2026,1,1),
  raw_stack!G$2:G$100000, "&lt;="&amp;EOMONTH(DATE(2026,1,1),0)
 ),
 IF(OR(_xlpm.x=0, _xlpm.x=""), "-", _xlpm.x)
)</f>
        <v>-</v>
      </c>
      <c r="AC235" s="55" t="str">
        <f>_xlfn.LET(
 _xlpm.x,
 _xlfn.MAXIFS(
  raw_stack!G$2:G$99411,
  raw_stack!D$2:D$99411, G235,
  raw_stack!F$2:F$99411, "Iya",
  raw_stack!G$2:G$99411, "&gt;="&amp;DATE(2026,2,1),
  raw_stack!G$2:G$99411, "&lt;="&amp;EOMONTH(DATE(2026,2,1),0)
 ),
 IF(_xlpm.x=0, "-", _xlpm.x)
)</f>
        <v>-</v>
      </c>
      <c r="AD235" s="56" t="str">
        <f>_xlfn.LET(
 _xlpm.x,
 _xlfn.MAXIFS(
  raw_stack!H$2:H$100000,
  raw_stack!D$2:D$100000, G235,
  raw_stack!F$2:F$100000, "Iya",
  raw_stack!G$2:G$100000, "&gt;="&amp;DATE(2026,2,1),
  raw_stack!G$2:G$100000, "&lt;="&amp;EOMONTH(DATE(2026,2,1),0)
 ),
 IF(OR(_xlpm.x=0, _xlpm.x=""), "-", _xlpm.x)
)</f>
        <v>-</v>
      </c>
      <c r="AE235" s="55" t="str">
        <f>_xlfn.LET(
 _xlpm.x,
 _xlfn.MAXIFS(
  raw_stack!G$2:G$100000,
  raw_stack!D$2:D$100000, G235,
  raw_stack!F$2:F$100000, "Iya",
  raw_stack!G$2:G$100000, "&gt;="&amp;DATE(2026,3,1),
  raw_stack!G$2:G$100000, "&lt;="&amp;EOMONTH(DATE(2026,3,1),0)
 ),
 IF(_xlpm.x=0, "-", _xlpm.x)
)</f>
        <v>-</v>
      </c>
      <c r="AF235" s="56" t="str">
        <f>_xlfn.LET(
 _xlpm.x,
 _xlfn.MAXIFS(
  raw_stack!H$2:H$100000,
  raw_stack!D$2:D$100000, G235,
  raw_stack!F$2:F$100000, "Iya",
  raw_stack!G$2:G$100000, "&gt;="&amp;DATE(2026,3,1),
  raw_stack!G$2:G$100000, "&lt;="&amp;EOMONTH(DATE(2026,3,1),0)
 ),
 IF(OR(_xlpm.x=0, _xlpm.x=""), "-", _xlpm.x)
)</f>
        <v>-</v>
      </c>
      <c r="AG235" s="55" t="str">
        <f>_xlfn.LET(
 _xlpm.x,
 _xlfn.MAXIFS(
  raw_stack!G$2:G$100000,
  raw_stack!D$2:D$100000, G235,
  raw_stack!F$2:F$100000, "Iya",
  raw_stack!G$2:G$100000, "&gt;="&amp;DATE(2026,4,1),
  raw_stack!G$2:G$100000, "&lt;="&amp;EOMONTH(DATE(2026,4,1),0)
 ),
 IF(_xlpm.x=0, "-", _xlpm.x)
)</f>
        <v>-</v>
      </c>
      <c r="AH235" s="56" t="str">
        <f>_xlfn.LET(
 _xlpm.x,
 _xlfn.MAXIFS(
  raw_stack!H$2:H$100000,
  raw_stack!D$2:D$100000, G235,
  raw_stack!F$2:F$100000, "Iya",
  raw_stack!G$2:G$100000, "&gt;="&amp;DATE(2026,4,1),
  raw_stack!G$2:G$100000, "&lt;="&amp;EOMONTH(DATE(2026,4,1),0)
 ),
 IF(OR(_xlpm.x=0, _xlpm.x=""), "-", _xlpm.x)
)</f>
        <v>-</v>
      </c>
    </row>
    <row r="236" spans="1:34">
      <c r="A236" s="48">
        <v>235</v>
      </c>
      <c r="B236" s="49" t="str">
        <f t="shared" si="3"/>
        <v>44723</v>
      </c>
      <c r="C236" s="50" t="s">
        <v>46</v>
      </c>
      <c r="D236" s="51" t="s">
        <v>654</v>
      </c>
      <c r="E236" s="51" t="s">
        <v>47</v>
      </c>
      <c r="F236" s="49" t="s">
        <v>117</v>
      </c>
      <c r="G236" s="49" t="s">
        <v>352</v>
      </c>
      <c r="H236" s="49" t="s">
        <v>48</v>
      </c>
      <c r="I236" s="49" t="s">
        <v>49</v>
      </c>
      <c r="J236" s="52">
        <v>4500000</v>
      </c>
      <c r="K236" s="53">
        <v>45737</v>
      </c>
      <c r="L236" s="53">
        <v>46832</v>
      </c>
      <c r="M236" s="53">
        <v>46073</v>
      </c>
      <c r="N236" s="49" t="s">
        <v>50</v>
      </c>
      <c r="O236" s="54" t="str">
        <f>_xlfn.LET(
 _xlpm.x,
 _xlfn.MAXIFS(
  raw_stack!G$2:G$100000,
  raw_stack!D$2:D$100000, G236,
  raw_stack!F$2:F$100000, "Iya",
  raw_stack!G$2:G$100000, "&gt;="&amp;DATE(2025,7,1),
  raw_stack!G$2:G$100000, "&lt;="&amp;EOMONTH(DATE(2025,7,1),0)
 ),
 IF(_xlpm.x=0, "-", _xlpm.x)
)</f>
        <v>-</v>
      </c>
      <c r="P236" s="65" t="str">
        <f>_xlfn.LET(
 _xlpm.x,
 _xlfn.MAXIFS(
  raw_stack!H$2:H$100000,
  raw_stack!D$2:D$100000, G236,
  raw_stack!F$2:F$100000, "Iya",
  raw_stack!G$2:G$100000, "&gt;="&amp;DATE(2025,7,1),
  raw_stack!G$2:G$100000, "&lt;="&amp;EOMONTH(DATE(2025,7,1),0)
 ),
 IF(OR(_xlpm.x=0, _xlpm.x=""), "-", _xlpm.x)
)</f>
        <v>-</v>
      </c>
      <c r="Q236" s="54" t="str">
        <f>_xlfn.LET(
 _xlpm.x,
 _xlfn.MAXIFS(
  raw_stack!G$2:G$99411,
  raw_stack!D$2:D$99411, G236,
  raw_stack!F$2:F$99411, "Iya",
  raw_stack!G$2:G$99411, "&gt;="&amp;DATE(2025,8,1),
  raw_stack!G$2:G$99411, "&lt;="&amp;EOMONTH(DATE(2025,8,1),0)
 ),
 IF(_xlpm.x=0, "-", _xlpm.x)
)</f>
        <v>-</v>
      </c>
      <c r="R236" s="65" t="str">
        <f>_xlfn.LET(
 _xlpm.x,
 _xlfn.MAXIFS(
  raw_stack!H$2:H$100000,
  raw_stack!D$2:D$100000, G236,
  raw_stack!F$2:F$100000, "Iya",
  raw_stack!G$2:G$100000, "&gt;="&amp;DATE(2025,8,1),
  raw_stack!G$2:G$100000, "&lt;="&amp;EOMONTH(DATE(2025,8,1),0)
 ),
 IF(OR(_xlpm.x=0, _xlpm.x=""), "-", _xlpm.x)
)</f>
        <v>-</v>
      </c>
      <c r="S236" s="54" t="str">
        <f>_xlfn.LET(
 _xlpm.x,
 _xlfn.MAXIFS(
  raw_stack!G$2:G$99411,
  raw_stack!D$2:D$99411, G236,
  raw_stack!F$2:F$99411, "Iya",
  raw_stack!G$2:G$99411, "&gt;="&amp;DATE(2025,9,1),
  raw_stack!G$2:G$99411, "&lt;="&amp;EOMONTH(DATE(2025,9,1),0)
 ),
 IF(_xlpm.x=0, "-", _xlpm.x)
)</f>
        <v>-</v>
      </c>
      <c r="T236" s="65" t="str">
        <f>_xlfn.LET(
 _xlpm.x,
 _xlfn.MAXIFS(
  raw_stack!H$2:H$100000,
  raw_stack!D$2:D$100000, G236,
  raw_stack!F$2:F$100000, "Iya",
  raw_stack!G$2:G$100000, "&gt;="&amp;DATE(2025,9,1),
  raw_stack!G$2:G$100000, "&lt;="&amp;EOMONTH(DATE(2025,9,1),0)
 ),
 IF(OR(_xlpm.x=0, _xlpm.x=""), "-", _xlpm.x)
)</f>
        <v>-</v>
      </c>
      <c r="U236" s="54">
        <f>_xlfn.LET(
 _xlpm.x,
 _xlfn.MAXIFS(
  raw_stack!G$2:G$99411,
  raw_stack!D$2:D$99411, G236,
  raw_stack!F$2:F$99411, "Iya",
  raw_stack!G$2:G$99411, "&gt;="&amp;DATE(2025,10,1),
  raw_stack!G$2:G$99411, "&lt;="&amp;EOMONTH(DATE(2025,10,1),0)
 ),
 IF(_xlpm.x=0, "-", _xlpm.x)
)</f>
        <v>45944</v>
      </c>
      <c r="V236" s="65">
        <f>_xlfn.LET(
 _xlpm.x,
 _xlfn.MAXIFS(
  raw_stack!H$2:H$100000,
  raw_stack!D$2:D$100000, G236,
  raw_stack!F$2:F$100000, "Iya",
  raw_stack!G$2:G$100000, "&gt;="&amp;DATE(2025,10,1),
  raw_stack!G$2:G$100000, "&lt;="&amp;EOMONTH(DATE(2025,10,1),0)
 ),
 IF(OR(_xlpm.x=0, _xlpm.x=""), "-", _xlpm.x)
)</f>
        <v>152193</v>
      </c>
      <c r="W236" s="55" t="str">
        <f>_xlfn.LET(
 _xlpm.x,
 _xlfn.MAXIFS(
  raw_stack!G$2:G$99411,
  raw_stack!D$2:D$99411, G236,
  raw_stack!F$2:F$99411, "Iya",
  raw_stack!G$2:G$99411, "&gt;="&amp;DATE(2025,11,1),
  raw_stack!G$2:G$99411, "&lt;="&amp;EOMONTH(DATE(2025,11,1),0)
 ),
 IF(_xlpm.x=0, "-", _xlpm.x)
)</f>
        <v>-</v>
      </c>
      <c r="X236" s="56" t="str">
        <f>_xlfn.LET(
 _xlpm.x,
 _xlfn.MAXIFS(
  raw_stack!H$2:H$100000,
  raw_stack!D$2:D$100000, G236,
  raw_stack!F$2:F$100000, "Iya",
  raw_stack!G$2:G$100000, "&gt;="&amp;DATE(2025,11,1),
  raw_stack!G$2:G$100000, "&lt;="&amp;EOMONTH(DATE(2025,11,1),0)
 ),
 IF(OR(_xlpm.x=0, _xlpm.x=""), "-", _xlpm.x)
)</f>
        <v>-</v>
      </c>
      <c r="Y236" s="55" t="str">
        <f>_xlfn.LET(
 _xlpm.x,
 _xlfn.MAXIFS(
  raw_stack!G$2:G$99411,
  raw_stack!D$2:D$99411, G236,
  raw_stack!F$2:F$99411, "Iya",
  raw_stack!G$2:G$99411, "&gt;="&amp;DATE(2025,12,1),
  raw_stack!G$2:G$99411, "&lt;="&amp;EOMONTH(DATE(2025,12,1),0)
 ),
 IF(_xlpm.x=0, "-", _xlpm.x)
)</f>
        <v>-</v>
      </c>
      <c r="Z236" s="56" t="str">
        <f>_xlfn.LET(
 _xlpm.x,
 _xlfn.MAXIFS(
  raw_stack!H$2:H$100000,
  raw_stack!D$2:D$100000, G236,
  raw_stack!F$2:F$100000, "Iya",
  raw_stack!G$2:G$100000, "&gt;="&amp;DATE(2025,12,1),
  raw_stack!G$2:G$100000, "&lt;="&amp;EOMONTH(DATE(2025,12,1),0)
 ),
 IF(OR(_xlpm.x=0, _xlpm.x=""), "-", _xlpm.x)
)</f>
        <v>-</v>
      </c>
      <c r="AA236" s="55" t="str">
        <f>_xlfn.LET(
 _xlpm.x,
 _xlfn.MAXIFS(
  raw_stack!G$2:G$99411,
  raw_stack!D$2:D$99411, G236,
  raw_stack!F$2:F$99411, "Iya",
  raw_stack!G$2:G$99411, "&gt;="&amp;DATE(2026,1,1),
  raw_stack!G$2:G$99411, "&lt;="&amp;EOMONTH(DATE(2026,1,1),0)
 ),
 IF(_xlpm.x=0, "-", _xlpm.x)
)</f>
        <v>-</v>
      </c>
      <c r="AB236" s="56" t="str">
        <f>_xlfn.LET(
 _xlpm.x,
 _xlfn.MAXIFS(
  raw_stack!H$2:H$100000,
  raw_stack!D$2:D$100000, G236,
  raw_stack!F$2:F$100000, "Iya",
  raw_stack!G$2:G$100000, "&gt;="&amp;DATE(2026,1,1),
  raw_stack!G$2:G$100000, "&lt;="&amp;EOMONTH(DATE(2026,1,1),0)
 ),
 IF(OR(_xlpm.x=0, _xlpm.x=""), "-", _xlpm.x)
)</f>
        <v>-</v>
      </c>
      <c r="AC236" s="55" t="str">
        <f>_xlfn.LET(
 _xlpm.x,
 _xlfn.MAXIFS(
  raw_stack!G$2:G$99411,
  raw_stack!D$2:D$99411, G236,
  raw_stack!F$2:F$99411, "Iya",
  raw_stack!G$2:G$99411, "&gt;="&amp;DATE(2026,2,1),
  raw_stack!G$2:G$99411, "&lt;="&amp;EOMONTH(DATE(2026,2,1),0)
 ),
 IF(_xlpm.x=0, "-", _xlpm.x)
)</f>
        <v>-</v>
      </c>
      <c r="AD236" s="56" t="str">
        <f>_xlfn.LET(
 _xlpm.x,
 _xlfn.MAXIFS(
  raw_stack!H$2:H$100000,
  raw_stack!D$2:D$100000, G236,
  raw_stack!F$2:F$100000, "Iya",
  raw_stack!G$2:G$100000, "&gt;="&amp;DATE(2026,2,1),
  raw_stack!G$2:G$100000, "&lt;="&amp;EOMONTH(DATE(2026,2,1),0)
 ),
 IF(OR(_xlpm.x=0, _xlpm.x=""), "-", _xlpm.x)
)</f>
        <v>-</v>
      </c>
      <c r="AE236" s="55">
        <f>_xlfn.LET(
 _xlpm.x,
 _xlfn.MAXIFS(
  raw_stack!G$2:G$100000,
  raw_stack!D$2:D$100000, G236,
  raw_stack!F$2:F$100000, "Iya",
  raw_stack!G$2:G$100000, "&gt;="&amp;DATE(2026,3,1),
  raw_stack!G$2:G$100000, "&lt;="&amp;EOMONTH(DATE(2026,3,1),0)
 ),
 IF(_xlpm.x=0, "-", _xlpm.x)
)</f>
        <v>46090</v>
      </c>
      <c r="AF236" s="56">
        <f>_xlfn.LET(
 _xlpm.x,
 _xlfn.MAXIFS(
  raw_stack!H$2:H$100000,
  raw_stack!D$2:D$100000, G236,
  raw_stack!F$2:F$100000, "Iya",
  raw_stack!G$2:G$100000, "&gt;="&amp;DATE(2026,3,1),
  raw_stack!G$2:G$100000, "&lt;="&amp;EOMONTH(DATE(2026,3,1),0)
 ),
 IF(OR(_xlpm.x=0, _xlpm.x=""), "-", _xlpm.x)
)</f>
        <v>21020</v>
      </c>
      <c r="AG236" s="55" t="str">
        <f>_xlfn.LET(
 _xlpm.x,
 _xlfn.MAXIFS(
  raw_stack!G$2:G$100000,
  raw_stack!D$2:D$100000, G236,
  raw_stack!F$2:F$100000, "Iya",
  raw_stack!G$2:G$100000, "&gt;="&amp;DATE(2026,4,1),
  raw_stack!G$2:G$100000, "&lt;="&amp;EOMONTH(DATE(2026,4,1),0)
 ),
 IF(_xlpm.x=0, "-", _xlpm.x)
)</f>
        <v>-</v>
      </c>
      <c r="AH236" s="56" t="str">
        <f>_xlfn.LET(
 _xlpm.x,
 _xlfn.MAXIFS(
  raw_stack!H$2:H$100000,
  raw_stack!D$2:D$100000, G236,
  raw_stack!F$2:F$100000, "Iya",
  raw_stack!G$2:G$100000, "&gt;="&amp;DATE(2026,4,1),
  raw_stack!G$2:G$100000, "&lt;="&amp;EOMONTH(DATE(2026,4,1),0)
 ),
 IF(OR(_xlpm.x=0, _xlpm.x=""), "-", _xlpm.x)
)</f>
        <v>-</v>
      </c>
    </row>
    <row r="237" spans="1:34">
      <c r="A237" s="48">
        <v>236</v>
      </c>
      <c r="B237" s="49" t="str">
        <f t="shared" si="3"/>
        <v>70300</v>
      </c>
      <c r="C237" s="50" t="s">
        <v>46</v>
      </c>
      <c r="D237" s="51" t="s">
        <v>655</v>
      </c>
      <c r="E237" s="51" t="s">
        <v>53</v>
      </c>
      <c r="F237" s="49" t="s">
        <v>117</v>
      </c>
      <c r="G237" s="49" t="s">
        <v>353</v>
      </c>
      <c r="H237" s="49" t="s">
        <v>48</v>
      </c>
      <c r="I237" s="49" t="s">
        <v>52</v>
      </c>
      <c r="J237" s="52">
        <v>3960000</v>
      </c>
      <c r="K237" s="53">
        <v>45737</v>
      </c>
      <c r="L237" s="53">
        <v>46832</v>
      </c>
      <c r="M237" s="53">
        <v>46073</v>
      </c>
      <c r="N237" s="49" t="s">
        <v>50</v>
      </c>
      <c r="O237" s="54" t="str">
        <f>_xlfn.LET(
 _xlpm.x,
 _xlfn.MAXIFS(
  raw_stack!G$2:G$100000,
  raw_stack!D$2:D$100000, G237,
  raw_stack!F$2:F$100000, "Iya",
  raw_stack!G$2:G$100000, "&gt;="&amp;DATE(2025,7,1),
  raw_stack!G$2:G$100000, "&lt;="&amp;EOMONTH(DATE(2025,7,1),0)
 ),
 IF(_xlpm.x=0, "-", _xlpm.x)
)</f>
        <v>-</v>
      </c>
      <c r="P237" s="65" t="str">
        <f>_xlfn.LET(
 _xlpm.x,
 _xlfn.MAXIFS(
  raw_stack!H$2:H$100000,
  raw_stack!D$2:D$100000, G237,
  raw_stack!F$2:F$100000, "Iya",
  raw_stack!G$2:G$100000, "&gt;="&amp;DATE(2025,7,1),
  raw_stack!G$2:G$100000, "&lt;="&amp;EOMONTH(DATE(2025,7,1),0)
 ),
 IF(OR(_xlpm.x=0, _xlpm.x=""), "-", _xlpm.x)
)</f>
        <v>-</v>
      </c>
      <c r="Q237" s="54" t="str">
        <f>_xlfn.LET(
 _xlpm.x,
 _xlfn.MAXIFS(
  raw_stack!G$2:G$99411,
  raw_stack!D$2:D$99411, G237,
  raw_stack!F$2:F$99411, "Iya",
  raw_stack!G$2:G$99411, "&gt;="&amp;DATE(2025,8,1),
  raw_stack!G$2:G$99411, "&lt;="&amp;EOMONTH(DATE(2025,8,1),0)
 ),
 IF(_xlpm.x=0, "-", _xlpm.x)
)</f>
        <v>-</v>
      </c>
      <c r="R237" s="65" t="str">
        <f>_xlfn.LET(
 _xlpm.x,
 _xlfn.MAXIFS(
  raw_stack!H$2:H$100000,
  raw_stack!D$2:D$100000, G237,
  raw_stack!F$2:F$100000, "Iya",
  raw_stack!G$2:G$100000, "&gt;="&amp;DATE(2025,8,1),
  raw_stack!G$2:G$100000, "&lt;="&amp;EOMONTH(DATE(2025,8,1),0)
 ),
 IF(OR(_xlpm.x=0, _xlpm.x=""), "-", _xlpm.x)
)</f>
        <v>-</v>
      </c>
      <c r="S237" s="54">
        <f>_xlfn.LET(
 _xlpm.x,
 _xlfn.MAXIFS(
  raw_stack!G$2:G$99411,
  raw_stack!D$2:D$99411, G237,
  raw_stack!F$2:F$99411, "Iya",
  raw_stack!G$2:G$99411, "&gt;="&amp;DATE(2025,9,1),
  raw_stack!G$2:G$99411, "&lt;="&amp;EOMONTH(DATE(2025,9,1),0)
 ),
 IF(_xlpm.x=0, "-", _xlpm.x)
)</f>
        <v>45902</v>
      </c>
      <c r="T237" s="65">
        <f>_xlfn.LET(
 _xlpm.x,
 _xlfn.MAXIFS(
  raw_stack!H$2:H$100000,
  raw_stack!D$2:D$100000, G237,
  raw_stack!F$2:F$100000, "Iya",
  raw_stack!G$2:G$100000, "&gt;="&amp;DATE(2025,9,1),
  raw_stack!G$2:G$100000, "&lt;="&amp;EOMONTH(DATE(2025,9,1),0)
 ),
 IF(OR(_xlpm.x=0, _xlpm.x=""), "-", _xlpm.x)
)</f>
        <v>10318</v>
      </c>
      <c r="U237" s="54" t="str">
        <f>_xlfn.LET(
 _xlpm.x,
 _xlfn.MAXIFS(
  raw_stack!G$2:G$99411,
  raw_stack!D$2:D$99411, G237,
  raw_stack!F$2:F$99411, "Iya",
  raw_stack!G$2:G$99411, "&gt;="&amp;DATE(2025,10,1),
  raw_stack!G$2:G$99411, "&lt;="&amp;EOMONTH(DATE(2025,10,1),0)
 ),
 IF(_xlpm.x=0, "-", _xlpm.x)
)</f>
        <v>-</v>
      </c>
      <c r="V237" s="65" t="str">
        <f>_xlfn.LET(
 _xlpm.x,
 _xlfn.MAXIFS(
  raw_stack!H$2:H$100000,
  raw_stack!D$2:D$100000, G237,
  raw_stack!F$2:F$100000, "Iya",
  raw_stack!G$2:G$100000, "&gt;="&amp;DATE(2025,10,1),
  raw_stack!G$2:G$100000, "&lt;="&amp;EOMONTH(DATE(2025,10,1),0)
 ),
 IF(OR(_xlpm.x=0, _xlpm.x=""), "-", _xlpm.x)
)</f>
        <v>-</v>
      </c>
      <c r="W237" s="55" t="str">
        <f>_xlfn.LET(
 _xlpm.x,
 _xlfn.MAXIFS(
  raw_stack!G$2:G$99411,
  raw_stack!D$2:D$99411, G237,
  raw_stack!F$2:F$99411, "Iya",
  raw_stack!G$2:G$99411, "&gt;="&amp;DATE(2025,11,1),
  raw_stack!G$2:G$99411, "&lt;="&amp;EOMONTH(DATE(2025,11,1),0)
 ),
 IF(_xlpm.x=0, "-", _xlpm.x)
)</f>
        <v>-</v>
      </c>
      <c r="X237" s="56" t="str">
        <f>_xlfn.LET(
 _xlpm.x,
 _xlfn.MAXIFS(
  raw_stack!H$2:H$100000,
  raw_stack!D$2:D$100000, G237,
  raw_stack!F$2:F$100000, "Iya",
  raw_stack!G$2:G$100000, "&gt;="&amp;DATE(2025,11,1),
  raw_stack!G$2:G$100000, "&lt;="&amp;EOMONTH(DATE(2025,11,1),0)
 ),
 IF(OR(_xlpm.x=0, _xlpm.x=""), "-", _xlpm.x)
)</f>
        <v>-</v>
      </c>
      <c r="Y237" s="55" t="str">
        <f>_xlfn.LET(
 _xlpm.x,
 _xlfn.MAXIFS(
  raw_stack!G$2:G$99411,
  raw_stack!D$2:D$99411, G237,
  raw_stack!F$2:F$99411, "Iya",
  raw_stack!G$2:G$99411, "&gt;="&amp;DATE(2025,12,1),
  raw_stack!G$2:G$99411, "&lt;="&amp;EOMONTH(DATE(2025,12,1),0)
 ),
 IF(_xlpm.x=0, "-", _xlpm.x)
)</f>
        <v>-</v>
      </c>
      <c r="Z237" s="56" t="str">
        <f>_xlfn.LET(
 _xlpm.x,
 _xlfn.MAXIFS(
  raw_stack!H$2:H$100000,
  raw_stack!D$2:D$100000, G237,
  raw_stack!F$2:F$100000, "Iya",
  raw_stack!G$2:G$100000, "&gt;="&amp;DATE(2025,12,1),
  raw_stack!G$2:G$100000, "&lt;="&amp;EOMONTH(DATE(2025,12,1),0)
 ),
 IF(OR(_xlpm.x=0, _xlpm.x=""), "-", _xlpm.x)
)</f>
        <v>-</v>
      </c>
      <c r="AA237" s="55">
        <f>_xlfn.LET(
 _xlpm.x,
 _xlfn.MAXIFS(
  raw_stack!G$2:G$99411,
  raw_stack!D$2:D$99411, G237,
  raw_stack!F$2:F$99411, "Iya",
  raw_stack!G$2:G$99411, "&gt;="&amp;DATE(2026,1,1),
  raw_stack!G$2:G$99411, "&lt;="&amp;EOMONTH(DATE(2026,1,1),0)
 ),
 IF(_xlpm.x=0, "-", _xlpm.x)
)</f>
        <v>46034</v>
      </c>
      <c r="AB237" s="56">
        <f>_xlfn.LET(
 _xlpm.x,
 _xlfn.MAXIFS(
  raw_stack!H$2:H$100000,
  raw_stack!D$2:D$100000, G237,
  raw_stack!F$2:F$100000, "Iya",
  raw_stack!G$2:G$100000, "&gt;="&amp;DATE(2026,1,1),
  raw_stack!G$2:G$100000, "&lt;="&amp;EOMONTH(DATE(2026,1,1),0)
 ),
 IF(OR(_xlpm.x=0, _xlpm.x=""), "-", _xlpm.x)
)</f>
        <v>11456</v>
      </c>
      <c r="AC237" s="55" t="str">
        <f>_xlfn.LET(
 _xlpm.x,
 _xlfn.MAXIFS(
  raw_stack!G$2:G$99411,
  raw_stack!D$2:D$99411, G237,
  raw_stack!F$2:F$99411, "Iya",
  raw_stack!G$2:G$99411, "&gt;="&amp;DATE(2026,2,1),
  raw_stack!G$2:G$99411, "&lt;="&amp;EOMONTH(DATE(2026,2,1),0)
 ),
 IF(_xlpm.x=0, "-", _xlpm.x)
)</f>
        <v>-</v>
      </c>
      <c r="AD237" s="56" t="str">
        <f>_xlfn.LET(
 _xlpm.x,
 _xlfn.MAXIFS(
  raw_stack!H$2:H$100000,
  raw_stack!D$2:D$100000, G237,
  raw_stack!F$2:F$100000, "Iya",
  raw_stack!G$2:G$100000, "&gt;="&amp;DATE(2026,2,1),
  raw_stack!G$2:G$100000, "&lt;="&amp;EOMONTH(DATE(2026,2,1),0)
 ),
 IF(OR(_xlpm.x=0, _xlpm.x=""), "-", _xlpm.x)
)</f>
        <v>-</v>
      </c>
      <c r="AE237" s="55" t="str">
        <f>_xlfn.LET(
 _xlpm.x,
 _xlfn.MAXIFS(
  raw_stack!G$2:G$100000,
  raw_stack!D$2:D$100000, G237,
  raw_stack!F$2:F$100000, "Iya",
  raw_stack!G$2:G$100000, "&gt;="&amp;DATE(2026,3,1),
  raw_stack!G$2:G$100000, "&lt;="&amp;EOMONTH(DATE(2026,3,1),0)
 ),
 IF(_xlpm.x=0, "-", _xlpm.x)
)</f>
        <v>-</v>
      </c>
      <c r="AF237" s="56" t="str">
        <f>_xlfn.LET(
 _xlpm.x,
 _xlfn.MAXIFS(
  raw_stack!H$2:H$100000,
  raw_stack!D$2:D$100000, G237,
  raw_stack!F$2:F$100000, "Iya",
  raw_stack!G$2:G$100000, "&gt;="&amp;DATE(2026,3,1),
  raw_stack!G$2:G$100000, "&lt;="&amp;EOMONTH(DATE(2026,3,1),0)
 ),
 IF(OR(_xlpm.x=0, _xlpm.x=""), "-", _xlpm.x)
)</f>
        <v>-</v>
      </c>
      <c r="AG237" s="55" t="str">
        <f>_xlfn.LET(
 _xlpm.x,
 _xlfn.MAXIFS(
  raw_stack!G$2:G$100000,
  raw_stack!D$2:D$100000, G237,
  raw_stack!F$2:F$100000, "Iya",
  raw_stack!G$2:G$100000, "&gt;="&amp;DATE(2026,4,1),
  raw_stack!G$2:G$100000, "&lt;="&amp;EOMONTH(DATE(2026,4,1),0)
 ),
 IF(_xlpm.x=0, "-", _xlpm.x)
)</f>
        <v>-</v>
      </c>
      <c r="AH237" s="56" t="str">
        <f>_xlfn.LET(
 _xlpm.x,
 _xlfn.MAXIFS(
  raw_stack!H$2:H$100000,
  raw_stack!D$2:D$100000, G237,
  raw_stack!F$2:F$100000, "Iya",
  raw_stack!G$2:G$100000, "&gt;="&amp;DATE(2026,4,1),
  raw_stack!G$2:G$100000, "&lt;="&amp;EOMONTH(DATE(2026,4,1),0)
 ),
 IF(OR(_xlpm.x=0, _xlpm.x=""), "-", _xlpm.x)
)</f>
        <v>-</v>
      </c>
    </row>
    <row r="238" spans="1:34">
      <c r="A238" s="48">
        <v>237</v>
      </c>
      <c r="B238" s="49" t="str">
        <f t="shared" si="3"/>
        <v>44991</v>
      </c>
      <c r="C238" s="50" t="s">
        <v>46</v>
      </c>
      <c r="D238" s="51" t="s">
        <v>656</v>
      </c>
      <c r="E238" s="51" t="s">
        <v>54</v>
      </c>
      <c r="F238" s="49" t="s">
        <v>117</v>
      </c>
      <c r="G238" s="49" t="s">
        <v>354</v>
      </c>
      <c r="H238" s="49" t="s">
        <v>48</v>
      </c>
      <c r="I238" s="49" t="s">
        <v>52</v>
      </c>
      <c r="J238" s="52">
        <v>6600000</v>
      </c>
      <c r="K238" s="53">
        <v>45742</v>
      </c>
      <c r="L238" s="53">
        <v>46837</v>
      </c>
      <c r="M238" s="53">
        <v>46047</v>
      </c>
      <c r="N238" s="49" t="s">
        <v>50</v>
      </c>
      <c r="O238" s="54" t="str">
        <f>_xlfn.LET(
 _xlpm.x,
 _xlfn.MAXIFS(
  raw_stack!G$2:G$100000,
  raw_stack!D$2:D$100000, G238,
  raw_stack!F$2:F$100000, "Iya",
  raw_stack!G$2:G$100000, "&gt;="&amp;DATE(2025,7,1),
  raw_stack!G$2:G$100000, "&lt;="&amp;EOMONTH(DATE(2025,7,1),0)
 ),
 IF(_xlpm.x=0, "-", _xlpm.x)
)</f>
        <v>-</v>
      </c>
      <c r="P238" s="65" t="str">
        <f>_xlfn.LET(
 _xlpm.x,
 _xlfn.MAXIFS(
  raw_stack!H$2:H$100000,
  raw_stack!D$2:D$100000, G238,
  raw_stack!F$2:F$100000, "Iya",
  raw_stack!G$2:G$100000, "&gt;="&amp;DATE(2025,7,1),
  raw_stack!G$2:G$100000, "&lt;="&amp;EOMONTH(DATE(2025,7,1),0)
 ),
 IF(OR(_xlpm.x=0, _xlpm.x=""), "-", _xlpm.x)
)</f>
        <v>-</v>
      </c>
      <c r="Q238" s="54" t="str">
        <f>_xlfn.LET(
 _xlpm.x,
 _xlfn.MAXIFS(
  raw_stack!G$2:G$99411,
  raw_stack!D$2:D$99411, G238,
  raw_stack!F$2:F$99411, "Iya",
  raw_stack!G$2:G$99411, "&gt;="&amp;DATE(2025,8,1),
  raw_stack!G$2:G$99411, "&lt;="&amp;EOMONTH(DATE(2025,8,1),0)
 ),
 IF(_xlpm.x=0, "-", _xlpm.x)
)</f>
        <v>-</v>
      </c>
      <c r="R238" s="65" t="str">
        <f>_xlfn.LET(
 _xlpm.x,
 _xlfn.MAXIFS(
  raw_stack!H$2:H$100000,
  raw_stack!D$2:D$100000, G238,
  raw_stack!F$2:F$100000, "Iya",
  raw_stack!G$2:G$100000, "&gt;="&amp;DATE(2025,8,1),
  raw_stack!G$2:G$100000, "&lt;="&amp;EOMONTH(DATE(2025,8,1),0)
 ),
 IF(OR(_xlpm.x=0, _xlpm.x=""), "-", _xlpm.x)
)</f>
        <v>-</v>
      </c>
      <c r="S238" s="54" t="str">
        <f>_xlfn.LET(
 _xlpm.x,
 _xlfn.MAXIFS(
  raw_stack!G$2:G$99411,
  raw_stack!D$2:D$99411, G238,
  raw_stack!F$2:F$99411, "Iya",
  raw_stack!G$2:G$99411, "&gt;="&amp;DATE(2025,9,1),
  raw_stack!G$2:G$99411, "&lt;="&amp;EOMONTH(DATE(2025,9,1),0)
 ),
 IF(_xlpm.x=0, "-", _xlpm.x)
)</f>
        <v>-</v>
      </c>
      <c r="T238" s="65" t="str">
        <f>_xlfn.LET(
 _xlpm.x,
 _xlfn.MAXIFS(
  raw_stack!H$2:H$100000,
  raw_stack!D$2:D$100000, G238,
  raw_stack!F$2:F$100000, "Iya",
  raw_stack!G$2:G$100000, "&gt;="&amp;DATE(2025,9,1),
  raw_stack!G$2:G$100000, "&lt;="&amp;EOMONTH(DATE(2025,9,1),0)
 ),
 IF(OR(_xlpm.x=0, _xlpm.x=""), "-", _xlpm.x)
)</f>
        <v>-</v>
      </c>
      <c r="U238" s="54" t="str">
        <f>_xlfn.LET(
 _xlpm.x,
 _xlfn.MAXIFS(
  raw_stack!G$2:G$99411,
  raw_stack!D$2:D$99411, G238,
  raw_stack!F$2:F$99411, "Iya",
  raw_stack!G$2:G$99411, "&gt;="&amp;DATE(2025,10,1),
  raw_stack!G$2:G$99411, "&lt;="&amp;EOMONTH(DATE(2025,10,1),0)
 ),
 IF(_xlpm.x=0, "-", _xlpm.x)
)</f>
        <v>-</v>
      </c>
      <c r="V238" s="65" t="str">
        <f>_xlfn.LET(
 _xlpm.x,
 _xlfn.MAXIFS(
  raw_stack!H$2:H$100000,
  raw_stack!D$2:D$100000, G238,
  raw_stack!F$2:F$100000, "Iya",
  raw_stack!G$2:G$100000, "&gt;="&amp;DATE(2025,10,1),
  raw_stack!G$2:G$100000, "&lt;="&amp;EOMONTH(DATE(2025,10,1),0)
 ),
 IF(OR(_xlpm.x=0, _xlpm.x=""), "-", _xlpm.x)
)</f>
        <v>-</v>
      </c>
      <c r="W238" s="55" t="str">
        <f>_xlfn.LET(
 _xlpm.x,
 _xlfn.MAXIFS(
  raw_stack!G$2:G$99411,
  raw_stack!D$2:D$99411, G238,
  raw_stack!F$2:F$99411, "Iya",
  raw_stack!G$2:G$99411, "&gt;="&amp;DATE(2025,11,1),
  raw_stack!G$2:G$99411, "&lt;="&amp;EOMONTH(DATE(2025,11,1),0)
 ),
 IF(_xlpm.x=0, "-", _xlpm.x)
)</f>
        <v>-</v>
      </c>
      <c r="X238" s="56" t="str">
        <f>_xlfn.LET(
 _xlpm.x,
 _xlfn.MAXIFS(
  raw_stack!H$2:H$100000,
  raw_stack!D$2:D$100000, G238,
  raw_stack!F$2:F$100000, "Iya",
  raw_stack!G$2:G$100000, "&gt;="&amp;DATE(2025,11,1),
  raw_stack!G$2:G$100000, "&lt;="&amp;EOMONTH(DATE(2025,11,1),0)
 ),
 IF(OR(_xlpm.x=0, _xlpm.x=""), "-", _xlpm.x)
)</f>
        <v>-</v>
      </c>
      <c r="Y238" s="55" t="str">
        <f>_xlfn.LET(
 _xlpm.x,
 _xlfn.MAXIFS(
  raw_stack!G$2:G$99411,
  raw_stack!D$2:D$99411, G238,
  raw_stack!F$2:F$99411, "Iya",
  raw_stack!G$2:G$99411, "&gt;="&amp;DATE(2025,12,1),
  raw_stack!G$2:G$99411, "&lt;="&amp;EOMONTH(DATE(2025,12,1),0)
 ),
 IF(_xlpm.x=0, "-", _xlpm.x)
)</f>
        <v>-</v>
      </c>
      <c r="Z238" s="56" t="str">
        <f>_xlfn.LET(
 _xlpm.x,
 _xlfn.MAXIFS(
  raw_stack!H$2:H$100000,
  raw_stack!D$2:D$100000, G238,
  raw_stack!F$2:F$100000, "Iya",
  raw_stack!G$2:G$100000, "&gt;="&amp;DATE(2025,12,1),
  raw_stack!G$2:G$100000, "&lt;="&amp;EOMONTH(DATE(2025,12,1),0)
 ),
 IF(OR(_xlpm.x=0, _xlpm.x=""), "-", _xlpm.x)
)</f>
        <v>-</v>
      </c>
      <c r="AA238" s="55">
        <f>_xlfn.LET(
 _xlpm.x,
 _xlfn.MAXIFS(
  raw_stack!G$2:G$99411,
  raw_stack!D$2:D$99411, G238,
  raw_stack!F$2:F$99411, "Iya",
  raw_stack!G$2:G$99411, "&gt;="&amp;DATE(2026,1,1),
  raw_stack!G$2:G$99411, "&lt;="&amp;EOMONTH(DATE(2026,1,1),0)
 ),
 IF(_xlpm.x=0, "-", _xlpm.x)
)</f>
        <v>46030</v>
      </c>
      <c r="AB238" s="56">
        <f>_xlfn.LET(
 _xlpm.x,
 _xlfn.MAXIFS(
  raw_stack!H$2:H$100000,
  raw_stack!D$2:D$100000, G238,
  raw_stack!F$2:F$100000, "Iya",
  raw_stack!G$2:G$100000, "&gt;="&amp;DATE(2026,1,1),
  raw_stack!G$2:G$100000, "&lt;="&amp;EOMONTH(DATE(2026,1,1),0)
 ),
 IF(OR(_xlpm.x=0, _xlpm.x=""), "-", _xlpm.x)
)</f>
        <v>17476</v>
      </c>
      <c r="AC238" s="55" t="str">
        <f>_xlfn.LET(
 _xlpm.x,
 _xlfn.MAXIFS(
  raw_stack!G$2:G$99411,
  raw_stack!D$2:D$99411, G238,
  raw_stack!F$2:F$99411, "Iya",
  raw_stack!G$2:G$99411, "&gt;="&amp;DATE(2026,2,1),
  raw_stack!G$2:G$99411, "&lt;="&amp;EOMONTH(DATE(2026,2,1),0)
 ),
 IF(_xlpm.x=0, "-", _xlpm.x)
)</f>
        <v>-</v>
      </c>
      <c r="AD238" s="56" t="str">
        <f>_xlfn.LET(
 _xlpm.x,
 _xlfn.MAXIFS(
  raw_stack!H$2:H$100000,
  raw_stack!D$2:D$100000, G238,
  raw_stack!F$2:F$100000, "Iya",
  raw_stack!G$2:G$100000, "&gt;="&amp;DATE(2026,2,1),
  raw_stack!G$2:G$100000, "&lt;="&amp;EOMONTH(DATE(2026,2,1),0)
 ),
 IF(OR(_xlpm.x=0, _xlpm.x=""), "-", _xlpm.x)
)</f>
        <v>-</v>
      </c>
      <c r="AE238" s="55" t="str">
        <f>_xlfn.LET(
 _xlpm.x,
 _xlfn.MAXIFS(
  raw_stack!G$2:G$100000,
  raw_stack!D$2:D$100000, G238,
  raw_stack!F$2:F$100000, "Iya",
  raw_stack!G$2:G$100000, "&gt;="&amp;DATE(2026,3,1),
  raw_stack!G$2:G$100000, "&lt;="&amp;EOMONTH(DATE(2026,3,1),0)
 ),
 IF(_xlpm.x=0, "-", _xlpm.x)
)</f>
        <v>-</v>
      </c>
      <c r="AF238" s="56" t="str">
        <f>_xlfn.LET(
 _xlpm.x,
 _xlfn.MAXIFS(
  raw_stack!H$2:H$100000,
  raw_stack!D$2:D$100000, G238,
  raw_stack!F$2:F$100000, "Iya",
  raw_stack!G$2:G$100000, "&gt;="&amp;DATE(2026,3,1),
  raw_stack!G$2:G$100000, "&lt;="&amp;EOMONTH(DATE(2026,3,1),0)
 ),
 IF(OR(_xlpm.x=0, _xlpm.x=""), "-", _xlpm.x)
)</f>
        <v>-</v>
      </c>
      <c r="AG238" s="55" t="str">
        <f>_xlfn.LET(
 _xlpm.x,
 _xlfn.MAXIFS(
  raw_stack!G$2:G$100000,
  raw_stack!D$2:D$100000, G238,
  raw_stack!F$2:F$100000, "Iya",
  raw_stack!G$2:G$100000, "&gt;="&amp;DATE(2026,4,1),
  raw_stack!G$2:G$100000, "&lt;="&amp;EOMONTH(DATE(2026,4,1),0)
 ),
 IF(_xlpm.x=0, "-", _xlpm.x)
)</f>
        <v>-</v>
      </c>
      <c r="AH238" s="56" t="str">
        <f>_xlfn.LET(
 _xlpm.x,
 _xlfn.MAXIFS(
  raw_stack!H$2:H$100000,
  raw_stack!D$2:D$100000, G238,
  raw_stack!F$2:F$100000, "Iya",
  raw_stack!G$2:G$100000, "&gt;="&amp;DATE(2026,4,1),
  raw_stack!G$2:G$100000, "&lt;="&amp;EOMONTH(DATE(2026,4,1),0)
 ),
 IF(OR(_xlpm.x=0, _xlpm.x=""), "-", _xlpm.x)
)</f>
        <v>-</v>
      </c>
    </row>
    <row r="239" spans="1:34">
      <c r="A239" s="48">
        <v>238</v>
      </c>
      <c r="B239" s="49" t="str">
        <f t="shared" si="3"/>
        <v>70524</v>
      </c>
      <c r="C239" s="50" t="s">
        <v>46</v>
      </c>
      <c r="D239" s="51" t="s">
        <v>483</v>
      </c>
      <c r="E239" s="51" t="s">
        <v>51</v>
      </c>
      <c r="F239" s="49" t="s">
        <v>117</v>
      </c>
      <c r="G239" s="49" t="s">
        <v>355</v>
      </c>
      <c r="H239" s="49" t="s">
        <v>48</v>
      </c>
      <c r="I239" s="49" t="s">
        <v>52</v>
      </c>
      <c r="J239" s="52">
        <v>3880000</v>
      </c>
      <c r="K239" s="53">
        <v>45743</v>
      </c>
      <c r="L239" s="53">
        <v>46838</v>
      </c>
      <c r="M239" s="53">
        <v>46079</v>
      </c>
      <c r="N239" s="49" t="s">
        <v>50</v>
      </c>
      <c r="O239" s="54" t="str">
        <f>_xlfn.LET(
 _xlpm.x,
 _xlfn.MAXIFS(
  raw_stack!G$2:G$100000,
  raw_stack!D$2:D$100000, G239,
  raw_stack!F$2:F$100000, "Iya",
  raw_stack!G$2:G$100000, "&gt;="&amp;DATE(2025,7,1),
  raw_stack!G$2:G$100000, "&lt;="&amp;EOMONTH(DATE(2025,7,1),0)
 ),
 IF(_xlpm.x=0, "-", _xlpm.x)
)</f>
        <v>-</v>
      </c>
      <c r="P239" s="65" t="str">
        <f>_xlfn.LET(
 _xlpm.x,
 _xlfn.MAXIFS(
  raw_stack!H$2:H$100000,
  raw_stack!D$2:D$100000, G239,
  raw_stack!F$2:F$100000, "Iya",
  raw_stack!G$2:G$100000, "&gt;="&amp;DATE(2025,7,1),
  raw_stack!G$2:G$100000, "&lt;="&amp;EOMONTH(DATE(2025,7,1),0)
 ),
 IF(OR(_xlpm.x=0, _xlpm.x=""), "-", _xlpm.x)
)</f>
        <v>-</v>
      </c>
      <c r="Q239" s="54" t="str">
        <f>_xlfn.LET(
 _xlpm.x,
 _xlfn.MAXIFS(
  raw_stack!G$2:G$99411,
  raw_stack!D$2:D$99411, G239,
  raw_stack!F$2:F$99411, "Iya",
  raw_stack!G$2:G$99411, "&gt;="&amp;DATE(2025,8,1),
  raw_stack!G$2:G$99411, "&lt;="&amp;EOMONTH(DATE(2025,8,1),0)
 ),
 IF(_xlpm.x=0, "-", _xlpm.x)
)</f>
        <v>-</v>
      </c>
      <c r="R239" s="65" t="str">
        <f>_xlfn.LET(
 _xlpm.x,
 _xlfn.MAXIFS(
  raw_stack!H$2:H$100000,
  raw_stack!D$2:D$100000, G239,
  raw_stack!F$2:F$100000, "Iya",
  raw_stack!G$2:G$100000, "&gt;="&amp;DATE(2025,8,1),
  raw_stack!G$2:G$100000, "&lt;="&amp;EOMONTH(DATE(2025,8,1),0)
 ),
 IF(OR(_xlpm.x=0, _xlpm.x=""), "-", _xlpm.x)
)</f>
        <v>-</v>
      </c>
      <c r="S239" s="54" t="str">
        <f>_xlfn.LET(
 _xlpm.x,
 _xlfn.MAXIFS(
  raw_stack!G$2:G$99411,
  raw_stack!D$2:D$99411, G239,
  raw_stack!F$2:F$99411, "Iya",
  raw_stack!G$2:G$99411, "&gt;="&amp;DATE(2025,9,1),
  raw_stack!G$2:G$99411, "&lt;="&amp;EOMONTH(DATE(2025,9,1),0)
 ),
 IF(_xlpm.x=0, "-", _xlpm.x)
)</f>
        <v>-</v>
      </c>
      <c r="T239" s="65" t="str">
        <f>_xlfn.LET(
 _xlpm.x,
 _xlfn.MAXIFS(
  raw_stack!H$2:H$100000,
  raw_stack!D$2:D$100000, G239,
  raw_stack!F$2:F$100000, "Iya",
  raw_stack!G$2:G$100000, "&gt;="&amp;DATE(2025,9,1),
  raw_stack!G$2:G$100000, "&lt;="&amp;EOMONTH(DATE(2025,9,1),0)
 ),
 IF(OR(_xlpm.x=0, _xlpm.x=""), "-", _xlpm.x)
)</f>
        <v>-</v>
      </c>
      <c r="U239" s="54" t="str">
        <f>_xlfn.LET(
 _xlpm.x,
 _xlfn.MAXIFS(
  raw_stack!G$2:G$99411,
  raw_stack!D$2:D$99411, G239,
  raw_stack!F$2:F$99411, "Iya",
  raw_stack!G$2:G$99411, "&gt;="&amp;DATE(2025,10,1),
  raw_stack!G$2:G$99411, "&lt;="&amp;EOMONTH(DATE(2025,10,1),0)
 ),
 IF(_xlpm.x=0, "-", _xlpm.x)
)</f>
        <v>-</v>
      </c>
      <c r="V239" s="65" t="str">
        <f>_xlfn.LET(
 _xlpm.x,
 _xlfn.MAXIFS(
  raw_stack!H$2:H$100000,
  raw_stack!D$2:D$100000, G239,
  raw_stack!F$2:F$100000, "Iya",
  raw_stack!G$2:G$100000, "&gt;="&amp;DATE(2025,10,1),
  raw_stack!G$2:G$100000, "&lt;="&amp;EOMONTH(DATE(2025,10,1),0)
 ),
 IF(OR(_xlpm.x=0, _xlpm.x=""), "-", _xlpm.x)
)</f>
        <v>-</v>
      </c>
      <c r="W239" s="55" t="str">
        <f>_xlfn.LET(
 _xlpm.x,
 _xlfn.MAXIFS(
  raw_stack!G$2:G$99411,
  raw_stack!D$2:D$99411, G239,
  raw_stack!F$2:F$99411, "Iya",
  raw_stack!G$2:G$99411, "&gt;="&amp;DATE(2025,11,1),
  raw_stack!G$2:G$99411, "&lt;="&amp;EOMONTH(DATE(2025,11,1),0)
 ),
 IF(_xlpm.x=0, "-", _xlpm.x)
)</f>
        <v>-</v>
      </c>
      <c r="X239" s="56" t="str">
        <f>_xlfn.LET(
 _xlpm.x,
 _xlfn.MAXIFS(
  raw_stack!H$2:H$100000,
  raw_stack!D$2:D$100000, G239,
  raw_stack!F$2:F$100000, "Iya",
  raw_stack!G$2:G$100000, "&gt;="&amp;DATE(2025,11,1),
  raw_stack!G$2:G$100000, "&lt;="&amp;EOMONTH(DATE(2025,11,1),0)
 ),
 IF(OR(_xlpm.x=0, _xlpm.x=""), "-", _xlpm.x)
)</f>
        <v>-</v>
      </c>
      <c r="Y239" s="55">
        <f>_xlfn.LET(
 _xlpm.x,
 _xlfn.MAXIFS(
  raw_stack!G$2:G$99411,
  raw_stack!D$2:D$99411, G239,
  raw_stack!F$2:F$99411, "Iya",
  raw_stack!G$2:G$99411, "&gt;="&amp;DATE(2025,12,1),
  raw_stack!G$2:G$99411, "&lt;="&amp;EOMONTH(DATE(2025,12,1),0)
 ),
 IF(_xlpm.x=0, "-", _xlpm.x)
)</f>
        <v>45999</v>
      </c>
      <c r="Z239" s="56">
        <f>_xlfn.LET(
 _xlpm.x,
 _xlfn.MAXIFS(
  raw_stack!H$2:H$100000,
  raw_stack!D$2:D$100000, G239,
  raw_stack!F$2:F$100000, "Iya",
  raw_stack!G$2:G$100000, "&gt;="&amp;DATE(2025,12,1),
  raw_stack!G$2:G$100000, "&lt;="&amp;EOMONTH(DATE(2025,12,1),0)
 ),
 IF(OR(_xlpm.x=0, _xlpm.x=""), "-", _xlpm.x)
)</f>
        <v>11603</v>
      </c>
      <c r="AA239" s="55" t="str">
        <f>_xlfn.LET(
 _xlpm.x,
 _xlfn.MAXIFS(
  raw_stack!G$2:G$99411,
  raw_stack!D$2:D$99411, G239,
  raw_stack!F$2:F$99411, "Iya",
  raw_stack!G$2:G$99411, "&gt;="&amp;DATE(2026,1,1),
  raw_stack!G$2:G$99411, "&lt;="&amp;EOMONTH(DATE(2026,1,1),0)
 ),
 IF(_xlpm.x=0, "-", _xlpm.x)
)</f>
        <v>-</v>
      </c>
      <c r="AB239" s="56" t="str">
        <f>_xlfn.LET(
 _xlpm.x,
 _xlfn.MAXIFS(
  raw_stack!H$2:H$100000,
  raw_stack!D$2:D$100000, G239,
  raw_stack!F$2:F$100000, "Iya",
  raw_stack!G$2:G$100000, "&gt;="&amp;DATE(2026,1,1),
  raw_stack!G$2:G$100000, "&lt;="&amp;EOMONTH(DATE(2026,1,1),0)
 ),
 IF(OR(_xlpm.x=0, _xlpm.x=""), "-", _xlpm.x)
)</f>
        <v>-</v>
      </c>
      <c r="AC239" s="55" t="str">
        <f>_xlfn.LET(
 _xlpm.x,
 _xlfn.MAXIFS(
  raw_stack!G$2:G$99411,
  raw_stack!D$2:D$99411, G239,
  raw_stack!F$2:F$99411, "Iya",
  raw_stack!G$2:G$99411, "&gt;="&amp;DATE(2026,2,1),
  raw_stack!G$2:G$99411, "&lt;="&amp;EOMONTH(DATE(2026,2,1),0)
 ),
 IF(_xlpm.x=0, "-", _xlpm.x)
)</f>
        <v>-</v>
      </c>
      <c r="AD239" s="56" t="str">
        <f>_xlfn.LET(
 _xlpm.x,
 _xlfn.MAXIFS(
  raw_stack!H$2:H$100000,
  raw_stack!D$2:D$100000, G239,
  raw_stack!F$2:F$100000, "Iya",
  raw_stack!G$2:G$100000, "&gt;="&amp;DATE(2026,2,1),
  raw_stack!G$2:G$100000, "&lt;="&amp;EOMONTH(DATE(2026,2,1),0)
 ),
 IF(OR(_xlpm.x=0, _xlpm.x=""), "-", _xlpm.x)
)</f>
        <v>-</v>
      </c>
      <c r="AE239" s="55" t="str">
        <f>_xlfn.LET(
 _xlpm.x,
 _xlfn.MAXIFS(
  raw_stack!G$2:G$100000,
  raw_stack!D$2:D$100000, G239,
  raw_stack!F$2:F$100000, "Iya",
  raw_stack!G$2:G$100000, "&gt;="&amp;DATE(2026,3,1),
  raw_stack!G$2:G$100000, "&lt;="&amp;EOMONTH(DATE(2026,3,1),0)
 ),
 IF(_xlpm.x=0, "-", _xlpm.x)
)</f>
        <v>-</v>
      </c>
      <c r="AF239" s="56" t="str">
        <f>_xlfn.LET(
 _xlpm.x,
 _xlfn.MAXIFS(
  raw_stack!H$2:H$100000,
  raw_stack!D$2:D$100000, G239,
  raw_stack!F$2:F$100000, "Iya",
  raw_stack!G$2:G$100000, "&gt;="&amp;DATE(2026,3,1),
  raw_stack!G$2:G$100000, "&lt;="&amp;EOMONTH(DATE(2026,3,1),0)
 ),
 IF(OR(_xlpm.x=0, _xlpm.x=""), "-", _xlpm.x)
)</f>
        <v>-</v>
      </c>
      <c r="AG239" s="55" t="str">
        <f>_xlfn.LET(
 _xlpm.x,
 _xlfn.MAXIFS(
  raw_stack!G$2:G$100000,
  raw_stack!D$2:D$100000, G239,
  raw_stack!F$2:F$100000, "Iya",
  raw_stack!G$2:G$100000, "&gt;="&amp;DATE(2026,4,1),
  raw_stack!G$2:G$100000, "&lt;="&amp;EOMONTH(DATE(2026,4,1),0)
 ),
 IF(_xlpm.x=0, "-", _xlpm.x)
)</f>
        <v>-</v>
      </c>
      <c r="AH239" s="56" t="str">
        <f>_xlfn.LET(
 _xlpm.x,
 _xlfn.MAXIFS(
  raw_stack!H$2:H$100000,
  raw_stack!D$2:D$100000, G239,
  raw_stack!F$2:F$100000, "Iya",
  raw_stack!G$2:G$100000, "&gt;="&amp;DATE(2026,4,1),
  raw_stack!G$2:G$100000, "&lt;="&amp;EOMONTH(DATE(2026,4,1),0)
 ),
 IF(OR(_xlpm.x=0, _xlpm.x=""), "-", _xlpm.x)
)</f>
        <v>-</v>
      </c>
    </row>
    <row r="240" spans="1:34">
      <c r="A240" s="48">
        <v>239</v>
      </c>
      <c r="B240" s="49" t="str">
        <f t="shared" si="3"/>
        <v>25264</v>
      </c>
      <c r="C240" s="50" t="s">
        <v>46</v>
      </c>
      <c r="D240" s="51" t="s">
        <v>633</v>
      </c>
      <c r="E240" s="51" t="s">
        <v>54</v>
      </c>
      <c r="F240" s="49" t="s">
        <v>117</v>
      </c>
      <c r="G240" s="49" t="s">
        <v>356</v>
      </c>
      <c r="H240" s="49" t="s">
        <v>48</v>
      </c>
      <c r="I240" s="49" t="s">
        <v>52</v>
      </c>
      <c r="J240" s="52">
        <v>6600000</v>
      </c>
      <c r="K240" s="53">
        <v>45753</v>
      </c>
      <c r="L240" s="53">
        <v>46848</v>
      </c>
      <c r="M240" s="53">
        <v>46058</v>
      </c>
      <c r="N240" s="49" t="s">
        <v>50</v>
      </c>
      <c r="O240" s="54" t="str">
        <f>_xlfn.LET(
 _xlpm.x,
 _xlfn.MAXIFS(
  raw_stack!G$2:G$100000,
  raw_stack!D$2:D$100000, G240,
  raw_stack!F$2:F$100000, "Iya",
  raw_stack!G$2:G$100000, "&gt;="&amp;DATE(2025,7,1),
  raw_stack!G$2:G$100000, "&lt;="&amp;EOMONTH(DATE(2025,7,1),0)
 ),
 IF(_xlpm.x=0, "-", _xlpm.x)
)</f>
        <v>-</v>
      </c>
      <c r="P240" s="65" t="str">
        <f>_xlfn.LET(
 _xlpm.x,
 _xlfn.MAXIFS(
  raw_stack!H$2:H$100000,
  raw_stack!D$2:D$100000, G240,
  raw_stack!F$2:F$100000, "Iya",
  raw_stack!G$2:G$100000, "&gt;="&amp;DATE(2025,7,1),
  raw_stack!G$2:G$100000, "&lt;="&amp;EOMONTH(DATE(2025,7,1),0)
 ),
 IF(OR(_xlpm.x=0, _xlpm.x=""), "-", _xlpm.x)
)</f>
        <v>-</v>
      </c>
      <c r="Q240" s="54" t="str">
        <f>_xlfn.LET(
 _xlpm.x,
 _xlfn.MAXIFS(
  raw_stack!G$2:G$99411,
  raw_stack!D$2:D$99411, G240,
  raw_stack!F$2:F$99411, "Iya",
  raw_stack!G$2:G$99411, "&gt;="&amp;DATE(2025,8,1),
  raw_stack!G$2:G$99411, "&lt;="&amp;EOMONTH(DATE(2025,8,1),0)
 ),
 IF(_xlpm.x=0, "-", _xlpm.x)
)</f>
        <v>-</v>
      </c>
      <c r="R240" s="65" t="str">
        <f>_xlfn.LET(
 _xlpm.x,
 _xlfn.MAXIFS(
  raw_stack!H$2:H$100000,
  raw_stack!D$2:D$100000, G240,
  raw_stack!F$2:F$100000, "Iya",
  raw_stack!G$2:G$100000, "&gt;="&amp;DATE(2025,8,1),
  raw_stack!G$2:G$100000, "&lt;="&amp;EOMONTH(DATE(2025,8,1),0)
 ),
 IF(OR(_xlpm.x=0, _xlpm.x=""), "-", _xlpm.x)
)</f>
        <v>-</v>
      </c>
      <c r="S240" s="54">
        <f>_xlfn.LET(
 _xlpm.x,
 _xlfn.MAXIFS(
  raw_stack!G$2:G$99411,
  raw_stack!D$2:D$99411, G240,
  raw_stack!F$2:F$99411, "Iya",
  raw_stack!G$2:G$99411, "&gt;="&amp;DATE(2025,9,1),
  raw_stack!G$2:G$99411, "&lt;="&amp;EOMONTH(DATE(2025,9,1),0)
 ),
 IF(_xlpm.x=0, "-", _xlpm.x)
)</f>
        <v>45904</v>
      </c>
      <c r="T240" s="65">
        <f>_xlfn.LET(
 _xlpm.x,
 _xlfn.MAXIFS(
  raw_stack!H$2:H$100000,
  raw_stack!D$2:D$100000, G240,
  raw_stack!F$2:F$100000, "Iya",
  raw_stack!G$2:G$100000, "&gt;="&amp;DATE(2025,9,1),
  raw_stack!G$2:G$100000, "&lt;="&amp;EOMONTH(DATE(2025,9,1),0)
 ),
 IF(OR(_xlpm.x=0, _xlpm.x=""), "-", _xlpm.x)
)</f>
        <v>19981</v>
      </c>
      <c r="U240" s="54" t="str">
        <f>_xlfn.LET(
 _xlpm.x,
 _xlfn.MAXIFS(
  raw_stack!G$2:G$99411,
  raw_stack!D$2:D$99411, G240,
  raw_stack!F$2:F$99411, "Iya",
  raw_stack!G$2:G$99411, "&gt;="&amp;DATE(2025,10,1),
  raw_stack!G$2:G$99411, "&lt;="&amp;EOMONTH(DATE(2025,10,1),0)
 ),
 IF(_xlpm.x=0, "-", _xlpm.x)
)</f>
        <v>-</v>
      </c>
      <c r="V240" s="65" t="str">
        <f>_xlfn.LET(
 _xlpm.x,
 _xlfn.MAXIFS(
  raw_stack!H$2:H$100000,
  raw_stack!D$2:D$100000, G240,
  raw_stack!F$2:F$100000, "Iya",
  raw_stack!G$2:G$100000, "&gt;="&amp;DATE(2025,10,1),
  raw_stack!G$2:G$100000, "&lt;="&amp;EOMONTH(DATE(2025,10,1),0)
 ),
 IF(OR(_xlpm.x=0, _xlpm.x=""), "-", _xlpm.x)
)</f>
        <v>-</v>
      </c>
      <c r="W240" s="55" t="str">
        <f>_xlfn.LET(
 _xlpm.x,
 _xlfn.MAXIFS(
  raw_stack!G$2:G$99411,
  raw_stack!D$2:D$99411, G240,
  raw_stack!F$2:F$99411, "Iya",
  raw_stack!G$2:G$99411, "&gt;="&amp;DATE(2025,11,1),
  raw_stack!G$2:G$99411, "&lt;="&amp;EOMONTH(DATE(2025,11,1),0)
 ),
 IF(_xlpm.x=0, "-", _xlpm.x)
)</f>
        <v>-</v>
      </c>
      <c r="X240" s="56" t="str">
        <f>_xlfn.LET(
 _xlpm.x,
 _xlfn.MAXIFS(
  raw_stack!H$2:H$100000,
  raw_stack!D$2:D$100000, G240,
  raw_stack!F$2:F$100000, "Iya",
  raw_stack!G$2:G$100000, "&gt;="&amp;DATE(2025,11,1),
  raw_stack!G$2:G$100000, "&lt;="&amp;EOMONTH(DATE(2025,11,1),0)
 ),
 IF(OR(_xlpm.x=0, _xlpm.x=""), "-", _xlpm.x)
)</f>
        <v>-</v>
      </c>
      <c r="Y240" s="55" t="str">
        <f>_xlfn.LET(
 _xlpm.x,
 _xlfn.MAXIFS(
  raw_stack!G$2:G$99411,
  raw_stack!D$2:D$99411, G240,
  raw_stack!F$2:F$99411, "Iya",
  raw_stack!G$2:G$99411, "&gt;="&amp;DATE(2025,12,1),
  raw_stack!G$2:G$99411, "&lt;="&amp;EOMONTH(DATE(2025,12,1),0)
 ),
 IF(_xlpm.x=0, "-", _xlpm.x)
)</f>
        <v>-</v>
      </c>
      <c r="Z240" s="56" t="str">
        <f>_xlfn.LET(
 _xlpm.x,
 _xlfn.MAXIFS(
  raw_stack!H$2:H$100000,
  raw_stack!D$2:D$100000, G240,
  raw_stack!F$2:F$100000, "Iya",
  raw_stack!G$2:G$100000, "&gt;="&amp;DATE(2025,12,1),
  raw_stack!G$2:G$100000, "&lt;="&amp;EOMONTH(DATE(2025,12,1),0)
 ),
 IF(OR(_xlpm.x=0, _xlpm.x=""), "-", _xlpm.x)
)</f>
        <v>-</v>
      </c>
      <c r="AA240" s="55" t="str">
        <f>_xlfn.LET(
 _xlpm.x,
 _xlfn.MAXIFS(
  raw_stack!G$2:G$99411,
  raw_stack!D$2:D$99411, G240,
  raw_stack!F$2:F$99411, "Iya",
  raw_stack!G$2:G$99411, "&gt;="&amp;DATE(2026,1,1),
  raw_stack!G$2:G$99411, "&lt;="&amp;EOMONTH(DATE(2026,1,1),0)
 ),
 IF(_xlpm.x=0, "-", _xlpm.x)
)</f>
        <v>-</v>
      </c>
      <c r="AB240" s="56" t="str">
        <f>_xlfn.LET(
 _xlpm.x,
 _xlfn.MAXIFS(
  raw_stack!H$2:H$100000,
  raw_stack!D$2:D$100000, G240,
  raw_stack!F$2:F$100000, "Iya",
  raw_stack!G$2:G$100000, "&gt;="&amp;DATE(2026,1,1),
  raw_stack!G$2:G$100000, "&lt;="&amp;EOMONTH(DATE(2026,1,1),0)
 ),
 IF(OR(_xlpm.x=0, _xlpm.x=""), "-", _xlpm.x)
)</f>
        <v>-</v>
      </c>
      <c r="AC240" s="55" t="str">
        <f>_xlfn.LET(
 _xlpm.x,
 _xlfn.MAXIFS(
  raw_stack!G$2:G$99411,
  raw_stack!D$2:D$99411, G240,
  raw_stack!F$2:F$99411, "Iya",
  raw_stack!G$2:G$99411, "&gt;="&amp;DATE(2026,2,1),
  raw_stack!G$2:G$99411, "&lt;="&amp;EOMONTH(DATE(2026,2,1),0)
 ),
 IF(_xlpm.x=0, "-", _xlpm.x)
)</f>
        <v>-</v>
      </c>
      <c r="AD240" s="56" t="str">
        <f>_xlfn.LET(
 _xlpm.x,
 _xlfn.MAXIFS(
  raw_stack!H$2:H$100000,
  raw_stack!D$2:D$100000, G240,
  raw_stack!F$2:F$100000, "Iya",
  raw_stack!G$2:G$100000, "&gt;="&amp;DATE(2026,2,1),
  raw_stack!G$2:G$100000, "&lt;="&amp;EOMONTH(DATE(2026,2,1),0)
 ),
 IF(OR(_xlpm.x=0, _xlpm.x=""), "-", _xlpm.x)
)</f>
        <v>-</v>
      </c>
      <c r="AE240" s="55" t="str">
        <f>_xlfn.LET(
 _xlpm.x,
 _xlfn.MAXIFS(
  raw_stack!G$2:G$100000,
  raw_stack!D$2:D$100000, G240,
  raw_stack!F$2:F$100000, "Iya",
  raw_stack!G$2:G$100000, "&gt;="&amp;DATE(2026,3,1),
  raw_stack!G$2:G$100000, "&lt;="&amp;EOMONTH(DATE(2026,3,1),0)
 ),
 IF(_xlpm.x=0, "-", _xlpm.x)
)</f>
        <v>-</v>
      </c>
      <c r="AF240" s="56" t="str">
        <f>_xlfn.LET(
 _xlpm.x,
 _xlfn.MAXIFS(
  raw_stack!H$2:H$100000,
  raw_stack!D$2:D$100000, G240,
  raw_stack!F$2:F$100000, "Iya",
  raw_stack!G$2:G$100000, "&gt;="&amp;DATE(2026,3,1),
  raw_stack!G$2:G$100000, "&lt;="&amp;EOMONTH(DATE(2026,3,1),0)
 ),
 IF(OR(_xlpm.x=0, _xlpm.x=""), "-", _xlpm.x)
)</f>
        <v>-</v>
      </c>
      <c r="AG240" s="55" t="str">
        <f>_xlfn.LET(
 _xlpm.x,
 _xlfn.MAXIFS(
  raw_stack!G$2:G$100000,
  raw_stack!D$2:D$100000, G240,
  raw_stack!F$2:F$100000, "Iya",
  raw_stack!G$2:G$100000, "&gt;="&amp;DATE(2026,4,1),
  raw_stack!G$2:G$100000, "&lt;="&amp;EOMONTH(DATE(2026,4,1),0)
 ),
 IF(_xlpm.x=0, "-", _xlpm.x)
)</f>
        <v>-</v>
      </c>
      <c r="AH240" s="56" t="str">
        <f>_xlfn.LET(
 _xlpm.x,
 _xlfn.MAXIFS(
  raw_stack!H$2:H$100000,
  raw_stack!D$2:D$100000, G240,
  raw_stack!F$2:F$100000, "Iya",
  raw_stack!G$2:G$100000, "&gt;="&amp;DATE(2026,4,1),
  raw_stack!G$2:G$100000, "&lt;="&amp;EOMONTH(DATE(2026,4,1),0)
 ),
 IF(OR(_xlpm.x=0, _xlpm.x=""), "-", _xlpm.x)
)</f>
        <v>-</v>
      </c>
    </row>
    <row r="241" spans="1:34">
      <c r="A241" s="48">
        <v>240</v>
      </c>
      <c r="B241" s="49" t="str">
        <f t="shared" si="3"/>
        <v>83880</v>
      </c>
      <c r="C241" s="50" t="s">
        <v>46</v>
      </c>
      <c r="D241" s="51" t="s">
        <v>620</v>
      </c>
      <c r="E241" s="51" t="s">
        <v>51</v>
      </c>
      <c r="F241" s="49" t="s">
        <v>117</v>
      </c>
      <c r="G241" s="49" t="s">
        <v>357</v>
      </c>
      <c r="H241" s="49" t="s">
        <v>48</v>
      </c>
      <c r="I241" s="49" t="s">
        <v>52</v>
      </c>
      <c r="J241" s="52">
        <v>3880000</v>
      </c>
      <c r="K241" s="53">
        <v>45755</v>
      </c>
      <c r="L241" s="53">
        <v>46850</v>
      </c>
      <c r="M241" s="53">
        <v>46088</v>
      </c>
      <c r="N241" s="49" t="s">
        <v>50</v>
      </c>
      <c r="O241" s="54">
        <f>_xlfn.LET(
 _xlpm.x,
 _xlfn.MAXIFS(
  raw_stack!G$2:G$100000,
  raw_stack!D$2:D$100000, G241,
  raw_stack!F$2:F$100000, "Iya",
  raw_stack!G$2:G$100000, "&gt;="&amp;DATE(2025,7,1),
  raw_stack!G$2:G$100000, "&lt;="&amp;EOMONTH(DATE(2025,7,1),0)
 ),
 IF(_xlpm.x=0, "-", _xlpm.x)
)</f>
        <v>45854</v>
      </c>
      <c r="P241" s="65">
        <f>_xlfn.LET(
 _xlpm.x,
 _xlfn.MAXIFS(
  raw_stack!H$2:H$100000,
  raw_stack!D$2:D$100000, G241,
  raw_stack!F$2:F$100000, "Iya",
  raw_stack!G$2:G$100000, "&gt;="&amp;DATE(2025,7,1),
  raw_stack!G$2:G$100000, "&lt;="&amp;EOMONTH(DATE(2025,7,1),0)
 ),
 IF(OR(_xlpm.x=0, _xlpm.x=""), "-", _xlpm.x)
)</f>
        <v>3824</v>
      </c>
      <c r="Q241" s="54" t="str">
        <f>_xlfn.LET(
 _xlpm.x,
 _xlfn.MAXIFS(
  raw_stack!G$2:G$99411,
  raw_stack!D$2:D$99411, G241,
  raw_stack!F$2:F$99411, "Iya",
  raw_stack!G$2:G$99411, "&gt;="&amp;DATE(2025,8,1),
  raw_stack!G$2:G$99411, "&lt;="&amp;EOMONTH(DATE(2025,8,1),0)
 ),
 IF(_xlpm.x=0, "-", _xlpm.x)
)</f>
        <v>-</v>
      </c>
      <c r="R241" s="65" t="str">
        <f>_xlfn.LET(
 _xlpm.x,
 _xlfn.MAXIFS(
  raw_stack!H$2:H$100000,
  raw_stack!D$2:D$100000, G241,
  raw_stack!F$2:F$100000, "Iya",
  raw_stack!G$2:G$100000, "&gt;="&amp;DATE(2025,8,1),
  raw_stack!G$2:G$100000, "&lt;="&amp;EOMONTH(DATE(2025,8,1),0)
 ),
 IF(OR(_xlpm.x=0, _xlpm.x=""), "-", _xlpm.x)
)</f>
        <v>-</v>
      </c>
      <c r="S241" s="54">
        <f>_xlfn.LET(
 _xlpm.x,
 _xlfn.MAXIFS(
  raw_stack!G$2:G$99411,
  raw_stack!D$2:D$99411, G241,
  raw_stack!F$2:F$99411, "Iya",
  raw_stack!G$2:G$99411, "&gt;="&amp;DATE(2025,9,1),
  raw_stack!G$2:G$99411, "&lt;="&amp;EOMONTH(DATE(2025,9,1),0)
 ),
 IF(_xlpm.x=0, "-", _xlpm.x)
)</f>
        <v>45908</v>
      </c>
      <c r="T241" s="65">
        <f>_xlfn.LET(
 _xlpm.x,
 _xlfn.MAXIFS(
  raw_stack!H$2:H$100000,
  raw_stack!D$2:D$100000, G241,
  raw_stack!F$2:F$100000, "Iya",
  raw_stack!G$2:G$100000, "&gt;="&amp;DATE(2025,9,1),
  raw_stack!G$2:G$100000, "&lt;="&amp;EOMONTH(DATE(2025,9,1),0)
 ),
 IF(OR(_xlpm.x=0, _xlpm.x=""), "-", _xlpm.x)
)</f>
        <v>7370</v>
      </c>
      <c r="U241" s="54" t="str">
        <f>_xlfn.LET(
 _xlpm.x,
 _xlfn.MAXIFS(
  raw_stack!G$2:G$99411,
  raw_stack!D$2:D$99411, G241,
  raw_stack!F$2:F$99411, "Iya",
  raw_stack!G$2:G$99411, "&gt;="&amp;DATE(2025,10,1),
  raw_stack!G$2:G$99411, "&lt;="&amp;EOMONTH(DATE(2025,10,1),0)
 ),
 IF(_xlpm.x=0, "-", _xlpm.x)
)</f>
        <v>-</v>
      </c>
      <c r="V241" s="65" t="str">
        <f>_xlfn.LET(
 _xlpm.x,
 _xlfn.MAXIFS(
  raw_stack!H$2:H$100000,
  raw_stack!D$2:D$100000, G241,
  raw_stack!F$2:F$100000, "Iya",
  raw_stack!G$2:G$100000, "&gt;="&amp;DATE(2025,10,1),
  raw_stack!G$2:G$100000, "&lt;="&amp;EOMONTH(DATE(2025,10,1),0)
 ),
 IF(OR(_xlpm.x=0, _xlpm.x=""), "-", _xlpm.x)
)</f>
        <v>-</v>
      </c>
      <c r="W241" s="55" t="str">
        <f>_xlfn.LET(
 _xlpm.x,
 _xlfn.MAXIFS(
  raw_stack!G$2:G$99411,
  raw_stack!D$2:D$99411, G241,
  raw_stack!F$2:F$99411, "Iya",
  raw_stack!G$2:G$99411, "&gt;="&amp;DATE(2025,11,1),
  raw_stack!G$2:G$99411, "&lt;="&amp;EOMONTH(DATE(2025,11,1),0)
 ),
 IF(_xlpm.x=0, "-", _xlpm.x)
)</f>
        <v>-</v>
      </c>
      <c r="X241" s="56" t="str">
        <f>_xlfn.LET(
 _xlpm.x,
 _xlfn.MAXIFS(
  raw_stack!H$2:H$100000,
  raw_stack!D$2:D$100000, G241,
  raw_stack!F$2:F$100000, "Iya",
  raw_stack!G$2:G$100000, "&gt;="&amp;DATE(2025,11,1),
  raw_stack!G$2:G$100000, "&lt;="&amp;EOMONTH(DATE(2025,11,1),0)
 ),
 IF(OR(_xlpm.x=0, _xlpm.x=""), "-", _xlpm.x)
)</f>
        <v>-</v>
      </c>
      <c r="Y241" s="55" t="str">
        <f>_xlfn.LET(
 _xlpm.x,
 _xlfn.MAXIFS(
  raw_stack!G$2:G$99411,
  raw_stack!D$2:D$99411, G241,
  raw_stack!F$2:F$99411, "Iya",
  raw_stack!G$2:G$99411, "&gt;="&amp;DATE(2025,12,1),
  raw_stack!G$2:G$99411, "&lt;="&amp;EOMONTH(DATE(2025,12,1),0)
 ),
 IF(_xlpm.x=0, "-", _xlpm.x)
)</f>
        <v>-</v>
      </c>
      <c r="Z241" s="56" t="str">
        <f>_xlfn.LET(
 _xlpm.x,
 _xlfn.MAXIFS(
  raw_stack!H$2:H$100000,
  raw_stack!D$2:D$100000, G241,
  raw_stack!F$2:F$100000, "Iya",
  raw_stack!G$2:G$100000, "&gt;="&amp;DATE(2025,12,1),
  raw_stack!G$2:G$100000, "&lt;="&amp;EOMONTH(DATE(2025,12,1),0)
 ),
 IF(OR(_xlpm.x=0, _xlpm.x=""), "-", _xlpm.x)
)</f>
        <v>-</v>
      </c>
      <c r="AA241" s="55" t="str">
        <f>_xlfn.LET(
 _xlpm.x,
 _xlfn.MAXIFS(
  raw_stack!G$2:G$99411,
  raw_stack!D$2:D$99411, G241,
  raw_stack!F$2:F$99411, "Iya",
  raw_stack!G$2:G$99411, "&gt;="&amp;DATE(2026,1,1),
  raw_stack!G$2:G$99411, "&lt;="&amp;EOMONTH(DATE(2026,1,1),0)
 ),
 IF(_xlpm.x=0, "-", _xlpm.x)
)</f>
        <v>-</v>
      </c>
      <c r="AB241" s="56" t="str">
        <f>_xlfn.LET(
 _xlpm.x,
 _xlfn.MAXIFS(
  raw_stack!H$2:H$100000,
  raw_stack!D$2:D$100000, G241,
  raw_stack!F$2:F$100000, "Iya",
  raw_stack!G$2:G$100000, "&gt;="&amp;DATE(2026,1,1),
  raw_stack!G$2:G$100000, "&lt;="&amp;EOMONTH(DATE(2026,1,1),0)
 ),
 IF(OR(_xlpm.x=0, _xlpm.x=""), "-", _xlpm.x)
)</f>
        <v>-</v>
      </c>
      <c r="AC241" s="55" t="str">
        <f>_xlfn.LET(
 _xlpm.x,
 _xlfn.MAXIFS(
  raw_stack!G$2:G$99411,
  raw_stack!D$2:D$99411, G241,
  raw_stack!F$2:F$99411, "Iya",
  raw_stack!G$2:G$99411, "&gt;="&amp;DATE(2026,2,1),
  raw_stack!G$2:G$99411, "&lt;="&amp;EOMONTH(DATE(2026,2,1),0)
 ),
 IF(_xlpm.x=0, "-", _xlpm.x)
)</f>
        <v>-</v>
      </c>
      <c r="AD241" s="56" t="str">
        <f>_xlfn.LET(
 _xlpm.x,
 _xlfn.MAXIFS(
  raw_stack!H$2:H$100000,
  raw_stack!D$2:D$100000, G241,
  raw_stack!F$2:F$100000, "Iya",
  raw_stack!G$2:G$100000, "&gt;="&amp;DATE(2026,2,1),
  raw_stack!G$2:G$100000, "&lt;="&amp;EOMONTH(DATE(2026,2,1),0)
 ),
 IF(OR(_xlpm.x=0, _xlpm.x=""), "-", _xlpm.x)
)</f>
        <v>-</v>
      </c>
      <c r="AE241" s="55" t="str">
        <f>_xlfn.LET(
 _xlpm.x,
 _xlfn.MAXIFS(
  raw_stack!G$2:G$100000,
  raw_stack!D$2:D$100000, G241,
  raw_stack!F$2:F$100000, "Iya",
  raw_stack!G$2:G$100000, "&gt;="&amp;DATE(2026,3,1),
  raw_stack!G$2:G$100000, "&lt;="&amp;EOMONTH(DATE(2026,3,1),0)
 ),
 IF(_xlpm.x=0, "-", _xlpm.x)
)</f>
        <v>-</v>
      </c>
      <c r="AF241" s="56" t="str">
        <f>_xlfn.LET(
 _xlpm.x,
 _xlfn.MAXIFS(
  raw_stack!H$2:H$100000,
  raw_stack!D$2:D$100000, G241,
  raw_stack!F$2:F$100000, "Iya",
  raw_stack!G$2:G$100000, "&gt;="&amp;DATE(2026,3,1),
  raw_stack!G$2:G$100000, "&lt;="&amp;EOMONTH(DATE(2026,3,1),0)
 ),
 IF(OR(_xlpm.x=0, _xlpm.x=""), "-", _xlpm.x)
)</f>
        <v>-</v>
      </c>
      <c r="AG241" s="55" t="str">
        <f>_xlfn.LET(
 _xlpm.x,
 _xlfn.MAXIFS(
  raw_stack!G$2:G$100000,
  raw_stack!D$2:D$100000, G241,
  raw_stack!F$2:F$100000, "Iya",
  raw_stack!G$2:G$100000, "&gt;="&amp;DATE(2026,4,1),
  raw_stack!G$2:G$100000, "&lt;="&amp;EOMONTH(DATE(2026,4,1),0)
 ),
 IF(_xlpm.x=0, "-", _xlpm.x)
)</f>
        <v>-</v>
      </c>
      <c r="AH241" s="56" t="str">
        <f>_xlfn.LET(
 _xlpm.x,
 _xlfn.MAXIFS(
  raw_stack!H$2:H$100000,
  raw_stack!D$2:D$100000, G241,
  raw_stack!F$2:F$100000, "Iya",
  raw_stack!G$2:G$100000, "&gt;="&amp;DATE(2026,4,1),
  raw_stack!G$2:G$100000, "&lt;="&amp;EOMONTH(DATE(2026,4,1),0)
 ),
 IF(OR(_xlpm.x=0, _xlpm.x=""), "-", _xlpm.x)
)</f>
        <v>-</v>
      </c>
    </row>
    <row r="242" spans="1:34">
      <c r="A242" s="48">
        <v>241</v>
      </c>
      <c r="B242" s="49" t="str">
        <f t="shared" si="3"/>
        <v>59355</v>
      </c>
      <c r="C242" s="50" t="s">
        <v>46</v>
      </c>
      <c r="D242" s="51" t="s">
        <v>657</v>
      </c>
      <c r="E242" s="51" t="s">
        <v>51</v>
      </c>
      <c r="F242" s="49" t="s">
        <v>117</v>
      </c>
      <c r="G242" s="49" t="s">
        <v>358</v>
      </c>
      <c r="H242" s="49" t="s">
        <v>48</v>
      </c>
      <c r="I242" s="49" t="s">
        <v>52</v>
      </c>
      <c r="J242" s="52">
        <v>3880000</v>
      </c>
      <c r="K242" s="53">
        <v>45756</v>
      </c>
      <c r="L242" s="53">
        <v>46851</v>
      </c>
      <c r="M242" s="53">
        <v>46089</v>
      </c>
      <c r="N242" s="49" t="s">
        <v>50</v>
      </c>
      <c r="O242" s="54" t="str">
        <f>_xlfn.LET(
 _xlpm.x,
 _xlfn.MAXIFS(
  raw_stack!G$2:G$100000,
  raw_stack!D$2:D$100000, G242,
  raw_stack!F$2:F$100000, "Iya",
  raw_stack!G$2:G$100000, "&gt;="&amp;DATE(2025,7,1),
  raw_stack!G$2:G$100000, "&lt;="&amp;EOMONTH(DATE(2025,7,1),0)
 ),
 IF(_xlpm.x=0, "-", _xlpm.x)
)</f>
        <v>-</v>
      </c>
      <c r="P242" s="65" t="str">
        <f>_xlfn.LET(
 _xlpm.x,
 _xlfn.MAXIFS(
  raw_stack!H$2:H$100000,
  raw_stack!D$2:D$100000, G242,
  raw_stack!F$2:F$100000, "Iya",
  raw_stack!G$2:G$100000, "&gt;="&amp;DATE(2025,7,1),
  raw_stack!G$2:G$100000, "&lt;="&amp;EOMONTH(DATE(2025,7,1),0)
 ),
 IF(OR(_xlpm.x=0, _xlpm.x=""), "-", _xlpm.x)
)</f>
        <v>-</v>
      </c>
      <c r="Q242" s="54" t="str">
        <f>_xlfn.LET(
 _xlpm.x,
 _xlfn.MAXIFS(
  raw_stack!G$2:G$99411,
  raw_stack!D$2:D$99411, G242,
  raw_stack!F$2:F$99411, "Iya",
  raw_stack!G$2:G$99411, "&gt;="&amp;DATE(2025,8,1),
  raw_stack!G$2:G$99411, "&lt;="&amp;EOMONTH(DATE(2025,8,1),0)
 ),
 IF(_xlpm.x=0, "-", _xlpm.x)
)</f>
        <v>-</v>
      </c>
      <c r="R242" s="65" t="str">
        <f>_xlfn.LET(
 _xlpm.x,
 _xlfn.MAXIFS(
  raw_stack!H$2:H$100000,
  raw_stack!D$2:D$100000, G242,
  raw_stack!F$2:F$100000, "Iya",
  raw_stack!G$2:G$100000, "&gt;="&amp;DATE(2025,8,1),
  raw_stack!G$2:G$100000, "&lt;="&amp;EOMONTH(DATE(2025,8,1),0)
 ),
 IF(OR(_xlpm.x=0, _xlpm.x=""), "-", _xlpm.x)
)</f>
        <v>-</v>
      </c>
      <c r="S242" s="54">
        <f>_xlfn.LET(
 _xlpm.x,
 _xlfn.MAXIFS(
  raw_stack!G$2:G$99411,
  raw_stack!D$2:D$99411, G242,
  raw_stack!F$2:F$99411, "Iya",
  raw_stack!G$2:G$99411, "&gt;="&amp;DATE(2025,9,1),
  raw_stack!G$2:G$99411, "&lt;="&amp;EOMONTH(DATE(2025,9,1),0)
 ),
 IF(_xlpm.x=0, "-", _xlpm.x)
)</f>
        <v>45930</v>
      </c>
      <c r="T242" s="65">
        <f>_xlfn.LET(
 _xlpm.x,
 _xlfn.MAXIFS(
  raw_stack!H$2:H$100000,
  raw_stack!D$2:D$100000, G242,
  raw_stack!F$2:F$100000, "Iya",
  raw_stack!G$2:G$100000, "&gt;="&amp;DATE(2025,9,1),
  raw_stack!G$2:G$100000, "&lt;="&amp;EOMONTH(DATE(2025,9,1),0)
 ),
 IF(OR(_xlpm.x=0, _xlpm.x=""), "-", _xlpm.x)
)</f>
        <v>7096</v>
      </c>
      <c r="U242" s="54" t="str">
        <f>_xlfn.LET(
 _xlpm.x,
 _xlfn.MAXIFS(
  raw_stack!G$2:G$99411,
  raw_stack!D$2:D$99411, G242,
  raw_stack!F$2:F$99411, "Iya",
  raw_stack!G$2:G$99411, "&gt;="&amp;DATE(2025,10,1),
  raw_stack!G$2:G$99411, "&lt;="&amp;EOMONTH(DATE(2025,10,1),0)
 ),
 IF(_xlpm.x=0, "-", _xlpm.x)
)</f>
        <v>-</v>
      </c>
      <c r="V242" s="65" t="str">
        <f>_xlfn.LET(
 _xlpm.x,
 _xlfn.MAXIFS(
  raw_stack!H$2:H$100000,
  raw_stack!D$2:D$100000, G242,
  raw_stack!F$2:F$100000, "Iya",
  raw_stack!G$2:G$100000, "&gt;="&amp;DATE(2025,10,1),
  raw_stack!G$2:G$100000, "&lt;="&amp;EOMONTH(DATE(2025,10,1),0)
 ),
 IF(OR(_xlpm.x=0, _xlpm.x=""), "-", _xlpm.x)
)</f>
        <v>-</v>
      </c>
      <c r="W242" s="55" t="str">
        <f>_xlfn.LET(
 _xlpm.x,
 _xlfn.MAXIFS(
  raw_stack!G$2:G$99411,
  raw_stack!D$2:D$99411, G242,
  raw_stack!F$2:F$99411, "Iya",
  raw_stack!G$2:G$99411, "&gt;="&amp;DATE(2025,11,1),
  raw_stack!G$2:G$99411, "&lt;="&amp;EOMONTH(DATE(2025,11,1),0)
 ),
 IF(_xlpm.x=0, "-", _xlpm.x)
)</f>
        <v>-</v>
      </c>
      <c r="X242" s="56" t="str">
        <f>_xlfn.LET(
 _xlpm.x,
 _xlfn.MAXIFS(
  raw_stack!H$2:H$100000,
  raw_stack!D$2:D$100000, G242,
  raw_stack!F$2:F$100000, "Iya",
  raw_stack!G$2:G$100000, "&gt;="&amp;DATE(2025,11,1),
  raw_stack!G$2:G$100000, "&lt;="&amp;EOMONTH(DATE(2025,11,1),0)
 ),
 IF(OR(_xlpm.x=0, _xlpm.x=""), "-", _xlpm.x)
)</f>
        <v>-</v>
      </c>
      <c r="Y242" s="55">
        <f>_xlfn.LET(
 _xlpm.x,
 _xlfn.MAXIFS(
  raw_stack!G$2:G$99411,
  raw_stack!D$2:D$99411, G242,
  raw_stack!F$2:F$99411, "Iya",
  raw_stack!G$2:G$99411, "&gt;="&amp;DATE(2025,12,1),
  raw_stack!G$2:G$99411, "&lt;="&amp;EOMONTH(DATE(2025,12,1),0)
 ),
 IF(_xlpm.x=0, "-", _xlpm.x)
)</f>
        <v>46001</v>
      </c>
      <c r="Z242" s="56">
        <f>_xlfn.LET(
 _xlpm.x,
 _xlfn.MAXIFS(
  raw_stack!H$2:H$100000,
  raw_stack!D$2:D$100000, G242,
  raw_stack!F$2:F$100000, "Iya",
  raw_stack!G$2:G$100000, "&gt;="&amp;DATE(2025,12,1),
  raw_stack!G$2:G$100000, "&lt;="&amp;EOMONTH(DATE(2025,12,1),0)
 ),
 IF(OR(_xlpm.x=0, _xlpm.x=""), "-", _xlpm.x)
)</f>
        <v>2699</v>
      </c>
      <c r="AA242" s="55" t="str">
        <f>_xlfn.LET(
 _xlpm.x,
 _xlfn.MAXIFS(
  raw_stack!G$2:G$99411,
  raw_stack!D$2:D$99411, G242,
  raw_stack!F$2:F$99411, "Iya",
  raw_stack!G$2:G$99411, "&gt;="&amp;DATE(2026,1,1),
  raw_stack!G$2:G$99411, "&lt;="&amp;EOMONTH(DATE(2026,1,1),0)
 ),
 IF(_xlpm.x=0, "-", _xlpm.x)
)</f>
        <v>-</v>
      </c>
      <c r="AB242" s="56" t="str">
        <f>_xlfn.LET(
 _xlpm.x,
 _xlfn.MAXIFS(
  raw_stack!H$2:H$100000,
  raw_stack!D$2:D$100000, G242,
  raw_stack!F$2:F$100000, "Iya",
  raw_stack!G$2:G$100000, "&gt;="&amp;DATE(2026,1,1),
  raw_stack!G$2:G$100000, "&lt;="&amp;EOMONTH(DATE(2026,1,1),0)
 ),
 IF(OR(_xlpm.x=0, _xlpm.x=""), "-", _xlpm.x)
)</f>
        <v>-</v>
      </c>
      <c r="AC242" s="55" t="str">
        <f>_xlfn.LET(
 _xlpm.x,
 _xlfn.MAXIFS(
  raw_stack!G$2:G$99411,
  raw_stack!D$2:D$99411, G242,
  raw_stack!F$2:F$99411, "Iya",
  raw_stack!G$2:G$99411, "&gt;="&amp;DATE(2026,2,1),
  raw_stack!G$2:G$99411, "&lt;="&amp;EOMONTH(DATE(2026,2,1),0)
 ),
 IF(_xlpm.x=0, "-", _xlpm.x)
)</f>
        <v>-</v>
      </c>
      <c r="AD242" s="56" t="str">
        <f>_xlfn.LET(
 _xlpm.x,
 _xlfn.MAXIFS(
  raw_stack!H$2:H$100000,
  raw_stack!D$2:D$100000, G242,
  raw_stack!F$2:F$100000, "Iya",
  raw_stack!G$2:G$100000, "&gt;="&amp;DATE(2026,2,1),
  raw_stack!G$2:G$100000, "&lt;="&amp;EOMONTH(DATE(2026,2,1),0)
 ),
 IF(OR(_xlpm.x=0, _xlpm.x=""), "-", _xlpm.x)
)</f>
        <v>-</v>
      </c>
      <c r="AE242" s="55" t="str">
        <f>_xlfn.LET(
 _xlpm.x,
 _xlfn.MAXIFS(
  raw_stack!G$2:G$100000,
  raw_stack!D$2:D$100000, G242,
  raw_stack!F$2:F$100000, "Iya",
  raw_stack!G$2:G$100000, "&gt;="&amp;DATE(2026,3,1),
  raw_stack!G$2:G$100000, "&lt;="&amp;EOMONTH(DATE(2026,3,1),0)
 ),
 IF(_xlpm.x=0, "-", _xlpm.x)
)</f>
        <v>-</v>
      </c>
      <c r="AF242" s="56" t="str">
        <f>_xlfn.LET(
 _xlpm.x,
 _xlfn.MAXIFS(
  raw_stack!H$2:H$100000,
  raw_stack!D$2:D$100000, G242,
  raw_stack!F$2:F$100000, "Iya",
  raw_stack!G$2:G$100000, "&gt;="&amp;DATE(2026,3,1),
  raw_stack!G$2:G$100000, "&lt;="&amp;EOMONTH(DATE(2026,3,1),0)
 ),
 IF(OR(_xlpm.x=0, _xlpm.x=""), "-", _xlpm.x)
)</f>
        <v>-</v>
      </c>
      <c r="AG242" s="55" t="str">
        <f>_xlfn.LET(
 _xlpm.x,
 _xlfn.MAXIFS(
  raw_stack!G$2:G$100000,
  raw_stack!D$2:D$100000, G242,
  raw_stack!F$2:F$100000, "Iya",
  raw_stack!G$2:G$100000, "&gt;="&amp;DATE(2026,4,1),
  raw_stack!G$2:G$100000, "&lt;="&amp;EOMONTH(DATE(2026,4,1),0)
 ),
 IF(_xlpm.x=0, "-", _xlpm.x)
)</f>
        <v>-</v>
      </c>
      <c r="AH242" s="56" t="str">
        <f>_xlfn.LET(
 _xlpm.x,
 _xlfn.MAXIFS(
  raw_stack!H$2:H$100000,
  raw_stack!D$2:D$100000, G242,
  raw_stack!F$2:F$100000, "Iya",
  raw_stack!G$2:G$100000, "&gt;="&amp;DATE(2026,4,1),
  raw_stack!G$2:G$100000, "&lt;="&amp;EOMONTH(DATE(2026,4,1),0)
 ),
 IF(OR(_xlpm.x=0, _xlpm.x=""), "-", _xlpm.x)
)</f>
        <v>-</v>
      </c>
    </row>
    <row r="243" spans="1:34">
      <c r="A243" s="48">
        <v>242</v>
      </c>
      <c r="B243" s="49" t="str">
        <f t="shared" si="3"/>
        <v>19725</v>
      </c>
      <c r="C243" s="50" t="s">
        <v>46</v>
      </c>
      <c r="D243" s="51" t="s">
        <v>658</v>
      </c>
      <c r="E243" s="51" t="s">
        <v>56</v>
      </c>
      <c r="F243" s="49" t="s">
        <v>117</v>
      </c>
      <c r="G243" s="49" t="s">
        <v>359</v>
      </c>
      <c r="H243" s="49" t="s">
        <v>48</v>
      </c>
      <c r="I243" s="49" t="s">
        <v>52</v>
      </c>
      <c r="J243" s="52">
        <v>6915000</v>
      </c>
      <c r="K243" s="53">
        <v>45762</v>
      </c>
      <c r="L243" s="53">
        <v>46857</v>
      </c>
      <c r="M243" s="53">
        <v>46073</v>
      </c>
      <c r="N243" s="49" t="s">
        <v>50</v>
      </c>
      <c r="O243" s="54">
        <f>_xlfn.LET(
 _xlpm.x,
 _xlfn.MAXIFS(
  raw_stack!G$2:G$100000,
  raw_stack!D$2:D$100000, G243,
  raw_stack!F$2:F$100000, "Iya",
  raw_stack!G$2:G$100000, "&gt;="&amp;DATE(2025,7,1),
  raw_stack!G$2:G$100000, "&lt;="&amp;EOMONTH(DATE(2025,7,1),0)
 ),
 IF(_xlpm.x=0, "-", _xlpm.x)
)</f>
        <v>45850</v>
      </c>
      <c r="P243" s="65">
        <f>_xlfn.LET(
 _xlpm.x,
 _xlfn.MAXIFS(
  raw_stack!H$2:H$100000,
  raw_stack!D$2:D$100000, G243,
  raw_stack!F$2:F$100000, "Iya",
  raw_stack!G$2:G$100000, "&gt;="&amp;DATE(2025,7,1),
  raw_stack!G$2:G$100000, "&lt;="&amp;EOMONTH(DATE(2025,7,1),0)
 ),
 IF(OR(_xlpm.x=0, _xlpm.x=""), "-", _xlpm.x)
)</f>
        <v>7603</v>
      </c>
      <c r="Q243" s="54">
        <f>_xlfn.LET(
 _xlpm.x,
 _xlfn.MAXIFS(
  raw_stack!G$2:G$99411,
  raw_stack!D$2:D$99411, G243,
  raw_stack!F$2:F$99411, "Iya",
  raw_stack!G$2:G$99411, "&gt;="&amp;DATE(2025,8,1),
  raw_stack!G$2:G$99411, "&lt;="&amp;EOMONTH(DATE(2025,8,1),0)
 ),
 IF(_xlpm.x=0, "-", _xlpm.x)
)</f>
        <v>45891</v>
      </c>
      <c r="R243" s="65">
        <f>_xlfn.LET(
 _xlpm.x,
 _xlfn.MAXIFS(
  raw_stack!H$2:H$100000,
  raw_stack!D$2:D$100000, G243,
  raw_stack!F$2:F$100000, "Iya",
  raw_stack!G$2:G$100000, "&gt;="&amp;DATE(2025,8,1),
  raw_stack!G$2:G$100000, "&lt;="&amp;EOMONTH(DATE(2025,8,1),0)
 ),
 IF(OR(_xlpm.x=0, _xlpm.x=""), "-", _xlpm.x)
)</f>
        <v>9796</v>
      </c>
      <c r="S243" s="54">
        <f>_xlfn.LET(
 _xlpm.x,
 _xlfn.MAXIFS(
  raw_stack!G$2:G$99411,
  raw_stack!D$2:D$99411, G243,
  raw_stack!F$2:F$99411, "Iya",
  raw_stack!G$2:G$99411, "&gt;="&amp;DATE(2025,9,1),
  raw_stack!G$2:G$99411, "&lt;="&amp;EOMONTH(DATE(2025,9,1),0)
 ),
 IF(_xlpm.x=0, "-", _xlpm.x)
)</f>
        <v>45926</v>
      </c>
      <c r="T243" s="65">
        <f>_xlfn.LET(
 _xlpm.x,
 _xlfn.MAXIFS(
  raw_stack!H$2:H$100000,
  raw_stack!D$2:D$100000, G243,
  raw_stack!F$2:F$100000, "Iya",
  raw_stack!G$2:G$100000, "&gt;="&amp;DATE(2025,9,1),
  raw_stack!G$2:G$100000, "&lt;="&amp;EOMONTH(DATE(2025,9,1),0)
 ),
 IF(OR(_xlpm.x=0, _xlpm.x=""), "-", _xlpm.x)
)</f>
        <v>11780</v>
      </c>
      <c r="U243" s="54">
        <f>_xlfn.LET(
 _xlpm.x,
 _xlfn.MAXIFS(
  raw_stack!G$2:G$99411,
  raw_stack!D$2:D$99411, G243,
  raw_stack!F$2:F$99411, "Iya",
  raw_stack!G$2:G$99411, "&gt;="&amp;DATE(2025,10,1),
  raw_stack!G$2:G$99411, "&lt;="&amp;EOMONTH(DATE(2025,10,1),0)
 ),
 IF(_xlpm.x=0, "-", _xlpm.x)
)</f>
        <v>45957</v>
      </c>
      <c r="V243" s="65">
        <f>_xlfn.LET(
 _xlpm.x,
 _xlfn.MAXIFS(
  raw_stack!H$2:H$100000,
  raw_stack!D$2:D$100000, G243,
  raw_stack!F$2:F$100000, "Iya",
  raw_stack!G$2:G$100000, "&gt;="&amp;DATE(2025,10,1),
  raw_stack!G$2:G$100000, "&lt;="&amp;EOMONTH(DATE(2025,10,1),0)
 ),
 IF(OR(_xlpm.x=0, _xlpm.x=""), "-", _xlpm.x)
)</f>
        <v>14376</v>
      </c>
      <c r="W243" s="55">
        <f>_xlfn.LET(
 _xlpm.x,
 _xlfn.MAXIFS(
  raw_stack!G$2:G$99411,
  raw_stack!D$2:D$99411, G243,
  raw_stack!F$2:F$99411, "Iya",
  raw_stack!G$2:G$99411, "&gt;="&amp;DATE(2025,11,1),
  raw_stack!G$2:G$99411, "&lt;="&amp;EOMONTH(DATE(2025,11,1),0)
 ),
 IF(_xlpm.x=0, "-", _xlpm.x)
)</f>
        <v>45987</v>
      </c>
      <c r="X243" s="56">
        <f>_xlfn.LET(
 _xlpm.x,
 _xlfn.MAXIFS(
  raw_stack!H$2:H$100000,
  raw_stack!D$2:D$100000, G243,
  raw_stack!F$2:F$100000, "Iya",
  raw_stack!G$2:G$100000, "&gt;="&amp;DATE(2025,11,1),
  raw_stack!G$2:G$100000, "&lt;="&amp;EOMONTH(DATE(2025,11,1),0)
 ),
 IF(OR(_xlpm.x=0, _xlpm.x=""), "-", _xlpm.x)
)</f>
        <v>18327</v>
      </c>
      <c r="Y243" s="55">
        <f>_xlfn.LET(
 _xlpm.x,
 _xlfn.MAXIFS(
  raw_stack!G$2:G$99411,
  raw_stack!D$2:D$99411, G243,
  raw_stack!F$2:F$99411, "Iya",
  raw_stack!G$2:G$99411, "&gt;="&amp;DATE(2025,12,1),
  raw_stack!G$2:G$99411, "&lt;="&amp;EOMONTH(DATE(2025,12,1),0)
 ),
 IF(_xlpm.x=0, "-", _xlpm.x)
)</f>
        <v>46009</v>
      </c>
      <c r="Z243" s="56">
        <f>_xlfn.LET(
 _xlpm.x,
 _xlfn.MAXIFS(
  raw_stack!H$2:H$100000,
  raw_stack!D$2:D$100000, G243,
  raw_stack!F$2:F$100000, "Iya",
  raw_stack!G$2:G$100000, "&gt;="&amp;DATE(2025,12,1),
  raw_stack!G$2:G$100000, "&lt;="&amp;EOMONTH(DATE(2025,12,1),0)
 ),
 IF(OR(_xlpm.x=0, _xlpm.x=""), "-", _xlpm.x)
)</f>
        <v>17664</v>
      </c>
      <c r="AA243" s="55" t="str">
        <f>_xlfn.LET(
 _xlpm.x,
 _xlfn.MAXIFS(
  raw_stack!G$2:G$99411,
  raw_stack!D$2:D$99411, G243,
  raw_stack!F$2:F$99411, "Iya",
  raw_stack!G$2:G$99411, "&gt;="&amp;DATE(2026,1,1),
  raw_stack!G$2:G$99411, "&lt;="&amp;EOMONTH(DATE(2026,1,1),0)
 ),
 IF(_xlpm.x=0, "-", _xlpm.x)
)</f>
        <v>-</v>
      </c>
      <c r="AB243" s="56" t="str">
        <f>_xlfn.LET(
 _xlpm.x,
 _xlfn.MAXIFS(
  raw_stack!H$2:H$100000,
  raw_stack!D$2:D$100000, G243,
  raw_stack!F$2:F$100000, "Iya",
  raw_stack!G$2:G$100000, "&gt;="&amp;DATE(2026,1,1),
  raw_stack!G$2:G$100000, "&lt;="&amp;EOMONTH(DATE(2026,1,1),0)
 ),
 IF(OR(_xlpm.x=0, _xlpm.x=""), "-", _xlpm.x)
)</f>
        <v>-</v>
      </c>
      <c r="AC243" s="55" t="str">
        <f>_xlfn.LET(
 _xlpm.x,
 _xlfn.MAXIFS(
  raw_stack!G$2:G$99411,
  raw_stack!D$2:D$99411, G243,
  raw_stack!F$2:F$99411, "Iya",
  raw_stack!G$2:G$99411, "&gt;="&amp;DATE(2026,2,1),
  raw_stack!G$2:G$99411, "&lt;="&amp;EOMONTH(DATE(2026,2,1),0)
 ),
 IF(_xlpm.x=0, "-", _xlpm.x)
)</f>
        <v>-</v>
      </c>
      <c r="AD243" s="56" t="str">
        <f>_xlfn.LET(
 _xlpm.x,
 _xlfn.MAXIFS(
  raw_stack!H$2:H$100000,
  raw_stack!D$2:D$100000, G243,
  raw_stack!F$2:F$100000, "Iya",
  raw_stack!G$2:G$100000, "&gt;="&amp;DATE(2026,2,1),
  raw_stack!G$2:G$100000, "&lt;="&amp;EOMONTH(DATE(2026,2,1),0)
 ),
 IF(OR(_xlpm.x=0, _xlpm.x=""), "-", _xlpm.x)
)</f>
        <v>-</v>
      </c>
      <c r="AE243" s="55" t="str">
        <f>_xlfn.LET(
 _xlpm.x,
 _xlfn.MAXIFS(
  raw_stack!G$2:G$100000,
  raw_stack!D$2:D$100000, G243,
  raw_stack!F$2:F$100000, "Iya",
  raw_stack!G$2:G$100000, "&gt;="&amp;DATE(2026,3,1),
  raw_stack!G$2:G$100000, "&lt;="&amp;EOMONTH(DATE(2026,3,1),0)
 ),
 IF(_xlpm.x=0, "-", _xlpm.x)
)</f>
        <v>-</v>
      </c>
      <c r="AF243" s="56" t="str">
        <f>_xlfn.LET(
 _xlpm.x,
 _xlfn.MAXIFS(
  raw_stack!H$2:H$100000,
  raw_stack!D$2:D$100000, G243,
  raw_stack!F$2:F$100000, "Iya",
  raw_stack!G$2:G$100000, "&gt;="&amp;DATE(2026,3,1),
  raw_stack!G$2:G$100000, "&lt;="&amp;EOMONTH(DATE(2026,3,1),0)
 ),
 IF(OR(_xlpm.x=0, _xlpm.x=""), "-", _xlpm.x)
)</f>
        <v>-</v>
      </c>
      <c r="AG243" s="55" t="str">
        <f>_xlfn.LET(
 _xlpm.x,
 _xlfn.MAXIFS(
  raw_stack!G$2:G$100000,
  raw_stack!D$2:D$100000, G243,
  raw_stack!F$2:F$100000, "Iya",
  raw_stack!G$2:G$100000, "&gt;="&amp;DATE(2026,4,1),
  raw_stack!G$2:G$100000, "&lt;="&amp;EOMONTH(DATE(2026,4,1),0)
 ),
 IF(_xlpm.x=0, "-", _xlpm.x)
)</f>
        <v>-</v>
      </c>
      <c r="AH243" s="56" t="str">
        <f>_xlfn.LET(
 _xlpm.x,
 _xlfn.MAXIFS(
  raw_stack!H$2:H$100000,
  raw_stack!D$2:D$100000, G243,
  raw_stack!F$2:F$100000, "Iya",
  raw_stack!G$2:G$100000, "&gt;="&amp;DATE(2026,4,1),
  raw_stack!G$2:G$100000, "&lt;="&amp;EOMONTH(DATE(2026,4,1),0)
 ),
 IF(OR(_xlpm.x=0, _xlpm.x=""), "-", _xlpm.x)
)</f>
        <v>-</v>
      </c>
    </row>
    <row r="244" spans="1:34">
      <c r="A244" s="48">
        <v>243</v>
      </c>
      <c r="B244" s="49" t="str">
        <f t="shared" si="3"/>
        <v>96613</v>
      </c>
      <c r="C244" s="50" t="s">
        <v>46</v>
      </c>
      <c r="D244" s="51" t="s">
        <v>659</v>
      </c>
      <c r="E244" s="51" t="s">
        <v>51</v>
      </c>
      <c r="F244" s="49" t="s">
        <v>117</v>
      </c>
      <c r="G244" s="49" t="s">
        <v>360</v>
      </c>
      <c r="H244" s="49" t="s">
        <v>48</v>
      </c>
      <c r="I244" s="49" t="s">
        <v>52</v>
      </c>
      <c r="J244" s="52">
        <v>3880000</v>
      </c>
      <c r="K244" s="53">
        <v>45774</v>
      </c>
      <c r="L244" s="53">
        <v>46869</v>
      </c>
      <c r="M244" s="53">
        <v>46107</v>
      </c>
      <c r="N244" s="49" t="s">
        <v>50</v>
      </c>
      <c r="O244" s="54" t="str">
        <f>_xlfn.LET(
 _xlpm.x,
 _xlfn.MAXIFS(
  raw_stack!G$2:G$100000,
  raw_stack!D$2:D$100000, G244,
  raw_stack!F$2:F$100000, "Iya",
  raw_stack!G$2:G$100000, "&gt;="&amp;DATE(2025,7,1),
  raw_stack!G$2:G$100000, "&lt;="&amp;EOMONTH(DATE(2025,7,1),0)
 ),
 IF(_xlpm.x=0, "-", _xlpm.x)
)</f>
        <v>-</v>
      </c>
      <c r="P244" s="65" t="str">
        <f>_xlfn.LET(
 _xlpm.x,
 _xlfn.MAXIFS(
  raw_stack!H$2:H$100000,
  raw_stack!D$2:D$100000, G244,
  raw_stack!F$2:F$100000, "Iya",
  raw_stack!G$2:G$100000, "&gt;="&amp;DATE(2025,7,1),
  raw_stack!G$2:G$100000, "&lt;="&amp;EOMONTH(DATE(2025,7,1),0)
 ),
 IF(OR(_xlpm.x=0, _xlpm.x=""), "-", _xlpm.x)
)</f>
        <v>-</v>
      </c>
      <c r="Q244" s="54" t="str">
        <f>_xlfn.LET(
 _xlpm.x,
 _xlfn.MAXIFS(
  raw_stack!G$2:G$99411,
  raw_stack!D$2:D$99411, G244,
  raw_stack!F$2:F$99411, "Iya",
  raw_stack!G$2:G$99411, "&gt;="&amp;DATE(2025,8,1),
  raw_stack!G$2:G$99411, "&lt;="&amp;EOMONTH(DATE(2025,8,1),0)
 ),
 IF(_xlpm.x=0, "-", _xlpm.x)
)</f>
        <v>-</v>
      </c>
      <c r="R244" s="65" t="str">
        <f>_xlfn.LET(
 _xlpm.x,
 _xlfn.MAXIFS(
  raw_stack!H$2:H$100000,
  raw_stack!D$2:D$100000, G244,
  raw_stack!F$2:F$100000, "Iya",
  raw_stack!G$2:G$100000, "&gt;="&amp;DATE(2025,8,1),
  raw_stack!G$2:G$100000, "&lt;="&amp;EOMONTH(DATE(2025,8,1),0)
 ),
 IF(OR(_xlpm.x=0, _xlpm.x=""), "-", _xlpm.x)
)</f>
        <v>-</v>
      </c>
      <c r="S244" s="54" t="str">
        <f>_xlfn.LET(
 _xlpm.x,
 _xlfn.MAXIFS(
  raw_stack!G$2:G$99411,
  raw_stack!D$2:D$99411, G244,
  raw_stack!F$2:F$99411, "Iya",
  raw_stack!G$2:G$99411, "&gt;="&amp;DATE(2025,9,1),
  raw_stack!G$2:G$99411, "&lt;="&amp;EOMONTH(DATE(2025,9,1),0)
 ),
 IF(_xlpm.x=0, "-", _xlpm.x)
)</f>
        <v>-</v>
      </c>
      <c r="T244" s="65" t="str">
        <f>_xlfn.LET(
 _xlpm.x,
 _xlfn.MAXIFS(
  raw_stack!H$2:H$100000,
  raw_stack!D$2:D$100000, G244,
  raw_stack!F$2:F$100000, "Iya",
  raw_stack!G$2:G$100000, "&gt;="&amp;DATE(2025,9,1),
  raw_stack!G$2:G$100000, "&lt;="&amp;EOMONTH(DATE(2025,9,1),0)
 ),
 IF(OR(_xlpm.x=0, _xlpm.x=""), "-", _xlpm.x)
)</f>
        <v>-</v>
      </c>
      <c r="U244" s="54">
        <f>_xlfn.LET(
 _xlpm.x,
 _xlfn.MAXIFS(
  raw_stack!G$2:G$99411,
  raw_stack!D$2:D$99411, G244,
  raw_stack!F$2:F$99411, "Iya",
  raw_stack!G$2:G$99411, "&gt;="&amp;DATE(2025,10,1),
  raw_stack!G$2:G$99411, "&lt;="&amp;EOMONTH(DATE(2025,10,1),0)
 ),
 IF(_xlpm.x=0, "-", _xlpm.x)
)</f>
        <v>45937</v>
      </c>
      <c r="V244" s="65">
        <f>_xlfn.LET(
 _xlpm.x,
 _xlfn.MAXIFS(
  raw_stack!H$2:H$100000,
  raw_stack!D$2:D$100000, G244,
  raw_stack!F$2:F$100000, "Iya",
  raw_stack!G$2:G$100000, "&gt;="&amp;DATE(2025,10,1),
  raw_stack!G$2:G$100000, "&lt;="&amp;EOMONTH(DATE(2025,10,1),0)
 ),
 IF(OR(_xlpm.x=0, _xlpm.x=""), "-", _xlpm.x)
)</f>
        <v>17887</v>
      </c>
      <c r="W244" s="55" t="str">
        <f>_xlfn.LET(
 _xlpm.x,
 _xlfn.MAXIFS(
  raw_stack!G$2:G$99411,
  raw_stack!D$2:D$99411, G244,
  raw_stack!F$2:F$99411, "Iya",
  raw_stack!G$2:G$99411, "&gt;="&amp;DATE(2025,11,1),
  raw_stack!G$2:G$99411, "&lt;="&amp;EOMONTH(DATE(2025,11,1),0)
 ),
 IF(_xlpm.x=0, "-", _xlpm.x)
)</f>
        <v>-</v>
      </c>
      <c r="X244" s="56" t="str">
        <f>_xlfn.LET(
 _xlpm.x,
 _xlfn.MAXIFS(
  raw_stack!H$2:H$100000,
  raw_stack!D$2:D$100000, G244,
  raw_stack!F$2:F$100000, "Iya",
  raw_stack!G$2:G$100000, "&gt;="&amp;DATE(2025,11,1),
  raw_stack!G$2:G$100000, "&lt;="&amp;EOMONTH(DATE(2025,11,1),0)
 ),
 IF(OR(_xlpm.x=0, _xlpm.x=""), "-", _xlpm.x)
)</f>
        <v>-</v>
      </c>
      <c r="Y244" s="55" t="str">
        <f>_xlfn.LET(
 _xlpm.x,
 _xlfn.MAXIFS(
  raw_stack!G$2:G$99411,
  raw_stack!D$2:D$99411, G244,
  raw_stack!F$2:F$99411, "Iya",
  raw_stack!G$2:G$99411, "&gt;="&amp;DATE(2025,12,1),
  raw_stack!G$2:G$99411, "&lt;="&amp;EOMONTH(DATE(2025,12,1),0)
 ),
 IF(_xlpm.x=0, "-", _xlpm.x)
)</f>
        <v>-</v>
      </c>
      <c r="Z244" s="56" t="str">
        <f>_xlfn.LET(
 _xlpm.x,
 _xlfn.MAXIFS(
  raw_stack!H$2:H$100000,
  raw_stack!D$2:D$100000, G244,
  raw_stack!F$2:F$100000, "Iya",
  raw_stack!G$2:G$100000, "&gt;="&amp;DATE(2025,12,1),
  raw_stack!G$2:G$100000, "&lt;="&amp;EOMONTH(DATE(2025,12,1),0)
 ),
 IF(OR(_xlpm.x=0, _xlpm.x=""), "-", _xlpm.x)
)</f>
        <v>-</v>
      </c>
      <c r="AA244" s="55" t="str">
        <f>_xlfn.LET(
 _xlpm.x,
 _xlfn.MAXIFS(
  raw_stack!G$2:G$99411,
  raw_stack!D$2:D$99411, G244,
  raw_stack!F$2:F$99411, "Iya",
  raw_stack!G$2:G$99411, "&gt;="&amp;DATE(2026,1,1),
  raw_stack!G$2:G$99411, "&lt;="&amp;EOMONTH(DATE(2026,1,1),0)
 ),
 IF(_xlpm.x=0, "-", _xlpm.x)
)</f>
        <v>-</v>
      </c>
      <c r="AB244" s="56" t="str">
        <f>_xlfn.LET(
 _xlpm.x,
 _xlfn.MAXIFS(
  raw_stack!H$2:H$100000,
  raw_stack!D$2:D$100000, G244,
  raw_stack!F$2:F$100000, "Iya",
  raw_stack!G$2:G$100000, "&gt;="&amp;DATE(2026,1,1),
  raw_stack!G$2:G$100000, "&lt;="&amp;EOMONTH(DATE(2026,1,1),0)
 ),
 IF(OR(_xlpm.x=0, _xlpm.x=""), "-", _xlpm.x)
)</f>
        <v>-</v>
      </c>
      <c r="AC244" s="55" t="str">
        <f>_xlfn.LET(
 _xlpm.x,
 _xlfn.MAXIFS(
  raw_stack!G$2:G$99411,
  raw_stack!D$2:D$99411, G244,
  raw_stack!F$2:F$99411, "Iya",
  raw_stack!G$2:G$99411, "&gt;="&amp;DATE(2026,2,1),
  raw_stack!G$2:G$99411, "&lt;="&amp;EOMONTH(DATE(2026,2,1),0)
 ),
 IF(_xlpm.x=0, "-", _xlpm.x)
)</f>
        <v>-</v>
      </c>
      <c r="AD244" s="56" t="str">
        <f>_xlfn.LET(
 _xlpm.x,
 _xlfn.MAXIFS(
  raw_stack!H$2:H$100000,
  raw_stack!D$2:D$100000, G244,
  raw_stack!F$2:F$100000, "Iya",
  raw_stack!G$2:G$100000, "&gt;="&amp;DATE(2026,2,1),
  raw_stack!G$2:G$100000, "&lt;="&amp;EOMONTH(DATE(2026,2,1),0)
 ),
 IF(OR(_xlpm.x=0, _xlpm.x=""), "-", _xlpm.x)
)</f>
        <v>-</v>
      </c>
      <c r="AE244" s="55" t="str">
        <f>_xlfn.LET(
 _xlpm.x,
 _xlfn.MAXIFS(
  raw_stack!G$2:G$100000,
  raw_stack!D$2:D$100000, G244,
  raw_stack!F$2:F$100000, "Iya",
  raw_stack!G$2:G$100000, "&gt;="&amp;DATE(2026,3,1),
  raw_stack!G$2:G$100000, "&lt;="&amp;EOMONTH(DATE(2026,3,1),0)
 ),
 IF(_xlpm.x=0, "-", _xlpm.x)
)</f>
        <v>-</v>
      </c>
      <c r="AF244" s="56" t="str">
        <f>_xlfn.LET(
 _xlpm.x,
 _xlfn.MAXIFS(
  raw_stack!H$2:H$100000,
  raw_stack!D$2:D$100000, G244,
  raw_stack!F$2:F$100000, "Iya",
  raw_stack!G$2:G$100000, "&gt;="&amp;DATE(2026,3,1),
  raw_stack!G$2:G$100000, "&lt;="&amp;EOMONTH(DATE(2026,3,1),0)
 ),
 IF(OR(_xlpm.x=0, _xlpm.x=""), "-", _xlpm.x)
)</f>
        <v>-</v>
      </c>
      <c r="AG244" s="55" t="str">
        <f>_xlfn.LET(
 _xlpm.x,
 _xlfn.MAXIFS(
  raw_stack!G$2:G$100000,
  raw_stack!D$2:D$100000, G244,
  raw_stack!F$2:F$100000, "Iya",
  raw_stack!G$2:G$100000, "&gt;="&amp;DATE(2026,4,1),
  raw_stack!G$2:G$100000, "&lt;="&amp;EOMONTH(DATE(2026,4,1),0)
 ),
 IF(_xlpm.x=0, "-", _xlpm.x)
)</f>
        <v>-</v>
      </c>
      <c r="AH244" s="56" t="str">
        <f>_xlfn.LET(
 _xlpm.x,
 _xlfn.MAXIFS(
  raw_stack!H$2:H$100000,
  raw_stack!D$2:D$100000, G244,
  raw_stack!F$2:F$100000, "Iya",
  raw_stack!G$2:G$100000, "&gt;="&amp;DATE(2026,4,1),
  raw_stack!G$2:G$100000, "&lt;="&amp;EOMONTH(DATE(2026,4,1),0)
 ),
 IF(OR(_xlpm.x=0, _xlpm.x=""), "-", _xlpm.x)
)</f>
        <v>-</v>
      </c>
    </row>
    <row r="245" spans="1:34">
      <c r="A245" s="48">
        <v>244</v>
      </c>
      <c r="B245" s="49" t="str">
        <f t="shared" ref="B245:B302" si="4">LEFT(D245,5)</f>
        <v>40281</v>
      </c>
      <c r="C245" s="50" t="s">
        <v>46</v>
      </c>
      <c r="D245" s="51" t="s">
        <v>660</v>
      </c>
      <c r="E245" s="51" t="s">
        <v>47</v>
      </c>
      <c r="F245" s="49" t="s">
        <v>117</v>
      </c>
      <c r="G245" s="49" t="s">
        <v>361</v>
      </c>
      <c r="H245" s="49" t="s">
        <v>48</v>
      </c>
      <c r="I245" s="49" t="s">
        <v>49</v>
      </c>
      <c r="J245" s="52">
        <v>4595000</v>
      </c>
      <c r="K245" s="53">
        <v>45775</v>
      </c>
      <c r="L245" s="53">
        <v>46870</v>
      </c>
      <c r="M245" s="53">
        <v>46080</v>
      </c>
      <c r="N245" s="49" t="s">
        <v>50</v>
      </c>
      <c r="O245" s="54" t="str">
        <f>_xlfn.LET(
 _xlpm.x,
 _xlfn.MAXIFS(
  raw_stack!G$2:G$100000,
  raw_stack!D$2:D$100000, G245,
  raw_stack!F$2:F$100000, "Iya",
  raw_stack!G$2:G$100000, "&gt;="&amp;DATE(2025,7,1),
  raw_stack!G$2:G$100000, "&lt;="&amp;EOMONTH(DATE(2025,7,1),0)
 ),
 IF(_xlpm.x=0, "-", _xlpm.x)
)</f>
        <v>-</v>
      </c>
      <c r="P245" s="65" t="str">
        <f>_xlfn.LET(
 _xlpm.x,
 _xlfn.MAXIFS(
  raw_stack!H$2:H$100000,
  raw_stack!D$2:D$100000, G245,
  raw_stack!F$2:F$100000, "Iya",
  raw_stack!G$2:G$100000, "&gt;="&amp;DATE(2025,7,1),
  raw_stack!G$2:G$100000, "&lt;="&amp;EOMONTH(DATE(2025,7,1),0)
 ),
 IF(OR(_xlpm.x=0, _xlpm.x=""), "-", _xlpm.x)
)</f>
        <v>-</v>
      </c>
      <c r="Q245" s="54" t="str">
        <f>_xlfn.LET(
 _xlpm.x,
 _xlfn.MAXIFS(
  raw_stack!G$2:G$99411,
  raw_stack!D$2:D$99411, G245,
  raw_stack!F$2:F$99411, "Iya",
  raw_stack!G$2:G$99411, "&gt;="&amp;DATE(2025,8,1),
  raw_stack!G$2:G$99411, "&lt;="&amp;EOMONTH(DATE(2025,8,1),0)
 ),
 IF(_xlpm.x=0, "-", _xlpm.x)
)</f>
        <v>-</v>
      </c>
      <c r="R245" s="65" t="str">
        <f>_xlfn.LET(
 _xlpm.x,
 _xlfn.MAXIFS(
  raw_stack!H$2:H$100000,
  raw_stack!D$2:D$100000, G245,
  raw_stack!F$2:F$100000, "Iya",
  raw_stack!G$2:G$100000, "&gt;="&amp;DATE(2025,8,1),
  raw_stack!G$2:G$100000, "&lt;="&amp;EOMONTH(DATE(2025,8,1),0)
 ),
 IF(OR(_xlpm.x=0, _xlpm.x=""), "-", _xlpm.x)
)</f>
        <v>-</v>
      </c>
      <c r="S245" s="54" t="str">
        <f>_xlfn.LET(
 _xlpm.x,
 _xlfn.MAXIFS(
  raw_stack!G$2:G$99411,
  raw_stack!D$2:D$99411, G245,
  raw_stack!F$2:F$99411, "Iya",
  raw_stack!G$2:G$99411, "&gt;="&amp;DATE(2025,9,1),
  raw_stack!G$2:G$99411, "&lt;="&amp;EOMONTH(DATE(2025,9,1),0)
 ),
 IF(_xlpm.x=0, "-", _xlpm.x)
)</f>
        <v>-</v>
      </c>
      <c r="T245" s="65" t="str">
        <f>_xlfn.LET(
 _xlpm.x,
 _xlfn.MAXIFS(
  raw_stack!H$2:H$100000,
  raw_stack!D$2:D$100000, G245,
  raw_stack!F$2:F$100000, "Iya",
  raw_stack!G$2:G$100000, "&gt;="&amp;DATE(2025,9,1),
  raw_stack!G$2:G$100000, "&lt;="&amp;EOMONTH(DATE(2025,9,1),0)
 ),
 IF(OR(_xlpm.x=0, _xlpm.x=""), "-", _xlpm.x)
)</f>
        <v>-</v>
      </c>
      <c r="U245" s="54" t="str">
        <f>_xlfn.LET(
 _xlpm.x,
 _xlfn.MAXIFS(
  raw_stack!G$2:G$99411,
  raw_stack!D$2:D$99411, G245,
  raw_stack!F$2:F$99411, "Iya",
  raw_stack!G$2:G$99411, "&gt;="&amp;DATE(2025,10,1),
  raw_stack!G$2:G$99411, "&lt;="&amp;EOMONTH(DATE(2025,10,1),0)
 ),
 IF(_xlpm.x=0, "-", _xlpm.x)
)</f>
        <v>-</v>
      </c>
      <c r="V245" s="65" t="str">
        <f>_xlfn.LET(
 _xlpm.x,
 _xlfn.MAXIFS(
  raw_stack!H$2:H$100000,
  raw_stack!D$2:D$100000, G245,
  raw_stack!F$2:F$100000, "Iya",
  raw_stack!G$2:G$100000, "&gt;="&amp;DATE(2025,10,1),
  raw_stack!G$2:G$100000, "&lt;="&amp;EOMONTH(DATE(2025,10,1),0)
 ),
 IF(OR(_xlpm.x=0, _xlpm.x=""), "-", _xlpm.x)
)</f>
        <v>-</v>
      </c>
      <c r="W245" s="55">
        <f>_xlfn.LET(
 _xlpm.x,
 _xlfn.MAXIFS(
  raw_stack!G$2:G$99411,
  raw_stack!D$2:D$99411, G245,
  raw_stack!F$2:F$99411, "Iya",
  raw_stack!G$2:G$99411, "&gt;="&amp;DATE(2025,11,1),
  raw_stack!G$2:G$99411, "&lt;="&amp;EOMONTH(DATE(2025,11,1),0)
 ),
 IF(_xlpm.x=0, "-", _xlpm.x)
)</f>
        <v>45972</v>
      </c>
      <c r="X245" s="56">
        <f>_xlfn.LET(
 _xlpm.x,
 _xlfn.MAXIFS(
  raw_stack!H$2:H$100000,
  raw_stack!D$2:D$100000, G245,
  raw_stack!F$2:F$100000, "Iya",
  raw_stack!G$2:G$100000, "&gt;="&amp;DATE(2025,11,1),
  raw_stack!G$2:G$100000, "&lt;="&amp;EOMONTH(DATE(2025,11,1),0)
 ),
 IF(OR(_xlpm.x=0, _xlpm.x=""), "-", _xlpm.x)
)</f>
        <v>18629</v>
      </c>
      <c r="Y245" s="55" t="str">
        <f>_xlfn.LET(
 _xlpm.x,
 _xlfn.MAXIFS(
  raw_stack!G$2:G$99411,
  raw_stack!D$2:D$99411, G245,
  raw_stack!F$2:F$99411, "Iya",
  raw_stack!G$2:G$99411, "&gt;="&amp;DATE(2025,12,1),
  raw_stack!G$2:G$99411, "&lt;="&amp;EOMONTH(DATE(2025,12,1),0)
 ),
 IF(_xlpm.x=0, "-", _xlpm.x)
)</f>
        <v>-</v>
      </c>
      <c r="Z245" s="56" t="str">
        <f>_xlfn.LET(
 _xlpm.x,
 _xlfn.MAXIFS(
  raw_stack!H$2:H$100000,
  raw_stack!D$2:D$100000, G245,
  raw_stack!F$2:F$100000, "Iya",
  raw_stack!G$2:G$100000, "&gt;="&amp;DATE(2025,12,1),
  raw_stack!G$2:G$100000, "&lt;="&amp;EOMONTH(DATE(2025,12,1),0)
 ),
 IF(OR(_xlpm.x=0, _xlpm.x=""), "-", _xlpm.x)
)</f>
        <v>-</v>
      </c>
      <c r="AA245" s="55" t="str">
        <f>_xlfn.LET(
 _xlpm.x,
 _xlfn.MAXIFS(
  raw_stack!G$2:G$99411,
  raw_stack!D$2:D$99411, G245,
  raw_stack!F$2:F$99411, "Iya",
  raw_stack!G$2:G$99411, "&gt;="&amp;DATE(2026,1,1),
  raw_stack!G$2:G$99411, "&lt;="&amp;EOMONTH(DATE(2026,1,1),0)
 ),
 IF(_xlpm.x=0, "-", _xlpm.x)
)</f>
        <v>-</v>
      </c>
      <c r="AB245" s="56" t="str">
        <f>_xlfn.LET(
 _xlpm.x,
 _xlfn.MAXIFS(
  raw_stack!H$2:H$100000,
  raw_stack!D$2:D$100000, G245,
  raw_stack!F$2:F$100000, "Iya",
  raw_stack!G$2:G$100000, "&gt;="&amp;DATE(2026,1,1),
  raw_stack!G$2:G$100000, "&lt;="&amp;EOMONTH(DATE(2026,1,1),0)
 ),
 IF(OR(_xlpm.x=0, _xlpm.x=""), "-", _xlpm.x)
)</f>
        <v>-</v>
      </c>
      <c r="AC245" s="55" t="str">
        <f>_xlfn.LET(
 _xlpm.x,
 _xlfn.MAXIFS(
  raw_stack!G$2:G$99411,
  raw_stack!D$2:D$99411, G245,
  raw_stack!F$2:F$99411, "Iya",
  raw_stack!G$2:G$99411, "&gt;="&amp;DATE(2026,2,1),
  raw_stack!G$2:G$99411, "&lt;="&amp;EOMONTH(DATE(2026,2,1),0)
 ),
 IF(_xlpm.x=0, "-", _xlpm.x)
)</f>
        <v>-</v>
      </c>
      <c r="AD245" s="56" t="str">
        <f>_xlfn.LET(
 _xlpm.x,
 _xlfn.MAXIFS(
  raw_stack!H$2:H$100000,
  raw_stack!D$2:D$100000, G245,
  raw_stack!F$2:F$100000, "Iya",
  raw_stack!G$2:G$100000, "&gt;="&amp;DATE(2026,2,1),
  raw_stack!G$2:G$100000, "&lt;="&amp;EOMONTH(DATE(2026,2,1),0)
 ),
 IF(OR(_xlpm.x=0, _xlpm.x=""), "-", _xlpm.x)
)</f>
        <v>-</v>
      </c>
      <c r="AE245" s="55" t="str">
        <f>_xlfn.LET(
 _xlpm.x,
 _xlfn.MAXIFS(
  raw_stack!G$2:G$100000,
  raw_stack!D$2:D$100000, G245,
  raw_stack!F$2:F$100000, "Iya",
  raw_stack!G$2:G$100000, "&gt;="&amp;DATE(2026,3,1),
  raw_stack!G$2:G$100000, "&lt;="&amp;EOMONTH(DATE(2026,3,1),0)
 ),
 IF(_xlpm.x=0, "-", _xlpm.x)
)</f>
        <v>-</v>
      </c>
      <c r="AF245" s="56" t="str">
        <f>_xlfn.LET(
 _xlpm.x,
 _xlfn.MAXIFS(
  raw_stack!H$2:H$100000,
  raw_stack!D$2:D$100000, G245,
  raw_stack!F$2:F$100000, "Iya",
  raw_stack!G$2:G$100000, "&gt;="&amp;DATE(2026,3,1),
  raw_stack!G$2:G$100000, "&lt;="&amp;EOMONTH(DATE(2026,3,1),0)
 ),
 IF(OR(_xlpm.x=0, _xlpm.x=""), "-", _xlpm.x)
)</f>
        <v>-</v>
      </c>
      <c r="AG245" s="55" t="str">
        <f>_xlfn.LET(
 _xlpm.x,
 _xlfn.MAXIFS(
  raw_stack!G$2:G$100000,
  raw_stack!D$2:D$100000, G245,
  raw_stack!F$2:F$100000, "Iya",
  raw_stack!G$2:G$100000, "&gt;="&amp;DATE(2026,4,1),
  raw_stack!G$2:G$100000, "&lt;="&amp;EOMONTH(DATE(2026,4,1),0)
 ),
 IF(_xlpm.x=0, "-", _xlpm.x)
)</f>
        <v>-</v>
      </c>
      <c r="AH245" s="56" t="str">
        <f>_xlfn.LET(
 _xlpm.x,
 _xlfn.MAXIFS(
  raw_stack!H$2:H$100000,
  raw_stack!D$2:D$100000, G245,
  raw_stack!F$2:F$100000, "Iya",
  raw_stack!G$2:G$100000, "&gt;="&amp;DATE(2026,4,1),
  raw_stack!G$2:G$100000, "&lt;="&amp;EOMONTH(DATE(2026,4,1),0)
 ),
 IF(OR(_xlpm.x=0, _xlpm.x=""), "-", _xlpm.x)
)</f>
        <v>-</v>
      </c>
    </row>
    <row r="246" spans="1:34">
      <c r="A246" s="48">
        <v>245</v>
      </c>
      <c r="B246" s="49" t="str">
        <f t="shared" si="4"/>
        <v>48634</v>
      </c>
      <c r="C246" s="50" t="s">
        <v>46</v>
      </c>
      <c r="D246" s="51" t="s">
        <v>661</v>
      </c>
      <c r="E246" s="51" t="s">
        <v>51</v>
      </c>
      <c r="F246" s="49" t="s">
        <v>117</v>
      </c>
      <c r="G246" s="49" t="s">
        <v>362</v>
      </c>
      <c r="H246" s="49" t="s">
        <v>48</v>
      </c>
      <c r="I246" s="49" t="s">
        <v>52</v>
      </c>
      <c r="J246" s="52">
        <v>3880000</v>
      </c>
      <c r="K246" s="53">
        <v>45776</v>
      </c>
      <c r="L246" s="53">
        <v>46871</v>
      </c>
      <c r="M246" s="53">
        <v>46080</v>
      </c>
      <c r="N246" s="49" t="s">
        <v>50</v>
      </c>
      <c r="O246" s="54" t="str">
        <f>_xlfn.LET(
 _xlpm.x,
 _xlfn.MAXIFS(
  raw_stack!G$2:G$100000,
  raw_stack!D$2:D$100000, G246,
  raw_stack!F$2:F$100000, "Iya",
  raw_stack!G$2:G$100000, "&gt;="&amp;DATE(2025,7,1),
  raw_stack!G$2:G$100000, "&lt;="&amp;EOMONTH(DATE(2025,7,1),0)
 ),
 IF(_xlpm.x=0, "-", _xlpm.x)
)</f>
        <v>-</v>
      </c>
      <c r="P246" s="65" t="str">
        <f>_xlfn.LET(
 _xlpm.x,
 _xlfn.MAXIFS(
  raw_stack!H$2:H$100000,
  raw_stack!D$2:D$100000, G246,
  raw_stack!F$2:F$100000, "Iya",
  raw_stack!G$2:G$100000, "&gt;="&amp;DATE(2025,7,1),
  raw_stack!G$2:G$100000, "&lt;="&amp;EOMONTH(DATE(2025,7,1),0)
 ),
 IF(OR(_xlpm.x=0, _xlpm.x=""), "-", _xlpm.x)
)</f>
        <v>-</v>
      </c>
      <c r="Q246" s="54">
        <f>_xlfn.LET(
 _xlpm.x,
 _xlfn.MAXIFS(
  raw_stack!G$2:G$99411,
  raw_stack!D$2:D$99411, G246,
  raw_stack!F$2:F$99411, "Iya",
  raw_stack!G$2:G$99411, "&gt;="&amp;DATE(2025,8,1),
  raw_stack!G$2:G$99411, "&lt;="&amp;EOMONTH(DATE(2025,8,1),0)
 ),
 IF(_xlpm.x=0, "-", _xlpm.x)
)</f>
        <v>45883</v>
      </c>
      <c r="R246" s="65">
        <f>_xlfn.LET(
 _xlpm.x,
 _xlfn.MAXIFS(
  raw_stack!H$2:H$100000,
  raw_stack!D$2:D$100000, G246,
  raw_stack!F$2:F$100000, "Iya",
  raw_stack!G$2:G$100000, "&gt;="&amp;DATE(2025,8,1),
  raw_stack!G$2:G$100000, "&lt;="&amp;EOMONTH(DATE(2025,8,1),0)
 ),
 IF(OR(_xlpm.x=0, _xlpm.x=""), "-", _xlpm.x)
)</f>
        <v>3903</v>
      </c>
      <c r="S246" s="54" t="str">
        <f>_xlfn.LET(
 _xlpm.x,
 _xlfn.MAXIFS(
  raw_stack!G$2:G$99411,
  raw_stack!D$2:D$99411, G246,
  raw_stack!F$2:F$99411, "Iya",
  raw_stack!G$2:G$99411, "&gt;="&amp;DATE(2025,9,1),
  raw_stack!G$2:G$99411, "&lt;="&amp;EOMONTH(DATE(2025,9,1),0)
 ),
 IF(_xlpm.x=0, "-", _xlpm.x)
)</f>
        <v>-</v>
      </c>
      <c r="T246" s="65" t="str">
        <f>_xlfn.LET(
 _xlpm.x,
 _xlfn.MAXIFS(
  raw_stack!H$2:H$100000,
  raw_stack!D$2:D$100000, G246,
  raw_stack!F$2:F$100000, "Iya",
  raw_stack!G$2:G$100000, "&gt;="&amp;DATE(2025,9,1),
  raw_stack!G$2:G$100000, "&lt;="&amp;EOMONTH(DATE(2025,9,1),0)
 ),
 IF(OR(_xlpm.x=0, _xlpm.x=""), "-", _xlpm.x)
)</f>
        <v>-</v>
      </c>
      <c r="U246" s="54">
        <f>_xlfn.LET(
 _xlpm.x,
 _xlfn.MAXIFS(
  raw_stack!G$2:G$99411,
  raw_stack!D$2:D$99411, G246,
  raw_stack!F$2:F$99411, "Iya",
  raw_stack!G$2:G$99411, "&gt;="&amp;DATE(2025,10,1),
  raw_stack!G$2:G$99411, "&lt;="&amp;EOMONTH(DATE(2025,10,1),0)
 ),
 IF(_xlpm.x=0, "-", _xlpm.x)
)</f>
        <v>45934</v>
      </c>
      <c r="V246" s="65">
        <f>_xlfn.LET(
 _xlpm.x,
 _xlfn.MAXIFS(
  raw_stack!H$2:H$100000,
  raw_stack!D$2:D$100000, G246,
  raw_stack!F$2:F$100000, "Iya",
  raw_stack!G$2:G$100000, "&gt;="&amp;DATE(2025,10,1),
  raw_stack!G$2:G$100000, "&lt;="&amp;EOMONTH(DATE(2025,10,1),0)
 ),
 IF(OR(_xlpm.x=0, _xlpm.x=""), "-", _xlpm.x)
)</f>
        <v>9053</v>
      </c>
      <c r="W246" s="55" t="str">
        <f>_xlfn.LET(
 _xlpm.x,
 _xlfn.MAXIFS(
  raw_stack!G$2:G$99411,
  raw_stack!D$2:D$99411, G246,
  raw_stack!F$2:F$99411, "Iya",
  raw_stack!G$2:G$99411, "&gt;="&amp;DATE(2025,11,1),
  raw_stack!G$2:G$99411, "&lt;="&amp;EOMONTH(DATE(2025,11,1),0)
 ),
 IF(_xlpm.x=0, "-", _xlpm.x)
)</f>
        <v>-</v>
      </c>
      <c r="X246" s="56" t="str">
        <f>_xlfn.LET(
 _xlpm.x,
 _xlfn.MAXIFS(
  raw_stack!H$2:H$100000,
  raw_stack!D$2:D$100000, G246,
  raw_stack!F$2:F$100000, "Iya",
  raw_stack!G$2:G$100000, "&gt;="&amp;DATE(2025,11,1),
  raw_stack!G$2:G$100000, "&lt;="&amp;EOMONTH(DATE(2025,11,1),0)
 ),
 IF(OR(_xlpm.x=0, _xlpm.x=""), "-", _xlpm.x)
)</f>
        <v>-</v>
      </c>
      <c r="Y246" s="55" t="str">
        <f>_xlfn.LET(
 _xlpm.x,
 _xlfn.MAXIFS(
  raw_stack!G$2:G$99411,
  raw_stack!D$2:D$99411, G246,
  raw_stack!F$2:F$99411, "Iya",
  raw_stack!G$2:G$99411, "&gt;="&amp;DATE(2025,12,1),
  raw_stack!G$2:G$99411, "&lt;="&amp;EOMONTH(DATE(2025,12,1),0)
 ),
 IF(_xlpm.x=0, "-", _xlpm.x)
)</f>
        <v>-</v>
      </c>
      <c r="Z246" s="56" t="str">
        <f>_xlfn.LET(
 _xlpm.x,
 _xlfn.MAXIFS(
  raw_stack!H$2:H$100000,
  raw_stack!D$2:D$100000, G246,
  raw_stack!F$2:F$100000, "Iya",
  raw_stack!G$2:G$100000, "&gt;="&amp;DATE(2025,12,1),
  raw_stack!G$2:G$100000, "&lt;="&amp;EOMONTH(DATE(2025,12,1),0)
 ),
 IF(OR(_xlpm.x=0, _xlpm.x=""), "-", _xlpm.x)
)</f>
        <v>-</v>
      </c>
      <c r="AA246" s="55" t="str">
        <f>_xlfn.LET(
 _xlpm.x,
 _xlfn.MAXIFS(
  raw_stack!G$2:G$99411,
  raw_stack!D$2:D$99411, G246,
  raw_stack!F$2:F$99411, "Iya",
  raw_stack!G$2:G$99411, "&gt;="&amp;DATE(2026,1,1),
  raw_stack!G$2:G$99411, "&lt;="&amp;EOMONTH(DATE(2026,1,1),0)
 ),
 IF(_xlpm.x=0, "-", _xlpm.x)
)</f>
        <v>-</v>
      </c>
      <c r="AB246" s="56" t="str">
        <f>_xlfn.LET(
 _xlpm.x,
 _xlfn.MAXIFS(
  raw_stack!H$2:H$100000,
  raw_stack!D$2:D$100000, G246,
  raw_stack!F$2:F$100000, "Iya",
  raw_stack!G$2:G$100000, "&gt;="&amp;DATE(2026,1,1),
  raw_stack!G$2:G$100000, "&lt;="&amp;EOMONTH(DATE(2026,1,1),0)
 ),
 IF(OR(_xlpm.x=0, _xlpm.x=""), "-", _xlpm.x)
)</f>
        <v>-</v>
      </c>
      <c r="AC246" s="55" t="str">
        <f>_xlfn.LET(
 _xlpm.x,
 _xlfn.MAXIFS(
  raw_stack!G$2:G$99411,
  raw_stack!D$2:D$99411, G246,
  raw_stack!F$2:F$99411, "Iya",
  raw_stack!G$2:G$99411, "&gt;="&amp;DATE(2026,2,1),
  raw_stack!G$2:G$99411, "&lt;="&amp;EOMONTH(DATE(2026,2,1),0)
 ),
 IF(_xlpm.x=0, "-", _xlpm.x)
)</f>
        <v>-</v>
      </c>
      <c r="AD246" s="56" t="str">
        <f>_xlfn.LET(
 _xlpm.x,
 _xlfn.MAXIFS(
  raw_stack!H$2:H$100000,
  raw_stack!D$2:D$100000, G246,
  raw_stack!F$2:F$100000, "Iya",
  raw_stack!G$2:G$100000, "&gt;="&amp;DATE(2026,2,1),
  raw_stack!G$2:G$100000, "&lt;="&amp;EOMONTH(DATE(2026,2,1),0)
 ),
 IF(OR(_xlpm.x=0, _xlpm.x=""), "-", _xlpm.x)
)</f>
        <v>-</v>
      </c>
      <c r="AE246" s="55" t="str">
        <f>_xlfn.LET(
 _xlpm.x,
 _xlfn.MAXIFS(
  raw_stack!G$2:G$100000,
  raw_stack!D$2:D$100000, G246,
  raw_stack!F$2:F$100000, "Iya",
  raw_stack!G$2:G$100000, "&gt;="&amp;DATE(2026,3,1),
  raw_stack!G$2:G$100000, "&lt;="&amp;EOMONTH(DATE(2026,3,1),0)
 ),
 IF(_xlpm.x=0, "-", _xlpm.x)
)</f>
        <v>-</v>
      </c>
      <c r="AF246" s="56" t="str">
        <f>_xlfn.LET(
 _xlpm.x,
 _xlfn.MAXIFS(
  raw_stack!H$2:H$100000,
  raw_stack!D$2:D$100000, G246,
  raw_stack!F$2:F$100000, "Iya",
  raw_stack!G$2:G$100000, "&gt;="&amp;DATE(2026,3,1),
  raw_stack!G$2:G$100000, "&lt;="&amp;EOMONTH(DATE(2026,3,1),0)
 ),
 IF(OR(_xlpm.x=0, _xlpm.x=""), "-", _xlpm.x)
)</f>
        <v>-</v>
      </c>
      <c r="AG246" s="55" t="str">
        <f>_xlfn.LET(
 _xlpm.x,
 _xlfn.MAXIFS(
  raw_stack!G$2:G$100000,
  raw_stack!D$2:D$100000, G246,
  raw_stack!F$2:F$100000, "Iya",
  raw_stack!G$2:G$100000, "&gt;="&amp;DATE(2026,4,1),
  raw_stack!G$2:G$100000, "&lt;="&amp;EOMONTH(DATE(2026,4,1),0)
 ),
 IF(_xlpm.x=0, "-", _xlpm.x)
)</f>
        <v>-</v>
      </c>
      <c r="AH246" s="56" t="str">
        <f>_xlfn.LET(
 _xlpm.x,
 _xlfn.MAXIFS(
  raw_stack!H$2:H$100000,
  raw_stack!D$2:D$100000, G246,
  raw_stack!F$2:F$100000, "Iya",
  raw_stack!G$2:G$100000, "&gt;="&amp;DATE(2026,4,1),
  raw_stack!G$2:G$100000, "&lt;="&amp;EOMONTH(DATE(2026,4,1),0)
 ),
 IF(OR(_xlpm.x=0, _xlpm.x=""), "-", _xlpm.x)
)</f>
        <v>-</v>
      </c>
    </row>
    <row r="247" spans="1:34">
      <c r="A247" s="48">
        <v>246</v>
      </c>
      <c r="B247" s="49" t="str">
        <f t="shared" si="4"/>
        <v>89357</v>
      </c>
      <c r="C247" s="50" t="s">
        <v>46</v>
      </c>
      <c r="D247" s="51" t="s">
        <v>662</v>
      </c>
      <c r="E247" s="51" t="s">
        <v>51</v>
      </c>
      <c r="F247" s="49" t="s">
        <v>117</v>
      </c>
      <c r="G247" s="49" t="s">
        <v>363</v>
      </c>
      <c r="H247" s="49" t="s">
        <v>48</v>
      </c>
      <c r="I247" s="49" t="s">
        <v>52</v>
      </c>
      <c r="J247" s="52">
        <v>3880000</v>
      </c>
      <c r="K247" s="53">
        <v>45776</v>
      </c>
      <c r="L247" s="53">
        <v>46871</v>
      </c>
      <c r="M247" s="53">
        <v>46080</v>
      </c>
      <c r="N247" s="49" t="s">
        <v>50</v>
      </c>
      <c r="O247" s="54" t="str">
        <f>_xlfn.LET(
 _xlpm.x,
 _xlfn.MAXIFS(
  raw_stack!G$2:G$100000,
  raw_stack!D$2:D$100000, G247,
  raw_stack!F$2:F$100000, "Iya",
  raw_stack!G$2:G$100000, "&gt;="&amp;DATE(2025,7,1),
  raw_stack!G$2:G$100000, "&lt;="&amp;EOMONTH(DATE(2025,7,1),0)
 ),
 IF(_xlpm.x=0, "-", _xlpm.x)
)</f>
        <v>-</v>
      </c>
      <c r="P247" s="65" t="str">
        <f>_xlfn.LET(
 _xlpm.x,
 _xlfn.MAXIFS(
  raw_stack!H$2:H$100000,
  raw_stack!D$2:D$100000, G247,
  raw_stack!F$2:F$100000, "Iya",
  raw_stack!G$2:G$100000, "&gt;="&amp;DATE(2025,7,1),
  raw_stack!G$2:G$100000, "&lt;="&amp;EOMONTH(DATE(2025,7,1),0)
 ),
 IF(OR(_xlpm.x=0, _xlpm.x=""), "-", _xlpm.x)
)</f>
        <v>-</v>
      </c>
      <c r="Q247" s="54">
        <f>_xlfn.LET(
 _xlpm.x,
 _xlfn.MAXIFS(
  raw_stack!G$2:G$99411,
  raw_stack!D$2:D$99411, G247,
  raw_stack!F$2:F$99411, "Iya",
  raw_stack!G$2:G$99411, "&gt;="&amp;DATE(2025,8,1),
  raw_stack!G$2:G$99411, "&lt;="&amp;EOMONTH(DATE(2025,8,1),0)
 ),
 IF(_xlpm.x=0, "-", _xlpm.x)
)</f>
        <v>45891</v>
      </c>
      <c r="R247" s="65">
        <f>_xlfn.LET(
 _xlpm.x,
 _xlfn.MAXIFS(
  raw_stack!H$2:H$100000,
  raw_stack!D$2:D$100000, G247,
  raw_stack!F$2:F$100000, "Iya",
  raw_stack!G$2:G$100000, "&gt;="&amp;DATE(2025,8,1),
  raw_stack!G$2:G$100000, "&lt;="&amp;EOMONTH(DATE(2025,8,1),0)
 ),
 IF(OR(_xlpm.x=0, _xlpm.x=""), "-", _xlpm.x)
)</f>
        <v>2685</v>
      </c>
      <c r="S247" s="54" t="str">
        <f>_xlfn.LET(
 _xlpm.x,
 _xlfn.MAXIFS(
  raw_stack!G$2:G$99411,
  raw_stack!D$2:D$99411, G247,
  raw_stack!F$2:F$99411, "Iya",
  raw_stack!G$2:G$99411, "&gt;="&amp;DATE(2025,9,1),
  raw_stack!G$2:G$99411, "&lt;="&amp;EOMONTH(DATE(2025,9,1),0)
 ),
 IF(_xlpm.x=0, "-", _xlpm.x)
)</f>
        <v>-</v>
      </c>
      <c r="T247" s="65" t="str">
        <f>_xlfn.LET(
 _xlpm.x,
 _xlfn.MAXIFS(
  raw_stack!H$2:H$100000,
  raw_stack!D$2:D$100000, G247,
  raw_stack!F$2:F$100000, "Iya",
  raw_stack!G$2:G$100000, "&gt;="&amp;DATE(2025,9,1),
  raw_stack!G$2:G$100000, "&lt;="&amp;EOMONTH(DATE(2025,9,1),0)
 ),
 IF(OR(_xlpm.x=0, _xlpm.x=""), "-", _xlpm.x)
)</f>
        <v>-</v>
      </c>
      <c r="U247" s="54">
        <f>_xlfn.LET(
 _xlpm.x,
 _xlfn.MAXIFS(
  raw_stack!G$2:G$99411,
  raw_stack!D$2:D$99411, G247,
  raw_stack!F$2:F$99411, "Iya",
  raw_stack!G$2:G$99411, "&gt;="&amp;DATE(2025,10,1),
  raw_stack!G$2:G$99411, "&lt;="&amp;EOMONTH(DATE(2025,10,1),0)
 ),
 IF(_xlpm.x=0, "-", _xlpm.x)
)</f>
        <v>45937</v>
      </c>
      <c r="V247" s="65">
        <f>_xlfn.LET(
 _xlpm.x,
 _xlfn.MAXIFS(
  raw_stack!H$2:H$100000,
  raw_stack!D$2:D$100000, G247,
  raw_stack!F$2:F$100000, "Iya",
  raw_stack!G$2:G$100000, "&gt;="&amp;DATE(2025,10,1),
  raw_stack!G$2:G$100000, "&lt;="&amp;EOMONTH(DATE(2025,10,1),0)
 ),
 IF(OR(_xlpm.x=0, _xlpm.x=""), "-", _xlpm.x)
)</f>
        <v>3767</v>
      </c>
      <c r="W247" s="55" t="str">
        <f>_xlfn.LET(
 _xlpm.x,
 _xlfn.MAXIFS(
  raw_stack!G$2:G$99411,
  raw_stack!D$2:D$99411, G247,
  raw_stack!F$2:F$99411, "Iya",
  raw_stack!G$2:G$99411, "&gt;="&amp;DATE(2025,11,1),
  raw_stack!G$2:G$99411, "&lt;="&amp;EOMONTH(DATE(2025,11,1),0)
 ),
 IF(_xlpm.x=0, "-", _xlpm.x)
)</f>
        <v>-</v>
      </c>
      <c r="X247" s="56" t="str">
        <f>_xlfn.LET(
 _xlpm.x,
 _xlfn.MAXIFS(
  raw_stack!H$2:H$100000,
  raw_stack!D$2:D$100000, G247,
  raw_stack!F$2:F$100000, "Iya",
  raw_stack!G$2:G$100000, "&gt;="&amp;DATE(2025,11,1),
  raw_stack!G$2:G$100000, "&lt;="&amp;EOMONTH(DATE(2025,11,1),0)
 ),
 IF(OR(_xlpm.x=0, _xlpm.x=""), "-", _xlpm.x)
)</f>
        <v>-</v>
      </c>
      <c r="Y247" s="55" t="str">
        <f>_xlfn.LET(
 _xlpm.x,
 _xlfn.MAXIFS(
  raw_stack!G$2:G$99411,
  raw_stack!D$2:D$99411, G247,
  raw_stack!F$2:F$99411, "Iya",
  raw_stack!G$2:G$99411, "&gt;="&amp;DATE(2025,12,1),
  raw_stack!G$2:G$99411, "&lt;="&amp;EOMONTH(DATE(2025,12,1),0)
 ),
 IF(_xlpm.x=0, "-", _xlpm.x)
)</f>
        <v>-</v>
      </c>
      <c r="Z247" s="56" t="str">
        <f>_xlfn.LET(
 _xlpm.x,
 _xlfn.MAXIFS(
  raw_stack!H$2:H$100000,
  raw_stack!D$2:D$100000, G247,
  raw_stack!F$2:F$100000, "Iya",
  raw_stack!G$2:G$100000, "&gt;="&amp;DATE(2025,12,1),
  raw_stack!G$2:G$100000, "&lt;="&amp;EOMONTH(DATE(2025,12,1),0)
 ),
 IF(OR(_xlpm.x=0, _xlpm.x=""), "-", _xlpm.x)
)</f>
        <v>-</v>
      </c>
      <c r="AA247" s="55" t="str">
        <f>_xlfn.LET(
 _xlpm.x,
 _xlfn.MAXIFS(
  raw_stack!G$2:G$99411,
  raw_stack!D$2:D$99411, G247,
  raw_stack!F$2:F$99411, "Iya",
  raw_stack!G$2:G$99411, "&gt;="&amp;DATE(2026,1,1),
  raw_stack!G$2:G$99411, "&lt;="&amp;EOMONTH(DATE(2026,1,1),0)
 ),
 IF(_xlpm.x=0, "-", _xlpm.x)
)</f>
        <v>-</v>
      </c>
      <c r="AB247" s="56" t="str">
        <f>_xlfn.LET(
 _xlpm.x,
 _xlfn.MAXIFS(
  raw_stack!H$2:H$100000,
  raw_stack!D$2:D$100000, G247,
  raw_stack!F$2:F$100000, "Iya",
  raw_stack!G$2:G$100000, "&gt;="&amp;DATE(2026,1,1),
  raw_stack!G$2:G$100000, "&lt;="&amp;EOMONTH(DATE(2026,1,1),0)
 ),
 IF(OR(_xlpm.x=0, _xlpm.x=""), "-", _xlpm.x)
)</f>
        <v>-</v>
      </c>
      <c r="AC247" s="55" t="str">
        <f>_xlfn.LET(
 _xlpm.x,
 _xlfn.MAXIFS(
  raw_stack!G$2:G$99411,
  raw_stack!D$2:D$99411, G247,
  raw_stack!F$2:F$99411, "Iya",
  raw_stack!G$2:G$99411, "&gt;="&amp;DATE(2026,2,1),
  raw_stack!G$2:G$99411, "&lt;="&amp;EOMONTH(DATE(2026,2,1),0)
 ),
 IF(_xlpm.x=0, "-", _xlpm.x)
)</f>
        <v>-</v>
      </c>
      <c r="AD247" s="56" t="str">
        <f>_xlfn.LET(
 _xlpm.x,
 _xlfn.MAXIFS(
  raw_stack!H$2:H$100000,
  raw_stack!D$2:D$100000, G247,
  raw_stack!F$2:F$100000, "Iya",
  raw_stack!G$2:G$100000, "&gt;="&amp;DATE(2026,2,1),
  raw_stack!G$2:G$100000, "&lt;="&amp;EOMONTH(DATE(2026,2,1),0)
 ),
 IF(OR(_xlpm.x=0, _xlpm.x=""), "-", _xlpm.x)
)</f>
        <v>-</v>
      </c>
      <c r="AE247" s="55" t="str">
        <f>_xlfn.LET(
 _xlpm.x,
 _xlfn.MAXIFS(
  raw_stack!G$2:G$100000,
  raw_stack!D$2:D$100000, G247,
  raw_stack!F$2:F$100000, "Iya",
  raw_stack!G$2:G$100000, "&gt;="&amp;DATE(2026,3,1),
  raw_stack!G$2:G$100000, "&lt;="&amp;EOMONTH(DATE(2026,3,1),0)
 ),
 IF(_xlpm.x=0, "-", _xlpm.x)
)</f>
        <v>-</v>
      </c>
      <c r="AF247" s="56" t="str">
        <f>_xlfn.LET(
 _xlpm.x,
 _xlfn.MAXIFS(
  raw_stack!H$2:H$100000,
  raw_stack!D$2:D$100000, G247,
  raw_stack!F$2:F$100000, "Iya",
  raw_stack!G$2:G$100000, "&gt;="&amp;DATE(2026,3,1),
  raw_stack!G$2:G$100000, "&lt;="&amp;EOMONTH(DATE(2026,3,1),0)
 ),
 IF(OR(_xlpm.x=0, _xlpm.x=""), "-", _xlpm.x)
)</f>
        <v>-</v>
      </c>
      <c r="AG247" s="55" t="str">
        <f>_xlfn.LET(
 _xlpm.x,
 _xlfn.MAXIFS(
  raw_stack!G$2:G$100000,
  raw_stack!D$2:D$100000, G247,
  raw_stack!F$2:F$100000, "Iya",
  raw_stack!G$2:G$100000, "&gt;="&amp;DATE(2026,4,1),
  raw_stack!G$2:G$100000, "&lt;="&amp;EOMONTH(DATE(2026,4,1),0)
 ),
 IF(_xlpm.x=0, "-", _xlpm.x)
)</f>
        <v>-</v>
      </c>
      <c r="AH247" s="56" t="str">
        <f>_xlfn.LET(
 _xlpm.x,
 _xlfn.MAXIFS(
  raw_stack!H$2:H$100000,
  raw_stack!D$2:D$100000, G247,
  raw_stack!F$2:F$100000, "Iya",
  raw_stack!G$2:G$100000, "&gt;="&amp;DATE(2026,4,1),
  raw_stack!G$2:G$100000, "&lt;="&amp;EOMONTH(DATE(2026,4,1),0)
 ),
 IF(OR(_xlpm.x=0, _xlpm.x=""), "-", _xlpm.x)
)</f>
        <v>-</v>
      </c>
    </row>
    <row r="248" spans="1:34">
      <c r="A248" s="48">
        <v>247</v>
      </c>
      <c r="B248" s="49" t="str">
        <f t="shared" si="4"/>
        <v>98751</v>
      </c>
      <c r="C248" s="50" t="s">
        <v>46</v>
      </c>
      <c r="D248" s="51" t="s">
        <v>606</v>
      </c>
      <c r="E248" s="51" t="s">
        <v>53</v>
      </c>
      <c r="F248" s="49" t="s">
        <v>117</v>
      </c>
      <c r="G248" s="49" t="s">
        <v>364</v>
      </c>
      <c r="H248" s="49" t="s">
        <v>48</v>
      </c>
      <c r="I248" s="49" t="s">
        <v>52</v>
      </c>
      <c r="J248" s="52">
        <v>6550000</v>
      </c>
      <c r="K248" s="53">
        <v>45780</v>
      </c>
      <c r="L248" s="53">
        <v>46875</v>
      </c>
      <c r="M248" s="53">
        <v>46024</v>
      </c>
      <c r="N248" s="49" t="s">
        <v>50</v>
      </c>
      <c r="O248" s="54" t="str">
        <f>_xlfn.LET(
 _xlpm.x,
 _xlfn.MAXIFS(
  raw_stack!G$2:G$100000,
  raw_stack!D$2:D$100000, G248,
  raw_stack!F$2:F$100000, "Iya",
  raw_stack!G$2:G$100000, "&gt;="&amp;DATE(2025,7,1),
  raw_stack!G$2:G$100000, "&lt;="&amp;EOMONTH(DATE(2025,7,1),0)
 ),
 IF(_xlpm.x=0, "-", _xlpm.x)
)</f>
        <v>-</v>
      </c>
      <c r="P248" s="65" t="str">
        <f>_xlfn.LET(
 _xlpm.x,
 _xlfn.MAXIFS(
  raw_stack!H$2:H$100000,
  raw_stack!D$2:D$100000, G248,
  raw_stack!F$2:F$100000, "Iya",
  raw_stack!G$2:G$100000, "&gt;="&amp;DATE(2025,7,1),
  raw_stack!G$2:G$100000, "&lt;="&amp;EOMONTH(DATE(2025,7,1),0)
 ),
 IF(OR(_xlpm.x=0, _xlpm.x=""), "-", _xlpm.x)
)</f>
        <v>-</v>
      </c>
      <c r="Q248" s="54">
        <f>_xlfn.LET(
 _xlpm.x,
 _xlfn.MAXIFS(
  raw_stack!G$2:G$99411,
  raw_stack!D$2:D$99411, G248,
  raw_stack!F$2:F$99411, "Iya",
  raw_stack!G$2:G$99411, "&gt;="&amp;DATE(2025,8,1),
  raw_stack!G$2:G$99411, "&lt;="&amp;EOMONTH(DATE(2025,8,1),0)
 ),
 IF(_xlpm.x=0, "-", _xlpm.x)
)</f>
        <v>45900</v>
      </c>
      <c r="R248" s="65">
        <f>_xlfn.LET(
 _xlpm.x,
 _xlfn.MAXIFS(
  raw_stack!H$2:H$100000,
  raw_stack!D$2:D$100000, G248,
  raw_stack!F$2:F$100000, "Iya",
  raw_stack!G$2:G$100000, "&gt;="&amp;DATE(2025,8,1),
  raw_stack!G$2:G$100000, "&lt;="&amp;EOMONTH(DATE(2025,8,1),0)
 ),
 IF(OR(_xlpm.x=0, _xlpm.x=""), "-", _xlpm.x)
)</f>
        <v>7374</v>
      </c>
      <c r="S248" s="54">
        <f>_xlfn.LET(
 _xlpm.x,
 _xlfn.MAXIFS(
  raw_stack!G$2:G$99411,
  raw_stack!D$2:D$99411, G248,
  raw_stack!F$2:F$99411, "Iya",
  raw_stack!G$2:G$99411, "&gt;="&amp;DATE(2025,9,1),
  raw_stack!G$2:G$99411, "&lt;="&amp;EOMONTH(DATE(2025,9,1),0)
 ),
 IF(_xlpm.x=0, "-", _xlpm.x)
)</f>
        <v>45930</v>
      </c>
      <c r="T248" s="65">
        <f>_xlfn.LET(
 _xlpm.x,
 _xlfn.MAXIFS(
  raw_stack!H$2:H$100000,
  raw_stack!D$2:D$100000, G248,
  raw_stack!F$2:F$100000, "Iya",
  raw_stack!G$2:G$100000, "&gt;="&amp;DATE(2025,9,1),
  raw_stack!G$2:G$100000, "&lt;="&amp;EOMONTH(DATE(2025,9,1),0)
 ),
 IF(OR(_xlpm.x=0, _xlpm.x=""), "-", _xlpm.x)
)</f>
        <v>28095</v>
      </c>
      <c r="U248" s="54" t="str">
        <f>_xlfn.LET(
 _xlpm.x,
 _xlfn.MAXIFS(
  raw_stack!G$2:G$99411,
  raw_stack!D$2:D$99411, G248,
  raw_stack!F$2:F$99411, "Iya",
  raw_stack!G$2:G$99411, "&gt;="&amp;DATE(2025,10,1),
  raw_stack!G$2:G$99411, "&lt;="&amp;EOMONTH(DATE(2025,10,1),0)
 ),
 IF(_xlpm.x=0, "-", _xlpm.x)
)</f>
        <v>-</v>
      </c>
      <c r="V248" s="65" t="str">
        <f>_xlfn.LET(
 _xlpm.x,
 _xlfn.MAXIFS(
  raw_stack!H$2:H$100000,
  raw_stack!D$2:D$100000, G248,
  raw_stack!F$2:F$100000, "Iya",
  raw_stack!G$2:G$100000, "&gt;="&amp;DATE(2025,10,1),
  raw_stack!G$2:G$100000, "&lt;="&amp;EOMONTH(DATE(2025,10,1),0)
 ),
 IF(OR(_xlpm.x=0, _xlpm.x=""), "-", _xlpm.x)
)</f>
        <v>-</v>
      </c>
      <c r="W248" s="55" t="str">
        <f>_xlfn.LET(
 _xlpm.x,
 _xlfn.MAXIFS(
  raw_stack!G$2:G$99411,
  raw_stack!D$2:D$99411, G248,
  raw_stack!F$2:F$99411, "Iya",
  raw_stack!G$2:G$99411, "&gt;="&amp;DATE(2025,11,1),
  raw_stack!G$2:G$99411, "&lt;="&amp;EOMONTH(DATE(2025,11,1),0)
 ),
 IF(_xlpm.x=0, "-", _xlpm.x)
)</f>
        <v>-</v>
      </c>
      <c r="X248" s="56" t="str">
        <f>_xlfn.LET(
 _xlpm.x,
 _xlfn.MAXIFS(
  raw_stack!H$2:H$100000,
  raw_stack!D$2:D$100000, G248,
  raw_stack!F$2:F$100000, "Iya",
  raw_stack!G$2:G$100000, "&gt;="&amp;DATE(2025,11,1),
  raw_stack!G$2:G$100000, "&lt;="&amp;EOMONTH(DATE(2025,11,1),0)
 ),
 IF(OR(_xlpm.x=0, _xlpm.x=""), "-", _xlpm.x)
)</f>
        <v>-</v>
      </c>
      <c r="Y248" s="55" t="str">
        <f>_xlfn.LET(
 _xlpm.x,
 _xlfn.MAXIFS(
  raw_stack!G$2:G$99411,
  raw_stack!D$2:D$99411, G248,
  raw_stack!F$2:F$99411, "Iya",
  raw_stack!G$2:G$99411, "&gt;="&amp;DATE(2025,12,1),
  raw_stack!G$2:G$99411, "&lt;="&amp;EOMONTH(DATE(2025,12,1),0)
 ),
 IF(_xlpm.x=0, "-", _xlpm.x)
)</f>
        <v>-</v>
      </c>
      <c r="Z248" s="56" t="str">
        <f>_xlfn.LET(
 _xlpm.x,
 _xlfn.MAXIFS(
  raw_stack!H$2:H$100000,
  raw_stack!D$2:D$100000, G248,
  raw_stack!F$2:F$100000, "Iya",
  raw_stack!G$2:G$100000, "&gt;="&amp;DATE(2025,12,1),
  raw_stack!G$2:G$100000, "&lt;="&amp;EOMONTH(DATE(2025,12,1),0)
 ),
 IF(OR(_xlpm.x=0, _xlpm.x=""), "-", _xlpm.x)
)</f>
        <v>-</v>
      </c>
      <c r="AA248" s="55" t="str">
        <f>_xlfn.LET(
 _xlpm.x,
 _xlfn.MAXIFS(
  raw_stack!G$2:G$99411,
  raw_stack!D$2:D$99411, G248,
  raw_stack!F$2:F$99411, "Iya",
  raw_stack!G$2:G$99411, "&gt;="&amp;DATE(2026,1,1),
  raw_stack!G$2:G$99411, "&lt;="&amp;EOMONTH(DATE(2026,1,1),0)
 ),
 IF(_xlpm.x=0, "-", _xlpm.x)
)</f>
        <v>-</v>
      </c>
      <c r="AB248" s="56" t="str">
        <f>_xlfn.LET(
 _xlpm.x,
 _xlfn.MAXIFS(
  raw_stack!H$2:H$100000,
  raw_stack!D$2:D$100000, G248,
  raw_stack!F$2:F$100000, "Iya",
  raw_stack!G$2:G$100000, "&gt;="&amp;DATE(2026,1,1),
  raw_stack!G$2:G$100000, "&lt;="&amp;EOMONTH(DATE(2026,1,1),0)
 ),
 IF(OR(_xlpm.x=0, _xlpm.x=""), "-", _xlpm.x)
)</f>
        <v>-</v>
      </c>
      <c r="AC248" s="55" t="str">
        <f>_xlfn.LET(
 _xlpm.x,
 _xlfn.MAXIFS(
  raw_stack!G$2:G$99411,
  raw_stack!D$2:D$99411, G248,
  raw_stack!F$2:F$99411, "Iya",
  raw_stack!G$2:G$99411, "&gt;="&amp;DATE(2026,2,1),
  raw_stack!G$2:G$99411, "&lt;="&amp;EOMONTH(DATE(2026,2,1),0)
 ),
 IF(_xlpm.x=0, "-", _xlpm.x)
)</f>
        <v>-</v>
      </c>
      <c r="AD248" s="56" t="str">
        <f>_xlfn.LET(
 _xlpm.x,
 _xlfn.MAXIFS(
  raw_stack!H$2:H$100000,
  raw_stack!D$2:D$100000, G248,
  raw_stack!F$2:F$100000, "Iya",
  raw_stack!G$2:G$100000, "&gt;="&amp;DATE(2026,2,1),
  raw_stack!G$2:G$100000, "&lt;="&amp;EOMONTH(DATE(2026,2,1),0)
 ),
 IF(OR(_xlpm.x=0, _xlpm.x=""), "-", _xlpm.x)
)</f>
        <v>-</v>
      </c>
      <c r="AE248" s="55" t="str">
        <f>_xlfn.LET(
 _xlpm.x,
 _xlfn.MAXIFS(
  raw_stack!G$2:G$100000,
  raw_stack!D$2:D$100000, G248,
  raw_stack!F$2:F$100000, "Iya",
  raw_stack!G$2:G$100000, "&gt;="&amp;DATE(2026,3,1),
  raw_stack!G$2:G$100000, "&lt;="&amp;EOMONTH(DATE(2026,3,1),0)
 ),
 IF(_xlpm.x=0, "-", _xlpm.x)
)</f>
        <v>-</v>
      </c>
      <c r="AF248" s="56" t="str">
        <f>_xlfn.LET(
 _xlpm.x,
 _xlfn.MAXIFS(
  raw_stack!H$2:H$100000,
  raw_stack!D$2:D$100000, G248,
  raw_stack!F$2:F$100000, "Iya",
  raw_stack!G$2:G$100000, "&gt;="&amp;DATE(2026,3,1),
  raw_stack!G$2:G$100000, "&lt;="&amp;EOMONTH(DATE(2026,3,1),0)
 ),
 IF(OR(_xlpm.x=0, _xlpm.x=""), "-", _xlpm.x)
)</f>
        <v>-</v>
      </c>
      <c r="AG248" s="55">
        <f>_xlfn.LET(
 _xlpm.x,
 _xlfn.MAXIFS(
  raw_stack!G$2:G$100000,
  raw_stack!D$2:D$100000, G248,
  raw_stack!F$2:F$100000, "Iya",
  raw_stack!G$2:G$100000, "&gt;="&amp;DATE(2026,4,1),
  raw_stack!G$2:G$100000, "&lt;="&amp;EOMONTH(DATE(2026,4,1),0)
 ),
 IF(_xlpm.x=0, "-", _xlpm.x)
)</f>
        <v>46127</v>
      </c>
      <c r="AH248" s="56">
        <f>_xlfn.LET(
 _xlpm.x,
 _xlfn.MAXIFS(
  raw_stack!H$2:H$100000,
  raw_stack!D$2:D$100000, G248,
  raw_stack!F$2:F$100000, "Iya",
  raw_stack!G$2:G$100000, "&gt;="&amp;DATE(2026,4,1),
  raw_stack!G$2:G$100000, "&lt;="&amp;EOMONTH(DATE(2026,4,1),0)
 ),
 IF(OR(_xlpm.x=0, _xlpm.x=""), "-", _xlpm.x)
)</f>
        <v>27505</v>
      </c>
    </row>
    <row r="249" spans="1:34">
      <c r="A249" s="48">
        <v>248</v>
      </c>
      <c r="B249" s="49" t="str">
        <f t="shared" si="4"/>
        <v>85067</v>
      </c>
      <c r="C249" s="50" t="s">
        <v>46</v>
      </c>
      <c r="D249" s="51" t="s">
        <v>663</v>
      </c>
      <c r="E249" s="51" t="s">
        <v>54</v>
      </c>
      <c r="F249" s="49" t="s">
        <v>117</v>
      </c>
      <c r="G249" s="49" t="s">
        <v>365</v>
      </c>
      <c r="H249" s="49" t="s">
        <v>48</v>
      </c>
      <c r="I249" s="49" t="s">
        <v>52</v>
      </c>
      <c r="J249" s="52">
        <v>6600000</v>
      </c>
      <c r="K249" s="53">
        <v>45782</v>
      </c>
      <c r="L249" s="53">
        <v>46877</v>
      </c>
      <c r="M249" s="53">
        <v>46057</v>
      </c>
      <c r="N249" s="49" t="s">
        <v>50</v>
      </c>
      <c r="O249" s="54" t="str">
        <f>_xlfn.LET(
 _xlpm.x,
 _xlfn.MAXIFS(
  raw_stack!G$2:G$100000,
  raw_stack!D$2:D$100000, G249,
  raw_stack!F$2:F$100000, "Iya",
  raw_stack!G$2:G$100000, "&gt;="&amp;DATE(2025,7,1),
  raw_stack!G$2:G$100000, "&lt;="&amp;EOMONTH(DATE(2025,7,1),0)
 ),
 IF(_xlpm.x=0, "-", _xlpm.x)
)</f>
        <v>-</v>
      </c>
      <c r="P249" s="65" t="str">
        <f>_xlfn.LET(
 _xlpm.x,
 _xlfn.MAXIFS(
  raw_stack!H$2:H$100000,
  raw_stack!D$2:D$100000, G249,
  raw_stack!F$2:F$100000, "Iya",
  raw_stack!G$2:G$100000, "&gt;="&amp;DATE(2025,7,1),
  raw_stack!G$2:G$100000, "&lt;="&amp;EOMONTH(DATE(2025,7,1),0)
 ),
 IF(OR(_xlpm.x=0, _xlpm.x=""), "-", _xlpm.x)
)</f>
        <v>-</v>
      </c>
      <c r="Q249" s="54" t="str">
        <f>_xlfn.LET(
 _xlpm.x,
 _xlfn.MAXIFS(
  raw_stack!G$2:G$99411,
  raw_stack!D$2:D$99411, G249,
  raw_stack!F$2:F$99411, "Iya",
  raw_stack!G$2:G$99411, "&gt;="&amp;DATE(2025,8,1),
  raw_stack!G$2:G$99411, "&lt;="&amp;EOMONTH(DATE(2025,8,1),0)
 ),
 IF(_xlpm.x=0, "-", _xlpm.x)
)</f>
        <v>-</v>
      </c>
      <c r="R249" s="65" t="str">
        <f>_xlfn.LET(
 _xlpm.x,
 _xlfn.MAXIFS(
  raw_stack!H$2:H$100000,
  raw_stack!D$2:D$100000, G249,
  raw_stack!F$2:F$100000, "Iya",
  raw_stack!G$2:G$100000, "&gt;="&amp;DATE(2025,8,1),
  raw_stack!G$2:G$100000, "&lt;="&amp;EOMONTH(DATE(2025,8,1),0)
 ),
 IF(OR(_xlpm.x=0, _xlpm.x=""), "-", _xlpm.x)
)</f>
        <v>-</v>
      </c>
      <c r="S249" s="54" t="str">
        <f>_xlfn.LET(
 _xlpm.x,
 _xlfn.MAXIFS(
  raw_stack!G$2:G$99411,
  raw_stack!D$2:D$99411, G249,
  raw_stack!F$2:F$99411, "Iya",
  raw_stack!G$2:G$99411, "&gt;="&amp;DATE(2025,9,1),
  raw_stack!G$2:G$99411, "&lt;="&amp;EOMONTH(DATE(2025,9,1),0)
 ),
 IF(_xlpm.x=0, "-", _xlpm.x)
)</f>
        <v>-</v>
      </c>
      <c r="T249" s="65" t="str">
        <f>_xlfn.LET(
 _xlpm.x,
 _xlfn.MAXIFS(
  raw_stack!H$2:H$100000,
  raw_stack!D$2:D$100000, G249,
  raw_stack!F$2:F$100000, "Iya",
  raw_stack!G$2:G$100000, "&gt;="&amp;DATE(2025,9,1),
  raw_stack!G$2:G$100000, "&lt;="&amp;EOMONTH(DATE(2025,9,1),0)
 ),
 IF(OR(_xlpm.x=0, _xlpm.x=""), "-", _xlpm.x)
)</f>
        <v>-</v>
      </c>
      <c r="U249" s="54">
        <f>_xlfn.LET(
 _xlpm.x,
 _xlfn.MAXIFS(
  raw_stack!G$2:G$99411,
  raw_stack!D$2:D$99411, G249,
  raw_stack!F$2:F$99411, "Iya",
  raw_stack!G$2:G$99411, "&gt;="&amp;DATE(2025,10,1),
  raw_stack!G$2:G$99411, "&lt;="&amp;EOMONTH(DATE(2025,10,1),0)
 ),
 IF(_xlpm.x=0, "-", _xlpm.x)
)</f>
        <v>45941</v>
      </c>
      <c r="V249" s="65">
        <f>_xlfn.LET(
 _xlpm.x,
 _xlfn.MAXIFS(
  raw_stack!H$2:H$100000,
  raw_stack!D$2:D$100000, G249,
  raw_stack!F$2:F$100000, "Iya",
  raw_stack!G$2:G$100000, "&gt;="&amp;DATE(2025,10,1),
  raw_stack!G$2:G$100000, "&lt;="&amp;EOMONTH(DATE(2025,10,1),0)
 ),
 IF(OR(_xlpm.x=0, _xlpm.x=""), "-", _xlpm.x)
)</f>
        <v>15066</v>
      </c>
      <c r="W249" s="55" t="str">
        <f>_xlfn.LET(
 _xlpm.x,
 _xlfn.MAXIFS(
  raw_stack!G$2:G$99411,
  raw_stack!D$2:D$99411, G249,
  raw_stack!F$2:F$99411, "Iya",
  raw_stack!G$2:G$99411, "&gt;="&amp;DATE(2025,11,1),
  raw_stack!G$2:G$99411, "&lt;="&amp;EOMONTH(DATE(2025,11,1),0)
 ),
 IF(_xlpm.x=0, "-", _xlpm.x)
)</f>
        <v>-</v>
      </c>
      <c r="X249" s="56" t="str">
        <f>_xlfn.LET(
 _xlpm.x,
 _xlfn.MAXIFS(
  raw_stack!H$2:H$100000,
  raw_stack!D$2:D$100000, G249,
  raw_stack!F$2:F$100000, "Iya",
  raw_stack!G$2:G$100000, "&gt;="&amp;DATE(2025,11,1),
  raw_stack!G$2:G$100000, "&lt;="&amp;EOMONTH(DATE(2025,11,1),0)
 ),
 IF(OR(_xlpm.x=0, _xlpm.x=""), "-", _xlpm.x)
)</f>
        <v>-</v>
      </c>
      <c r="Y249" s="55" t="str">
        <f>_xlfn.LET(
 _xlpm.x,
 _xlfn.MAXIFS(
  raw_stack!G$2:G$99411,
  raw_stack!D$2:D$99411, G249,
  raw_stack!F$2:F$99411, "Iya",
  raw_stack!G$2:G$99411, "&gt;="&amp;DATE(2025,12,1),
  raw_stack!G$2:G$99411, "&lt;="&amp;EOMONTH(DATE(2025,12,1),0)
 ),
 IF(_xlpm.x=0, "-", _xlpm.x)
)</f>
        <v>-</v>
      </c>
      <c r="Z249" s="56" t="str">
        <f>_xlfn.LET(
 _xlpm.x,
 _xlfn.MAXIFS(
  raw_stack!H$2:H$100000,
  raw_stack!D$2:D$100000, G249,
  raw_stack!F$2:F$100000, "Iya",
  raw_stack!G$2:G$100000, "&gt;="&amp;DATE(2025,12,1),
  raw_stack!G$2:G$100000, "&lt;="&amp;EOMONTH(DATE(2025,12,1),0)
 ),
 IF(OR(_xlpm.x=0, _xlpm.x=""), "-", _xlpm.x)
)</f>
        <v>-</v>
      </c>
      <c r="AA249" s="55" t="str">
        <f>_xlfn.LET(
 _xlpm.x,
 _xlfn.MAXIFS(
  raw_stack!G$2:G$99411,
  raw_stack!D$2:D$99411, G249,
  raw_stack!F$2:F$99411, "Iya",
  raw_stack!G$2:G$99411, "&gt;="&amp;DATE(2026,1,1),
  raw_stack!G$2:G$99411, "&lt;="&amp;EOMONTH(DATE(2026,1,1),0)
 ),
 IF(_xlpm.x=0, "-", _xlpm.x)
)</f>
        <v>-</v>
      </c>
      <c r="AB249" s="56" t="str">
        <f>_xlfn.LET(
 _xlpm.x,
 _xlfn.MAXIFS(
  raw_stack!H$2:H$100000,
  raw_stack!D$2:D$100000, G249,
  raw_stack!F$2:F$100000, "Iya",
  raw_stack!G$2:G$100000, "&gt;="&amp;DATE(2026,1,1),
  raw_stack!G$2:G$100000, "&lt;="&amp;EOMONTH(DATE(2026,1,1),0)
 ),
 IF(OR(_xlpm.x=0, _xlpm.x=""), "-", _xlpm.x)
)</f>
        <v>-</v>
      </c>
      <c r="AC249" s="55" t="str">
        <f>_xlfn.LET(
 _xlpm.x,
 _xlfn.MAXIFS(
  raw_stack!G$2:G$99411,
  raw_stack!D$2:D$99411, G249,
  raw_stack!F$2:F$99411, "Iya",
  raw_stack!G$2:G$99411, "&gt;="&amp;DATE(2026,2,1),
  raw_stack!G$2:G$99411, "&lt;="&amp;EOMONTH(DATE(2026,2,1),0)
 ),
 IF(_xlpm.x=0, "-", _xlpm.x)
)</f>
        <v>-</v>
      </c>
      <c r="AD249" s="56" t="str">
        <f>_xlfn.LET(
 _xlpm.x,
 _xlfn.MAXIFS(
  raw_stack!H$2:H$100000,
  raw_stack!D$2:D$100000, G249,
  raw_stack!F$2:F$100000, "Iya",
  raw_stack!G$2:G$100000, "&gt;="&amp;DATE(2026,2,1),
  raw_stack!G$2:G$100000, "&lt;="&amp;EOMONTH(DATE(2026,2,1),0)
 ),
 IF(OR(_xlpm.x=0, _xlpm.x=""), "-", _xlpm.x)
)</f>
        <v>-</v>
      </c>
      <c r="AE249" s="55" t="str">
        <f>_xlfn.LET(
 _xlpm.x,
 _xlfn.MAXIFS(
  raw_stack!G$2:G$100000,
  raw_stack!D$2:D$100000, G249,
  raw_stack!F$2:F$100000, "Iya",
  raw_stack!G$2:G$100000, "&gt;="&amp;DATE(2026,3,1),
  raw_stack!G$2:G$100000, "&lt;="&amp;EOMONTH(DATE(2026,3,1),0)
 ),
 IF(_xlpm.x=0, "-", _xlpm.x)
)</f>
        <v>-</v>
      </c>
      <c r="AF249" s="56" t="str">
        <f>_xlfn.LET(
 _xlpm.x,
 _xlfn.MAXIFS(
  raw_stack!H$2:H$100000,
  raw_stack!D$2:D$100000, G249,
  raw_stack!F$2:F$100000, "Iya",
  raw_stack!G$2:G$100000, "&gt;="&amp;DATE(2026,3,1),
  raw_stack!G$2:G$100000, "&lt;="&amp;EOMONTH(DATE(2026,3,1),0)
 ),
 IF(OR(_xlpm.x=0, _xlpm.x=""), "-", _xlpm.x)
)</f>
        <v>-</v>
      </c>
      <c r="AG249" s="55" t="str">
        <f>_xlfn.LET(
 _xlpm.x,
 _xlfn.MAXIFS(
  raw_stack!G$2:G$100000,
  raw_stack!D$2:D$100000, G249,
  raw_stack!F$2:F$100000, "Iya",
  raw_stack!G$2:G$100000, "&gt;="&amp;DATE(2026,4,1),
  raw_stack!G$2:G$100000, "&lt;="&amp;EOMONTH(DATE(2026,4,1),0)
 ),
 IF(_xlpm.x=0, "-", _xlpm.x)
)</f>
        <v>-</v>
      </c>
      <c r="AH249" s="56" t="str">
        <f>_xlfn.LET(
 _xlpm.x,
 _xlfn.MAXIFS(
  raw_stack!H$2:H$100000,
  raw_stack!D$2:D$100000, G249,
  raw_stack!F$2:F$100000, "Iya",
  raw_stack!G$2:G$100000, "&gt;="&amp;DATE(2026,4,1),
  raw_stack!G$2:G$100000, "&lt;="&amp;EOMONTH(DATE(2026,4,1),0)
 ),
 IF(OR(_xlpm.x=0, _xlpm.x=""), "-", _xlpm.x)
)</f>
        <v>-</v>
      </c>
    </row>
    <row r="250" spans="1:34">
      <c r="A250" s="48">
        <v>249</v>
      </c>
      <c r="B250" s="49" t="str">
        <f t="shared" si="4"/>
        <v>48899</v>
      </c>
      <c r="C250" s="50" t="s">
        <v>46</v>
      </c>
      <c r="D250" s="51" t="s">
        <v>664</v>
      </c>
      <c r="E250" s="51" t="s">
        <v>51</v>
      </c>
      <c r="F250" s="49" t="s">
        <v>117</v>
      </c>
      <c r="G250" s="49" t="s">
        <v>366</v>
      </c>
      <c r="H250" s="49" t="s">
        <v>48</v>
      </c>
      <c r="I250" s="49" t="s">
        <v>52</v>
      </c>
      <c r="J250" s="52">
        <v>3880000</v>
      </c>
      <c r="K250" s="53">
        <v>45783</v>
      </c>
      <c r="L250" s="53">
        <v>46878</v>
      </c>
      <c r="M250" s="53">
        <v>46086</v>
      </c>
      <c r="N250" s="49" t="s">
        <v>50</v>
      </c>
      <c r="O250" s="54" t="str">
        <f>_xlfn.LET(
 _xlpm.x,
 _xlfn.MAXIFS(
  raw_stack!G$2:G$100000,
  raw_stack!D$2:D$100000, G250,
  raw_stack!F$2:F$100000, "Iya",
  raw_stack!G$2:G$100000, "&gt;="&amp;DATE(2025,7,1),
  raw_stack!G$2:G$100000, "&lt;="&amp;EOMONTH(DATE(2025,7,1),0)
 ),
 IF(_xlpm.x=0, "-", _xlpm.x)
)</f>
        <v>-</v>
      </c>
      <c r="P250" s="65" t="str">
        <f>_xlfn.LET(
 _xlpm.x,
 _xlfn.MAXIFS(
  raw_stack!H$2:H$100000,
  raw_stack!D$2:D$100000, G250,
  raw_stack!F$2:F$100000, "Iya",
  raw_stack!G$2:G$100000, "&gt;="&amp;DATE(2025,7,1),
  raw_stack!G$2:G$100000, "&lt;="&amp;EOMONTH(DATE(2025,7,1),0)
 ),
 IF(OR(_xlpm.x=0, _xlpm.x=""), "-", _xlpm.x)
)</f>
        <v>-</v>
      </c>
      <c r="Q250" s="54" t="str">
        <f>_xlfn.LET(
 _xlpm.x,
 _xlfn.MAXIFS(
  raw_stack!G$2:G$99411,
  raw_stack!D$2:D$99411, G250,
  raw_stack!F$2:F$99411, "Iya",
  raw_stack!G$2:G$99411, "&gt;="&amp;DATE(2025,8,1),
  raw_stack!G$2:G$99411, "&lt;="&amp;EOMONTH(DATE(2025,8,1),0)
 ),
 IF(_xlpm.x=0, "-", _xlpm.x)
)</f>
        <v>-</v>
      </c>
      <c r="R250" s="65" t="str">
        <f>_xlfn.LET(
 _xlpm.x,
 _xlfn.MAXIFS(
  raw_stack!H$2:H$100000,
  raw_stack!D$2:D$100000, G250,
  raw_stack!F$2:F$100000, "Iya",
  raw_stack!G$2:G$100000, "&gt;="&amp;DATE(2025,8,1),
  raw_stack!G$2:G$100000, "&lt;="&amp;EOMONTH(DATE(2025,8,1),0)
 ),
 IF(OR(_xlpm.x=0, _xlpm.x=""), "-", _xlpm.x)
)</f>
        <v>-</v>
      </c>
      <c r="S250" s="54">
        <f>_xlfn.LET(
 _xlpm.x,
 _xlfn.MAXIFS(
  raw_stack!G$2:G$99411,
  raw_stack!D$2:D$99411, G250,
  raw_stack!F$2:F$99411, "Iya",
  raw_stack!G$2:G$99411, "&gt;="&amp;DATE(2025,9,1),
  raw_stack!G$2:G$99411, "&lt;="&amp;EOMONTH(DATE(2025,9,1),0)
 ),
 IF(_xlpm.x=0, "-", _xlpm.x)
)</f>
        <v>45915</v>
      </c>
      <c r="T250" s="65">
        <f>_xlfn.LET(
 _xlpm.x,
 _xlfn.MAXIFS(
  raw_stack!H$2:H$100000,
  raw_stack!D$2:D$100000, G250,
  raw_stack!F$2:F$100000, "Iya",
  raw_stack!G$2:G$100000, "&gt;="&amp;DATE(2025,9,1),
  raw_stack!G$2:G$100000, "&lt;="&amp;EOMONTH(DATE(2025,9,1),0)
 ),
 IF(OR(_xlpm.x=0, _xlpm.x=""), "-", _xlpm.x)
)</f>
        <v>9305</v>
      </c>
      <c r="U250" s="54" t="str">
        <f>_xlfn.LET(
 _xlpm.x,
 _xlfn.MAXIFS(
  raw_stack!G$2:G$99411,
  raw_stack!D$2:D$99411, G250,
  raw_stack!F$2:F$99411, "Iya",
  raw_stack!G$2:G$99411, "&gt;="&amp;DATE(2025,10,1),
  raw_stack!G$2:G$99411, "&lt;="&amp;EOMONTH(DATE(2025,10,1),0)
 ),
 IF(_xlpm.x=0, "-", _xlpm.x)
)</f>
        <v>-</v>
      </c>
      <c r="V250" s="65" t="str">
        <f>_xlfn.LET(
 _xlpm.x,
 _xlfn.MAXIFS(
  raw_stack!H$2:H$100000,
  raw_stack!D$2:D$100000, G250,
  raw_stack!F$2:F$100000, "Iya",
  raw_stack!G$2:G$100000, "&gt;="&amp;DATE(2025,10,1),
  raw_stack!G$2:G$100000, "&lt;="&amp;EOMONTH(DATE(2025,10,1),0)
 ),
 IF(OR(_xlpm.x=0, _xlpm.x=""), "-", _xlpm.x)
)</f>
        <v>-</v>
      </c>
      <c r="W250" s="55" t="str">
        <f>_xlfn.LET(
 _xlpm.x,
 _xlfn.MAXIFS(
  raw_stack!G$2:G$99411,
  raw_stack!D$2:D$99411, G250,
  raw_stack!F$2:F$99411, "Iya",
  raw_stack!G$2:G$99411, "&gt;="&amp;DATE(2025,11,1),
  raw_stack!G$2:G$99411, "&lt;="&amp;EOMONTH(DATE(2025,11,1),0)
 ),
 IF(_xlpm.x=0, "-", _xlpm.x)
)</f>
        <v>-</v>
      </c>
      <c r="X250" s="56" t="str">
        <f>_xlfn.LET(
 _xlpm.x,
 _xlfn.MAXIFS(
  raw_stack!H$2:H$100000,
  raw_stack!D$2:D$100000, G250,
  raw_stack!F$2:F$100000, "Iya",
  raw_stack!G$2:G$100000, "&gt;="&amp;DATE(2025,11,1),
  raw_stack!G$2:G$100000, "&lt;="&amp;EOMONTH(DATE(2025,11,1),0)
 ),
 IF(OR(_xlpm.x=0, _xlpm.x=""), "-", _xlpm.x)
)</f>
        <v>-</v>
      </c>
      <c r="Y250" s="55" t="str">
        <f>_xlfn.LET(
 _xlpm.x,
 _xlfn.MAXIFS(
  raw_stack!G$2:G$99411,
  raw_stack!D$2:D$99411, G250,
  raw_stack!F$2:F$99411, "Iya",
  raw_stack!G$2:G$99411, "&gt;="&amp;DATE(2025,12,1),
  raw_stack!G$2:G$99411, "&lt;="&amp;EOMONTH(DATE(2025,12,1),0)
 ),
 IF(_xlpm.x=0, "-", _xlpm.x)
)</f>
        <v>-</v>
      </c>
      <c r="Z250" s="56" t="str">
        <f>_xlfn.LET(
 _xlpm.x,
 _xlfn.MAXIFS(
  raw_stack!H$2:H$100000,
  raw_stack!D$2:D$100000, G250,
  raw_stack!F$2:F$100000, "Iya",
  raw_stack!G$2:G$100000, "&gt;="&amp;DATE(2025,12,1),
  raw_stack!G$2:G$100000, "&lt;="&amp;EOMONTH(DATE(2025,12,1),0)
 ),
 IF(OR(_xlpm.x=0, _xlpm.x=""), "-", _xlpm.x)
)</f>
        <v>-</v>
      </c>
      <c r="AA250" s="55" t="str">
        <f>_xlfn.LET(
 _xlpm.x,
 _xlfn.MAXIFS(
  raw_stack!G$2:G$99411,
  raw_stack!D$2:D$99411, G250,
  raw_stack!F$2:F$99411, "Iya",
  raw_stack!G$2:G$99411, "&gt;="&amp;DATE(2026,1,1),
  raw_stack!G$2:G$99411, "&lt;="&amp;EOMONTH(DATE(2026,1,1),0)
 ),
 IF(_xlpm.x=0, "-", _xlpm.x)
)</f>
        <v>-</v>
      </c>
      <c r="AB250" s="56" t="str">
        <f>_xlfn.LET(
 _xlpm.x,
 _xlfn.MAXIFS(
  raw_stack!H$2:H$100000,
  raw_stack!D$2:D$100000, G250,
  raw_stack!F$2:F$100000, "Iya",
  raw_stack!G$2:G$100000, "&gt;="&amp;DATE(2026,1,1),
  raw_stack!G$2:G$100000, "&lt;="&amp;EOMONTH(DATE(2026,1,1),0)
 ),
 IF(OR(_xlpm.x=0, _xlpm.x=""), "-", _xlpm.x)
)</f>
        <v>-</v>
      </c>
      <c r="AC250" s="55" t="str">
        <f>_xlfn.LET(
 _xlpm.x,
 _xlfn.MAXIFS(
  raw_stack!G$2:G$99411,
  raw_stack!D$2:D$99411, G250,
  raw_stack!F$2:F$99411, "Iya",
  raw_stack!G$2:G$99411, "&gt;="&amp;DATE(2026,2,1),
  raw_stack!G$2:G$99411, "&lt;="&amp;EOMONTH(DATE(2026,2,1),0)
 ),
 IF(_xlpm.x=0, "-", _xlpm.x)
)</f>
        <v>-</v>
      </c>
      <c r="AD250" s="56" t="str">
        <f>_xlfn.LET(
 _xlpm.x,
 _xlfn.MAXIFS(
  raw_stack!H$2:H$100000,
  raw_stack!D$2:D$100000, G250,
  raw_stack!F$2:F$100000, "Iya",
  raw_stack!G$2:G$100000, "&gt;="&amp;DATE(2026,2,1),
  raw_stack!G$2:G$100000, "&lt;="&amp;EOMONTH(DATE(2026,2,1),0)
 ),
 IF(OR(_xlpm.x=0, _xlpm.x=""), "-", _xlpm.x)
)</f>
        <v>-</v>
      </c>
      <c r="AE250" s="55" t="str">
        <f>_xlfn.LET(
 _xlpm.x,
 _xlfn.MAXIFS(
  raw_stack!G$2:G$100000,
  raw_stack!D$2:D$100000, G250,
  raw_stack!F$2:F$100000, "Iya",
  raw_stack!G$2:G$100000, "&gt;="&amp;DATE(2026,3,1),
  raw_stack!G$2:G$100000, "&lt;="&amp;EOMONTH(DATE(2026,3,1),0)
 ),
 IF(_xlpm.x=0, "-", _xlpm.x)
)</f>
        <v>-</v>
      </c>
      <c r="AF250" s="56" t="str">
        <f>_xlfn.LET(
 _xlpm.x,
 _xlfn.MAXIFS(
  raw_stack!H$2:H$100000,
  raw_stack!D$2:D$100000, G250,
  raw_stack!F$2:F$100000, "Iya",
  raw_stack!G$2:G$100000, "&gt;="&amp;DATE(2026,3,1),
  raw_stack!G$2:G$100000, "&lt;="&amp;EOMONTH(DATE(2026,3,1),0)
 ),
 IF(OR(_xlpm.x=0, _xlpm.x=""), "-", _xlpm.x)
)</f>
        <v>-</v>
      </c>
      <c r="AG250" s="55" t="str">
        <f>_xlfn.LET(
 _xlpm.x,
 _xlfn.MAXIFS(
  raw_stack!G$2:G$100000,
  raw_stack!D$2:D$100000, G250,
  raw_stack!F$2:F$100000, "Iya",
  raw_stack!G$2:G$100000, "&gt;="&amp;DATE(2026,4,1),
  raw_stack!G$2:G$100000, "&lt;="&amp;EOMONTH(DATE(2026,4,1),0)
 ),
 IF(_xlpm.x=0, "-", _xlpm.x)
)</f>
        <v>-</v>
      </c>
      <c r="AH250" s="56" t="str">
        <f>_xlfn.LET(
 _xlpm.x,
 _xlfn.MAXIFS(
  raw_stack!H$2:H$100000,
  raw_stack!D$2:D$100000, G250,
  raw_stack!F$2:F$100000, "Iya",
  raw_stack!G$2:G$100000, "&gt;="&amp;DATE(2026,4,1),
  raw_stack!G$2:G$100000, "&lt;="&amp;EOMONTH(DATE(2026,4,1),0)
 ),
 IF(OR(_xlpm.x=0, _xlpm.x=""), "-", _xlpm.x)
)</f>
        <v>-</v>
      </c>
    </row>
    <row r="251" spans="1:34">
      <c r="A251" s="48">
        <v>250</v>
      </c>
      <c r="B251" s="49" t="str">
        <f t="shared" si="4"/>
        <v>92631</v>
      </c>
      <c r="C251" s="50" t="s">
        <v>46</v>
      </c>
      <c r="D251" s="51" t="s">
        <v>665</v>
      </c>
      <c r="E251" s="51" t="s">
        <v>51</v>
      </c>
      <c r="F251" s="49" t="s">
        <v>117</v>
      </c>
      <c r="G251" s="49" t="s">
        <v>367</v>
      </c>
      <c r="H251" s="49" t="s">
        <v>48</v>
      </c>
      <c r="I251" s="49" t="s">
        <v>52</v>
      </c>
      <c r="J251" s="52">
        <v>3880000</v>
      </c>
      <c r="K251" s="53">
        <v>45784</v>
      </c>
      <c r="L251" s="53">
        <v>46879</v>
      </c>
      <c r="M251" s="53">
        <v>46087</v>
      </c>
      <c r="N251" s="49" t="s">
        <v>50</v>
      </c>
      <c r="O251" s="54" t="str">
        <f>_xlfn.LET(
 _xlpm.x,
 _xlfn.MAXIFS(
  raw_stack!G$2:G$100000,
  raw_stack!D$2:D$100000, G251,
  raw_stack!F$2:F$100000, "Iya",
  raw_stack!G$2:G$100000, "&gt;="&amp;DATE(2025,7,1),
  raw_stack!G$2:G$100000, "&lt;="&amp;EOMONTH(DATE(2025,7,1),0)
 ),
 IF(_xlpm.x=0, "-", _xlpm.x)
)</f>
        <v>-</v>
      </c>
      <c r="P251" s="65" t="str">
        <f>_xlfn.LET(
 _xlpm.x,
 _xlfn.MAXIFS(
  raw_stack!H$2:H$100000,
  raw_stack!D$2:D$100000, G251,
  raw_stack!F$2:F$100000, "Iya",
  raw_stack!G$2:G$100000, "&gt;="&amp;DATE(2025,7,1),
  raw_stack!G$2:G$100000, "&lt;="&amp;EOMONTH(DATE(2025,7,1),0)
 ),
 IF(OR(_xlpm.x=0, _xlpm.x=""), "-", _xlpm.x)
)</f>
        <v>-</v>
      </c>
      <c r="Q251" s="54" t="str">
        <f>_xlfn.LET(
 _xlpm.x,
 _xlfn.MAXIFS(
  raw_stack!G$2:G$99411,
  raw_stack!D$2:D$99411, G251,
  raw_stack!F$2:F$99411, "Iya",
  raw_stack!G$2:G$99411, "&gt;="&amp;DATE(2025,8,1),
  raw_stack!G$2:G$99411, "&lt;="&amp;EOMONTH(DATE(2025,8,1),0)
 ),
 IF(_xlpm.x=0, "-", _xlpm.x)
)</f>
        <v>-</v>
      </c>
      <c r="R251" s="65" t="str">
        <f>_xlfn.LET(
 _xlpm.x,
 _xlfn.MAXIFS(
  raw_stack!H$2:H$100000,
  raw_stack!D$2:D$100000, G251,
  raw_stack!F$2:F$100000, "Iya",
  raw_stack!G$2:G$100000, "&gt;="&amp;DATE(2025,8,1),
  raw_stack!G$2:G$100000, "&lt;="&amp;EOMONTH(DATE(2025,8,1),0)
 ),
 IF(OR(_xlpm.x=0, _xlpm.x=""), "-", _xlpm.x)
)</f>
        <v>-</v>
      </c>
      <c r="S251" s="54" t="str">
        <f>_xlfn.LET(
 _xlpm.x,
 _xlfn.MAXIFS(
  raw_stack!G$2:G$99411,
  raw_stack!D$2:D$99411, G251,
  raw_stack!F$2:F$99411, "Iya",
  raw_stack!G$2:G$99411, "&gt;="&amp;DATE(2025,9,1),
  raw_stack!G$2:G$99411, "&lt;="&amp;EOMONTH(DATE(2025,9,1),0)
 ),
 IF(_xlpm.x=0, "-", _xlpm.x)
)</f>
        <v>-</v>
      </c>
      <c r="T251" s="65" t="str">
        <f>_xlfn.LET(
 _xlpm.x,
 _xlfn.MAXIFS(
  raw_stack!H$2:H$100000,
  raw_stack!D$2:D$100000, G251,
  raw_stack!F$2:F$100000, "Iya",
  raw_stack!G$2:G$100000, "&gt;="&amp;DATE(2025,9,1),
  raw_stack!G$2:G$100000, "&lt;="&amp;EOMONTH(DATE(2025,9,1),0)
 ),
 IF(OR(_xlpm.x=0, _xlpm.x=""), "-", _xlpm.x)
)</f>
        <v>-</v>
      </c>
      <c r="U251" s="54" t="str">
        <f>_xlfn.LET(
 _xlpm.x,
 _xlfn.MAXIFS(
  raw_stack!G$2:G$99411,
  raw_stack!D$2:D$99411, G251,
  raw_stack!F$2:F$99411, "Iya",
  raw_stack!G$2:G$99411, "&gt;="&amp;DATE(2025,10,1),
  raw_stack!G$2:G$99411, "&lt;="&amp;EOMONTH(DATE(2025,10,1),0)
 ),
 IF(_xlpm.x=0, "-", _xlpm.x)
)</f>
        <v>-</v>
      </c>
      <c r="V251" s="65" t="str">
        <f>_xlfn.LET(
 _xlpm.x,
 _xlfn.MAXIFS(
  raw_stack!H$2:H$100000,
  raw_stack!D$2:D$100000, G251,
  raw_stack!F$2:F$100000, "Iya",
  raw_stack!G$2:G$100000, "&gt;="&amp;DATE(2025,10,1),
  raw_stack!G$2:G$100000, "&lt;="&amp;EOMONTH(DATE(2025,10,1),0)
 ),
 IF(OR(_xlpm.x=0, _xlpm.x=""), "-", _xlpm.x)
)</f>
        <v>-</v>
      </c>
      <c r="W251" s="55">
        <f>_xlfn.LET(
 _xlpm.x,
 _xlfn.MAXIFS(
  raw_stack!G$2:G$99411,
  raw_stack!D$2:D$99411, G251,
  raw_stack!F$2:F$99411, "Iya",
  raw_stack!G$2:G$99411, "&gt;="&amp;DATE(2025,11,1),
  raw_stack!G$2:G$99411, "&lt;="&amp;EOMONTH(DATE(2025,11,1),0)
 ),
 IF(_xlpm.x=0, "-", _xlpm.x)
)</f>
        <v>45985</v>
      </c>
      <c r="X251" s="56">
        <f>_xlfn.LET(
 _xlpm.x,
 _xlfn.MAXIFS(
  raw_stack!H$2:H$100000,
  raw_stack!D$2:D$100000, G251,
  raw_stack!F$2:F$100000, "Iya",
  raw_stack!G$2:G$100000, "&gt;="&amp;DATE(2025,11,1),
  raw_stack!G$2:G$100000, "&lt;="&amp;EOMONTH(DATE(2025,11,1),0)
 ),
 IF(OR(_xlpm.x=0, _xlpm.x=""), "-", _xlpm.x)
)</f>
        <v>7057</v>
      </c>
      <c r="Y251" s="55" t="str">
        <f>_xlfn.LET(
 _xlpm.x,
 _xlfn.MAXIFS(
  raw_stack!G$2:G$99411,
  raw_stack!D$2:D$99411, G251,
  raw_stack!F$2:F$99411, "Iya",
  raw_stack!G$2:G$99411, "&gt;="&amp;DATE(2025,12,1),
  raw_stack!G$2:G$99411, "&lt;="&amp;EOMONTH(DATE(2025,12,1),0)
 ),
 IF(_xlpm.x=0, "-", _xlpm.x)
)</f>
        <v>-</v>
      </c>
      <c r="Z251" s="56" t="str">
        <f>_xlfn.LET(
 _xlpm.x,
 _xlfn.MAXIFS(
  raw_stack!H$2:H$100000,
  raw_stack!D$2:D$100000, G251,
  raw_stack!F$2:F$100000, "Iya",
  raw_stack!G$2:G$100000, "&gt;="&amp;DATE(2025,12,1),
  raw_stack!G$2:G$100000, "&lt;="&amp;EOMONTH(DATE(2025,12,1),0)
 ),
 IF(OR(_xlpm.x=0, _xlpm.x=""), "-", _xlpm.x)
)</f>
        <v>-</v>
      </c>
      <c r="AA251" s="55" t="str">
        <f>_xlfn.LET(
 _xlpm.x,
 _xlfn.MAXIFS(
  raw_stack!G$2:G$99411,
  raw_stack!D$2:D$99411, G251,
  raw_stack!F$2:F$99411, "Iya",
  raw_stack!G$2:G$99411, "&gt;="&amp;DATE(2026,1,1),
  raw_stack!G$2:G$99411, "&lt;="&amp;EOMONTH(DATE(2026,1,1),0)
 ),
 IF(_xlpm.x=0, "-", _xlpm.x)
)</f>
        <v>-</v>
      </c>
      <c r="AB251" s="56" t="str">
        <f>_xlfn.LET(
 _xlpm.x,
 _xlfn.MAXIFS(
  raw_stack!H$2:H$100000,
  raw_stack!D$2:D$100000, G251,
  raw_stack!F$2:F$100000, "Iya",
  raw_stack!G$2:G$100000, "&gt;="&amp;DATE(2026,1,1),
  raw_stack!G$2:G$100000, "&lt;="&amp;EOMONTH(DATE(2026,1,1),0)
 ),
 IF(OR(_xlpm.x=0, _xlpm.x=""), "-", _xlpm.x)
)</f>
        <v>-</v>
      </c>
      <c r="AC251" s="55" t="str">
        <f>_xlfn.LET(
 _xlpm.x,
 _xlfn.MAXIFS(
  raw_stack!G$2:G$99411,
  raw_stack!D$2:D$99411, G251,
  raw_stack!F$2:F$99411, "Iya",
  raw_stack!G$2:G$99411, "&gt;="&amp;DATE(2026,2,1),
  raw_stack!G$2:G$99411, "&lt;="&amp;EOMONTH(DATE(2026,2,1),0)
 ),
 IF(_xlpm.x=0, "-", _xlpm.x)
)</f>
        <v>-</v>
      </c>
      <c r="AD251" s="56" t="str">
        <f>_xlfn.LET(
 _xlpm.x,
 _xlfn.MAXIFS(
  raw_stack!H$2:H$100000,
  raw_stack!D$2:D$100000, G251,
  raw_stack!F$2:F$100000, "Iya",
  raw_stack!G$2:G$100000, "&gt;="&amp;DATE(2026,2,1),
  raw_stack!G$2:G$100000, "&lt;="&amp;EOMONTH(DATE(2026,2,1),0)
 ),
 IF(OR(_xlpm.x=0, _xlpm.x=""), "-", _xlpm.x)
)</f>
        <v>-</v>
      </c>
      <c r="AE251" s="55" t="str">
        <f>_xlfn.LET(
 _xlpm.x,
 _xlfn.MAXIFS(
  raw_stack!G$2:G$100000,
  raw_stack!D$2:D$100000, G251,
  raw_stack!F$2:F$100000, "Iya",
  raw_stack!G$2:G$100000, "&gt;="&amp;DATE(2026,3,1),
  raw_stack!G$2:G$100000, "&lt;="&amp;EOMONTH(DATE(2026,3,1),0)
 ),
 IF(_xlpm.x=0, "-", _xlpm.x)
)</f>
        <v>-</v>
      </c>
      <c r="AF251" s="56" t="str">
        <f>_xlfn.LET(
 _xlpm.x,
 _xlfn.MAXIFS(
  raw_stack!H$2:H$100000,
  raw_stack!D$2:D$100000, G251,
  raw_stack!F$2:F$100000, "Iya",
  raw_stack!G$2:G$100000, "&gt;="&amp;DATE(2026,3,1),
  raw_stack!G$2:G$100000, "&lt;="&amp;EOMONTH(DATE(2026,3,1),0)
 ),
 IF(OR(_xlpm.x=0, _xlpm.x=""), "-", _xlpm.x)
)</f>
        <v>-</v>
      </c>
      <c r="AG251" s="55" t="str">
        <f>_xlfn.LET(
 _xlpm.x,
 _xlfn.MAXIFS(
  raw_stack!G$2:G$100000,
  raw_stack!D$2:D$100000, G251,
  raw_stack!F$2:F$100000, "Iya",
  raw_stack!G$2:G$100000, "&gt;="&amp;DATE(2026,4,1),
  raw_stack!G$2:G$100000, "&lt;="&amp;EOMONTH(DATE(2026,4,1),0)
 ),
 IF(_xlpm.x=0, "-", _xlpm.x)
)</f>
        <v>-</v>
      </c>
      <c r="AH251" s="56" t="str">
        <f>_xlfn.LET(
 _xlpm.x,
 _xlfn.MAXIFS(
  raw_stack!H$2:H$100000,
  raw_stack!D$2:D$100000, G251,
  raw_stack!F$2:F$100000, "Iya",
  raw_stack!G$2:G$100000, "&gt;="&amp;DATE(2026,4,1),
  raw_stack!G$2:G$100000, "&lt;="&amp;EOMONTH(DATE(2026,4,1),0)
 ),
 IF(OR(_xlpm.x=0, _xlpm.x=""), "-", _xlpm.x)
)</f>
        <v>-</v>
      </c>
    </row>
    <row r="252" spans="1:34">
      <c r="A252" s="48">
        <v>251</v>
      </c>
      <c r="B252" s="49" t="str">
        <f t="shared" si="4"/>
        <v>50468</v>
      </c>
      <c r="C252" s="50" t="s">
        <v>46</v>
      </c>
      <c r="D252" s="51" t="s">
        <v>586</v>
      </c>
      <c r="E252" s="51" t="s">
        <v>47</v>
      </c>
      <c r="F252" s="49" t="s">
        <v>117</v>
      </c>
      <c r="G252" s="49" t="s">
        <v>368</v>
      </c>
      <c r="H252" s="49" t="s">
        <v>48</v>
      </c>
      <c r="I252" s="49" t="s">
        <v>49</v>
      </c>
      <c r="J252" s="52">
        <v>4500000</v>
      </c>
      <c r="K252" s="53">
        <v>45785</v>
      </c>
      <c r="L252" s="53">
        <v>46880</v>
      </c>
      <c r="M252" s="53">
        <v>46060</v>
      </c>
      <c r="N252" s="49" t="s">
        <v>50</v>
      </c>
      <c r="O252" s="54">
        <f>_xlfn.LET(
 _xlpm.x,
 _xlfn.MAXIFS(
  raw_stack!G$2:G$100000,
  raw_stack!D$2:D$100000, G252,
  raw_stack!F$2:F$100000, "Iya",
  raw_stack!G$2:G$100000, "&gt;="&amp;DATE(2025,7,1),
  raw_stack!G$2:G$100000, "&lt;="&amp;EOMONTH(DATE(2025,7,1),0)
 ),
 IF(_xlpm.x=0, "-", _xlpm.x)
)</f>
        <v>45839</v>
      </c>
      <c r="P252" s="65">
        <f>_xlfn.LET(
 _xlpm.x,
 _xlfn.MAXIFS(
  raw_stack!H$2:H$100000,
  raw_stack!D$2:D$100000, G252,
  raw_stack!F$2:F$100000, "Iya",
  raw_stack!G$2:G$100000, "&gt;="&amp;DATE(2025,7,1),
  raw_stack!G$2:G$100000, "&lt;="&amp;EOMONTH(DATE(2025,7,1),0)
 ),
 IF(OR(_xlpm.x=0, _xlpm.x=""), "-", _xlpm.x)
)</f>
        <v>7663</v>
      </c>
      <c r="Q252" s="54" t="str">
        <f>_xlfn.LET(
 _xlpm.x,
 _xlfn.MAXIFS(
  raw_stack!G$2:G$99411,
  raw_stack!D$2:D$99411, G252,
  raw_stack!F$2:F$99411, "Iya",
  raw_stack!G$2:G$99411, "&gt;="&amp;DATE(2025,8,1),
  raw_stack!G$2:G$99411, "&lt;="&amp;EOMONTH(DATE(2025,8,1),0)
 ),
 IF(_xlpm.x=0, "-", _xlpm.x)
)</f>
        <v>-</v>
      </c>
      <c r="R252" s="65" t="str">
        <f>_xlfn.LET(
 _xlpm.x,
 _xlfn.MAXIFS(
  raw_stack!H$2:H$100000,
  raw_stack!D$2:D$100000, G252,
  raw_stack!F$2:F$100000, "Iya",
  raw_stack!G$2:G$100000, "&gt;="&amp;DATE(2025,8,1),
  raw_stack!G$2:G$100000, "&lt;="&amp;EOMONTH(DATE(2025,8,1),0)
 ),
 IF(OR(_xlpm.x=0, _xlpm.x=""), "-", _xlpm.x)
)</f>
        <v>-</v>
      </c>
      <c r="S252" s="54" t="str">
        <f>_xlfn.LET(
 _xlpm.x,
 _xlfn.MAXIFS(
  raw_stack!G$2:G$99411,
  raw_stack!D$2:D$99411, G252,
  raw_stack!F$2:F$99411, "Iya",
  raw_stack!G$2:G$99411, "&gt;="&amp;DATE(2025,9,1),
  raw_stack!G$2:G$99411, "&lt;="&amp;EOMONTH(DATE(2025,9,1),0)
 ),
 IF(_xlpm.x=0, "-", _xlpm.x)
)</f>
        <v>-</v>
      </c>
      <c r="T252" s="65" t="str">
        <f>_xlfn.LET(
 _xlpm.x,
 _xlfn.MAXIFS(
  raw_stack!H$2:H$100000,
  raw_stack!D$2:D$100000, G252,
  raw_stack!F$2:F$100000, "Iya",
  raw_stack!G$2:G$100000, "&gt;="&amp;DATE(2025,9,1),
  raw_stack!G$2:G$100000, "&lt;="&amp;EOMONTH(DATE(2025,9,1),0)
 ),
 IF(OR(_xlpm.x=0, _xlpm.x=""), "-", _xlpm.x)
)</f>
        <v>-</v>
      </c>
      <c r="U252" s="54" t="str">
        <f>_xlfn.LET(
 _xlpm.x,
 _xlfn.MAXIFS(
  raw_stack!G$2:G$99411,
  raw_stack!D$2:D$99411, G252,
  raw_stack!F$2:F$99411, "Iya",
  raw_stack!G$2:G$99411, "&gt;="&amp;DATE(2025,10,1),
  raw_stack!G$2:G$99411, "&lt;="&amp;EOMONTH(DATE(2025,10,1),0)
 ),
 IF(_xlpm.x=0, "-", _xlpm.x)
)</f>
        <v>-</v>
      </c>
      <c r="V252" s="65" t="str">
        <f>_xlfn.LET(
 _xlpm.x,
 _xlfn.MAXIFS(
  raw_stack!H$2:H$100000,
  raw_stack!D$2:D$100000, G252,
  raw_stack!F$2:F$100000, "Iya",
  raw_stack!G$2:G$100000, "&gt;="&amp;DATE(2025,10,1),
  raw_stack!G$2:G$100000, "&lt;="&amp;EOMONTH(DATE(2025,10,1),0)
 ),
 IF(OR(_xlpm.x=0, _xlpm.x=""), "-", _xlpm.x)
)</f>
        <v>-</v>
      </c>
      <c r="W252" s="55">
        <f>_xlfn.LET(
 _xlpm.x,
 _xlfn.MAXIFS(
  raw_stack!G$2:G$99411,
  raw_stack!D$2:D$99411, G252,
  raw_stack!F$2:F$99411, "Iya",
  raw_stack!G$2:G$99411, "&gt;="&amp;DATE(2025,11,1),
  raw_stack!G$2:G$99411, "&lt;="&amp;EOMONTH(DATE(2025,11,1),0)
 ),
 IF(_xlpm.x=0, "-", _xlpm.x)
)</f>
        <v>45972</v>
      </c>
      <c r="X252" s="56">
        <f>_xlfn.LET(
 _xlpm.x,
 _xlfn.MAXIFS(
  raw_stack!H$2:H$100000,
  raw_stack!D$2:D$100000, G252,
  raw_stack!F$2:F$100000, "Iya",
  raw_stack!G$2:G$100000, "&gt;="&amp;DATE(2025,11,1),
  raw_stack!G$2:G$100000, "&lt;="&amp;EOMONTH(DATE(2025,11,1),0)
 ),
 IF(OR(_xlpm.x=0, _xlpm.x=""), "-", _xlpm.x)
)</f>
        <v>16143</v>
      </c>
      <c r="Y252" s="55" t="str">
        <f>_xlfn.LET(
 _xlpm.x,
 _xlfn.MAXIFS(
  raw_stack!G$2:G$99411,
  raw_stack!D$2:D$99411, G252,
  raw_stack!F$2:F$99411, "Iya",
  raw_stack!G$2:G$99411, "&gt;="&amp;DATE(2025,12,1),
  raw_stack!G$2:G$99411, "&lt;="&amp;EOMONTH(DATE(2025,12,1),0)
 ),
 IF(_xlpm.x=0, "-", _xlpm.x)
)</f>
        <v>-</v>
      </c>
      <c r="Z252" s="56" t="str">
        <f>_xlfn.LET(
 _xlpm.x,
 _xlfn.MAXIFS(
  raw_stack!H$2:H$100000,
  raw_stack!D$2:D$100000, G252,
  raw_stack!F$2:F$100000, "Iya",
  raw_stack!G$2:G$100000, "&gt;="&amp;DATE(2025,12,1),
  raw_stack!G$2:G$100000, "&lt;="&amp;EOMONTH(DATE(2025,12,1),0)
 ),
 IF(OR(_xlpm.x=0, _xlpm.x=""), "-", _xlpm.x)
)</f>
        <v>-</v>
      </c>
      <c r="AA252" s="55" t="str">
        <f>_xlfn.LET(
 _xlpm.x,
 _xlfn.MAXIFS(
  raw_stack!G$2:G$99411,
  raw_stack!D$2:D$99411, G252,
  raw_stack!F$2:F$99411, "Iya",
  raw_stack!G$2:G$99411, "&gt;="&amp;DATE(2026,1,1),
  raw_stack!G$2:G$99411, "&lt;="&amp;EOMONTH(DATE(2026,1,1),0)
 ),
 IF(_xlpm.x=0, "-", _xlpm.x)
)</f>
        <v>-</v>
      </c>
      <c r="AB252" s="56" t="str">
        <f>_xlfn.LET(
 _xlpm.x,
 _xlfn.MAXIFS(
  raw_stack!H$2:H$100000,
  raw_stack!D$2:D$100000, G252,
  raw_stack!F$2:F$100000, "Iya",
  raw_stack!G$2:G$100000, "&gt;="&amp;DATE(2026,1,1),
  raw_stack!G$2:G$100000, "&lt;="&amp;EOMONTH(DATE(2026,1,1),0)
 ),
 IF(OR(_xlpm.x=0, _xlpm.x=""), "-", _xlpm.x)
)</f>
        <v>-</v>
      </c>
      <c r="AC252" s="55" t="str">
        <f>_xlfn.LET(
 _xlpm.x,
 _xlfn.MAXIFS(
  raw_stack!G$2:G$99411,
  raw_stack!D$2:D$99411, G252,
  raw_stack!F$2:F$99411, "Iya",
  raw_stack!G$2:G$99411, "&gt;="&amp;DATE(2026,2,1),
  raw_stack!G$2:G$99411, "&lt;="&amp;EOMONTH(DATE(2026,2,1),0)
 ),
 IF(_xlpm.x=0, "-", _xlpm.x)
)</f>
        <v>-</v>
      </c>
      <c r="AD252" s="56" t="str">
        <f>_xlfn.LET(
 _xlpm.x,
 _xlfn.MAXIFS(
  raw_stack!H$2:H$100000,
  raw_stack!D$2:D$100000, G252,
  raw_stack!F$2:F$100000, "Iya",
  raw_stack!G$2:G$100000, "&gt;="&amp;DATE(2026,2,1),
  raw_stack!G$2:G$100000, "&lt;="&amp;EOMONTH(DATE(2026,2,1),0)
 ),
 IF(OR(_xlpm.x=0, _xlpm.x=""), "-", _xlpm.x)
)</f>
        <v>-</v>
      </c>
      <c r="AE252" s="55" t="str">
        <f>_xlfn.LET(
 _xlpm.x,
 _xlfn.MAXIFS(
  raw_stack!G$2:G$100000,
  raw_stack!D$2:D$100000, G252,
  raw_stack!F$2:F$100000, "Iya",
  raw_stack!G$2:G$100000, "&gt;="&amp;DATE(2026,3,1),
  raw_stack!G$2:G$100000, "&lt;="&amp;EOMONTH(DATE(2026,3,1),0)
 ),
 IF(_xlpm.x=0, "-", _xlpm.x)
)</f>
        <v>-</v>
      </c>
      <c r="AF252" s="56" t="str">
        <f>_xlfn.LET(
 _xlpm.x,
 _xlfn.MAXIFS(
  raw_stack!H$2:H$100000,
  raw_stack!D$2:D$100000, G252,
  raw_stack!F$2:F$100000, "Iya",
  raw_stack!G$2:G$100000, "&gt;="&amp;DATE(2026,3,1),
  raw_stack!G$2:G$100000, "&lt;="&amp;EOMONTH(DATE(2026,3,1),0)
 ),
 IF(OR(_xlpm.x=0, _xlpm.x=""), "-", _xlpm.x)
)</f>
        <v>-</v>
      </c>
      <c r="AG252" s="55" t="str">
        <f>_xlfn.LET(
 _xlpm.x,
 _xlfn.MAXIFS(
  raw_stack!G$2:G$100000,
  raw_stack!D$2:D$100000, G252,
  raw_stack!F$2:F$100000, "Iya",
  raw_stack!G$2:G$100000, "&gt;="&amp;DATE(2026,4,1),
  raw_stack!G$2:G$100000, "&lt;="&amp;EOMONTH(DATE(2026,4,1),0)
 ),
 IF(_xlpm.x=0, "-", _xlpm.x)
)</f>
        <v>-</v>
      </c>
      <c r="AH252" s="56" t="str">
        <f>_xlfn.LET(
 _xlpm.x,
 _xlfn.MAXIFS(
  raw_stack!H$2:H$100000,
  raw_stack!D$2:D$100000, G252,
  raw_stack!F$2:F$100000, "Iya",
  raw_stack!G$2:G$100000, "&gt;="&amp;DATE(2026,4,1),
  raw_stack!G$2:G$100000, "&lt;="&amp;EOMONTH(DATE(2026,4,1),0)
 ),
 IF(OR(_xlpm.x=0, _xlpm.x=""), "-", _xlpm.x)
)</f>
        <v>-</v>
      </c>
    </row>
    <row r="253" spans="1:34">
      <c r="A253" s="48">
        <v>252</v>
      </c>
      <c r="B253" s="49" t="str">
        <f t="shared" si="4"/>
        <v>36674</v>
      </c>
      <c r="C253" s="50" t="s">
        <v>46</v>
      </c>
      <c r="D253" s="51" t="s">
        <v>613</v>
      </c>
      <c r="E253" s="51" t="s">
        <v>47</v>
      </c>
      <c r="F253" s="49" t="s">
        <v>117</v>
      </c>
      <c r="G253" s="49" t="s">
        <v>369</v>
      </c>
      <c r="H253" s="49" t="s">
        <v>48</v>
      </c>
      <c r="I253" s="49" t="s">
        <v>49</v>
      </c>
      <c r="J253" s="52">
        <v>4500000</v>
      </c>
      <c r="K253" s="53">
        <v>45786</v>
      </c>
      <c r="L253" s="53">
        <v>46881</v>
      </c>
      <c r="M253" s="53">
        <v>46061</v>
      </c>
      <c r="N253" s="49" t="s">
        <v>50</v>
      </c>
      <c r="O253" s="54" t="str">
        <f>_xlfn.LET(
 _xlpm.x,
 _xlfn.MAXIFS(
  raw_stack!G$2:G$100000,
  raw_stack!D$2:D$100000, G253,
  raw_stack!F$2:F$100000, "Iya",
  raw_stack!G$2:G$100000, "&gt;="&amp;DATE(2025,7,1),
  raw_stack!G$2:G$100000, "&lt;="&amp;EOMONTH(DATE(2025,7,1),0)
 ),
 IF(_xlpm.x=0, "-", _xlpm.x)
)</f>
        <v>-</v>
      </c>
      <c r="P253" s="65" t="str">
        <f>_xlfn.LET(
 _xlpm.x,
 _xlfn.MAXIFS(
  raw_stack!H$2:H$100000,
  raw_stack!D$2:D$100000, G253,
  raw_stack!F$2:F$100000, "Iya",
  raw_stack!G$2:G$100000, "&gt;="&amp;DATE(2025,7,1),
  raw_stack!G$2:G$100000, "&lt;="&amp;EOMONTH(DATE(2025,7,1),0)
 ),
 IF(OR(_xlpm.x=0, _xlpm.x=""), "-", _xlpm.x)
)</f>
        <v>-</v>
      </c>
      <c r="Q253" s="54">
        <f>_xlfn.LET(
 _xlpm.x,
 _xlfn.MAXIFS(
  raw_stack!G$2:G$99411,
  raw_stack!D$2:D$99411, G253,
  raw_stack!F$2:F$99411, "Iya",
  raw_stack!G$2:G$99411, "&gt;="&amp;DATE(2025,8,1),
  raw_stack!G$2:G$99411, "&lt;="&amp;EOMONTH(DATE(2025,8,1),0)
 ),
 IF(_xlpm.x=0, "-", _xlpm.x)
)</f>
        <v>45894</v>
      </c>
      <c r="R253" s="65">
        <f>_xlfn.LET(
 _xlpm.x,
 _xlfn.MAXIFS(
  raw_stack!H$2:H$100000,
  raw_stack!D$2:D$100000, G253,
  raw_stack!F$2:F$100000, "Iya",
  raw_stack!G$2:G$100000, "&gt;="&amp;DATE(2025,8,1),
  raw_stack!G$2:G$100000, "&lt;="&amp;EOMONTH(DATE(2025,8,1),0)
 ),
 IF(OR(_xlpm.x=0, _xlpm.x=""), "-", _xlpm.x)
)</f>
        <v>5891</v>
      </c>
      <c r="S253" s="54" t="str">
        <f>_xlfn.LET(
 _xlpm.x,
 _xlfn.MAXIFS(
  raw_stack!G$2:G$99411,
  raw_stack!D$2:D$99411, G253,
  raw_stack!F$2:F$99411, "Iya",
  raw_stack!G$2:G$99411, "&gt;="&amp;DATE(2025,9,1),
  raw_stack!G$2:G$99411, "&lt;="&amp;EOMONTH(DATE(2025,9,1),0)
 ),
 IF(_xlpm.x=0, "-", _xlpm.x)
)</f>
        <v>-</v>
      </c>
      <c r="T253" s="65" t="str">
        <f>_xlfn.LET(
 _xlpm.x,
 _xlfn.MAXIFS(
  raw_stack!H$2:H$100000,
  raw_stack!D$2:D$100000, G253,
  raw_stack!F$2:F$100000, "Iya",
  raw_stack!G$2:G$100000, "&gt;="&amp;DATE(2025,9,1),
  raw_stack!G$2:G$100000, "&lt;="&amp;EOMONTH(DATE(2025,9,1),0)
 ),
 IF(OR(_xlpm.x=0, _xlpm.x=""), "-", _xlpm.x)
)</f>
        <v>-</v>
      </c>
      <c r="U253" s="54">
        <f>_xlfn.LET(
 _xlpm.x,
 _xlfn.MAXIFS(
  raw_stack!G$2:G$99411,
  raw_stack!D$2:D$99411, G253,
  raw_stack!F$2:F$99411, "Iya",
  raw_stack!G$2:G$99411, "&gt;="&amp;DATE(2025,10,1),
  raw_stack!G$2:G$99411, "&lt;="&amp;EOMONTH(DATE(2025,10,1),0)
 ),
 IF(_xlpm.x=0, "-", _xlpm.x)
)</f>
        <v>45952</v>
      </c>
      <c r="V253" s="65">
        <f>_xlfn.LET(
 _xlpm.x,
 _xlfn.MAXIFS(
  raw_stack!H$2:H$100000,
  raw_stack!D$2:D$100000, G253,
  raw_stack!F$2:F$100000, "Iya",
  raw_stack!G$2:G$100000, "&gt;="&amp;DATE(2025,10,1),
  raw_stack!G$2:G$100000, "&lt;="&amp;EOMONTH(DATE(2025,10,1),0)
 ),
 IF(OR(_xlpm.x=0, _xlpm.x=""), "-", _xlpm.x)
)</f>
        <v>20028</v>
      </c>
      <c r="W253" s="55" t="str">
        <f>_xlfn.LET(
 _xlpm.x,
 _xlfn.MAXIFS(
  raw_stack!G$2:G$99411,
  raw_stack!D$2:D$99411, G253,
  raw_stack!F$2:F$99411, "Iya",
  raw_stack!G$2:G$99411, "&gt;="&amp;DATE(2025,11,1),
  raw_stack!G$2:G$99411, "&lt;="&amp;EOMONTH(DATE(2025,11,1),0)
 ),
 IF(_xlpm.x=0, "-", _xlpm.x)
)</f>
        <v>-</v>
      </c>
      <c r="X253" s="56" t="str">
        <f>_xlfn.LET(
 _xlpm.x,
 _xlfn.MAXIFS(
  raw_stack!H$2:H$100000,
  raw_stack!D$2:D$100000, G253,
  raw_stack!F$2:F$100000, "Iya",
  raw_stack!G$2:G$100000, "&gt;="&amp;DATE(2025,11,1),
  raw_stack!G$2:G$100000, "&lt;="&amp;EOMONTH(DATE(2025,11,1),0)
 ),
 IF(OR(_xlpm.x=0, _xlpm.x=""), "-", _xlpm.x)
)</f>
        <v>-</v>
      </c>
      <c r="Y253" s="55" t="str">
        <f>_xlfn.LET(
 _xlpm.x,
 _xlfn.MAXIFS(
  raw_stack!G$2:G$99411,
  raw_stack!D$2:D$99411, G253,
  raw_stack!F$2:F$99411, "Iya",
  raw_stack!G$2:G$99411, "&gt;="&amp;DATE(2025,12,1),
  raw_stack!G$2:G$99411, "&lt;="&amp;EOMONTH(DATE(2025,12,1),0)
 ),
 IF(_xlpm.x=0, "-", _xlpm.x)
)</f>
        <v>-</v>
      </c>
      <c r="Z253" s="56" t="str">
        <f>_xlfn.LET(
 _xlpm.x,
 _xlfn.MAXIFS(
  raw_stack!H$2:H$100000,
  raw_stack!D$2:D$100000, G253,
  raw_stack!F$2:F$100000, "Iya",
  raw_stack!G$2:G$100000, "&gt;="&amp;DATE(2025,12,1),
  raw_stack!G$2:G$100000, "&lt;="&amp;EOMONTH(DATE(2025,12,1),0)
 ),
 IF(OR(_xlpm.x=0, _xlpm.x=""), "-", _xlpm.x)
)</f>
        <v>-</v>
      </c>
      <c r="AA253" s="55" t="str">
        <f>_xlfn.LET(
 _xlpm.x,
 _xlfn.MAXIFS(
  raw_stack!G$2:G$99411,
  raw_stack!D$2:D$99411, G253,
  raw_stack!F$2:F$99411, "Iya",
  raw_stack!G$2:G$99411, "&gt;="&amp;DATE(2026,1,1),
  raw_stack!G$2:G$99411, "&lt;="&amp;EOMONTH(DATE(2026,1,1),0)
 ),
 IF(_xlpm.x=0, "-", _xlpm.x)
)</f>
        <v>-</v>
      </c>
      <c r="AB253" s="56" t="str">
        <f>_xlfn.LET(
 _xlpm.x,
 _xlfn.MAXIFS(
  raw_stack!H$2:H$100000,
  raw_stack!D$2:D$100000, G253,
  raw_stack!F$2:F$100000, "Iya",
  raw_stack!G$2:G$100000, "&gt;="&amp;DATE(2026,1,1),
  raw_stack!G$2:G$100000, "&lt;="&amp;EOMONTH(DATE(2026,1,1),0)
 ),
 IF(OR(_xlpm.x=0, _xlpm.x=""), "-", _xlpm.x)
)</f>
        <v>-</v>
      </c>
      <c r="AC253" s="55">
        <f>_xlfn.LET(
 _xlpm.x,
 _xlfn.MAXIFS(
  raw_stack!G$2:G$99411,
  raw_stack!D$2:D$99411, G253,
  raw_stack!F$2:F$99411, "Iya",
  raw_stack!G$2:G$99411, "&gt;="&amp;DATE(2026,2,1),
  raw_stack!G$2:G$99411, "&lt;="&amp;EOMONTH(DATE(2026,2,1),0)
 ),
 IF(_xlpm.x=0, "-", _xlpm.x)
)</f>
        <v>46059</v>
      </c>
      <c r="AD253" s="56">
        <f>_xlfn.LET(
 _xlpm.x,
 _xlfn.MAXIFS(
  raw_stack!H$2:H$100000,
  raw_stack!D$2:D$100000, G253,
  raw_stack!F$2:F$100000, "Iya",
  raw_stack!G$2:G$100000, "&gt;="&amp;DATE(2026,2,1),
  raw_stack!G$2:G$100000, "&lt;="&amp;EOMONTH(DATE(2026,2,1),0)
 ),
 IF(OR(_xlpm.x=0, _xlpm.x=""), "-", _xlpm.x)
)</f>
        <v>21361</v>
      </c>
      <c r="AE253" s="55" t="str">
        <f>_xlfn.LET(
 _xlpm.x,
 _xlfn.MAXIFS(
  raw_stack!G$2:G$100000,
  raw_stack!D$2:D$100000, G253,
  raw_stack!F$2:F$100000, "Iya",
  raw_stack!G$2:G$100000, "&gt;="&amp;DATE(2026,3,1),
  raw_stack!G$2:G$100000, "&lt;="&amp;EOMONTH(DATE(2026,3,1),0)
 ),
 IF(_xlpm.x=0, "-", _xlpm.x)
)</f>
        <v>-</v>
      </c>
      <c r="AF253" s="56" t="str">
        <f>_xlfn.LET(
 _xlpm.x,
 _xlfn.MAXIFS(
  raw_stack!H$2:H$100000,
  raw_stack!D$2:D$100000, G253,
  raw_stack!F$2:F$100000, "Iya",
  raw_stack!G$2:G$100000, "&gt;="&amp;DATE(2026,3,1),
  raw_stack!G$2:G$100000, "&lt;="&amp;EOMONTH(DATE(2026,3,1),0)
 ),
 IF(OR(_xlpm.x=0, _xlpm.x=""), "-", _xlpm.x)
)</f>
        <v>-</v>
      </c>
      <c r="AG253" s="55" t="str">
        <f>_xlfn.LET(
 _xlpm.x,
 _xlfn.MAXIFS(
  raw_stack!G$2:G$100000,
  raw_stack!D$2:D$100000, G253,
  raw_stack!F$2:F$100000, "Iya",
  raw_stack!G$2:G$100000, "&gt;="&amp;DATE(2026,4,1),
  raw_stack!G$2:G$100000, "&lt;="&amp;EOMONTH(DATE(2026,4,1),0)
 ),
 IF(_xlpm.x=0, "-", _xlpm.x)
)</f>
        <v>-</v>
      </c>
      <c r="AH253" s="56" t="str">
        <f>_xlfn.LET(
 _xlpm.x,
 _xlfn.MAXIFS(
  raw_stack!H$2:H$100000,
  raw_stack!D$2:D$100000, G253,
  raw_stack!F$2:F$100000, "Iya",
  raw_stack!G$2:G$100000, "&gt;="&amp;DATE(2026,4,1),
  raw_stack!G$2:G$100000, "&lt;="&amp;EOMONTH(DATE(2026,4,1),0)
 ),
 IF(OR(_xlpm.x=0, _xlpm.x=""), "-", _xlpm.x)
)</f>
        <v>-</v>
      </c>
    </row>
    <row r="254" spans="1:34">
      <c r="A254" s="48">
        <v>253</v>
      </c>
      <c r="B254" s="49" t="str">
        <f t="shared" si="4"/>
        <v>17822</v>
      </c>
      <c r="C254" s="50" t="s">
        <v>46</v>
      </c>
      <c r="D254" s="51" t="s">
        <v>618</v>
      </c>
      <c r="E254" s="51" t="s">
        <v>51</v>
      </c>
      <c r="F254" s="49" t="s">
        <v>117</v>
      </c>
      <c r="G254" s="49" t="s">
        <v>370</v>
      </c>
      <c r="H254" s="49" t="s">
        <v>48</v>
      </c>
      <c r="I254" s="49" t="s">
        <v>52</v>
      </c>
      <c r="J254" s="52">
        <v>3880000</v>
      </c>
      <c r="K254" s="53">
        <v>45792</v>
      </c>
      <c r="L254" s="53">
        <v>46887</v>
      </c>
      <c r="M254" s="53">
        <v>46095</v>
      </c>
      <c r="N254" s="49" t="s">
        <v>50</v>
      </c>
      <c r="O254" s="54" t="str">
        <f>_xlfn.LET(
 _xlpm.x,
 _xlfn.MAXIFS(
  raw_stack!G$2:G$100000,
  raw_stack!D$2:D$100000, G254,
  raw_stack!F$2:F$100000, "Iya",
  raw_stack!G$2:G$100000, "&gt;="&amp;DATE(2025,7,1),
  raw_stack!G$2:G$100000, "&lt;="&amp;EOMONTH(DATE(2025,7,1),0)
 ),
 IF(_xlpm.x=0, "-", _xlpm.x)
)</f>
        <v>-</v>
      </c>
      <c r="P254" s="65" t="str">
        <f>_xlfn.LET(
 _xlpm.x,
 _xlfn.MAXIFS(
  raw_stack!H$2:H$100000,
  raw_stack!D$2:D$100000, G254,
  raw_stack!F$2:F$100000, "Iya",
  raw_stack!G$2:G$100000, "&gt;="&amp;DATE(2025,7,1),
  raw_stack!G$2:G$100000, "&lt;="&amp;EOMONTH(DATE(2025,7,1),0)
 ),
 IF(OR(_xlpm.x=0, _xlpm.x=""), "-", _xlpm.x)
)</f>
        <v>-</v>
      </c>
      <c r="Q254" s="54" t="str">
        <f>_xlfn.LET(
 _xlpm.x,
 _xlfn.MAXIFS(
  raw_stack!G$2:G$99411,
  raw_stack!D$2:D$99411, G254,
  raw_stack!F$2:F$99411, "Iya",
  raw_stack!G$2:G$99411, "&gt;="&amp;DATE(2025,8,1),
  raw_stack!G$2:G$99411, "&lt;="&amp;EOMONTH(DATE(2025,8,1),0)
 ),
 IF(_xlpm.x=0, "-", _xlpm.x)
)</f>
        <v>-</v>
      </c>
      <c r="R254" s="65" t="str">
        <f>_xlfn.LET(
 _xlpm.x,
 _xlfn.MAXIFS(
  raw_stack!H$2:H$100000,
  raw_stack!D$2:D$100000, G254,
  raw_stack!F$2:F$100000, "Iya",
  raw_stack!G$2:G$100000, "&gt;="&amp;DATE(2025,8,1),
  raw_stack!G$2:G$100000, "&lt;="&amp;EOMONTH(DATE(2025,8,1),0)
 ),
 IF(OR(_xlpm.x=0, _xlpm.x=""), "-", _xlpm.x)
)</f>
        <v>-</v>
      </c>
      <c r="S254" s="54">
        <f>_xlfn.LET(
 _xlpm.x,
 _xlfn.MAXIFS(
  raw_stack!G$2:G$99411,
  raw_stack!D$2:D$99411, G254,
  raw_stack!F$2:F$99411, "Iya",
  raw_stack!G$2:G$99411, "&gt;="&amp;DATE(2025,9,1),
  raw_stack!G$2:G$99411, "&lt;="&amp;EOMONTH(DATE(2025,9,1),0)
 ),
 IF(_xlpm.x=0, "-", _xlpm.x)
)</f>
        <v>45927</v>
      </c>
      <c r="T254" s="65">
        <f>_xlfn.LET(
 _xlpm.x,
 _xlfn.MAXIFS(
  raw_stack!H$2:H$100000,
  raw_stack!D$2:D$100000, G254,
  raw_stack!F$2:F$100000, "Iya",
  raw_stack!G$2:G$100000, "&gt;="&amp;DATE(2025,9,1),
  raw_stack!G$2:G$100000, "&lt;="&amp;EOMONTH(DATE(2025,9,1),0)
 ),
 IF(OR(_xlpm.x=0, _xlpm.x=""), "-", _xlpm.x)
)</f>
        <v>7882</v>
      </c>
      <c r="U254" s="54">
        <f>_xlfn.LET(
 _xlpm.x,
 _xlfn.MAXIFS(
  raw_stack!G$2:G$99411,
  raw_stack!D$2:D$99411, G254,
  raw_stack!F$2:F$99411, "Iya",
  raw_stack!G$2:G$99411, "&gt;="&amp;DATE(2025,10,1),
  raw_stack!G$2:G$99411, "&lt;="&amp;EOMONTH(DATE(2025,10,1),0)
 ),
 IF(_xlpm.x=0, "-", _xlpm.x)
)</f>
        <v>45953</v>
      </c>
      <c r="V254" s="65">
        <f>_xlfn.LET(
 _xlpm.x,
 _xlfn.MAXIFS(
  raw_stack!H$2:H$100000,
  raw_stack!D$2:D$100000, G254,
  raw_stack!F$2:F$100000, "Iya",
  raw_stack!G$2:G$100000, "&gt;="&amp;DATE(2025,10,1),
  raw_stack!G$2:G$100000, "&lt;="&amp;EOMONTH(DATE(2025,10,1),0)
 ),
 IF(OR(_xlpm.x=0, _xlpm.x=""), "-", _xlpm.x)
)</f>
        <v>16297</v>
      </c>
      <c r="W254" s="55" t="str">
        <f>_xlfn.LET(
 _xlpm.x,
 _xlfn.MAXIFS(
  raw_stack!G$2:G$99411,
  raw_stack!D$2:D$99411, G254,
  raw_stack!F$2:F$99411, "Iya",
  raw_stack!G$2:G$99411, "&gt;="&amp;DATE(2025,11,1),
  raw_stack!G$2:G$99411, "&lt;="&amp;EOMONTH(DATE(2025,11,1),0)
 ),
 IF(_xlpm.x=0, "-", _xlpm.x)
)</f>
        <v>-</v>
      </c>
      <c r="X254" s="56" t="str">
        <f>_xlfn.LET(
 _xlpm.x,
 _xlfn.MAXIFS(
  raw_stack!H$2:H$100000,
  raw_stack!D$2:D$100000, G254,
  raw_stack!F$2:F$100000, "Iya",
  raw_stack!G$2:G$100000, "&gt;="&amp;DATE(2025,11,1),
  raw_stack!G$2:G$100000, "&lt;="&amp;EOMONTH(DATE(2025,11,1),0)
 ),
 IF(OR(_xlpm.x=0, _xlpm.x=""), "-", _xlpm.x)
)</f>
        <v>-</v>
      </c>
      <c r="Y254" s="55" t="str">
        <f>_xlfn.LET(
 _xlpm.x,
 _xlfn.MAXIFS(
  raw_stack!G$2:G$99411,
  raw_stack!D$2:D$99411, G254,
  raw_stack!F$2:F$99411, "Iya",
  raw_stack!G$2:G$99411, "&gt;="&amp;DATE(2025,12,1),
  raw_stack!G$2:G$99411, "&lt;="&amp;EOMONTH(DATE(2025,12,1),0)
 ),
 IF(_xlpm.x=0, "-", _xlpm.x)
)</f>
        <v>-</v>
      </c>
      <c r="Z254" s="56" t="str">
        <f>_xlfn.LET(
 _xlpm.x,
 _xlfn.MAXIFS(
  raw_stack!H$2:H$100000,
  raw_stack!D$2:D$100000, G254,
  raw_stack!F$2:F$100000, "Iya",
  raw_stack!G$2:G$100000, "&gt;="&amp;DATE(2025,12,1),
  raw_stack!G$2:G$100000, "&lt;="&amp;EOMONTH(DATE(2025,12,1),0)
 ),
 IF(OR(_xlpm.x=0, _xlpm.x=""), "-", _xlpm.x)
)</f>
        <v>-</v>
      </c>
      <c r="AA254" s="55" t="str">
        <f>_xlfn.LET(
 _xlpm.x,
 _xlfn.MAXIFS(
  raw_stack!G$2:G$99411,
  raw_stack!D$2:D$99411, G254,
  raw_stack!F$2:F$99411, "Iya",
  raw_stack!G$2:G$99411, "&gt;="&amp;DATE(2026,1,1),
  raw_stack!G$2:G$99411, "&lt;="&amp;EOMONTH(DATE(2026,1,1),0)
 ),
 IF(_xlpm.x=0, "-", _xlpm.x)
)</f>
        <v>-</v>
      </c>
      <c r="AB254" s="56" t="str">
        <f>_xlfn.LET(
 _xlpm.x,
 _xlfn.MAXIFS(
  raw_stack!H$2:H$100000,
  raw_stack!D$2:D$100000, G254,
  raw_stack!F$2:F$100000, "Iya",
  raw_stack!G$2:G$100000, "&gt;="&amp;DATE(2026,1,1),
  raw_stack!G$2:G$100000, "&lt;="&amp;EOMONTH(DATE(2026,1,1),0)
 ),
 IF(OR(_xlpm.x=0, _xlpm.x=""), "-", _xlpm.x)
)</f>
        <v>-</v>
      </c>
      <c r="AC254" s="55" t="str">
        <f>_xlfn.LET(
 _xlpm.x,
 _xlfn.MAXIFS(
  raw_stack!G$2:G$99411,
  raw_stack!D$2:D$99411, G254,
  raw_stack!F$2:F$99411, "Iya",
  raw_stack!G$2:G$99411, "&gt;="&amp;DATE(2026,2,1),
  raw_stack!G$2:G$99411, "&lt;="&amp;EOMONTH(DATE(2026,2,1),0)
 ),
 IF(_xlpm.x=0, "-", _xlpm.x)
)</f>
        <v>-</v>
      </c>
      <c r="AD254" s="56" t="str">
        <f>_xlfn.LET(
 _xlpm.x,
 _xlfn.MAXIFS(
  raw_stack!H$2:H$100000,
  raw_stack!D$2:D$100000, G254,
  raw_stack!F$2:F$100000, "Iya",
  raw_stack!G$2:G$100000, "&gt;="&amp;DATE(2026,2,1),
  raw_stack!G$2:G$100000, "&lt;="&amp;EOMONTH(DATE(2026,2,1),0)
 ),
 IF(OR(_xlpm.x=0, _xlpm.x=""), "-", _xlpm.x)
)</f>
        <v>-</v>
      </c>
      <c r="AE254" s="55" t="str">
        <f>_xlfn.LET(
 _xlpm.x,
 _xlfn.MAXIFS(
  raw_stack!G$2:G$100000,
  raw_stack!D$2:D$100000, G254,
  raw_stack!F$2:F$100000, "Iya",
  raw_stack!G$2:G$100000, "&gt;="&amp;DATE(2026,3,1),
  raw_stack!G$2:G$100000, "&lt;="&amp;EOMONTH(DATE(2026,3,1),0)
 ),
 IF(_xlpm.x=0, "-", _xlpm.x)
)</f>
        <v>-</v>
      </c>
      <c r="AF254" s="56" t="str">
        <f>_xlfn.LET(
 _xlpm.x,
 _xlfn.MAXIFS(
  raw_stack!H$2:H$100000,
  raw_stack!D$2:D$100000, G254,
  raw_stack!F$2:F$100000, "Iya",
  raw_stack!G$2:G$100000, "&gt;="&amp;DATE(2026,3,1),
  raw_stack!G$2:G$100000, "&lt;="&amp;EOMONTH(DATE(2026,3,1),0)
 ),
 IF(OR(_xlpm.x=0, _xlpm.x=""), "-", _xlpm.x)
)</f>
        <v>-</v>
      </c>
      <c r="AG254" s="55" t="str">
        <f>_xlfn.LET(
 _xlpm.x,
 _xlfn.MAXIFS(
  raw_stack!G$2:G$100000,
  raw_stack!D$2:D$100000, G254,
  raw_stack!F$2:F$100000, "Iya",
  raw_stack!G$2:G$100000, "&gt;="&amp;DATE(2026,4,1),
  raw_stack!G$2:G$100000, "&lt;="&amp;EOMONTH(DATE(2026,4,1),0)
 ),
 IF(_xlpm.x=0, "-", _xlpm.x)
)</f>
        <v>-</v>
      </c>
      <c r="AH254" s="56" t="str">
        <f>_xlfn.LET(
 _xlpm.x,
 _xlfn.MAXIFS(
  raw_stack!H$2:H$100000,
  raw_stack!D$2:D$100000, G254,
  raw_stack!F$2:F$100000, "Iya",
  raw_stack!G$2:G$100000, "&gt;="&amp;DATE(2026,4,1),
  raw_stack!G$2:G$100000, "&lt;="&amp;EOMONTH(DATE(2026,4,1),0)
 ),
 IF(OR(_xlpm.x=0, _xlpm.x=""), "-", _xlpm.x)
)</f>
        <v>-</v>
      </c>
    </row>
    <row r="255" spans="1:34">
      <c r="A255" s="48">
        <v>254</v>
      </c>
      <c r="B255" s="49" t="str">
        <f t="shared" si="4"/>
        <v>13032</v>
      </c>
      <c r="C255" s="50" t="s">
        <v>46</v>
      </c>
      <c r="D255" s="51" t="s">
        <v>507</v>
      </c>
      <c r="E255" s="51" t="s">
        <v>53</v>
      </c>
      <c r="F255" s="49" t="s">
        <v>117</v>
      </c>
      <c r="G255" s="49" t="s">
        <v>371</v>
      </c>
      <c r="H255" s="49" t="s">
        <v>48</v>
      </c>
      <c r="I255" s="49" t="s">
        <v>52</v>
      </c>
      <c r="J255" s="52">
        <v>4200000</v>
      </c>
      <c r="K255" s="53">
        <v>45793</v>
      </c>
      <c r="L255" s="53">
        <v>46888</v>
      </c>
      <c r="M255" s="53">
        <v>46068</v>
      </c>
      <c r="N255" s="49" t="s">
        <v>50</v>
      </c>
      <c r="O255" s="54" t="str">
        <f>_xlfn.LET(
 _xlpm.x,
 _xlfn.MAXIFS(
  raw_stack!G$2:G$100000,
  raw_stack!D$2:D$100000, G255,
  raw_stack!F$2:F$100000, "Iya",
  raw_stack!G$2:G$100000, "&gt;="&amp;DATE(2025,7,1),
  raw_stack!G$2:G$100000, "&lt;="&amp;EOMONTH(DATE(2025,7,1),0)
 ),
 IF(_xlpm.x=0, "-", _xlpm.x)
)</f>
        <v>-</v>
      </c>
      <c r="P255" s="65" t="str">
        <f>_xlfn.LET(
 _xlpm.x,
 _xlfn.MAXIFS(
  raw_stack!H$2:H$100000,
  raw_stack!D$2:D$100000, G255,
  raw_stack!F$2:F$100000, "Iya",
  raw_stack!G$2:G$100000, "&gt;="&amp;DATE(2025,7,1),
  raw_stack!G$2:G$100000, "&lt;="&amp;EOMONTH(DATE(2025,7,1),0)
 ),
 IF(OR(_xlpm.x=0, _xlpm.x=""), "-", _xlpm.x)
)</f>
        <v>-</v>
      </c>
      <c r="Q255" s="54">
        <f>_xlfn.LET(
 _xlpm.x,
 _xlfn.MAXIFS(
  raw_stack!G$2:G$99411,
  raw_stack!D$2:D$99411, G255,
  raw_stack!F$2:F$99411, "Iya",
  raw_stack!G$2:G$99411, "&gt;="&amp;DATE(2025,8,1),
  raw_stack!G$2:G$99411, "&lt;="&amp;EOMONTH(DATE(2025,8,1),0)
 ),
 IF(_xlpm.x=0, "-", _xlpm.x)
)</f>
        <v>45881</v>
      </c>
      <c r="R255" s="65">
        <f>_xlfn.LET(
 _xlpm.x,
 _xlfn.MAXIFS(
  raw_stack!H$2:H$100000,
  raw_stack!D$2:D$100000, G255,
  raw_stack!F$2:F$100000, "Iya",
  raw_stack!G$2:G$100000, "&gt;="&amp;DATE(2025,8,1),
  raw_stack!G$2:G$100000, "&lt;="&amp;EOMONTH(DATE(2025,8,1),0)
 ),
 IF(OR(_xlpm.x=0, _xlpm.x=""), "-", _xlpm.x)
)</f>
        <v>4161</v>
      </c>
      <c r="S255" s="54" t="str">
        <f>_xlfn.LET(
 _xlpm.x,
 _xlfn.MAXIFS(
  raw_stack!G$2:G$99411,
  raw_stack!D$2:D$99411, G255,
  raw_stack!F$2:F$99411, "Iya",
  raw_stack!G$2:G$99411, "&gt;="&amp;DATE(2025,9,1),
  raw_stack!G$2:G$99411, "&lt;="&amp;EOMONTH(DATE(2025,9,1),0)
 ),
 IF(_xlpm.x=0, "-", _xlpm.x)
)</f>
        <v>-</v>
      </c>
      <c r="T255" s="65" t="str">
        <f>_xlfn.LET(
 _xlpm.x,
 _xlfn.MAXIFS(
  raw_stack!H$2:H$100000,
  raw_stack!D$2:D$100000, G255,
  raw_stack!F$2:F$100000, "Iya",
  raw_stack!G$2:G$100000, "&gt;="&amp;DATE(2025,9,1),
  raw_stack!G$2:G$100000, "&lt;="&amp;EOMONTH(DATE(2025,9,1),0)
 ),
 IF(OR(_xlpm.x=0, _xlpm.x=""), "-", _xlpm.x)
)</f>
        <v>-</v>
      </c>
      <c r="U255" s="54" t="str">
        <f>_xlfn.LET(
 _xlpm.x,
 _xlfn.MAXIFS(
  raw_stack!G$2:G$99411,
  raw_stack!D$2:D$99411, G255,
  raw_stack!F$2:F$99411, "Iya",
  raw_stack!G$2:G$99411, "&gt;="&amp;DATE(2025,10,1),
  raw_stack!G$2:G$99411, "&lt;="&amp;EOMONTH(DATE(2025,10,1),0)
 ),
 IF(_xlpm.x=0, "-", _xlpm.x)
)</f>
        <v>-</v>
      </c>
      <c r="V255" s="65" t="str">
        <f>_xlfn.LET(
 _xlpm.x,
 _xlfn.MAXIFS(
  raw_stack!H$2:H$100000,
  raw_stack!D$2:D$100000, G255,
  raw_stack!F$2:F$100000, "Iya",
  raw_stack!G$2:G$100000, "&gt;="&amp;DATE(2025,10,1),
  raw_stack!G$2:G$100000, "&lt;="&amp;EOMONTH(DATE(2025,10,1),0)
 ),
 IF(OR(_xlpm.x=0, _xlpm.x=""), "-", _xlpm.x)
)</f>
        <v>-</v>
      </c>
      <c r="W255" s="55" t="str">
        <f>_xlfn.LET(
 _xlpm.x,
 _xlfn.MAXIFS(
  raw_stack!G$2:G$99411,
  raw_stack!D$2:D$99411, G255,
  raw_stack!F$2:F$99411, "Iya",
  raw_stack!G$2:G$99411, "&gt;="&amp;DATE(2025,11,1),
  raw_stack!G$2:G$99411, "&lt;="&amp;EOMONTH(DATE(2025,11,1),0)
 ),
 IF(_xlpm.x=0, "-", _xlpm.x)
)</f>
        <v>-</v>
      </c>
      <c r="X255" s="56" t="str">
        <f>_xlfn.LET(
 _xlpm.x,
 _xlfn.MAXIFS(
  raw_stack!H$2:H$100000,
  raw_stack!D$2:D$100000, G255,
  raw_stack!F$2:F$100000, "Iya",
  raw_stack!G$2:G$100000, "&gt;="&amp;DATE(2025,11,1),
  raw_stack!G$2:G$100000, "&lt;="&amp;EOMONTH(DATE(2025,11,1),0)
 ),
 IF(OR(_xlpm.x=0, _xlpm.x=""), "-", _xlpm.x)
)</f>
        <v>-</v>
      </c>
      <c r="Y255" s="55" t="str">
        <f>_xlfn.LET(
 _xlpm.x,
 _xlfn.MAXIFS(
  raw_stack!G$2:G$99411,
  raw_stack!D$2:D$99411, G255,
  raw_stack!F$2:F$99411, "Iya",
  raw_stack!G$2:G$99411, "&gt;="&amp;DATE(2025,12,1),
  raw_stack!G$2:G$99411, "&lt;="&amp;EOMONTH(DATE(2025,12,1),0)
 ),
 IF(_xlpm.x=0, "-", _xlpm.x)
)</f>
        <v>-</v>
      </c>
      <c r="Z255" s="56" t="str">
        <f>_xlfn.LET(
 _xlpm.x,
 _xlfn.MAXIFS(
  raw_stack!H$2:H$100000,
  raw_stack!D$2:D$100000, G255,
  raw_stack!F$2:F$100000, "Iya",
  raw_stack!G$2:G$100000, "&gt;="&amp;DATE(2025,12,1),
  raw_stack!G$2:G$100000, "&lt;="&amp;EOMONTH(DATE(2025,12,1),0)
 ),
 IF(OR(_xlpm.x=0, _xlpm.x=""), "-", _xlpm.x)
)</f>
        <v>-</v>
      </c>
      <c r="AA255" s="55" t="str">
        <f>_xlfn.LET(
 _xlpm.x,
 _xlfn.MAXIFS(
  raw_stack!G$2:G$99411,
  raw_stack!D$2:D$99411, G255,
  raw_stack!F$2:F$99411, "Iya",
  raw_stack!G$2:G$99411, "&gt;="&amp;DATE(2026,1,1),
  raw_stack!G$2:G$99411, "&lt;="&amp;EOMONTH(DATE(2026,1,1),0)
 ),
 IF(_xlpm.x=0, "-", _xlpm.x)
)</f>
        <v>-</v>
      </c>
      <c r="AB255" s="56" t="str">
        <f>_xlfn.LET(
 _xlpm.x,
 _xlfn.MAXIFS(
  raw_stack!H$2:H$100000,
  raw_stack!D$2:D$100000, G255,
  raw_stack!F$2:F$100000, "Iya",
  raw_stack!G$2:G$100000, "&gt;="&amp;DATE(2026,1,1),
  raw_stack!G$2:G$100000, "&lt;="&amp;EOMONTH(DATE(2026,1,1),0)
 ),
 IF(OR(_xlpm.x=0, _xlpm.x=""), "-", _xlpm.x)
)</f>
        <v>-</v>
      </c>
      <c r="AC255" s="55" t="str">
        <f>_xlfn.LET(
 _xlpm.x,
 _xlfn.MAXIFS(
  raw_stack!G$2:G$99411,
  raw_stack!D$2:D$99411, G255,
  raw_stack!F$2:F$99411, "Iya",
  raw_stack!G$2:G$99411, "&gt;="&amp;DATE(2026,2,1),
  raw_stack!G$2:G$99411, "&lt;="&amp;EOMONTH(DATE(2026,2,1),0)
 ),
 IF(_xlpm.x=0, "-", _xlpm.x)
)</f>
        <v>-</v>
      </c>
      <c r="AD255" s="56" t="str">
        <f>_xlfn.LET(
 _xlpm.x,
 _xlfn.MAXIFS(
  raw_stack!H$2:H$100000,
  raw_stack!D$2:D$100000, G255,
  raw_stack!F$2:F$100000, "Iya",
  raw_stack!G$2:G$100000, "&gt;="&amp;DATE(2026,2,1),
  raw_stack!G$2:G$100000, "&lt;="&amp;EOMONTH(DATE(2026,2,1),0)
 ),
 IF(OR(_xlpm.x=0, _xlpm.x=""), "-", _xlpm.x)
)</f>
        <v>-</v>
      </c>
      <c r="AE255" s="55" t="str">
        <f>_xlfn.LET(
 _xlpm.x,
 _xlfn.MAXIFS(
  raw_stack!G$2:G$100000,
  raw_stack!D$2:D$100000, G255,
  raw_stack!F$2:F$100000, "Iya",
  raw_stack!G$2:G$100000, "&gt;="&amp;DATE(2026,3,1),
  raw_stack!G$2:G$100000, "&lt;="&amp;EOMONTH(DATE(2026,3,1),0)
 ),
 IF(_xlpm.x=0, "-", _xlpm.x)
)</f>
        <v>-</v>
      </c>
      <c r="AF255" s="56" t="str">
        <f>_xlfn.LET(
 _xlpm.x,
 _xlfn.MAXIFS(
  raw_stack!H$2:H$100000,
  raw_stack!D$2:D$100000, G255,
  raw_stack!F$2:F$100000, "Iya",
  raw_stack!G$2:G$100000, "&gt;="&amp;DATE(2026,3,1),
  raw_stack!G$2:G$100000, "&lt;="&amp;EOMONTH(DATE(2026,3,1),0)
 ),
 IF(OR(_xlpm.x=0, _xlpm.x=""), "-", _xlpm.x)
)</f>
        <v>-</v>
      </c>
      <c r="AG255" s="55" t="str">
        <f>_xlfn.LET(
 _xlpm.x,
 _xlfn.MAXIFS(
  raw_stack!G$2:G$100000,
  raw_stack!D$2:D$100000, G255,
  raw_stack!F$2:F$100000, "Iya",
  raw_stack!G$2:G$100000, "&gt;="&amp;DATE(2026,4,1),
  raw_stack!G$2:G$100000, "&lt;="&amp;EOMONTH(DATE(2026,4,1),0)
 ),
 IF(_xlpm.x=0, "-", _xlpm.x)
)</f>
        <v>-</v>
      </c>
      <c r="AH255" s="56" t="str">
        <f>_xlfn.LET(
 _xlpm.x,
 _xlfn.MAXIFS(
  raw_stack!H$2:H$100000,
  raw_stack!D$2:D$100000, G255,
  raw_stack!F$2:F$100000, "Iya",
  raw_stack!G$2:G$100000, "&gt;="&amp;DATE(2026,4,1),
  raw_stack!G$2:G$100000, "&lt;="&amp;EOMONTH(DATE(2026,4,1),0)
 ),
 IF(OR(_xlpm.x=0, _xlpm.x=""), "-", _xlpm.x)
)</f>
        <v>-</v>
      </c>
    </row>
    <row r="256" spans="1:34">
      <c r="A256" s="48">
        <v>255</v>
      </c>
      <c r="B256" s="49" t="str">
        <f t="shared" si="4"/>
        <v>44362</v>
      </c>
      <c r="C256" s="50" t="s">
        <v>46</v>
      </c>
      <c r="D256" s="51" t="s">
        <v>526</v>
      </c>
      <c r="E256" s="51" t="s">
        <v>51</v>
      </c>
      <c r="F256" s="49" t="s">
        <v>117</v>
      </c>
      <c r="G256" s="49" t="s">
        <v>372</v>
      </c>
      <c r="H256" s="49" t="s">
        <v>48</v>
      </c>
      <c r="I256" s="49" t="s">
        <v>52</v>
      </c>
      <c r="J256" s="52">
        <v>3880000</v>
      </c>
      <c r="K256" s="53">
        <v>45796</v>
      </c>
      <c r="L256" s="53">
        <v>46891</v>
      </c>
      <c r="M256" s="53">
        <v>46071</v>
      </c>
      <c r="N256" s="49" t="s">
        <v>50</v>
      </c>
      <c r="O256" s="54" t="str">
        <f>_xlfn.LET(
 _xlpm.x,
 _xlfn.MAXIFS(
  raw_stack!G$2:G$100000,
  raw_stack!D$2:D$100000, G256,
  raw_stack!F$2:F$100000, "Iya",
  raw_stack!G$2:G$100000, "&gt;="&amp;DATE(2025,7,1),
  raw_stack!G$2:G$100000, "&lt;="&amp;EOMONTH(DATE(2025,7,1),0)
 ),
 IF(_xlpm.x=0, "-", _xlpm.x)
)</f>
        <v>-</v>
      </c>
      <c r="P256" s="65" t="str">
        <f>_xlfn.LET(
 _xlpm.x,
 _xlfn.MAXIFS(
  raw_stack!H$2:H$100000,
  raw_stack!D$2:D$100000, G256,
  raw_stack!F$2:F$100000, "Iya",
  raw_stack!G$2:G$100000, "&gt;="&amp;DATE(2025,7,1),
  raw_stack!G$2:G$100000, "&lt;="&amp;EOMONTH(DATE(2025,7,1),0)
 ),
 IF(OR(_xlpm.x=0, _xlpm.x=""), "-", _xlpm.x)
)</f>
        <v>-</v>
      </c>
      <c r="Q256" s="54" t="str">
        <f>_xlfn.LET(
 _xlpm.x,
 _xlfn.MAXIFS(
  raw_stack!G$2:G$99411,
  raw_stack!D$2:D$99411, G256,
  raw_stack!F$2:F$99411, "Iya",
  raw_stack!G$2:G$99411, "&gt;="&amp;DATE(2025,8,1),
  raw_stack!G$2:G$99411, "&lt;="&amp;EOMONTH(DATE(2025,8,1),0)
 ),
 IF(_xlpm.x=0, "-", _xlpm.x)
)</f>
        <v>-</v>
      </c>
      <c r="R256" s="65" t="str">
        <f>_xlfn.LET(
 _xlpm.x,
 _xlfn.MAXIFS(
  raw_stack!H$2:H$100000,
  raw_stack!D$2:D$100000, G256,
  raw_stack!F$2:F$100000, "Iya",
  raw_stack!G$2:G$100000, "&gt;="&amp;DATE(2025,8,1),
  raw_stack!G$2:G$100000, "&lt;="&amp;EOMONTH(DATE(2025,8,1),0)
 ),
 IF(OR(_xlpm.x=0, _xlpm.x=""), "-", _xlpm.x)
)</f>
        <v>-</v>
      </c>
      <c r="S256" s="54">
        <f>_xlfn.LET(
 _xlpm.x,
 _xlfn.MAXIFS(
  raw_stack!G$2:G$99411,
  raw_stack!D$2:D$99411, G256,
  raw_stack!F$2:F$99411, "Iya",
  raw_stack!G$2:G$99411, "&gt;="&amp;DATE(2025,9,1),
  raw_stack!G$2:G$99411, "&lt;="&amp;EOMONTH(DATE(2025,9,1),0)
 ),
 IF(_xlpm.x=0, "-", _xlpm.x)
)</f>
        <v>45909</v>
      </c>
      <c r="T256" s="65">
        <f>_xlfn.LET(
 _xlpm.x,
 _xlfn.MAXIFS(
  raw_stack!H$2:H$100000,
  raw_stack!D$2:D$100000, G256,
  raw_stack!F$2:F$100000, "Iya",
  raw_stack!G$2:G$100000, "&gt;="&amp;DATE(2025,9,1),
  raw_stack!G$2:G$100000, "&lt;="&amp;EOMONTH(DATE(2025,9,1),0)
 ),
 IF(OR(_xlpm.x=0, _xlpm.x=""), "-", _xlpm.x)
)</f>
        <v>6363</v>
      </c>
      <c r="U256" s="54" t="str">
        <f>_xlfn.LET(
 _xlpm.x,
 _xlfn.MAXIFS(
  raw_stack!G$2:G$99411,
  raw_stack!D$2:D$99411, G256,
  raw_stack!F$2:F$99411, "Iya",
  raw_stack!G$2:G$99411, "&gt;="&amp;DATE(2025,10,1),
  raw_stack!G$2:G$99411, "&lt;="&amp;EOMONTH(DATE(2025,10,1),0)
 ),
 IF(_xlpm.x=0, "-", _xlpm.x)
)</f>
        <v>-</v>
      </c>
      <c r="V256" s="65" t="str">
        <f>_xlfn.LET(
 _xlpm.x,
 _xlfn.MAXIFS(
  raw_stack!H$2:H$100000,
  raw_stack!D$2:D$100000, G256,
  raw_stack!F$2:F$100000, "Iya",
  raw_stack!G$2:G$100000, "&gt;="&amp;DATE(2025,10,1),
  raw_stack!G$2:G$100000, "&lt;="&amp;EOMONTH(DATE(2025,10,1),0)
 ),
 IF(OR(_xlpm.x=0, _xlpm.x=""), "-", _xlpm.x)
)</f>
        <v>-</v>
      </c>
      <c r="W256" s="55" t="str">
        <f>_xlfn.LET(
 _xlpm.x,
 _xlfn.MAXIFS(
  raw_stack!G$2:G$99411,
  raw_stack!D$2:D$99411, G256,
  raw_stack!F$2:F$99411, "Iya",
  raw_stack!G$2:G$99411, "&gt;="&amp;DATE(2025,11,1),
  raw_stack!G$2:G$99411, "&lt;="&amp;EOMONTH(DATE(2025,11,1),0)
 ),
 IF(_xlpm.x=0, "-", _xlpm.x)
)</f>
        <v>-</v>
      </c>
      <c r="X256" s="56" t="str">
        <f>_xlfn.LET(
 _xlpm.x,
 _xlfn.MAXIFS(
  raw_stack!H$2:H$100000,
  raw_stack!D$2:D$100000, G256,
  raw_stack!F$2:F$100000, "Iya",
  raw_stack!G$2:G$100000, "&gt;="&amp;DATE(2025,11,1),
  raw_stack!G$2:G$100000, "&lt;="&amp;EOMONTH(DATE(2025,11,1),0)
 ),
 IF(OR(_xlpm.x=0, _xlpm.x=""), "-", _xlpm.x)
)</f>
        <v>-</v>
      </c>
      <c r="Y256" s="55" t="str">
        <f>_xlfn.LET(
 _xlpm.x,
 _xlfn.MAXIFS(
  raw_stack!G$2:G$99411,
  raw_stack!D$2:D$99411, G256,
  raw_stack!F$2:F$99411, "Iya",
  raw_stack!G$2:G$99411, "&gt;="&amp;DATE(2025,12,1),
  raw_stack!G$2:G$99411, "&lt;="&amp;EOMONTH(DATE(2025,12,1),0)
 ),
 IF(_xlpm.x=0, "-", _xlpm.x)
)</f>
        <v>-</v>
      </c>
      <c r="Z256" s="56" t="str">
        <f>_xlfn.LET(
 _xlpm.x,
 _xlfn.MAXIFS(
  raw_stack!H$2:H$100000,
  raw_stack!D$2:D$100000, G256,
  raw_stack!F$2:F$100000, "Iya",
  raw_stack!G$2:G$100000, "&gt;="&amp;DATE(2025,12,1),
  raw_stack!G$2:G$100000, "&lt;="&amp;EOMONTH(DATE(2025,12,1),0)
 ),
 IF(OR(_xlpm.x=0, _xlpm.x=""), "-", _xlpm.x)
)</f>
        <v>-</v>
      </c>
      <c r="AA256" s="55" t="str">
        <f>_xlfn.LET(
 _xlpm.x,
 _xlfn.MAXIFS(
  raw_stack!G$2:G$99411,
  raw_stack!D$2:D$99411, G256,
  raw_stack!F$2:F$99411, "Iya",
  raw_stack!G$2:G$99411, "&gt;="&amp;DATE(2026,1,1),
  raw_stack!G$2:G$99411, "&lt;="&amp;EOMONTH(DATE(2026,1,1),0)
 ),
 IF(_xlpm.x=0, "-", _xlpm.x)
)</f>
        <v>-</v>
      </c>
      <c r="AB256" s="56" t="str">
        <f>_xlfn.LET(
 _xlpm.x,
 _xlfn.MAXIFS(
  raw_stack!H$2:H$100000,
  raw_stack!D$2:D$100000, G256,
  raw_stack!F$2:F$100000, "Iya",
  raw_stack!G$2:G$100000, "&gt;="&amp;DATE(2026,1,1),
  raw_stack!G$2:G$100000, "&lt;="&amp;EOMONTH(DATE(2026,1,1),0)
 ),
 IF(OR(_xlpm.x=0, _xlpm.x=""), "-", _xlpm.x)
)</f>
        <v>-</v>
      </c>
      <c r="AC256" s="55" t="str">
        <f>_xlfn.LET(
 _xlpm.x,
 _xlfn.MAXIFS(
  raw_stack!G$2:G$99411,
  raw_stack!D$2:D$99411, G256,
  raw_stack!F$2:F$99411, "Iya",
  raw_stack!G$2:G$99411, "&gt;="&amp;DATE(2026,2,1),
  raw_stack!G$2:G$99411, "&lt;="&amp;EOMONTH(DATE(2026,2,1),0)
 ),
 IF(_xlpm.x=0, "-", _xlpm.x)
)</f>
        <v>-</v>
      </c>
      <c r="AD256" s="56" t="str">
        <f>_xlfn.LET(
 _xlpm.x,
 _xlfn.MAXIFS(
  raw_stack!H$2:H$100000,
  raw_stack!D$2:D$100000, G256,
  raw_stack!F$2:F$100000, "Iya",
  raw_stack!G$2:G$100000, "&gt;="&amp;DATE(2026,2,1),
  raw_stack!G$2:G$100000, "&lt;="&amp;EOMONTH(DATE(2026,2,1),0)
 ),
 IF(OR(_xlpm.x=0, _xlpm.x=""), "-", _xlpm.x)
)</f>
        <v>-</v>
      </c>
      <c r="AE256" s="55">
        <f>_xlfn.LET(
 _xlpm.x,
 _xlfn.MAXIFS(
  raw_stack!G$2:G$100000,
  raw_stack!D$2:D$100000, G256,
  raw_stack!F$2:F$100000, "Iya",
  raw_stack!G$2:G$100000, "&gt;="&amp;DATE(2026,3,1),
  raw_stack!G$2:G$100000, "&lt;="&amp;EOMONTH(DATE(2026,3,1),0)
 ),
 IF(_xlpm.x=0, "-", _xlpm.x)
)</f>
        <v>46110</v>
      </c>
      <c r="AF256" s="56">
        <f>_xlfn.LET(
 _xlpm.x,
 _xlfn.MAXIFS(
  raw_stack!H$2:H$100000,
  raw_stack!D$2:D$100000, G256,
  raw_stack!F$2:F$100000, "Iya",
  raw_stack!G$2:G$100000, "&gt;="&amp;DATE(2026,3,1),
  raw_stack!G$2:G$100000, "&lt;="&amp;EOMONTH(DATE(2026,3,1),0)
 ),
 IF(OR(_xlpm.x=0, _xlpm.x=""), "-", _xlpm.x)
)</f>
        <v>6751</v>
      </c>
      <c r="AG256" s="55" t="str">
        <f>_xlfn.LET(
 _xlpm.x,
 _xlfn.MAXIFS(
  raw_stack!G$2:G$100000,
  raw_stack!D$2:D$100000, G256,
  raw_stack!F$2:F$100000, "Iya",
  raw_stack!G$2:G$100000, "&gt;="&amp;DATE(2026,4,1),
  raw_stack!G$2:G$100000, "&lt;="&amp;EOMONTH(DATE(2026,4,1),0)
 ),
 IF(_xlpm.x=0, "-", _xlpm.x)
)</f>
        <v>-</v>
      </c>
      <c r="AH256" s="56" t="str">
        <f>_xlfn.LET(
 _xlpm.x,
 _xlfn.MAXIFS(
  raw_stack!H$2:H$100000,
  raw_stack!D$2:D$100000, G256,
  raw_stack!F$2:F$100000, "Iya",
  raw_stack!G$2:G$100000, "&gt;="&amp;DATE(2026,4,1),
  raw_stack!G$2:G$100000, "&lt;="&amp;EOMONTH(DATE(2026,4,1),0)
 ),
 IF(OR(_xlpm.x=0, _xlpm.x=""), "-", _xlpm.x)
)</f>
        <v>-</v>
      </c>
    </row>
    <row r="257" spans="1:34">
      <c r="A257" s="48">
        <v>256</v>
      </c>
      <c r="B257" s="49" t="str">
        <f t="shared" si="4"/>
        <v>95337</v>
      </c>
      <c r="C257" s="50" t="s">
        <v>46</v>
      </c>
      <c r="D257" s="51" t="s">
        <v>491</v>
      </c>
      <c r="E257" s="51" t="s">
        <v>47</v>
      </c>
      <c r="F257" s="49" t="s">
        <v>117</v>
      </c>
      <c r="G257" s="49" t="s">
        <v>373</v>
      </c>
      <c r="H257" s="49" t="s">
        <v>48</v>
      </c>
      <c r="I257" s="49" t="s">
        <v>49</v>
      </c>
      <c r="J257" s="52">
        <v>4595000</v>
      </c>
      <c r="K257" s="53">
        <v>45797</v>
      </c>
      <c r="L257" s="53">
        <v>46892</v>
      </c>
      <c r="M257" s="53">
        <v>46072</v>
      </c>
      <c r="N257" s="49" t="s">
        <v>50</v>
      </c>
      <c r="O257" s="54" t="str">
        <f>_xlfn.LET(
 _xlpm.x,
 _xlfn.MAXIFS(
  raw_stack!G$2:G$100000,
  raw_stack!D$2:D$100000, G257,
  raw_stack!F$2:F$100000, "Iya",
  raw_stack!G$2:G$100000, "&gt;="&amp;DATE(2025,7,1),
  raw_stack!G$2:G$100000, "&lt;="&amp;EOMONTH(DATE(2025,7,1),0)
 ),
 IF(_xlpm.x=0, "-", _xlpm.x)
)</f>
        <v>-</v>
      </c>
      <c r="P257" s="65" t="str">
        <f>_xlfn.LET(
 _xlpm.x,
 _xlfn.MAXIFS(
  raw_stack!H$2:H$100000,
  raw_stack!D$2:D$100000, G257,
  raw_stack!F$2:F$100000, "Iya",
  raw_stack!G$2:G$100000, "&gt;="&amp;DATE(2025,7,1),
  raw_stack!G$2:G$100000, "&lt;="&amp;EOMONTH(DATE(2025,7,1),0)
 ),
 IF(OR(_xlpm.x=0, _xlpm.x=""), "-", _xlpm.x)
)</f>
        <v>-</v>
      </c>
      <c r="Q257" s="54" t="str">
        <f>_xlfn.LET(
 _xlpm.x,
 _xlfn.MAXIFS(
  raw_stack!G$2:G$99411,
  raw_stack!D$2:D$99411, G257,
  raw_stack!F$2:F$99411, "Iya",
  raw_stack!G$2:G$99411, "&gt;="&amp;DATE(2025,8,1),
  raw_stack!G$2:G$99411, "&lt;="&amp;EOMONTH(DATE(2025,8,1),0)
 ),
 IF(_xlpm.x=0, "-", _xlpm.x)
)</f>
        <v>-</v>
      </c>
      <c r="R257" s="65" t="str">
        <f>_xlfn.LET(
 _xlpm.x,
 _xlfn.MAXIFS(
  raw_stack!H$2:H$100000,
  raw_stack!D$2:D$100000, G257,
  raw_stack!F$2:F$100000, "Iya",
  raw_stack!G$2:G$100000, "&gt;="&amp;DATE(2025,8,1),
  raw_stack!G$2:G$100000, "&lt;="&amp;EOMONTH(DATE(2025,8,1),0)
 ),
 IF(OR(_xlpm.x=0, _xlpm.x=""), "-", _xlpm.x)
)</f>
        <v>-</v>
      </c>
      <c r="S257" s="54">
        <f>_xlfn.LET(
 _xlpm.x,
 _xlfn.MAXIFS(
  raw_stack!G$2:G$99411,
  raw_stack!D$2:D$99411, G257,
  raw_stack!F$2:F$99411, "Iya",
  raw_stack!G$2:G$99411, "&gt;="&amp;DATE(2025,9,1),
  raw_stack!G$2:G$99411, "&lt;="&amp;EOMONTH(DATE(2025,9,1),0)
 ),
 IF(_xlpm.x=0, "-", _xlpm.x)
)</f>
        <v>45918</v>
      </c>
      <c r="T257" s="65">
        <f>_xlfn.LET(
 _xlpm.x,
 _xlfn.MAXIFS(
  raw_stack!H$2:H$100000,
  raw_stack!D$2:D$100000, G257,
  raw_stack!F$2:F$100000, "Iya",
  raw_stack!G$2:G$100000, "&gt;="&amp;DATE(2025,9,1),
  raw_stack!G$2:G$100000, "&lt;="&amp;EOMONTH(DATE(2025,9,1),0)
 ),
 IF(OR(_xlpm.x=0, _xlpm.x=""), "-", _xlpm.x)
)</f>
        <v>10448</v>
      </c>
      <c r="U257" s="54">
        <f>_xlfn.LET(
 _xlpm.x,
 _xlfn.MAXIFS(
  raw_stack!G$2:G$99411,
  raw_stack!D$2:D$99411, G257,
  raw_stack!F$2:F$99411, "Iya",
  raw_stack!G$2:G$99411, "&gt;="&amp;DATE(2025,10,1),
  raw_stack!G$2:G$99411, "&lt;="&amp;EOMONTH(DATE(2025,10,1),0)
 ),
 IF(_xlpm.x=0, "-", _xlpm.x)
)</f>
        <v>45955</v>
      </c>
      <c r="V257" s="65">
        <f>_xlfn.LET(
 _xlpm.x,
 _xlfn.MAXIFS(
  raw_stack!H$2:H$100000,
  raw_stack!D$2:D$100000, G257,
  raw_stack!F$2:F$100000, "Iya",
  raw_stack!G$2:G$100000, "&gt;="&amp;DATE(2025,10,1),
  raw_stack!G$2:G$100000, "&lt;="&amp;EOMONTH(DATE(2025,10,1),0)
 ),
 IF(OR(_xlpm.x=0, _xlpm.x=""), "-", _xlpm.x)
)</f>
        <v>13179</v>
      </c>
      <c r="W257" s="55" t="str">
        <f>_xlfn.LET(
 _xlpm.x,
 _xlfn.MAXIFS(
  raw_stack!G$2:G$99411,
  raw_stack!D$2:D$99411, G257,
  raw_stack!F$2:F$99411, "Iya",
  raw_stack!G$2:G$99411, "&gt;="&amp;DATE(2025,11,1),
  raw_stack!G$2:G$99411, "&lt;="&amp;EOMONTH(DATE(2025,11,1),0)
 ),
 IF(_xlpm.x=0, "-", _xlpm.x)
)</f>
        <v>-</v>
      </c>
      <c r="X257" s="56" t="str">
        <f>_xlfn.LET(
 _xlpm.x,
 _xlfn.MAXIFS(
  raw_stack!H$2:H$100000,
  raw_stack!D$2:D$100000, G257,
  raw_stack!F$2:F$100000, "Iya",
  raw_stack!G$2:G$100000, "&gt;="&amp;DATE(2025,11,1),
  raw_stack!G$2:G$100000, "&lt;="&amp;EOMONTH(DATE(2025,11,1),0)
 ),
 IF(OR(_xlpm.x=0, _xlpm.x=""), "-", _xlpm.x)
)</f>
        <v>-</v>
      </c>
      <c r="Y257" s="55">
        <f>_xlfn.LET(
 _xlpm.x,
 _xlfn.MAXIFS(
  raw_stack!G$2:G$99411,
  raw_stack!D$2:D$99411, G257,
  raw_stack!F$2:F$99411, "Iya",
  raw_stack!G$2:G$99411, "&gt;="&amp;DATE(2025,12,1),
  raw_stack!G$2:G$99411, "&lt;="&amp;EOMONTH(DATE(2025,12,1),0)
 ),
 IF(_xlpm.x=0, "-", _xlpm.x)
)</f>
        <v>46021</v>
      </c>
      <c r="Z257" s="56">
        <f>_xlfn.LET(
 _xlpm.x,
 _xlfn.MAXIFS(
  raw_stack!H$2:H$100000,
  raw_stack!D$2:D$100000, G257,
  raw_stack!F$2:F$100000, "Iya",
  raw_stack!G$2:G$100000, "&gt;="&amp;DATE(2025,12,1),
  raw_stack!G$2:G$100000, "&lt;="&amp;EOMONTH(DATE(2025,12,1),0)
 ),
 IF(OR(_xlpm.x=0, _xlpm.x=""), "-", _xlpm.x)
)</f>
        <v>22971</v>
      </c>
      <c r="AA257" s="55" t="str">
        <f>_xlfn.LET(
 _xlpm.x,
 _xlfn.MAXIFS(
  raw_stack!G$2:G$99411,
  raw_stack!D$2:D$99411, G257,
  raw_stack!F$2:F$99411, "Iya",
  raw_stack!G$2:G$99411, "&gt;="&amp;DATE(2026,1,1),
  raw_stack!G$2:G$99411, "&lt;="&amp;EOMONTH(DATE(2026,1,1),0)
 ),
 IF(_xlpm.x=0, "-", _xlpm.x)
)</f>
        <v>-</v>
      </c>
      <c r="AB257" s="56" t="str">
        <f>_xlfn.LET(
 _xlpm.x,
 _xlfn.MAXIFS(
  raw_stack!H$2:H$100000,
  raw_stack!D$2:D$100000, G257,
  raw_stack!F$2:F$100000, "Iya",
  raw_stack!G$2:G$100000, "&gt;="&amp;DATE(2026,1,1),
  raw_stack!G$2:G$100000, "&lt;="&amp;EOMONTH(DATE(2026,1,1),0)
 ),
 IF(OR(_xlpm.x=0, _xlpm.x=""), "-", _xlpm.x)
)</f>
        <v>-</v>
      </c>
      <c r="AC257" s="55" t="str">
        <f>_xlfn.LET(
 _xlpm.x,
 _xlfn.MAXIFS(
  raw_stack!G$2:G$99411,
  raw_stack!D$2:D$99411, G257,
  raw_stack!F$2:F$99411, "Iya",
  raw_stack!G$2:G$99411, "&gt;="&amp;DATE(2026,2,1),
  raw_stack!G$2:G$99411, "&lt;="&amp;EOMONTH(DATE(2026,2,1),0)
 ),
 IF(_xlpm.x=0, "-", _xlpm.x)
)</f>
        <v>-</v>
      </c>
      <c r="AD257" s="56" t="str">
        <f>_xlfn.LET(
 _xlpm.x,
 _xlfn.MAXIFS(
  raw_stack!H$2:H$100000,
  raw_stack!D$2:D$100000, G257,
  raw_stack!F$2:F$100000, "Iya",
  raw_stack!G$2:G$100000, "&gt;="&amp;DATE(2026,2,1),
  raw_stack!G$2:G$100000, "&lt;="&amp;EOMONTH(DATE(2026,2,1),0)
 ),
 IF(OR(_xlpm.x=0, _xlpm.x=""), "-", _xlpm.x)
)</f>
        <v>-</v>
      </c>
      <c r="AE257" s="55" t="str">
        <f>_xlfn.LET(
 _xlpm.x,
 _xlfn.MAXIFS(
  raw_stack!G$2:G$100000,
  raw_stack!D$2:D$100000, G257,
  raw_stack!F$2:F$100000, "Iya",
  raw_stack!G$2:G$100000, "&gt;="&amp;DATE(2026,3,1),
  raw_stack!G$2:G$100000, "&lt;="&amp;EOMONTH(DATE(2026,3,1),0)
 ),
 IF(_xlpm.x=0, "-", _xlpm.x)
)</f>
        <v>-</v>
      </c>
      <c r="AF257" s="56" t="str">
        <f>_xlfn.LET(
 _xlpm.x,
 _xlfn.MAXIFS(
  raw_stack!H$2:H$100000,
  raw_stack!D$2:D$100000, G257,
  raw_stack!F$2:F$100000, "Iya",
  raw_stack!G$2:G$100000, "&gt;="&amp;DATE(2026,3,1),
  raw_stack!G$2:G$100000, "&lt;="&amp;EOMONTH(DATE(2026,3,1),0)
 ),
 IF(OR(_xlpm.x=0, _xlpm.x=""), "-", _xlpm.x)
)</f>
        <v>-</v>
      </c>
      <c r="AG257" s="55" t="str">
        <f>_xlfn.LET(
 _xlpm.x,
 _xlfn.MAXIFS(
  raw_stack!G$2:G$100000,
  raw_stack!D$2:D$100000, G257,
  raw_stack!F$2:F$100000, "Iya",
  raw_stack!G$2:G$100000, "&gt;="&amp;DATE(2026,4,1),
  raw_stack!G$2:G$100000, "&lt;="&amp;EOMONTH(DATE(2026,4,1),0)
 ),
 IF(_xlpm.x=0, "-", _xlpm.x)
)</f>
        <v>-</v>
      </c>
      <c r="AH257" s="56" t="str">
        <f>_xlfn.LET(
 _xlpm.x,
 _xlfn.MAXIFS(
  raw_stack!H$2:H$100000,
  raw_stack!D$2:D$100000, G257,
  raw_stack!F$2:F$100000, "Iya",
  raw_stack!G$2:G$100000, "&gt;="&amp;DATE(2026,4,1),
  raw_stack!G$2:G$100000, "&lt;="&amp;EOMONTH(DATE(2026,4,1),0)
 ),
 IF(OR(_xlpm.x=0, _xlpm.x=""), "-", _xlpm.x)
)</f>
        <v>-</v>
      </c>
    </row>
    <row r="258" spans="1:34">
      <c r="A258" s="48">
        <v>257</v>
      </c>
      <c r="B258" s="49" t="e">
        <f t="shared" si="4"/>
        <v>#N/A</v>
      </c>
      <c r="C258" s="50" t="s">
        <v>46</v>
      </c>
      <c r="D258" s="51" t="e">
        <v>#N/A</v>
      </c>
      <c r="E258" s="51" t="s">
        <v>54</v>
      </c>
      <c r="F258" s="49" t="s">
        <v>117</v>
      </c>
      <c r="G258" s="49" t="s">
        <v>374</v>
      </c>
      <c r="H258" s="49" t="s">
        <v>48</v>
      </c>
      <c r="I258" s="49" t="s">
        <v>52</v>
      </c>
      <c r="J258" s="52">
        <v>6600000</v>
      </c>
      <c r="K258" s="53">
        <v>45798</v>
      </c>
      <c r="L258" s="53">
        <v>46893</v>
      </c>
      <c r="M258" s="53">
        <v>46073</v>
      </c>
      <c r="N258" s="49" t="s">
        <v>50</v>
      </c>
      <c r="O258" s="54" t="str">
        <f>_xlfn.LET(
 _xlpm.x,
 _xlfn.MAXIFS(
  raw_stack!G$2:G$100000,
  raw_stack!D$2:D$100000, G258,
  raw_stack!F$2:F$100000, "Iya",
  raw_stack!G$2:G$100000, "&gt;="&amp;DATE(2025,7,1),
  raw_stack!G$2:G$100000, "&lt;="&amp;EOMONTH(DATE(2025,7,1),0)
 ),
 IF(_xlpm.x=0, "-", _xlpm.x)
)</f>
        <v>-</v>
      </c>
      <c r="P258" s="65" t="str">
        <f>_xlfn.LET(
 _xlpm.x,
 _xlfn.MAXIFS(
  raw_stack!H$2:H$100000,
  raw_stack!D$2:D$100000, G258,
  raw_stack!F$2:F$100000, "Iya",
  raw_stack!G$2:G$100000, "&gt;="&amp;DATE(2025,7,1),
  raw_stack!G$2:G$100000, "&lt;="&amp;EOMONTH(DATE(2025,7,1),0)
 ),
 IF(OR(_xlpm.x=0, _xlpm.x=""), "-", _xlpm.x)
)</f>
        <v>-</v>
      </c>
      <c r="Q258" s="54">
        <f>_xlfn.LET(
 _xlpm.x,
 _xlfn.MAXIFS(
  raw_stack!G$2:G$99411,
  raw_stack!D$2:D$99411, G258,
  raw_stack!F$2:F$99411, "Iya",
  raw_stack!G$2:G$99411, "&gt;="&amp;DATE(2025,8,1),
  raw_stack!G$2:G$99411, "&lt;="&amp;EOMONTH(DATE(2025,8,1),0)
 ),
 IF(_xlpm.x=0, "-", _xlpm.x)
)</f>
        <v>45895</v>
      </c>
      <c r="R258" s="65">
        <f>_xlfn.LET(
 _xlpm.x,
 _xlfn.MAXIFS(
  raw_stack!H$2:H$100000,
  raw_stack!D$2:D$100000, G258,
  raw_stack!F$2:F$100000, "Iya",
  raw_stack!G$2:G$100000, "&gt;="&amp;DATE(2025,8,1),
  raw_stack!G$2:G$100000, "&lt;="&amp;EOMONTH(DATE(2025,8,1),0)
 ),
 IF(OR(_xlpm.x=0, _xlpm.x=""), "-", _xlpm.x)
)</f>
        <v>2968</v>
      </c>
      <c r="S258" s="54">
        <f>_xlfn.LET(
 _xlpm.x,
 _xlfn.MAXIFS(
  raw_stack!G$2:G$99411,
  raw_stack!D$2:D$99411, G258,
  raw_stack!F$2:F$99411, "Iya",
  raw_stack!G$2:G$99411, "&gt;="&amp;DATE(2025,9,1),
  raw_stack!G$2:G$99411, "&lt;="&amp;EOMONTH(DATE(2025,9,1),0)
 ),
 IF(_xlpm.x=0, "-", _xlpm.x)
)</f>
        <v>45929</v>
      </c>
      <c r="T258" s="65">
        <f>_xlfn.LET(
 _xlpm.x,
 _xlfn.MAXIFS(
  raw_stack!H$2:H$100000,
  raw_stack!D$2:D$100000, G258,
  raw_stack!F$2:F$100000, "Iya",
  raw_stack!G$2:G$100000, "&gt;="&amp;DATE(2025,9,1),
  raw_stack!G$2:G$100000, "&lt;="&amp;EOMONTH(DATE(2025,9,1),0)
 ),
 IF(OR(_xlpm.x=0, _xlpm.x=""), "-", _xlpm.x)
)</f>
        <v>4574</v>
      </c>
      <c r="U258" s="54" t="str">
        <f>_xlfn.LET(
 _xlpm.x,
 _xlfn.MAXIFS(
  raw_stack!G$2:G$99411,
  raw_stack!D$2:D$99411, G258,
  raw_stack!F$2:F$99411, "Iya",
  raw_stack!G$2:G$99411, "&gt;="&amp;DATE(2025,10,1),
  raw_stack!G$2:G$99411, "&lt;="&amp;EOMONTH(DATE(2025,10,1),0)
 ),
 IF(_xlpm.x=0, "-", _xlpm.x)
)</f>
        <v>-</v>
      </c>
      <c r="V258" s="65" t="str">
        <f>_xlfn.LET(
 _xlpm.x,
 _xlfn.MAXIFS(
  raw_stack!H$2:H$100000,
  raw_stack!D$2:D$100000, G258,
  raw_stack!F$2:F$100000, "Iya",
  raw_stack!G$2:G$100000, "&gt;="&amp;DATE(2025,10,1),
  raw_stack!G$2:G$100000, "&lt;="&amp;EOMONTH(DATE(2025,10,1),0)
 ),
 IF(OR(_xlpm.x=0, _xlpm.x=""), "-", _xlpm.x)
)</f>
        <v>-</v>
      </c>
      <c r="W258" s="55" t="str">
        <f>_xlfn.LET(
 _xlpm.x,
 _xlfn.MAXIFS(
  raw_stack!G$2:G$99411,
  raw_stack!D$2:D$99411, G258,
  raw_stack!F$2:F$99411, "Iya",
  raw_stack!G$2:G$99411, "&gt;="&amp;DATE(2025,11,1),
  raw_stack!G$2:G$99411, "&lt;="&amp;EOMONTH(DATE(2025,11,1),0)
 ),
 IF(_xlpm.x=0, "-", _xlpm.x)
)</f>
        <v>-</v>
      </c>
      <c r="X258" s="56" t="str">
        <f>_xlfn.LET(
 _xlpm.x,
 _xlfn.MAXIFS(
  raw_stack!H$2:H$100000,
  raw_stack!D$2:D$100000, G258,
  raw_stack!F$2:F$100000, "Iya",
  raw_stack!G$2:G$100000, "&gt;="&amp;DATE(2025,11,1),
  raw_stack!G$2:G$100000, "&lt;="&amp;EOMONTH(DATE(2025,11,1),0)
 ),
 IF(OR(_xlpm.x=0, _xlpm.x=""), "-", _xlpm.x)
)</f>
        <v>-</v>
      </c>
      <c r="Y258" s="55" t="str">
        <f>_xlfn.LET(
 _xlpm.x,
 _xlfn.MAXIFS(
  raw_stack!G$2:G$99411,
  raw_stack!D$2:D$99411, G258,
  raw_stack!F$2:F$99411, "Iya",
  raw_stack!G$2:G$99411, "&gt;="&amp;DATE(2025,12,1),
  raw_stack!G$2:G$99411, "&lt;="&amp;EOMONTH(DATE(2025,12,1),0)
 ),
 IF(_xlpm.x=0, "-", _xlpm.x)
)</f>
        <v>-</v>
      </c>
      <c r="Z258" s="56" t="str">
        <f>_xlfn.LET(
 _xlpm.x,
 _xlfn.MAXIFS(
  raw_stack!H$2:H$100000,
  raw_stack!D$2:D$100000, G258,
  raw_stack!F$2:F$100000, "Iya",
  raw_stack!G$2:G$100000, "&gt;="&amp;DATE(2025,12,1),
  raw_stack!G$2:G$100000, "&lt;="&amp;EOMONTH(DATE(2025,12,1),0)
 ),
 IF(OR(_xlpm.x=0, _xlpm.x=""), "-", _xlpm.x)
)</f>
        <v>-</v>
      </c>
      <c r="AA258" s="55" t="str">
        <f>_xlfn.LET(
 _xlpm.x,
 _xlfn.MAXIFS(
  raw_stack!G$2:G$99411,
  raw_stack!D$2:D$99411, G258,
  raw_stack!F$2:F$99411, "Iya",
  raw_stack!G$2:G$99411, "&gt;="&amp;DATE(2026,1,1),
  raw_stack!G$2:G$99411, "&lt;="&amp;EOMONTH(DATE(2026,1,1),0)
 ),
 IF(_xlpm.x=0, "-", _xlpm.x)
)</f>
        <v>-</v>
      </c>
      <c r="AB258" s="56" t="str">
        <f>_xlfn.LET(
 _xlpm.x,
 _xlfn.MAXIFS(
  raw_stack!H$2:H$100000,
  raw_stack!D$2:D$100000, G258,
  raw_stack!F$2:F$100000, "Iya",
  raw_stack!G$2:G$100000, "&gt;="&amp;DATE(2026,1,1),
  raw_stack!G$2:G$100000, "&lt;="&amp;EOMONTH(DATE(2026,1,1),0)
 ),
 IF(OR(_xlpm.x=0, _xlpm.x=""), "-", _xlpm.x)
)</f>
        <v>-</v>
      </c>
      <c r="AC258" s="55" t="str">
        <f>_xlfn.LET(
 _xlpm.x,
 _xlfn.MAXIFS(
  raw_stack!G$2:G$99411,
  raw_stack!D$2:D$99411, G258,
  raw_stack!F$2:F$99411, "Iya",
  raw_stack!G$2:G$99411, "&gt;="&amp;DATE(2026,2,1),
  raw_stack!G$2:G$99411, "&lt;="&amp;EOMONTH(DATE(2026,2,1),0)
 ),
 IF(_xlpm.x=0, "-", _xlpm.x)
)</f>
        <v>-</v>
      </c>
      <c r="AD258" s="56" t="str">
        <f>_xlfn.LET(
 _xlpm.x,
 _xlfn.MAXIFS(
  raw_stack!H$2:H$100000,
  raw_stack!D$2:D$100000, G258,
  raw_stack!F$2:F$100000, "Iya",
  raw_stack!G$2:G$100000, "&gt;="&amp;DATE(2026,2,1),
  raw_stack!G$2:G$100000, "&lt;="&amp;EOMONTH(DATE(2026,2,1),0)
 ),
 IF(OR(_xlpm.x=0, _xlpm.x=""), "-", _xlpm.x)
)</f>
        <v>-</v>
      </c>
      <c r="AE258" s="55" t="str">
        <f>_xlfn.LET(
 _xlpm.x,
 _xlfn.MAXIFS(
  raw_stack!G$2:G$100000,
  raw_stack!D$2:D$100000, G258,
  raw_stack!F$2:F$100000, "Iya",
  raw_stack!G$2:G$100000, "&gt;="&amp;DATE(2026,3,1),
  raw_stack!G$2:G$100000, "&lt;="&amp;EOMONTH(DATE(2026,3,1),0)
 ),
 IF(_xlpm.x=0, "-", _xlpm.x)
)</f>
        <v>-</v>
      </c>
      <c r="AF258" s="56" t="str">
        <f>_xlfn.LET(
 _xlpm.x,
 _xlfn.MAXIFS(
  raw_stack!H$2:H$100000,
  raw_stack!D$2:D$100000, G258,
  raw_stack!F$2:F$100000, "Iya",
  raw_stack!G$2:G$100000, "&gt;="&amp;DATE(2026,3,1),
  raw_stack!G$2:G$100000, "&lt;="&amp;EOMONTH(DATE(2026,3,1),0)
 ),
 IF(OR(_xlpm.x=0, _xlpm.x=""), "-", _xlpm.x)
)</f>
        <v>-</v>
      </c>
      <c r="AG258" s="55" t="str">
        <f>_xlfn.LET(
 _xlpm.x,
 _xlfn.MAXIFS(
  raw_stack!G$2:G$100000,
  raw_stack!D$2:D$100000, G258,
  raw_stack!F$2:F$100000, "Iya",
  raw_stack!G$2:G$100000, "&gt;="&amp;DATE(2026,4,1),
  raw_stack!G$2:G$100000, "&lt;="&amp;EOMONTH(DATE(2026,4,1),0)
 ),
 IF(_xlpm.x=0, "-", _xlpm.x)
)</f>
        <v>-</v>
      </c>
      <c r="AH258" s="56" t="str">
        <f>_xlfn.LET(
 _xlpm.x,
 _xlfn.MAXIFS(
  raw_stack!H$2:H$100000,
  raw_stack!D$2:D$100000, G258,
  raw_stack!F$2:F$100000, "Iya",
  raw_stack!G$2:G$100000, "&gt;="&amp;DATE(2026,4,1),
  raw_stack!G$2:G$100000, "&lt;="&amp;EOMONTH(DATE(2026,4,1),0)
 ),
 IF(OR(_xlpm.x=0, _xlpm.x=""), "-", _xlpm.x)
)</f>
        <v>-</v>
      </c>
    </row>
    <row r="259" spans="1:34">
      <c r="A259" s="48">
        <v>258</v>
      </c>
      <c r="B259" s="49" t="str">
        <f t="shared" si="4"/>
        <v>16172</v>
      </c>
      <c r="C259" s="50" t="s">
        <v>46</v>
      </c>
      <c r="D259" s="51" t="s">
        <v>653</v>
      </c>
      <c r="E259" s="51" t="s">
        <v>51</v>
      </c>
      <c r="F259" s="49" t="s">
        <v>117</v>
      </c>
      <c r="G259" s="49" t="s">
        <v>375</v>
      </c>
      <c r="H259" s="49" t="s">
        <v>48</v>
      </c>
      <c r="I259" s="49" t="s">
        <v>52</v>
      </c>
      <c r="J259" s="52">
        <v>3880000</v>
      </c>
      <c r="K259" s="53">
        <v>45799</v>
      </c>
      <c r="L259" s="53">
        <v>46894</v>
      </c>
      <c r="M259" s="53">
        <v>46074</v>
      </c>
      <c r="N259" s="49" t="s">
        <v>50</v>
      </c>
      <c r="O259" s="54">
        <f>_xlfn.LET(
 _xlpm.x,
 _xlfn.MAXIFS(
  raw_stack!G$2:G$100000,
  raw_stack!D$2:D$100000, G259,
  raw_stack!F$2:F$100000, "Iya",
  raw_stack!G$2:G$100000, "&gt;="&amp;DATE(2025,7,1),
  raw_stack!G$2:G$100000, "&lt;="&amp;EOMONTH(DATE(2025,7,1),0)
 ),
 IF(_xlpm.x=0, "-", _xlpm.x)
)</f>
        <v>45862</v>
      </c>
      <c r="P259" s="65">
        <f>_xlfn.LET(
 _xlpm.x,
 _xlfn.MAXIFS(
  raw_stack!H$2:H$100000,
  raw_stack!D$2:D$100000, G259,
  raw_stack!F$2:F$100000, "Iya",
  raw_stack!G$2:G$100000, "&gt;="&amp;DATE(2025,7,1),
  raw_stack!G$2:G$100000, "&lt;="&amp;EOMONTH(DATE(2025,7,1),0)
 ),
 IF(OR(_xlpm.x=0, _xlpm.x=""), "-", _xlpm.x)
)</f>
        <v>3392</v>
      </c>
      <c r="Q259" s="54">
        <f>_xlfn.LET(
 _xlpm.x,
 _xlfn.MAXIFS(
  raw_stack!G$2:G$99411,
  raw_stack!D$2:D$99411, G259,
  raw_stack!F$2:F$99411, "Iya",
  raw_stack!G$2:G$99411, "&gt;="&amp;DATE(2025,8,1),
  raw_stack!G$2:G$99411, "&lt;="&amp;EOMONTH(DATE(2025,8,1),0)
 ),
 IF(_xlpm.x=0, "-", _xlpm.x)
)</f>
        <v>45871</v>
      </c>
      <c r="R259" s="65">
        <f>_xlfn.LET(
 _xlpm.x,
 _xlfn.MAXIFS(
  raw_stack!H$2:H$100000,
  raw_stack!D$2:D$100000, G259,
  raw_stack!F$2:F$100000, "Iya",
  raw_stack!G$2:G$100000, "&gt;="&amp;DATE(2025,8,1),
  raw_stack!G$2:G$100000, "&lt;="&amp;EOMONTH(DATE(2025,8,1),0)
 ),
 IF(OR(_xlpm.x=0, _xlpm.x=""), "-", _xlpm.x)
)</f>
        <v>10654</v>
      </c>
      <c r="S259" s="54" t="str">
        <f>_xlfn.LET(
 _xlpm.x,
 _xlfn.MAXIFS(
  raw_stack!G$2:G$99411,
  raw_stack!D$2:D$99411, G259,
  raw_stack!F$2:F$99411, "Iya",
  raw_stack!G$2:G$99411, "&gt;="&amp;DATE(2025,9,1),
  raw_stack!G$2:G$99411, "&lt;="&amp;EOMONTH(DATE(2025,9,1),0)
 ),
 IF(_xlpm.x=0, "-", _xlpm.x)
)</f>
        <v>-</v>
      </c>
      <c r="T259" s="65" t="str">
        <f>_xlfn.LET(
 _xlpm.x,
 _xlfn.MAXIFS(
  raw_stack!H$2:H$100000,
  raw_stack!D$2:D$100000, G259,
  raw_stack!F$2:F$100000, "Iya",
  raw_stack!G$2:G$100000, "&gt;="&amp;DATE(2025,9,1),
  raw_stack!G$2:G$100000, "&lt;="&amp;EOMONTH(DATE(2025,9,1),0)
 ),
 IF(OR(_xlpm.x=0, _xlpm.x=""), "-", _xlpm.x)
)</f>
        <v>-</v>
      </c>
      <c r="U259" s="54" t="str">
        <f>_xlfn.LET(
 _xlpm.x,
 _xlfn.MAXIFS(
  raw_stack!G$2:G$99411,
  raw_stack!D$2:D$99411, G259,
  raw_stack!F$2:F$99411, "Iya",
  raw_stack!G$2:G$99411, "&gt;="&amp;DATE(2025,10,1),
  raw_stack!G$2:G$99411, "&lt;="&amp;EOMONTH(DATE(2025,10,1),0)
 ),
 IF(_xlpm.x=0, "-", _xlpm.x)
)</f>
        <v>-</v>
      </c>
      <c r="V259" s="65" t="str">
        <f>_xlfn.LET(
 _xlpm.x,
 _xlfn.MAXIFS(
  raw_stack!H$2:H$100000,
  raw_stack!D$2:D$100000, G259,
  raw_stack!F$2:F$100000, "Iya",
  raw_stack!G$2:G$100000, "&gt;="&amp;DATE(2025,10,1),
  raw_stack!G$2:G$100000, "&lt;="&amp;EOMONTH(DATE(2025,10,1),0)
 ),
 IF(OR(_xlpm.x=0, _xlpm.x=""), "-", _xlpm.x)
)</f>
        <v>-</v>
      </c>
      <c r="W259" s="55" t="str">
        <f>_xlfn.LET(
 _xlpm.x,
 _xlfn.MAXIFS(
  raw_stack!G$2:G$99411,
  raw_stack!D$2:D$99411, G259,
  raw_stack!F$2:F$99411, "Iya",
  raw_stack!G$2:G$99411, "&gt;="&amp;DATE(2025,11,1),
  raw_stack!G$2:G$99411, "&lt;="&amp;EOMONTH(DATE(2025,11,1),0)
 ),
 IF(_xlpm.x=0, "-", _xlpm.x)
)</f>
        <v>-</v>
      </c>
      <c r="X259" s="56" t="str">
        <f>_xlfn.LET(
 _xlpm.x,
 _xlfn.MAXIFS(
  raw_stack!H$2:H$100000,
  raw_stack!D$2:D$100000, G259,
  raw_stack!F$2:F$100000, "Iya",
  raw_stack!G$2:G$100000, "&gt;="&amp;DATE(2025,11,1),
  raw_stack!G$2:G$100000, "&lt;="&amp;EOMONTH(DATE(2025,11,1),0)
 ),
 IF(OR(_xlpm.x=0, _xlpm.x=""), "-", _xlpm.x)
)</f>
        <v>-</v>
      </c>
      <c r="Y259" s="55" t="str">
        <f>_xlfn.LET(
 _xlpm.x,
 _xlfn.MAXIFS(
  raw_stack!G$2:G$99411,
  raw_stack!D$2:D$99411, G259,
  raw_stack!F$2:F$99411, "Iya",
  raw_stack!G$2:G$99411, "&gt;="&amp;DATE(2025,12,1),
  raw_stack!G$2:G$99411, "&lt;="&amp;EOMONTH(DATE(2025,12,1),0)
 ),
 IF(_xlpm.x=0, "-", _xlpm.x)
)</f>
        <v>-</v>
      </c>
      <c r="Z259" s="56" t="str">
        <f>_xlfn.LET(
 _xlpm.x,
 _xlfn.MAXIFS(
  raw_stack!H$2:H$100000,
  raw_stack!D$2:D$100000, G259,
  raw_stack!F$2:F$100000, "Iya",
  raw_stack!G$2:G$100000, "&gt;="&amp;DATE(2025,12,1),
  raw_stack!G$2:G$100000, "&lt;="&amp;EOMONTH(DATE(2025,12,1),0)
 ),
 IF(OR(_xlpm.x=0, _xlpm.x=""), "-", _xlpm.x)
)</f>
        <v>-</v>
      </c>
      <c r="AA259" s="55">
        <f>_xlfn.LET(
 _xlpm.x,
 _xlfn.MAXIFS(
  raw_stack!G$2:G$99411,
  raw_stack!D$2:D$99411, G259,
  raw_stack!F$2:F$99411, "Iya",
  raw_stack!G$2:G$99411, "&gt;="&amp;DATE(2026,1,1),
  raw_stack!G$2:G$99411, "&lt;="&amp;EOMONTH(DATE(2026,1,1),0)
 ),
 IF(_xlpm.x=0, "-", _xlpm.x)
)</f>
        <v>46031</v>
      </c>
      <c r="AB259" s="56">
        <f>_xlfn.LET(
 _xlpm.x,
 _xlfn.MAXIFS(
  raw_stack!H$2:H$100000,
  raw_stack!D$2:D$100000, G259,
  raw_stack!F$2:F$100000, "Iya",
  raw_stack!G$2:G$100000, "&gt;="&amp;DATE(2026,1,1),
  raw_stack!G$2:G$100000, "&lt;="&amp;EOMONTH(DATE(2026,1,1),0)
 ),
 IF(OR(_xlpm.x=0, _xlpm.x=""), "-", _xlpm.x)
)</f>
        <v>12790</v>
      </c>
      <c r="AC259" s="55" t="str">
        <f>_xlfn.LET(
 _xlpm.x,
 _xlfn.MAXIFS(
  raw_stack!G$2:G$99411,
  raw_stack!D$2:D$99411, G259,
  raw_stack!F$2:F$99411, "Iya",
  raw_stack!G$2:G$99411, "&gt;="&amp;DATE(2026,2,1),
  raw_stack!G$2:G$99411, "&lt;="&amp;EOMONTH(DATE(2026,2,1),0)
 ),
 IF(_xlpm.x=0, "-", _xlpm.x)
)</f>
        <v>-</v>
      </c>
      <c r="AD259" s="56" t="str">
        <f>_xlfn.LET(
 _xlpm.x,
 _xlfn.MAXIFS(
  raw_stack!H$2:H$100000,
  raw_stack!D$2:D$100000, G259,
  raw_stack!F$2:F$100000, "Iya",
  raw_stack!G$2:G$100000, "&gt;="&amp;DATE(2026,2,1),
  raw_stack!G$2:G$100000, "&lt;="&amp;EOMONTH(DATE(2026,2,1),0)
 ),
 IF(OR(_xlpm.x=0, _xlpm.x=""), "-", _xlpm.x)
)</f>
        <v>-</v>
      </c>
      <c r="AE259" s="55" t="str">
        <f>_xlfn.LET(
 _xlpm.x,
 _xlfn.MAXIFS(
  raw_stack!G$2:G$100000,
  raw_stack!D$2:D$100000, G259,
  raw_stack!F$2:F$100000, "Iya",
  raw_stack!G$2:G$100000, "&gt;="&amp;DATE(2026,3,1),
  raw_stack!G$2:G$100000, "&lt;="&amp;EOMONTH(DATE(2026,3,1),0)
 ),
 IF(_xlpm.x=0, "-", _xlpm.x)
)</f>
        <v>-</v>
      </c>
      <c r="AF259" s="56" t="str">
        <f>_xlfn.LET(
 _xlpm.x,
 _xlfn.MAXIFS(
  raw_stack!H$2:H$100000,
  raw_stack!D$2:D$100000, G259,
  raw_stack!F$2:F$100000, "Iya",
  raw_stack!G$2:G$100000, "&gt;="&amp;DATE(2026,3,1),
  raw_stack!G$2:G$100000, "&lt;="&amp;EOMONTH(DATE(2026,3,1),0)
 ),
 IF(OR(_xlpm.x=0, _xlpm.x=""), "-", _xlpm.x)
)</f>
        <v>-</v>
      </c>
      <c r="AG259" s="55" t="str">
        <f>_xlfn.LET(
 _xlpm.x,
 _xlfn.MAXIFS(
  raw_stack!G$2:G$100000,
  raw_stack!D$2:D$100000, G259,
  raw_stack!F$2:F$100000, "Iya",
  raw_stack!G$2:G$100000, "&gt;="&amp;DATE(2026,4,1),
  raw_stack!G$2:G$100000, "&lt;="&amp;EOMONTH(DATE(2026,4,1),0)
 ),
 IF(_xlpm.x=0, "-", _xlpm.x)
)</f>
        <v>-</v>
      </c>
      <c r="AH259" s="56" t="str">
        <f>_xlfn.LET(
 _xlpm.x,
 _xlfn.MAXIFS(
  raw_stack!H$2:H$100000,
  raw_stack!D$2:D$100000, G259,
  raw_stack!F$2:F$100000, "Iya",
  raw_stack!G$2:G$100000, "&gt;="&amp;DATE(2026,4,1),
  raw_stack!G$2:G$100000, "&lt;="&amp;EOMONTH(DATE(2026,4,1),0)
 ),
 IF(OR(_xlpm.x=0, _xlpm.x=""), "-", _xlpm.x)
)</f>
        <v>-</v>
      </c>
    </row>
    <row r="260" spans="1:34">
      <c r="A260" s="48">
        <v>259</v>
      </c>
      <c r="B260" s="49" t="str">
        <f t="shared" si="4"/>
        <v>78751</v>
      </c>
      <c r="C260" s="50" t="s">
        <v>46</v>
      </c>
      <c r="D260" s="51" t="s">
        <v>666</v>
      </c>
      <c r="E260" s="51" t="s">
        <v>51</v>
      </c>
      <c r="F260" s="49" t="s">
        <v>117</v>
      </c>
      <c r="G260" s="49" t="s">
        <v>376</v>
      </c>
      <c r="H260" s="49" t="s">
        <v>48</v>
      </c>
      <c r="I260" s="49" t="s">
        <v>52</v>
      </c>
      <c r="J260" s="52">
        <v>3880000</v>
      </c>
      <c r="K260" s="53">
        <v>45800</v>
      </c>
      <c r="L260" s="53">
        <v>46895</v>
      </c>
      <c r="M260" s="53">
        <v>46075</v>
      </c>
      <c r="N260" s="49" t="s">
        <v>50</v>
      </c>
      <c r="O260" s="54" t="str">
        <f>_xlfn.LET(
 _xlpm.x,
 _xlfn.MAXIFS(
  raw_stack!G$2:G$100000,
  raw_stack!D$2:D$100000, G260,
  raw_stack!F$2:F$100000, "Iya",
  raw_stack!G$2:G$100000, "&gt;="&amp;DATE(2025,7,1),
  raw_stack!G$2:G$100000, "&lt;="&amp;EOMONTH(DATE(2025,7,1),0)
 ),
 IF(_xlpm.x=0, "-", _xlpm.x)
)</f>
        <v>-</v>
      </c>
      <c r="P260" s="65" t="str">
        <f>_xlfn.LET(
 _xlpm.x,
 _xlfn.MAXIFS(
  raw_stack!H$2:H$100000,
  raw_stack!D$2:D$100000, G260,
  raw_stack!F$2:F$100000, "Iya",
  raw_stack!G$2:G$100000, "&gt;="&amp;DATE(2025,7,1),
  raw_stack!G$2:G$100000, "&lt;="&amp;EOMONTH(DATE(2025,7,1),0)
 ),
 IF(OR(_xlpm.x=0, _xlpm.x=""), "-", _xlpm.x)
)</f>
        <v>-</v>
      </c>
      <c r="Q260" s="54" t="str">
        <f>_xlfn.LET(
 _xlpm.x,
 _xlfn.MAXIFS(
  raw_stack!G$2:G$99411,
  raw_stack!D$2:D$99411, G260,
  raw_stack!F$2:F$99411, "Iya",
  raw_stack!G$2:G$99411, "&gt;="&amp;DATE(2025,8,1),
  raw_stack!G$2:G$99411, "&lt;="&amp;EOMONTH(DATE(2025,8,1),0)
 ),
 IF(_xlpm.x=0, "-", _xlpm.x)
)</f>
        <v>-</v>
      </c>
      <c r="R260" s="65" t="str">
        <f>_xlfn.LET(
 _xlpm.x,
 _xlfn.MAXIFS(
  raw_stack!H$2:H$100000,
  raw_stack!D$2:D$100000, G260,
  raw_stack!F$2:F$100000, "Iya",
  raw_stack!G$2:G$100000, "&gt;="&amp;DATE(2025,8,1),
  raw_stack!G$2:G$100000, "&lt;="&amp;EOMONTH(DATE(2025,8,1),0)
 ),
 IF(OR(_xlpm.x=0, _xlpm.x=""), "-", _xlpm.x)
)</f>
        <v>-</v>
      </c>
      <c r="S260" s="54" t="str">
        <f>_xlfn.LET(
 _xlpm.x,
 _xlfn.MAXIFS(
  raw_stack!G$2:G$99411,
  raw_stack!D$2:D$99411, G260,
  raw_stack!F$2:F$99411, "Iya",
  raw_stack!G$2:G$99411, "&gt;="&amp;DATE(2025,9,1),
  raw_stack!G$2:G$99411, "&lt;="&amp;EOMONTH(DATE(2025,9,1),0)
 ),
 IF(_xlpm.x=0, "-", _xlpm.x)
)</f>
        <v>-</v>
      </c>
      <c r="T260" s="65" t="str">
        <f>_xlfn.LET(
 _xlpm.x,
 _xlfn.MAXIFS(
  raw_stack!H$2:H$100000,
  raw_stack!D$2:D$100000, G260,
  raw_stack!F$2:F$100000, "Iya",
  raw_stack!G$2:G$100000, "&gt;="&amp;DATE(2025,9,1),
  raw_stack!G$2:G$100000, "&lt;="&amp;EOMONTH(DATE(2025,9,1),0)
 ),
 IF(OR(_xlpm.x=0, _xlpm.x=""), "-", _xlpm.x)
)</f>
        <v>-</v>
      </c>
      <c r="U260" s="54" t="str">
        <f>_xlfn.LET(
 _xlpm.x,
 _xlfn.MAXIFS(
  raw_stack!G$2:G$99411,
  raw_stack!D$2:D$99411, G260,
  raw_stack!F$2:F$99411, "Iya",
  raw_stack!G$2:G$99411, "&gt;="&amp;DATE(2025,10,1),
  raw_stack!G$2:G$99411, "&lt;="&amp;EOMONTH(DATE(2025,10,1),0)
 ),
 IF(_xlpm.x=0, "-", _xlpm.x)
)</f>
        <v>-</v>
      </c>
      <c r="V260" s="65" t="str">
        <f>_xlfn.LET(
 _xlpm.x,
 _xlfn.MAXIFS(
  raw_stack!H$2:H$100000,
  raw_stack!D$2:D$100000, G260,
  raw_stack!F$2:F$100000, "Iya",
  raw_stack!G$2:G$100000, "&gt;="&amp;DATE(2025,10,1),
  raw_stack!G$2:G$100000, "&lt;="&amp;EOMONTH(DATE(2025,10,1),0)
 ),
 IF(OR(_xlpm.x=0, _xlpm.x=""), "-", _xlpm.x)
)</f>
        <v>-</v>
      </c>
      <c r="W260" s="55" t="str">
        <f>_xlfn.LET(
 _xlpm.x,
 _xlfn.MAXIFS(
  raw_stack!G$2:G$99411,
  raw_stack!D$2:D$99411, G260,
  raw_stack!F$2:F$99411, "Iya",
  raw_stack!G$2:G$99411, "&gt;="&amp;DATE(2025,11,1),
  raw_stack!G$2:G$99411, "&lt;="&amp;EOMONTH(DATE(2025,11,1),0)
 ),
 IF(_xlpm.x=0, "-", _xlpm.x)
)</f>
        <v>-</v>
      </c>
      <c r="X260" s="56" t="str">
        <f>_xlfn.LET(
 _xlpm.x,
 _xlfn.MAXIFS(
  raw_stack!H$2:H$100000,
  raw_stack!D$2:D$100000, G260,
  raw_stack!F$2:F$100000, "Iya",
  raw_stack!G$2:G$100000, "&gt;="&amp;DATE(2025,11,1),
  raw_stack!G$2:G$100000, "&lt;="&amp;EOMONTH(DATE(2025,11,1),0)
 ),
 IF(OR(_xlpm.x=0, _xlpm.x=""), "-", _xlpm.x)
)</f>
        <v>-</v>
      </c>
      <c r="Y260" s="55">
        <f>_xlfn.LET(
 _xlpm.x,
 _xlfn.MAXIFS(
  raw_stack!G$2:G$99411,
  raw_stack!D$2:D$99411, G260,
  raw_stack!F$2:F$99411, "Iya",
  raw_stack!G$2:G$99411, "&gt;="&amp;DATE(2025,12,1),
  raw_stack!G$2:G$99411, "&lt;="&amp;EOMONTH(DATE(2025,12,1),0)
 ),
 IF(_xlpm.x=0, "-", _xlpm.x)
)</f>
        <v>45995</v>
      </c>
      <c r="Z260" s="56">
        <f>_xlfn.LET(
 _xlpm.x,
 _xlfn.MAXIFS(
  raw_stack!H$2:H$100000,
  raw_stack!D$2:D$100000, G260,
  raw_stack!F$2:F$100000, "Iya",
  raw_stack!G$2:G$100000, "&gt;="&amp;DATE(2025,12,1),
  raw_stack!G$2:G$100000, "&lt;="&amp;EOMONTH(DATE(2025,12,1),0)
 ),
 IF(OR(_xlpm.x=0, _xlpm.x=""), "-", _xlpm.x)
)</f>
        <v>8597</v>
      </c>
      <c r="AA260" s="55" t="str">
        <f>_xlfn.LET(
 _xlpm.x,
 _xlfn.MAXIFS(
  raw_stack!G$2:G$99411,
  raw_stack!D$2:D$99411, G260,
  raw_stack!F$2:F$99411, "Iya",
  raw_stack!G$2:G$99411, "&gt;="&amp;DATE(2026,1,1),
  raw_stack!G$2:G$99411, "&lt;="&amp;EOMONTH(DATE(2026,1,1),0)
 ),
 IF(_xlpm.x=0, "-", _xlpm.x)
)</f>
        <v>-</v>
      </c>
      <c r="AB260" s="56" t="str">
        <f>_xlfn.LET(
 _xlpm.x,
 _xlfn.MAXIFS(
  raw_stack!H$2:H$100000,
  raw_stack!D$2:D$100000, G260,
  raw_stack!F$2:F$100000, "Iya",
  raw_stack!G$2:G$100000, "&gt;="&amp;DATE(2026,1,1),
  raw_stack!G$2:G$100000, "&lt;="&amp;EOMONTH(DATE(2026,1,1),0)
 ),
 IF(OR(_xlpm.x=0, _xlpm.x=""), "-", _xlpm.x)
)</f>
        <v>-</v>
      </c>
      <c r="AC260" s="55" t="str">
        <f>_xlfn.LET(
 _xlpm.x,
 _xlfn.MAXIFS(
  raw_stack!G$2:G$99411,
  raw_stack!D$2:D$99411, G260,
  raw_stack!F$2:F$99411, "Iya",
  raw_stack!G$2:G$99411, "&gt;="&amp;DATE(2026,2,1),
  raw_stack!G$2:G$99411, "&lt;="&amp;EOMONTH(DATE(2026,2,1),0)
 ),
 IF(_xlpm.x=0, "-", _xlpm.x)
)</f>
        <v>-</v>
      </c>
      <c r="AD260" s="56" t="str">
        <f>_xlfn.LET(
 _xlpm.x,
 _xlfn.MAXIFS(
  raw_stack!H$2:H$100000,
  raw_stack!D$2:D$100000, G260,
  raw_stack!F$2:F$100000, "Iya",
  raw_stack!G$2:G$100000, "&gt;="&amp;DATE(2026,2,1),
  raw_stack!G$2:G$100000, "&lt;="&amp;EOMONTH(DATE(2026,2,1),0)
 ),
 IF(OR(_xlpm.x=0, _xlpm.x=""), "-", _xlpm.x)
)</f>
        <v>-</v>
      </c>
      <c r="AE260" s="55" t="str">
        <f>_xlfn.LET(
 _xlpm.x,
 _xlfn.MAXIFS(
  raw_stack!G$2:G$100000,
  raw_stack!D$2:D$100000, G260,
  raw_stack!F$2:F$100000, "Iya",
  raw_stack!G$2:G$100000, "&gt;="&amp;DATE(2026,3,1),
  raw_stack!G$2:G$100000, "&lt;="&amp;EOMONTH(DATE(2026,3,1),0)
 ),
 IF(_xlpm.x=0, "-", _xlpm.x)
)</f>
        <v>-</v>
      </c>
      <c r="AF260" s="56" t="str">
        <f>_xlfn.LET(
 _xlpm.x,
 _xlfn.MAXIFS(
  raw_stack!H$2:H$100000,
  raw_stack!D$2:D$100000, G260,
  raw_stack!F$2:F$100000, "Iya",
  raw_stack!G$2:G$100000, "&gt;="&amp;DATE(2026,3,1),
  raw_stack!G$2:G$100000, "&lt;="&amp;EOMONTH(DATE(2026,3,1),0)
 ),
 IF(OR(_xlpm.x=0, _xlpm.x=""), "-", _xlpm.x)
)</f>
        <v>-</v>
      </c>
      <c r="AG260" s="55" t="str">
        <f>_xlfn.LET(
 _xlpm.x,
 _xlfn.MAXIFS(
  raw_stack!G$2:G$100000,
  raw_stack!D$2:D$100000, G260,
  raw_stack!F$2:F$100000, "Iya",
  raw_stack!G$2:G$100000, "&gt;="&amp;DATE(2026,4,1),
  raw_stack!G$2:G$100000, "&lt;="&amp;EOMONTH(DATE(2026,4,1),0)
 ),
 IF(_xlpm.x=0, "-", _xlpm.x)
)</f>
        <v>-</v>
      </c>
      <c r="AH260" s="56" t="str">
        <f>_xlfn.LET(
 _xlpm.x,
 _xlfn.MAXIFS(
  raw_stack!H$2:H$100000,
  raw_stack!D$2:D$100000, G260,
  raw_stack!F$2:F$100000, "Iya",
  raw_stack!G$2:G$100000, "&gt;="&amp;DATE(2026,4,1),
  raw_stack!G$2:G$100000, "&lt;="&amp;EOMONTH(DATE(2026,4,1),0)
 ),
 IF(OR(_xlpm.x=0, _xlpm.x=""), "-", _xlpm.x)
)</f>
        <v>-</v>
      </c>
    </row>
    <row r="261" spans="1:34">
      <c r="A261" s="48">
        <v>260</v>
      </c>
      <c r="B261" s="49" t="str">
        <f t="shared" si="4"/>
        <v>91088</v>
      </c>
      <c r="C261" s="50" t="s">
        <v>46</v>
      </c>
      <c r="D261" s="51" t="s">
        <v>667</v>
      </c>
      <c r="E261" s="51" t="s">
        <v>51</v>
      </c>
      <c r="F261" s="49" t="s">
        <v>117</v>
      </c>
      <c r="G261" s="49" t="s">
        <v>377</v>
      </c>
      <c r="H261" s="49" t="s">
        <v>48</v>
      </c>
      <c r="I261" s="49" t="s">
        <v>52</v>
      </c>
      <c r="J261" s="52">
        <v>3880000</v>
      </c>
      <c r="K261" s="53">
        <v>45812</v>
      </c>
      <c r="L261" s="53">
        <v>46907</v>
      </c>
      <c r="M261" s="53">
        <v>46084</v>
      </c>
      <c r="N261" s="49" t="s">
        <v>50</v>
      </c>
      <c r="O261" s="54">
        <f>_xlfn.LET(
 _xlpm.x,
 _xlfn.MAXIFS(
  raw_stack!G$2:G$100000,
  raw_stack!D$2:D$100000, G261,
  raw_stack!F$2:F$100000, "Iya",
  raw_stack!G$2:G$100000, "&gt;="&amp;DATE(2025,7,1),
  raw_stack!G$2:G$100000, "&lt;="&amp;EOMONTH(DATE(2025,7,1),0)
 ),
 IF(_xlpm.x=0, "-", _xlpm.x)
)</f>
        <v>45861</v>
      </c>
      <c r="P261" s="65">
        <f>_xlfn.LET(
 _xlpm.x,
 _xlfn.MAXIFS(
  raw_stack!H$2:H$100000,
  raw_stack!D$2:D$100000, G261,
  raw_stack!F$2:F$100000, "Iya",
  raw_stack!G$2:G$100000, "&gt;="&amp;DATE(2025,7,1),
  raw_stack!G$2:G$100000, "&lt;="&amp;EOMONTH(DATE(2025,7,1),0)
 ),
 IF(OR(_xlpm.x=0, _xlpm.x=""), "-", _xlpm.x)
)</f>
        <v>5006</v>
      </c>
      <c r="Q261" s="54" t="str">
        <f>_xlfn.LET(
 _xlpm.x,
 _xlfn.MAXIFS(
  raw_stack!G$2:G$99411,
  raw_stack!D$2:D$99411, G261,
  raw_stack!F$2:F$99411, "Iya",
  raw_stack!G$2:G$99411, "&gt;="&amp;DATE(2025,8,1),
  raw_stack!G$2:G$99411, "&lt;="&amp;EOMONTH(DATE(2025,8,1),0)
 ),
 IF(_xlpm.x=0, "-", _xlpm.x)
)</f>
        <v>-</v>
      </c>
      <c r="R261" s="65" t="str">
        <f>_xlfn.LET(
 _xlpm.x,
 _xlfn.MAXIFS(
  raw_stack!H$2:H$100000,
  raw_stack!D$2:D$100000, G261,
  raw_stack!F$2:F$100000, "Iya",
  raw_stack!G$2:G$100000, "&gt;="&amp;DATE(2025,8,1),
  raw_stack!G$2:G$100000, "&lt;="&amp;EOMONTH(DATE(2025,8,1),0)
 ),
 IF(OR(_xlpm.x=0, _xlpm.x=""), "-", _xlpm.x)
)</f>
        <v>-</v>
      </c>
      <c r="S261" s="54" t="str">
        <f>_xlfn.LET(
 _xlpm.x,
 _xlfn.MAXIFS(
  raw_stack!G$2:G$99411,
  raw_stack!D$2:D$99411, G261,
  raw_stack!F$2:F$99411, "Iya",
  raw_stack!G$2:G$99411, "&gt;="&amp;DATE(2025,9,1),
  raw_stack!G$2:G$99411, "&lt;="&amp;EOMONTH(DATE(2025,9,1),0)
 ),
 IF(_xlpm.x=0, "-", _xlpm.x)
)</f>
        <v>-</v>
      </c>
      <c r="T261" s="65" t="str">
        <f>_xlfn.LET(
 _xlpm.x,
 _xlfn.MAXIFS(
  raw_stack!H$2:H$100000,
  raw_stack!D$2:D$100000, G261,
  raw_stack!F$2:F$100000, "Iya",
  raw_stack!G$2:G$100000, "&gt;="&amp;DATE(2025,9,1),
  raw_stack!G$2:G$100000, "&lt;="&amp;EOMONTH(DATE(2025,9,1),0)
 ),
 IF(OR(_xlpm.x=0, _xlpm.x=""), "-", _xlpm.x)
)</f>
        <v>-</v>
      </c>
      <c r="U261" s="54" t="str">
        <f>_xlfn.LET(
 _xlpm.x,
 _xlfn.MAXIFS(
  raw_stack!G$2:G$99411,
  raw_stack!D$2:D$99411, G261,
  raw_stack!F$2:F$99411, "Iya",
  raw_stack!G$2:G$99411, "&gt;="&amp;DATE(2025,10,1),
  raw_stack!G$2:G$99411, "&lt;="&amp;EOMONTH(DATE(2025,10,1),0)
 ),
 IF(_xlpm.x=0, "-", _xlpm.x)
)</f>
        <v>-</v>
      </c>
      <c r="V261" s="65" t="str">
        <f>_xlfn.LET(
 _xlpm.x,
 _xlfn.MAXIFS(
  raw_stack!H$2:H$100000,
  raw_stack!D$2:D$100000, G261,
  raw_stack!F$2:F$100000, "Iya",
  raw_stack!G$2:G$100000, "&gt;="&amp;DATE(2025,10,1),
  raw_stack!G$2:G$100000, "&lt;="&amp;EOMONTH(DATE(2025,10,1),0)
 ),
 IF(OR(_xlpm.x=0, _xlpm.x=""), "-", _xlpm.x)
)</f>
        <v>-</v>
      </c>
      <c r="W261" s="55" t="str">
        <f>_xlfn.LET(
 _xlpm.x,
 _xlfn.MAXIFS(
  raw_stack!G$2:G$99411,
  raw_stack!D$2:D$99411, G261,
  raw_stack!F$2:F$99411, "Iya",
  raw_stack!G$2:G$99411, "&gt;="&amp;DATE(2025,11,1),
  raw_stack!G$2:G$99411, "&lt;="&amp;EOMONTH(DATE(2025,11,1),0)
 ),
 IF(_xlpm.x=0, "-", _xlpm.x)
)</f>
        <v>-</v>
      </c>
      <c r="X261" s="56" t="str">
        <f>_xlfn.LET(
 _xlpm.x,
 _xlfn.MAXIFS(
  raw_stack!H$2:H$100000,
  raw_stack!D$2:D$100000, G261,
  raw_stack!F$2:F$100000, "Iya",
  raw_stack!G$2:G$100000, "&gt;="&amp;DATE(2025,11,1),
  raw_stack!G$2:G$100000, "&lt;="&amp;EOMONTH(DATE(2025,11,1),0)
 ),
 IF(OR(_xlpm.x=0, _xlpm.x=""), "-", _xlpm.x)
)</f>
        <v>-</v>
      </c>
      <c r="Y261" s="55" t="str">
        <f>_xlfn.LET(
 _xlpm.x,
 _xlfn.MAXIFS(
  raw_stack!G$2:G$99411,
  raw_stack!D$2:D$99411, G261,
  raw_stack!F$2:F$99411, "Iya",
  raw_stack!G$2:G$99411, "&gt;="&amp;DATE(2025,12,1),
  raw_stack!G$2:G$99411, "&lt;="&amp;EOMONTH(DATE(2025,12,1),0)
 ),
 IF(_xlpm.x=0, "-", _xlpm.x)
)</f>
        <v>-</v>
      </c>
      <c r="Z261" s="56" t="str">
        <f>_xlfn.LET(
 _xlpm.x,
 _xlfn.MAXIFS(
  raw_stack!H$2:H$100000,
  raw_stack!D$2:D$100000, G261,
  raw_stack!F$2:F$100000, "Iya",
  raw_stack!G$2:G$100000, "&gt;="&amp;DATE(2025,12,1),
  raw_stack!G$2:G$100000, "&lt;="&amp;EOMONTH(DATE(2025,12,1),0)
 ),
 IF(OR(_xlpm.x=0, _xlpm.x=""), "-", _xlpm.x)
)</f>
        <v>-</v>
      </c>
      <c r="AA261" s="55" t="str">
        <f>_xlfn.LET(
 _xlpm.x,
 _xlfn.MAXIFS(
  raw_stack!G$2:G$99411,
  raw_stack!D$2:D$99411, G261,
  raw_stack!F$2:F$99411, "Iya",
  raw_stack!G$2:G$99411, "&gt;="&amp;DATE(2026,1,1),
  raw_stack!G$2:G$99411, "&lt;="&amp;EOMONTH(DATE(2026,1,1),0)
 ),
 IF(_xlpm.x=0, "-", _xlpm.x)
)</f>
        <v>-</v>
      </c>
      <c r="AB261" s="56" t="str">
        <f>_xlfn.LET(
 _xlpm.x,
 _xlfn.MAXIFS(
  raw_stack!H$2:H$100000,
  raw_stack!D$2:D$100000, G261,
  raw_stack!F$2:F$100000, "Iya",
  raw_stack!G$2:G$100000, "&gt;="&amp;DATE(2026,1,1),
  raw_stack!G$2:G$100000, "&lt;="&amp;EOMONTH(DATE(2026,1,1),0)
 ),
 IF(OR(_xlpm.x=0, _xlpm.x=""), "-", _xlpm.x)
)</f>
        <v>-</v>
      </c>
      <c r="AC261" s="55">
        <f>_xlfn.LET(
 _xlpm.x,
 _xlfn.MAXIFS(
  raw_stack!G$2:G$99411,
  raw_stack!D$2:D$99411, G261,
  raw_stack!F$2:F$99411, "Iya",
  raw_stack!G$2:G$99411, "&gt;="&amp;DATE(2026,2,1),
  raw_stack!G$2:G$99411, "&lt;="&amp;EOMONTH(DATE(2026,2,1),0)
 ),
 IF(_xlpm.x=0, "-", _xlpm.x)
)</f>
        <v>46059</v>
      </c>
      <c r="AD261" s="56">
        <f>_xlfn.LET(
 _xlpm.x,
 _xlfn.MAXIFS(
  raw_stack!H$2:H$100000,
  raw_stack!D$2:D$100000, G261,
  raw_stack!F$2:F$100000, "Iya",
  raw_stack!G$2:G$100000, "&gt;="&amp;DATE(2026,2,1),
  raw_stack!G$2:G$100000, "&lt;="&amp;EOMONTH(DATE(2026,2,1),0)
 ),
 IF(OR(_xlpm.x=0, _xlpm.x=""), "-", _xlpm.x)
)</f>
        <v>9994</v>
      </c>
      <c r="AE261" s="55" t="str">
        <f>_xlfn.LET(
 _xlpm.x,
 _xlfn.MAXIFS(
  raw_stack!G$2:G$100000,
  raw_stack!D$2:D$100000, G261,
  raw_stack!F$2:F$100000, "Iya",
  raw_stack!G$2:G$100000, "&gt;="&amp;DATE(2026,3,1),
  raw_stack!G$2:G$100000, "&lt;="&amp;EOMONTH(DATE(2026,3,1),0)
 ),
 IF(_xlpm.x=0, "-", _xlpm.x)
)</f>
        <v>-</v>
      </c>
      <c r="AF261" s="56" t="str">
        <f>_xlfn.LET(
 _xlpm.x,
 _xlfn.MAXIFS(
  raw_stack!H$2:H$100000,
  raw_stack!D$2:D$100000, G261,
  raw_stack!F$2:F$100000, "Iya",
  raw_stack!G$2:G$100000, "&gt;="&amp;DATE(2026,3,1),
  raw_stack!G$2:G$100000, "&lt;="&amp;EOMONTH(DATE(2026,3,1),0)
 ),
 IF(OR(_xlpm.x=0, _xlpm.x=""), "-", _xlpm.x)
)</f>
        <v>-</v>
      </c>
      <c r="AG261" s="55" t="str">
        <f>_xlfn.LET(
 _xlpm.x,
 _xlfn.MAXIFS(
  raw_stack!G$2:G$100000,
  raw_stack!D$2:D$100000, G261,
  raw_stack!F$2:F$100000, "Iya",
  raw_stack!G$2:G$100000, "&gt;="&amp;DATE(2026,4,1),
  raw_stack!G$2:G$100000, "&lt;="&amp;EOMONTH(DATE(2026,4,1),0)
 ),
 IF(_xlpm.x=0, "-", _xlpm.x)
)</f>
        <v>-</v>
      </c>
      <c r="AH261" s="56" t="str">
        <f>_xlfn.LET(
 _xlpm.x,
 _xlfn.MAXIFS(
  raw_stack!H$2:H$100000,
  raw_stack!D$2:D$100000, G261,
  raw_stack!F$2:F$100000, "Iya",
  raw_stack!G$2:G$100000, "&gt;="&amp;DATE(2026,4,1),
  raw_stack!G$2:G$100000, "&lt;="&amp;EOMONTH(DATE(2026,4,1),0)
 ),
 IF(OR(_xlpm.x=0, _xlpm.x=""), "-", _xlpm.x)
)</f>
        <v>-</v>
      </c>
    </row>
    <row r="262" spans="1:34">
      <c r="A262" s="48">
        <v>261</v>
      </c>
      <c r="B262" s="49" t="str">
        <f t="shared" si="4"/>
        <v>49562</v>
      </c>
      <c r="C262" s="50" t="s">
        <v>46</v>
      </c>
      <c r="D262" s="51" t="s">
        <v>668</v>
      </c>
      <c r="E262" s="51" t="s">
        <v>54</v>
      </c>
      <c r="F262" s="49" t="s">
        <v>117</v>
      </c>
      <c r="G262" s="49" t="s">
        <v>378</v>
      </c>
      <c r="H262" s="49" t="s">
        <v>48</v>
      </c>
      <c r="I262" s="49" t="s">
        <v>52</v>
      </c>
      <c r="J262" s="52">
        <v>6600000</v>
      </c>
      <c r="K262" s="53">
        <v>45833</v>
      </c>
      <c r="L262" s="53">
        <v>46928</v>
      </c>
      <c r="M262" s="53">
        <v>46077</v>
      </c>
      <c r="N262" s="49" t="s">
        <v>50</v>
      </c>
      <c r="O262" s="54" t="str">
        <f>_xlfn.LET(
 _xlpm.x,
 _xlfn.MAXIFS(
  raw_stack!G$2:G$100000,
  raw_stack!D$2:D$100000, G262,
  raw_stack!F$2:F$100000, "Iya",
  raw_stack!G$2:G$100000, "&gt;="&amp;DATE(2025,7,1),
  raw_stack!G$2:G$100000, "&lt;="&amp;EOMONTH(DATE(2025,7,1),0)
 ),
 IF(_xlpm.x=0, "-", _xlpm.x)
)</f>
        <v>-</v>
      </c>
      <c r="P262" s="65" t="str">
        <f>_xlfn.LET(
 _xlpm.x,
 _xlfn.MAXIFS(
  raw_stack!H$2:H$100000,
  raw_stack!D$2:D$100000, G262,
  raw_stack!F$2:F$100000, "Iya",
  raw_stack!G$2:G$100000, "&gt;="&amp;DATE(2025,7,1),
  raw_stack!G$2:G$100000, "&lt;="&amp;EOMONTH(DATE(2025,7,1),0)
 ),
 IF(OR(_xlpm.x=0, _xlpm.x=""), "-", _xlpm.x)
)</f>
        <v>-</v>
      </c>
      <c r="Q262" s="54" t="str">
        <f>_xlfn.LET(
 _xlpm.x,
 _xlfn.MAXIFS(
  raw_stack!G$2:G$99411,
  raw_stack!D$2:D$99411, G262,
  raw_stack!F$2:F$99411, "Iya",
  raw_stack!G$2:G$99411, "&gt;="&amp;DATE(2025,8,1),
  raw_stack!G$2:G$99411, "&lt;="&amp;EOMONTH(DATE(2025,8,1),0)
 ),
 IF(_xlpm.x=0, "-", _xlpm.x)
)</f>
        <v>-</v>
      </c>
      <c r="R262" s="65" t="str">
        <f>_xlfn.LET(
 _xlpm.x,
 _xlfn.MAXIFS(
  raw_stack!H$2:H$100000,
  raw_stack!D$2:D$100000, G262,
  raw_stack!F$2:F$100000, "Iya",
  raw_stack!G$2:G$100000, "&gt;="&amp;DATE(2025,8,1),
  raw_stack!G$2:G$100000, "&lt;="&amp;EOMONTH(DATE(2025,8,1),0)
 ),
 IF(OR(_xlpm.x=0, _xlpm.x=""), "-", _xlpm.x)
)</f>
        <v>-</v>
      </c>
      <c r="S262" s="54">
        <f>_xlfn.LET(
 _xlpm.x,
 _xlfn.MAXIFS(
  raw_stack!G$2:G$99411,
  raw_stack!D$2:D$99411, G262,
  raw_stack!F$2:F$99411, "Iya",
  raw_stack!G$2:G$99411, "&gt;="&amp;DATE(2025,9,1),
  raw_stack!G$2:G$99411, "&lt;="&amp;EOMONTH(DATE(2025,9,1),0)
 ),
 IF(_xlpm.x=0, "-", _xlpm.x)
)</f>
        <v>45915</v>
      </c>
      <c r="T262" s="65">
        <f>_xlfn.LET(
 _xlpm.x,
 _xlfn.MAXIFS(
  raw_stack!H$2:H$100000,
  raw_stack!D$2:D$100000, G262,
  raw_stack!F$2:F$100000, "Iya",
  raw_stack!G$2:G$100000, "&gt;="&amp;DATE(2025,9,1),
  raw_stack!G$2:G$100000, "&lt;="&amp;EOMONTH(DATE(2025,9,1),0)
 ),
 IF(OR(_xlpm.x=0, _xlpm.x=""), "-", _xlpm.x)
)</f>
        <v>8681</v>
      </c>
      <c r="U262" s="54" t="str">
        <f>_xlfn.LET(
 _xlpm.x,
 _xlfn.MAXIFS(
  raw_stack!G$2:G$99411,
  raw_stack!D$2:D$99411, G262,
  raw_stack!F$2:F$99411, "Iya",
  raw_stack!G$2:G$99411, "&gt;="&amp;DATE(2025,10,1),
  raw_stack!G$2:G$99411, "&lt;="&amp;EOMONTH(DATE(2025,10,1),0)
 ),
 IF(_xlpm.x=0, "-", _xlpm.x)
)</f>
        <v>-</v>
      </c>
      <c r="V262" s="65" t="str">
        <f>_xlfn.LET(
 _xlpm.x,
 _xlfn.MAXIFS(
  raw_stack!H$2:H$100000,
  raw_stack!D$2:D$100000, G262,
  raw_stack!F$2:F$100000, "Iya",
  raw_stack!G$2:G$100000, "&gt;="&amp;DATE(2025,10,1),
  raw_stack!G$2:G$100000, "&lt;="&amp;EOMONTH(DATE(2025,10,1),0)
 ),
 IF(OR(_xlpm.x=0, _xlpm.x=""), "-", _xlpm.x)
)</f>
        <v>-</v>
      </c>
      <c r="W262" s="55" t="str">
        <f>_xlfn.LET(
 _xlpm.x,
 _xlfn.MAXIFS(
  raw_stack!G$2:G$99411,
  raw_stack!D$2:D$99411, G262,
  raw_stack!F$2:F$99411, "Iya",
  raw_stack!G$2:G$99411, "&gt;="&amp;DATE(2025,11,1),
  raw_stack!G$2:G$99411, "&lt;="&amp;EOMONTH(DATE(2025,11,1),0)
 ),
 IF(_xlpm.x=0, "-", _xlpm.x)
)</f>
        <v>-</v>
      </c>
      <c r="X262" s="56" t="str">
        <f>_xlfn.LET(
 _xlpm.x,
 _xlfn.MAXIFS(
  raw_stack!H$2:H$100000,
  raw_stack!D$2:D$100000, G262,
  raw_stack!F$2:F$100000, "Iya",
  raw_stack!G$2:G$100000, "&gt;="&amp;DATE(2025,11,1),
  raw_stack!G$2:G$100000, "&lt;="&amp;EOMONTH(DATE(2025,11,1),0)
 ),
 IF(OR(_xlpm.x=0, _xlpm.x=""), "-", _xlpm.x)
)</f>
        <v>-</v>
      </c>
      <c r="Y262" s="55">
        <f>_xlfn.LET(
 _xlpm.x,
 _xlfn.MAXIFS(
  raw_stack!G$2:G$99411,
  raw_stack!D$2:D$99411, G262,
  raw_stack!F$2:F$99411, "Iya",
  raw_stack!G$2:G$99411, "&gt;="&amp;DATE(2025,12,1),
  raw_stack!G$2:G$99411, "&lt;="&amp;EOMONTH(DATE(2025,12,1),0)
 ),
 IF(_xlpm.x=0, "-", _xlpm.x)
)</f>
        <v>46013</v>
      </c>
      <c r="Z262" s="56">
        <f>_xlfn.LET(
 _xlpm.x,
 _xlfn.MAXIFS(
  raw_stack!H$2:H$100000,
  raw_stack!D$2:D$100000, G262,
  raw_stack!F$2:F$100000, "Iya",
  raw_stack!G$2:G$100000, "&gt;="&amp;DATE(2025,12,1),
  raw_stack!G$2:G$100000, "&lt;="&amp;EOMONTH(DATE(2025,12,1),0)
 ),
 IF(OR(_xlpm.x=0, _xlpm.x=""), "-", _xlpm.x)
)</f>
        <v>14461</v>
      </c>
      <c r="AA262" s="55" t="str">
        <f>_xlfn.LET(
 _xlpm.x,
 _xlfn.MAXIFS(
  raw_stack!G$2:G$99411,
  raw_stack!D$2:D$99411, G262,
  raw_stack!F$2:F$99411, "Iya",
  raw_stack!G$2:G$99411, "&gt;="&amp;DATE(2026,1,1),
  raw_stack!G$2:G$99411, "&lt;="&amp;EOMONTH(DATE(2026,1,1),0)
 ),
 IF(_xlpm.x=0, "-", _xlpm.x)
)</f>
        <v>-</v>
      </c>
      <c r="AB262" s="56" t="str">
        <f>_xlfn.LET(
 _xlpm.x,
 _xlfn.MAXIFS(
  raw_stack!H$2:H$100000,
  raw_stack!D$2:D$100000, G262,
  raw_stack!F$2:F$100000, "Iya",
  raw_stack!G$2:G$100000, "&gt;="&amp;DATE(2026,1,1),
  raw_stack!G$2:G$100000, "&lt;="&amp;EOMONTH(DATE(2026,1,1),0)
 ),
 IF(OR(_xlpm.x=0, _xlpm.x=""), "-", _xlpm.x)
)</f>
        <v>-</v>
      </c>
      <c r="AC262" s="55" t="str">
        <f>_xlfn.LET(
 _xlpm.x,
 _xlfn.MAXIFS(
  raw_stack!G$2:G$99411,
  raw_stack!D$2:D$99411, G262,
  raw_stack!F$2:F$99411, "Iya",
  raw_stack!G$2:G$99411, "&gt;="&amp;DATE(2026,2,1),
  raw_stack!G$2:G$99411, "&lt;="&amp;EOMONTH(DATE(2026,2,1),0)
 ),
 IF(_xlpm.x=0, "-", _xlpm.x)
)</f>
        <v>-</v>
      </c>
      <c r="AD262" s="56" t="str">
        <f>_xlfn.LET(
 _xlpm.x,
 _xlfn.MAXIFS(
  raw_stack!H$2:H$100000,
  raw_stack!D$2:D$100000, G262,
  raw_stack!F$2:F$100000, "Iya",
  raw_stack!G$2:G$100000, "&gt;="&amp;DATE(2026,2,1),
  raw_stack!G$2:G$100000, "&lt;="&amp;EOMONTH(DATE(2026,2,1),0)
 ),
 IF(OR(_xlpm.x=0, _xlpm.x=""), "-", _xlpm.x)
)</f>
        <v>-</v>
      </c>
      <c r="AE262" s="55">
        <f>_xlfn.LET(
 _xlpm.x,
 _xlfn.MAXIFS(
  raw_stack!G$2:G$100000,
  raw_stack!D$2:D$100000, G262,
  raw_stack!F$2:F$100000, "Iya",
  raw_stack!G$2:G$100000, "&gt;="&amp;DATE(2026,3,1),
  raw_stack!G$2:G$100000, "&lt;="&amp;EOMONTH(DATE(2026,3,1),0)
 ),
 IF(_xlpm.x=0, "-", _xlpm.x)
)</f>
        <v>46090</v>
      </c>
      <c r="AF262" s="56">
        <f>_xlfn.LET(
 _xlpm.x,
 _xlfn.MAXIFS(
  raw_stack!H$2:H$100000,
  raw_stack!D$2:D$100000, G262,
  raw_stack!F$2:F$100000, "Iya",
  raw_stack!G$2:G$100000, "&gt;="&amp;DATE(2026,3,1),
  raw_stack!G$2:G$100000, "&lt;="&amp;EOMONTH(DATE(2026,3,1),0)
 ),
 IF(OR(_xlpm.x=0, _xlpm.x=""), "-", _xlpm.x)
)</f>
        <v>15598</v>
      </c>
      <c r="AG262" s="55" t="str">
        <f>_xlfn.LET(
 _xlpm.x,
 _xlfn.MAXIFS(
  raw_stack!G$2:G$100000,
  raw_stack!D$2:D$100000, G262,
  raw_stack!F$2:F$100000, "Iya",
  raw_stack!G$2:G$100000, "&gt;="&amp;DATE(2026,4,1),
  raw_stack!G$2:G$100000, "&lt;="&amp;EOMONTH(DATE(2026,4,1),0)
 ),
 IF(_xlpm.x=0, "-", _xlpm.x)
)</f>
        <v>-</v>
      </c>
      <c r="AH262" s="56" t="str">
        <f>_xlfn.LET(
 _xlpm.x,
 _xlfn.MAXIFS(
  raw_stack!H$2:H$100000,
  raw_stack!D$2:D$100000, G262,
  raw_stack!F$2:F$100000, "Iya",
  raw_stack!G$2:G$100000, "&gt;="&amp;DATE(2026,4,1),
  raw_stack!G$2:G$100000, "&lt;="&amp;EOMONTH(DATE(2026,4,1),0)
 ),
 IF(OR(_xlpm.x=0, _xlpm.x=""), "-", _xlpm.x)
)</f>
        <v>-</v>
      </c>
    </row>
    <row r="263" spans="1:34">
      <c r="A263" s="48">
        <v>262</v>
      </c>
      <c r="B263" s="49" t="str">
        <f t="shared" si="4"/>
        <v>29309</v>
      </c>
      <c r="C263" s="50" t="s">
        <v>46</v>
      </c>
      <c r="D263" s="51" t="s">
        <v>532</v>
      </c>
      <c r="E263" s="51" t="s">
        <v>53</v>
      </c>
      <c r="F263" s="49" t="s">
        <v>117</v>
      </c>
      <c r="G263" s="49" t="s">
        <v>379</v>
      </c>
      <c r="H263" s="49" t="s">
        <v>48</v>
      </c>
      <c r="I263" s="49" t="s">
        <v>52</v>
      </c>
      <c r="J263" s="52">
        <v>3860000</v>
      </c>
      <c r="K263" s="53">
        <v>45838</v>
      </c>
      <c r="L263" s="53">
        <v>46933</v>
      </c>
      <c r="M263" s="53">
        <v>46080</v>
      </c>
      <c r="N263" s="49" t="s">
        <v>50</v>
      </c>
      <c r="O263" s="54">
        <f>_xlfn.LET(
 _xlpm.x,
 _xlfn.MAXIFS(
  raw_stack!G$2:G$100000,
  raw_stack!D$2:D$100000, G263,
  raw_stack!F$2:F$100000, "Iya",
  raw_stack!G$2:G$100000, "&gt;="&amp;DATE(2025,7,1),
  raw_stack!G$2:G$100000, "&lt;="&amp;EOMONTH(DATE(2025,7,1),0)
 ),
 IF(_xlpm.x=0, "-", _xlpm.x)
)</f>
        <v>45869</v>
      </c>
      <c r="P263" s="65">
        <f>_xlfn.LET(
 _xlpm.x,
 _xlfn.MAXIFS(
  raw_stack!H$2:H$100000,
  raw_stack!D$2:D$100000, G263,
  raw_stack!F$2:F$100000, "Iya",
  raw_stack!G$2:G$100000, "&gt;="&amp;DATE(2025,7,1),
  raw_stack!G$2:G$100000, "&lt;="&amp;EOMONTH(DATE(2025,7,1),0)
 ),
 IF(OR(_xlpm.x=0, _xlpm.x=""), "-", _xlpm.x)
)</f>
        <v>4159</v>
      </c>
      <c r="Q263" s="54" t="str">
        <f>_xlfn.LET(
 _xlpm.x,
 _xlfn.MAXIFS(
  raw_stack!G$2:G$99411,
  raw_stack!D$2:D$99411, G263,
  raw_stack!F$2:F$99411, "Iya",
  raw_stack!G$2:G$99411, "&gt;="&amp;DATE(2025,8,1),
  raw_stack!G$2:G$99411, "&lt;="&amp;EOMONTH(DATE(2025,8,1),0)
 ),
 IF(_xlpm.x=0, "-", _xlpm.x)
)</f>
        <v>-</v>
      </c>
      <c r="R263" s="65" t="str">
        <f>_xlfn.LET(
 _xlpm.x,
 _xlfn.MAXIFS(
  raw_stack!H$2:H$100000,
  raw_stack!D$2:D$100000, G263,
  raw_stack!F$2:F$100000, "Iya",
  raw_stack!G$2:G$100000, "&gt;="&amp;DATE(2025,8,1),
  raw_stack!G$2:G$100000, "&lt;="&amp;EOMONTH(DATE(2025,8,1),0)
 ),
 IF(OR(_xlpm.x=0, _xlpm.x=""), "-", _xlpm.x)
)</f>
        <v>-</v>
      </c>
      <c r="S263" s="54" t="str">
        <f>_xlfn.LET(
 _xlpm.x,
 _xlfn.MAXIFS(
  raw_stack!G$2:G$99411,
  raw_stack!D$2:D$99411, G263,
  raw_stack!F$2:F$99411, "Iya",
  raw_stack!G$2:G$99411, "&gt;="&amp;DATE(2025,9,1),
  raw_stack!G$2:G$99411, "&lt;="&amp;EOMONTH(DATE(2025,9,1),0)
 ),
 IF(_xlpm.x=0, "-", _xlpm.x)
)</f>
        <v>-</v>
      </c>
      <c r="T263" s="65" t="str">
        <f>_xlfn.LET(
 _xlpm.x,
 _xlfn.MAXIFS(
  raw_stack!H$2:H$100000,
  raw_stack!D$2:D$100000, G263,
  raw_stack!F$2:F$100000, "Iya",
  raw_stack!G$2:G$100000, "&gt;="&amp;DATE(2025,9,1),
  raw_stack!G$2:G$100000, "&lt;="&amp;EOMONTH(DATE(2025,9,1),0)
 ),
 IF(OR(_xlpm.x=0, _xlpm.x=""), "-", _xlpm.x)
)</f>
        <v>-</v>
      </c>
      <c r="U263" s="54" t="str">
        <f>_xlfn.LET(
 _xlpm.x,
 _xlfn.MAXIFS(
  raw_stack!G$2:G$99411,
  raw_stack!D$2:D$99411, G263,
  raw_stack!F$2:F$99411, "Iya",
  raw_stack!G$2:G$99411, "&gt;="&amp;DATE(2025,10,1),
  raw_stack!G$2:G$99411, "&lt;="&amp;EOMONTH(DATE(2025,10,1),0)
 ),
 IF(_xlpm.x=0, "-", _xlpm.x)
)</f>
        <v>-</v>
      </c>
      <c r="V263" s="65" t="str">
        <f>_xlfn.LET(
 _xlpm.x,
 _xlfn.MAXIFS(
  raw_stack!H$2:H$100000,
  raw_stack!D$2:D$100000, G263,
  raw_stack!F$2:F$100000, "Iya",
  raw_stack!G$2:G$100000, "&gt;="&amp;DATE(2025,10,1),
  raw_stack!G$2:G$100000, "&lt;="&amp;EOMONTH(DATE(2025,10,1),0)
 ),
 IF(OR(_xlpm.x=0, _xlpm.x=""), "-", _xlpm.x)
)</f>
        <v>-</v>
      </c>
      <c r="W263" s="55" t="str">
        <f>_xlfn.LET(
 _xlpm.x,
 _xlfn.MAXIFS(
  raw_stack!G$2:G$99411,
  raw_stack!D$2:D$99411, G263,
  raw_stack!F$2:F$99411, "Iya",
  raw_stack!G$2:G$99411, "&gt;="&amp;DATE(2025,11,1),
  raw_stack!G$2:G$99411, "&lt;="&amp;EOMONTH(DATE(2025,11,1),0)
 ),
 IF(_xlpm.x=0, "-", _xlpm.x)
)</f>
        <v>-</v>
      </c>
      <c r="X263" s="56" t="str">
        <f>_xlfn.LET(
 _xlpm.x,
 _xlfn.MAXIFS(
  raw_stack!H$2:H$100000,
  raw_stack!D$2:D$100000, G263,
  raw_stack!F$2:F$100000, "Iya",
  raw_stack!G$2:G$100000, "&gt;="&amp;DATE(2025,11,1),
  raw_stack!G$2:G$100000, "&lt;="&amp;EOMONTH(DATE(2025,11,1),0)
 ),
 IF(OR(_xlpm.x=0, _xlpm.x=""), "-", _xlpm.x)
)</f>
        <v>-</v>
      </c>
      <c r="Y263" s="55">
        <f>_xlfn.LET(
 _xlpm.x,
 _xlfn.MAXIFS(
  raw_stack!G$2:G$99411,
  raw_stack!D$2:D$99411, G263,
  raw_stack!F$2:F$99411, "Iya",
  raw_stack!G$2:G$99411, "&gt;="&amp;DATE(2025,12,1),
  raw_stack!G$2:G$99411, "&lt;="&amp;EOMONTH(DATE(2025,12,1),0)
 ),
 IF(_xlpm.x=0, "-", _xlpm.x)
)</f>
        <v>45994</v>
      </c>
      <c r="Z263" s="56">
        <f>_xlfn.LET(
 _xlpm.x,
 _xlfn.MAXIFS(
  raw_stack!H$2:H$100000,
  raw_stack!D$2:D$100000, G263,
  raw_stack!F$2:F$100000, "Iya",
  raw_stack!G$2:G$100000, "&gt;="&amp;DATE(2025,12,1),
  raw_stack!G$2:G$100000, "&lt;="&amp;EOMONTH(DATE(2025,12,1),0)
 ),
 IF(OR(_xlpm.x=0, _xlpm.x=""), "-", _xlpm.x)
)</f>
        <v>15332</v>
      </c>
      <c r="AA263" s="55" t="str">
        <f>_xlfn.LET(
 _xlpm.x,
 _xlfn.MAXIFS(
  raw_stack!G$2:G$99411,
  raw_stack!D$2:D$99411, G263,
  raw_stack!F$2:F$99411, "Iya",
  raw_stack!G$2:G$99411, "&gt;="&amp;DATE(2026,1,1),
  raw_stack!G$2:G$99411, "&lt;="&amp;EOMONTH(DATE(2026,1,1),0)
 ),
 IF(_xlpm.x=0, "-", _xlpm.x)
)</f>
        <v>-</v>
      </c>
      <c r="AB263" s="56" t="str">
        <f>_xlfn.LET(
 _xlpm.x,
 _xlfn.MAXIFS(
  raw_stack!H$2:H$100000,
  raw_stack!D$2:D$100000, G263,
  raw_stack!F$2:F$100000, "Iya",
  raw_stack!G$2:G$100000, "&gt;="&amp;DATE(2026,1,1),
  raw_stack!G$2:G$100000, "&lt;="&amp;EOMONTH(DATE(2026,1,1),0)
 ),
 IF(OR(_xlpm.x=0, _xlpm.x=""), "-", _xlpm.x)
)</f>
        <v>-</v>
      </c>
      <c r="AC263" s="55" t="str">
        <f>_xlfn.LET(
 _xlpm.x,
 _xlfn.MAXIFS(
  raw_stack!G$2:G$99411,
  raw_stack!D$2:D$99411, G263,
  raw_stack!F$2:F$99411, "Iya",
  raw_stack!G$2:G$99411, "&gt;="&amp;DATE(2026,2,1),
  raw_stack!G$2:G$99411, "&lt;="&amp;EOMONTH(DATE(2026,2,1),0)
 ),
 IF(_xlpm.x=0, "-", _xlpm.x)
)</f>
        <v>-</v>
      </c>
      <c r="AD263" s="56" t="str">
        <f>_xlfn.LET(
 _xlpm.x,
 _xlfn.MAXIFS(
  raw_stack!H$2:H$100000,
  raw_stack!D$2:D$100000, G263,
  raw_stack!F$2:F$100000, "Iya",
  raw_stack!G$2:G$100000, "&gt;="&amp;DATE(2026,2,1),
  raw_stack!G$2:G$100000, "&lt;="&amp;EOMONTH(DATE(2026,2,1),0)
 ),
 IF(OR(_xlpm.x=0, _xlpm.x=""), "-", _xlpm.x)
)</f>
        <v>-</v>
      </c>
      <c r="AE263" s="55" t="str">
        <f>_xlfn.LET(
 _xlpm.x,
 _xlfn.MAXIFS(
  raw_stack!G$2:G$100000,
  raw_stack!D$2:D$100000, G263,
  raw_stack!F$2:F$100000, "Iya",
  raw_stack!G$2:G$100000, "&gt;="&amp;DATE(2026,3,1),
  raw_stack!G$2:G$100000, "&lt;="&amp;EOMONTH(DATE(2026,3,1),0)
 ),
 IF(_xlpm.x=0, "-", _xlpm.x)
)</f>
        <v>-</v>
      </c>
      <c r="AF263" s="56" t="str">
        <f>_xlfn.LET(
 _xlpm.x,
 _xlfn.MAXIFS(
  raw_stack!H$2:H$100000,
  raw_stack!D$2:D$100000, G263,
  raw_stack!F$2:F$100000, "Iya",
  raw_stack!G$2:G$100000, "&gt;="&amp;DATE(2026,3,1),
  raw_stack!G$2:G$100000, "&lt;="&amp;EOMONTH(DATE(2026,3,1),0)
 ),
 IF(OR(_xlpm.x=0, _xlpm.x=""), "-", _xlpm.x)
)</f>
        <v>-</v>
      </c>
      <c r="AG263" s="55" t="str">
        <f>_xlfn.LET(
 _xlpm.x,
 _xlfn.MAXIFS(
  raw_stack!G$2:G$100000,
  raw_stack!D$2:D$100000, G263,
  raw_stack!F$2:F$100000, "Iya",
  raw_stack!G$2:G$100000, "&gt;="&amp;DATE(2026,4,1),
  raw_stack!G$2:G$100000, "&lt;="&amp;EOMONTH(DATE(2026,4,1),0)
 ),
 IF(_xlpm.x=0, "-", _xlpm.x)
)</f>
        <v>-</v>
      </c>
      <c r="AH263" s="56" t="str">
        <f>_xlfn.LET(
 _xlpm.x,
 _xlfn.MAXIFS(
  raw_stack!H$2:H$100000,
  raw_stack!D$2:D$100000, G263,
  raw_stack!F$2:F$100000, "Iya",
  raw_stack!G$2:G$100000, "&gt;="&amp;DATE(2026,4,1),
  raw_stack!G$2:G$100000, "&lt;="&amp;EOMONTH(DATE(2026,4,1),0)
 ),
 IF(OR(_xlpm.x=0, _xlpm.x=""), "-", _xlpm.x)
)</f>
        <v>-</v>
      </c>
    </row>
    <row r="264" spans="1:34">
      <c r="A264" s="48">
        <v>263</v>
      </c>
      <c r="B264" s="49" t="str">
        <f t="shared" si="4"/>
        <v>40644</v>
      </c>
      <c r="C264" s="50" t="s">
        <v>46</v>
      </c>
      <c r="D264" s="51" t="s">
        <v>669</v>
      </c>
      <c r="E264" s="51" t="s">
        <v>51</v>
      </c>
      <c r="F264" s="49" t="s">
        <v>117</v>
      </c>
      <c r="G264" s="49" t="s">
        <v>380</v>
      </c>
      <c r="H264" s="49" t="s">
        <v>48</v>
      </c>
      <c r="I264" s="49" t="s">
        <v>52</v>
      </c>
      <c r="J264" s="52">
        <v>3880000</v>
      </c>
      <c r="K264" s="53">
        <v>45842</v>
      </c>
      <c r="L264" s="53">
        <v>46937</v>
      </c>
      <c r="M264" s="53">
        <v>46084</v>
      </c>
      <c r="N264" s="49" t="s">
        <v>50</v>
      </c>
      <c r="O264" s="54">
        <f>_xlfn.LET(
 _xlpm.x,
 _xlfn.MAXIFS(
  raw_stack!G$2:G$100000,
  raw_stack!D$2:D$100000, G264,
  raw_stack!F$2:F$100000, "Iya",
  raw_stack!G$2:G$100000, "&gt;="&amp;DATE(2025,7,1),
  raw_stack!G$2:G$100000, "&lt;="&amp;EOMONTH(DATE(2025,7,1),0)
 ),
 IF(_xlpm.x=0, "-", _xlpm.x)
)</f>
        <v>45843</v>
      </c>
      <c r="P264" s="65">
        <f>_xlfn.LET(
 _xlpm.x,
 _xlfn.MAXIFS(
  raw_stack!H$2:H$100000,
  raw_stack!D$2:D$100000, G264,
  raw_stack!F$2:F$100000, "Iya",
  raw_stack!G$2:G$100000, "&gt;="&amp;DATE(2025,7,1),
  raw_stack!G$2:G$100000, "&lt;="&amp;EOMONTH(DATE(2025,7,1),0)
 ),
 IF(OR(_xlpm.x=0, _xlpm.x=""), "-", _xlpm.x)
)</f>
        <v>1006</v>
      </c>
      <c r="Q264" s="54" t="str">
        <f>_xlfn.LET(
 _xlpm.x,
 _xlfn.MAXIFS(
  raw_stack!G$2:G$99411,
  raw_stack!D$2:D$99411, G264,
  raw_stack!F$2:F$99411, "Iya",
  raw_stack!G$2:G$99411, "&gt;="&amp;DATE(2025,8,1),
  raw_stack!G$2:G$99411, "&lt;="&amp;EOMONTH(DATE(2025,8,1),0)
 ),
 IF(_xlpm.x=0, "-", _xlpm.x)
)</f>
        <v>-</v>
      </c>
      <c r="R264" s="65" t="str">
        <f>_xlfn.LET(
 _xlpm.x,
 _xlfn.MAXIFS(
  raw_stack!H$2:H$100000,
  raw_stack!D$2:D$100000, G264,
  raw_stack!F$2:F$100000, "Iya",
  raw_stack!G$2:G$100000, "&gt;="&amp;DATE(2025,8,1),
  raw_stack!G$2:G$100000, "&lt;="&amp;EOMONTH(DATE(2025,8,1),0)
 ),
 IF(OR(_xlpm.x=0, _xlpm.x=""), "-", _xlpm.x)
)</f>
        <v>-</v>
      </c>
      <c r="S264" s="54" t="str">
        <f>_xlfn.LET(
 _xlpm.x,
 _xlfn.MAXIFS(
  raw_stack!G$2:G$99411,
  raw_stack!D$2:D$99411, G264,
  raw_stack!F$2:F$99411, "Iya",
  raw_stack!G$2:G$99411, "&gt;="&amp;DATE(2025,9,1),
  raw_stack!G$2:G$99411, "&lt;="&amp;EOMONTH(DATE(2025,9,1),0)
 ),
 IF(_xlpm.x=0, "-", _xlpm.x)
)</f>
        <v>-</v>
      </c>
      <c r="T264" s="65" t="str">
        <f>_xlfn.LET(
 _xlpm.x,
 _xlfn.MAXIFS(
  raw_stack!H$2:H$100000,
  raw_stack!D$2:D$100000, G264,
  raw_stack!F$2:F$100000, "Iya",
  raw_stack!G$2:G$100000, "&gt;="&amp;DATE(2025,9,1),
  raw_stack!G$2:G$100000, "&lt;="&amp;EOMONTH(DATE(2025,9,1),0)
 ),
 IF(OR(_xlpm.x=0, _xlpm.x=""), "-", _xlpm.x)
)</f>
        <v>-</v>
      </c>
      <c r="U264" s="54" t="str">
        <f>_xlfn.LET(
 _xlpm.x,
 _xlfn.MAXIFS(
  raw_stack!G$2:G$99411,
  raw_stack!D$2:D$99411, G264,
  raw_stack!F$2:F$99411, "Iya",
  raw_stack!G$2:G$99411, "&gt;="&amp;DATE(2025,10,1),
  raw_stack!G$2:G$99411, "&lt;="&amp;EOMONTH(DATE(2025,10,1),0)
 ),
 IF(_xlpm.x=0, "-", _xlpm.x)
)</f>
        <v>-</v>
      </c>
      <c r="V264" s="65" t="str">
        <f>_xlfn.LET(
 _xlpm.x,
 _xlfn.MAXIFS(
  raw_stack!H$2:H$100000,
  raw_stack!D$2:D$100000, G264,
  raw_stack!F$2:F$100000, "Iya",
  raw_stack!G$2:G$100000, "&gt;="&amp;DATE(2025,10,1),
  raw_stack!G$2:G$100000, "&lt;="&amp;EOMONTH(DATE(2025,10,1),0)
 ),
 IF(OR(_xlpm.x=0, _xlpm.x=""), "-", _xlpm.x)
)</f>
        <v>-</v>
      </c>
      <c r="W264" s="55" t="str">
        <f>_xlfn.LET(
 _xlpm.x,
 _xlfn.MAXIFS(
  raw_stack!G$2:G$99411,
  raw_stack!D$2:D$99411, G264,
  raw_stack!F$2:F$99411, "Iya",
  raw_stack!G$2:G$99411, "&gt;="&amp;DATE(2025,11,1),
  raw_stack!G$2:G$99411, "&lt;="&amp;EOMONTH(DATE(2025,11,1),0)
 ),
 IF(_xlpm.x=0, "-", _xlpm.x)
)</f>
        <v>-</v>
      </c>
      <c r="X264" s="56" t="str">
        <f>_xlfn.LET(
 _xlpm.x,
 _xlfn.MAXIFS(
  raw_stack!H$2:H$100000,
  raw_stack!D$2:D$100000, G264,
  raw_stack!F$2:F$100000, "Iya",
  raw_stack!G$2:G$100000, "&gt;="&amp;DATE(2025,11,1),
  raw_stack!G$2:G$100000, "&lt;="&amp;EOMONTH(DATE(2025,11,1),0)
 ),
 IF(OR(_xlpm.x=0, _xlpm.x=""), "-", _xlpm.x)
)</f>
        <v>-</v>
      </c>
      <c r="Y264" s="55" t="str">
        <f>_xlfn.LET(
 _xlpm.x,
 _xlfn.MAXIFS(
  raw_stack!G$2:G$99411,
  raw_stack!D$2:D$99411, G264,
  raw_stack!F$2:F$99411, "Iya",
  raw_stack!G$2:G$99411, "&gt;="&amp;DATE(2025,12,1),
  raw_stack!G$2:G$99411, "&lt;="&amp;EOMONTH(DATE(2025,12,1),0)
 ),
 IF(_xlpm.x=0, "-", _xlpm.x)
)</f>
        <v>-</v>
      </c>
      <c r="Z264" s="56" t="str">
        <f>_xlfn.LET(
 _xlpm.x,
 _xlfn.MAXIFS(
  raw_stack!H$2:H$100000,
  raw_stack!D$2:D$100000, G264,
  raw_stack!F$2:F$100000, "Iya",
  raw_stack!G$2:G$100000, "&gt;="&amp;DATE(2025,12,1),
  raw_stack!G$2:G$100000, "&lt;="&amp;EOMONTH(DATE(2025,12,1),0)
 ),
 IF(OR(_xlpm.x=0, _xlpm.x=""), "-", _xlpm.x)
)</f>
        <v>-</v>
      </c>
      <c r="AA264" s="55" t="str">
        <f>_xlfn.LET(
 _xlpm.x,
 _xlfn.MAXIFS(
  raw_stack!G$2:G$99411,
  raw_stack!D$2:D$99411, G264,
  raw_stack!F$2:F$99411, "Iya",
  raw_stack!G$2:G$99411, "&gt;="&amp;DATE(2026,1,1),
  raw_stack!G$2:G$99411, "&lt;="&amp;EOMONTH(DATE(2026,1,1),0)
 ),
 IF(_xlpm.x=0, "-", _xlpm.x)
)</f>
        <v>-</v>
      </c>
      <c r="AB264" s="56" t="str">
        <f>_xlfn.LET(
 _xlpm.x,
 _xlfn.MAXIFS(
  raw_stack!H$2:H$100000,
  raw_stack!D$2:D$100000, G264,
  raw_stack!F$2:F$100000, "Iya",
  raw_stack!G$2:G$100000, "&gt;="&amp;DATE(2026,1,1),
  raw_stack!G$2:G$100000, "&lt;="&amp;EOMONTH(DATE(2026,1,1),0)
 ),
 IF(OR(_xlpm.x=0, _xlpm.x=""), "-", _xlpm.x)
)</f>
        <v>-</v>
      </c>
      <c r="AC264" s="55" t="str">
        <f>_xlfn.LET(
 _xlpm.x,
 _xlfn.MAXIFS(
  raw_stack!G$2:G$99411,
  raw_stack!D$2:D$99411, G264,
  raw_stack!F$2:F$99411, "Iya",
  raw_stack!G$2:G$99411, "&gt;="&amp;DATE(2026,2,1),
  raw_stack!G$2:G$99411, "&lt;="&amp;EOMONTH(DATE(2026,2,1),0)
 ),
 IF(_xlpm.x=0, "-", _xlpm.x)
)</f>
        <v>-</v>
      </c>
      <c r="AD264" s="56" t="str">
        <f>_xlfn.LET(
 _xlpm.x,
 _xlfn.MAXIFS(
  raw_stack!H$2:H$100000,
  raw_stack!D$2:D$100000, G264,
  raw_stack!F$2:F$100000, "Iya",
  raw_stack!G$2:G$100000, "&gt;="&amp;DATE(2026,2,1),
  raw_stack!G$2:G$100000, "&lt;="&amp;EOMONTH(DATE(2026,2,1),0)
 ),
 IF(OR(_xlpm.x=0, _xlpm.x=""), "-", _xlpm.x)
)</f>
        <v>-</v>
      </c>
      <c r="AE264" s="55" t="str">
        <f>_xlfn.LET(
 _xlpm.x,
 _xlfn.MAXIFS(
  raw_stack!G$2:G$100000,
  raw_stack!D$2:D$100000, G264,
  raw_stack!F$2:F$100000, "Iya",
  raw_stack!G$2:G$100000, "&gt;="&amp;DATE(2026,3,1),
  raw_stack!G$2:G$100000, "&lt;="&amp;EOMONTH(DATE(2026,3,1),0)
 ),
 IF(_xlpm.x=0, "-", _xlpm.x)
)</f>
        <v>-</v>
      </c>
      <c r="AF264" s="56" t="str">
        <f>_xlfn.LET(
 _xlpm.x,
 _xlfn.MAXIFS(
  raw_stack!H$2:H$100000,
  raw_stack!D$2:D$100000, G264,
  raw_stack!F$2:F$100000, "Iya",
  raw_stack!G$2:G$100000, "&gt;="&amp;DATE(2026,3,1),
  raw_stack!G$2:G$100000, "&lt;="&amp;EOMONTH(DATE(2026,3,1),0)
 ),
 IF(OR(_xlpm.x=0, _xlpm.x=""), "-", _xlpm.x)
)</f>
        <v>-</v>
      </c>
      <c r="AG264" s="55" t="str">
        <f>_xlfn.LET(
 _xlpm.x,
 _xlfn.MAXIFS(
  raw_stack!G$2:G$100000,
  raw_stack!D$2:D$100000, G264,
  raw_stack!F$2:F$100000, "Iya",
  raw_stack!G$2:G$100000, "&gt;="&amp;DATE(2026,4,1),
  raw_stack!G$2:G$100000, "&lt;="&amp;EOMONTH(DATE(2026,4,1),0)
 ),
 IF(_xlpm.x=0, "-", _xlpm.x)
)</f>
        <v>-</v>
      </c>
      <c r="AH264" s="56" t="str">
        <f>_xlfn.LET(
 _xlpm.x,
 _xlfn.MAXIFS(
  raw_stack!H$2:H$100000,
  raw_stack!D$2:D$100000, G264,
  raw_stack!F$2:F$100000, "Iya",
  raw_stack!G$2:G$100000, "&gt;="&amp;DATE(2026,4,1),
  raw_stack!G$2:G$100000, "&lt;="&amp;EOMONTH(DATE(2026,4,1),0)
 ),
 IF(OR(_xlpm.x=0, _xlpm.x=""), "-", _xlpm.x)
)</f>
        <v>-</v>
      </c>
    </row>
    <row r="265" spans="1:34">
      <c r="A265" s="48">
        <v>264</v>
      </c>
      <c r="B265" s="49" t="str">
        <f t="shared" si="4"/>
        <v>10613</v>
      </c>
      <c r="C265" s="50" t="s">
        <v>46</v>
      </c>
      <c r="D265" s="51" t="s">
        <v>670</v>
      </c>
      <c r="E265" s="51" t="s">
        <v>53</v>
      </c>
      <c r="F265" s="49" t="s">
        <v>117</v>
      </c>
      <c r="G265" s="49" t="s">
        <v>381</v>
      </c>
      <c r="H265" s="49" t="s">
        <v>48</v>
      </c>
      <c r="I265" s="49" t="s">
        <v>52</v>
      </c>
      <c r="J265" s="52">
        <v>3860000</v>
      </c>
      <c r="K265" s="53">
        <v>45847</v>
      </c>
      <c r="L265" s="53">
        <v>46942</v>
      </c>
      <c r="M265" s="53">
        <v>46061</v>
      </c>
      <c r="N265" s="49" t="s">
        <v>50</v>
      </c>
      <c r="O265" s="54" t="str">
        <f>_xlfn.LET(
 _xlpm.x,
 _xlfn.MAXIFS(
  raw_stack!G$2:G$100000,
  raw_stack!D$2:D$100000, G265,
  raw_stack!F$2:F$100000, "Iya",
  raw_stack!G$2:G$100000, "&gt;="&amp;DATE(2025,7,1),
  raw_stack!G$2:G$100000, "&lt;="&amp;EOMONTH(DATE(2025,7,1),0)
 ),
 IF(_xlpm.x=0, "-", _xlpm.x)
)</f>
        <v>-</v>
      </c>
      <c r="P265" s="65" t="str">
        <f>_xlfn.LET(
 _xlpm.x,
 _xlfn.MAXIFS(
  raw_stack!H$2:H$100000,
  raw_stack!D$2:D$100000, G265,
  raw_stack!F$2:F$100000, "Iya",
  raw_stack!G$2:G$100000, "&gt;="&amp;DATE(2025,7,1),
  raw_stack!G$2:G$100000, "&lt;="&amp;EOMONTH(DATE(2025,7,1),0)
 ),
 IF(OR(_xlpm.x=0, _xlpm.x=""), "-", _xlpm.x)
)</f>
        <v>-</v>
      </c>
      <c r="Q265" s="54" t="str">
        <f>_xlfn.LET(
 _xlpm.x,
 _xlfn.MAXIFS(
  raw_stack!G$2:G$99411,
  raw_stack!D$2:D$99411, G265,
  raw_stack!F$2:F$99411, "Iya",
  raw_stack!G$2:G$99411, "&gt;="&amp;DATE(2025,8,1),
  raw_stack!G$2:G$99411, "&lt;="&amp;EOMONTH(DATE(2025,8,1),0)
 ),
 IF(_xlpm.x=0, "-", _xlpm.x)
)</f>
        <v>-</v>
      </c>
      <c r="R265" s="65" t="str">
        <f>_xlfn.LET(
 _xlpm.x,
 _xlfn.MAXIFS(
  raw_stack!H$2:H$100000,
  raw_stack!D$2:D$100000, G265,
  raw_stack!F$2:F$100000, "Iya",
  raw_stack!G$2:G$100000, "&gt;="&amp;DATE(2025,8,1),
  raw_stack!G$2:G$100000, "&lt;="&amp;EOMONTH(DATE(2025,8,1),0)
 ),
 IF(OR(_xlpm.x=0, _xlpm.x=""), "-", _xlpm.x)
)</f>
        <v>-</v>
      </c>
      <c r="S265" s="54" t="str">
        <f>_xlfn.LET(
 _xlpm.x,
 _xlfn.MAXIFS(
  raw_stack!G$2:G$99411,
  raw_stack!D$2:D$99411, G265,
  raw_stack!F$2:F$99411, "Iya",
  raw_stack!G$2:G$99411, "&gt;="&amp;DATE(2025,9,1),
  raw_stack!G$2:G$99411, "&lt;="&amp;EOMONTH(DATE(2025,9,1),0)
 ),
 IF(_xlpm.x=0, "-", _xlpm.x)
)</f>
        <v>-</v>
      </c>
      <c r="T265" s="65" t="str">
        <f>_xlfn.LET(
 _xlpm.x,
 _xlfn.MAXIFS(
  raw_stack!H$2:H$100000,
  raw_stack!D$2:D$100000, G265,
  raw_stack!F$2:F$100000, "Iya",
  raw_stack!G$2:G$100000, "&gt;="&amp;DATE(2025,9,1),
  raw_stack!G$2:G$100000, "&lt;="&amp;EOMONTH(DATE(2025,9,1),0)
 ),
 IF(OR(_xlpm.x=0, _xlpm.x=""), "-", _xlpm.x)
)</f>
        <v>-</v>
      </c>
      <c r="U265" s="54" t="str">
        <f>_xlfn.LET(
 _xlpm.x,
 _xlfn.MAXIFS(
  raw_stack!G$2:G$99411,
  raw_stack!D$2:D$99411, G265,
  raw_stack!F$2:F$99411, "Iya",
  raw_stack!G$2:G$99411, "&gt;="&amp;DATE(2025,10,1),
  raw_stack!G$2:G$99411, "&lt;="&amp;EOMONTH(DATE(2025,10,1),0)
 ),
 IF(_xlpm.x=0, "-", _xlpm.x)
)</f>
        <v>-</v>
      </c>
      <c r="V265" s="65" t="str">
        <f>_xlfn.LET(
 _xlpm.x,
 _xlfn.MAXIFS(
  raw_stack!H$2:H$100000,
  raw_stack!D$2:D$100000, G265,
  raw_stack!F$2:F$100000, "Iya",
  raw_stack!G$2:G$100000, "&gt;="&amp;DATE(2025,10,1),
  raw_stack!G$2:G$100000, "&lt;="&amp;EOMONTH(DATE(2025,10,1),0)
 ),
 IF(OR(_xlpm.x=0, _xlpm.x=""), "-", _xlpm.x)
)</f>
        <v>-</v>
      </c>
      <c r="W265" s="55" t="str">
        <f>_xlfn.LET(
 _xlpm.x,
 _xlfn.MAXIFS(
  raw_stack!G$2:G$99411,
  raw_stack!D$2:D$99411, G265,
  raw_stack!F$2:F$99411, "Iya",
  raw_stack!G$2:G$99411, "&gt;="&amp;DATE(2025,11,1),
  raw_stack!G$2:G$99411, "&lt;="&amp;EOMONTH(DATE(2025,11,1),0)
 ),
 IF(_xlpm.x=0, "-", _xlpm.x)
)</f>
        <v>-</v>
      </c>
      <c r="X265" s="56" t="str">
        <f>_xlfn.LET(
 _xlpm.x,
 _xlfn.MAXIFS(
  raw_stack!H$2:H$100000,
  raw_stack!D$2:D$100000, G265,
  raw_stack!F$2:F$100000, "Iya",
  raw_stack!G$2:G$100000, "&gt;="&amp;DATE(2025,11,1),
  raw_stack!G$2:G$100000, "&lt;="&amp;EOMONTH(DATE(2025,11,1),0)
 ),
 IF(OR(_xlpm.x=0, _xlpm.x=""), "-", _xlpm.x)
)</f>
        <v>-</v>
      </c>
      <c r="Y265" s="55" t="str">
        <f>_xlfn.LET(
 _xlpm.x,
 _xlfn.MAXIFS(
  raw_stack!G$2:G$99411,
  raw_stack!D$2:D$99411, G265,
  raw_stack!F$2:F$99411, "Iya",
  raw_stack!G$2:G$99411, "&gt;="&amp;DATE(2025,12,1),
  raw_stack!G$2:G$99411, "&lt;="&amp;EOMONTH(DATE(2025,12,1),0)
 ),
 IF(_xlpm.x=0, "-", _xlpm.x)
)</f>
        <v>-</v>
      </c>
      <c r="Z265" s="56" t="str">
        <f>_xlfn.LET(
 _xlpm.x,
 _xlfn.MAXIFS(
  raw_stack!H$2:H$100000,
  raw_stack!D$2:D$100000, G265,
  raw_stack!F$2:F$100000, "Iya",
  raw_stack!G$2:G$100000, "&gt;="&amp;DATE(2025,12,1),
  raw_stack!G$2:G$100000, "&lt;="&amp;EOMONTH(DATE(2025,12,1),0)
 ),
 IF(OR(_xlpm.x=0, _xlpm.x=""), "-", _xlpm.x)
)</f>
        <v>-</v>
      </c>
      <c r="AA265" s="55" t="str">
        <f>_xlfn.LET(
 _xlpm.x,
 _xlfn.MAXIFS(
  raw_stack!G$2:G$99411,
  raw_stack!D$2:D$99411, G265,
  raw_stack!F$2:F$99411, "Iya",
  raw_stack!G$2:G$99411, "&gt;="&amp;DATE(2026,1,1),
  raw_stack!G$2:G$99411, "&lt;="&amp;EOMONTH(DATE(2026,1,1),0)
 ),
 IF(_xlpm.x=0, "-", _xlpm.x)
)</f>
        <v>-</v>
      </c>
      <c r="AB265" s="56" t="str">
        <f>_xlfn.LET(
 _xlpm.x,
 _xlfn.MAXIFS(
  raw_stack!H$2:H$100000,
  raw_stack!D$2:D$100000, G265,
  raw_stack!F$2:F$100000, "Iya",
  raw_stack!G$2:G$100000, "&gt;="&amp;DATE(2026,1,1),
  raw_stack!G$2:G$100000, "&lt;="&amp;EOMONTH(DATE(2026,1,1),0)
 ),
 IF(OR(_xlpm.x=0, _xlpm.x=""), "-", _xlpm.x)
)</f>
        <v>-</v>
      </c>
      <c r="AC265" s="55" t="str">
        <f>_xlfn.LET(
 _xlpm.x,
 _xlfn.MAXIFS(
  raw_stack!G$2:G$99411,
  raw_stack!D$2:D$99411, G265,
  raw_stack!F$2:F$99411, "Iya",
  raw_stack!G$2:G$99411, "&gt;="&amp;DATE(2026,2,1),
  raw_stack!G$2:G$99411, "&lt;="&amp;EOMONTH(DATE(2026,2,1),0)
 ),
 IF(_xlpm.x=0, "-", _xlpm.x)
)</f>
        <v>-</v>
      </c>
      <c r="AD265" s="56" t="str">
        <f>_xlfn.LET(
 _xlpm.x,
 _xlfn.MAXIFS(
  raw_stack!H$2:H$100000,
  raw_stack!D$2:D$100000, G265,
  raw_stack!F$2:F$100000, "Iya",
  raw_stack!G$2:G$100000, "&gt;="&amp;DATE(2026,2,1),
  raw_stack!G$2:G$100000, "&lt;="&amp;EOMONTH(DATE(2026,2,1),0)
 ),
 IF(OR(_xlpm.x=0, _xlpm.x=""), "-", _xlpm.x)
)</f>
        <v>-</v>
      </c>
      <c r="AE265" s="55" t="str">
        <f>_xlfn.LET(
 _xlpm.x,
 _xlfn.MAXIFS(
  raw_stack!G$2:G$100000,
  raw_stack!D$2:D$100000, G265,
  raw_stack!F$2:F$100000, "Iya",
  raw_stack!G$2:G$100000, "&gt;="&amp;DATE(2026,3,1),
  raw_stack!G$2:G$100000, "&lt;="&amp;EOMONTH(DATE(2026,3,1),0)
 ),
 IF(_xlpm.x=0, "-", _xlpm.x)
)</f>
        <v>-</v>
      </c>
      <c r="AF265" s="56" t="str">
        <f>_xlfn.LET(
 _xlpm.x,
 _xlfn.MAXIFS(
  raw_stack!H$2:H$100000,
  raw_stack!D$2:D$100000, G265,
  raw_stack!F$2:F$100000, "Iya",
  raw_stack!G$2:G$100000, "&gt;="&amp;DATE(2026,3,1),
  raw_stack!G$2:G$100000, "&lt;="&amp;EOMONTH(DATE(2026,3,1),0)
 ),
 IF(OR(_xlpm.x=0, _xlpm.x=""), "-", _xlpm.x)
)</f>
        <v>-</v>
      </c>
      <c r="AG265" s="55" t="str">
        <f>_xlfn.LET(
 _xlpm.x,
 _xlfn.MAXIFS(
  raw_stack!G$2:G$100000,
  raw_stack!D$2:D$100000, G265,
  raw_stack!F$2:F$100000, "Iya",
  raw_stack!G$2:G$100000, "&gt;="&amp;DATE(2026,4,1),
  raw_stack!G$2:G$100000, "&lt;="&amp;EOMONTH(DATE(2026,4,1),0)
 ),
 IF(_xlpm.x=0, "-", _xlpm.x)
)</f>
        <v>-</v>
      </c>
      <c r="AH265" s="56" t="str">
        <f>_xlfn.LET(
 _xlpm.x,
 _xlfn.MAXIFS(
  raw_stack!H$2:H$100000,
  raw_stack!D$2:D$100000, G265,
  raw_stack!F$2:F$100000, "Iya",
  raw_stack!G$2:G$100000, "&gt;="&amp;DATE(2026,4,1),
  raw_stack!G$2:G$100000, "&lt;="&amp;EOMONTH(DATE(2026,4,1),0)
 ),
 IF(OR(_xlpm.x=0, _xlpm.x=""), "-", _xlpm.x)
)</f>
        <v>-</v>
      </c>
    </row>
    <row r="266" spans="1:34">
      <c r="A266" s="48">
        <v>265</v>
      </c>
      <c r="B266" s="49" t="str">
        <f t="shared" si="4"/>
        <v>31508</v>
      </c>
      <c r="C266" s="50" t="s">
        <v>46</v>
      </c>
      <c r="D266" s="51" t="s">
        <v>590</v>
      </c>
      <c r="E266" s="51" t="s">
        <v>54</v>
      </c>
      <c r="F266" s="49" t="s">
        <v>117</v>
      </c>
      <c r="G266" s="49" t="s">
        <v>382</v>
      </c>
      <c r="H266" s="49" t="s">
        <v>48</v>
      </c>
      <c r="I266" s="49" t="s">
        <v>52</v>
      </c>
      <c r="J266" s="52">
        <v>6600000</v>
      </c>
      <c r="K266" s="53">
        <v>45849</v>
      </c>
      <c r="L266" s="53">
        <v>46944</v>
      </c>
      <c r="M266" s="53">
        <v>46063</v>
      </c>
      <c r="N266" s="49" t="s">
        <v>50</v>
      </c>
      <c r="O266" s="54">
        <f>_xlfn.LET(
 _xlpm.x,
 _xlfn.MAXIFS(
  raw_stack!G$2:G$100000,
  raw_stack!D$2:D$100000, G266,
  raw_stack!F$2:F$100000, "Iya",
  raw_stack!G$2:G$100000, "&gt;="&amp;DATE(2025,7,1),
  raw_stack!G$2:G$100000, "&lt;="&amp;EOMONTH(DATE(2025,7,1),0)
 ),
 IF(_xlpm.x=0, "-", _xlpm.x)
)</f>
        <v>45849</v>
      </c>
      <c r="P266" s="65">
        <f>_xlfn.LET(
 _xlpm.x,
 _xlfn.MAXIFS(
  raw_stack!H$2:H$100000,
  raw_stack!D$2:D$100000, G266,
  raw_stack!F$2:F$100000, "Iya",
  raw_stack!G$2:G$100000, "&gt;="&amp;DATE(2025,7,1),
  raw_stack!G$2:G$100000, "&lt;="&amp;EOMONTH(DATE(2025,7,1),0)
 ),
 IF(OR(_xlpm.x=0, _xlpm.x=""), "-", _xlpm.x)
)</f>
        <v>5860</v>
      </c>
      <c r="Q266" s="54" t="str">
        <f>_xlfn.LET(
 _xlpm.x,
 _xlfn.MAXIFS(
  raw_stack!G$2:G$99411,
  raw_stack!D$2:D$99411, G266,
  raw_stack!F$2:F$99411, "Iya",
  raw_stack!G$2:G$99411, "&gt;="&amp;DATE(2025,8,1),
  raw_stack!G$2:G$99411, "&lt;="&amp;EOMONTH(DATE(2025,8,1),0)
 ),
 IF(_xlpm.x=0, "-", _xlpm.x)
)</f>
        <v>-</v>
      </c>
      <c r="R266" s="65" t="str">
        <f>_xlfn.LET(
 _xlpm.x,
 _xlfn.MAXIFS(
  raw_stack!H$2:H$100000,
  raw_stack!D$2:D$100000, G266,
  raw_stack!F$2:F$100000, "Iya",
  raw_stack!G$2:G$100000, "&gt;="&amp;DATE(2025,8,1),
  raw_stack!G$2:G$100000, "&lt;="&amp;EOMONTH(DATE(2025,8,1),0)
 ),
 IF(OR(_xlpm.x=0, _xlpm.x=""), "-", _xlpm.x)
)</f>
        <v>-</v>
      </c>
      <c r="S266" s="54" t="str">
        <f>_xlfn.LET(
 _xlpm.x,
 _xlfn.MAXIFS(
  raw_stack!G$2:G$99411,
  raw_stack!D$2:D$99411, G266,
  raw_stack!F$2:F$99411, "Iya",
  raw_stack!G$2:G$99411, "&gt;="&amp;DATE(2025,9,1),
  raw_stack!G$2:G$99411, "&lt;="&amp;EOMONTH(DATE(2025,9,1),0)
 ),
 IF(_xlpm.x=0, "-", _xlpm.x)
)</f>
        <v>-</v>
      </c>
      <c r="T266" s="65" t="str">
        <f>_xlfn.LET(
 _xlpm.x,
 _xlfn.MAXIFS(
  raw_stack!H$2:H$100000,
  raw_stack!D$2:D$100000, G266,
  raw_stack!F$2:F$100000, "Iya",
  raw_stack!G$2:G$100000, "&gt;="&amp;DATE(2025,9,1),
  raw_stack!G$2:G$100000, "&lt;="&amp;EOMONTH(DATE(2025,9,1),0)
 ),
 IF(OR(_xlpm.x=0, _xlpm.x=""), "-", _xlpm.x)
)</f>
        <v>-</v>
      </c>
      <c r="U266" s="54" t="str">
        <f>_xlfn.LET(
 _xlpm.x,
 _xlfn.MAXIFS(
  raw_stack!G$2:G$99411,
  raw_stack!D$2:D$99411, G266,
  raw_stack!F$2:F$99411, "Iya",
  raw_stack!G$2:G$99411, "&gt;="&amp;DATE(2025,10,1),
  raw_stack!G$2:G$99411, "&lt;="&amp;EOMONTH(DATE(2025,10,1),0)
 ),
 IF(_xlpm.x=0, "-", _xlpm.x)
)</f>
        <v>-</v>
      </c>
      <c r="V266" s="65" t="str">
        <f>_xlfn.LET(
 _xlpm.x,
 _xlfn.MAXIFS(
  raw_stack!H$2:H$100000,
  raw_stack!D$2:D$100000, G266,
  raw_stack!F$2:F$100000, "Iya",
  raw_stack!G$2:G$100000, "&gt;="&amp;DATE(2025,10,1),
  raw_stack!G$2:G$100000, "&lt;="&amp;EOMONTH(DATE(2025,10,1),0)
 ),
 IF(OR(_xlpm.x=0, _xlpm.x=""), "-", _xlpm.x)
)</f>
        <v>-</v>
      </c>
      <c r="W266" s="55" t="str">
        <f>_xlfn.LET(
 _xlpm.x,
 _xlfn.MAXIFS(
  raw_stack!G$2:G$99411,
  raw_stack!D$2:D$99411, G266,
  raw_stack!F$2:F$99411, "Iya",
  raw_stack!G$2:G$99411, "&gt;="&amp;DATE(2025,11,1),
  raw_stack!G$2:G$99411, "&lt;="&amp;EOMONTH(DATE(2025,11,1),0)
 ),
 IF(_xlpm.x=0, "-", _xlpm.x)
)</f>
        <v>-</v>
      </c>
      <c r="X266" s="56" t="str">
        <f>_xlfn.LET(
 _xlpm.x,
 _xlfn.MAXIFS(
  raw_stack!H$2:H$100000,
  raw_stack!D$2:D$100000, G266,
  raw_stack!F$2:F$100000, "Iya",
  raw_stack!G$2:G$100000, "&gt;="&amp;DATE(2025,11,1),
  raw_stack!G$2:G$100000, "&lt;="&amp;EOMONTH(DATE(2025,11,1),0)
 ),
 IF(OR(_xlpm.x=0, _xlpm.x=""), "-", _xlpm.x)
)</f>
        <v>-</v>
      </c>
      <c r="Y266" s="55" t="str">
        <f>_xlfn.LET(
 _xlpm.x,
 _xlfn.MAXIFS(
  raw_stack!G$2:G$99411,
  raw_stack!D$2:D$99411, G266,
  raw_stack!F$2:F$99411, "Iya",
  raw_stack!G$2:G$99411, "&gt;="&amp;DATE(2025,12,1),
  raw_stack!G$2:G$99411, "&lt;="&amp;EOMONTH(DATE(2025,12,1),0)
 ),
 IF(_xlpm.x=0, "-", _xlpm.x)
)</f>
        <v>-</v>
      </c>
      <c r="Z266" s="56" t="str">
        <f>_xlfn.LET(
 _xlpm.x,
 _xlfn.MAXIFS(
  raw_stack!H$2:H$100000,
  raw_stack!D$2:D$100000, G266,
  raw_stack!F$2:F$100000, "Iya",
  raw_stack!G$2:G$100000, "&gt;="&amp;DATE(2025,12,1),
  raw_stack!G$2:G$100000, "&lt;="&amp;EOMONTH(DATE(2025,12,1),0)
 ),
 IF(OR(_xlpm.x=0, _xlpm.x=""), "-", _xlpm.x)
)</f>
        <v>-</v>
      </c>
      <c r="AA266" s="55">
        <f>_xlfn.LET(
 _xlpm.x,
 _xlfn.MAXIFS(
  raw_stack!G$2:G$99411,
  raw_stack!D$2:D$99411, G266,
  raw_stack!F$2:F$99411, "Iya",
  raw_stack!G$2:G$99411, "&gt;="&amp;DATE(2026,1,1),
  raw_stack!G$2:G$99411, "&lt;="&amp;EOMONTH(DATE(2026,1,1),0)
 ),
 IF(_xlpm.x=0, "-", _xlpm.x)
)</f>
        <v>46046</v>
      </c>
      <c r="AB266" s="56">
        <f>_xlfn.LET(
 _xlpm.x,
 _xlfn.MAXIFS(
  raw_stack!H$2:H$100000,
  raw_stack!D$2:D$100000, G266,
  raw_stack!F$2:F$100000, "Iya",
  raw_stack!G$2:G$100000, "&gt;="&amp;DATE(2026,1,1),
  raw_stack!G$2:G$100000, "&lt;="&amp;EOMONTH(DATE(2026,1,1),0)
 ),
 IF(OR(_xlpm.x=0, _xlpm.x=""), "-", _xlpm.x)
)</f>
        <v>9536</v>
      </c>
      <c r="AC266" s="55" t="str">
        <f>_xlfn.LET(
 _xlpm.x,
 _xlfn.MAXIFS(
  raw_stack!G$2:G$99411,
  raw_stack!D$2:D$99411, G266,
  raw_stack!F$2:F$99411, "Iya",
  raw_stack!G$2:G$99411, "&gt;="&amp;DATE(2026,2,1),
  raw_stack!G$2:G$99411, "&lt;="&amp;EOMONTH(DATE(2026,2,1),0)
 ),
 IF(_xlpm.x=0, "-", _xlpm.x)
)</f>
        <v>-</v>
      </c>
      <c r="AD266" s="56" t="str">
        <f>_xlfn.LET(
 _xlpm.x,
 _xlfn.MAXIFS(
  raw_stack!H$2:H$100000,
  raw_stack!D$2:D$100000, G266,
  raw_stack!F$2:F$100000, "Iya",
  raw_stack!G$2:G$100000, "&gt;="&amp;DATE(2026,2,1),
  raw_stack!G$2:G$100000, "&lt;="&amp;EOMONTH(DATE(2026,2,1),0)
 ),
 IF(OR(_xlpm.x=0, _xlpm.x=""), "-", _xlpm.x)
)</f>
        <v>-</v>
      </c>
      <c r="AE266" s="55" t="str">
        <f>_xlfn.LET(
 _xlpm.x,
 _xlfn.MAXIFS(
  raw_stack!G$2:G$100000,
  raw_stack!D$2:D$100000, G266,
  raw_stack!F$2:F$100000, "Iya",
  raw_stack!G$2:G$100000, "&gt;="&amp;DATE(2026,3,1),
  raw_stack!G$2:G$100000, "&lt;="&amp;EOMONTH(DATE(2026,3,1),0)
 ),
 IF(_xlpm.x=0, "-", _xlpm.x)
)</f>
        <v>-</v>
      </c>
      <c r="AF266" s="56" t="str">
        <f>_xlfn.LET(
 _xlpm.x,
 _xlfn.MAXIFS(
  raw_stack!H$2:H$100000,
  raw_stack!D$2:D$100000, G266,
  raw_stack!F$2:F$100000, "Iya",
  raw_stack!G$2:G$100000, "&gt;="&amp;DATE(2026,3,1),
  raw_stack!G$2:G$100000, "&lt;="&amp;EOMONTH(DATE(2026,3,1),0)
 ),
 IF(OR(_xlpm.x=0, _xlpm.x=""), "-", _xlpm.x)
)</f>
        <v>-</v>
      </c>
      <c r="AG266" s="55" t="str">
        <f>_xlfn.LET(
 _xlpm.x,
 _xlfn.MAXIFS(
  raw_stack!G$2:G$100000,
  raw_stack!D$2:D$100000, G266,
  raw_stack!F$2:F$100000, "Iya",
  raw_stack!G$2:G$100000, "&gt;="&amp;DATE(2026,4,1),
  raw_stack!G$2:G$100000, "&lt;="&amp;EOMONTH(DATE(2026,4,1),0)
 ),
 IF(_xlpm.x=0, "-", _xlpm.x)
)</f>
        <v>-</v>
      </c>
      <c r="AH266" s="56" t="str">
        <f>_xlfn.LET(
 _xlpm.x,
 _xlfn.MAXIFS(
  raw_stack!H$2:H$100000,
  raw_stack!D$2:D$100000, G266,
  raw_stack!F$2:F$100000, "Iya",
  raw_stack!G$2:G$100000, "&gt;="&amp;DATE(2026,4,1),
  raw_stack!G$2:G$100000, "&lt;="&amp;EOMONTH(DATE(2026,4,1),0)
 ),
 IF(OR(_xlpm.x=0, _xlpm.x=""), "-", _xlpm.x)
)</f>
        <v>-</v>
      </c>
    </row>
    <row r="267" spans="1:34">
      <c r="A267" s="48">
        <v>266</v>
      </c>
      <c r="B267" s="49" t="str">
        <f t="shared" si="4"/>
        <v>30396</v>
      </c>
      <c r="C267" s="50" t="s">
        <v>46</v>
      </c>
      <c r="D267" s="51" t="s">
        <v>671</v>
      </c>
      <c r="E267" s="51" t="s">
        <v>47</v>
      </c>
      <c r="F267" s="49" t="s">
        <v>117</v>
      </c>
      <c r="G267" s="49" t="s">
        <v>383</v>
      </c>
      <c r="H267" s="49" t="s">
        <v>48</v>
      </c>
      <c r="I267" s="49" t="s">
        <v>49</v>
      </c>
      <c r="J267" s="52">
        <v>4475000</v>
      </c>
      <c r="K267" s="53">
        <v>45861</v>
      </c>
      <c r="L267" s="53">
        <v>46956</v>
      </c>
      <c r="M267" s="53">
        <v>46075</v>
      </c>
      <c r="N267" s="49" t="s">
        <v>50</v>
      </c>
      <c r="O267" s="54">
        <f>_xlfn.LET(
 _xlpm.x,
 _xlfn.MAXIFS(
  raw_stack!G$2:G$100000,
  raw_stack!D$2:D$100000, G267,
  raw_stack!F$2:F$100000, "Iya",
  raw_stack!G$2:G$100000, "&gt;="&amp;DATE(2025,7,1),
  raw_stack!G$2:G$100000, "&lt;="&amp;EOMONTH(DATE(2025,7,1),0)
 ),
 IF(_xlpm.x=0, "-", _xlpm.x)
)</f>
        <v>45861</v>
      </c>
      <c r="P267" s="65">
        <f>_xlfn.LET(
 _xlpm.x,
 _xlfn.MAXIFS(
  raw_stack!H$2:H$100000,
  raw_stack!D$2:D$100000, G267,
  raw_stack!F$2:F$100000, "Iya",
  raw_stack!G$2:G$100000, "&gt;="&amp;DATE(2025,7,1),
  raw_stack!G$2:G$100000, "&lt;="&amp;EOMONTH(DATE(2025,7,1),0)
 ),
 IF(OR(_xlpm.x=0, _xlpm.x=""), "-", _xlpm.x)
)</f>
        <v>1320</v>
      </c>
      <c r="Q267" s="54">
        <f>_xlfn.LET(
 _xlpm.x,
 _xlfn.MAXIFS(
  raw_stack!G$2:G$99411,
  raw_stack!D$2:D$99411, G267,
  raw_stack!F$2:F$99411, "Iya",
  raw_stack!G$2:G$99411, "&gt;="&amp;DATE(2025,8,1),
  raw_stack!G$2:G$99411, "&lt;="&amp;EOMONTH(DATE(2025,8,1),0)
 ),
 IF(_xlpm.x=0, "-", _xlpm.x)
)</f>
        <v>45889</v>
      </c>
      <c r="R267" s="65">
        <f>_xlfn.LET(
 _xlpm.x,
 _xlfn.MAXIFS(
  raw_stack!H$2:H$100000,
  raw_stack!D$2:D$100000, G267,
  raw_stack!F$2:F$100000, "Iya",
  raw_stack!G$2:G$100000, "&gt;="&amp;DATE(2025,8,1),
  raw_stack!G$2:G$100000, "&lt;="&amp;EOMONTH(DATE(2025,8,1),0)
 ),
 IF(OR(_xlpm.x=0, _xlpm.x=""), "-", _xlpm.x)
)</f>
        <v>5857</v>
      </c>
      <c r="S267" s="54" t="str">
        <f>_xlfn.LET(
 _xlpm.x,
 _xlfn.MAXIFS(
  raw_stack!G$2:G$99411,
  raw_stack!D$2:D$99411, G267,
  raw_stack!F$2:F$99411, "Iya",
  raw_stack!G$2:G$99411, "&gt;="&amp;DATE(2025,9,1),
  raw_stack!G$2:G$99411, "&lt;="&amp;EOMONTH(DATE(2025,9,1),0)
 ),
 IF(_xlpm.x=0, "-", _xlpm.x)
)</f>
        <v>-</v>
      </c>
      <c r="T267" s="65" t="str">
        <f>_xlfn.LET(
 _xlpm.x,
 _xlfn.MAXIFS(
  raw_stack!H$2:H$100000,
  raw_stack!D$2:D$100000, G267,
  raw_stack!F$2:F$100000, "Iya",
  raw_stack!G$2:G$100000, "&gt;="&amp;DATE(2025,9,1),
  raw_stack!G$2:G$100000, "&lt;="&amp;EOMONTH(DATE(2025,9,1),0)
 ),
 IF(OR(_xlpm.x=0, _xlpm.x=""), "-", _xlpm.x)
)</f>
        <v>-</v>
      </c>
      <c r="U267" s="54" t="str">
        <f>_xlfn.LET(
 _xlpm.x,
 _xlfn.MAXIFS(
  raw_stack!G$2:G$99411,
  raw_stack!D$2:D$99411, G267,
  raw_stack!F$2:F$99411, "Iya",
  raw_stack!G$2:G$99411, "&gt;="&amp;DATE(2025,10,1),
  raw_stack!G$2:G$99411, "&lt;="&amp;EOMONTH(DATE(2025,10,1),0)
 ),
 IF(_xlpm.x=0, "-", _xlpm.x)
)</f>
        <v>-</v>
      </c>
      <c r="V267" s="65" t="str">
        <f>_xlfn.LET(
 _xlpm.x,
 _xlfn.MAXIFS(
  raw_stack!H$2:H$100000,
  raw_stack!D$2:D$100000, G267,
  raw_stack!F$2:F$100000, "Iya",
  raw_stack!G$2:G$100000, "&gt;="&amp;DATE(2025,10,1),
  raw_stack!G$2:G$100000, "&lt;="&amp;EOMONTH(DATE(2025,10,1),0)
 ),
 IF(OR(_xlpm.x=0, _xlpm.x=""), "-", _xlpm.x)
)</f>
        <v>-</v>
      </c>
      <c r="W267" s="55">
        <f>_xlfn.LET(
 _xlpm.x,
 _xlfn.MAXIFS(
  raw_stack!G$2:G$99411,
  raw_stack!D$2:D$99411, G267,
  raw_stack!F$2:F$99411, "Iya",
  raw_stack!G$2:G$99411, "&gt;="&amp;DATE(2025,11,1),
  raw_stack!G$2:G$99411, "&lt;="&amp;EOMONTH(DATE(2025,11,1),0)
 ),
 IF(_xlpm.x=0, "-", _xlpm.x)
)</f>
        <v>45980</v>
      </c>
      <c r="X267" s="56">
        <f>_xlfn.LET(
 _xlpm.x,
 _xlfn.MAXIFS(
  raw_stack!H$2:H$100000,
  raw_stack!D$2:D$100000, G267,
  raw_stack!F$2:F$100000, "Iya",
  raw_stack!G$2:G$100000, "&gt;="&amp;DATE(2025,11,1),
  raw_stack!G$2:G$100000, "&lt;="&amp;EOMONTH(DATE(2025,11,1),0)
 ),
 IF(OR(_xlpm.x=0, _xlpm.x=""), "-", _xlpm.x)
)</f>
        <v>15162</v>
      </c>
      <c r="Y267" s="55" t="str">
        <f>_xlfn.LET(
 _xlpm.x,
 _xlfn.MAXIFS(
  raw_stack!G$2:G$99411,
  raw_stack!D$2:D$99411, G267,
  raw_stack!F$2:F$99411, "Iya",
  raw_stack!G$2:G$99411, "&gt;="&amp;DATE(2025,12,1),
  raw_stack!G$2:G$99411, "&lt;="&amp;EOMONTH(DATE(2025,12,1),0)
 ),
 IF(_xlpm.x=0, "-", _xlpm.x)
)</f>
        <v>-</v>
      </c>
      <c r="Z267" s="56" t="str">
        <f>_xlfn.LET(
 _xlpm.x,
 _xlfn.MAXIFS(
  raw_stack!H$2:H$100000,
  raw_stack!D$2:D$100000, G267,
  raw_stack!F$2:F$100000, "Iya",
  raw_stack!G$2:G$100000, "&gt;="&amp;DATE(2025,12,1),
  raw_stack!G$2:G$100000, "&lt;="&amp;EOMONTH(DATE(2025,12,1),0)
 ),
 IF(OR(_xlpm.x=0, _xlpm.x=""), "-", _xlpm.x)
)</f>
        <v>-</v>
      </c>
      <c r="AA267" s="55" t="str">
        <f>_xlfn.LET(
 _xlpm.x,
 _xlfn.MAXIFS(
  raw_stack!G$2:G$99411,
  raw_stack!D$2:D$99411, G267,
  raw_stack!F$2:F$99411, "Iya",
  raw_stack!G$2:G$99411, "&gt;="&amp;DATE(2026,1,1),
  raw_stack!G$2:G$99411, "&lt;="&amp;EOMONTH(DATE(2026,1,1),0)
 ),
 IF(_xlpm.x=0, "-", _xlpm.x)
)</f>
        <v>-</v>
      </c>
      <c r="AB267" s="56" t="str">
        <f>_xlfn.LET(
 _xlpm.x,
 _xlfn.MAXIFS(
  raw_stack!H$2:H$100000,
  raw_stack!D$2:D$100000, G267,
  raw_stack!F$2:F$100000, "Iya",
  raw_stack!G$2:G$100000, "&gt;="&amp;DATE(2026,1,1),
  raw_stack!G$2:G$100000, "&lt;="&amp;EOMONTH(DATE(2026,1,1),0)
 ),
 IF(OR(_xlpm.x=0, _xlpm.x=""), "-", _xlpm.x)
)</f>
        <v>-</v>
      </c>
      <c r="AC267" s="55">
        <f>_xlfn.LET(
 _xlpm.x,
 _xlfn.MAXIFS(
  raw_stack!G$2:G$99411,
  raw_stack!D$2:D$99411, G267,
  raw_stack!F$2:F$99411, "Iya",
  raw_stack!G$2:G$99411, "&gt;="&amp;DATE(2026,2,1),
  raw_stack!G$2:G$99411, "&lt;="&amp;EOMONTH(DATE(2026,2,1),0)
 ),
 IF(_xlpm.x=0, "-", _xlpm.x)
)</f>
        <v>46063</v>
      </c>
      <c r="AD267" s="56">
        <f>_xlfn.LET(
 _xlpm.x,
 _xlfn.MAXIFS(
  raw_stack!H$2:H$100000,
  raw_stack!D$2:D$100000, G267,
  raw_stack!F$2:F$100000, "Iya",
  raw_stack!G$2:G$100000, "&gt;="&amp;DATE(2026,2,1),
  raw_stack!G$2:G$100000, "&lt;="&amp;EOMONTH(DATE(2026,2,1),0)
 ),
 IF(OR(_xlpm.x=0, _xlpm.x=""), "-", _xlpm.x)
)</f>
        <v>20057</v>
      </c>
      <c r="AE267" s="55" t="str">
        <f>_xlfn.LET(
 _xlpm.x,
 _xlfn.MAXIFS(
  raw_stack!G$2:G$100000,
  raw_stack!D$2:D$100000, G267,
  raw_stack!F$2:F$100000, "Iya",
  raw_stack!G$2:G$100000, "&gt;="&amp;DATE(2026,3,1),
  raw_stack!G$2:G$100000, "&lt;="&amp;EOMONTH(DATE(2026,3,1),0)
 ),
 IF(_xlpm.x=0, "-", _xlpm.x)
)</f>
        <v>-</v>
      </c>
      <c r="AF267" s="56" t="str">
        <f>_xlfn.LET(
 _xlpm.x,
 _xlfn.MAXIFS(
  raw_stack!H$2:H$100000,
  raw_stack!D$2:D$100000, G267,
  raw_stack!F$2:F$100000, "Iya",
  raw_stack!G$2:G$100000, "&gt;="&amp;DATE(2026,3,1),
  raw_stack!G$2:G$100000, "&lt;="&amp;EOMONTH(DATE(2026,3,1),0)
 ),
 IF(OR(_xlpm.x=0, _xlpm.x=""), "-", _xlpm.x)
)</f>
        <v>-</v>
      </c>
      <c r="AG267" s="55" t="str">
        <f>_xlfn.LET(
 _xlpm.x,
 _xlfn.MAXIFS(
  raw_stack!G$2:G$100000,
  raw_stack!D$2:D$100000, G267,
  raw_stack!F$2:F$100000, "Iya",
  raw_stack!G$2:G$100000, "&gt;="&amp;DATE(2026,4,1),
  raw_stack!G$2:G$100000, "&lt;="&amp;EOMONTH(DATE(2026,4,1),0)
 ),
 IF(_xlpm.x=0, "-", _xlpm.x)
)</f>
        <v>-</v>
      </c>
      <c r="AH267" s="56" t="str">
        <f>_xlfn.LET(
 _xlpm.x,
 _xlfn.MAXIFS(
  raw_stack!H$2:H$100000,
  raw_stack!D$2:D$100000, G267,
  raw_stack!F$2:F$100000, "Iya",
  raw_stack!G$2:G$100000, "&gt;="&amp;DATE(2026,4,1),
  raw_stack!G$2:G$100000, "&lt;="&amp;EOMONTH(DATE(2026,4,1),0)
 ),
 IF(OR(_xlpm.x=0, _xlpm.x=""), "-", _xlpm.x)
)</f>
        <v>-</v>
      </c>
    </row>
    <row r="268" spans="1:34">
      <c r="A268" s="48">
        <v>267</v>
      </c>
      <c r="B268" s="49" t="str">
        <f t="shared" si="4"/>
        <v>24879</v>
      </c>
      <c r="C268" s="50" t="s">
        <v>46</v>
      </c>
      <c r="D268" s="51" t="s">
        <v>672</v>
      </c>
      <c r="E268" s="51" t="s">
        <v>54</v>
      </c>
      <c r="F268" s="49" t="s">
        <v>117</v>
      </c>
      <c r="G268" s="49" t="s">
        <v>384</v>
      </c>
      <c r="H268" s="49" t="s">
        <v>48</v>
      </c>
      <c r="I268" s="49" t="s">
        <v>52</v>
      </c>
      <c r="J268" s="52">
        <v>6600000</v>
      </c>
      <c r="K268" s="53">
        <v>45866</v>
      </c>
      <c r="L268" s="53">
        <v>46961</v>
      </c>
      <c r="M268" s="53">
        <v>46080</v>
      </c>
      <c r="N268" s="49" t="s">
        <v>50</v>
      </c>
      <c r="O268" s="54" t="str">
        <f>_xlfn.LET(
 _xlpm.x,
 _xlfn.MAXIFS(
  raw_stack!G$2:G$100000,
  raw_stack!D$2:D$100000, G268,
  raw_stack!F$2:F$100000, "Iya",
  raw_stack!G$2:G$100000, "&gt;="&amp;DATE(2025,7,1),
  raw_stack!G$2:G$100000, "&lt;="&amp;EOMONTH(DATE(2025,7,1),0)
 ),
 IF(_xlpm.x=0, "-", _xlpm.x)
)</f>
        <v>-</v>
      </c>
      <c r="P268" s="65" t="str">
        <f>_xlfn.LET(
 _xlpm.x,
 _xlfn.MAXIFS(
  raw_stack!H$2:H$100000,
  raw_stack!D$2:D$100000, G268,
  raw_stack!F$2:F$100000, "Iya",
  raw_stack!G$2:G$100000, "&gt;="&amp;DATE(2025,7,1),
  raw_stack!G$2:G$100000, "&lt;="&amp;EOMONTH(DATE(2025,7,1),0)
 ),
 IF(OR(_xlpm.x=0, _xlpm.x=""), "-", _xlpm.x)
)</f>
        <v>-</v>
      </c>
      <c r="Q268" s="54" t="str">
        <f>_xlfn.LET(
 _xlpm.x,
 _xlfn.MAXIFS(
  raw_stack!G$2:G$99411,
  raw_stack!D$2:D$99411, G268,
  raw_stack!F$2:F$99411, "Iya",
  raw_stack!G$2:G$99411, "&gt;="&amp;DATE(2025,8,1),
  raw_stack!G$2:G$99411, "&lt;="&amp;EOMONTH(DATE(2025,8,1),0)
 ),
 IF(_xlpm.x=0, "-", _xlpm.x)
)</f>
        <v>-</v>
      </c>
      <c r="R268" s="65" t="str">
        <f>_xlfn.LET(
 _xlpm.x,
 _xlfn.MAXIFS(
  raw_stack!H$2:H$100000,
  raw_stack!D$2:D$100000, G268,
  raw_stack!F$2:F$100000, "Iya",
  raw_stack!G$2:G$100000, "&gt;="&amp;DATE(2025,8,1),
  raw_stack!G$2:G$100000, "&lt;="&amp;EOMONTH(DATE(2025,8,1),0)
 ),
 IF(OR(_xlpm.x=0, _xlpm.x=""), "-", _xlpm.x)
)</f>
        <v>-</v>
      </c>
      <c r="S268" s="54">
        <f>_xlfn.LET(
 _xlpm.x,
 _xlfn.MAXIFS(
  raw_stack!G$2:G$99411,
  raw_stack!D$2:D$99411, G268,
  raw_stack!F$2:F$99411, "Iya",
  raw_stack!G$2:G$99411, "&gt;="&amp;DATE(2025,9,1),
  raw_stack!G$2:G$99411, "&lt;="&amp;EOMONTH(DATE(2025,9,1),0)
 ),
 IF(_xlpm.x=0, "-", _xlpm.x)
)</f>
        <v>45919</v>
      </c>
      <c r="T268" s="65">
        <f>_xlfn.LET(
 _xlpm.x,
 _xlfn.MAXIFS(
  raw_stack!H$2:H$100000,
  raw_stack!D$2:D$100000, G268,
  raw_stack!F$2:F$100000, "Iya",
  raw_stack!G$2:G$100000, "&gt;="&amp;DATE(2025,9,1),
  raw_stack!G$2:G$100000, "&lt;="&amp;EOMONTH(DATE(2025,9,1),0)
 ),
 IF(OR(_xlpm.x=0, _xlpm.x=""), "-", _xlpm.x)
)</f>
        <v>10246</v>
      </c>
      <c r="U268" s="54" t="str">
        <f>_xlfn.LET(
 _xlpm.x,
 _xlfn.MAXIFS(
  raw_stack!G$2:G$99411,
  raw_stack!D$2:D$99411, G268,
  raw_stack!F$2:F$99411, "Iya",
  raw_stack!G$2:G$99411, "&gt;="&amp;DATE(2025,10,1),
  raw_stack!G$2:G$99411, "&lt;="&amp;EOMONTH(DATE(2025,10,1),0)
 ),
 IF(_xlpm.x=0, "-", _xlpm.x)
)</f>
        <v>-</v>
      </c>
      <c r="V268" s="65" t="str">
        <f>_xlfn.LET(
 _xlpm.x,
 _xlfn.MAXIFS(
  raw_stack!H$2:H$100000,
  raw_stack!D$2:D$100000, G268,
  raw_stack!F$2:F$100000, "Iya",
  raw_stack!G$2:G$100000, "&gt;="&amp;DATE(2025,10,1),
  raw_stack!G$2:G$100000, "&lt;="&amp;EOMONTH(DATE(2025,10,1),0)
 ),
 IF(OR(_xlpm.x=0, _xlpm.x=""), "-", _xlpm.x)
)</f>
        <v>-</v>
      </c>
      <c r="W268" s="55" t="str">
        <f>_xlfn.LET(
 _xlpm.x,
 _xlfn.MAXIFS(
  raw_stack!G$2:G$99411,
  raw_stack!D$2:D$99411, G268,
  raw_stack!F$2:F$99411, "Iya",
  raw_stack!G$2:G$99411, "&gt;="&amp;DATE(2025,11,1),
  raw_stack!G$2:G$99411, "&lt;="&amp;EOMONTH(DATE(2025,11,1),0)
 ),
 IF(_xlpm.x=0, "-", _xlpm.x)
)</f>
        <v>-</v>
      </c>
      <c r="X268" s="56" t="str">
        <f>_xlfn.LET(
 _xlpm.x,
 _xlfn.MAXIFS(
  raw_stack!H$2:H$100000,
  raw_stack!D$2:D$100000, G268,
  raw_stack!F$2:F$100000, "Iya",
  raw_stack!G$2:G$100000, "&gt;="&amp;DATE(2025,11,1),
  raw_stack!G$2:G$100000, "&lt;="&amp;EOMONTH(DATE(2025,11,1),0)
 ),
 IF(OR(_xlpm.x=0, _xlpm.x=""), "-", _xlpm.x)
)</f>
        <v>-</v>
      </c>
      <c r="Y268" s="55" t="str">
        <f>_xlfn.LET(
 _xlpm.x,
 _xlfn.MAXIFS(
  raw_stack!G$2:G$99411,
  raw_stack!D$2:D$99411, G268,
  raw_stack!F$2:F$99411, "Iya",
  raw_stack!G$2:G$99411, "&gt;="&amp;DATE(2025,12,1),
  raw_stack!G$2:G$99411, "&lt;="&amp;EOMONTH(DATE(2025,12,1),0)
 ),
 IF(_xlpm.x=0, "-", _xlpm.x)
)</f>
        <v>-</v>
      </c>
      <c r="Z268" s="56" t="str">
        <f>_xlfn.LET(
 _xlpm.x,
 _xlfn.MAXIFS(
  raw_stack!H$2:H$100000,
  raw_stack!D$2:D$100000, G268,
  raw_stack!F$2:F$100000, "Iya",
  raw_stack!G$2:G$100000, "&gt;="&amp;DATE(2025,12,1),
  raw_stack!G$2:G$100000, "&lt;="&amp;EOMONTH(DATE(2025,12,1),0)
 ),
 IF(OR(_xlpm.x=0, _xlpm.x=""), "-", _xlpm.x)
)</f>
        <v>-</v>
      </c>
      <c r="AA268" s="55" t="str">
        <f>_xlfn.LET(
 _xlpm.x,
 _xlfn.MAXIFS(
  raw_stack!G$2:G$99411,
  raw_stack!D$2:D$99411, G268,
  raw_stack!F$2:F$99411, "Iya",
  raw_stack!G$2:G$99411, "&gt;="&amp;DATE(2026,1,1),
  raw_stack!G$2:G$99411, "&lt;="&amp;EOMONTH(DATE(2026,1,1),0)
 ),
 IF(_xlpm.x=0, "-", _xlpm.x)
)</f>
        <v>-</v>
      </c>
      <c r="AB268" s="56" t="str">
        <f>_xlfn.LET(
 _xlpm.x,
 _xlfn.MAXIFS(
  raw_stack!H$2:H$100000,
  raw_stack!D$2:D$100000, G268,
  raw_stack!F$2:F$100000, "Iya",
  raw_stack!G$2:G$100000, "&gt;="&amp;DATE(2026,1,1),
  raw_stack!G$2:G$100000, "&lt;="&amp;EOMONTH(DATE(2026,1,1),0)
 ),
 IF(OR(_xlpm.x=0, _xlpm.x=""), "-", _xlpm.x)
)</f>
        <v>-</v>
      </c>
      <c r="AC268" s="55" t="str">
        <f>_xlfn.LET(
 _xlpm.x,
 _xlfn.MAXIFS(
  raw_stack!G$2:G$99411,
  raw_stack!D$2:D$99411, G268,
  raw_stack!F$2:F$99411, "Iya",
  raw_stack!G$2:G$99411, "&gt;="&amp;DATE(2026,2,1),
  raw_stack!G$2:G$99411, "&lt;="&amp;EOMONTH(DATE(2026,2,1),0)
 ),
 IF(_xlpm.x=0, "-", _xlpm.x)
)</f>
        <v>-</v>
      </c>
      <c r="AD268" s="56" t="str">
        <f>_xlfn.LET(
 _xlpm.x,
 _xlfn.MAXIFS(
  raw_stack!H$2:H$100000,
  raw_stack!D$2:D$100000, G268,
  raw_stack!F$2:F$100000, "Iya",
  raw_stack!G$2:G$100000, "&gt;="&amp;DATE(2026,2,1),
  raw_stack!G$2:G$100000, "&lt;="&amp;EOMONTH(DATE(2026,2,1),0)
 ),
 IF(OR(_xlpm.x=0, _xlpm.x=""), "-", _xlpm.x)
)</f>
        <v>-</v>
      </c>
      <c r="AE268" s="55" t="str">
        <f>_xlfn.LET(
 _xlpm.x,
 _xlfn.MAXIFS(
  raw_stack!G$2:G$100000,
  raw_stack!D$2:D$100000, G268,
  raw_stack!F$2:F$100000, "Iya",
  raw_stack!G$2:G$100000, "&gt;="&amp;DATE(2026,3,1),
  raw_stack!G$2:G$100000, "&lt;="&amp;EOMONTH(DATE(2026,3,1),0)
 ),
 IF(_xlpm.x=0, "-", _xlpm.x)
)</f>
        <v>-</v>
      </c>
      <c r="AF268" s="56" t="str">
        <f>_xlfn.LET(
 _xlpm.x,
 _xlfn.MAXIFS(
  raw_stack!H$2:H$100000,
  raw_stack!D$2:D$100000, G268,
  raw_stack!F$2:F$100000, "Iya",
  raw_stack!G$2:G$100000, "&gt;="&amp;DATE(2026,3,1),
  raw_stack!G$2:G$100000, "&lt;="&amp;EOMONTH(DATE(2026,3,1),0)
 ),
 IF(OR(_xlpm.x=0, _xlpm.x=""), "-", _xlpm.x)
)</f>
        <v>-</v>
      </c>
      <c r="AG268" s="55" t="str">
        <f>_xlfn.LET(
 _xlpm.x,
 _xlfn.MAXIFS(
  raw_stack!G$2:G$100000,
  raw_stack!D$2:D$100000, G268,
  raw_stack!F$2:F$100000, "Iya",
  raw_stack!G$2:G$100000, "&gt;="&amp;DATE(2026,4,1),
  raw_stack!G$2:G$100000, "&lt;="&amp;EOMONTH(DATE(2026,4,1),0)
 ),
 IF(_xlpm.x=0, "-", _xlpm.x)
)</f>
        <v>-</v>
      </c>
      <c r="AH268" s="56" t="str">
        <f>_xlfn.LET(
 _xlpm.x,
 _xlfn.MAXIFS(
  raw_stack!H$2:H$100000,
  raw_stack!D$2:D$100000, G268,
  raw_stack!F$2:F$100000, "Iya",
  raw_stack!G$2:G$100000, "&gt;="&amp;DATE(2026,4,1),
  raw_stack!G$2:G$100000, "&lt;="&amp;EOMONTH(DATE(2026,4,1),0)
 ),
 IF(OR(_xlpm.x=0, _xlpm.x=""), "-", _xlpm.x)
)</f>
        <v>-</v>
      </c>
    </row>
    <row r="269" spans="1:34">
      <c r="A269" s="48">
        <v>268</v>
      </c>
      <c r="B269" s="49" t="str">
        <f t="shared" si="4"/>
        <v>54161</v>
      </c>
      <c r="C269" s="50" t="s">
        <v>46</v>
      </c>
      <c r="D269" s="51" t="s">
        <v>673</v>
      </c>
      <c r="E269" s="51" t="s">
        <v>51</v>
      </c>
      <c r="F269" s="49" t="s">
        <v>117</v>
      </c>
      <c r="G269" s="49" t="s">
        <v>385</v>
      </c>
      <c r="H269" s="49" t="s">
        <v>48</v>
      </c>
      <c r="I269" s="49" t="s">
        <v>52</v>
      </c>
      <c r="J269" s="52">
        <v>5500000</v>
      </c>
      <c r="K269" s="53">
        <v>45868</v>
      </c>
      <c r="L269" s="53">
        <v>46963</v>
      </c>
      <c r="M269" s="53">
        <v>46080</v>
      </c>
      <c r="N269" s="49" t="s">
        <v>50</v>
      </c>
      <c r="O269" s="54" t="str">
        <f>_xlfn.LET(
 _xlpm.x,
 _xlfn.MAXIFS(
  raw_stack!G$2:G$100000,
  raw_stack!D$2:D$100000, G269,
  raw_stack!F$2:F$100000, "Iya",
  raw_stack!G$2:G$100000, "&gt;="&amp;DATE(2025,7,1),
  raw_stack!G$2:G$100000, "&lt;="&amp;EOMONTH(DATE(2025,7,1),0)
 ),
 IF(_xlpm.x=0, "-", _xlpm.x)
)</f>
        <v>-</v>
      </c>
      <c r="P269" s="65" t="str">
        <f>_xlfn.LET(
 _xlpm.x,
 _xlfn.MAXIFS(
  raw_stack!H$2:H$100000,
  raw_stack!D$2:D$100000, G269,
  raw_stack!F$2:F$100000, "Iya",
  raw_stack!G$2:G$100000, "&gt;="&amp;DATE(2025,7,1),
  raw_stack!G$2:G$100000, "&lt;="&amp;EOMONTH(DATE(2025,7,1),0)
 ),
 IF(OR(_xlpm.x=0, _xlpm.x=""), "-", _xlpm.x)
)</f>
        <v>-</v>
      </c>
      <c r="Q269" s="54" t="str">
        <f>_xlfn.LET(
 _xlpm.x,
 _xlfn.MAXIFS(
  raw_stack!G$2:G$99411,
  raw_stack!D$2:D$99411, G269,
  raw_stack!F$2:F$99411, "Iya",
  raw_stack!G$2:G$99411, "&gt;="&amp;DATE(2025,8,1),
  raw_stack!G$2:G$99411, "&lt;="&amp;EOMONTH(DATE(2025,8,1),0)
 ),
 IF(_xlpm.x=0, "-", _xlpm.x)
)</f>
        <v>-</v>
      </c>
      <c r="R269" s="65" t="str">
        <f>_xlfn.LET(
 _xlpm.x,
 _xlfn.MAXIFS(
  raw_stack!H$2:H$100000,
  raw_stack!D$2:D$100000, G269,
  raw_stack!F$2:F$100000, "Iya",
  raw_stack!G$2:G$100000, "&gt;="&amp;DATE(2025,8,1),
  raw_stack!G$2:G$100000, "&lt;="&amp;EOMONTH(DATE(2025,8,1),0)
 ),
 IF(OR(_xlpm.x=0, _xlpm.x=""), "-", _xlpm.x)
)</f>
        <v>-</v>
      </c>
      <c r="S269" s="54" t="str">
        <f>_xlfn.LET(
 _xlpm.x,
 _xlfn.MAXIFS(
  raw_stack!G$2:G$99411,
  raw_stack!D$2:D$99411, G269,
  raw_stack!F$2:F$99411, "Iya",
  raw_stack!G$2:G$99411, "&gt;="&amp;DATE(2025,9,1),
  raw_stack!G$2:G$99411, "&lt;="&amp;EOMONTH(DATE(2025,9,1),0)
 ),
 IF(_xlpm.x=0, "-", _xlpm.x)
)</f>
        <v>-</v>
      </c>
      <c r="T269" s="65" t="str">
        <f>_xlfn.LET(
 _xlpm.x,
 _xlfn.MAXIFS(
  raw_stack!H$2:H$100000,
  raw_stack!D$2:D$100000, G269,
  raw_stack!F$2:F$100000, "Iya",
  raw_stack!G$2:G$100000, "&gt;="&amp;DATE(2025,9,1),
  raw_stack!G$2:G$100000, "&lt;="&amp;EOMONTH(DATE(2025,9,1),0)
 ),
 IF(OR(_xlpm.x=0, _xlpm.x=""), "-", _xlpm.x)
)</f>
        <v>-</v>
      </c>
      <c r="U269" s="54" t="str">
        <f>_xlfn.LET(
 _xlpm.x,
 _xlfn.MAXIFS(
  raw_stack!G$2:G$99411,
  raw_stack!D$2:D$99411, G269,
  raw_stack!F$2:F$99411, "Iya",
  raw_stack!G$2:G$99411, "&gt;="&amp;DATE(2025,10,1),
  raw_stack!G$2:G$99411, "&lt;="&amp;EOMONTH(DATE(2025,10,1),0)
 ),
 IF(_xlpm.x=0, "-", _xlpm.x)
)</f>
        <v>-</v>
      </c>
      <c r="V269" s="65" t="str">
        <f>_xlfn.LET(
 _xlpm.x,
 _xlfn.MAXIFS(
  raw_stack!H$2:H$100000,
  raw_stack!D$2:D$100000, G269,
  raw_stack!F$2:F$100000, "Iya",
  raw_stack!G$2:G$100000, "&gt;="&amp;DATE(2025,10,1),
  raw_stack!G$2:G$100000, "&lt;="&amp;EOMONTH(DATE(2025,10,1),0)
 ),
 IF(OR(_xlpm.x=0, _xlpm.x=""), "-", _xlpm.x)
)</f>
        <v>-</v>
      </c>
      <c r="W269" s="55" t="str">
        <f>_xlfn.LET(
 _xlpm.x,
 _xlfn.MAXIFS(
  raw_stack!G$2:G$99411,
  raw_stack!D$2:D$99411, G269,
  raw_stack!F$2:F$99411, "Iya",
  raw_stack!G$2:G$99411, "&gt;="&amp;DATE(2025,11,1),
  raw_stack!G$2:G$99411, "&lt;="&amp;EOMONTH(DATE(2025,11,1),0)
 ),
 IF(_xlpm.x=0, "-", _xlpm.x)
)</f>
        <v>-</v>
      </c>
      <c r="X269" s="56" t="str">
        <f>_xlfn.LET(
 _xlpm.x,
 _xlfn.MAXIFS(
  raw_stack!H$2:H$100000,
  raw_stack!D$2:D$100000, G269,
  raw_stack!F$2:F$100000, "Iya",
  raw_stack!G$2:G$100000, "&gt;="&amp;DATE(2025,11,1),
  raw_stack!G$2:G$100000, "&lt;="&amp;EOMONTH(DATE(2025,11,1),0)
 ),
 IF(OR(_xlpm.x=0, _xlpm.x=""), "-", _xlpm.x)
)</f>
        <v>-</v>
      </c>
      <c r="Y269" s="55" t="str">
        <f>_xlfn.LET(
 _xlpm.x,
 _xlfn.MAXIFS(
  raw_stack!G$2:G$99411,
  raw_stack!D$2:D$99411, G269,
  raw_stack!F$2:F$99411, "Iya",
  raw_stack!G$2:G$99411, "&gt;="&amp;DATE(2025,12,1),
  raw_stack!G$2:G$99411, "&lt;="&amp;EOMONTH(DATE(2025,12,1),0)
 ),
 IF(_xlpm.x=0, "-", _xlpm.x)
)</f>
        <v>-</v>
      </c>
      <c r="Z269" s="56" t="str">
        <f>_xlfn.LET(
 _xlpm.x,
 _xlfn.MAXIFS(
  raw_stack!H$2:H$100000,
  raw_stack!D$2:D$100000, G269,
  raw_stack!F$2:F$100000, "Iya",
  raw_stack!G$2:G$100000, "&gt;="&amp;DATE(2025,12,1),
  raw_stack!G$2:G$100000, "&lt;="&amp;EOMONTH(DATE(2025,12,1),0)
 ),
 IF(OR(_xlpm.x=0, _xlpm.x=""), "-", _xlpm.x)
)</f>
        <v>-</v>
      </c>
      <c r="AA269" s="55">
        <f>_xlfn.LET(
 _xlpm.x,
 _xlfn.MAXIFS(
  raw_stack!G$2:G$99411,
  raw_stack!D$2:D$99411, G269,
  raw_stack!F$2:F$99411, "Iya",
  raw_stack!G$2:G$99411, "&gt;="&amp;DATE(2026,1,1),
  raw_stack!G$2:G$99411, "&lt;="&amp;EOMONTH(DATE(2026,1,1),0)
 ),
 IF(_xlpm.x=0, "-", _xlpm.x)
)</f>
        <v>46030</v>
      </c>
      <c r="AB269" s="56">
        <f>_xlfn.LET(
 _xlpm.x,
 _xlfn.MAXIFS(
  raw_stack!H$2:H$100000,
  raw_stack!D$2:D$100000, G269,
  raw_stack!F$2:F$100000, "Iya",
  raw_stack!G$2:G$100000, "&gt;="&amp;DATE(2026,1,1),
  raw_stack!G$2:G$100000, "&lt;="&amp;EOMONTH(DATE(2026,1,1),0)
 ),
 IF(OR(_xlpm.x=0, _xlpm.x=""), "-", _xlpm.x)
)</f>
        <v>9694</v>
      </c>
      <c r="AC269" s="55" t="str">
        <f>_xlfn.LET(
 _xlpm.x,
 _xlfn.MAXIFS(
  raw_stack!G$2:G$99411,
  raw_stack!D$2:D$99411, G269,
  raw_stack!F$2:F$99411, "Iya",
  raw_stack!G$2:G$99411, "&gt;="&amp;DATE(2026,2,1),
  raw_stack!G$2:G$99411, "&lt;="&amp;EOMONTH(DATE(2026,2,1),0)
 ),
 IF(_xlpm.x=0, "-", _xlpm.x)
)</f>
        <v>-</v>
      </c>
      <c r="AD269" s="56" t="str">
        <f>_xlfn.LET(
 _xlpm.x,
 _xlfn.MAXIFS(
  raw_stack!H$2:H$100000,
  raw_stack!D$2:D$100000, G269,
  raw_stack!F$2:F$100000, "Iya",
  raw_stack!G$2:G$100000, "&gt;="&amp;DATE(2026,2,1),
  raw_stack!G$2:G$100000, "&lt;="&amp;EOMONTH(DATE(2026,2,1),0)
 ),
 IF(OR(_xlpm.x=0, _xlpm.x=""), "-", _xlpm.x)
)</f>
        <v>-</v>
      </c>
      <c r="AE269" s="55">
        <f>_xlfn.LET(
 _xlpm.x,
 _xlfn.MAXIFS(
  raw_stack!G$2:G$100000,
  raw_stack!D$2:D$100000, G269,
  raw_stack!F$2:F$100000, "Iya",
  raw_stack!G$2:G$100000, "&gt;="&amp;DATE(2026,3,1),
  raw_stack!G$2:G$100000, "&lt;="&amp;EOMONTH(DATE(2026,3,1),0)
 ),
 IF(_xlpm.x=0, "-", _xlpm.x)
)</f>
        <v>46106</v>
      </c>
      <c r="AF269" s="56">
        <f>_xlfn.LET(
 _xlpm.x,
 _xlfn.MAXIFS(
  raw_stack!H$2:H$100000,
  raw_stack!D$2:D$100000, G269,
  raw_stack!F$2:F$100000, "Iya",
  raw_stack!G$2:G$100000, "&gt;="&amp;DATE(2026,3,1),
  raw_stack!G$2:G$100000, "&lt;="&amp;EOMONTH(DATE(2026,3,1),0)
 ),
 IF(OR(_xlpm.x=0, _xlpm.x=""), "-", _xlpm.x)
)</f>
        <v>20867</v>
      </c>
      <c r="AG269" s="55" t="str">
        <f>_xlfn.LET(
 _xlpm.x,
 _xlfn.MAXIFS(
  raw_stack!G$2:G$100000,
  raw_stack!D$2:D$100000, G269,
  raw_stack!F$2:F$100000, "Iya",
  raw_stack!G$2:G$100000, "&gt;="&amp;DATE(2026,4,1),
  raw_stack!G$2:G$100000, "&lt;="&amp;EOMONTH(DATE(2026,4,1),0)
 ),
 IF(_xlpm.x=0, "-", _xlpm.x)
)</f>
        <v>-</v>
      </c>
      <c r="AH269" s="56" t="str">
        <f>_xlfn.LET(
 _xlpm.x,
 _xlfn.MAXIFS(
  raw_stack!H$2:H$100000,
  raw_stack!D$2:D$100000, G269,
  raw_stack!F$2:F$100000, "Iya",
  raw_stack!G$2:G$100000, "&gt;="&amp;DATE(2026,4,1),
  raw_stack!G$2:G$100000, "&lt;="&amp;EOMONTH(DATE(2026,4,1),0)
 ),
 IF(OR(_xlpm.x=0, _xlpm.x=""), "-", _xlpm.x)
)</f>
        <v>-</v>
      </c>
    </row>
    <row r="270" spans="1:34">
      <c r="A270" s="48">
        <v>269</v>
      </c>
      <c r="B270" s="49" t="str">
        <f t="shared" si="4"/>
        <v>25264</v>
      </c>
      <c r="C270" s="50" t="s">
        <v>46</v>
      </c>
      <c r="D270" s="51" t="s">
        <v>633</v>
      </c>
      <c r="E270" s="51" t="s">
        <v>47</v>
      </c>
      <c r="F270" s="49" t="s">
        <v>117</v>
      </c>
      <c r="G270" s="49" t="s">
        <v>386</v>
      </c>
      <c r="H270" s="49" t="s">
        <v>48</v>
      </c>
      <c r="I270" s="49" t="s">
        <v>49</v>
      </c>
      <c r="J270" s="52">
        <v>4595000</v>
      </c>
      <c r="K270" s="53">
        <v>45869</v>
      </c>
      <c r="L270" s="53">
        <v>46964</v>
      </c>
      <c r="M270" s="53">
        <v>46051</v>
      </c>
      <c r="N270" s="49" t="s">
        <v>50</v>
      </c>
      <c r="O270" s="54">
        <f>_xlfn.LET(
 _xlpm.x,
 _xlfn.MAXIFS(
  raw_stack!G$2:G$100000,
  raw_stack!D$2:D$100000, G270,
  raw_stack!F$2:F$100000, "Iya",
  raw_stack!G$2:G$100000, "&gt;="&amp;DATE(2025,7,1),
  raw_stack!G$2:G$100000, "&lt;="&amp;EOMONTH(DATE(2025,7,1),0)
 ),
 IF(_xlpm.x=0, "-", _xlpm.x)
)</f>
        <v>45869</v>
      </c>
      <c r="P270" s="65">
        <f>_xlfn.LET(
 _xlpm.x,
 _xlfn.MAXIFS(
  raw_stack!H$2:H$100000,
  raw_stack!D$2:D$100000, G270,
  raw_stack!F$2:F$100000, "Iya",
  raw_stack!G$2:G$100000, "&gt;="&amp;DATE(2025,7,1),
  raw_stack!G$2:G$100000, "&lt;="&amp;EOMONTH(DATE(2025,7,1),0)
 ),
 IF(OR(_xlpm.x=0, _xlpm.x=""), "-", _xlpm.x)
)</f>
        <v>265</v>
      </c>
      <c r="Q270" s="54" t="str">
        <f>_xlfn.LET(
 _xlpm.x,
 _xlfn.MAXIFS(
  raw_stack!G$2:G$99411,
  raw_stack!D$2:D$99411, G270,
  raw_stack!F$2:F$99411, "Iya",
  raw_stack!G$2:G$99411, "&gt;="&amp;DATE(2025,8,1),
  raw_stack!G$2:G$99411, "&lt;="&amp;EOMONTH(DATE(2025,8,1),0)
 ),
 IF(_xlpm.x=0, "-", _xlpm.x)
)</f>
        <v>-</v>
      </c>
      <c r="R270" s="65" t="str">
        <f>_xlfn.LET(
 _xlpm.x,
 _xlfn.MAXIFS(
  raw_stack!H$2:H$100000,
  raw_stack!D$2:D$100000, G270,
  raw_stack!F$2:F$100000, "Iya",
  raw_stack!G$2:G$100000, "&gt;="&amp;DATE(2025,8,1),
  raw_stack!G$2:G$100000, "&lt;="&amp;EOMONTH(DATE(2025,8,1),0)
 ),
 IF(OR(_xlpm.x=0, _xlpm.x=""), "-", _xlpm.x)
)</f>
        <v>-</v>
      </c>
      <c r="S270" s="54" t="str">
        <f>_xlfn.LET(
 _xlpm.x,
 _xlfn.MAXIFS(
  raw_stack!G$2:G$99411,
  raw_stack!D$2:D$99411, G270,
  raw_stack!F$2:F$99411, "Iya",
  raw_stack!G$2:G$99411, "&gt;="&amp;DATE(2025,9,1),
  raw_stack!G$2:G$99411, "&lt;="&amp;EOMONTH(DATE(2025,9,1),0)
 ),
 IF(_xlpm.x=0, "-", _xlpm.x)
)</f>
        <v>-</v>
      </c>
      <c r="T270" s="65" t="str">
        <f>_xlfn.LET(
 _xlpm.x,
 _xlfn.MAXIFS(
  raw_stack!H$2:H$100000,
  raw_stack!D$2:D$100000, G270,
  raw_stack!F$2:F$100000, "Iya",
  raw_stack!G$2:G$100000, "&gt;="&amp;DATE(2025,9,1),
  raw_stack!G$2:G$100000, "&lt;="&amp;EOMONTH(DATE(2025,9,1),0)
 ),
 IF(OR(_xlpm.x=0, _xlpm.x=""), "-", _xlpm.x)
)</f>
        <v>-</v>
      </c>
      <c r="U270" s="54" t="str">
        <f>_xlfn.LET(
 _xlpm.x,
 _xlfn.MAXIFS(
  raw_stack!G$2:G$99411,
  raw_stack!D$2:D$99411, G270,
  raw_stack!F$2:F$99411, "Iya",
  raw_stack!G$2:G$99411, "&gt;="&amp;DATE(2025,10,1),
  raw_stack!G$2:G$99411, "&lt;="&amp;EOMONTH(DATE(2025,10,1),0)
 ),
 IF(_xlpm.x=0, "-", _xlpm.x)
)</f>
        <v>-</v>
      </c>
      <c r="V270" s="65" t="str">
        <f>_xlfn.LET(
 _xlpm.x,
 _xlfn.MAXIFS(
  raw_stack!H$2:H$100000,
  raw_stack!D$2:D$100000, G270,
  raw_stack!F$2:F$100000, "Iya",
  raw_stack!G$2:G$100000, "&gt;="&amp;DATE(2025,10,1),
  raw_stack!G$2:G$100000, "&lt;="&amp;EOMONTH(DATE(2025,10,1),0)
 ),
 IF(OR(_xlpm.x=0, _xlpm.x=""), "-", _xlpm.x)
)</f>
        <v>-</v>
      </c>
      <c r="W270" s="55">
        <f>_xlfn.LET(
 _xlpm.x,
 _xlfn.MAXIFS(
  raw_stack!G$2:G$99411,
  raw_stack!D$2:D$99411, G270,
  raw_stack!F$2:F$99411, "Iya",
  raw_stack!G$2:G$99411, "&gt;="&amp;DATE(2025,11,1),
  raw_stack!G$2:G$99411, "&lt;="&amp;EOMONTH(DATE(2025,11,1),0)
 ),
 IF(_xlpm.x=0, "-", _xlpm.x)
)</f>
        <v>45968</v>
      </c>
      <c r="X270" s="56">
        <f>_xlfn.LET(
 _xlpm.x,
 _xlfn.MAXIFS(
  raw_stack!H$2:H$100000,
  raw_stack!D$2:D$100000, G270,
  raw_stack!F$2:F$100000, "Iya",
  raw_stack!G$2:G$100000, "&gt;="&amp;DATE(2025,11,1),
  raw_stack!G$2:G$100000, "&lt;="&amp;EOMONTH(DATE(2025,11,1),0)
 ),
 IF(OR(_xlpm.x=0, _xlpm.x=""), "-", _xlpm.x)
)</f>
        <v>11389</v>
      </c>
      <c r="Y270" s="55" t="str">
        <f>_xlfn.LET(
 _xlpm.x,
 _xlfn.MAXIFS(
  raw_stack!G$2:G$99411,
  raw_stack!D$2:D$99411, G270,
  raw_stack!F$2:F$99411, "Iya",
  raw_stack!G$2:G$99411, "&gt;="&amp;DATE(2025,12,1),
  raw_stack!G$2:G$99411, "&lt;="&amp;EOMONTH(DATE(2025,12,1),0)
 ),
 IF(_xlpm.x=0, "-", _xlpm.x)
)</f>
        <v>-</v>
      </c>
      <c r="Z270" s="56" t="str">
        <f>_xlfn.LET(
 _xlpm.x,
 _xlfn.MAXIFS(
  raw_stack!H$2:H$100000,
  raw_stack!D$2:D$100000, G270,
  raw_stack!F$2:F$100000, "Iya",
  raw_stack!G$2:G$100000, "&gt;="&amp;DATE(2025,12,1),
  raw_stack!G$2:G$100000, "&lt;="&amp;EOMONTH(DATE(2025,12,1),0)
 ),
 IF(OR(_xlpm.x=0, _xlpm.x=""), "-", _xlpm.x)
)</f>
        <v>-</v>
      </c>
      <c r="AA270" s="55" t="str">
        <f>_xlfn.LET(
 _xlpm.x,
 _xlfn.MAXIFS(
  raw_stack!G$2:G$99411,
  raw_stack!D$2:D$99411, G270,
  raw_stack!F$2:F$99411, "Iya",
  raw_stack!G$2:G$99411, "&gt;="&amp;DATE(2026,1,1),
  raw_stack!G$2:G$99411, "&lt;="&amp;EOMONTH(DATE(2026,1,1),0)
 ),
 IF(_xlpm.x=0, "-", _xlpm.x)
)</f>
        <v>-</v>
      </c>
      <c r="AB270" s="56" t="str">
        <f>_xlfn.LET(
 _xlpm.x,
 _xlfn.MAXIFS(
  raw_stack!H$2:H$100000,
  raw_stack!D$2:D$100000, G270,
  raw_stack!F$2:F$100000, "Iya",
  raw_stack!G$2:G$100000, "&gt;="&amp;DATE(2026,1,1),
  raw_stack!G$2:G$100000, "&lt;="&amp;EOMONTH(DATE(2026,1,1),0)
 ),
 IF(OR(_xlpm.x=0, _xlpm.x=""), "-", _xlpm.x)
)</f>
        <v>-</v>
      </c>
      <c r="AC270" s="55" t="str">
        <f>_xlfn.LET(
 _xlpm.x,
 _xlfn.MAXIFS(
  raw_stack!G$2:G$99411,
  raw_stack!D$2:D$99411, G270,
  raw_stack!F$2:F$99411, "Iya",
  raw_stack!G$2:G$99411, "&gt;="&amp;DATE(2026,2,1),
  raw_stack!G$2:G$99411, "&lt;="&amp;EOMONTH(DATE(2026,2,1),0)
 ),
 IF(_xlpm.x=0, "-", _xlpm.x)
)</f>
        <v>-</v>
      </c>
      <c r="AD270" s="56" t="str">
        <f>_xlfn.LET(
 _xlpm.x,
 _xlfn.MAXIFS(
  raw_stack!H$2:H$100000,
  raw_stack!D$2:D$100000, G270,
  raw_stack!F$2:F$100000, "Iya",
  raw_stack!G$2:G$100000, "&gt;="&amp;DATE(2026,2,1),
  raw_stack!G$2:G$100000, "&lt;="&amp;EOMONTH(DATE(2026,2,1),0)
 ),
 IF(OR(_xlpm.x=0, _xlpm.x=""), "-", _xlpm.x)
)</f>
        <v>-</v>
      </c>
      <c r="AE270" s="55" t="str">
        <f>_xlfn.LET(
 _xlpm.x,
 _xlfn.MAXIFS(
  raw_stack!G$2:G$100000,
  raw_stack!D$2:D$100000, G270,
  raw_stack!F$2:F$100000, "Iya",
  raw_stack!G$2:G$100000, "&gt;="&amp;DATE(2026,3,1),
  raw_stack!G$2:G$100000, "&lt;="&amp;EOMONTH(DATE(2026,3,1),0)
 ),
 IF(_xlpm.x=0, "-", _xlpm.x)
)</f>
        <v>-</v>
      </c>
      <c r="AF270" s="56" t="str">
        <f>_xlfn.LET(
 _xlpm.x,
 _xlfn.MAXIFS(
  raw_stack!H$2:H$100000,
  raw_stack!D$2:D$100000, G270,
  raw_stack!F$2:F$100000, "Iya",
  raw_stack!G$2:G$100000, "&gt;="&amp;DATE(2026,3,1),
  raw_stack!G$2:G$100000, "&lt;="&amp;EOMONTH(DATE(2026,3,1),0)
 ),
 IF(OR(_xlpm.x=0, _xlpm.x=""), "-", _xlpm.x)
)</f>
        <v>-</v>
      </c>
      <c r="AG270" s="55" t="str">
        <f>_xlfn.LET(
 _xlpm.x,
 _xlfn.MAXIFS(
  raw_stack!G$2:G$100000,
  raw_stack!D$2:D$100000, G270,
  raw_stack!F$2:F$100000, "Iya",
  raw_stack!G$2:G$100000, "&gt;="&amp;DATE(2026,4,1),
  raw_stack!G$2:G$100000, "&lt;="&amp;EOMONTH(DATE(2026,4,1),0)
 ),
 IF(_xlpm.x=0, "-", _xlpm.x)
)</f>
        <v>-</v>
      </c>
      <c r="AH270" s="56" t="str">
        <f>_xlfn.LET(
 _xlpm.x,
 _xlfn.MAXIFS(
  raw_stack!H$2:H$100000,
  raw_stack!D$2:D$100000, G270,
  raw_stack!F$2:F$100000, "Iya",
  raw_stack!G$2:G$100000, "&gt;="&amp;DATE(2026,4,1),
  raw_stack!G$2:G$100000, "&lt;="&amp;EOMONTH(DATE(2026,4,1),0)
 ),
 IF(OR(_xlpm.x=0, _xlpm.x=""), "-", _xlpm.x)
)</f>
        <v>-</v>
      </c>
    </row>
    <row r="271" spans="1:34">
      <c r="A271" s="48">
        <v>270</v>
      </c>
      <c r="B271" s="49" t="str">
        <f t="shared" si="4"/>
        <v>77414</v>
      </c>
      <c r="C271" s="50" t="s">
        <v>46</v>
      </c>
      <c r="D271" s="51" t="s">
        <v>674</v>
      </c>
      <c r="E271" s="51" t="s">
        <v>54</v>
      </c>
      <c r="F271" s="49" t="s">
        <v>117</v>
      </c>
      <c r="G271" s="49" t="s">
        <v>387</v>
      </c>
      <c r="H271" s="49" t="s">
        <v>48</v>
      </c>
      <c r="I271" s="49" t="s">
        <v>52</v>
      </c>
      <c r="J271" s="52">
        <v>6600000</v>
      </c>
      <c r="K271" s="53">
        <v>45870</v>
      </c>
      <c r="L271" s="53">
        <v>46965</v>
      </c>
      <c r="M271" s="53">
        <v>46053</v>
      </c>
      <c r="N271" s="49" t="s">
        <v>50</v>
      </c>
      <c r="O271" s="54" t="str">
        <f>_xlfn.LET(
 _xlpm.x,
 _xlfn.MAXIFS(
  raw_stack!G$2:G$100000,
  raw_stack!D$2:D$100000, G271,
  raw_stack!F$2:F$100000, "Iya",
  raw_stack!G$2:G$100000, "&gt;="&amp;DATE(2025,7,1),
  raw_stack!G$2:G$100000, "&lt;="&amp;EOMONTH(DATE(2025,7,1),0)
 ),
 IF(_xlpm.x=0, "-", _xlpm.x)
)</f>
        <v>-</v>
      </c>
      <c r="P271" s="65" t="str">
        <f>_xlfn.LET(
 _xlpm.x,
 _xlfn.MAXIFS(
  raw_stack!H$2:H$100000,
  raw_stack!D$2:D$100000, G271,
  raw_stack!F$2:F$100000, "Iya",
  raw_stack!G$2:G$100000, "&gt;="&amp;DATE(2025,7,1),
  raw_stack!G$2:G$100000, "&lt;="&amp;EOMONTH(DATE(2025,7,1),0)
 ),
 IF(OR(_xlpm.x=0, _xlpm.x=""), "-", _xlpm.x)
)</f>
        <v>-</v>
      </c>
      <c r="Q271" s="54">
        <f>_xlfn.LET(
 _xlpm.x,
 _xlfn.MAXIFS(
  raw_stack!G$2:G$99411,
  raw_stack!D$2:D$99411, G271,
  raw_stack!F$2:F$99411, "Iya",
  raw_stack!G$2:G$99411, "&gt;="&amp;DATE(2025,8,1),
  raw_stack!G$2:G$99411, "&lt;="&amp;EOMONTH(DATE(2025,8,1),0)
 ),
 IF(_xlpm.x=0, "-", _xlpm.x)
)</f>
        <v>45895</v>
      </c>
      <c r="R271" s="65">
        <f>_xlfn.LET(
 _xlpm.x,
 _xlfn.MAXIFS(
  raw_stack!H$2:H$100000,
  raw_stack!D$2:D$100000, G271,
  raw_stack!F$2:F$100000, "Iya",
  raw_stack!G$2:G$100000, "&gt;="&amp;DATE(2025,8,1),
  raw_stack!G$2:G$100000, "&lt;="&amp;EOMONTH(DATE(2025,8,1),0)
 ),
 IF(OR(_xlpm.x=0, _xlpm.x=""), "-", _xlpm.x)
)</f>
        <v>1914</v>
      </c>
      <c r="S271" s="54" t="str">
        <f>_xlfn.LET(
 _xlpm.x,
 _xlfn.MAXIFS(
  raw_stack!G$2:G$99411,
  raw_stack!D$2:D$99411, G271,
  raw_stack!F$2:F$99411, "Iya",
  raw_stack!G$2:G$99411, "&gt;="&amp;DATE(2025,9,1),
  raw_stack!G$2:G$99411, "&lt;="&amp;EOMONTH(DATE(2025,9,1),0)
 ),
 IF(_xlpm.x=0, "-", _xlpm.x)
)</f>
        <v>-</v>
      </c>
      <c r="T271" s="65" t="str">
        <f>_xlfn.LET(
 _xlpm.x,
 _xlfn.MAXIFS(
  raw_stack!H$2:H$100000,
  raw_stack!D$2:D$100000, G271,
  raw_stack!F$2:F$100000, "Iya",
  raw_stack!G$2:G$100000, "&gt;="&amp;DATE(2025,9,1),
  raw_stack!G$2:G$100000, "&lt;="&amp;EOMONTH(DATE(2025,9,1),0)
 ),
 IF(OR(_xlpm.x=0, _xlpm.x=""), "-", _xlpm.x)
)</f>
        <v>-</v>
      </c>
      <c r="U271" s="54" t="str">
        <f>_xlfn.LET(
 _xlpm.x,
 _xlfn.MAXIFS(
  raw_stack!G$2:G$99411,
  raw_stack!D$2:D$99411, G271,
  raw_stack!F$2:F$99411, "Iya",
  raw_stack!G$2:G$99411, "&gt;="&amp;DATE(2025,10,1),
  raw_stack!G$2:G$99411, "&lt;="&amp;EOMONTH(DATE(2025,10,1),0)
 ),
 IF(_xlpm.x=0, "-", _xlpm.x)
)</f>
        <v>-</v>
      </c>
      <c r="V271" s="65" t="str">
        <f>_xlfn.LET(
 _xlpm.x,
 _xlfn.MAXIFS(
  raw_stack!H$2:H$100000,
  raw_stack!D$2:D$100000, G271,
  raw_stack!F$2:F$100000, "Iya",
  raw_stack!G$2:G$100000, "&gt;="&amp;DATE(2025,10,1),
  raw_stack!G$2:G$100000, "&lt;="&amp;EOMONTH(DATE(2025,10,1),0)
 ),
 IF(OR(_xlpm.x=0, _xlpm.x=""), "-", _xlpm.x)
)</f>
        <v>-</v>
      </c>
      <c r="W271" s="55" t="str">
        <f>_xlfn.LET(
 _xlpm.x,
 _xlfn.MAXIFS(
  raw_stack!G$2:G$99411,
  raw_stack!D$2:D$99411, G271,
  raw_stack!F$2:F$99411, "Iya",
  raw_stack!G$2:G$99411, "&gt;="&amp;DATE(2025,11,1),
  raw_stack!G$2:G$99411, "&lt;="&amp;EOMONTH(DATE(2025,11,1),0)
 ),
 IF(_xlpm.x=0, "-", _xlpm.x)
)</f>
        <v>-</v>
      </c>
      <c r="X271" s="56" t="str">
        <f>_xlfn.LET(
 _xlpm.x,
 _xlfn.MAXIFS(
  raw_stack!H$2:H$100000,
  raw_stack!D$2:D$100000, G271,
  raw_stack!F$2:F$100000, "Iya",
  raw_stack!G$2:G$100000, "&gt;="&amp;DATE(2025,11,1),
  raw_stack!G$2:G$100000, "&lt;="&amp;EOMONTH(DATE(2025,11,1),0)
 ),
 IF(OR(_xlpm.x=0, _xlpm.x=""), "-", _xlpm.x)
)</f>
        <v>-</v>
      </c>
      <c r="Y271" s="55">
        <f>_xlfn.LET(
 _xlpm.x,
 _xlfn.MAXIFS(
  raw_stack!G$2:G$99411,
  raw_stack!D$2:D$99411, G271,
  raw_stack!F$2:F$99411, "Iya",
  raw_stack!G$2:G$99411, "&gt;="&amp;DATE(2025,12,1),
  raw_stack!G$2:G$99411, "&lt;="&amp;EOMONTH(DATE(2025,12,1),0)
 ),
 IF(_xlpm.x=0, "-", _xlpm.x)
)</f>
        <v>46009</v>
      </c>
      <c r="Z271" s="56">
        <f>_xlfn.LET(
 _xlpm.x,
 _xlfn.MAXIFS(
  raw_stack!H$2:H$100000,
  raw_stack!D$2:D$100000, G271,
  raw_stack!F$2:F$100000, "Iya",
  raw_stack!G$2:G$100000, "&gt;="&amp;DATE(2025,12,1),
  raw_stack!G$2:G$100000, "&lt;="&amp;EOMONTH(DATE(2025,12,1),0)
 ),
 IF(OR(_xlpm.x=0, _xlpm.x=""), "-", _xlpm.x)
)</f>
        <v>6997</v>
      </c>
      <c r="AA271" s="55" t="str">
        <f>_xlfn.LET(
 _xlpm.x,
 _xlfn.MAXIFS(
  raw_stack!G$2:G$99411,
  raw_stack!D$2:D$99411, G271,
  raw_stack!F$2:F$99411, "Iya",
  raw_stack!G$2:G$99411, "&gt;="&amp;DATE(2026,1,1),
  raw_stack!G$2:G$99411, "&lt;="&amp;EOMONTH(DATE(2026,1,1),0)
 ),
 IF(_xlpm.x=0, "-", _xlpm.x)
)</f>
        <v>-</v>
      </c>
      <c r="AB271" s="56" t="str">
        <f>_xlfn.LET(
 _xlpm.x,
 _xlfn.MAXIFS(
  raw_stack!H$2:H$100000,
  raw_stack!D$2:D$100000, G271,
  raw_stack!F$2:F$100000, "Iya",
  raw_stack!G$2:G$100000, "&gt;="&amp;DATE(2026,1,1),
  raw_stack!G$2:G$100000, "&lt;="&amp;EOMONTH(DATE(2026,1,1),0)
 ),
 IF(OR(_xlpm.x=0, _xlpm.x=""), "-", _xlpm.x)
)</f>
        <v>-</v>
      </c>
      <c r="AC271" s="55" t="str">
        <f>_xlfn.LET(
 _xlpm.x,
 _xlfn.MAXIFS(
  raw_stack!G$2:G$99411,
  raw_stack!D$2:D$99411, G271,
  raw_stack!F$2:F$99411, "Iya",
  raw_stack!G$2:G$99411, "&gt;="&amp;DATE(2026,2,1),
  raw_stack!G$2:G$99411, "&lt;="&amp;EOMONTH(DATE(2026,2,1),0)
 ),
 IF(_xlpm.x=0, "-", _xlpm.x)
)</f>
        <v>-</v>
      </c>
      <c r="AD271" s="56" t="str">
        <f>_xlfn.LET(
 _xlpm.x,
 _xlfn.MAXIFS(
  raw_stack!H$2:H$100000,
  raw_stack!D$2:D$100000, G271,
  raw_stack!F$2:F$100000, "Iya",
  raw_stack!G$2:G$100000, "&gt;="&amp;DATE(2026,2,1),
  raw_stack!G$2:G$100000, "&lt;="&amp;EOMONTH(DATE(2026,2,1),0)
 ),
 IF(OR(_xlpm.x=0, _xlpm.x=""), "-", _xlpm.x)
)</f>
        <v>-</v>
      </c>
      <c r="AE271" s="55" t="str">
        <f>_xlfn.LET(
 _xlpm.x,
 _xlfn.MAXIFS(
  raw_stack!G$2:G$100000,
  raw_stack!D$2:D$100000, G271,
  raw_stack!F$2:F$100000, "Iya",
  raw_stack!G$2:G$100000, "&gt;="&amp;DATE(2026,3,1),
  raw_stack!G$2:G$100000, "&lt;="&amp;EOMONTH(DATE(2026,3,1),0)
 ),
 IF(_xlpm.x=0, "-", _xlpm.x)
)</f>
        <v>-</v>
      </c>
      <c r="AF271" s="56" t="str">
        <f>_xlfn.LET(
 _xlpm.x,
 _xlfn.MAXIFS(
  raw_stack!H$2:H$100000,
  raw_stack!D$2:D$100000, G271,
  raw_stack!F$2:F$100000, "Iya",
  raw_stack!G$2:G$100000, "&gt;="&amp;DATE(2026,3,1),
  raw_stack!G$2:G$100000, "&lt;="&amp;EOMONTH(DATE(2026,3,1),0)
 ),
 IF(OR(_xlpm.x=0, _xlpm.x=""), "-", _xlpm.x)
)</f>
        <v>-</v>
      </c>
      <c r="AG271" s="55" t="str">
        <f>_xlfn.LET(
 _xlpm.x,
 _xlfn.MAXIFS(
  raw_stack!G$2:G$100000,
  raw_stack!D$2:D$100000, G271,
  raw_stack!F$2:F$100000, "Iya",
  raw_stack!G$2:G$100000, "&gt;="&amp;DATE(2026,4,1),
  raw_stack!G$2:G$100000, "&lt;="&amp;EOMONTH(DATE(2026,4,1),0)
 ),
 IF(_xlpm.x=0, "-", _xlpm.x)
)</f>
        <v>-</v>
      </c>
      <c r="AH271" s="56" t="str">
        <f>_xlfn.LET(
 _xlpm.x,
 _xlfn.MAXIFS(
  raw_stack!H$2:H$100000,
  raw_stack!D$2:D$100000, G271,
  raw_stack!F$2:F$100000, "Iya",
  raw_stack!G$2:G$100000, "&gt;="&amp;DATE(2026,4,1),
  raw_stack!G$2:G$100000, "&lt;="&amp;EOMONTH(DATE(2026,4,1),0)
 ),
 IF(OR(_xlpm.x=0, _xlpm.x=""), "-", _xlpm.x)
)</f>
        <v>-</v>
      </c>
    </row>
    <row r="272" spans="1:34">
      <c r="A272" s="48">
        <v>271</v>
      </c>
      <c r="B272" s="49" t="str">
        <f t="shared" si="4"/>
        <v>19625</v>
      </c>
      <c r="C272" s="50" t="s">
        <v>46</v>
      </c>
      <c r="D272" s="51" t="s">
        <v>675</v>
      </c>
      <c r="E272" s="51" t="s">
        <v>47</v>
      </c>
      <c r="F272" s="49" t="s">
        <v>117</v>
      </c>
      <c r="G272" s="49" t="s">
        <v>388</v>
      </c>
      <c r="H272" s="49" t="s">
        <v>48</v>
      </c>
      <c r="I272" s="49" t="s">
        <v>49</v>
      </c>
      <c r="J272" s="52">
        <v>4595000</v>
      </c>
      <c r="K272" s="53">
        <v>45871</v>
      </c>
      <c r="L272" s="53">
        <v>46966</v>
      </c>
      <c r="M272" s="53">
        <v>46054</v>
      </c>
      <c r="N272" s="49" t="s">
        <v>50</v>
      </c>
      <c r="O272" s="54" t="str">
        <f>_xlfn.LET(
 _xlpm.x,
 _xlfn.MAXIFS(
  raw_stack!G$2:G$100000,
  raw_stack!D$2:D$100000, G272,
  raw_stack!F$2:F$100000, "Iya",
  raw_stack!G$2:G$100000, "&gt;="&amp;DATE(2025,7,1),
  raw_stack!G$2:G$100000, "&lt;="&amp;EOMONTH(DATE(2025,7,1),0)
 ),
 IF(_xlpm.x=0, "-", _xlpm.x)
)</f>
        <v>-</v>
      </c>
      <c r="P272" s="65" t="str">
        <f>_xlfn.LET(
 _xlpm.x,
 _xlfn.MAXIFS(
  raw_stack!H$2:H$100000,
  raw_stack!D$2:D$100000, G272,
  raw_stack!F$2:F$100000, "Iya",
  raw_stack!G$2:G$100000, "&gt;="&amp;DATE(2025,7,1),
  raw_stack!G$2:G$100000, "&lt;="&amp;EOMONTH(DATE(2025,7,1),0)
 ),
 IF(OR(_xlpm.x=0, _xlpm.x=""), "-", _xlpm.x)
)</f>
        <v>-</v>
      </c>
      <c r="Q272" s="54">
        <f>_xlfn.LET(
 _xlpm.x,
 _xlfn.MAXIFS(
  raw_stack!G$2:G$99411,
  raw_stack!D$2:D$99411, G272,
  raw_stack!F$2:F$99411, "Iya",
  raw_stack!G$2:G$99411, "&gt;="&amp;DATE(2025,8,1),
  raw_stack!G$2:G$99411, "&lt;="&amp;EOMONTH(DATE(2025,8,1),0)
 ),
 IF(_xlpm.x=0, "-", _xlpm.x)
)</f>
        <v>45871</v>
      </c>
      <c r="R272" s="65">
        <f>_xlfn.LET(
 _xlpm.x,
 _xlfn.MAXIFS(
  raw_stack!H$2:H$100000,
  raw_stack!D$2:D$100000, G272,
  raw_stack!F$2:F$100000, "Iya",
  raw_stack!G$2:G$100000, "&gt;="&amp;DATE(2025,8,1),
  raw_stack!G$2:G$100000, "&lt;="&amp;EOMONTH(DATE(2025,8,1),0)
 ),
 IF(OR(_xlpm.x=0, _xlpm.x=""), "-", _xlpm.x)
)</f>
        <v>670</v>
      </c>
      <c r="S272" s="54" t="str">
        <f>_xlfn.LET(
 _xlpm.x,
 _xlfn.MAXIFS(
  raw_stack!G$2:G$99411,
  raw_stack!D$2:D$99411, G272,
  raw_stack!F$2:F$99411, "Iya",
  raw_stack!G$2:G$99411, "&gt;="&amp;DATE(2025,9,1),
  raw_stack!G$2:G$99411, "&lt;="&amp;EOMONTH(DATE(2025,9,1),0)
 ),
 IF(_xlpm.x=0, "-", _xlpm.x)
)</f>
        <v>-</v>
      </c>
      <c r="T272" s="65" t="str">
        <f>_xlfn.LET(
 _xlpm.x,
 _xlfn.MAXIFS(
  raw_stack!H$2:H$100000,
  raw_stack!D$2:D$100000, G272,
  raw_stack!F$2:F$100000, "Iya",
  raw_stack!G$2:G$100000, "&gt;="&amp;DATE(2025,9,1),
  raw_stack!G$2:G$100000, "&lt;="&amp;EOMONTH(DATE(2025,9,1),0)
 ),
 IF(OR(_xlpm.x=0, _xlpm.x=""), "-", _xlpm.x)
)</f>
        <v>-</v>
      </c>
      <c r="U272" s="54" t="str">
        <f>_xlfn.LET(
 _xlpm.x,
 _xlfn.MAXIFS(
  raw_stack!G$2:G$99411,
  raw_stack!D$2:D$99411, G272,
  raw_stack!F$2:F$99411, "Iya",
  raw_stack!G$2:G$99411, "&gt;="&amp;DATE(2025,10,1),
  raw_stack!G$2:G$99411, "&lt;="&amp;EOMONTH(DATE(2025,10,1),0)
 ),
 IF(_xlpm.x=0, "-", _xlpm.x)
)</f>
        <v>-</v>
      </c>
      <c r="V272" s="65" t="str">
        <f>_xlfn.LET(
 _xlpm.x,
 _xlfn.MAXIFS(
  raw_stack!H$2:H$100000,
  raw_stack!D$2:D$100000, G272,
  raw_stack!F$2:F$100000, "Iya",
  raw_stack!G$2:G$100000, "&gt;="&amp;DATE(2025,10,1),
  raw_stack!G$2:G$100000, "&lt;="&amp;EOMONTH(DATE(2025,10,1),0)
 ),
 IF(OR(_xlpm.x=0, _xlpm.x=""), "-", _xlpm.x)
)</f>
        <v>-</v>
      </c>
      <c r="W272" s="55" t="str">
        <f>_xlfn.LET(
 _xlpm.x,
 _xlfn.MAXIFS(
  raw_stack!G$2:G$99411,
  raw_stack!D$2:D$99411, G272,
  raw_stack!F$2:F$99411, "Iya",
  raw_stack!G$2:G$99411, "&gt;="&amp;DATE(2025,11,1),
  raw_stack!G$2:G$99411, "&lt;="&amp;EOMONTH(DATE(2025,11,1),0)
 ),
 IF(_xlpm.x=0, "-", _xlpm.x)
)</f>
        <v>-</v>
      </c>
      <c r="X272" s="56" t="str">
        <f>_xlfn.LET(
 _xlpm.x,
 _xlfn.MAXIFS(
  raw_stack!H$2:H$100000,
  raw_stack!D$2:D$100000, G272,
  raw_stack!F$2:F$100000, "Iya",
  raw_stack!G$2:G$100000, "&gt;="&amp;DATE(2025,11,1),
  raw_stack!G$2:G$100000, "&lt;="&amp;EOMONTH(DATE(2025,11,1),0)
 ),
 IF(OR(_xlpm.x=0, _xlpm.x=""), "-", _xlpm.x)
)</f>
        <v>-</v>
      </c>
      <c r="Y272" s="55" t="str">
        <f>_xlfn.LET(
 _xlpm.x,
 _xlfn.MAXIFS(
  raw_stack!G$2:G$99411,
  raw_stack!D$2:D$99411, G272,
  raw_stack!F$2:F$99411, "Iya",
  raw_stack!G$2:G$99411, "&gt;="&amp;DATE(2025,12,1),
  raw_stack!G$2:G$99411, "&lt;="&amp;EOMONTH(DATE(2025,12,1),0)
 ),
 IF(_xlpm.x=0, "-", _xlpm.x)
)</f>
        <v>-</v>
      </c>
      <c r="Z272" s="56" t="str">
        <f>_xlfn.LET(
 _xlpm.x,
 _xlfn.MAXIFS(
  raw_stack!H$2:H$100000,
  raw_stack!D$2:D$100000, G272,
  raw_stack!F$2:F$100000, "Iya",
  raw_stack!G$2:G$100000, "&gt;="&amp;DATE(2025,12,1),
  raw_stack!G$2:G$100000, "&lt;="&amp;EOMONTH(DATE(2025,12,1),0)
 ),
 IF(OR(_xlpm.x=0, _xlpm.x=""), "-", _xlpm.x)
)</f>
        <v>-</v>
      </c>
      <c r="AA272" s="55" t="str">
        <f>_xlfn.LET(
 _xlpm.x,
 _xlfn.MAXIFS(
  raw_stack!G$2:G$99411,
  raw_stack!D$2:D$99411, G272,
  raw_stack!F$2:F$99411, "Iya",
  raw_stack!G$2:G$99411, "&gt;="&amp;DATE(2026,1,1),
  raw_stack!G$2:G$99411, "&lt;="&amp;EOMONTH(DATE(2026,1,1),0)
 ),
 IF(_xlpm.x=0, "-", _xlpm.x)
)</f>
        <v>-</v>
      </c>
      <c r="AB272" s="56" t="str">
        <f>_xlfn.LET(
 _xlpm.x,
 _xlfn.MAXIFS(
  raw_stack!H$2:H$100000,
  raw_stack!D$2:D$100000, G272,
  raw_stack!F$2:F$100000, "Iya",
  raw_stack!G$2:G$100000, "&gt;="&amp;DATE(2026,1,1),
  raw_stack!G$2:G$100000, "&lt;="&amp;EOMONTH(DATE(2026,1,1),0)
 ),
 IF(OR(_xlpm.x=0, _xlpm.x=""), "-", _xlpm.x)
)</f>
        <v>-</v>
      </c>
      <c r="AC272" s="55" t="str">
        <f>_xlfn.LET(
 _xlpm.x,
 _xlfn.MAXIFS(
  raw_stack!G$2:G$99411,
  raw_stack!D$2:D$99411, G272,
  raw_stack!F$2:F$99411, "Iya",
  raw_stack!G$2:G$99411, "&gt;="&amp;DATE(2026,2,1),
  raw_stack!G$2:G$99411, "&lt;="&amp;EOMONTH(DATE(2026,2,1),0)
 ),
 IF(_xlpm.x=0, "-", _xlpm.x)
)</f>
        <v>-</v>
      </c>
      <c r="AD272" s="56" t="str">
        <f>_xlfn.LET(
 _xlpm.x,
 _xlfn.MAXIFS(
  raw_stack!H$2:H$100000,
  raw_stack!D$2:D$100000, G272,
  raw_stack!F$2:F$100000, "Iya",
  raw_stack!G$2:G$100000, "&gt;="&amp;DATE(2026,2,1),
  raw_stack!G$2:G$100000, "&lt;="&amp;EOMONTH(DATE(2026,2,1),0)
 ),
 IF(OR(_xlpm.x=0, _xlpm.x=""), "-", _xlpm.x)
)</f>
        <v>-</v>
      </c>
      <c r="AE272" s="55" t="str">
        <f>_xlfn.LET(
 _xlpm.x,
 _xlfn.MAXIFS(
  raw_stack!G$2:G$100000,
  raw_stack!D$2:D$100000, G272,
  raw_stack!F$2:F$100000, "Iya",
  raw_stack!G$2:G$100000, "&gt;="&amp;DATE(2026,3,1),
  raw_stack!G$2:G$100000, "&lt;="&amp;EOMONTH(DATE(2026,3,1),0)
 ),
 IF(_xlpm.x=0, "-", _xlpm.x)
)</f>
        <v>-</v>
      </c>
      <c r="AF272" s="56" t="str">
        <f>_xlfn.LET(
 _xlpm.x,
 _xlfn.MAXIFS(
  raw_stack!H$2:H$100000,
  raw_stack!D$2:D$100000, G272,
  raw_stack!F$2:F$100000, "Iya",
  raw_stack!G$2:G$100000, "&gt;="&amp;DATE(2026,3,1),
  raw_stack!G$2:G$100000, "&lt;="&amp;EOMONTH(DATE(2026,3,1),0)
 ),
 IF(OR(_xlpm.x=0, _xlpm.x=""), "-", _xlpm.x)
)</f>
        <v>-</v>
      </c>
      <c r="AG272" s="55" t="str">
        <f>_xlfn.LET(
 _xlpm.x,
 _xlfn.MAXIFS(
  raw_stack!G$2:G$100000,
  raw_stack!D$2:D$100000, G272,
  raw_stack!F$2:F$100000, "Iya",
  raw_stack!G$2:G$100000, "&gt;="&amp;DATE(2026,4,1),
  raw_stack!G$2:G$100000, "&lt;="&amp;EOMONTH(DATE(2026,4,1),0)
 ),
 IF(_xlpm.x=0, "-", _xlpm.x)
)</f>
        <v>-</v>
      </c>
      <c r="AH272" s="56" t="str">
        <f>_xlfn.LET(
 _xlpm.x,
 _xlfn.MAXIFS(
  raw_stack!H$2:H$100000,
  raw_stack!D$2:D$100000, G272,
  raw_stack!F$2:F$100000, "Iya",
  raw_stack!G$2:G$100000, "&gt;="&amp;DATE(2026,4,1),
  raw_stack!G$2:G$100000, "&lt;="&amp;EOMONTH(DATE(2026,4,1),0)
 ),
 IF(OR(_xlpm.x=0, _xlpm.x=""), "-", _xlpm.x)
)</f>
        <v>-</v>
      </c>
    </row>
    <row r="273" spans="1:34">
      <c r="A273" s="48">
        <v>272</v>
      </c>
      <c r="B273" s="49" t="str">
        <f t="shared" si="4"/>
        <v>78696</v>
      </c>
      <c r="C273" s="50" t="s">
        <v>46</v>
      </c>
      <c r="D273" s="51" t="s">
        <v>676</v>
      </c>
      <c r="E273" s="51" t="s">
        <v>54</v>
      </c>
      <c r="F273" s="49" t="s">
        <v>117</v>
      </c>
      <c r="G273" s="49" t="s">
        <v>389</v>
      </c>
      <c r="H273" s="49" t="s">
        <v>48</v>
      </c>
      <c r="I273" s="49" t="s">
        <v>52</v>
      </c>
      <c r="J273" s="52">
        <v>6600000</v>
      </c>
      <c r="K273" s="53">
        <v>45873</v>
      </c>
      <c r="L273" s="53">
        <v>46968</v>
      </c>
      <c r="M273" s="53">
        <v>46084</v>
      </c>
      <c r="N273" s="49" t="s">
        <v>50</v>
      </c>
      <c r="O273" s="54" t="str">
        <f>_xlfn.LET(
 _xlpm.x,
 _xlfn.MAXIFS(
  raw_stack!G$2:G$100000,
  raw_stack!D$2:D$100000, G273,
  raw_stack!F$2:F$100000, "Iya",
  raw_stack!G$2:G$100000, "&gt;="&amp;DATE(2025,7,1),
  raw_stack!G$2:G$100000, "&lt;="&amp;EOMONTH(DATE(2025,7,1),0)
 ),
 IF(_xlpm.x=0, "-", _xlpm.x)
)</f>
        <v>-</v>
      </c>
      <c r="P273" s="65" t="str">
        <f>_xlfn.LET(
 _xlpm.x,
 _xlfn.MAXIFS(
  raw_stack!H$2:H$100000,
  raw_stack!D$2:D$100000, G273,
  raw_stack!F$2:F$100000, "Iya",
  raw_stack!G$2:G$100000, "&gt;="&amp;DATE(2025,7,1),
  raw_stack!G$2:G$100000, "&lt;="&amp;EOMONTH(DATE(2025,7,1),0)
 ),
 IF(OR(_xlpm.x=0, _xlpm.x=""), "-", _xlpm.x)
)</f>
        <v>-</v>
      </c>
      <c r="Q273" s="54">
        <f>_xlfn.LET(
 _xlpm.x,
 _xlfn.MAXIFS(
  raw_stack!G$2:G$99411,
  raw_stack!D$2:D$99411, G273,
  raw_stack!F$2:F$99411, "Iya",
  raw_stack!G$2:G$99411, "&gt;="&amp;DATE(2025,8,1),
  raw_stack!G$2:G$99411, "&lt;="&amp;EOMONTH(DATE(2025,8,1),0)
 ),
 IF(_xlpm.x=0, "-", _xlpm.x)
)</f>
        <v>45873</v>
      </c>
      <c r="R273" s="65">
        <f>_xlfn.LET(
 _xlpm.x,
 _xlfn.MAXIFS(
  raw_stack!H$2:H$100000,
  raw_stack!D$2:D$100000, G273,
  raw_stack!F$2:F$100000, "Iya",
  raw_stack!G$2:G$100000, "&gt;="&amp;DATE(2025,8,1),
  raw_stack!G$2:G$100000, "&lt;="&amp;EOMONTH(DATE(2025,8,1),0)
 ),
 IF(OR(_xlpm.x=0, _xlpm.x=""), "-", _xlpm.x)
)</f>
        <v>8505</v>
      </c>
      <c r="S273" s="54">
        <f>_xlfn.LET(
 _xlpm.x,
 _xlfn.MAXIFS(
  raw_stack!G$2:G$99411,
  raw_stack!D$2:D$99411, G273,
  raw_stack!F$2:F$99411, "Iya",
  raw_stack!G$2:G$99411, "&gt;="&amp;DATE(2025,9,1),
  raw_stack!G$2:G$99411, "&lt;="&amp;EOMONTH(DATE(2025,9,1),0)
 ),
 IF(_xlpm.x=0, "-", _xlpm.x)
)</f>
        <v>45923</v>
      </c>
      <c r="T273" s="65">
        <f>_xlfn.LET(
 _xlpm.x,
 _xlfn.MAXIFS(
  raw_stack!H$2:H$100000,
  raw_stack!D$2:D$100000, G273,
  raw_stack!F$2:F$100000, "Iya",
  raw_stack!G$2:G$100000, "&gt;="&amp;DATE(2025,9,1),
  raw_stack!G$2:G$100000, "&lt;="&amp;EOMONTH(DATE(2025,9,1),0)
 ),
 IF(OR(_xlpm.x=0, _xlpm.x=""), "-", _xlpm.x)
)</f>
        <v>4196</v>
      </c>
      <c r="U273" s="54" t="str">
        <f>_xlfn.LET(
 _xlpm.x,
 _xlfn.MAXIFS(
  raw_stack!G$2:G$99411,
  raw_stack!D$2:D$99411, G273,
  raw_stack!F$2:F$99411, "Iya",
  raw_stack!G$2:G$99411, "&gt;="&amp;DATE(2025,10,1),
  raw_stack!G$2:G$99411, "&lt;="&amp;EOMONTH(DATE(2025,10,1),0)
 ),
 IF(_xlpm.x=0, "-", _xlpm.x)
)</f>
        <v>-</v>
      </c>
      <c r="V273" s="65" t="str">
        <f>_xlfn.LET(
 _xlpm.x,
 _xlfn.MAXIFS(
  raw_stack!H$2:H$100000,
  raw_stack!D$2:D$100000, G273,
  raw_stack!F$2:F$100000, "Iya",
  raw_stack!G$2:G$100000, "&gt;="&amp;DATE(2025,10,1),
  raw_stack!G$2:G$100000, "&lt;="&amp;EOMONTH(DATE(2025,10,1),0)
 ),
 IF(OR(_xlpm.x=0, _xlpm.x=""), "-", _xlpm.x)
)</f>
        <v>-</v>
      </c>
      <c r="W273" s="55" t="str">
        <f>_xlfn.LET(
 _xlpm.x,
 _xlfn.MAXIFS(
  raw_stack!G$2:G$99411,
  raw_stack!D$2:D$99411, G273,
  raw_stack!F$2:F$99411, "Iya",
  raw_stack!G$2:G$99411, "&gt;="&amp;DATE(2025,11,1),
  raw_stack!G$2:G$99411, "&lt;="&amp;EOMONTH(DATE(2025,11,1),0)
 ),
 IF(_xlpm.x=0, "-", _xlpm.x)
)</f>
        <v>-</v>
      </c>
      <c r="X273" s="56" t="str">
        <f>_xlfn.LET(
 _xlpm.x,
 _xlfn.MAXIFS(
  raw_stack!H$2:H$100000,
  raw_stack!D$2:D$100000, G273,
  raw_stack!F$2:F$100000, "Iya",
  raw_stack!G$2:G$100000, "&gt;="&amp;DATE(2025,11,1),
  raw_stack!G$2:G$100000, "&lt;="&amp;EOMONTH(DATE(2025,11,1),0)
 ),
 IF(OR(_xlpm.x=0, _xlpm.x=""), "-", _xlpm.x)
)</f>
        <v>-</v>
      </c>
      <c r="Y273" s="55">
        <f>_xlfn.LET(
 _xlpm.x,
 _xlfn.MAXIFS(
  raw_stack!G$2:G$99411,
  raw_stack!D$2:D$99411, G273,
  raw_stack!F$2:F$99411, "Iya",
  raw_stack!G$2:G$99411, "&gt;="&amp;DATE(2025,12,1),
  raw_stack!G$2:G$99411, "&lt;="&amp;EOMONTH(DATE(2025,12,1),0)
 ),
 IF(_xlpm.x=0, "-", _xlpm.x)
)</f>
        <v>46010</v>
      </c>
      <c r="Z273" s="56">
        <f>_xlfn.LET(
 _xlpm.x,
 _xlfn.MAXIFS(
  raw_stack!H$2:H$100000,
  raw_stack!D$2:D$100000, G273,
  raw_stack!F$2:F$100000, "Iya",
  raw_stack!G$2:G$100000, "&gt;="&amp;DATE(2025,12,1),
  raw_stack!G$2:G$100000, "&lt;="&amp;EOMONTH(DATE(2025,12,1),0)
 ),
 IF(OR(_xlpm.x=0, _xlpm.x=""), "-", _xlpm.x)
)</f>
        <v>16807</v>
      </c>
      <c r="AA273" s="55" t="str">
        <f>_xlfn.LET(
 _xlpm.x,
 _xlfn.MAXIFS(
  raw_stack!G$2:G$99411,
  raw_stack!D$2:D$99411, G273,
  raw_stack!F$2:F$99411, "Iya",
  raw_stack!G$2:G$99411, "&gt;="&amp;DATE(2026,1,1),
  raw_stack!G$2:G$99411, "&lt;="&amp;EOMONTH(DATE(2026,1,1),0)
 ),
 IF(_xlpm.x=0, "-", _xlpm.x)
)</f>
        <v>-</v>
      </c>
      <c r="AB273" s="56" t="str">
        <f>_xlfn.LET(
 _xlpm.x,
 _xlfn.MAXIFS(
  raw_stack!H$2:H$100000,
  raw_stack!D$2:D$100000, G273,
  raw_stack!F$2:F$100000, "Iya",
  raw_stack!G$2:G$100000, "&gt;="&amp;DATE(2026,1,1),
  raw_stack!G$2:G$100000, "&lt;="&amp;EOMONTH(DATE(2026,1,1),0)
 ),
 IF(OR(_xlpm.x=0, _xlpm.x=""), "-", _xlpm.x)
)</f>
        <v>-</v>
      </c>
      <c r="AC273" s="55" t="str">
        <f>_xlfn.LET(
 _xlpm.x,
 _xlfn.MAXIFS(
  raw_stack!G$2:G$99411,
  raw_stack!D$2:D$99411, G273,
  raw_stack!F$2:F$99411, "Iya",
  raw_stack!G$2:G$99411, "&gt;="&amp;DATE(2026,2,1),
  raw_stack!G$2:G$99411, "&lt;="&amp;EOMONTH(DATE(2026,2,1),0)
 ),
 IF(_xlpm.x=0, "-", _xlpm.x)
)</f>
        <v>-</v>
      </c>
      <c r="AD273" s="56" t="str">
        <f>_xlfn.LET(
 _xlpm.x,
 _xlfn.MAXIFS(
  raw_stack!H$2:H$100000,
  raw_stack!D$2:D$100000, G273,
  raw_stack!F$2:F$100000, "Iya",
  raw_stack!G$2:G$100000, "&gt;="&amp;DATE(2026,2,1),
  raw_stack!G$2:G$100000, "&lt;="&amp;EOMONTH(DATE(2026,2,1),0)
 ),
 IF(OR(_xlpm.x=0, _xlpm.x=""), "-", _xlpm.x)
)</f>
        <v>-</v>
      </c>
      <c r="AE273" s="55" t="str">
        <f>_xlfn.LET(
 _xlpm.x,
 _xlfn.MAXIFS(
  raw_stack!G$2:G$100000,
  raw_stack!D$2:D$100000, G273,
  raw_stack!F$2:F$100000, "Iya",
  raw_stack!G$2:G$100000, "&gt;="&amp;DATE(2026,3,1),
  raw_stack!G$2:G$100000, "&lt;="&amp;EOMONTH(DATE(2026,3,1),0)
 ),
 IF(_xlpm.x=0, "-", _xlpm.x)
)</f>
        <v>-</v>
      </c>
      <c r="AF273" s="56" t="str">
        <f>_xlfn.LET(
 _xlpm.x,
 _xlfn.MAXIFS(
  raw_stack!H$2:H$100000,
  raw_stack!D$2:D$100000, G273,
  raw_stack!F$2:F$100000, "Iya",
  raw_stack!G$2:G$100000, "&gt;="&amp;DATE(2026,3,1),
  raw_stack!G$2:G$100000, "&lt;="&amp;EOMONTH(DATE(2026,3,1),0)
 ),
 IF(OR(_xlpm.x=0, _xlpm.x=""), "-", _xlpm.x)
)</f>
        <v>-</v>
      </c>
      <c r="AG273" s="55">
        <f>_xlfn.LET(
 _xlpm.x,
 _xlfn.MAXIFS(
  raw_stack!G$2:G$100000,
  raw_stack!D$2:D$100000, G273,
  raw_stack!F$2:F$100000, "Iya",
  raw_stack!G$2:G$100000, "&gt;="&amp;DATE(2026,4,1),
  raw_stack!G$2:G$100000, "&lt;="&amp;EOMONTH(DATE(2026,4,1),0)
 ),
 IF(_xlpm.x=0, "-", _xlpm.x)
)</f>
        <v>46125</v>
      </c>
      <c r="AH273" s="56">
        <f>_xlfn.LET(
 _xlpm.x,
 _xlfn.MAXIFS(
  raw_stack!H$2:H$100000,
  raw_stack!D$2:D$100000, G273,
  raw_stack!F$2:F$100000, "Iya",
  raw_stack!G$2:G$100000, "&gt;="&amp;DATE(2026,4,1),
  raw_stack!G$2:G$100000, "&lt;="&amp;EOMONTH(DATE(2026,4,1),0)
 ),
 IF(OR(_xlpm.x=0, _xlpm.x=""), "-", _xlpm.x)
)</f>
        <v>17632</v>
      </c>
    </row>
    <row r="274" spans="1:34">
      <c r="A274" s="48">
        <v>273</v>
      </c>
      <c r="B274" s="49" t="str">
        <f t="shared" si="4"/>
        <v>91028</v>
      </c>
      <c r="C274" s="50" t="s">
        <v>46</v>
      </c>
      <c r="D274" s="51" t="s">
        <v>628</v>
      </c>
      <c r="E274" s="51" t="s">
        <v>47</v>
      </c>
      <c r="F274" s="49" t="s">
        <v>117</v>
      </c>
      <c r="G274" s="49" t="s">
        <v>390</v>
      </c>
      <c r="H274" s="49" t="s">
        <v>48</v>
      </c>
      <c r="I274" s="49" t="s">
        <v>49</v>
      </c>
      <c r="J274" s="52">
        <v>4475000</v>
      </c>
      <c r="K274" s="53">
        <v>45874</v>
      </c>
      <c r="L274" s="53">
        <v>46969</v>
      </c>
      <c r="M274" s="53">
        <v>46057</v>
      </c>
      <c r="N274" s="49" t="s">
        <v>50</v>
      </c>
      <c r="O274" s="54" t="str">
        <f>_xlfn.LET(
 _xlpm.x,
 _xlfn.MAXIFS(
  raw_stack!G$2:G$100000,
  raw_stack!D$2:D$100000, G274,
  raw_stack!F$2:F$100000, "Iya",
  raw_stack!G$2:G$100000, "&gt;="&amp;DATE(2025,7,1),
  raw_stack!G$2:G$100000, "&lt;="&amp;EOMONTH(DATE(2025,7,1),0)
 ),
 IF(_xlpm.x=0, "-", _xlpm.x)
)</f>
        <v>-</v>
      </c>
      <c r="P274" s="65" t="str">
        <f>_xlfn.LET(
 _xlpm.x,
 _xlfn.MAXIFS(
  raw_stack!H$2:H$100000,
  raw_stack!D$2:D$100000, G274,
  raw_stack!F$2:F$100000, "Iya",
  raw_stack!G$2:G$100000, "&gt;="&amp;DATE(2025,7,1),
  raw_stack!G$2:G$100000, "&lt;="&amp;EOMONTH(DATE(2025,7,1),0)
 ),
 IF(OR(_xlpm.x=0, _xlpm.x=""), "-", _xlpm.x)
)</f>
        <v>-</v>
      </c>
      <c r="Q274" s="54">
        <f>_xlfn.LET(
 _xlpm.x,
 _xlfn.MAXIFS(
  raw_stack!G$2:G$99411,
  raw_stack!D$2:D$99411, G274,
  raw_stack!F$2:F$99411, "Iya",
  raw_stack!G$2:G$99411, "&gt;="&amp;DATE(2025,8,1),
  raw_stack!G$2:G$99411, "&lt;="&amp;EOMONTH(DATE(2025,8,1),0)
 ),
 IF(_xlpm.x=0, "-", _xlpm.x)
)</f>
        <v>45890</v>
      </c>
      <c r="R274" s="65">
        <f>_xlfn.LET(
 _xlpm.x,
 _xlfn.MAXIFS(
  raw_stack!H$2:H$100000,
  raw_stack!D$2:D$100000, G274,
  raw_stack!F$2:F$100000, "Iya",
  raw_stack!G$2:G$100000, "&gt;="&amp;DATE(2025,8,1),
  raw_stack!G$2:G$100000, "&lt;="&amp;EOMONTH(DATE(2025,8,1),0)
 ),
 IF(OR(_xlpm.x=0, _xlpm.x=""), "-", _xlpm.x)
)</f>
        <v>2511</v>
      </c>
      <c r="S274" s="54">
        <f>_xlfn.LET(
 _xlpm.x,
 _xlfn.MAXIFS(
  raw_stack!G$2:G$99411,
  raw_stack!D$2:D$99411, G274,
  raw_stack!F$2:F$99411, "Iya",
  raw_stack!G$2:G$99411, "&gt;="&amp;DATE(2025,9,1),
  raw_stack!G$2:G$99411, "&lt;="&amp;EOMONTH(DATE(2025,9,1),0)
 ),
 IF(_xlpm.x=0, "-", _xlpm.x)
)</f>
        <v>45923</v>
      </c>
      <c r="T274" s="65">
        <f>_xlfn.LET(
 _xlpm.x,
 _xlfn.MAXIFS(
  raw_stack!H$2:H$100000,
  raw_stack!D$2:D$100000, G274,
  raw_stack!F$2:F$100000, "Iya",
  raw_stack!G$2:G$100000, "&gt;="&amp;DATE(2025,9,1),
  raw_stack!G$2:G$100000, "&lt;="&amp;EOMONTH(DATE(2025,9,1),0)
 ),
 IF(OR(_xlpm.x=0, _xlpm.x=""), "-", _xlpm.x)
)</f>
        <v>1360</v>
      </c>
      <c r="U274" s="54" t="str">
        <f>_xlfn.LET(
 _xlpm.x,
 _xlfn.MAXIFS(
  raw_stack!G$2:G$99411,
  raw_stack!D$2:D$99411, G274,
  raw_stack!F$2:F$99411, "Iya",
  raw_stack!G$2:G$99411, "&gt;="&amp;DATE(2025,10,1),
  raw_stack!G$2:G$99411, "&lt;="&amp;EOMONTH(DATE(2025,10,1),0)
 ),
 IF(_xlpm.x=0, "-", _xlpm.x)
)</f>
        <v>-</v>
      </c>
      <c r="V274" s="65" t="str">
        <f>_xlfn.LET(
 _xlpm.x,
 _xlfn.MAXIFS(
  raw_stack!H$2:H$100000,
  raw_stack!D$2:D$100000, G274,
  raw_stack!F$2:F$100000, "Iya",
  raw_stack!G$2:G$100000, "&gt;="&amp;DATE(2025,10,1),
  raw_stack!G$2:G$100000, "&lt;="&amp;EOMONTH(DATE(2025,10,1),0)
 ),
 IF(OR(_xlpm.x=0, _xlpm.x=""), "-", _xlpm.x)
)</f>
        <v>-</v>
      </c>
      <c r="W274" s="55">
        <f>_xlfn.LET(
 _xlpm.x,
 _xlfn.MAXIFS(
  raw_stack!G$2:G$99411,
  raw_stack!D$2:D$99411, G274,
  raw_stack!F$2:F$99411, "Iya",
  raw_stack!G$2:G$99411, "&gt;="&amp;DATE(2025,11,1),
  raw_stack!G$2:G$99411, "&lt;="&amp;EOMONTH(DATE(2025,11,1),0)
 ),
 IF(_xlpm.x=0, "-", _xlpm.x)
)</f>
        <v>45985</v>
      </c>
      <c r="X274" s="56">
        <f>_xlfn.LET(
 _xlpm.x,
 _xlfn.MAXIFS(
  raw_stack!H$2:H$100000,
  raw_stack!D$2:D$100000, G274,
  raw_stack!F$2:F$100000, "Iya",
  raw_stack!G$2:G$100000, "&gt;="&amp;DATE(2025,11,1),
  raw_stack!G$2:G$100000, "&lt;="&amp;EOMONTH(DATE(2025,11,1),0)
 ),
 IF(OR(_xlpm.x=0, _xlpm.x=""), "-", _xlpm.x)
)</f>
        <v>3766</v>
      </c>
      <c r="Y274" s="55">
        <f>_xlfn.LET(
 _xlpm.x,
 _xlfn.MAXIFS(
  raw_stack!G$2:G$99411,
  raw_stack!D$2:D$99411, G274,
  raw_stack!F$2:F$99411, "Iya",
  raw_stack!G$2:G$99411, "&gt;="&amp;DATE(2025,12,1),
  raw_stack!G$2:G$99411, "&lt;="&amp;EOMONTH(DATE(2025,12,1),0)
 ),
 IF(_xlpm.x=0, "-", _xlpm.x)
)</f>
        <v>45995</v>
      </c>
      <c r="Z274" s="56">
        <f>_xlfn.LET(
 _xlpm.x,
 _xlfn.MAXIFS(
  raw_stack!H$2:H$100000,
  raw_stack!D$2:D$100000, G274,
  raw_stack!F$2:F$100000, "Iya",
  raw_stack!G$2:G$100000, "&gt;="&amp;DATE(2025,12,1),
  raw_stack!G$2:G$100000, "&lt;="&amp;EOMONTH(DATE(2025,12,1),0)
 ),
 IF(OR(_xlpm.x=0, _xlpm.x=""), "-", _xlpm.x)
)</f>
        <v>6674</v>
      </c>
      <c r="AA274" s="55">
        <f>_xlfn.LET(
 _xlpm.x,
 _xlfn.MAXIFS(
  raw_stack!G$2:G$99411,
  raw_stack!D$2:D$99411, G274,
  raw_stack!F$2:F$99411, "Iya",
  raw_stack!G$2:G$99411, "&gt;="&amp;DATE(2026,1,1),
  raw_stack!G$2:G$99411, "&lt;="&amp;EOMONTH(DATE(2026,1,1),0)
 ),
 IF(_xlpm.x=0, "-", _xlpm.x)
)</f>
        <v>46051</v>
      </c>
      <c r="AB274" s="56">
        <f>_xlfn.LET(
 _xlpm.x,
 _xlfn.MAXIFS(
  raw_stack!H$2:H$100000,
  raw_stack!D$2:D$100000, G274,
  raw_stack!F$2:F$100000, "Iya",
  raw_stack!G$2:G$100000, "&gt;="&amp;DATE(2026,1,1),
  raw_stack!G$2:G$100000, "&lt;="&amp;EOMONTH(DATE(2026,1,1),0)
 ),
 IF(OR(_xlpm.x=0, _xlpm.x=""), "-", _xlpm.x)
)</f>
        <v>8020</v>
      </c>
      <c r="AC274" s="55" t="str">
        <f>_xlfn.LET(
 _xlpm.x,
 _xlfn.MAXIFS(
  raw_stack!G$2:G$99411,
  raw_stack!D$2:D$99411, G274,
  raw_stack!F$2:F$99411, "Iya",
  raw_stack!G$2:G$99411, "&gt;="&amp;DATE(2026,2,1),
  raw_stack!G$2:G$99411, "&lt;="&amp;EOMONTH(DATE(2026,2,1),0)
 ),
 IF(_xlpm.x=0, "-", _xlpm.x)
)</f>
        <v>-</v>
      </c>
      <c r="AD274" s="56" t="str">
        <f>_xlfn.LET(
 _xlpm.x,
 _xlfn.MAXIFS(
  raw_stack!H$2:H$100000,
  raw_stack!D$2:D$100000, G274,
  raw_stack!F$2:F$100000, "Iya",
  raw_stack!G$2:G$100000, "&gt;="&amp;DATE(2026,2,1),
  raw_stack!G$2:G$100000, "&lt;="&amp;EOMONTH(DATE(2026,2,1),0)
 ),
 IF(OR(_xlpm.x=0, _xlpm.x=""), "-", _xlpm.x)
)</f>
        <v>-</v>
      </c>
      <c r="AE274" s="55" t="str">
        <f>_xlfn.LET(
 _xlpm.x,
 _xlfn.MAXIFS(
  raw_stack!G$2:G$100000,
  raw_stack!D$2:D$100000, G274,
  raw_stack!F$2:F$100000, "Iya",
  raw_stack!G$2:G$100000, "&gt;="&amp;DATE(2026,3,1),
  raw_stack!G$2:G$100000, "&lt;="&amp;EOMONTH(DATE(2026,3,1),0)
 ),
 IF(_xlpm.x=0, "-", _xlpm.x)
)</f>
        <v>-</v>
      </c>
      <c r="AF274" s="56" t="str">
        <f>_xlfn.LET(
 _xlpm.x,
 _xlfn.MAXIFS(
  raw_stack!H$2:H$100000,
  raw_stack!D$2:D$100000, G274,
  raw_stack!F$2:F$100000, "Iya",
  raw_stack!G$2:G$100000, "&gt;="&amp;DATE(2026,3,1),
  raw_stack!G$2:G$100000, "&lt;="&amp;EOMONTH(DATE(2026,3,1),0)
 ),
 IF(OR(_xlpm.x=0, _xlpm.x=""), "-", _xlpm.x)
)</f>
        <v>-</v>
      </c>
      <c r="AG274" s="55" t="str">
        <f>_xlfn.LET(
 _xlpm.x,
 _xlfn.MAXIFS(
  raw_stack!G$2:G$100000,
  raw_stack!D$2:D$100000, G274,
  raw_stack!F$2:F$100000, "Iya",
  raw_stack!G$2:G$100000, "&gt;="&amp;DATE(2026,4,1),
  raw_stack!G$2:G$100000, "&lt;="&amp;EOMONTH(DATE(2026,4,1),0)
 ),
 IF(_xlpm.x=0, "-", _xlpm.x)
)</f>
        <v>-</v>
      </c>
      <c r="AH274" s="56" t="str">
        <f>_xlfn.LET(
 _xlpm.x,
 _xlfn.MAXIFS(
  raw_stack!H$2:H$100000,
  raw_stack!D$2:D$100000, G274,
  raw_stack!F$2:F$100000, "Iya",
  raw_stack!G$2:G$100000, "&gt;="&amp;DATE(2026,4,1),
  raw_stack!G$2:G$100000, "&lt;="&amp;EOMONTH(DATE(2026,4,1),0)
 ),
 IF(OR(_xlpm.x=0, _xlpm.x=""), "-", _xlpm.x)
)</f>
        <v>-</v>
      </c>
    </row>
    <row r="275" spans="1:34">
      <c r="A275" s="48">
        <v>274</v>
      </c>
      <c r="B275" s="49" t="str">
        <f t="shared" si="4"/>
        <v>16491</v>
      </c>
      <c r="C275" s="50" t="s">
        <v>46</v>
      </c>
      <c r="D275" s="51" t="s">
        <v>677</v>
      </c>
      <c r="E275" s="51" t="s">
        <v>51</v>
      </c>
      <c r="F275" s="49" t="s">
        <v>117</v>
      </c>
      <c r="G275" s="49" t="s">
        <v>391</v>
      </c>
      <c r="H275" s="49" t="s">
        <v>48</v>
      </c>
      <c r="I275" s="49" t="s">
        <v>52</v>
      </c>
      <c r="J275" s="52">
        <v>3880000</v>
      </c>
      <c r="K275" s="53">
        <v>45876</v>
      </c>
      <c r="L275" s="53">
        <v>46971</v>
      </c>
      <c r="M275" s="53">
        <v>46087</v>
      </c>
      <c r="N275" s="49" t="s">
        <v>50</v>
      </c>
      <c r="O275" s="54" t="str">
        <f>_xlfn.LET(
 _xlpm.x,
 _xlfn.MAXIFS(
  raw_stack!G$2:G$100000,
  raw_stack!D$2:D$100000, G275,
  raw_stack!F$2:F$100000, "Iya",
  raw_stack!G$2:G$100000, "&gt;="&amp;DATE(2025,7,1),
  raw_stack!G$2:G$100000, "&lt;="&amp;EOMONTH(DATE(2025,7,1),0)
 ),
 IF(_xlpm.x=0, "-", _xlpm.x)
)</f>
        <v>-</v>
      </c>
      <c r="P275" s="65" t="str">
        <f>_xlfn.LET(
 _xlpm.x,
 _xlfn.MAXIFS(
  raw_stack!H$2:H$100000,
  raw_stack!D$2:D$100000, G275,
  raw_stack!F$2:F$100000, "Iya",
  raw_stack!G$2:G$100000, "&gt;="&amp;DATE(2025,7,1),
  raw_stack!G$2:G$100000, "&lt;="&amp;EOMONTH(DATE(2025,7,1),0)
 ),
 IF(OR(_xlpm.x=0, _xlpm.x=""), "-", _xlpm.x)
)</f>
        <v>-</v>
      </c>
      <c r="Q275" s="54" t="str">
        <f>_xlfn.LET(
 _xlpm.x,
 _xlfn.MAXIFS(
  raw_stack!G$2:G$99411,
  raw_stack!D$2:D$99411, G275,
  raw_stack!F$2:F$99411, "Iya",
  raw_stack!G$2:G$99411, "&gt;="&amp;DATE(2025,8,1),
  raw_stack!G$2:G$99411, "&lt;="&amp;EOMONTH(DATE(2025,8,1),0)
 ),
 IF(_xlpm.x=0, "-", _xlpm.x)
)</f>
        <v>-</v>
      </c>
      <c r="R275" s="65" t="str">
        <f>_xlfn.LET(
 _xlpm.x,
 _xlfn.MAXIFS(
  raw_stack!H$2:H$100000,
  raw_stack!D$2:D$100000, G275,
  raw_stack!F$2:F$100000, "Iya",
  raw_stack!G$2:G$100000, "&gt;="&amp;DATE(2025,8,1),
  raw_stack!G$2:G$100000, "&lt;="&amp;EOMONTH(DATE(2025,8,1),0)
 ),
 IF(OR(_xlpm.x=0, _xlpm.x=""), "-", _xlpm.x)
)</f>
        <v>-</v>
      </c>
      <c r="S275" s="54" t="str">
        <f>_xlfn.LET(
 _xlpm.x,
 _xlfn.MAXIFS(
  raw_stack!G$2:G$99411,
  raw_stack!D$2:D$99411, G275,
  raw_stack!F$2:F$99411, "Iya",
  raw_stack!G$2:G$99411, "&gt;="&amp;DATE(2025,9,1),
  raw_stack!G$2:G$99411, "&lt;="&amp;EOMONTH(DATE(2025,9,1),0)
 ),
 IF(_xlpm.x=0, "-", _xlpm.x)
)</f>
        <v>-</v>
      </c>
      <c r="T275" s="65" t="str">
        <f>_xlfn.LET(
 _xlpm.x,
 _xlfn.MAXIFS(
  raw_stack!H$2:H$100000,
  raw_stack!D$2:D$100000, G275,
  raw_stack!F$2:F$100000, "Iya",
  raw_stack!G$2:G$100000, "&gt;="&amp;DATE(2025,9,1),
  raw_stack!G$2:G$100000, "&lt;="&amp;EOMONTH(DATE(2025,9,1),0)
 ),
 IF(OR(_xlpm.x=0, _xlpm.x=""), "-", _xlpm.x)
)</f>
        <v>-</v>
      </c>
      <c r="U275" s="54" t="str">
        <f>_xlfn.LET(
 _xlpm.x,
 _xlfn.MAXIFS(
  raw_stack!G$2:G$99411,
  raw_stack!D$2:D$99411, G275,
  raw_stack!F$2:F$99411, "Iya",
  raw_stack!G$2:G$99411, "&gt;="&amp;DATE(2025,10,1),
  raw_stack!G$2:G$99411, "&lt;="&amp;EOMONTH(DATE(2025,10,1),0)
 ),
 IF(_xlpm.x=0, "-", _xlpm.x)
)</f>
        <v>-</v>
      </c>
      <c r="V275" s="65" t="str">
        <f>_xlfn.LET(
 _xlpm.x,
 _xlfn.MAXIFS(
  raw_stack!H$2:H$100000,
  raw_stack!D$2:D$100000, G275,
  raw_stack!F$2:F$100000, "Iya",
  raw_stack!G$2:G$100000, "&gt;="&amp;DATE(2025,10,1),
  raw_stack!G$2:G$100000, "&lt;="&amp;EOMONTH(DATE(2025,10,1),0)
 ),
 IF(OR(_xlpm.x=0, _xlpm.x=""), "-", _xlpm.x)
)</f>
        <v>-</v>
      </c>
      <c r="W275" s="55" t="str">
        <f>_xlfn.LET(
 _xlpm.x,
 _xlfn.MAXIFS(
  raw_stack!G$2:G$99411,
  raw_stack!D$2:D$99411, G275,
  raw_stack!F$2:F$99411, "Iya",
  raw_stack!G$2:G$99411, "&gt;="&amp;DATE(2025,11,1),
  raw_stack!G$2:G$99411, "&lt;="&amp;EOMONTH(DATE(2025,11,1),0)
 ),
 IF(_xlpm.x=0, "-", _xlpm.x)
)</f>
        <v>-</v>
      </c>
      <c r="X275" s="56" t="str">
        <f>_xlfn.LET(
 _xlpm.x,
 _xlfn.MAXIFS(
  raw_stack!H$2:H$100000,
  raw_stack!D$2:D$100000, G275,
  raw_stack!F$2:F$100000, "Iya",
  raw_stack!G$2:G$100000, "&gt;="&amp;DATE(2025,11,1),
  raw_stack!G$2:G$100000, "&lt;="&amp;EOMONTH(DATE(2025,11,1),0)
 ),
 IF(OR(_xlpm.x=0, _xlpm.x=""), "-", _xlpm.x)
)</f>
        <v>-</v>
      </c>
      <c r="Y275" s="55" t="str">
        <f>_xlfn.LET(
 _xlpm.x,
 _xlfn.MAXIFS(
  raw_stack!G$2:G$99411,
  raw_stack!D$2:D$99411, G275,
  raw_stack!F$2:F$99411, "Iya",
  raw_stack!G$2:G$99411, "&gt;="&amp;DATE(2025,12,1),
  raw_stack!G$2:G$99411, "&lt;="&amp;EOMONTH(DATE(2025,12,1),0)
 ),
 IF(_xlpm.x=0, "-", _xlpm.x)
)</f>
        <v>-</v>
      </c>
      <c r="Z275" s="56" t="str">
        <f>_xlfn.LET(
 _xlpm.x,
 _xlfn.MAXIFS(
  raw_stack!H$2:H$100000,
  raw_stack!D$2:D$100000, G275,
  raw_stack!F$2:F$100000, "Iya",
  raw_stack!G$2:G$100000, "&gt;="&amp;DATE(2025,12,1),
  raw_stack!G$2:G$100000, "&lt;="&amp;EOMONTH(DATE(2025,12,1),0)
 ),
 IF(OR(_xlpm.x=0, _xlpm.x=""), "-", _xlpm.x)
)</f>
        <v>-</v>
      </c>
      <c r="AA275" s="55" t="str">
        <f>_xlfn.LET(
 _xlpm.x,
 _xlfn.MAXIFS(
  raw_stack!G$2:G$99411,
  raw_stack!D$2:D$99411, G275,
  raw_stack!F$2:F$99411, "Iya",
  raw_stack!G$2:G$99411, "&gt;="&amp;DATE(2026,1,1),
  raw_stack!G$2:G$99411, "&lt;="&amp;EOMONTH(DATE(2026,1,1),0)
 ),
 IF(_xlpm.x=0, "-", _xlpm.x)
)</f>
        <v>-</v>
      </c>
      <c r="AB275" s="56" t="str">
        <f>_xlfn.LET(
 _xlpm.x,
 _xlfn.MAXIFS(
  raw_stack!H$2:H$100000,
  raw_stack!D$2:D$100000, G275,
  raw_stack!F$2:F$100000, "Iya",
  raw_stack!G$2:G$100000, "&gt;="&amp;DATE(2026,1,1),
  raw_stack!G$2:G$100000, "&lt;="&amp;EOMONTH(DATE(2026,1,1),0)
 ),
 IF(OR(_xlpm.x=0, _xlpm.x=""), "-", _xlpm.x)
)</f>
        <v>-</v>
      </c>
      <c r="AC275" s="55">
        <f>_xlfn.LET(
 _xlpm.x,
 _xlfn.MAXIFS(
  raw_stack!G$2:G$99411,
  raw_stack!D$2:D$99411, G275,
  raw_stack!F$2:F$99411, "Iya",
  raw_stack!G$2:G$99411, "&gt;="&amp;DATE(2026,2,1),
  raw_stack!G$2:G$99411, "&lt;="&amp;EOMONTH(DATE(2026,2,1),0)
 ),
 IF(_xlpm.x=0, "-", _xlpm.x)
)</f>
        <v>46067</v>
      </c>
      <c r="AD275" s="56">
        <f>_xlfn.LET(
 _xlpm.x,
 _xlfn.MAXIFS(
  raw_stack!H$2:H$100000,
  raw_stack!D$2:D$100000, G275,
  raw_stack!F$2:F$100000, "Iya",
  raw_stack!G$2:G$100000, "&gt;="&amp;DATE(2026,2,1),
  raw_stack!G$2:G$100000, "&lt;="&amp;EOMONTH(DATE(2026,2,1),0)
 ),
 IF(OR(_xlpm.x=0, _xlpm.x=""), "-", _xlpm.x)
)</f>
        <v>3041</v>
      </c>
      <c r="AE275" s="55" t="str">
        <f>_xlfn.LET(
 _xlpm.x,
 _xlfn.MAXIFS(
  raw_stack!G$2:G$100000,
  raw_stack!D$2:D$100000, G275,
  raw_stack!F$2:F$100000, "Iya",
  raw_stack!G$2:G$100000, "&gt;="&amp;DATE(2026,3,1),
  raw_stack!G$2:G$100000, "&lt;="&amp;EOMONTH(DATE(2026,3,1),0)
 ),
 IF(_xlpm.x=0, "-", _xlpm.x)
)</f>
        <v>-</v>
      </c>
      <c r="AF275" s="56" t="str">
        <f>_xlfn.LET(
 _xlpm.x,
 _xlfn.MAXIFS(
  raw_stack!H$2:H$100000,
  raw_stack!D$2:D$100000, G275,
  raw_stack!F$2:F$100000, "Iya",
  raw_stack!G$2:G$100000, "&gt;="&amp;DATE(2026,3,1),
  raw_stack!G$2:G$100000, "&lt;="&amp;EOMONTH(DATE(2026,3,1),0)
 ),
 IF(OR(_xlpm.x=0, _xlpm.x=""), "-", _xlpm.x)
)</f>
        <v>-</v>
      </c>
      <c r="AG275" s="55" t="str">
        <f>_xlfn.LET(
 _xlpm.x,
 _xlfn.MAXIFS(
  raw_stack!G$2:G$100000,
  raw_stack!D$2:D$100000, G275,
  raw_stack!F$2:F$100000, "Iya",
  raw_stack!G$2:G$100000, "&gt;="&amp;DATE(2026,4,1),
  raw_stack!G$2:G$100000, "&lt;="&amp;EOMONTH(DATE(2026,4,1),0)
 ),
 IF(_xlpm.x=0, "-", _xlpm.x)
)</f>
        <v>-</v>
      </c>
      <c r="AH275" s="56" t="str">
        <f>_xlfn.LET(
 _xlpm.x,
 _xlfn.MAXIFS(
  raw_stack!H$2:H$100000,
  raw_stack!D$2:D$100000, G275,
  raw_stack!F$2:F$100000, "Iya",
  raw_stack!G$2:G$100000, "&gt;="&amp;DATE(2026,4,1),
  raw_stack!G$2:G$100000, "&lt;="&amp;EOMONTH(DATE(2026,4,1),0)
 ),
 IF(OR(_xlpm.x=0, _xlpm.x=""), "-", _xlpm.x)
)</f>
        <v>-</v>
      </c>
    </row>
    <row r="276" spans="1:34">
      <c r="A276" s="48">
        <v>275</v>
      </c>
      <c r="B276" s="49" t="str">
        <f t="shared" si="4"/>
        <v>30408</v>
      </c>
      <c r="C276" s="50" t="s">
        <v>46</v>
      </c>
      <c r="D276" s="51" t="s">
        <v>678</v>
      </c>
      <c r="E276" s="51" t="s">
        <v>54</v>
      </c>
      <c r="F276" s="49" t="s">
        <v>117</v>
      </c>
      <c r="G276" s="49" t="s">
        <v>392</v>
      </c>
      <c r="H276" s="49" t="s">
        <v>48</v>
      </c>
      <c r="I276" s="49" t="s">
        <v>52</v>
      </c>
      <c r="J276" s="52">
        <v>8675000</v>
      </c>
      <c r="K276" s="53">
        <v>45877</v>
      </c>
      <c r="L276" s="53">
        <v>46972</v>
      </c>
      <c r="M276" s="53">
        <v>46060</v>
      </c>
      <c r="N276" s="49" t="s">
        <v>50</v>
      </c>
      <c r="O276" s="54">
        <f>_xlfn.LET(
 _xlpm.x,
 _xlfn.MAXIFS(
  raw_stack!G$2:G$100000,
  raw_stack!D$2:D$100000, G276,
  raw_stack!F$2:F$100000, "Iya",
  raw_stack!G$2:G$100000, "&gt;="&amp;DATE(2025,7,1),
  raw_stack!G$2:G$100000, "&lt;="&amp;EOMONTH(DATE(2025,7,1),0)
 ),
 IF(_xlpm.x=0, "-", _xlpm.x)
)</f>
        <v>45855</v>
      </c>
      <c r="P276" s="65">
        <f>_xlfn.LET(
 _xlpm.x,
 _xlfn.MAXIFS(
  raw_stack!H$2:H$100000,
  raw_stack!D$2:D$100000, G276,
  raw_stack!F$2:F$100000, "Iya",
  raw_stack!G$2:G$100000, "&gt;="&amp;DATE(2025,7,1),
  raw_stack!G$2:G$100000, "&lt;="&amp;EOMONTH(DATE(2025,7,1),0)
 ),
 IF(OR(_xlpm.x=0, _xlpm.x=""), "-", _xlpm.x)
)</f>
        <v>4827</v>
      </c>
      <c r="Q276" s="54">
        <f>_xlfn.LET(
 _xlpm.x,
 _xlfn.MAXIFS(
  raw_stack!G$2:G$99411,
  raw_stack!D$2:D$99411, G276,
  raw_stack!F$2:F$99411, "Iya",
  raw_stack!G$2:G$99411, "&gt;="&amp;DATE(2025,8,1),
  raw_stack!G$2:G$99411, "&lt;="&amp;EOMONTH(DATE(2025,8,1),0)
 ),
 IF(_xlpm.x=0, "-", _xlpm.x)
)</f>
        <v>45884</v>
      </c>
      <c r="R276" s="65">
        <f>_xlfn.LET(
 _xlpm.x,
 _xlfn.MAXIFS(
  raw_stack!H$2:H$100000,
  raw_stack!D$2:D$100000, G276,
  raw_stack!F$2:F$100000, "Iya",
  raw_stack!G$2:G$100000, "&gt;="&amp;DATE(2025,8,1),
  raw_stack!G$2:G$100000, "&lt;="&amp;EOMONTH(DATE(2025,8,1),0)
 ),
 IF(OR(_xlpm.x=0, _xlpm.x=""), "-", _xlpm.x)
)</f>
        <v>2940</v>
      </c>
      <c r="S276" s="54" t="str">
        <f>_xlfn.LET(
 _xlpm.x,
 _xlfn.MAXIFS(
  raw_stack!G$2:G$99411,
  raw_stack!D$2:D$99411, G276,
  raw_stack!F$2:F$99411, "Iya",
  raw_stack!G$2:G$99411, "&gt;="&amp;DATE(2025,9,1),
  raw_stack!G$2:G$99411, "&lt;="&amp;EOMONTH(DATE(2025,9,1),0)
 ),
 IF(_xlpm.x=0, "-", _xlpm.x)
)</f>
        <v>-</v>
      </c>
      <c r="T276" s="65" t="str">
        <f>_xlfn.LET(
 _xlpm.x,
 _xlfn.MAXIFS(
  raw_stack!H$2:H$100000,
  raw_stack!D$2:D$100000, G276,
  raw_stack!F$2:F$100000, "Iya",
  raw_stack!G$2:G$100000, "&gt;="&amp;DATE(2025,9,1),
  raw_stack!G$2:G$100000, "&lt;="&amp;EOMONTH(DATE(2025,9,1),0)
 ),
 IF(OR(_xlpm.x=0, _xlpm.x=""), "-", _xlpm.x)
)</f>
        <v>-</v>
      </c>
      <c r="U276" s="54" t="str">
        <f>_xlfn.LET(
 _xlpm.x,
 _xlfn.MAXIFS(
  raw_stack!G$2:G$99411,
  raw_stack!D$2:D$99411, G276,
  raw_stack!F$2:F$99411, "Iya",
  raw_stack!G$2:G$99411, "&gt;="&amp;DATE(2025,10,1),
  raw_stack!G$2:G$99411, "&lt;="&amp;EOMONTH(DATE(2025,10,1),0)
 ),
 IF(_xlpm.x=0, "-", _xlpm.x)
)</f>
        <v>-</v>
      </c>
      <c r="V276" s="65" t="str">
        <f>_xlfn.LET(
 _xlpm.x,
 _xlfn.MAXIFS(
  raw_stack!H$2:H$100000,
  raw_stack!D$2:D$100000, G276,
  raw_stack!F$2:F$100000, "Iya",
  raw_stack!G$2:G$100000, "&gt;="&amp;DATE(2025,10,1),
  raw_stack!G$2:G$100000, "&lt;="&amp;EOMONTH(DATE(2025,10,1),0)
 ),
 IF(OR(_xlpm.x=0, _xlpm.x=""), "-", _xlpm.x)
)</f>
        <v>-</v>
      </c>
      <c r="W276" s="55" t="str">
        <f>_xlfn.LET(
 _xlpm.x,
 _xlfn.MAXIFS(
  raw_stack!G$2:G$99411,
  raw_stack!D$2:D$99411, G276,
  raw_stack!F$2:F$99411, "Iya",
  raw_stack!G$2:G$99411, "&gt;="&amp;DATE(2025,11,1),
  raw_stack!G$2:G$99411, "&lt;="&amp;EOMONTH(DATE(2025,11,1),0)
 ),
 IF(_xlpm.x=0, "-", _xlpm.x)
)</f>
        <v>-</v>
      </c>
      <c r="X276" s="56" t="str">
        <f>_xlfn.LET(
 _xlpm.x,
 _xlfn.MAXIFS(
  raw_stack!H$2:H$100000,
  raw_stack!D$2:D$100000, G276,
  raw_stack!F$2:F$100000, "Iya",
  raw_stack!G$2:G$100000, "&gt;="&amp;DATE(2025,11,1),
  raw_stack!G$2:G$100000, "&lt;="&amp;EOMONTH(DATE(2025,11,1),0)
 ),
 IF(OR(_xlpm.x=0, _xlpm.x=""), "-", _xlpm.x)
)</f>
        <v>-</v>
      </c>
      <c r="Y276" s="55">
        <f>_xlfn.LET(
 _xlpm.x,
 _xlfn.MAXIFS(
  raw_stack!G$2:G$99411,
  raw_stack!D$2:D$99411, G276,
  raw_stack!F$2:F$99411, "Iya",
  raw_stack!G$2:G$99411, "&gt;="&amp;DATE(2025,12,1),
  raw_stack!G$2:G$99411, "&lt;="&amp;EOMONTH(DATE(2025,12,1),0)
 ),
 IF(_xlpm.x=0, "-", _xlpm.x)
)</f>
        <v>46002</v>
      </c>
      <c r="Z276" s="56">
        <f>_xlfn.LET(
 _xlpm.x,
 _xlfn.MAXIFS(
  raw_stack!H$2:H$100000,
  raw_stack!D$2:D$100000, G276,
  raw_stack!F$2:F$100000, "Iya",
  raw_stack!G$2:G$100000, "&gt;="&amp;DATE(2025,12,1),
  raw_stack!G$2:G$100000, "&lt;="&amp;EOMONTH(DATE(2025,12,1),0)
 ),
 IF(OR(_xlpm.x=0, _xlpm.x=""), "-", _xlpm.x)
)</f>
        <v>8620</v>
      </c>
      <c r="AA276" s="55" t="str">
        <f>_xlfn.LET(
 _xlpm.x,
 _xlfn.MAXIFS(
  raw_stack!G$2:G$99411,
  raw_stack!D$2:D$99411, G276,
  raw_stack!F$2:F$99411, "Iya",
  raw_stack!G$2:G$99411, "&gt;="&amp;DATE(2026,1,1),
  raw_stack!G$2:G$99411, "&lt;="&amp;EOMONTH(DATE(2026,1,1),0)
 ),
 IF(_xlpm.x=0, "-", _xlpm.x)
)</f>
        <v>-</v>
      </c>
      <c r="AB276" s="56" t="str">
        <f>_xlfn.LET(
 _xlpm.x,
 _xlfn.MAXIFS(
  raw_stack!H$2:H$100000,
  raw_stack!D$2:D$100000, G276,
  raw_stack!F$2:F$100000, "Iya",
  raw_stack!G$2:G$100000, "&gt;="&amp;DATE(2026,1,1),
  raw_stack!G$2:G$100000, "&lt;="&amp;EOMONTH(DATE(2026,1,1),0)
 ),
 IF(OR(_xlpm.x=0, _xlpm.x=""), "-", _xlpm.x)
)</f>
        <v>-</v>
      </c>
      <c r="AC276" s="55" t="str">
        <f>_xlfn.LET(
 _xlpm.x,
 _xlfn.MAXIFS(
  raw_stack!G$2:G$99411,
  raw_stack!D$2:D$99411, G276,
  raw_stack!F$2:F$99411, "Iya",
  raw_stack!G$2:G$99411, "&gt;="&amp;DATE(2026,2,1),
  raw_stack!G$2:G$99411, "&lt;="&amp;EOMONTH(DATE(2026,2,1),0)
 ),
 IF(_xlpm.x=0, "-", _xlpm.x)
)</f>
        <v>-</v>
      </c>
      <c r="AD276" s="56" t="str">
        <f>_xlfn.LET(
 _xlpm.x,
 _xlfn.MAXIFS(
  raw_stack!H$2:H$100000,
  raw_stack!D$2:D$100000, G276,
  raw_stack!F$2:F$100000, "Iya",
  raw_stack!G$2:G$100000, "&gt;="&amp;DATE(2026,2,1),
  raw_stack!G$2:G$100000, "&lt;="&amp;EOMONTH(DATE(2026,2,1),0)
 ),
 IF(OR(_xlpm.x=0, _xlpm.x=""), "-", _xlpm.x)
)</f>
        <v>-</v>
      </c>
      <c r="AE276" s="55" t="str">
        <f>_xlfn.LET(
 _xlpm.x,
 _xlfn.MAXIFS(
  raw_stack!G$2:G$100000,
  raw_stack!D$2:D$100000, G276,
  raw_stack!F$2:F$100000, "Iya",
  raw_stack!G$2:G$100000, "&gt;="&amp;DATE(2026,3,1),
  raw_stack!G$2:G$100000, "&lt;="&amp;EOMONTH(DATE(2026,3,1),0)
 ),
 IF(_xlpm.x=0, "-", _xlpm.x)
)</f>
        <v>-</v>
      </c>
      <c r="AF276" s="56" t="str">
        <f>_xlfn.LET(
 _xlpm.x,
 _xlfn.MAXIFS(
  raw_stack!H$2:H$100000,
  raw_stack!D$2:D$100000, G276,
  raw_stack!F$2:F$100000, "Iya",
  raw_stack!G$2:G$100000, "&gt;="&amp;DATE(2026,3,1),
  raw_stack!G$2:G$100000, "&lt;="&amp;EOMONTH(DATE(2026,3,1),0)
 ),
 IF(OR(_xlpm.x=0, _xlpm.x=""), "-", _xlpm.x)
)</f>
        <v>-</v>
      </c>
      <c r="AG276" s="55" t="str">
        <f>_xlfn.LET(
 _xlpm.x,
 _xlfn.MAXIFS(
  raw_stack!G$2:G$100000,
  raw_stack!D$2:D$100000, G276,
  raw_stack!F$2:F$100000, "Iya",
  raw_stack!G$2:G$100000, "&gt;="&amp;DATE(2026,4,1),
  raw_stack!G$2:G$100000, "&lt;="&amp;EOMONTH(DATE(2026,4,1),0)
 ),
 IF(_xlpm.x=0, "-", _xlpm.x)
)</f>
        <v>-</v>
      </c>
      <c r="AH276" s="56" t="str">
        <f>_xlfn.LET(
 _xlpm.x,
 _xlfn.MAXIFS(
  raw_stack!H$2:H$100000,
  raw_stack!D$2:D$100000, G276,
  raw_stack!F$2:F$100000, "Iya",
  raw_stack!G$2:G$100000, "&gt;="&amp;DATE(2026,4,1),
  raw_stack!G$2:G$100000, "&lt;="&amp;EOMONTH(DATE(2026,4,1),0)
 ),
 IF(OR(_xlpm.x=0, _xlpm.x=""), "-", _xlpm.x)
)</f>
        <v>-</v>
      </c>
    </row>
    <row r="277" spans="1:34">
      <c r="A277" s="48">
        <v>276</v>
      </c>
      <c r="B277" s="49" t="str">
        <f t="shared" si="4"/>
        <v>71532</v>
      </c>
      <c r="C277" s="50" t="s">
        <v>46</v>
      </c>
      <c r="D277" s="51" t="s">
        <v>679</v>
      </c>
      <c r="E277" s="51" t="s">
        <v>51</v>
      </c>
      <c r="F277" s="49" t="s">
        <v>117</v>
      </c>
      <c r="G277" s="49" t="s">
        <v>393</v>
      </c>
      <c r="H277" s="49" t="s">
        <v>48</v>
      </c>
      <c r="I277" s="49" t="s">
        <v>52</v>
      </c>
      <c r="J277" s="52">
        <v>5790000</v>
      </c>
      <c r="K277" s="53">
        <v>45882</v>
      </c>
      <c r="L277" s="53">
        <v>46977</v>
      </c>
      <c r="M277" s="53">
        <v>46065</v>
      </c>
      <c r="N277" s="49" t="s">
        <v>50</v>
      </c>
      <c r="O277" s="54" t="str">
        <f>_xlfn.LET(
 _xlpm.x,
 _xlfn.MAXIFS(
  raw_stack!G$2:G$100000,
  raw_stack!D$2:D$100000, G277,
  raw_stack!F$2:F$100000, "Iya",
  raw_stack!G$2:G$100000, "&gt;="&amp;DATE(2025,7,1),
  raw_stack!G$2:G$100000, "&lt;="&amp;EOMONTH(DATE(2025,7,1),0)
 ),
 IF(_xlpm.x=0, "-", _xlpm.x)
)</f>
        <v>-</v>
      </c>
      <c r="P277" s="65" t="str">
        <f>_xlfn.LET(
 _xlpm.x,
 _xlfn.MAXIFS(
  raw_stack!H$2:H$100000,
  raw_stack!D$2:D$100000, G277,
  raw_stack!F$2:F$100000, "Iya",
  raw_stack!G$2:G$100000, "&gt;="&amp;DATE(2025,7,1),
  raw_stack!G$2:G$100000, "&lt;="&amp;EOMONTH(DATE(2025,7,1),0)
 ),
 IF(OR(_xlpm.x=0, _xlpm.x=""), "-", _xlpm.x)
)</f>
        <v>-</v>
      </c>
      <c r="Q277" s="54">
        <f>_xlfn.LET(
 _xlpm.x,
 _xlfn.MAXIFS(
  raw_stack!G$2:G$99411,
  raw_stack!D$2:D$99411, G277,
  raw_stack!F$2:F$99411, "Iya",
  raw_stack!G$2:G$99411, "&gt;="&amp;DATE(2025,8,1),
  raw_stack!G$2:G$99411, "&lt;="&amp;EOMONTH(DATE(2025,8,1),0)
 ),
 IF(_xlpm.x=0, "-", _xlpm.x)
)</f>
        <v>45880</v>
      </c>
      <c r="R277" s="65">
        <f>_xlfn.LET(
 _xlpm.x,
 _xlfn.MAXIFS(
  raw_stack!H$2:H$100000,
  raw_stack!D$2:D$100000, G277,
  raw_stack!F$2:F$100000, "Iya",
  raw_stack!G$2:G$100000, "&gt;="&amp;DATE(2025,8,1),
  raw_stack!G$2:G$100000, "&lt;="&amp;EOMONTH(DATE(2025,8,1),0)
 ),
 IF(OR(_xlpm.x=0, _xlpm.x=""), "-", _xlpm.x)
)</f>
        <v>7713</v>
      </c>
      <c r="S277" s="54">
        <f>_xlfn.LET(
 _xlpm.x,
 _xlfn.MAXIFS(
  raw_stack!G$2:G$99411,
  raw_stack!D$2:D$99411, G277,
  raw_stack!F$2:F$99411, "Iya",
  raw_stack!G$2:G$99411, "&gt;="&amp;DATE(2025,9,1),
  raw_stack!G$2:G$99411, "&lt;="&amp;EOMONTH(DATE(2025,9,1),0)
 ),
 IF(_xlpm.x=0, "-", _xlpm.x)
)</f>
        <v>45917</v>
      </c>
      <c r="T277" s="65">
        <f>_xlfn.LET(
 _xlpm.x,
 _xlfn.MAXIFS(
  raw_stack!H$2:H$100000,
  raw_stack!D$2:D$100000, G277,
  raw_stack!F$2:F$100000, "Iya",
  raw_stack!G$2:G$100000, "&gt;="&amp;DATE(2025,9,1),
  raw_stack!G$2:G$100000, "&lt;="&amp;EOMONTH(DATE(2025,9,1),0)
 ),
 IF(OR(_xlpm.x=0, _xlpm.x=""), "-", _xlpm.x)
)</f>
        <v>7392</v>
      </c>
      <c r="U277" s="54" t="str">
        <f>_xlfn.LET(
 _xlpm.x,
 _xlfn.MAXIFS(
  raw_stack!G$2:G$99411,
  raw_stack!D$2:D$99411, G277,
  raw_stack!F$2:F$99411, "Iya",
  raw_stack!G$2:G$99411, "&gt;="&amp;DATE(2025,10,1),
  raw_stack!G$2:G$99411, "&lt;="&amp;EOMONTH(DATE(2025,10,1),0)
 ),
 IF(_xlpm.x=0, "-", _xlpm.x)
)</f>
        <v>-</v>
      </c>
      <c r="V277" s="65" t="str">
        <f>_xlfn.LET(
 _xlpm.x,
 _xlfn.MAXIFS(
  raw_stack!H$2:H$100000,
  raw_stack!D$2:D$100000, G277,
  raw_stack!F$2:F$100000, "Iya",
  raw_stack!G$2:G$100000, "&gt;="&amp;DATE(2025,10,1),
  raw_stack!G$2:G$100000, "&lt;="&amp;EOMONTH(DATE(2025,10,1),0)
 ),
 IF(OR(_xlpm.x=0, _xlpm.x=""), "-", _xlpm.x)
)</f>
        <v>-</v>
      </c>
      <c r="W277" s="55" t="str">
        <f>_xlfn.LET(
 _xlpm.x,
 _xlfn.MAXIFS(
  raw_stack!G$2:G$99411,
  raw_stack!D$2:D$99411, G277,
  raw_stack!F$2:F$99411, "Iya",
  raw_stack!G$2:G$99411, "&gt;="&amp;DATE(2025,11,1),
  raw_stack!G$2:G$99411, "&lt;="&amp;EOMONTH(DATE(2025,11,1),0)
 ),
 IF(_xlpm.x=0, "-", _xlpm.x)
)</f>
        <v>-</v>
      </c>
      <c r="X277" s="56" t="str">
        <f>_xlfn.LET(
 _xlpm.x,
 _xlfn.MAXIFS(
  raw_stack!H$2:H$100000,
  raw_stack!D$2:D$100000, G277,
  raw_stack!F$2:F$100000, "Iya",
  raw_stack!G$2:G$100000, "&gt;="&amp;DATE(2025,11,1),
  raw_stack!G$2:G$100000, "&lt;="&amp;EOMONTH(DATE(2025,11,1),0)
 ),
 IF(OR(_xlpm.x=0, _xlpm.x=""), "-", _xlpm.x)
)</f>
        <v>-</v>
      </c>
      <c r="Y277" s="55" t="str">
        <f>_xlfn.LET(
 _xlpm.x,
 _xlfn.MAXIFS(
  raw_stack!G$2:G$99411,
  raw_stack!D$2:D$99411, G277,
  raw_stack!F$2:F$99411, "Iya",
  raw_stack!G$2:G$99411, "&gt;="&amp;DATE(2025,12,1),
  raw_stack!G$2:G$99411, "&lt;="&amp;EOMONTH(DATE(2025,12,1),0)
 ),
 IF(_xlpm.x=0, "-", _xlpm.x)
)</f>
        <v>-</v>
      </c>
      <c r="Z277" s="56" t="str">
        <f>_xlfn.LET(
 _xlpm.x,
 _xlfn.MAXIFS(
  raw_stack!H$2:H$100000,
  raw_stack!D$2:D$100000, G277,
  raw_stack!F$2:F$100000, "Iya",
  raw_stack!G$2:G$100000, "&gt;="&amp;DATE(2025,12,1),
  raw_stack!G$2:G$100000, "&lt;="&amp;EOMONTH(DATE(2025,12,1),0)
 ),
 IF(OR(_xlpm.x=0, _xlpm.x=""), "-", _xlpm.x)
)</f>
        <v>-</v>
      </c>
      <c r="AA277" s="55" t="str">
        <f>_xlfn.LET(
 _xlpm.x,
 _xlfn.MAXIFS(
  raw_stack!G$2:G$99411,
  raw_stack!D$2:D$99411, G277,
  raw_stack!F$2:F$99411, "Iya",
  raw_stack!G$2:G$99411, "&gt;="&amp;DATE(2026,1,1),
  raw_stack!G$2:G$99411, "&lt;="&amp;EOMONTH(DATE(2026,1,1),0)
 ),
 IF(_xlpm.x=0, "-", _xlpm.x)
)</f>
        <v>-</v>
      </c>
      <c r="AB277" s="56" t="str">
        <f>_xlfn.LET(
 _xlpm.x,
 _xlfn.MAXIFS(
  raw_stack!H$2:H$100000,
  raw_stack!D$2:D$100000, G277,
  raw_stack!F$2:F$100000, "Iya",
  raw_stack!G$2:G$100000, "&gt;="&amp;DATE(2026,1,1),
  raw_stack!G$2:G$100000, "&lt;="&amp;EOMONTH(DATE(2026,1,1),0)
 ),
 IF(OR(_xlpm.x=0, _xlpm.x=""), "-", _xlpm.x)
)</f>
        <v>-</v>
      </c>
      <c r="AC277" s="55">
        <f>_xlfn.LET(
 _xlpm.x,
 _xlfn.MAXIFS(
  raw_stack!G$2:G$99411,
  raw_stack!D$2:D$99411, G277,
  raw_stack!F$2:F$99411, "Iya",
  raw_stack!G$2:G$99411, "&gt;="&amp;DATE(2026,2,1),
  raw_stack!G$2:G$99411, "&lt;="&amp;EOMONTH(DATE(2026,2,1),0)
 ),
 IF(_xlpm.x=0, "-", _xlpm.x)
)</f>
        <v>46062</v>
      </c>
      <c r="AD277" s="56">
        <f>_xlfn.LET(
 _xlpm.x,
 _xlfn.MAXIFS(
  raw_stack!H$2:H$100000,
  raw_stack!D$2:D$100000, G277,
  raw_stack!F$2:F$100000, "Iya",
  raw_stack!G$2:G$100000, "&gt;="&amp;DATE(2026,2,1),
  raw_stack!G$2:G$100000, "&lt;="&amp;EOMONTH(DATE(2026,2,1),0)
 ),
 IF(OR(_xlpm.x=0, _xlpm.x=""), "-", _xlpm.x)
)</f>
        <v>13137</v>
      </c>
      <c r="AE277" s="55" t="str">
        <f>_xlfn.LET(
 _xlpm.x,
 _xlfn.MAXIFS(
  raw_stack!G$2:G$100000,
  raw_stack!D$2:D$100000, G277,
  raw_stack!F$2:F$100000, "Iya",
  raw_stack!G$2:G$100000, "&gt;="&amp;DATE(2026,3,1),
  raw_stack!G$2:G$100000, "&lt;="&amp;EOMONTH(DATE(2026,3,1),0)
 ),
 IF(_xlpm.x=0, "-", _xlpm.x)
)</f>
        <v>-</v>
      </c>
      <c r="AF277" s="56" t="str">
        <f>_xlfn.LET(
 _xlpm.x,
 _xlfn.MAXIFS(
  raw_stack!H$2:H$100000,
  raw_stack!D$2:D$100000, G277,
  raw_stack!F$2:F$100000, "Iya",
  raw_stack!G$2:G$100000, "&gt;="&amp;DATE(2026,3,1),
  raw_stack!G$2:G$100000, "&lt;="&amp;EOMONTH(DATE(2026,3,1),0)
 ),
 IF(OR(_xlpm.x=0, _xlpm.x=""), "-", _xlpm.x)
)</f>
        <v>-</v>
      </c>
      <c r="AG277" s="55" t="str">
        <f>_xlfn.LET(
 _xlpm.x,
 _xlfn.MAXIFS(
  raw_stack!G$2:G$100000,
  raw_stack!D$2:D$100000, G277,
  raw_stack!F$2:F$100000, "Iya",
  raw_stack!G$2:G$100000, "&gt;="&amp;DATE(2026,4,1),
  raw_stack!G$2:G$100000, "&lt;="&amp;EOMONTH(DATE(2026,4,1),0)
 ),
 IF(_xlpm.x=0, "-", _xlpm.x)
)</f>
        <v>-</v>
      </c>
      <c r="AH277" s="56" t="str">
        <f>_xlfn.LET(
 _xlpm.x,
 _xlfn.MAXIFS(
  raw_stack!H$2:H$100000,
  raw_stack!D$2:D$100000, G277,
  raw_stack!F$2:F$100000, "Iya",
  raw_stack!G$2:G$100000, "&gt;="&amp;DATE(2026,4,1),
  raw_stack!G$2:G$100000, "&lt;="&amp;EOMONTH(DATE(2026,4,1),0)
 ),
 IF(OR(_xlpm.x=0, _xlpm.x=""), "-", _xlpm.x)
)</f>
        <v>-</v>
      </c>
    </row>
    <row r="278" spans="1:34">
      <c r="A278" s="48">
        <v>277</v>
      </c>
      <c r="B278" s="49" t="str">
        <f t="shared" si="4"/>
        <v>44723</v>
      </c>
      <c r="C278" s="50" t="s">
        <v>46</v>
      </c>
      <c r="D278" s="51" t="s">
        <v>654</v>
      </c>
      <c r="E278" s="51" t="s">
        <v>53</v>
      </c>
      <c r="F278" s="49" t="s">
        <v>117</v>
      </c>
      <c r="G278" s="49" t="s">
        <v>394</v>
      </c>
      <c r="H278" s="49" t="s">
        <v>48</v>
      </c>
      <c r="I278" s="49" t="s">
        <v>52</v>
      </c>
      <c r="J278" s="52">
        <v>4200000</v>
      </c>
      <c r="K278" s="53">
        <v>45885</v>
      </c>
      <c r="L278" s="53">
        <v>46980</v>
      </c>
      <c r="M278" s="53">
        <v>46068</v>
      </c>
      <c r="N278" s="49" t="s">
        <v>50</v>
      </c>
      <c r="O278" s="54" t="str">
        <f>_xlfn.LET(
 _xlpm.x,
 _xlfn.MAXIFS(
  raw_stack!G$2:G$100000,
  raw_stack!D$2:D$100000, G278,
  raw_stack!F$2:F$100000, "Iya",
  raw_stack!G$2:G$100000, "&gt;="&amp;DATE(2025,7,1),
  raw_stack!G$2:G$100000, "&lt;="&amp;EOMONTH(DATE(2025,7,1),0)
 ),
 IF(_xlpm.x=0, "-", _xlpm.x)
)</f>
        <v>-</v>
      </c>
      <c r="P278" s="65" t="str">
        <f>_xlfn.LET(
 _xlpm.x,
 _xlfn.MAXIFS(
  raw_stack!H$2:H$100000,
  raw_stack!D$2:D$100000, G278,
  raw_stack!F$2:F$100000, "Iya",
  raw_stack!G$2:G$100000, "&gt;="&amp;DATE(2025,7,1),
  raw_stack!G$2:G$100000, "&lt;="&amp;EOMONTH(DATE(2025,7,1),0)
 ),
 IF(OR(_xlpm.x=0, _xlpm.x=""), "-", _xlpm.x)
)</f>
        <v>-</v>
      </c>
      <c r="Q278" s="54">
        <f>_xlfn.LET(
 _xlpm.x,
 _xlfn.MAXIFS(
  raw_stack!G$2:G$99411,
  raw_stack!D$2:D$99411, G278,
  raw_stack!F$2:F$99411, "Iya",
  raw_stack!G$2:G$99411, "&gt;="&amp;DATE(2025,8,1),
  raw_stack!G$2:G$99411, "&lt;="&amp;EOMONTH(DATE(2025,8,1),0)
 ),
 IF(_xlpm.x=0, "-", _xlpm.x)
)</f>
        <v>45884</v>
      </c>
      <c r="R278" s="65">
        <f>_xlfn.LET(
 _xlpm.x,
 _xlfn.MAXIFS(
  raw_stack!H$2:H$100000,
  raw_stack!D$2:D$100000, G278,
  raw_stack!F$2:F$100000, "Iya",
  raw_stack!G$2:G$100000, "&gt;="&amp;DATE(2025,8,1),
  raw_stack!G$2:G$100000, "&lt;="&amp;EOMONTH(DATE(2025,8,1),0)
 ),
 IF(OR(_xlpm.x=0, _xlpm.x=""), "-", _xlpm.x)
)</f>
        <v>6291</v>
      </c>
      <c r="S278" s="54" t="str">
        <f>_xlfn.LET(
 _xlpm.x,
 _xlfn.MAXIFS(
  raw_stack!G$2:G$99411,
  raw_stack!D$2:D$99411, G278,
  raw_stack!F$2:F$99411, "Iya",
  raw_stack!G$2:G$99411, "&gt;="&amp;DATE(2025,9,1),
  raw_stack!G$2:G$99411, "&lt;="&amp;EOMONTH(DATE(2025,9,1),0)
 ),
 IF(_xlpm.x=0, "-", _xlpm.x)
)</f>
        <v>-</v>
      </c>
      <c r="T278" s="65" t="str">
        <f>_xlfn.LET(
 _xlpm.x,
 _xlfn.MAXIFS(
  raw_stack!H$2:H$100000,
  raw_stack!D$2:D$100000, G278,
  raw_stack!F$2:F$100000, "Iya",
  raw_stack!G$2:G$100000, "&gt;="&amp;DATE(2025,9,1),
  raw_stack!G$2:G$100000, "&lt;="&amp;EOMONTH(DATE(2025,9,1),0)
 ),
 IF(OR(_xlpm.x=0, _xlpm.x=""), "-", _xlpm.x)
)</f>
        <v>-</v>
      </c>
      <c r="U278" s="54">
        <f>_xlfn.LET(
 _xlpm.x,
 _xlfn.MAXIFS(
  raw_stack!G$2:G$99411,
  raw_stack!D$2:D$99411, G278,
  raw_stack!F$2:F$99411, "Iya",
  raw_stack!G$2:G$99411, "&gt;="&amp;DATE(2025,10,1),
  raw_stack!G$2:G$99411, "&lt;="&amp;EOMONTH(DATE(2025,10,1),0)
 ),
 IF(_xlpm.x=0, "-", _xlpm.x)
)</f>
        <v>45945</v>
      </c>
      <c r="V278" s="65">
        <f>_xlfn.LET(
 _xlpm.x,
 _xlfn.MAXIFS(
  raw_stack!H$2:H$100000,
  raw_stack!D$2:D$100000, G278,
  raw_stack!F$2:F$100000, "Iya",
  raw_stack!G$2:G$100000, "&gt;="&amp;DATE(2025,10,1),
  raw_stack!G$2:G$100000, "&lt;="&amp;EOMONTH(DATE(2025,10,1),0)
 ),
 IF(OR(_xlpm.x=0, _xlpm.x=""), "-", _xlpm.x)
)</f>
        <v>3386</v>
      </c>
      <c r="W278" s="55" t="str">
        <f>_xlfn.LET(
 _xlpm.x,
 _xlfn.MAXIFS(
  raw_stack!G$2:G$99411,
  raw_stack!D$2:D$99411, G278,
  raw_stack!F$2:F$99411, "Iya",
  raw_stack!G$2:G$99411, "&gt;="&amp;DATE(2025,11,1),
  raw_stack!G$2:G$99411, "&lt;="&amp;EOMONTH(DATE(2025,11,1),0)
 ),
 IF(_xlpm.x=0, "-", _xlpm.x)
)</f>
        <v>-</v>
      </c>
      <c r="X278" s="56" t="str">
        <f>_xlfn.LET(
 _xlpm.x,
 _xlfn.MAXIFS(
  raw_stack!H$2:H$100000,
  raw_stack!D$2:D$100000, G278,
  raw_stack!F$2:F$100000, "Iya",
  raw_stack!G$2:G$100000, "&gt;="&amp;DATE(2025,11,1),
  raw_stack!G$2:G$100000, "&lt;="&amp;EOMONTH(DATE(2025,11,1),0)
 ),
 IF(OR(_xlpm.x=0, _xlpm.x=""), "-", _xlpm.x)
)</f>
        <v>-</v>
      </c>
      <c r="Y278" s="55" t="str">
        <f>_xlfn.LET(
 _xlpm.x,
 _xlfn.MAXIFS(
  raw_stack!G$2:G$99411,
  raw_stack!D$2:D$99411, G278,
  raw_stack!F$2:F$99411, "Iya",
  raw_stack!G$2:G$99411, "&gt;="&amp;DATE(2025,12,1),
  raw_stack!G$2:G$99411, "&lt;="&amp;EOMONTH(DATE(2025,12,1),0)
 ),
 IF(_xlpm.x=0, "-", _xlpm.x)
)</f>
        <v>-</v>
      </c>
      <c r="Z278" s="56" t="str">
        <f>_xlfn.LET(
 _xlpm.x,
 _xlfn.MAXIFS(
  raw_stack!H$2:H$100000,
  raw_stack!D$2:D$100000, G278,
  raw_stack!F$2:F$100000, "Iya",
  raw_stack!G$2:G$100000, "&gt;="&amp;DATE(2025,12,1),
  raw_stack!G$2:G$100000, "&lt;="&amp;EOMONTH(DATE(2025,12,1),0)
 ),
 IF(OR(_xlpm.x=0, _xlpm.x=""), "-", _xlpm.x)
)</f>
        <v>-</v>
      </c>
      <c r="AA278" s="55">
        <f>_xlfn.LET(
 _xlpm.x,
 _xlfn.MAXIFS(
  raw_stack!G$2:G$99411,
  raw_stack!D$2:D$99411, G278,
  raw_stack!F$2:F$99411, "Iya",
  raw_stack!G$2:G$99411, "&gt;="&amp;DATE(2026,1,1),
  raw_stack!G$2:G$99411, "&lt;="&amp;EOMONTH(DATE(2026,1,1),0)
 ),
 IF(_xlpm.x=0, "-", _xlpm.x)
)</f>
        <v>46031</v>
      </c>
      <c r="AB278" s="56">
        <f>_xlfn.LET(
 _xlpm.x,
 _xlfn.MAXIFS(
  raw_stack!H$2:H$100000,
  raw_stack!D$2:D$100000, G278,
  raw_stack!F$2:F$100000, "Iya",
  raw_stack!G$2:G$100000, "&gt;="&amp;DATE(2026,1,1),
  raw_stack!G$2:G$100000, "&lt;="&amp;EOMONTH(DATE(2026,1,1),0)
 ),
 IF(OR(_xlpm.x=0, _xlpm.x=""), "-", _xlpm.x)
)</f>
        <v>87002</v>
      </c>
      <c r="AC278" s="55" t="str">
        <f>_xlfn.LET(
 _xlpm.x,
 _xlfn.MAXIFS(
  raw_stack!G$2:G$99411,
  raw_stack!D$2:D$99411, G278,
  raw_stack!F$2:F$99411, "Iya",
  raw_stack!G$2:G$99411, "&gt;="&amp;DATE(2026,2,1),
  raw_stack!G$2:G$99411, "&lt;="&amp;EOMONTH(DATE(2026,2,1),0)
 ),
 IF(_xlpm.x=0, "-", _xlpm.x)
)</f>
        <v>-</v>
      </c>
      <c r="AD278" s="56" t="str">
        <f>_xlfn.LET(
 _xlpm.x,
 _xlfn.MAXIFS(
  raw_stack!H$2:H$100000,
  raw_stack!D$2:D$100000, G278,
  raw_stack!F$2:F$100000, "Iya",
  raw_stack!G$2:G$100000, "&gt;="&amp;DATE(2026,2,1),
  raw_stack!G$2:G$100000, "&lt;="&amp;EOMONTH(DATE(2026,2,1),0)
 ),
 IF(OR(_xlpm.x=0, _xlpm.x=""), "-", _xlpm.x)
)</f>
        <v>-</v>
      </c>
      <c r="AE278" s="55" t="str">
        <f>_xlfn.LET(
 _xlpm.x,
 _xlfn.MAXIFS(
  raw_stack!G$2:G$100000,
  raw_stack!D$2:D$100000, G278,
  raw_stack!F$2:F$100000, "Iya",
  raw_stack!G$2:G$100000, "&gt;="&amp;DATE(2026,3,1),
  raw_stack!G$2:G$100000, "&lt;="&amp;EOMONTH(DATE(2026,3,1),0)
 ),
 IF(_xlpm.x=0, "-", _xlpm.x)
)</f>
        <v>-</v>
      </c>
      <c r="AF278" s="56" t="str">
        <f>_xlfn.LET(
 _xlpm.x,
 _xlfn.MAXIFS(
  raw_stack!H$2:H$100000,
  raw_stack!D$2:D$100000, G278,
  raw_stack!F$2:F$100000, "Iya",
  raw_stack!G$2:G$100000, "&gt;="&amp;DATE(2026,3,1),
  raw_stack!G$2:G$100000, "&lt;="&amp;EOMONTH(DATE(2026,3,1),0)
 ),
 IF(OR(_xlpm.x=0, _xlpm.x=""), "-", _xlpm.x)
)</f>
        <v>-</v>
      </c>
      <c r="AG278" s="55" t="str">
        <f>_xlfn.LET(
 _xlpm.x,
 _xlfn.MAXIFS(
  raw_stack!G$2:G$100000,
  raw_stack!D$2:D$100000, G278,
  raw_stack!F$2:F$100000, "Iya",
  raw_stack!G$2:G$100000, "&gt;="&amp;DATE(2026,4,1),
  raw_stack!G$2:G$100000, "&lt;="&amp;EOMONTH(DATE(2026,4,1),0)
 ),
 IF(_xlpm.x=0, "-", _xlpm.x)
)</f>
        <v>-</v>
      </c>
      <c r="AH278" s="56" t="str">
        <f>_xlfn.LET(
 _xlpm.x,
 _xlfn.MAXIFS(
  raw_stack!H$2:H$100000,
  raw_stack!D$2:D$100000, G278,
  raw_stack!F$2:F$100000, "Iya",
  raw_stack!G$2:G$100000, "&gt;="&amp;DATE(2026,4,1),
  raw_stack!G$2:G$100000, "&lt;="&amp;EOMONTH(DATE(2026,4,1),0)
 ),
 IF(OR(_xlpm.x=0, _xlpm.x=""), "-", _xlpm.x)
)</f>
        <v>-</v>
      </c>
    </row>
    <row r="279" spans="1:34">
      <c r="A279" s="48">
        <v>278</v>
      </c>
      <c r="B279" s="49" t="str">
        <f t="shared" si="4"/>
        <v>97088</v>
      </c>
      <c r="C279" s="50" t="s">
        <v>46</v>
      </c>
      <c r="D279" s="51" t="s">
        <v>680</v>
      </c>
      <c r="E279" s="51" t="s">
        <v>54</v>
      </c>
      <c r="F279" s="49" t="s">
        <v>117</v>
      </c>
      <c r="G279" s="49" t="s">
        <v>395</v>
      </c>
      <c r="H279" s="49" t="s">
        <v>48</v>
      </c>
      <c r="I279" s="49" t="s">
        <v>52</v>
      </c>
      <c r="J279" s="52">
        <v>6600000</v>
      </c>
      <c r="K279" s="53">
        <v>45887</v>
      </c>
      <c r="L279" s="53">
        <v>46982</v>
      </c>
      <c r="M279" s="53">
        <v>46039</v>
      </c>
      <c r="N279" s="49" t="s">
        <v>50</v>
      </c>
      <c r="O279" s="54" t="str">
        <f>_xlfn.LET(
 _xlpm.x,
 _xlfn.MAXIFS(
  raw_stack!G$2:G$100000,
  raw_stack!D$2:D$100000, G279,
  raw_stack!F$2:F$100000, "Iya",
  raw_stack!G$2:G$100000, "&gt;="&amp;DATE(2025,7,1),
  raw_stack!G$2:G$100000, "&lt;="&amp;EOMONTH(DATE(2025,7,1),0)
 ),
 IF(_xlpm.x=0, "-", _xlpm.x)
)</f>
        <v>-</v>
      </c>
      <c r="P279" s="65" t="str">
        <f>_xlfn.LET(
 _xlpm.x,
 _xlfn.MAXIFS(
  raw_stack!H$2:H$100000,
  raw_stack!D$2:D$100000, G279,
  raw_stack!F$2:F$100000, "Iya",
  raw_stack!G$2:G$100000, "&gt;="&amp;DATE(2025,7,1),
  raw_stack!G$2:G$100000, "&lt;="&amp;EOMONTH(DATE(2025,7,1),0)
 ),
 IF(OR(_xlpm.x=0, _xlpm.x=""), "-", _xlpm.x)
)</f>
        <v>-</v>
      </c>
      <c r="Q279" s="54" t="str">
        <f>_xlfn.LET(
 _xlpm.x,
 _xlfn.MAXIFS(
  raw_stack!G$2:G$99411,
  raw_stack!D$2:D$99411, G279,
  raw_stack!F$2:F$99411, "Iya",
  raw_stack!G$2:G$99411, "&gt;="&amp;DATE(2025,8,1),
  raw_stack!G$2:G$99411, "&lt;="&amp;EOMONTH(DATE(2025,8,1),0)
 ),
 IF(_xlpm.x=0, "-", _xlpm.x)
)</f>
        <v>-</v>
      </c>
      <c r="R279" s="65" t="str">
        <f>_xlfn.LET(
 _xlpm.x,
 _xlfn.MAXIFS(
  raw_stack!H$2:H$100000,
  raw_stack!D$2:D$100000, G279,
  raw_stack!F$2:F$100000, "Iya",
  raw_stack!G$2:G$100000, "&gt;="&amp;DATE(2025,8,1),
  raw_stack!G$2:G$100000, "&lt;="&amp;EOMONTH(DATE(2025,8,1),0)
 ),
 IF(OR(_xlpm.x=0, _xlpm.x=""), "-", _xlpm.x)
)</f>
        <v>-</v>
      </c>
      <c r="S279" s="54">
        <f>_xlfn.LET(
 _xlpm.x,
 _xlfn.MAXIFS(
  raw_stack!G$2:G$99411,
  raw_stack!D$2:D$99411, G279,
  raw_stack!F$2:F$99411, "Iya",
  raw_stack!G$2:G$99411, "&gt;="&amp;DATE(2025,9,1),
  raw_stack!G$2:G$99411, "&lt;="&amp;EOMONTH(DATE(2025,9,1),0)
 ),
 IF(_xlpm.x=0, "-", _xlpm.x)
)</f>
        <v>45918</v>
      </c>
      <c r="T279" s="65">
        <f>_xlfn.LET(
 _xlpm.x,
 _xlfn.MAXIFS(
  raw_stack!H$2:H$100000,
  raw_stack!D$2:D$100000, G279,
  raw_stack!F$2:F$100000, "Iya",
  raw_stack!G$2:G$100000, "&gt;="&amp;DATE(2025,9,1),
  raw_stack!G$2:G$100000, "&lt;="&amp;EOMONTH(DATE(2025,9,1),0)
 ),
 IF(OR(_xlpm.x=0, _xlpm.x=""), "-", _xlpm.x)
)</f>
        <v>8682</v>
      </c>
      <c r="U279" s="54" t="str">
        <f>_xlfn.LET(
 _xlpm.x,
 _xlfn.MAXIFS(
  raw_stack!G$2:G$99411,
  raw_stack!D$2:D$99411, G279,
  raw_stack!F$2:F$99411, "Iya",
  raw_stack!G$2:G$99411, "&gt;="&amp;DATE(2025,10,1),
  raw_stack!G$2:G$99411, "&lt;="&amp;EOMONTH(DATE(2025,10,1),0)
 ),
 IF(_xlpm.x=0, "-", _xlpm.x)
)</f>
        <v>-</v>
      </c>
      <c r="V279" s="65" t="str">
        <f>_xlfn.LET(
 _xlpm.x,
 _xlfn.MAXIFS(
  raw_stack!H$2:H$100000,
  raw_stack!D$2:D$100000, G279,
  raw_stack!F$2:F$100000, "Iya",
  raw_stack!G$2:G$100000, "&gt;="&amp;DATE(2025,10,1),
  raw_stack!G$2:G$100000, "&lt;="&amp;EOMONTH(DATE(2025,10,1),0)
 ),
 IF(OR(_xlpm.x=0, _xlpm.x=""), "-", _xlpm.x)
)</f>
        <v>-</v>
      </c>
      <c r="W279" s="55" t="str">
        <f>_xlfn.LET(
 _xlpm.x,
 _xlfn.MAXIFS(
  raw_stack!G$2:G$99411,
  raw_stack!D$2:D$99411, G279,
  raw_stack!F$2:F$99411, "Iya",
  raw_stack!G$2:G$99411, "&gt;="&amp;DATE(2025,11,1),
  raw_stack!G$2:G$99411, "&lt;="&amp;EOMONTH(DATE(2025,11,1),0)
 ),
 IF(_xlpm.x=0, "-", _xlpm.x)
)</f>
        <v>-</v>
      </c>
      <c r="X279" s="56" t="str">
        <f>_xlfn.LET(
 _xlpm.x,
 _xlfn.MAXIFS(
  raw_stack!H$2:H$100000,
  raw_stack!D$2:D$100000, G279,
  raw_stack!F$2:F$100000, "Iya",
  raw_stack!G$2:G$100000, "&gt;="&amp;DATE(2025,11,1),
  raw_stack!G$2:G$100000, "&lt;="&amp;EOMONTH(DATE(2025,11,1),0)
 ),
 IF(OR(_xlpm.x=0, _xlpm.x=""), "-", _xlpm.x)
)</f>
        <v>-</v>
      </c>
      <c r="Y279" s="55" t="str">
        <f>_xlfn.LET(
 _xlpm.x,
 _xlfn.MAXIFS(
  raw_stack!G$2:G$99411,
  raw_stack!D$2:D$99411, G279,
  raw_stack!F$2:F$99411, "Iya",
  raw_stack!G$2:G$99411, "&gt;="&amp;DATE(2025,12,1),
  raw_stack!G$2:G$99411, "&lt;="&amp;EOMONTH(DATE(2025,12,1),0)
 ),
 IF(_xlpm.x=0, "-", _xlpm.x)
)</f>
        <v>-</v>
      </c>
      <c r="Z279" s="56" t="str">
        <f>_xlfn.LET(
 _xlpm.x,
 _xlfn.MAXIFS(
  raw_stack!H$2:H$100000,
  raw_stack!D$2:D$100000, G279,
  raw_stack!F$2:F$100000, "Iya",
  raw_stack!G$2:G$100000, "&gt;="&amp;DATE(2025,12,1),
  raw_stack!G$2:G$100000, "&lt;="&amp;EOMONTH(DATE(2025,12,1),0)
 ),
 IF(OR(_xlpm.x=0, _xlpm.x=""), "-", _xlpm.x)
)</f>
        <v>-</v>
      </c>
      <c r="AA279" s="55">
        <f>_xlfn.LET(
 _xlpm.x,
 _xlfn.MAXIFS(
  raw_stack!G$2:G$99411,
  raw_stack!D$2:D$99411, G279,
  raw_stack!F$2:F$99411, "Iya",
  raw_stack!G$2:G$99411, "&gt;="&amp;DATE(2026,1,1),
  raw_stack!G$2:G$99411, "&lt;="&amp;EOMONTH(DATE(2026,1,1),0)
 ),
 IF(_xlpm.x=0, "-", _xlpm.x)
)</f>
        <v>46037</v>
      </c>
      <c r="AB279" s="56">
        <f>_xlfn.LET(
 _xlpm.x,
 _xlfn.MAXIFS(
  raw_stack!H$2:H$100000,
  raw_stack!D$2:D$100000, G279,
  raw_stack!F$2:F$100000, "Iya",
  raw_stack!G$2:G$100000, "&gt;="&amp;DATE(2026,1,1),
  raw_stack!G$2:G$100000, "&lt;="&amp;EOMONTH(DATE(2026,1,1),0)
 ),
 IF(OR(_xlpm.x=0, _xlpm.x=""), "-", _xlpm.x)
)</f>
        <v>12615</v>
      </c>
      <c r="AC279" s="55" t="str">
        <f>_xlfn.LET(
 _xlpm.x,
 _xlfn.MAXIFS(
  raw_stack!G$2:G$99411,
  raw_stack!D$2:D$99411, G279,
  raw_stack!F$2:F$99411, "Iya",
  raw_stack!G$2:G$99411, "&gt;="&amp;DATE(2026,2,1),
  raw_stack!G$2:G$99411, "&lt;="&amp;EOMONTH(DATE(2026,2,1),0)
 ),
 IF(_xlpm.x=0, "-", _xlpm.x)
)</f>
        <v>-</v>
      </c>
      <c r="AD279" s="56" t="str">
        <f>_xlfn.LET(
 _xlpm.x,
 _xlfn.MAXIFS(
  raw_stack!H$2:H$100000,
  raw_stack!D$2:D$100000, G279,
  raw_stack!F$2:F$100000, "Iya",
  raw_stack!G$2:G$100000, "&gt;="&amp;DATE(2026,2,1),
  raw_stack!G$2:G$100000, "&lt;="&amp;EOMONTH(DATE(2026,2,1),0)
 ),
 IF(OR(_xlpm.x=0, _xlpm.x=""), "-", _xlpm.x)
)</f>
        <v>-</v>
      </c>
      <c r="AE279" s="55" t="str">
        <f>_xlfn.LET(
 _xlpm.x,
 _xlfn.MAXIFS(
  raw_stack!G$2:G$100000,
  raw_stack!D$2:D$100000, G279,
  raw_stack!F$2:F$100000, "Iya",
  raw_stack!G$2:G$100000, "&gt;="&amp;DATE(2026,3,1),
  raw_stack!G$2:G$100000, "&lt;="&amp;EOMONTH(DATE(2026,3,1),0)
 ),
 IF(_xlpm.x=0, "-", _xlpm.x)
)</f>
        <v>-</v>
      </c>
      <c r="AF279" s="56" t="str">
        <f>_xlfn.LET(
 _xlpm.x,
 _xlfn.MAXIFS(
  raw_stack!H$2:H$100000,
  raw_stack!D$2:D$100000, G279,
  raw_stack!F$2:F$100000, "Iya",
  raw_stack!G$2:G$100000, "&gt;="&amp;DATE(2026,3,1),
  raw_stack!G$2:G$100000, "&lt;="&amp;EOMONTH(DATE(2026,3,1),0)
 ),
 IF(OR(_xlpm.x=0, _xlpm.x=""), "-", _xlpm.x)
)</f>
        <v>-</v>
      </c>
      <c r="AG279" s="55" t="str">
        <f>_xlfn.LET(
 _xlpm.x,
 _xlfn.MAXIFS(
  raw_stack!G$2:G$100000,
  raw_stack!D$2:D$100000, G279,
  raw_stack!F$2:F$100000, "Iya",
  raw_stack!G$2:G$100000, "&gt;="&amp;DATE(2026,4,1),
  raw_stack!G$2:G$100000, "&lt;="&amp;EOMONTH(DATE(2026,4,1),0)
 ),
 IF(_xlpm.x=0, "-", _xlpm.x)
)</f>
        <v>-</v>
      </c>
      <c r="AH279" s="56" t="str">
        <f>_xlfn.LET(
 _xlpm.x,
 _xlfn.MAXIFS(
  raw_stack!H$2:H$100000,
  raw_stack!D$2:D$100000, G279,
  raw_stack!F$2:F$100000, "Iya",
  raw_stack!G$2:G$100000, "&gt;="&amp;DATE(2026,4,1),
  raw_stack!G$2:G$100000, "&lt;="&amp;EOMONTH(DATE(2026,4,1),0)
 ),
 IF(OR(_xlpm.x=0, _xlpm.x=""), "-", _xlpm.x)
)</f>
        <v>-</v>
      </c>
    </row>
    <row r="280" spans="1:34">
      <c r="A280" s="48">
        <v>279</v>
      </c>
      <c r="B280" s="49" t="str">
        <f t="shared" si="4"/>
        <v>38989</v>
      </c>
      <c r="C280" s="50" t="s">
        <v>46</v>
      </c>
      <c r="D280" s="51" t="s">
        <v>681</v>
      </c>
      <c r="E280" s="51" t="s">
        <v>51</v>
      </c>
      <c r="F280" s="49" t="s">
        <v>117</v>
      </c>
      <c r="G280" s="49" t="s">
        <v>396</v>
      </c>
      <c r="H280" s="49" t="s">
        <v>48</v>
      </c>
      <c r="I280" s="49" t="s">
        <v>52</v>
      </c>
      <c r="J280" s="52">
        <v>5790000</v>
      </c>
      <c r="K280" s="53">
        <v>45888</v>
      </c>
      <c r="L280" s="53">
        <v>46983</v>
      </c>
      <c r="M280" s="53">
        <v>46071</v>
      </c>
      <c r="N280" s="49" t="s">
        <v>50</v>
      </c>
      <c r="O280" s="54" t="str">
        <f>_xlfn.LET(
 _xlpm.x,
 _xlfn.MAXIFS(
  raw_stack!G$2:G$100000,
  raw_stack!D$2:D$100000, G280,
  raw_stack!F$2:F$100000, "Iya",
  raw_stack!G$2:G$100000, "&gt;="&amp;DATE(2025,7,1),
  raw_stack!G$2:G$100000, "&lt;="&amp;EOMONTH(DATE(2025,7,1),0)
 ),
 IF(_xlpm.x=0, "-", _xlpm.x)
)</f>
        <v>-</v>
      </c>
      <c r="P280" s="65" t="str">
        <f>_xlfn.LET(
 _xlpm.x,
 _xlfn.MAXIFS(
  raw_stack!H$2:H$100000,
  raw_stack!D$2:D$100000, G280,
  raw_stack!F$2:F$100000, "Iya",
  raw_stack!G$2:G$100000, "&gt;="&amp;DATE(2025,7,1),
  raw_stack!G$2:G$100000, "&lt;="&amp;EOMONTH(DATE(2025,7,1),0)
 ),
 IF(OR(_xlpm.x=0, _xlpm.x=""), "-", _xlpm.x)
)</f>
        <v>-</v>
      </c>
      <c r="Q280" s="54" t="str">
        <f>_xlfn.LET(
 _xlpm.x,
 _xlfn.MAXIFS(
  raw_stack!G$2:G$99411,
  raw_stack!D$2:D$99411, G280,
  raw_stack!F$2:F$99411, "Iya",
  raw_stack!G$2:G$99411, "&gt;="&amp;DATE(2025,8,1),
  raw_stack!G$2:G$99411, "&lt;="&amp;EOMONTH(DATE(2025,8,1),0)
 ),
 IF(_xlpm.x=0, "-", _xlpm.x)
)</f>
        <v>-</v>
      </c>
      <c r="R280" s="65" t="str">
        <f>_xlfn.LET(
 _xlpm.x,
 _xlfn.MAXIFS(
  raw_stack!H$2:H$100000,
  raw_stack!D$2:D$100000, G280,
  raw_stack!F$2:F$100000, "Iya",
  raw_stack!G$2:G$100000, "&gt;="&amp;DATE(2025,8,1),
  raw_stack!G$2:G$100000, "&lt;="&amp;EOMONTH(DATE(2025,8,1),0)
 ),
 IF(OR(_xlpm.x=0, _xlpm.x=""), "-", _xlpm.x)
)</f>
        <v>-</v>
      </c>
      <c r="S280" s="54">
        <f>_xlfn.LET(
 _xlpm.x,
 _xlfn.MAXIFS(
  raw_stack!G$2:G$99411,
  raw_stack!D$2:D$99411, G280,
  raw_stack!F$2:F$99411, "Iya",
  raw_stack!G$2:G$99411, "&gt;="&amp;DATE(2025,9,1),
  raw_stack!G$2:G$99411, "&lt;="&amp;EOMONTH(DATE(2025,9,1),0)
 ),
 IF(_xlpm.x=0, "-", _xlpm.x)
)</f>
        <v>45923</v>
      </c>
      <c r="T280" s="65">
        <f>_xlfn.LET(
 _xlpm.x,
 _xlfn.MAXIFS(
  raw_stack!H$2:H$100000,
  raw_stack!D$2:D$100000, G280,
  raw_stack!F$2:F$100000, "Iya",
  raw_stack!G$2:G$100000, "&gt;="&amp;DATE(2025,9,1),
  raw_stack!G$2:G$100000, "&lt;="&amp;EOMONTH(DATE(2025,9,1),0)
 ),
 IF(OR(_xlpm.x=0, _xlpm.x=""), "-", _xlpm.x)
)</f>
        <v>5677</v>
      </c>
      <c r="U280" s="54">
        <f>_xlfn.LET(
 _xlpm.x,
 _xlfn.MAXIFS(
  raw_stack!G$2:G$99411,
  raw_stack!D$2:D$99411, G280,
  raw_stack!F$2:F$99411, "Iya",
  raw_stack!G$2:G$99411, "&gt;="&amp;DATE(2025,10,1),
  raw_stack!G$2:G$99411, "&lt;="&amp;EOMONTH(DATE(2025,10,1),0)
 ),
 IF(_xlpm.x=0, "-", _xlpm.x)
)</f>
        <v>45952</v>
      </c>
      <c r="V280" s="65">
        <f>_xlfn.LET(
 _xlpm.x,
 _xlfn.MAXIFS(
  raw_stack!H$2:H$100000,
  raw_stack!D$2:D$100000, G280,
  raw_stack!F$2:F$100000, "Iya",
  raw_stack!G$2:G$100000, "&gt;="&amp;DATE(2025,10,1),
  raw_stack!G$2:G$100000, "&lt;="&amp;EOMONTH(DATE(2025,10,1),0)
 ),
 IF(OR(_xlpm.x=0, _xlpm.x=""), "-", _xlpm.x)
)</f>
        <v>7468</v>
      </c>
      <c r="W280" s="55" t="str">
        <f>_xlfn.LET(
 _xlpm.x,
 _xlfn.MAXIFS(
  raw_stack!G$2:G$99411,
  raw_stack!D$2:D$99411, G280,
  raw_stack!F$2:F$99411, "Iya",
  raw_stack!G$2:G$99411, "&gt;="&amp;DATE(2025,11,1),
  raw_stack!G$2:G$99411, "&lt;="&amp;EOMONTH(DATE(2025,11,1),0)
 ),
 IF(_xlpm.x=0, "-", _xlpm.x)
)</f>
        <v>-</v>
      </c>
      <c r="X280" s="56" t="str">
        <f>_xlfn.LET(
 _xlpm.x,
 _xlfn.MAXIFS(
  raw_stack!H$2:H$100000,
  raw_stack!D$2:D$100000, G280,
  raw_stack!F$2:F$100000, "Iya",
  raw_stack!G$2:G$100000, "&gt;="&amp;DATE(2025,11,1),
  raw_stack!G$2:G$100000, "&lt;="&amp;EOMONTH(DATE(2025,11,1),0)
 ),
 IF(OR(_xlpm.x=0, _xlpm.x=""), "-", _xlpm.x)
)</f>
        <v>-</v>
      </c>
      <c r="Y280" s="55">
        <f>_xlfn.LET(
 _xlpm.x,
 _xlfn.MAXIFS(
  raw_stack!G$2:G$99411,
  raw_stack!D$2:D$99411, G280,
  raw_stack!F$2:F$99411, "Iya",
  raw_stack!G$2:G$99411, "&gt;="&amp;DATE(2025,12,1),
  raw_stack!G$2:G$99411, "&lt;="&amp;EOMONTH(DATE(2025,12,1),0)
 ),
 IF(_xlpm.x=0, "-", _xlpm.x)
)</f>
        <v>45998</v>
      </c>
      <c r="Z280" s="56">
        <f>_xlfn.LET(
 _xlpm.x,
 _xlfn.MAXIFS(
  raw_stack!H$2:H$100000,
  raw_stack!D$2:D$100000, G280,
  raw_stack!F$2:F$100000, "Iya",
  raw_stack!G$2:G$100000, "&gt;="&amp;DATE(2025,12,1),
  raw_stack!G$2:G$100000, "&lt;="&amp;EOMONTH(DATE(2025,12,1),0)
 ),
 IF(OR(_xlpm.x=0, _xlpm.x=""), "-", _xlpm.x)
)</f>
        <v>18553</v>
      </c>
      <c r="AA280" s="55">
        <f>_xlfn.LET(
 _xlpm.x,
 _xlfn.MAXIFS(
  raw_stack!G$2:G$99411,
  raw_stack!D$2:D$99411, G280,
  raw_stack!F$2:F$99411, "Iya",
  raw_stack!G$2:G$99411, "&gt;="&amp;DATE(2026,1,1),
  raw_stack!G$2:G$99411, "&lt;="&amp;EOMONTH(DATE(2026,1,1),0)
 ),
 IF(_xlpm.x=0, "-", _xlpm.x)
)</f>
        <v>46028</v>
      </c>
      <c r="AB280" s="56">
        <f>_xlfn.LET(
 _xlpm.x,
 _xlfn.MAXIFS(
  raw_stack!H$2:H$100000,
  raw_stack!D$2:D$100000, G280,
  raw_stack!F$2:F$100000, "Iya",
  raw_stack!G$2:G$100000, "&gt;="&amp;DATE(2026,1,1),
  raw_stack!G$2:G$100000, "&lt;="&amp;EOMONTH(DATE(2026,1,1),0)
 ),
 IF(OR(_xlpm.x=0, _xlpm.x=""), "-", _xlpm.x)
)</f>
        <v>16045</v>
      </c>
      <c r="AC280" s="55" t="str">
        <f>_xlfn.LET(
 _xlpm.x,
 _xlfn.MAXIFS(
  raw_stack!G$2:G$99411,
  raw_stack!D$2:D$99411, G280,
  raw_stack!F$2:F$99411, "Iya",
  raw_stack!G$2:G$99411, "&gt;="&amp;DATE(2026,2,1),
  raw_stack!G$2:G$99411, "&lt;="&amp;EOMONTH(DATE(2026,2,1),0)
 ),
 IF(_xlpm.x=0, "-", _xlpm.x)
)</f>
        <v>-</v>
      </c>
      <c r="AD280" s="56" t="str">
        <f>_xlfn.LET(
 _xlpm.x,
 _xlfn.MAXIFS(
  raw_stack!H$2:H$100000,
  raw_stack!D$2:D$100000, G280,
  raw_stack!F$2:F$100000, "Iya",
  raw_stack!G$2:G$100000, "&gt;="&amp;DATE(2026,2,1),
  raw_stack!G$2:G$100000, "&lt;="&amp;EOMONTH(DATE(2026,2,1),0)
 ),
 IF(OR(_xlpm.x=0, _xlpm.x=""), "-", _xlpm.x)
)</f>
        <v>-</v>
      </c>
      <c r="AE280" s="55" t="str">
        <f>_xlfn.LET(
 _xlpm.x,
 _xlfn.MAXIFS(
  raw_stack!G$2:G$100000,
  raw_stack!D$2:D$100000, G280,
  raw_stack!F$2:F$100000, "Iya",
  raw_stack!G$2:G$100000, "&gt;="&amp;DATE(2026,3,1),
  raw_stack!G$2:G$100000, "&lt;="&amp;EOMONTH(DATE(2026,3,1),0)
 ),
 IF(_xlpm.x=0, "-", _xlpm.x)
)</f>
        <v>-</v>
      </c>
      <c r="AF280" s="56" t="str">
        <f>_xlfn.LET(
 _xlpm.x,
 _xlfn.MAXIFS(
  raw_stack!H$2:H$100000,
  raw_stack!D$2:D$100000, G280,
  raw_stack!F$2:F$100000, "Iya",
  raw_stack!G$2:G$100000, "&gt;="&amp;DATE(2026,3,1),
  raw_stack!G$2:G$100000, "&lt;="&amp;EOMONTH(DATE(2026,3,1),0)
 ),
 IF(OR(_xlpm.x=0, _xlpm.x=""), "-", _xlpm.x)
)</f>
        <v>-</v>
      </c>
      <c r="AG280" s="55" t="str">
        <f>_xlfn.LET(
 _xlpm.x,
 _xlfn.MAXIFS(
  raw_stack!G$2:G$100000,
  raw_stack!D$2:D$100000, G280,
  raw_stack!F$2:F$100000, "Iya",
  raw_stack!G$2:G$100000, "&gt;="&amp;DATE(2026,4,1),
  raw_stack!G$2:G$100000, "&lt;="&amp;EOMONTH(DATE(2026,4,1),0)
 ),
 IF(_xlpm.x=0, "-", _xlpm.x)
)</f>
        <v>-</v>
      </c>
      <c r="AH280" s="56" t="str">
        <f>_xlfn.LET(
 _xlpm.x,
 _xlfn.MAXIFS(
  raw_stack!H$2:H$100000,
  raw_stack!D$2:D$100000, G280,
  raw_stack!F$2:F$100000, "Iya",
  raw_stack!G$2:G$100000, "&gt;="&amp;DATE(2026,4,1),
  raw_stack!G$2:G$100000, "&lt;="&amp;EOMONTH(DATE(2026,4,1),0)
 ),
 IF(OR(_xlpm.x=0, _xlpm.x=""), "-", _xlpm.x)
)</f>
        <v>-</v>
      </c>
    </row>
    <row r="281" spans="1:34">
      <c r="A281" s="48">
        <v>280</v>
      </c>
      <c r="B281" s="49" t="str">
        <f t="shared" si="4"/>
        <v>95425</v>
      </c>
      <c r="C281" s="50" t="s">
        <v>46</v>
      </c>
      <c r="D281" s="51" t="s">
        <v>493</v>
      </c>
      <c r="E281" s="51" t="s">
        <v>47</v>
      </c>
      <c r="F281" s="49" t="s">
        <v>117</v>
      </c>
      <c r="G281" s="49" t="s">
        <v>397</v>
      </c>
      <c r="H281" s="49" t="s">
        <v>48</v>
      </c>
      <c r="I281" s="49" t="s">
        <v>49</v>
      </c>
      <c r="J281" s="52">
        <v>4595000</v>
      </c>
      <c r="K281" s="53">
        <v>45903</v>
      </c>
      <c r="L281" s="53">
        <v>46998</v>
      </c>
      <c r="M281" s="53">
        <v>46055</v>
      </c>
      <c r="N281" s="49" t="s">
        <v>50</v>
      </c>
      <c r="O281" s="54" t="str">
        <f>_xlfn.LET(
 _xlpm.x,
 _xlfn.MAXIFS(
  raw_stack!G$2:G$100000,
  raw_stack!D$2:D$100000, G281,
  raw_stack!F$2:F$100000, "Iya",
  raw_stack!G$2:G$100000, "&gt;="&amp;DATE(2025,7,1),
  raw_stack!G$2:G$100000, "&lt;="&amp;EOMONTH(DATE(2025,7,1),0)
 ),
 IF(_xlpm.x=0, "-", _xlpm.x)
)</f>
        <v>-</v>
      </c>
      <c r="P281" s="65" t="str">
        <f>_xlfn.LET(
 _xlpm.x,
 _xlfn.MAXIFS(
  raw_stack!H$2:H$100000,
  raw_stack!D$2:D$100000, G281,
  raw_stack!F$2:F$100000, "Iya",
  raw_stack!G$2:G$100000, "&gt;="&amp;DATE(2025,7,1),
  raw_stack!G$2:G$100000, "&lt;="&amp;EOMONTH(DATE(2025,7,1),0)
 ),
 IF(OR(_xlpm.x=0, _xlpm.x=""), "-", _xlpm.x)
)</f>
        <v>-</v>
      </c>
      <c r="Q281" s="54" t="str">
        <f>_xlfn.LET(
 _xlpm.x,
 _xlfn.MAXIFS(
  raw_stack!G$2:G$99411,
  raw_stack!D$2:D$99411, G281,
  raw_stack!F$2:F$99411, "Iya",
  raw_stack!G$2:G$99411, "&gt;="&amp;DATE(2025,8,1),
  raw_stack!G$2:G$99411, "&lt;="&amp;EOMONTH(DATE(2025,8,1),0)
 ),
 IF(_xlpm.x=0, "-", _xlpm.x)
)</f>
        <v>-</v>
      </c>
      <c r="R281" s="65" t="str">
        <f>_xlfn.LET(
 _xlpm.x,
 _xlfn.MAXIFS(
  raw_stack!H$2:H$100000,
  raw_stack!D$2:D$100000, G281,
  raw_stack!F$2:F$100000, "Iya",
  raw_stack!G$2:G$100000, "&gt;="&amp;DATE(2025,8,1),
  raw_stack!G$2:G$100000, "&lt;="&amp;EOMONTH(DATE(2025,8,1),0)
 ),
 IF(OR(_xlpm.x=0, _xlpm.x=""), "-", _xlpm.x)
)</f>
        <v>-</v>
      </c>
      <c r="S281" s="54">
        <f>_xlfn.LET(
 _xlpm.x,
 _xlfn.MAXIFS(
  raw_stack!G$2:G$99411,
  raw_stack!D$2:D$99411, G281,
  raw_stack!F$2:F$99411, "Iya",
  raw_stack!G$2:G$99411, "&gt;="&amp;DATE(2025,9,1),
  raw_stack!G$2:G$99411, "&lt;="&amp;EOMONTH(DATE(2025,9,1),0)
 ),
 IF(_xlpm.x=0, "-", _xlpm.x)
)</f>
        <v>45901</v>
      </c>
      <c r="T281" s="65">
        <f>_xlfn.LET(
 _xlpm.x,
 _xlfn.MAXIFS(
  raw_stack!H$2:H$100000,
  raw_stack!D$2:D$100000, G281,
  raw_stack!F$2:F$100000, "Iya",
  raw_stack!G$2:G$100000, "&gt;="&amp;DATE(2025,9,1),
  raw_stack!G$2:G$100000, "&lt;="&amp;EOMONTH(DATE(2025,9,1),0)
 ),
 IF(OR(_xlpm.x=0, _xlpm.x=""), "-", _xlpm.x)
)</f>
        <v>5343</v>
      </c>
      <c r="U281" s="54">
        <f>_xlfn.LET(
 _xlpm.x,
 _xlfn.MAXIFS(
  raw_stack!G$2:G$99411,
  raw_stack!D$2:D$99411, G281,
  raw_stack!F$2:F$99411, "Iya",
  raw_stack!G$2:G$99411, "&gt;="&amp;DATE(2025,10,1),
  raw_stack!G$2:G$99411, "&lt;="&amp;EOMONTH(DATE(2025,10,1),0)
 ),
 IF(_xlpm.x=0, "-", _xlpm.x)
)</f>
        <v>45932</v>
      </c>
      <c r="V281" s="65">
        <f>_xlfn.LET(
 _xlpm.x,
 _xlfn.MAXIFS(
  raw_stack!H$2:H$100000,
  raw_stack!D$2:D$100000, G281,
  raw_stack!F$2:F$100000, "Iya",
  raw_stack!G$2:G$100000, "&gt;="&amp;DATE(2025,10,1),
  raw_stack!G$2:G$100000, "&lt;="&amp;EOMONTH(DATE(2025,10,1),0)
 ),
 IF(OR(_xlpm.x=0, _xlpm.x=""), "-", _xlpm.x)
)</f>
        <v>1974</v>
      </c>
      <c r="W281" s="55" t="str">
        <f>_xlfn.LET(
 _xlpm.x,
 _xlfn.MAXIFS(
  raw_stack!G$2:G$99411,
  raw_stack!D$2:D$99411, G281,
  raw_stack!F$2:F$99411, "Iya",
  raw_stack!G$2:G$99411, "&gt;="&amp;DATE(2025,11,1),
  raw_stack!G$2:G$99411, "&lt;="&amp;EOMONTH(DATE(2025,11,1),0)
 ),
 IF(_xlpm.x=0, "-", _xlpm.x)
)</f>
        <v>-</v>
      </c>
      <c r="X281" s="56" t="str">
        <f>_xlfn.LET(
 _xlpm.x,
 _xlfn.MAXIFS(
  raw_stack!H$2:H$100000,
  raw_stack!D$2:D$100000, G281,
  raw_stack!F$2:F$100000, "Iya",
  raw_stack!G$2:G$100000, "&gt;="&amp;DATE(2025,11,1),
  raw_stack!G$2:G$100000, "&lt;="&amp;EOMONTH(DATE(2025,11,1),0)
 ),
 IF(OR(_xlpm.x=0, _xlpm.x=""), "-", _xlpm.x)
)</f>
        <v>-</v>
      </c>
      <c r="Y281" s="55">
        <f>_xlfn.LET(
 _xlpm.x,
 _xlfn.MAXIFS(
  raw_stack!G$2:G$99411,
  raw_stack!D$2:D$99411, G281,
  raw_stack!F$2:F$99411, "Iya",
  raw_stack!G$2:G$99411, "&gt;="&amp;DATE(2025,12,1),
  raw_stack!G$2:G$99411, "&lt;="&amp;EOMONTH(DATE(2025,12,1),0)
 ),
 IF(_xlpm.x=0, "-", _xlpm.x)
)</f>
        <v>46020</v>
      </c>
      <c r="Z281" s="56">
        <f>_xlfn.LET(
 _xlpm.x,
 _xlfn.MAXIFS(
  raw_stack!H$2:H$100000,
  raw_stack!D$2:D$100000, G281,
  raw_stack!F$2:F$100000, "Iya",
  raw_stack!G$2:G$100000, "&gt;="&amp;DATE(2025,12,1),
  raw_stack!G$2:G$100000, "&lt;="&amp;EOMONTH(DATE(2025,12,1),0)
 ),
 IF(OR(_xlpm.x=0, _xlpm.x=""), "-", _xlpm.x)
)</f>
        <v>7133</v>
      </c>
      <c r="AA281" s="55" t="str">
        <f>_xlfn.LET(
 _xlpm.x,
 _xlfn.MAXIFS(
  raw_stack!G$2:G$99411,
  raw_stack!D$2:D$99411, G281,
  raw_stack!F$2:F$99411, "Iya",
  raw_stack!G$2:G$99411, "&gt;="&amp;DATE(2026,1,1),
  raw_stack!G$2:G$99411, "&lt;="&amp;EOMONTH(DATE(2026,1,1),0)
 ),
 IF(_xlpm.x=0, "-", _xlpm.x)
)</f>
        <v>-</v>
      </c>
      <c r="AB281" s="56" t="str">
        <f>_xlfn.LET(
 _xlpm.x,
 _xlfn.MAXIFS(
  raw_stack!H$2:H$100000,
  raw_stack!D$2:D$100000, G281,
  raw_stack!F$2:F$100000, "Iya",
  raw_stack!G$2:G$100000, "&gt;="&amp;DATE(2026,1,1),
  raw_stack!G$2:G$100000, "&lt;="&amp;EOMONTH(DATE(2026,1,1),0)
 ),
 IF(OR(_xlpm.x=0, _xlpm.x=""), "-", _xlpm.x)
)</f>
        <v>-</v>
      </c>
      <c r="AC281" s="55" t="str">
        <f>_xlfn.LET(
 _xlpm.x,
 _xlfn.MAXIFS(
  raw_stack!G$2:G$99411,
  raw_stack!D$2:D$99411, G281,
  raw_stack!F$2:F$99411, "Iya",
  raw_stack!G$2:G$99411, "&gt;="&amp;DATE(2026,2,1),
  raw_stack!G$2:G$99411, "&lt;="&amp;EOMONTH(DATE(2026,2,1),0)
 ),
 IF(_xlpm.x=0, "-", _xlpm.x)
)</f>
        <v>-</v>
      </c>
      <c r="AD281" s="56" t="str">
        <f>_xlfn.LET(
 _xlpm.x,
 _xlfn.MAXIFS(
  raw_stack!H$2:H$100000,
  raw_stack!D$2:D$100000, G281,
  raw_stack!F$2:F$100000, "Iya",
  raw_stack!G$2:G$100000, "&gt;="&amp;DATE(2026,2,1),
  raw_stack!G$2:G$100000, "&lt;="&amp;EOMONTH(DATE(2026,2,1),0)
 ),
 IF(OR(_xlpm.x=0, _xlpm.x=""), "-", _xlpm.x)
)</f>
        <v>-</v>
      </c>
      <c r="AE281" s="55">
        <f>_xlfn.LET(
 _xlpm.x,
 _xlfn.MAXIFS(
  raw_stack!G$2:G$100000,
  raw_stack!D$2:D$100000, G281,
  raw_stack!F$2:F$100000, "Iya",
  raw_stack!G$2:G$100000, "&gt;="&amp;DATE(2026,3,1),
  raw_stack!G$2:G$100000, "&lt;="&amp;EOMONTH(DATE(2026,3,1),0)
 ),
 IF(_xlpm.x=0, "-", _xlpm.x)
)</f>
        <v>46090</v>
      </c>
      <c r="AF281" s="56">
        <f>_xlfn.LET(
 _xlpm.x,
 _xlfn.MAXIFS(
  raw_stack!H$2:H$100000,
  raw_stack!D$2:D$100000, G281,
  raw_stack!F$2:F$100000, "Iya",
  raw_stack!G$2:G$100000, "&gt;="&amp;DATE(2026,3,1),
  raw_stack!G$2:G$100000, "&lt;="&amp;EOMONTH(DATE(2026,3,1),0)
 ),
 IF(OR(_xlpm.x=0, _xlpm.x=""), "-", _xlpm.x)
)</f>
        <v>10126</v>
      </c>
      <c r="AG281" s="55" t="str">
        <f>_xlfn.LET(
 _xlpm.x,
 _xlfn.MAXIFS(
  raw_stack!G$2:G$100000,
  raw_stack!D$2:D$100000, G281,
  raw_stack!F$2:F$100000, "Iya",
  raw_stack!G$2:G$100000, "&gt;="&amp;DATE(2026,4,1),
  raw_stack!G$2:G$100000, "&lt;="&amp;EOMONTH(DATE(2026,4,1),0)
 ),
 IF(_xlpm.x=0, "-", _xlpm.x)
)</f>
        <v>-</v>
      </c>
      <c r="AH281" s="56" t="str">
        <f>_xlfn.LET(
 _xlpm.x,
 _xlfn.MAXIFS(
  raw_stack!H$2:H$100000,
  raw_stack!D$2:D$100000, G281,
  raw_stack!F$2:F$100000, "Iya",
  raw_stack!G$2:G$100000, "&gt;="&amp;DATE(2026,4,1),
  raw_stack!G$2:G$100000, "&lt;="&amp;EOMONTH(DATE(2026,4,1),0)
 ),
 IF(OR(_xlpm.x=0, _xlpm.x=""), "-", _xlpm.x)
)</f>
        <v>-</v>
      </c>
    </row>
    <row r="282" spans="1:34">
      <c r="A282" s="48">
        <v>281</v>
      </c>
      <c r="B282" s="49" t="str">
        <f t="shared" si="4"/>
        <v>86431</v>
      </c>
      <c r="C282" s="50" t="s">
        <v>46</v>
      </c>
      <c r="D282" s="51" t="s">
        <v>682</v>
      </c>
      <c r="E282" s="51" t="s">
        <v>51</v>
      </c>
      <c r="F282" s="49" t="s">
        <v>117</v>
      </c>
      <c r="G282" s="49" t="s">
        <v>398</v>
      </c>
      <c r="H282" s="49" t="s">
        <v>48</v>
      </c>
      <c r="I282" s="49" t="s">
        <v>52</v>
      </c>
      <c r="J282" s="52">
        <v>3880000</v>
      </c>
      <c r="K282" s="53">
        <v>45911</v>
      </c>
      <c r="L282" s="53">
        <v>47006</v>
      </c>
      <c r="M282" s="53">
        <v>46063</v>
      </c>
      <c r="N282" s="49" t="s">
        <v>50</v>
      </c>
      <c r="O282" s="54" t="str">
        <f>_xlfn.LET(
 _xlpm.x,
 _xlfn.MAXIFS(
  raw_stack!G$2:G$100000,
  raw_stack!D$2:D$100000, G282,
  raw_stack!F$2:F$100000, "Iya",
  raw_stack!G$2:G$100000, "&gt;="&amp;DATE(2025,7,1),
  raw_stack!G$2:G$100000, "&lt;="&amp;EOMONTH(DATE(2025,7,1),0)
 ),
 IF(_xlpm.x=0, "-", _xlpm.x)
)</f>
        <v>-</v>
      </c>
      <c r="P282" s="65" t="str">
        <f>_xlfn.LET(
 _xlpm.x,
 _xlfn.MAXIFS(
  raw_stack!H$2:H$100000,
  raw_stack!D$2:D$100000, G282,
  raw_stack!F$2:F$100000, "Iya",
  raw_stack!G$2:G$100000, "&gt;="&amp;DATE(2025,7,1),
  raw_stack!G$2:G$100000, "&lt;="&amp;EOMONTH(DATE(2025,7,1),0)
 ),
 IF(OR(_xlpm.x=0, _xlpm.x=""), "-", _xlpm.x)
)</f>
        <v>-</v>
      </c>
      <c r="Q282" s="54" t="str">
        <f>_xlfn.LET(
 _xlpm.x,
 _xlfn.MAXIFS(
  raw_stack!G$2:G$99411,
  raw_stack!D$2:D$99411, G282,
  raw_stack!F$2:F$99411, "Iya",
  raw_stack!G$2:G$99411, "&gt;="&amp;DATE(2025,8,1),
  raw_stack!G$2:G$99411, "&lt;="&amp;EOMONTH(DATE(2025,8,1),0)
 ),
 IF(_xlpm.x=0, "-", _xlpm.x)
)</f>
        <v>-</v>
      </c>
      <c r="R282" s="65" t="str">
        <f>_xlfn.LET(
 _xlpm.x,
 _xlfn.MAXIFS(
  raw_stack!H$2:H$100000,
  raw_stack!D$2:D$100000, G282,
  raw_stack!F$2:F$100000, "Iya",
  raw_stack!G$2:G$100000, "&gt;="&amp;DATE(2025,8,1),
  raw_stack!G$2:G$100000, "&lt;="&amp;EOMONTH(DATE(2025,8,1),0)
 ),
 IF(OR(_xlpm.x=0, _xlpm.x=""), "-", _xlpm.x)
)</f>
        <v>-</v>
      </c>
      <c r="S282" s="54">
        <f>_xlfn.LET(
 _xlpm.x,
 _xlfn.MAXIFS(
  raw_stack!G$2:G$99411,
  raw_stack!D$2:D$99411, G282,
  raw_stack!F$2:F$99411, "Iya",
  raw_stack!G$2:G$99411, "&gt;="&amp;DATE(2025,9,1),
  raw_stack!G$2:G$99411, "&lt;="&amp;EOMONTH(DATE(2025,9,1),0)
 ),
 IF(_xlpm.x=0, "-", _xlpm.x)
)</f>
        <v>45912</v>
      </c>
      <c r="T282" s="65">
        <f>_xlfn.LET(
 _xlpm.x,
 _xlfn.MAXIFS(
  raw_stack!H$2:H$100000,
  raw_stack!D$2:D$100000, G282,
  raw_stack!F$2:F$100000, "Iya",
  raw_stack!G$2:G$100000, "&gt;="&amp;DATE(2025,9,1),
  raw_stack!G$2:G$100000, "&lt;="&amp;EOMONTH(DATE(2025,9,1),0)
 ),
 IF(OR(_xlpm.x=0, _xlpm.x=""), "-", _xlpm.x)
)</f>
        <v>4294</v>
      </c>
      <c r="U282" s="54" t="str">
        <f>_xlfn.LET(
 _xlpm.x,
 _xlfn.MAXIFS(
  raw_stack!G$2:G$99411,
  raw_stack!D$2:D$99411, G282,
  raw_stack!F$2:F$99411, "Iya",
  raw_stack!G$2:G$99411, "&gt;="&amp;DATE(2025,10,1),
  raw_stack!G$2:G$99411, "&lt;="&amp;EOMONTH(DATE(2025,10,1),0)
 ),
 IF(_xlpm.x=0, "-", _xlpm.x)
)</f>
        <v>-</v>
      </c>
      <c r="V282" s="65" t="str">
        <f>_xlfn.LET(
 _xlpm.x,
 _xlfn.MAXIFS(
  raw_stack!H$2:H$100000,
  raw_stack!D$2:D$100000, G282,
  raw_stack!F$2:F$100000, "Iya",
  raw_stack!G$2:G$100000, "&gt;="&amp;DATE(2025,10,1),
  raw_stack!G$2:G$100000, "&lt;="&amp;EOMONTH(DATE(2025,10,1),0)
 ),
 IF(OR(_xlpm.x=0, _xlpm.x=""), "-", _xlpm.x)
)</f>
        <v>-</v>
      </c>
      <c r="W282" s="55" t="str">
        <f>_xlfn.LET(
 _xlpm.x,
 _xlfn.MAXIFS(
  raw_stack!G$2:G$99411,
  raw_stack!D$2:D$99411, G282,
  raw_stack!F$2:F$99411, "Iya",
  raw_stack!G$2:G$99411, "&gt;="&amp;DATE(2025,11,1),
  raw_stack!G$2:G$99411, "&lt;="&amp;EOMONTH(DATE(2025,11,1),0)
 ),
 IF(_xlpm.x=0, "-", _xlpm.x)
)</f>
        <v>-</v>
      </c>
      <c r="X282" s="56" t="str">
        <f>_xlfn.LET(
 _xlpm.x,
 _xlfn.MAXIFS(
  raw_stack!H$2:H$100000,
  raw_stack!D$2:D$100000, G282,
  raw_stack!F$2:F$100000, "Iya",
  raw_stack!G$2:G$100000, "&gt;="&amp;DATE(2025,11,1),
  raw_stack!G$2:G$100000, "&lt;="&amp;EOMONTH(DATE(2025,11,1),0)
 ),
 IF(OR(_xlpm.x=0, _xlpm.x=""), "-", _xlpm.x)
)</f>
        <v>-</v>
      </c>
      <c r="Y282" s="55" t="str">
        <f>_xlfn.LET(
 _xlpm.x,
 _xlfn.MAXIFS(
  raw_stack!G$2:G$99411,
  raw_stack!D$2:D$99411, G282,
  raw_stack!F$2:F$99411, "Iya",
  raw_stack!G$2:G$99411, "&gt;="&amp;DATE(2025,12,1),
  raw_stack!G$2:G$99411, "&lt;="&amp;EOMONTH(DATE(2025,12,1),0)
 ),
 IF(_xlpm.x=0, "-", _xlpm.x)
)</f>
        <v>-</v>
      </c>
      <c r="Z282" s="56" t="str">
        <f>_xlfn.LET(
 _xlpm.x,
 _xlfn.MAXIFS(
  raw_stack!H$2:H$100000,
  raw_stack!D$2:D$100000, G282,
  raw_stack!F$2:F$100000, "Iya",
  raw_stack!G$2:G$100000, "&gt;="&amp;DATE(2025,12,1),
  raw_stack!G$2:G$100000, "&lt;="&amp;EOMONTH(DATE(2025,12,1),0)
 ),
 IF(OR(_xlpm.x=0, _xlpm.x=""), "-", _xlpm.x)
)</f>
        <v>-</v>
      </c>
      <c r="AA282" s="55" t="str">
        <f>_xlfn.LET(
 _xlpm.x,
 _xlfn.MAXIFS(
  raw_stack!G$2:G$99411,
  raw_stack!D$2:D$99411, G282,
  raw_stack!F$2:F$99411, "Iya",
  raw_stack!G$2:G$99411, "&gt;="&amp;DATE(2026,1,1),
  raw_stack!G$2:G$99411, "&lt;="&amp;EOMONTH(DATE(2026,1,1),0)
 ),
 IF(_xlpm.x=0, "-", _xlpm.x)
)</f>
        <v>-</v>
      </c>
      <c r="AB282" s="56" t="str">
        <f>_xlfn.LET(
 _xlpm.x,
 _xlfn.MAXIFS(
  raw_stack!H$2:H$100000,
  raw_stack!D$2:D$100000, G282,
  raw_stack!F$2:F$100000, "Iya",
  raw_stack!G$2:G$100000, "&gt;="&amp;DATE(2026,1,1),
  raw_stack!G$2:G$100000, "&lt;="&amp;EOMONTH(DATE(2026,1,1),0)
 ),
 IF(OR(_xlpm.x=0, _xlpm.x=""), "-", _xlpm.x)
)</f>
        <v>-</v>
      </c>
      <c r="AC282" s="55" t="str">
        <f>_xlfn.LET(
 _xlpm.x,
 _xlfn.MAXIFS(
  raw_stack!G$2:G$99411,
  raw_stack!D$2:D$99411, G282,
  raw_stack!F$2:F$99411, "Iya",
  raw_stack!G$2:G$99411, "&gt;="&amp;DATE(2026,2,1),
  raw_stack!G$2:G$99411, "&lt;="&amp;EOMONTH(DATE(2026,2,1),0)
 ),
 IF(_xlpm.x=0, "-", _xlpm.x)
)</f>
        <v>-</v>
      </c>
      <c r="AD282" s="56" t="str">
        <f>_xlfn.LET(
 _xlpm.x,
 _xlfn.MAXIFS(
  raw_stack!H$2:H$100000,
  raw_stack!D$2:D$100000, G282,
  raw_stack!F$2:F$100000, "Iya",
  raw_stack!G$2:G$100000, "&gt;="&amp;DATE(2026,2,1),
  raw_stack!G$2:G$100000, "&lt;="&amp;EOMONTH(DATE(2026,2,1),0)
 ),
 IF(OR(_xlpm.x=0, _xlpm.x=""), "-", _xlpm.x)
)</f>
        <v>-</v>
      </c>
      <c r="AE282" s="55" t="str">
        <f>_xlfn.LET(
 _xlpm.x,
 _xlfn.MAXIFS(
  raw_stack!G$2:G$100000,
  raw_stack!D$2:D$100000, G282,
  raw_stack!F$2:F$100000, "Iya",
  raw_stack!G$2:G$100000, "&gt;="&amp;DATE(2026,3,1),
  raw_stack!G$2:G$100000, "&lt;="&amp;EOMONTH(DATE(2026,3,1),0)
 ),
 IF(_xlpm.x=0, "-", _xlpm.x)
)</f>
        <v>-</v>
      </c>
      <c r="AF282" s="56" t="str">
        <f>_xlfn.LET(
 _xlpm.x,
 _xlfn.MAXIFS(
  raw_stack!H$2:H$100000,
  raw_stack!D$2:D$100000, G282,
  raw_stack!F$2:F$100000, "Iya",
  raw_stack!G$2:G$100000, "&gt;="&amp;DATE(2026,3,1),
  raw_stack!G$2:G$100000, "&lt;="&amp;EOMONTH(DATE(2026,3,1),0)
 ),
 IF(OR(_xlpm.x=0, _xlpm.x=""), "-", _xlpm.x)
)</f>
        <v>-</v>
      </c>
      <c r="AG282" s="55" t="str">
        <f>_xlfn.LET(
 _xlpm.x,
 _xlfn.MAXIFS(
  raw_stack!G$2:G$100000,
  raw_stack!D$2:D$100000, G282,
  raw_stack!F$2:F$100000, "Iya",
  raw_stack!G$2:G$100000, "&gt;="&amp;DATE(2026,4,1),
  raw_stack!G$2:G$100000, "&lt;="&amp;EOMONTH(DATE(2026,4,1),0)
 ),
 IF(_xlpm.x=0, "-", _xlpm.x)
)</f>
        <v>-</v>
      </c>
      <c r="AH282" s="56" t="str">
        <f>_xlfn.LET(
 _xlpm.x,
 _xlfn.MAXIFS(
  raw_stack!H$2:H$100000,
  raw_stack!D$2:D$100000, G282,
  raw_stack!F$2:F$100000, "Iya",
  raw_stack!G$2:G$100000, "&gt;="&amp;DATE(2026,4,1),
  raw_stack!G$2:G$100000, "&lt;="&amp;EOMONTH(DATE(2026,4,1),0)
 ),
 IF(OR(_xlpm.x=0, _xlpm.x=""), "-", _xlpm.x)
)</f>
        <v>-</v>
      </c>
    </row>
    <row r="283" spans="1:34">
      <c r="A283" s="48">
        <v>282</v>
      </c>
      <c r="B283" s="49" t="str">
        <f t="shared" si="4"/>
        <v>12328</v>
      </c>
      <c r="C283" s="50" t="s">
        <v>46</v>
      </c>
      <c r="D283" s="51" t="s">
        <v>683</v>
      </c>
      <c r="E283" s="51" t="s">
        <v>51</v>
      </c>
      <c r="F283" s="49" t="s">
        <v>117</v>
      </c>
      <c r="G283" s="49" t="s">
        <v>399</v>
      </c>
      <c r="H283" s="49" t="s">
        <v>48</v>
      </c>
      <c r="I283" s="49" t="s">
        <v>52</v>
      </c>
      <c r="J283" s="52">
        <v>3880000</v>
      </c>
      <c r="K283" s="53">
        <v>45916</v>
      </c>
      <c r="L283" s="53">
        <v>47011</v>
      </c>
      <c r="M283" s="53">
        <v>46068</v>
      </c>
      <c r="N283" s="49" t="s">
        <v>50</v>
      </c>
      <c r="O283" s="54" t="str">
        <f>_xlfn.LET(
 _xlpm.x,
 _xlfn.MAXIFS(
  raw_stack!G$2:G$100000,
  raw_stack!D$2:D$100000, G283,
  raw_stack!F$2:F$100000, "Iya",
  raw_stack!G$2:G$100000, "&gt;="&amp;DATE(2025,7,1),
  raw_stack!G$2:G$100000, "&lt;="&amp;EOMONTH(DATE(2025,7,1),0)
 ),
 IF(_xlpm.x=0, "-", _xlpm.x)
)</f>
        <v>-</v>
      </c>
      <c r="P283" s="65" t="str">
        <f>_xlfn.LET(
 _xlpm.x,
 _xlfn.MAXIFS(
  raw_stack!H$2:H$100000,
  raw_stack!D$2:D$100000, G283,
  raw_stack!F$2:F$100000, "Iya",
  raw_stack!G$2:G$100000, "&gt;="&amp;DATE(2025,7,1),
  raw_stack!G$2:G$100000, "&lt;="&amp;EOMONTH(DATE(2025,7,1),0)
 ),
 IF(OR(_xlpm.x=0, _xlpm.x=""), "-", _xlpm.x)
)</f>
        <v>-</v>
      </c>
      <c r="Q283" s="54" t="str">
        <f>_xlfn.LET(
 _xlpm.x,
 _xlfn.MAXIFS(
  raw_stack!G$2:G$99411,
  raw_stack!D$2:D$99411, G283,
  raw_stack!F$2:F$99411, "Iya",
  raw_stack!G$2:G$99411, "&gt;="&amp;DATE(2025,8,1),
  raw_stack!G$2:G$99411, "&lt;="&amp;EOMONTH(DATE(2025,8,1),0)
 ),
 IF(_xlpm.x=0, "-", _xlpm.x)
)</f>
        <v>-</v>
      </c>
      <c r="R283" s="65" t="str">
        <f>_xlfn.LET(
 _xlpm.x,
 _xlfn.MAXIFS(
  raw_stack!H$2:H$100000,
  raw_stack!D$2:D$100000, G283,
  raw_stack!F$2:F$100000, "Iya",
  raw_stack!G$2:G$100000, "&gt;="&amp;DATE(2025,8,1),
  raw_stack!G$2:G$100000, "&lt;="&amp;EOMONTH(DATE(2025,8,1),0)
 ),
 IF(OR(_xlpm.x=0, _xlpm.x=""), "-", _xlpm.x)
)</f>
        <v>-</v>
      </c>
      <c r="S283" s="54">
        <f>_xlfn.LET(
 _xlpm.x,
 _xlfn.MAXIFS(
  raw_stack!G$2:G$99411,
  raw_stack!D$2:D$99411, G283,
  raw_stack!F$2:F$99411, "Iya",
  raw_stack!G$2:G$99411, "&gt;="&amp;DATE(2025,9,1),
  raw_stack!G$2:G$99411, "&lt;="&amp;EOMONTH(DATE(2025,9,1),0)
 ),
 IF(_xlpm.x=0, "-", _xlpm.x)
)</f>
        <v>45916</v>
      </c>
      <c r="T283" s="65">
        <f>_xlfn.LET(
 _xlpm.x,
 _xlfn.MAXIFS(
  raw_stack!H$2:H$100000,
  raw_stack!D$2:D$100000, G283,
  raw_stack!F$2:F$100000, "Iya",
  raw_stack!G$2:G$100000, "&gt;="&amp;DATE(2025,9,1),
  raw_stack!G$2:G$100000, "&lt;="&amp;EOMONTH(DATE(2025,9,1),0)
 ),
 IF(OR(_xlpm.x=0, _xlpm.x=""), "-", _xlpm.x)
)</f>
        <v>1672</v>
      </c>
      <c r="U283" s="54" t="str">
        <f>_xlfn.LET(
 _xlpm.x,
 _xlfn.MAXIFS(
  raw_stack!G$2:G$99411,
  raw_stack!D$2:D$99411, G283,
  raw_stack!F$2:F$99411, "Iya",
  raw_stack!G$2:G$99411, "&gt;="&amp;DATE(2025,10,1),
  raw_stack!G$2:G$99411, "&lt;="&amp;EOMONTH(DATE(2025,10,1),0)
 ),
 IF(_xlpm.x=0, "-", _xlpm.x)
)</f>
        <v>-</v>
      </c>
      <c r="V283" s="65" t="str">
        <f>_xlfn.LET(
 _xlpm.x,
 _xlfn.MAXIFS(
  raw_stack!H$2:H$100000,
  raw_stack!D$2:D$100000, G283,
  raw_stack!F$2:F$100000, "Iya",
  raw_stack!G$2:G$100000, "&gt;="&amp;DATE(2025,10,1),
  raw_stack!G$2:G$100000, "&lt;="&amp;EOMONTH(DATE(2025,10,1),0)
 ),
 IF(OR(_xlpm.x=0, _xlpm.x=""), "-", _xlpm.x)
)</f>
        <v>-</v>
      </c>
      <c r="W283" s="55">
        <f>_xlfn.LET(
 _xlpm.x,
 _xlfn.MAXIFS(
  raw_stack!G$2:G$99411,
  raw_stack!D$2:D$99411, G283,
  raw_stack!F$2:F$99411, "Iya",
  raw_stack!G$2:G$99411, "&gt;="&amp;DATE(2025,11,1),
  raw_stack!G$2:G$99411, "&lt;="&amp;EOMONTH(DATE(2025,11,1),0)
 ),
 IF(_xlpm.x=0, "-", _xlpm.x)
)</f>
        <v>45962</v>
      </c>
      <c r="X283" s="56">
        <f>_xlfn.LET(
 _xlpm.x,
 _xlfn.MAXIFS(
  raw_stack!H$2:H$100000,
  raw_stack!D$2:D$100000, G283,
  raw_stack!F$2:F$100000, "Iya",
  raw_stack!G$2:G$100000, "&gt;="&amp;DATE(2025,11,1),
  raw_stack!G$2:G$100000, "&lt;="&amp;EOMONTH(DATE(2025,11,1),0)
 ),
 IF(OR(_xlpm.x=0, _xlpm.x=""), "-", _xlpm.x)
)</f>
        <v>7978</v>
      </c>
      <c r="Y283" s="55" t="str">
        <f>_xlfn.LET(
 _xlpm.x,
 _xlfn.MAXIFS(
  raw_stack!G$2:G$99411,
  raw_stack!D$2:D$99411, G283,
  raw_stack!F$2:F$99411, "Iya",
  raw_stack!G$2:G$99411, "&gt;="&amp;DATE(2025,12,1),
  raw_stack!G$2:G$99411, "&lt;="&amp;EOMONTH(DATE(2025,12,1),0)
 ),
 IF(_xlpm.x=0, "-", _xlpm.x)
)</f>
        <v>-</v>
      </c>
      <c r="Z283" s="56" t="str">
        <f>_xlfn.LET(
 _xlpm.x,
 _xlfn.MAXIFS(
  raw_stack!H$2:H$100000,
  raw_stack!D$2:D$100000, G283,
  raw_stack!F$2:F$100000, "Iya",
  raw_stack!G$2:G$100000, "&gt;="&amp;DATE(2025,12,1),
  raw_stack!G$2:G$100000, "&lt;="&amp;EOMONTH(DATE(2025,12,1),0)
 ),
 IF(OR(_xlpm.x=0, _xlpm.x=""), "-", _xlpm.x)
)</f>
        <v>-</v>
      </c>
      <c r="AA283" s="55" t="str">
        <f>_xlfn.LET(
 _xlpm.x,
 _xlfn.MAXIFS(
  raw_stack!G$2:G$99411,
  raw_stack!D$2:D$99411, G283,
  raw_stack!F$2:F$99411, "Iya",
  raw_stack!G$2:G$99411, "&gt;="&amp;DATE(2026,1,1),
  raw_stack!G$2:G$99411, "&lt;="&amp;EOMONTH(DATE(2026,1,1),0)
 ),
 IF(_xlpm.x=0, "-", _xlpm.x)
)</f>
        <v>-</v>
      </c>
      <c r="AB283" s="56" t="str">
        <f>_xlfn.LET(
 _xlpm.x,
 _xlfn.MAXIFS(
  raw_stack!H$2:H$100000,
  raw_stack!D$2:D$100000, G283,
  raw_stack!F$2:F$100000, "Iya",
  raw_stack!G$2:G$100000, "&gt;="&amp;DATE(2026,1,1),
  raw_stack!G$2:G$100000, "&lt;="&amp;EOMONTH(DATE(2026,1,1),0)
 ),
 IF(OR(_xlpm.x=0, _xlpm.x=""), "-", _xlpm.x)
)</f>
        <v>-</v>
      </c>
      <c r="AC283" s="55" t="str">
        <f>_xlfn.LET(
 _xlpm.x,
 _xlfn.MAXIFS(
  raw_stack!G$2:G$99411,
  raw_stack!D$2:D$99411, G283,
  raw_stack!F$2:F$99411, "Iya",
  raw_stack!G$2:G$99411, "&gt;="&amp;DATE(2026,2,1),
  raw_stack!G$2:G$99411, "&lt;="&amp;EOMONTH(DATE(2026,2,1),0)
 ),
 IF(_xlpm.x=0, "-", _xlpm.x)
)</f>
        <v>-</v>
      </c>
      <c r="AD283" s="56" t="str">
        <f>_xlfn.LET(
 _xlpm.x,
 _xlfn.MAXIFS(
  raw_stack!H$2:H$100000,
  raw_stack!D$2:D$100000, G283,
  raw_stack!F$2:F$100000, "Iya",
  raw_stack!G$2:G$100000, "&gt;="&amp;DATE(2026,2,1),
  raw_stack!G$2:G$100000, "&lt;="&amp;EOMONTH(DATE(2026,2,1),0)
 ),
 IF(OR(_xlpm.x=0, _xlpm.x=""), "-", _xlpm.x)
)</f>
        <v>-</v>
      </c>
      <c r="AE283" s="55">
        <f>_xlfn.LET(
 _xlpm.x,
 _xlfn.MAXIFS(
  raw_stack!G$2:G$100000,
  raw_stack!D$2:D$100000, G283,
  raw_stack!F$2:F$100000, "Iya",
  raw_stack!G$2:G$100000, "&gt;="&amp;DATE(2026,3,1),
  raw_stack!G$2:G$100000, "&lt;="&amp;EOMONTH(DATE(2026,3,1),0)
 ),
 IF(_xlpm.x=0, "-", _xlpm.x)
)</f>
        <v>46093</v>
      </c>
      <c r="AF283" s="56">
        <f>_xlfn.LET(
 _xlpm.x,
 _xlfn.MAXIFS(
  raw_stack!H$2:H$100000,
  raw_stack!D$2:D$100000, G283,
  raw_stack!F$2:F$100000, "Iya",
  raw_stack!G$2:G$100000, "&gt;="&amp;DATE(2026,3,1),
  raw_stack!G$2:G$100000, "&lt;="&amp;EOMONTH(DATE(2026,3,1),0)
 ),
 IF(OR(_xlpm.x=0, _xlpm.x=""), "-", _xlpm.x)
)</f>
        <v>27680</v>
      </c>
      <c r="AG283" s="55" t="str">
        <f>_xlfn.LET(
 _xlpm.x,
 _xlfn.MAXIFS(
  raw_stack!G$2:G$100000,
  raw_stack!D$2:D$100000, G283,
  raw_stack!F$2:F$100000, "Iya",
  raw_stack!G$2:G$100000, "&gt;="&amp;DATE(2026,4,1),
  raw_stack!G$2:G$100000, "&lt;="&amp;EOMONTH(DATE(2026,4,1),0)
 ),
 IF(_xlpm.x=0, "-", _xlpm.x)
)</f>
        <v>-</v>
      </c>
      <c r="AH283" s="56" t="str">
        <f>_xlfn.LET(
 _xlpm.x,
 _xlfn.MAXIFS(
  raw_stack!H$2:H$100000,
  raw_stack!D$2:D$100000, G283,
  raw_stack!F$2:F$100000, "Iya",
  raw_stack!G$2:G$100000, "&gt;="&amp;DATE(2026,4,1),
  raw_stack!G$2:G$100000, "&lt;="&amp;EOMONTH(DATE(2026,4,1),0)
 ),
 IF(OR(_xlpm.x=0, _xlpm.x=""), "-", _xlpm.x)
)</f>
        <v>-</v>
      </c>
    </row>
    <row r="284" spans="1:34">
      <c r="A284" s="48">
        <v>283</v>
      </c>
      <c r="B284" s="49" t="str">
        <f t="shared" si="4"/>
        <v>27693</v>
      </c>
      <c r="C284" s="50" t="s">
        <v>46</v>
      </c>
      <c r="D284" s="51" t="s">
        <v>528</v>
      </c>
      <c r="E284" s="51" t="s">
        <v>54</v>
      </c>
      <c r="F284" s="49" t="s">
        <v>117</v>
      </c>
      <c r="G284" s="49" t="s">
        <v>400</v>
      </c>
      <c r="H284" s="49" t="s">
        <v>48</v>
      </c>
      <c r="I284" s="49" t="s">
        <v>52</v>
      </c>
      <c r="J284" s="52">
        <v>6600000</v>
      </c>
      <c r="K284" s="53">
        <v>45919</v>
      </c>
      <c r="L284" s="53">
        <v>47014</v>
      </c>
      <c r="M284" s="53">
        <v>46040</v>
      </c>
      <c r="N284" s="49" t="s">
        <v>50</v>
      </c>
      <c r="O284" s="54" t="str">
        <f>_xlfn.LET(
 _xlpm.x,
 _xlfn.MAXIFS(
  raw_stack!G$2:G$100000,
  raw_stack!D$2:D$100000, G284,
  raw_stack!F$2:F$100000, "Iya",
  raw_stack!G$2:G$100000, "&gt;="&amp;DATE(2025,7,1),
  raw_stack!G$2:G$100000, "&lt;="&amp;EOMONTH(DATE(2025,7,1),0)
 ),
 IF(_xlpm.x=0, "-", _xlpm.x)
)</f>
        <v>-</v>
      </c>
      <c r="P284" s="65" t="str">
        <f>_xlfn.LET(
 _xlpm.x,
 _xlfn.MAXIFS(
  raw_stack!H$2:H$100000,
  raw_stack!D$2:D$100000, G284,
  raw_stack!F$2:F$100000, "Iya",
  raw_stack!G$2:G$100000, "&gt;="&amp;DATE(2025,7,1),
  raw_stack!G$2:G$100000, "&lt;="&amp;EOMONTH(DATE(2025,7,1),0)
 ),
 IF(OR(_xlpm.x=0, _xlpm.x=""), "-", _xlpm.x)
)</f>
        <v>-</v>
      </c>
      <c r="Q284" s="54" t="str">
        <f>_xlfn.LET(
 _xlpm.x,
 _xlfn.MAXIFS(
  raw_stack!G$2:G$99411,
  raw_stack!D$2:D$99411, G284,
  raw_stack!F$2:F$99411, "Iya",
  raw_stack!G$2:G$99411, "&gt;="&amp;DATE(2025,8,1),
  raw_stack!G$2:G$99411, "&lt;="&amp;EOMONTH(DATE(2025,8,1),0)
 ),
 IF(_xlpm.x=0, "-", _xlpm.x)
)</f>
        <v>-</v>
      </c>
      <c r="R284" s="65" t="str">
        <f>_xlfn.LET(
 _xlpm.x,
 _xlfn.MAXIFS(
  raw_stack!H$2:H$100000,
  raw_stack!D$2:D$100000, G284,
  raw_stack!F$2:F$100000, "Iya",
  raw_stack!G$2:G$100000, "&gt;="&amp;DATE(2025,8,1),
  raw_stack!G$2:G$100000, "&lt;="&amp;EOMONTH(DATE(2025,8,1),0)
 ),
 IF(OR(_xlpm.x=0, _xlpm.x=""), "-", _xlpm.x)
)</f>
        <v>-</v>
      </c>
      <c r="S284" s="54">
        <f>_xlfn.LET(
 _xlpm.x,
 _xlfn.MAXIFS(
  raw_stack!G$2:G$99411,
  raw_stack!D$2:D$99411, G284,
  raw_stack!F$2:F$99411, "Iya",
  raw_stack!G$2:G$99411, "&gt;="&amp;DATE(2025,9,1),
  raw_stack!G$2:G$99411, "&lt;="&amp;EOMONTH(DATE(2025,9,1),0)
 ),
 IF(_xlpm.x=0, "-", _xlpm.x)
)</f>
        <v>45919</v>
      </c>
      <c r="T284" s="65">
        <f>_xlfn.LET(
 _xlpm.x,
 _xlfn.MAXIFS(
  raw_stack!H$2:H$100000,
  raw_stack!D$2:D$100000, G284,
  raw_stack!F$2:F$100000, "Iya",
  raw_stack!G$2:G$100000, "&gt;="&amp;DATE(2025,9,1),
  raw_stack!G$2:G$100000, "&lt;="&amp;EOMONTH(DATE(2025,9,1),0)
 ),
 IF(OR(_xlpm.x=0, _xlpm.x=""), "-", _xlpm.x)
)</f>
        <v>2299</v>
      </c>
      <c r="U284" s="54">
        <f>_xlfn.LET(
 _xlpm.x,
 _xlfn.MAXIFS(
  raw_stack!G$2:G$99411,
  raw_stack!D$2:D$99411, G284,
  raw_stack!F$2:F$99411, "Iya",
  raw_stack!G$2:G$99411, "&gt;="&amp;DATE(2025,10,1),
  raw_stack!G$2:G$99411, "&lt;="&amp;EOMONTH(DATE(2025,10,1),0)
 ),
 IF(_xlpm.x=0, "-", _xlpm.x)
)</f>
        <v>45951</v>
      </c>
      <c r="V284" s="65">
        <f>_xlfn.LET(
 _xlpm.x,
 _xlfn.MAXIFS(
  raw_stack!H$2:H$100000,
  raw_stack!D$2:D$100000, G284,
  raw_stack!F$2:F$100000, "Iya",
  raw_stack!G$2:G$100000, "&gt;="&amp;DATE(2025,10,1),
  raw_stack!G$2:G$100000, "&lt;="&amp;EOMONTH(DATE(2025,10,1),0)
 ),
 IF(OR(_xlpm.x=0, _xlpm.x=""), "-", _xlpm.x)
)</f>
        <v>2967</v>
      </c>
      <c r="W284" s="55">
        <f>_xlfn.LET(
 _xlpm.x,
 _xlfn.MAXIFS(
  raw_stack!G$2:G$99411,
  raw_stack!D$2:D$99411, G284,
  raw_stack!F$2:F$99411, "Iya",
  raw_stack!G$2:G$99411, "&gt;="&amp;DATE(2025,11,1),
  raw_stack!G$2:G$99411, "&lt;="&amp;EOMONTH(DATE(2025,11,1),0)
 ),
 IF(_xlpm.x=0, "-", _xlpm.x)
)</f>
        <v>45987</v>
      </c>
      <c r="X284" s="56">
        <f>_xlfn.LET(
 _xlpm.x,
 _xlfn.MAXIFS(
  raw_stack!H$2:H$100000,
  raw_stack!D$2:D$100000, G284,
  raw_stack!F$2:F$100000, "Iya",
  raw_stack!G$2:G$100000, "&gt;="&amp;DATE(2025,11,1),
  raw_stack!G$2:G$100000, "&lt;="&amp;EOMONTH(DATE(2025,11,1),0)
 ),
 IF(OR(_xlpm.x=0, _xlpm.x=""), "-", _xlpm.x)
)</f>
        <v>5589</v>
      </c>
      <c r="Y284" s="55">
        <f>_xlfn.LET(
 _xlpm.x,
 _xlfn.MAXIFS(
  raw_stack!G$2:G$99411,
  raw_stack!D$2:D$99411, G284,
  raw_stack!F$2:F$99411, "Iya",
  raw_stack!G$2:G$99411, "&gt;="&amp;DATE(2025,12,1),
  raw_stack!G$2:G$99411, "&lt;="&amp;EOMONTH(DATE(2025,12,1),0)
 ),
 IF(_xlpm.x=0, "-", _xlpm.x)
)</f>
        <v>46002</v>
      </c>
      <c r="Z284" s="56">
        <f>_xlfn.LET(
 _xlpm.x,
 _xlfn.MAXIFS(
  raw_stack!H$2:H$100000,
  raw_stack!D$2:D$100000, G284,
  raw_stack!F$2:F$100000, "Iya",
  raw_stack!G$2:G$100000, "&gt;="&amp;DATE(2025,12,1),
  raw_stack!G$2:G$100000, "&lt;="&amp;EOMONTH(DATE(2025,12,1),0)
 ),
 IF(OR(_xlpm.x=0, _xlpm.x=""), "-", _xlpm.x)
)</f>
        <v>4010</v>
      </c>
      <c r="AA284" s="55" t="str">
        <f>_xlfn.LET(
 _xlpm.x,
 _xlfn.MAXIFS(
  raw_stack!G$2:G$99411,
  raw_stack!D$2:D$99411, G284,
  raw_stack!F$2:F$99411, "Iya",
  raw_stack!G$2:G$99411, "&gt;="&amp;DATE(2026,1,1),
  raw_stack!G$2:G$99411, "&lt;="&amp;EOMONTH(DATE(2026,1,1),0)
 ),
 IF(_xlpm.x=0, "-", _xlpm.x)
)</f>
        <v>-</v>
      </c>
      <c r="AB284" s="56" t="str">
        <f>_xlfn.LET(
 _xlpm.x,
 _xlfn.MAXIFS(
  raw_stack!H$2:H$100000,
  raw_stack!D$2:D$100000, G284,
  raw_stack!F$2:F$100000, "Iya",
  raw_stack!G$2:G$100000, "&gt;="&amp;DATE(2026,1,1),
  raw_stack!G$2:G$100000, "&lt;="&amp;EOMONTH(DATE(2026,1,1),0)
 ),
 IF(OR(_xlpm.x=0, _xlpm.x=""), "-", _xlpm.x)
)</f>
        <v>-</v>
      </c>
      <c r="AC284" s="55" t="str">
        <f>_xlfn.LET(
 _xlpm.x,
 _xlfn.MAXIFS(
  raw_stack!G$2:G$99411,
  raw_stack!D$2:D$99411, G284,
  raw_stack!F$2:F$99411, "Iya",
  raw_stack!G$2:G$99411, "&gt;="&amp;DATE(2026,2,1),
  raw_stack!G$2:G$99411, "&lt;="&amp;EOMONTH(DATE(2026,2,1),0)
 ),
 IF(_xlpm.x=0, "-", _xlpm.x)
)</f>
        <v>-</v>
      </c>
      <c r="AD284" s="56" t="str">
        <f>_xlfn.LET(
 _xlpm.x,
 _xlfn.MAXIFS(
  raw_stack!H$2:H$100000,
  raw_stack!D$2:D$100000, G284,
  raw_stack!F$2:F$100000, "Iya",
  raw_stack!G$2:G$100000, "&gt;="&amp;DATE(2026,2,1),
  raw_stack!G$2:G$100000, "&lt;="&amp;EOMONTH(DATE(2026,2,1),0)
 ),
 IF(OR(_xlpm.x=0, _xlpm.x=""), "-", _xlpm.x)
)</f>
        <v>-</v>
      </c>
      <c r="AE284" s="55">
        <f>_xlfn.LET(
 _xlpm.x,
 _xlfn.MAXIFS(
  raw_stack!G$2:G$100000,
  raw_stack!D$2:D$100000, G284,
  raw_stack!F$2:F$100000, "Iya",
  raw_stack!G$2:G$100000, "&gt;="&amp;DATE(2026,3,1),
  raw_stack!G$2:G$100000, "&lt;="&amp;EOMONTH(DATE(2026,3,1),0)
 ),
 IF(_xlpm.x=0, "-", _xlpm.x)
)</f>
        <v>46091</v>
      </c>
      <c r="AF284" s="56">
        <f>_xlfn.LET(
 _xlpm.x,
 _xlfn.MAXIFS(
  raw_stack!H$2:H$100000,
  raw_stack!D$2:D$100000, G284,
  raw_stack!F$2:F$100000, "Iya",
  raw_stack!G$2:G$100000, "&gt;="&amp;DATE(2026,3,1),
  raw_stack!G$2:G$100000, "&lt;="&amp;EOMONTH(DATE(2026,3,1),0)
 ),
 IF(OR(_xlpm.x=0, _xlpm.x=""), "-", _xlpm.x)
)</f>
        <v>5678</v>
      </c>
      <c r="AG284" s="55" t="str">
        <f>_xlfn.LET(
 _xlpm.x,
 _xlfn.MAXIFS(
  raw_stack!G$2:G$100000,
  raw_stack!D$2:D$100000, G284,
  raw_stack!F$2:F$100000, "Iya",
  raw_stack!G$2:G$100000, "&gt;="&amp;DATE(2026,4,1),
  raw_stack!G$2:G$100000, "&lt;="&amp;EOMONTH(DATE(2026,4,1),0)
 ),
 IF(_xlpm.x=0, "-", _xlpm.x)
)</f>
        <v>-</v>
      </c>
      <c r="AH284" s="56" t="str">
        <f>_xlfn.LET(
 _xlpm.x,
 _xlfn.MAXIFS(
  raw_stack!H$2:H$100000,
  raw_stack!D$2:D$100000, G284,
  raw_stack!F$2:F$100000, "Iya",
  raw_stack!G$2:G$100000, "&gt;="&amp;DATE(2026,4,1),
  raw_stack!G$2:G$100000, "&lt;="&amp;EOMONTH(DATE(2026,4,1),0)
 ),
 IF(OR(_xlpm.x=0, _xlpm.x=""), "-", _xlpm.x)
)</f>
        <v>-</v>
      </c>
    </row>
    <row r="285" spans="1:34">
      <c r="A285" s="48">
        <v>284</v>
      </c>
      <c r="B285" s="49" t="str">
        <f t="shared" si="4"/>
        <v>92523</v>
      </c>
      <c r="C285" s="50" t="s">
        <v>46</v>
      </c>
      <c r="D285" s="51" t="s">
        <v>596</v>
      </c>
      <c r="E285" s="51" t="s">
        <v>47</v>
      </c>
      <c r="F285" s="49" t="s">
        <v>117</v>
      </c>
      <c r="G285" s="49" t="s">
        <v>401</v>
      </c>
      <c r="H285" s="49" t="s">
        <v>48</v>
      </c>
      <c r="I285" s="49" t="s">
        <v>49</v>
      </c>
      <c r="J285" s="52">
        <v>4525000</v>
      </c>
      <c r="K285" s="53">
        <v>45919</v>
      </c>
      <c r="L285" s="53">
        <v>47014</v>
      </c>
      <c r="M285" s="53">
        <v>46071</v>
      </c>
      <c r="N285" s="49" t="s">
        <v>50</v>
      </c>
      <c r="O285" s="54" t="str">
        <f>_xlfn.LET(
 _xlpm.x,
 _xlfn.MAXIFS(
  raw_stack!G$2:G$100000,
  raw_stack!D$2:D$100000, G285,
  raw_stack!F$2:F$100000, "Iya",
  raw_stack!G$2:G$100000, "&gt;="&amp;DATE(2025,7,1),
  raw_stack!G$2:G$100000, "&lt;="&amp;EOMONTH(DATE(2025,7,1),0)
 ),
 IF(_xlpm.x=0, "-", _xlpm.x)
)</f>
        <v>-</v>
      </c>
      <c r="P285" s="65" t="str">
        <f>_xlfn.LET(
 _xlpm.x,
 _xlfn.MAXIFS(
  raw_stack!H$2:H$100000,
  raw_stack!D$2:D$100000, G285,
  raw_stack!F$2:F$100000, "Iya",
  raw_stack!G$2:G$100000, "&gt;="&amp;DATE(2025,7,1),
  raw_stack!G$2:G$100000, "&lt;="&amp;EOMONTH(DATE(2025,7,1),0)
 ),
 IF(OR(_xlpm.x=0, _xlpm.x=""), "-", _xlpm.x)
)</f>
        <v>-</v>
      </c>
      <c r="Q285" s="54" t="str">
        <f>_xlfn.LET(
 _xlpm.x,
 _xlfn.MAXIFS(
  raw_stack!G$2:G$99411,
  raw_stack!D$2:D$99411, G285,
  raw_stack!F$2:F$99411, "Iya",
  raw_stack!G$2:G$99411, "&gt;="&amp;DATE(2025,8,1),
  raw_stack!G$2:G$99411, "&lt;="&amp;EOMONTH(DATE(2025,8,1),0)
 ),
 IF(_xlpm.x=0, "-", _xlpm.x)
)</f>
        <v>-</v>
      </c>
      <c r="R285" s="65" t="str">
        <f>_xlfn.LET(
 _xlpm.x,
 _xlfn.MAXIFS(
  raw_stack!H$2:H$100000,
  raw_stack!D$2:D$100000, G285,
  raw_stack!F$2:F$100000, "Iya",
  raw_stack!G$2:G$100000, "&gt;="&amp;DATE(2025,8,1),
  raw_stack!G$2:G$100000, "&lt;="&amp;EOMONTH(DATE(2025,8,1),0)
 ),
 IF(OR(_xlpm.x=0, _xlpm.x=""), "-", _xlpm.x)
)</f>
        <v>-</v>
      </c>
      <c r="S285" s="54">
        <f>_xlfn.LET(
 _xlpm.x,
 _xlfn.MAXIFS(
  raw_stack!G$2:G$99411,
  raw_stack!D$2:D$99411, G285,
  raw_stack!F$2:F$99411, "Iya",
  raw_stack!G$2:G$99411, "&gt;="&amp;DATE(2025,9,1),
  raw_stack!G$2:G$99411, "&lt;="&amp;EOMONTH(DATE(2025,9,1),0)
 ),
 IF(_xlpm.x=0, "-", _xlpm.x)
)</f>
        <v>45919</v>
      </c>
      <c r="T285" s="65">
        <f>_xlfn.LET(
 _xlpm.x,
 _xlfn.MAXIFS(
  raw_stack!H$2:H$100000,
  raw_stack!D$2:D$100000, G285,
  raw_stack!F$2:F$100000, "Iya",
  raw_stack!G$2:G$100000, "&gt;="&amp;DATE(2025,9,1),
  raw_stack!G$2:G$100000, "&lt;="&amp;EOMONTH(DATE(2025,9,1),0)
 ),
 IF(OR(_xlpm.x=0, _xlpm.x=""), "-", _xlpm.x)
)</f>
        <v>9549</v>
      </c>
      <c r="U285" s="54" t="str">
        <f>_xlfn.LET(
 _xlpm.x,
 _xlfn.MAXIFS(
  raw_stack!G$2:G$99411,
  raw_stack!D$2:D$99411, G285,
  raw_stack!F$2:F$99411, "Iya",
  raw_stack!G$2:G$99411, "&gt;="&amp;DATE(2025,10,1),
  raw_stack!G$2:G$99411, "&lt;="&amp;EOMONTH(DATE(2025,10,1),0)
 ),
 IF(_xlpm.x=0, "-", _xlpm.x)
)</f>
        <v>-</v>
      </c>
      <c r="V285" s="65" t="str">
        <f>_xlfn.LET(
 _xlpm.x,
 _xlfn.MAXIFS(
  raw_stack!H$2:H$100000,
  raw_stack!D$2:D$100000, G285,
  raw_stack!F$2:F$100000, "Iya",
  raw_stack!G$2:G$100000, "&gt;="&amp;DATE(2025,10,1),
  raw_stack!G$2:G$100000, "&lt;="&amp;EOMONTH(DATE(2025,10,1),0)
 ),
 IF(OR(_xlpm.x=0, _xlpm.x=""), "-", _xlpm.x)
)</f>
        <v>-</v>
      </c>
      <c r="W285" s="55" t="str">
        <f>_xlfn.LET(
 _xlpm.x,
 _xlfn.MAXIFS(
  raw_stack!G$2:G$99411,
  raw_stack!D$2:D$99411, G285,
  raw_stack!F$2:F$99411, "Iya",
  raw_stack!G$2:G$99411, "&gt;="&amp;DATE(2025,11,1),
  raw_stack!G$2:G$99411, "&lt;="&amp;EOMONTH(DATE(2025,11,1),0)
 ),
 IF(_xlpm.x=0, "-", _xlpm.x)
)</f>
        <v>-</v>
      </c>
      <c r="X285" s="56" t="str">
        <f>_xlfn.LET(
 _xlpm.x,
 _xlfn.MAXIFS(
  raw_stack!H$2:H$100000,
  raw_stack!D$2:D$100000, G285,
  raw_stack!F$2:F$100000, "Iya",
  raw_stack!G$2:G$100000, "&gt;="&amp;DATE(2025,11,1),
  raw_stack!G$2:G$100000, "&lt;="&amp;EOMONTH(DATE(2025,11,1),0)
 ),
 IF(OR(_xlpm.x=0, _xlpm.x=""), "-", _xlpm.x)
)</f>
        <v>-</v>
      </c>
      <c r="Y285" s="55" t="str">
        <f>_xlfn.LET(
 _xlpm.x,
 _xlfn.MAXIFS(
  raw_stack!G$2:G$99411,
  raw_stack!D$2:D$99411, G285,
  raw_stack!F$2:F$99411, "Iya",
  raw_stack!G$2:G$99411, "&gt;="&amp;DATE(2025,12,1),
  raw_stack!G$2:G$99411, "&lt;="&amp;EOMONTH(DATE(2025,12,1),0)
 ),
 IF(_xlpm.x=0, "-", _xlpm.x)
)</f>
        <v>-</v>
      </c>
      <c r="Z285" s="56" t="str">
        <f>_xlfn.LET(
 _xlpm.x,
 _xlfn.MAXIFS(
  raw_stack!H$2:H$100000,
  raw_stack!D$2:D$100000, G285,
  raw_stack!F$2:F$100000, "Iya",
  raw_stack!G$2:G$100000, "&gt;="&amp;DATE(2025,12,1),
  raw_stack!G$2:G$100000, "&lt;="&amp;EOMONTH(DATE(2025,12,1),0)
 ),
 IF(OR(_xlpm.x=0, _xlpm.x=""), "-", _xlpm.x)
)</f>
        <v>-</v>
      </c>
      <c r="AA285" s="55">
        <f>_xlfn.LET(
 _xlpm.x,
 _xlfn.MAXIFS(
  raw_stack!G$2:G$99411,
  raw_stack!D$2:D$99411, G285,
  raw_stack!F$2:F$99411, "Iya",
  raw_stack!G$2:G$99411, "&gt;="&amp;DATE(2026,1,1),
  raw_stack!G$2:G$99411, "&lt;="&amp;EOMONTH(DATE(2026,1,1),0)
 ),
 IF(_xlpm.x=0, "-", _xlpm.x)
)</f>
        <v>46044</v>
      </c>
      <c r="AB285" s="56">
        <f>_xlfn.LET(
 _xlpm.x,
 _xlfn.MAXIFS(
  raw_stack!H$2:H$100000,
  raw_stack!D$2:D$100000, G285,
  raw_stack!F$2:F$100000, "Iya",
  raw_stack!G$2:G$100000, "&gt;="&amp;DATE(2026,1,1),
  raw_stack!G$2:G$100000, "&lt;="&amp;EOMONTH(DATE(2026,1,1),0)
 ),
 IF(OR(_xlpm.x=0, _xlpm.x=""), "-", _xlpm.x)
)</f>
        <v>14457</v>
      </c>
      <c r="AC285" s="55" t="str">
        <f>_xlfn.LET(
 _xlpm.x,
 _xlfn.MAXIFS(
  raw_stack!G$2:G$99411,
  raw_stack!D$2:D$99411, G285,
  raw_stack!F$2:F$99411, "Iya",
  raw_stack!G$2:G$99411, "&gt;="&amp;DATE(2026,2,1),
  raw_stack!G$2:G$99411, "&lt;="&amp;EOMONTH(DATE(2026,2,1),0)
 ),
 IF(_xlpm.x=0, "-", _xlpm.x)
)</f>
        <v>-</v>
      </c>
      <c r="AD285" s="56" t="str">
        <f>_xlfn.LET(
 _xlpm.x,
 _xlfn.MAXIFS(
  raw_stack!H$2:H$100000,
  raw_stack!D$2:D$100000, G285,
  raw_stack!F$2:F$100000, "Iya",
  raw_stack!G$2:G$100000, "&gt;="&amp;DATE(2026,2,1),
  raw_stack!G$2:G$100000, "&lt;="&amp;EOMONTH(DATE(2026,2,1),0)
 ),
 IF(OR(_xlpm.x=0, _xlpm.x=""), "-", _xlpm.x)
)</f>
        <v>-</v>
      </c>
      <c r="AE285" s="55" t="str">
        <f>_xlfn.LET(
 _xlpm.x,
 _xlfn.MAXIFS(
  raw_stack!G$2:G$100000,
  raw_stack!D$2:D$100000, G285,
  raw_stack!F$2:F$100000, "Iya",
  raw_stack!G$2:G$100000, "&gt;="&amp;DATE(2026,3,1),
  raw_stack!G$2:G$100000, "&lt;="&amp;EOMONTH(DATE(2026,3,1),0)
 ),
 IF(_xlpm.x=0, "-", _xlpm.x)
)</f>
        <v>-</v>
      </c>
      <c r="AF285" s="56" t="str">
        <f>_xlfn.LET(
 _xlpm.x,
 _xlfn.MAXIFS(
  raw_stack!H$2:H$100000,
  raw_stack!D$2:D$100000, G285,
  raw_stack!F$2:F$100000, "Iya",
  raw_stack!G$2:G$100000, "&gt;="&amp;DATE(2026,3,1),
  raw_stack!G$2:G$100000, "&lt;="&amp;EOMONTH(DATE(2026,3,1),0)
 ),
 IF(OR(_xlpm.x=0, _xlpm.x=""), "-", _xlpm.x)
)</f>
        <v>-</v>
      </c>
      <c r="AG285" s="55" t="str">
        <f>_xlfn.LET(
 _xlpm.x,
 _xlfn.MAXIFS(
  raw_stack!G$2:G$100000,
  raw_stack!D$2:D$100000, G285,
  raw_stack!F$2:F$100000, "Iya",
  raw_stack!G$2:G$100000, "&gt;="&amp;DATE(2026,4,1),
  raw_stack!G$2:G$100000, "&lt;="&amp;EOMONTH(DATE(2026,4,1),0)
 ),
 IF(_xlpm.x=0, "-", _xlpm.x)
)</f>
        <v>-</v>
      </c>
      <c r="AH285" s="56" t="str">
        <f>_xlfn.LET(
 _xlpm.x,
 _xlfn.MAXIFS(
  raw_stack!H$2:H$100000,
  raw_stack!D$2:D$100000, G285,
  raw_stack!F$2:F$100000, "Iya",
  raw_stack!G$2:G$100000, "&gt;="&amp;DATE(2026,4,1),
  raw_stack!G$2:G$100000, "&lt;="&amp;EOMONTH(DATE(2026,4,1),0)
 ),
 IF(OR(_xlpm.x=0, _xlpm.x=""), "-", _xlpm.x)
)</f>
        <v>-</v>
      </c>
    </row>
    <row r="286" spans="1:34">
      <c r="A286" s="48">
        <v>285</v>
      </c>
      <c r="B286" s="49" t="str">
        <f t="shared" si="4"/>
        <v>59355</v>
      </c>
      <c r="C286" s="50" t="s">
        <v>46</v>
      </c>
      <c r="D286" s="51" t="s">
        <v>657</v>
      </c>
      <c r="E286" s="51" t="s">
        <v>47</v>
      </c>
      <c r="F286" s="49" t="s">
        <v>117</v>
      </c>
      <c r="G286" s="49" t="s">
        <v>402</v>
      </c>
      <c r="H286" s="49" t="s">
        <v>48</v>
      </c>
      <c r="I286" s="49" t="s">
        <v>49</v>
      </c>
      <c r="J286" s="52">
        <v>4475000</v>
      </c>
      <c r="K286" s="53">
        <v>45920</v>
      </c>
      <c r="L286" s="53">
        <v>47015</v>
      </c>
      <c r="M286" s="53">
        <v>46072</v>
      </c>
      <c r="N286" s="49" t="s">
        <v>50</v>
      </c>
      <c r="O286" s="54" t="str">
        <f>_xlfn.LET(
 _xlpm.x,
 _xlfn.MAXIFS(
  raw_stack!G$2:G$100000,
  raw_stack!D$2:D$100000, G286,
  raw_stack!F$2:F$100000, "Iya",
  raw_stack!G$2:G$100000, "&gt;="&amp;DATE(2025,7,1),
  raw_stack!G$2:G$100000, "&lt;="&amp;EOMONTH(DATE(2025,7,1),0)
 ),
 IF(_xlpm.x=0, "-", _xlpm.x)
)</f>
        <v>-</v>
      </c>
      <c r="P286" s="65" t="str">
        <f>_xlfn.LET(
 _xlpm.x,
 _xlfn.MAXIFS(
  raw_stack!H$2:H$100000,
  raw_stack!D$2:D$100000, G286,
  raw_stack!F$2:F$100000, "Iya",
  raw_stack!G$2:G$100000, "&gt;="&amp;DATE(2025,7,1),
  raw_stack!G$2:G$100000, "&lt;="&amp;EOMONTH(DATE(2025,7,1),0)
 ),
 IF(OR(_xlpm.x=0, _xlpm.x=""), "-", _xlpm.x)
)</f>
        <v>-</v>
      </c>
      <c r="Q286" s="54" t="str">
        <f>_xlfn.LET(
 _xlpm.x,
 _xlfn.MAXIFS(
  raw_stack!G$2:G$99411,
  raw_stack!D$2:D$99411, G286,
  raw_stack!F$2:F$99411, "Iya",
  raw_stack!G$2:G$99411, "&gt;="&amp;DATE(2025,8,1),
  raw_stack!G$2:G$99411, "&lt;="&amp;EOMONTH(DATE(2025,8,1),0)
 ),
 IF(_xlpm.x=0, "-", _xlpm.x)
)</f>
        <v>-</v>
      </c>
      <c r="R286" s="65" t="str">
        <f>_xlfn.LET(
 _xlpm.x,
 _xlfn.MAXIFS(
  raw_stack!H$2:H$100000,
  raw_stack!D$2:D$100000, G286,
  raw_stack!F$2:F$100000, "Iya",
  raw_stack!G$2:G$100000, "&gt;="&amp;DATE(2025,8,1),
  raw_stack!G$2:G$100000, "&lt;="&amp;EOMONTH(DATE(2025,8,1),0)
 ),
 IF(OR(_xlpm.x=0, _xlpm.x=""), "-", _xlpm.x)
)</f>
        <v>-</v>
      </c>
      <c r="S286" s="54">
        <f>_xlfn.LET(
 _xlpm.x,
 _xlfn.MAXIFS(
  raw_stack!G$2:G$99411,
  raw_stack!D$2:D$99411, G286,
  raw_stack!F$2:F$99411, "Iya",
  raw_stack!G$2:G$99411, "&gt;="&amp;DATE(2025,9,1),
  raw_stack!G$2:G$99411, "&lt;="&amp;EOMONTH(DATE(2025,9,1),0)
 ),
 IF(_xlpm.x=0, "-", _xlpm.x)
)</f>
        <v>45920</v>
      </c>
      <c r="T286" s="65">
        <f>_xlfn.LET(
 _xlpm.x,
 _xlfn.MAXIFS(
  raw_stack!H$2:H$100000,
  raw_stack!D$2:D$100000, G286,
  raw_stack!F$2:F$100000, "Iya",
  raw_stack!G$2:G$100000, "&gt;="&amp;DATE(2025,9,1),
  raw_stack!G$2:G$100000, "&lt;="&amp;EOMONTH(DATE(2025,9,1),0)
 ),
 IF(OR(_xlpm.x=0, _xlpm.x=""), "-", _xlpm.x)
)</f>
        <v>16474</v>
      </c>
      <c r="U286" s="54" t="str">
        <f>_xlfn.LET(
 _xlpm.x,
 _xlfn.MAXIFS(
  raw_stack!G$2:G$99411,
  raw_stack!D$2:D$99411, G286,
  raw_stack!F$2:F$99411, "Iya",
  raw_stack!G$2:G$99411, "&gt;="&amp;DATE(2025,10,1),
  raw_stack!G$2:G$99411, "&lt;="&amp;EOMONTH(DATE(2025,10,1),0)
 ),
 IF(_xlpm.x=0, "-", _xlpm.x)
)</f>
        <v>-</v>
      </c>
      <c r="V286" s="65" t="str">
        <f>_xlfn.LET(
 _xlpm.x,
 _xlfn.MAXIFS(
  raw_stack!H$2:H$100000,
  raw_stack!D$2:D$100000, G286,
  raw_stack!F$2:F$100000, "Iya",
  raw_stack!G$2:G$100000, "&gt;="&amp;DATE(2025,10,1),
  raw_stack!G$2:G$100000, "&lt;="&amp;EOMONTH(DATE(2025,10,1),0)
 ),
 IF(OR(_xlpm.x=0, _xlpm.x=""), "-", _xlpm.x)
)</f>
        <v>-</v>
      </c>
      <c r="W286" s="55" t="str">
        <f>_xlfn.LET(
 _xlpm.x,
 _xlfn.MAXIFS(
  raw_stack!G$2:G$99411,
  raw_stack!D$2:D$99411, G286,
  raw_stack!F$2:F$99411, "Iya",
  raw_stack!G$2:G$99411, "&gt;="&amp;DATE(2025,11,1),
  raw_stack!G$2:G$99411, "&lt;="&amp;EOMONTH(DATE(2025,11,1),0)
 ),
 IF(_xlpm.x=0, "-", _xlpm.x)
)</f>
        <v>-</v>
      </c>
      <c r="X286" s="56" t="str">
        <f>_xlfn.LET(
 _xlpm.x,
 _xlfn.MAXIFS(
  raw_stack!H$2:H$100000,
  raw_stack!D$2:D$100000, G286,
  raw_stack!F$2:F$100000, "Iya",
  raw_stack!G$2:G$100000, "&gt;="&amp;DATE(2025,11,1),
  raw_stack!G$2:G$100000, "&lt;="&amp;EOMONTH(DATE(2025,11,1),0)
 ),
 IF(OR(_xlpm.x=0, _xlpm.x=""), "-", _xlpm.x)
)</f>
        <v>-</v>
      </c>
      <c r="Y286" s="55" t="str">
        <f>_xlfn.LET(
 _xlpm.x,
 _xlfn.MAXIFS(
  raw_stack!G$2:G$99411,
  raw_stack!D$2:D$99411, G286,
  raw_stack!F$2:F$99411, "Iya",
  raw_stack!G$2:G$99411, "&gt;="&amp;DATE(2025,12,1),
  raw_stack!G$2:G$99411, "&lt;="&amp;EOMONTH(DATE(2025,12,1),0)
 ),
 IF(_xlpm.x=0, "-", _xlpm.x)
)</f>
        <v>-</v>
      </c>
      <c r="Z286" s="56" t="str">
        <f>_xlfn.LET(
 _xlpm.x,
 _xlfn.MAXIFS(
  raw_stack!H$2:H$100000,
  raw_stack!D$2:D$100000, G286,
  raw_stack!F$2:F$100000, "Iya",
  raw_stack!G$2:G$100000, "&gt;="&amp;DATE(2025,12,1),
  raw_stack!G$2:G$100000, "&lt;="&amp;EOMONTH(DATE(2025,12,1),0)
 ),
 IF(OR(_xlpm.x=0, _xlpm.x=""), "-", _xlpm.x)
)</f>
        <v>-</v>
      </c>
      <c r="AA286" s="55" t="str">
        <f>_xlfn.LET(
 _xlpm.x,
 _xlfn.MAXIFS(
  raw_stack!G$2:G$99411,
  raw_stack!D$2:D$99411, G286,
  raw_stack!F$2:F$99411, "Iya",
  raw_stack!G$2:G$99411, "&gt;="&amp;DATE(2026,1,1),
  raw_stack!G$2:G$99411, "&lt;="&amp;EOMONTH(DATE(2026,1,1),0)
 ),
 IF(_xlpm.x=0, "-", _xlpm.x)
)</f>
        <v>-</v>
      </c>
      <c r="AB286" s="56" t="str">
        <f>_xlfn.LET(
 _xlpm.x,
 _xlfn.MAXIFS(
  raw_stack!H$2:H$100000,
  raw_stack!D$2:D$100000, G286,
  raw_stack!F$2:F$100000, "Iya",
  raw_stack!G$2:G$100000, "&gt;="&amp;DATE(2026,1,1),
  raw_stack!G$2:G$100000, "&lt;="&amp;EOMONTH(DATE(2026,1,1),0)
 ),
 IF(OR(_xlpm.x=0, _xlpm.x=""), "-", _xlpm.x)
)</f>
        <v>-</v>
      </c>
      <c r="AC286" s="55">
        <f>_xlfn.LET(
 _xlpm.x,
 _xlfn.MAXIFS(
  raw_stack!G$2:G$99411,
  raw_stack!D$2:D$99411, G286,
  raw_stack!F$2:F$99411, "Iya",
  raw_stack!G$2:G$99411, "&gt;="&amp;DATE(2026,2,1),
  raw_stack!G$2:G$99411, "&lt;="&amp;EOMONTH(DATE(2026,2,1),0)
 ),
 IF(_xlpm.x=0, "-", _xlpm.x)
)</f>
        <v>46056</v>
      </c>
      <c r="AD286" s="56">
        <f>_xlfn.LET(
 _xlpm.x,
 _xlfn.MAXIFS(
  raw_stack!H$2:H$100000,
  raw_stack!D$2:D$100000, G286,
  raw_stack!F$2:F$100000, "Iya",
  raw_stack!G$2:G$100000, "&gt;="&amp;DATE(2026,2,1),
  raw_stack!G$2:G$100000, "&lt;="&amp;EOMONTH(DATE(2026,2,1),0)
 ),
 IF(OR(_xlpm.x=0, _xlpm.x=""), "-", _xlpm.x)
)</f>
        <v>16399</v>
      </c>
      <c r="AE286" s="55" t="str">
        <f>_xlfn.LET(
 _xlpm.x,
 _xlfn.MAXIFS(
  raw_stack!G$2:G$100000,
  raw_stack!D$2:D$100000, G286,
  raw_stack!F$2:F$100000, "Iya",
  raw_stack!G$2:G$100000, "&gt;="&amp;DATE(2026,3,1),
  raw_stack!G$2:G$100000, "&lt;="&amp;EOMONTH(DATE(2026,3,1),0)
 ),
 IF(_xlpm.x=0, "-", _xlpm.x)
)</f>
        <v>-</v>
      </c>
      <c r="AF286" s="56" t="str">
        <f>_xlfn.LET(
 _xlpm.x,
 _xlfn.MAXIFS(
  raw_stack!H$2:H$100000,
  raw_stack!D$2:D$100000, G286,
  raw_stack!F$2:F$100000, "Iya",
  raw_stack!G$2:G$100000, "&gt;="&amp;DATE(2026,3,1),
  raw_stack!G$2:G$100000, "&lt;="&amp;EOMONTH(DATE(2026,3,1),0)
 ),
 IF(OR(_xlpm.x=0, _xlpm.x=""), "-", _xlpm.x)
)</f>
        <v>-</v>
      </c>
      <c r="AG286" s="55" t="str">
        <f>_xlfn.LET(
 _xlpm.x,
 _xlfn.MAXIFS(
  raw_stack!G$2:G$100000,
  raw_stack!D$2:D$100000, G286,
  raw_stack!F$2:F$100000, "Iya",
  raw_stack!G$2:G$100000, "&gt;="&amp;DATE(2026,4,1),
  raw_stack!G$2:G$100000, "&lt;="&amp;EOMONTH(DATE(2026,4,1),0)
 ),
 IF(_xlpm.x=0, "-", _xlpm.x)
)</f>
        <v>-</v>
      </c>
      <c r="AH286" s="56" t="str">
        <f>_xlfn.LET(
 _xlpm.x,
 _xlfn.MAXIFS(
  raw_stack!H$2:H$100000,
  raw_stack!D$2:D$100000, G286,
  raw_stack!F$2:F$100000, "Iya",
  raw_stack!G$2:G$100000, "&gt;="&amp;DATE(2026,4,1),
  raw_stack!G$2:G$100000, "&lt;="&amp;EOMONTH(DATE(2026,4,1),0)
 ),
 IF(OR(_xlpm.x=0, _xlpm.x=""), "-", _xlpm.x)
)</f>
        <v>-</v>
      </c>
    </row>
    <row r="287" spans="1:34">
      <c r="A287" s="48">
        <v>286</v>
      </c>
      <c r="B287" s="49" t="str">
        <f t="shared" si="4"/>
        <v>28292</v>
      </c>
      <c r="C287" s="50" t="s">
        <v>46</v>
      </c>
      <c r="D287" s="51" t="s">
        <v>685</v>
      </c>
      <c r="E287" s="51" t="s">
        <v>54</v>
      </c>
      <c r="F287" s="49" t="s">
        <v>117</v>
      </c>
      <c r="G287" s="49" t="s">
        <v>403</v>
      </c>
      <c r="H287" s="49" t="s">
        <v>48</v>
      </c>
      <c r="I287" s="49" t="s">
        <v>52</v>
      </c>
      <c r="J287" s="52">
        <v>6600000</v>
      </c>
      <c r="K287" s="53">
        <v>45930</v>
      </c>
      <c r="L287" s="53">
        <v>47025</v>
      </c>
      <c r="M287" s="53">
        <v>46051</v>
      </c>
      <c r="N287" s="49" t="s">
        <v>50</v>
      </c>
      <c r="O287" s="54" t="str">
        <f>_xlfn.LET(
 _xlpm.x,
 _xlfn.MAXIFS(
  raw_stack!G$2:G$100000,
  raw_stack!D$2:D$100000, G287,
  raw_stack!F$2:F$100000, "Iya",
  raw_stack!G$2:G$100000, "&gt;="&amp;DATE(2025,7,1),
  raw_stack!G$2:G$100000, "&lt;="&amp;EOMONTH(DATE(2025,7,1),0)
 ),
 IF(_xlpm.x=0, "-", _xlpm.x)
)</f>
        <v>-</v>
      </c>
      <c r="P287" s="65" t="str">
        <f>_xlfn.LET(
 _xlpm.x,
 _xlfn.MAXIFS(
  raw_stack!H$2:H$100000,
  raw_stack!D$2:D$100000, G287,
  raw_stack!F$2:F$100000, "Iya",
  raw_stack!G$2:G$100000, "&gt;="&amp;DATE(2025,7,1),
  raw_stack!G$2:G$100000, "&lt;="&amp;EOMONTH(DATE(2025,7,1),0)
 ),
 IF(OR(_xlpm.x=0, _xlpm.x=""), "-", _xlpm.x)
)</f>
        <v>-</v>
      </c>
      <c r="Q287" s="54" t="str">
        <f>_xlfn.LET(
 _xlpm.x,
 _xlfn.MAXIFS(
  raw_stack!G$2:G$99411,
  raw_stack!D$2:D$99411, G287,
  raw_stack!F$2:F$99411, "Iya",
  raw_stack!G$2:G$99411, "&gt;="&amp;DATE(2025,8,1),
  raw_stack!G$2:G$99411, "&lt;="&amp;EOMONTH(DATE(2025,8,1),0)
 ),
 IF(_xlpm.x=0, "-", _xlpm.x)
)</f>
        <v>-</v>
      </c>
      <c r="R287" s="65" t="str">
        <f>_xlfn.LET(
 _xlpm.x,
 _xlfn.MAXIFS(
  raw_stack!H$2:H$100000,
  raw_stack!D$2:D$100000, G287,
  raw_stack!F$2:F$100000, "Iya",
  raw_stack!G$2:G$100000, "&gt;="&amp;DATE(2025,8,1),
  raw_stack!G$2:G$100000, "&lt;="&amp;EOMONTH(DATE(2025,8,1),0)
 ),
 IF(OR(_xlpm.x=0, _xlpm.x=""), "-", _xlpm.x)
)</f>
        <v>-</v>
      </c>
      <c r="S287" s="54" t="str">
        <f>_xlfn.LET(
 _xlpm.x,
 _xlfn.MAXIFS(
  raw_stack!G$2:G$99411,
  raw_stack!D$2:D$99411, G287,
  raw_stack!F$2:F$99411, "Iya",
  raw_stack!G$2:G$99411, "&gt;="&amp;DATE(2025,9,1),
  raw_stack!G$2:G$99411, "&lt;="&amp;EOMONTH(DATE(2025,9,1),0)
 ),
 IF(_xlpm.x=0, "-", _xlpm.x)
)</f>
        <v>-</v>
      </c>
      <c r="T287" s="65" t="str">
        <f>_xlfn.LET(
 _xlpm.x,
 _xlfn.MAXIFS(
  raw_stack!H$2:H$100000,
  raw_stack!D$2:D$100000, G287,
  raw_stack!F$2:F$100000, "Iya",
  raw_stack!G$2:G$100000, "&gt;="&amp;DATE(2025,9,1),
  raw_stack!G$2:G$100000, "&lt;="&amp;EOMONTH(DATE(2025,9,1),0)
 ),
 IF(OR(_xlpm.x=0, _xlpm.x=""), "-", _xlpm.x)
)</f>
        <v>-</v>
      </c>
      <c r="U287" s="54">
        <f>_xlfn.LET(
 _xlpm.x,
 _xlfn.MAXIFS(
  raw_stack!G$2:G$99411,
  raw_stack!D$2:D$99411, G287,
  raw_stack!F$2:F$99411, "Iya",
  raw_stack!G$2:G$99411, "&gt;="&amp;DATE(2025,10,1),
  raw_stack!G$2:G$99411, "&lt;="&amp;EOMONTH(DATE(2025,10,1),0)
 ),
 IF(_xlpm.x=0, "-", _xlpm.x)
)</f>
        <v>45951</v>
      </c>
      <c r="V287" s="65">
        <f>_xlfn.LET(
 _xlpm.x,
 _xlfn.MAXIFS(
  raw_stack!H$2:H$100000,
  raw_stack!D$2:D$100000, G287,
  raw_stack!F$2:F$100000, "Iya",
  raw_stack!G$2:G$100000, "&gt;="&amp;DATE(2025,10,1),
  raw_stack!G$2:G$100000, "&lt;="&amp;EOMONTH(DATE(2025,10,1),0)
 ),
 IF(OR(_xlpm.x=0, _xlpm.x=""), "-", _xlpm.x)
)</f>
        <v>1993</v>
      </c>
      <c r="W287" s="55">
        <f>_xlfn.LET(
 _xlpm.x,
 _xlfn.MAXIFS(
  raw_stack!G$2:G$99411,
  raw_stack!D$2:D$99411, G287,
  raw_stack!F$2:F$99411, "Iya",
  raw_stack!G$2:G$99411, "&gt;="&amp;DATE(2025,11,1),
  raw_stack!G$2:G$99411, "&lt;="&amp;EOMONTH(DATE(2025,11,1),0)
 ),
 IF(_xlpm.x=0, "-", _xlpm.x)
)</f>
        <v>45986</v>
      </c>
      <c r="X287" s="56">
        <f>_xlfn.LET(
 _xlpm.x,
 _xlfn.MAXIFS(
  raw_stack!H$2:H$100000,
  raw_stack!D$2:D$100000, G287,
  raw_stack!F$2:F$100000, "Iya",
  raw_stack!G$2:G$100000, "&gt;="&amp;DATE(2025,11,1),
  raw_stack!G$2:G$100000, "&lt;="&amp;EOMONTH(DATE(2025,11,1),0)
 ),
 IF(OR(_xlpm.x=0, _xlpm.x=""), "-", _xlpm.x)
)</f>
        <v>2692</v>
      </c>
      <c r="Y287" s="55">
        <f>_xlfn.LET(
 _xlpm.x,
 _xlfn.MAXIFS(
  raw_stack!G$2:G$99411,
  raw_stack!D$2:D$99411, G287,
  raw_stack!F$2:F$99411, "Iya",
  raw_stack!G$2:G$99411, "&gt;="&amp;DATE(2025,12,1),
  raw_stack!G$2:G$99411, "&lt;="&amp;EOMONTH(DATE(2025,12,1),0)
 ),
 IF(_xlpm.x=0, "-", _xlpm.x)
)</f>
        <v>46001</v>
      </c>
      <c r="Z287" s="56">
        <f>_xlfn.LET(
 _xlpm.x,
 _xlfn.MAXIFS(
  raw_stack!H$2:H$100000,
  raw_stack!D$2:D$100000, G287,
  raw_stack!F$2:F$100000, "Iya",
  raw_stack!G$2:G$100000, "&gt;="&amp;DATE(2025,12,1),
  raw_stack!G$2:G$100000, "&lt;="&amp;EOMONTH(DATE(2025,12,1),0)
 ),
 IF(OR(_xlpm.x=0, _xlpm.x=""), "-", _xlpm.x)
)</f>
        <v>3001</v>
      </c>
      <c r="AA287" s="55" t="str">
        <f>_xlfn.LET(
 _xlpm.x,
 _xlfn.MAXIFS(
  raw_stack!G$2:G$99411,
  raw_stack!D$2:D$99411, G287,
  raw_stack!F$2:F$99411, "Iya",
  raw_stack!G$2:G$99411, "&gt;="&amp;DATE(2026,1,1),
  raw_stack!G$2:G$99411, "&lt;="&amp;EOMONTH(DATE(2026,1,1),0)
 ),
 IF(_xlpm.x=0, "-", _xlpm.x)
)</f>
        <v>-</v>
      </c>
      <c r="AB287" s="56" t="str">
        <f>_xlfn.LET(
 _xlpm.x,
 _xlfn.MAXIFS(
  raw_stack!H$2:H$100000,
  raw_stack!D$2:D$100000, G287,
  raw_stack!F$2:F$100000, "Iya",
  raw_stack!G$2:G$100000, "&gt;="&amp;DATE(2026,1,1),
  raw_stack!G$2:G$100000, "&lt;="&amp;EOMONTH(DATE(2026,1,1),0)
 ),
 IF(OR(_xlpm.x=0, _xlpm.x=""), "-", _xlpm.x)
)</f>
        <v>-</v>
      </c>
      <c r="AC287" s="55" t="str">
        <f>_xlfn.LET(
 _xlpm.x,
 _xlfn.MAXIFS(
  raw_stack!G$2:G$99411,
  raw_stack!D$2:D$99411, G287,
  raw_stack!F$2:F$99411, "Iya",
  raw_stack!G$2:G$99411, "&gt;="&amp;DATE(2026,2,1),
  raw_stack!G$2:G$99411, "&lt;="&amp;EOMONTH(DATE(2026,2,1),0)
 ),
 IF(_xlpm.x=0, "-", _xlpm.x)
)</f>
        <v>-</v>
      </c>
      <c r="AD287" s="56" t="str">
        <f>_xlfn.LET(
 _xlpm.x,
 _xlfn.MAXIFS(
  raw_stack!H$2:H$100000,
  raw_stack!D$2:D$100000, G287,
  raw_stack!F$2:F$100000, "Iya",
  raw_stack!G$2:G$100000, "&gt;="&amp;DATE(2026,2,1),
  raw_stack!G$2:G$100000, "&lt;="&amp;EOMONTH(DATE(2026,2,1),0)
 ),
 IF(OR(_xlpm.x=0, _xlpm.x=""), "-", _xlpm.x)
)</f>
        <v>-</v>
      </c>
      <c r="AE287" s="55">
        <f>_xlfn.LET(
 _xlpm.x,
 _xlfn.MAXIFS(
  raw_stack!G$2:G$100000,
  raw_stack!D$2:D$100000, G287,
  raw_stack!F$2:F$100000, "Iya",
  raw_stack!G$2:G$100000, "&gt;="&amp;DATE(2026,3,1),
  raw_stack!G$2:G$100000, "&lt;="&amp;EOMONTH(DATE(2026,3,1),0)
 ),
 IF(_xlpm.x=0, "-", _xlpm.x)
)</f>
        <v>46092</v>
      </c>
      <c r="AF287" s="56">
        <f>_xlfn.LET(
 _xlpm.x,
 _xlfn.MAXIFS(
  raw_stack!H$2:H$100000,
  raw_stack!D$2:D$100000, G287,
  raw_stack!F$2:F$100000, "Iya",
  raw_stack!G$2:G$100000, "&gt;="&amp;DATE(2026,3,1),
  raw_stack!G$2:G$100000, "&lt;="&amp;EOMONTH(DATE(2026,3,1),0)
 ),
 IF(OR(_xlpm.x=0, _xlpm.x=""), "-", _xlpm.x)
)</f>
        <v>4194</v>
      </c>
      <c r="AG287" s="55" t="str">
        <f>_xlfn.LET(
 _xlpm.x,
 _xlfn.MAXIFS(
  raw_stack!G$2:G$100000,
  raw_stack!D$2:D$100000, G287,
  raw_stack!F$2:F$100000, "Iya",
  raw_stack!G$2:G$100000, "&gt;="&amp;DATE(2026,4,1),
  raw_stack!G$2:G$100000, "&lt;="&amp;EOMONTH(DATE(2026,4,1),0)
 ),
 IF(_xlpm.x=0, "-", _xlpm.x)
)</f>
        <v>-</v>
      </c>
      <c r="AH287" s="56" t="str">
        <f>_xlfn.LET(
 _xlpm.x,
 _xlfn.MAXIFS(
  raw_stack!H$2:H$100000,
  raw_stack!D$2:D$100000, G287,
  raw_stack!F$2:F$100000, "Iya",
  raw_stack!G$2:G$100000, "&gt;="&amp;DATE(2026,4,1),
  raw_stack!G$2:G$100000, "&lt;="&amp;EOMONTH(DATE(2026,4,1),0)
 ),
 IF(OR(_xlpm.x=0, _xlpm.x=""), "-", _xlpm.x)
)</f>
        <v>-</v>
      </c>
    </row>
    <row r="288" spans="1:34">
      <c r="A288" s="48">
        <v>287</v>
      </c>
      <c r="B288" s="49" t="str">
        <f t="shared" si="4"/>
        <v>27732</v>
      </c>
      <c r="C288" s="50" t="s">
        <v>46</v>
      </c>
      <c r="D288" s="51" t="s">
        <v>686</v>
      </c>
      <c r="E288" s="51" t="s">
        <v>51</v>
      </c>
      <c r="F288" s="49" t="s">
        <v>117</v>
      </c>
      <c r="G288" s="49" t="s">
        <v>404</v>
      </c>
      <c r="H288" s="49" t="s">
        <v>48</v>
      </c>
      <c r="I288" s="49" t="s">
        <v>52</v>
      </c>
      <c r="J288" s="52">
        <v>3880000</v>
      </c>
      <c r="K288" s="53">
        <v>45931</v>
      </c>
      <c r="L288" s="53">
        <v>47026</v>
      </c>
      <c r="M288" s="53">
        <v>46081</v>
      </c>
      <c r="N288" s="49" t="s">
        <v>50</v>
      </c>
      <c r="O288" s="54" t="str">
        <f>_xlfn.LET(
 _xlpm.x,
 _xlfn.MAXIFS(
  raw_stack!G$2:G$100000,
  raw_stack!D$2:D$100000, G288,
  raw_stack!F$2:F$100000, "Iya",
  raw_stack!G$2:G$100000, "&gt;="&amp;DATE(2025,7,1),
  raw_stack!G$2:G$100000, "&lt;="&amp;EOMONTH(DATE(2025,7,1),0)
 ),
 IF(_xlpm.x=0, "-", _xlpm.x)
)</f>
        <v>-</v>
      </c>
      <c r="P288" s="65" t="str">
        <f>_xlfn.LET(
 _xlpm.x,
 _xlfn.MAXIFS(
  raw_stack!H$2:H$100000,
  raw_stack!D$2:D$100000, G288,
  raw_stack!F$2:F$100000, "Iya",
  raw_stack!G$2:G$100000, "&gt;="&amp;DATE(2025,7,1),
  raw_stack!G$2:G$100000, "&lt;="&amp;EOMONTH(DATE(2025,7,1),0)
 ),
 IF(OR(_xlpm.x=0, _xlpm.x=""), "-", _xlpm.x)
)</f>
        <v>-</v>
      </c>
      <c r="Q288" s="54" t="str">
        <f>_xlfn.LET(
 _xlpm.x,
 _xlfn.MAXIFS(
  raw_stack!G$2:G$99411,
  raw_stack!D$2:D$99411, G288,
  raw_stack!F$2:F$99411, "Iya",
  raw_stack!G$2:G$99411, "&gt;="&amp;DATE(2025,8,1),
  raw_stack!G$2:G$99411, "&lt;="&amp;EOMONTH(DATE(2025,8,1),0)
 ),
 IF(_xlpm.x=0, "-", _xlpm.x)
)</f>
        <v>-</v>
      </c>
      <c r="R288" s="65" t="str">
        <f>_xlfn.LET(
 _xlpm.x,
 _xlfn.MAXIFS(
  raw_stack!H$2:H$100000,
  raw_stack!D$2:D$100000, G288,
  raw_stack!F$2:F$100000, "Iya",
  raw_stack!G$2:G$100000, "&gt;="&amp;DATE(2025,8,1),
  raw_stack!G$2:G$100000, "&lt;="&amp;EOMONTH(DATE(2025,8,1),0)
 ),
 IF(OR(_xlpm.x=0, _xlpm.x=""), "-", _xlpm.x)
)</f>
        <v>-</v>
      </c>
      <c r="S288" s="54" t="str">
        <f>_xlfn.LET(
 _xlpm.x,
 _xlfn.MAXIFS(
  raw_stack!G$2:G$99411,
  raw_stack!D$2:D$99411, G288,
  raw_stack!F$2:F$99411, "Iya",
  raw_stack!G$2:G$99411, "&gt;="&amp;DATE(2025,9,1),
  raw_stack!G$2:G$99411, "&lt;="&amp;EOMONTH(DATE(2025,9,1),0)
 ),
 IF(_xlpm.x=0, "-", _xlpm.x)
)</f>
        <v>-</v>
      </c>
      <c r="T288" s="65" t="str">
        <f>_xlfn.LET(
 _xlpm.x,
 _xlfn.MAXIFS(
  raw_stack!H$2:H$100000,
  raw_stack!D$2:D$100000, G288,
  raw_stack!F$2:F$100000, "Iya",
  raw_stack!G$2:G$100000, "&gt;="&amp;DATE(2025,9,1),
  raw_stack!G$2:G$100000, "&lt;="&amp;EOMONTH(DATE(2025,9,1),0)
 ),
 IF(OR(_xlpm.x=0, _xlpm.x=""), "-", _xlpm.x)
)</f>
        <v>-</v>
      </c>
      <c r="U288" s="54" t="str">
        <f>_xlfn.LET(
 _xlpm.x,
 _xlfn.MAXIFS(
  raw_stack!G$2:G$99411,
  raw_stack!D$2:D$99411, G288,
  raw_stack!F$2:F$99411, "Iya",
  raw_stack!G$2:G$99411, "&gt;="&amp;DATE(2025,10,1),
  raw_stack!G$2:G$99411, "&lt;="&amp;EOMONTH(DATE(2025,10,1),0)
 ),
 IF(_xlpm.x=0, "-", _xlpm.x)
)</f>
        <v>-</v>
      </c>
      <c r="V288" s="65" t="str">
        <f>_xlfn.LET(
 _xlpm.x,
 _xlfn.MAXIFS(
  raw_stack!H$2:H$100000,
  raw_stack!D$2:D$100000, G288,
  raw_stack!F$2:F$100000, "Iya",
  raw_stack!G$2:G$100000, "&gt;="&amp;DATE(2025,10,1),
  raw_stack!G$2:G$100000, "&lt;="&amp;EOMONTH(DATE(2025,10,1),0)
 ),
 IF(OR(_xlpm.x=0, _xlpm.x=""), "-", _xlpm.x)
)</f>
        <v>-</v>
      </c>
      <c r="W288" s="55" t="str">
        <f>_xlfn.LET(
 _xlpm.x,
 _xlfn.MAXIFS(
  raw_stack!G$2:G$99411,
  raw_stack!D$2:D$99411, G288,
  raw_stack!F$2:F$99411, "Iya",
  raw_stack!G$2:G$99411, "&gt;="&amp;DATE(2025,11,1),
  raw_stack!G$2:G$99411, "&lt;="&amp;EOMONTH(DATE(2025,11,1),0)
 ),
 IF(_xlpm.x=0, "-", _xlpm.x)
)</f>
        <v>-</v>
      </c>
      <c r="X288" s="56" t="str">
        <f>_xlfn.LET(
 _xlpm.x,
 _xlfn.MAXIFS(
  raw_stack!H$2:H$100000,
  raw_stack!D$2:D$100000, G288,
  raw_stack!F$2:F$100000, "Iya",
  raw_stack!G$2:G$100000, "&gt;="&amp;DATE(2025,11,1),
  raw_stack!G$2:G$100000, "&lt;="&amp;EOMONTH(DATE(2025,11,1),0)
 ),
 IF(OR(_xlpm.x=0, _xlpm.x=""), "-", _xlpm.x)
)</f>
        <v>-</v>
      </c>
      <c r="Y288" s="55" t="str">
        <f>_xlfn.LET(
 _xlpm.x,
 _xlfn.MAXIFS(
  raw_stack!G$2:G$99411,
  raw_stack!D$2:D$99411, G288,
  raw_stack!F$2:F$99411, "Iya",
  raw_stack!G$2:G$99411, "&gt;="&amp;DATE(2025,12,1),
  raw_stack!G$2:G$99411, "&lt;="&amp;EOMONTH(DATE(2025,12,1),0)
 ),
 IF(_xlpm.x=0, "-", _xlpm.x)
)</f>
        <v>-</v>
      </c>
      <c r="Z288" s="56" t="str">
        <f>_xlfn.LET(
 _xlpm.x,
 _xlfn.MAXIFS(
  raw_stack!H$2:H$100000,
  raw_stack!D$2:D$100000, G288,
  raw_stack!F$2:F$100000, "Iya",
  raw_stack!G$2:G$100000, "&gt;="&amp;DATE(2025,12,1),
  raw_stack!G$2:G$100000, "&lt;="&amp;EOMONTH(DATE(2025,12,1),0)
 ),
 IF(OR(_xlpm.x=0, _xlpm.x=""), "-", _xlpm.x)
)</f>
        <v>-</v>
      </c>
      <c r="AA288" s="55" t="str">
        <f>_xlfn.LET(
 _xlpm.x,
 _xlfn.MAXIFS(
  raw_stack!G$2:G$99411,
  raw_stack!D$2:D$99411, G288,
  raw_stack!F$2:F$99411, "Iya",
  raw_stack!G$2:G$99411, "&gt;="&amp;DATE(2026,1,1),
  raw_stack!G$2:G$99411, "&lt;="&amp;EOMONTH(DATE(2026,1,1),0)
 ),
 IF(_xlpm.x=0, "-", _xlpm.x)
)</f>
        <v>-</v>
      </c>
      <c r="AB288" s="56" t="str">
        <f>_xlfn.LET(
 _xlpm.x,
 _xlfn.MAXIFS(
  raw_stack!H$2:H$100000,
  raw_stack!D$2:D$100000, G288,
  raw_stack!F$2:F$100000, "Iya",
  raw_stack!G$2:G$100000, "&gt;="&amp;DATE(2026,1,1),
  raw_stack!G$2:G$100000, "&lt;="&amp;EOMONTH(DATE(2026,1,1),0)
 ),
 IF(OR(_xlpm.x=0, _xlpm.x=""), "-", _xlpm.x)
)</f>
        <v>-</v>
      </c>
      <c r="AC288" s="55">
        <f>_xlfn.LET(
 _xlpm.x,
 _xlfn.MAXIFS(
  raw_stack!G$2:G$99411,
  raw_stack!D$2:D$99411, G288,
  raw_stack!F$2:F$99411, "Iya",
  raw_stack!G$2:G$99411, "&gt;="&amp;DATE(2026,2,1),
  raw_stack!G$2:G$99411, "&lt;="&amp;EOMONTH(DATE(2026,2,1),0)
 ),
 IF(_xlpm.x=0, "-", _xlpm.x)
)</f>
        <v>46073</v>
      </c>
      <c r="AD288" s="56">
        <f>_xlfn.LET(
 _xlpm.x,
 _xlfn.MAXIFS(
  raw_stack!H$2:H$100000,
  raw_stack!D$2:D$100000, G288,
  raw_stack!F$2:F$100000, "Iya",
  raw_stack!G$2:G$100000, "&gt;="&amp;DATE(2026,2,1),
  raw_stack!G$2:G$100000, "&lt;="&amp;EOMONTH(DATE(2026,2,1),0)
 ),
 IF(OR(_xlpm.x=0, _xlpm.x=""), "-", _xlpm.x)
)</f>
        <v>11984</v>
      </c>
      <c r="AE288" s="55" t="str">
        <f>_xlfn.LET(
 _xlpm.x,
 _xlfn.MAXIFS(
  raw_stack!G$2:G$100000,
  raw_stack!D$2:D$100000, G288,
  raw_stack!F$2:F$100000, "Iya",
  raw_stack!G$2:G$100000, "&gt;="&amp;DATE(2026,3,1),
  raw_stack!G$2:G$100000, "&lt;="&amp;EOMONTH(DATE(2026,3,1),0)
 ),
 IF(_xlpm.x=0, "-", _xlpm.x)
)</f>
        <v>-</v>
      </c>
      <c r="AF288" s="56" t="str">
        <f>_xlfn.LET(
 _xlpm.x,
 _xlfn.MAXIFS(
  raw_stack!H$2:H$100000,
  raw_stack!D$2:D$100000, G288,
  raw_stack!F$2:F$100000, "Iya",
  raw_stack!G$2:G$100000, "&gt;="&amp;DATE(2026,3,1),
  raw_stack!G$2:G$100000, "&lt;="&amp;EOMONTH(DATE(2026,3,1),0)
 ),
 IF(OR(_xlpm.x=0, _xlpm.x=""), "-", _xlpm.x)
)</f>
        <v>-</v>
      </c>
      <c r="AG288" s="55" t="str">
        <f>_xlfn.LET(
 _xlpm.x,
 _xlfn.MAXIFS(
  raw_stack!G$2:G$100000,
  raw_stack!D$2:D$100000, G288,
  raw_stack!F$2:F$100000, "Iya",
  raw_stack!G$2:G$100000, "&gt;="&amp;DATE(2026,4,1),
  raw_stack!G$2:G$100000, "&lt;="&amp;EOMONTH(DATE(2026,4,1),0)
 ),
 IF(_xlpm.x=0, "-", _xlpm.x)
)</f>
        <v>-</v>
      </c>
      <c r="AH288" s="56" t="str">
        <f>_xlfn.LET(
 _xlpm.x,
 _xlfn.MAXIFS(
  raw_stack!H$2:H$100000,
  raw_stack!D$2:D$100000, G288,
  raw_stack!F$2:F$100000, "Iya",
  raw_stack!G$2:G$100000, "&gt;="&amp;DATE(2026,4,1),
  raw_stack!G$2:G$100000, "&lt;="&amp;EOMONTH(DATE(2026,4,1),0)
 ),
 IF(OR(_xlpm.x=0, _xlpm.x=""), "-", _xlpm.x)
)</f>
        <v>-</v>
      </c>
    </row>
    <row r="289" spans="1:34">
      <c r="A289" s="48">
        <v>288</v>
      </c>
      <c r="B289" s="49" t="str">
        <f t="shared" si="4"/>
        <v>19704</v>
      </c>
      <c r="C289" s="50" t="s">
        <v>46</v>
      </c>
      <c r="D289" s="51" t="s">
        <v>557</v>
      </c>
      <c r="E289" s="51" t="s">
        <v>54</v>
      </c>
      <c r="F289" s="49" t="s">
        <v>117</v>
      </c>
      <c r="G289" s="49" t="s">
        <v>405</v>
      </c>
      <c r="H289" s="49" t="s">
        <v>48</v>
      </c>
      <c r="I289" s="49" t="s">
        <v>52</v>
      </c>
      <c r="J289" s="52">
        <v>6600000</v>
      </c>
      <c r="K289" s="53">
        <v>45932</v>
      </c>
      <c r="L289" s="53">
        <v>47027</v>
      </c>
      <c r="M289" s="53">
        <v>46054</v>
      </c>
      <c r="N289" s="49" t="s">
        <v>50</v>
      </c>
      <c r="O289" s="54">
        <f>_xlfn.LET(
 _xlpm.x,
 _xlfn.MAXIFS(
  raw_stack!G$2:G$100000,
  raw_stack!D$2:D$100000, G289,
  raw_stack!F$2:F$100000, "Iya",
  raw_stack!G$2:G$100000, "&gt;="&amp;DATE(2025,7,1),
  raw_stack!G$2:G$100000, "&lt;="&amp;EOMONTH(DATE(2025,7,1),0)
 ),
 IF(_xlpm.x=0, "-", _xlpm.x)
)</f>
        <v>45839</v>
      </c>
      <c r="P289" s="65">
        <f>_xlfn.LET(
 _xlpm.x,
 _xlfn.MAXIFS(
  raw_stack!H$2:H$100000,
  raw_stack!D$2:D$100000, G289,
  raw_stack!F$2:F$100000, "Iya",
  raw_stack!G$2:G$100000, "&gt;="&amp;DATE(2025,7,1),
  raw_stack!G$2:G$100000, "&lt;="&amp;EOMONTH(DATE(2025,7,1),0)
 ),
 IF(OR(_xlpm.x=0, _xlpm.x=""), "-", _xlpm.x)
)</f>
        <v>3349</v>
      </c>
      <c r="Q289" s="54" t="str">
        <f>_xlfn.LET(
 _xlpm.x,
 _xlfn.MAXIFS(
  raw_stack!G$2:G$99411,
  raw_stack!D$2:D$99411, G289,
  raw_stack!F$2:F$99411, "Iya",
  raw_stack!G$2:G$99411, "&gt;="&amp;DATE(2025,8,1),
  raw_stack!G$2:G$99411, "&lt;="&amp;EOMONTH(DATE(2025,8,1),0)
 ),
 IF(_xlpm.x=0, "-", _xlpm.x)
)</f>
        <v>-</v>
      </c>
      <c r="R289" s="65" t="str">
        <f>_xlfn.LET(
 _xlpm.x,
 _xlfn.MAXIFS(
  raw_stack!H$2:H$100000,
  raw_stack!D$2:D$100000, G289,
  raw_stack!F$2:F$100000, "Iya",
  raw_stack!G$2:G$100000, "&gt;="&amp;DATE(2025,8,1),
  raw_stack!G$2:G$100000, "&lt;="&amp;EOMONTH(DATE(2025,8,1),0)
 ),
 IF(OR(_xlpm.x=0, _xlpm.x=""), "-", _xlpm.x)
)</f>
        <v>-</v>
      </c>
      <c r="S289" s="54" t="str">
        <f>_xlfn.LET(
 _xlpm.x,
 _xlfn.MAXIFS(
  raw_stack!G$2:G$99411,
  raw_stack!D$2:D$99411, G289,
  raw_stack!F$2:F$99411, "Iya",
  raw_stack!G$2:G$99411, "&gt;="&amp;DATE(2025,9,1),
  raw_stack!G$2:G$99411, "&lt;="&amp;EOMONTH(DATE(2025,9,1),0)
 ),
 IF(_xlpm.x=0, "-", _xlpm.x)
)</f>
        <v>-</v>
      </c>
      <c r="T289" s="65" t="str">
        <f>_xlfn.LET(
 _xlpm.x,
 _xlfn.MAXIFS(
  raw_stack!H$2:H$100000,
  raw_stack!D$2:D$100000, G289,
  raw_stack!F$2:F$100000, "Iya",
  raw_stack!G$2:G$100000, "&gt;="&amp;DATE(2025,9,1),
  raw_stack!G$2:G$100000, "&lt;="&amp;EOMONTH(DATE(2025,9,1),0)
 ),
 IF(OR(_xlpm.x=0, _xlpm.x=""), "-", _xlpm.x)
)</f>
        <v>-</v>
      </c>
      <c r="U289" s="54" t="str">
        <f>_xlfn.LET(
 _xlpm.x,
 _xlfn.MAXIFS(
  raw_stack!G$2:G$99411,
  raw_stack!D$2:D$99411, G289,
  raw_stack!F$2:F$99411, "Iya",
  raw_stack!G$2:G$99411, "&gt;="&amp;DATE(2025,10,1),
  raw_stack!G$2:G$99411, "&lt;="&amp;EOMONTH(DATE(2025,10,1),0)
 ),
 IF(_xlpm.x=0, "-", _xlpm.x)
)</f>
        <v>-</v>
      </c>
      <c r="V289" s="65" t="str">
        <f>_xlfn.LET(
 _xlpm.x,
 _xlfn.MAXIFS(
  raw_stack!H$2:H$100000,
  raw_stack!D$2:D$100000, G289,
  raw_stack!F$2:F$100000, "Iya",
  raw_stack!G$2:G$100000, "&gt;="&amp;DATE(2025,10,1),
  raw_stack!G$2:G$100000, "&lt;="&amp;EOMONTH(DATE(2025,10,1),0)
 ),
 IF(OR(_xlpm.x=0, _xlpm.x=""), "-", _xlpm.x)
)</f>
        <v>-</v>
      </c>
      <c r="W289" s="55">
        <f>_xlfn.LET(
 _xlpm.x,
 _xlfn.MAXIFS(
  raw_stack!G$2:G$99411,
  raw_stack!D$2:D$99411, G289,
  raw_stack!F$2:F$99411, "Iya",
  raw_stack!G$2:G$99411, "&gt;="&amp;DATE(2025,11,1),
  raw_stack!G$2:G$99411, "&lt;="&amp;EOMONTH(DATE(2025,11,1),0)
 ),
 IF(_xlpm.x=0, "-", _xlpm.x)
)</f>
        <v>45989</v>
      </c>
      <c r="X289" s="56">
        <f>_xlfn.LET(
 _xlpm.x,
 _xlfn.MAXIFS(
  raw_stack!H$2:H$100000,
  raw_stack!D$2:D$100000, G289,
  raw_stack!F$2:F$100000, "Iya",
  raw_stack!G$2:G$100000, "&gt;="&amp;DATE(2025,11,1),
  raw_stack!G$2:G$100000, "&lt;="&amp;EOMONTH(DATE(2025,11,1),0)
 ),
 IF(OR(_xlpm.x=0, _xlpm.x=""), "-", _xlpm.x)
)</f>
        <v>8435</v>
      </c>
      <c r="Y289" s="55" t="str">
        <f>_xlfn.LET(
 _xlpm.x,
 _xlfn.MAXIFS(
  raw_stack!G$2:G$99411,
  raw_stack!D$2:D$99411, G289,
  raw_stack!F$2:F$99411, "Iya",
  raw_stack!G$2:G$99411, "&gt;="&amp;DATE(2025,12,1),
  raw_stack!G$2:G$99411, "&lt;="&amp;EOMONTH(DATE(2025,12,1),0)
 ),
 IF(_xlpm.x=0, "-", _xlpm.x)
)</f>
        <v>-</v>
      </c>
      <c r="Z289" s="56" t="str">
        <f>_xlfn.LET(
 _xlpm.x,
 _xlfn.MAXIFS(
  raw_stack!H$2:H$100000,
  raw_stack!D$2:D$100000, G289,
  raw_stack!F$2:F$100000, "Iya",
  raw_stack!G$2:G$100000, "&gt;="&amp;DATE(2025,12,1),
  raw_stack!G$2:G$100000, "&lt;="&amp;EOMONTH(DATE(2025,12,1),0)
 ),
 IF(OR(_xlpm.x=0, _xlpm.x=""), "-", _xlpm.x)
)</f>
        <v>-</v>
      </c>
      <c r="AA289" s="55">
        <f>_xlfn.LET(
 _xlpm.x,
 _xlfn.MAXIFS(
  raw_stack!G$2:G$99411,
  raw_stack!D$2:D$99411, G289,
  raw_stack!F$2:F$99411, "Iya",
  raw_stack!G$2:G$99411, "&gt;="&amp;DATE(2026,1,1),
  raw_stack!G$2:G$99411, "&lt;="&amp;EOMONTH(DATE(2026,1,1),0)
 ),
 IF(_xlpm.x=0, "-", _xlpm.x)
)</f>
        <v>46044</v>
      </c>
      <c r="AB289" s="56">
        <f>_xlfn.LET(
 _xlpm.x,
 _xlfn.MAXIFS(
  raw_stack!H$2:H$100000,
  raw_stack!D$2:D$100000, G289,
  raw_stack!F$2:F$100000, "Iya",
  raw_stack!G$2:G$100000, "&gt;="&amp;DATE(2026,1,1),
  raw_stack!G$2:G$100000, "&lt;="&amp;EOMONTH(DATE(2026,1,1),0)
 ),
 IF(OR(_xlpm.x=0, _xlpm.x=""), "-", _xlpm.x)
)</f>
        <v>14389</v>
      </c>
      <c r="AC289" s="55" t="str">
        <f>_xlfn.LET(
 _xlpm.x,
 _xlfn.MAXIFS(
  raw_stack!G$2:G$99411,
  raw_stack!D$2:D$99411, G289,
  raw_stack!F$2:F$99411, "Iya",
  raw_stack!G$2:G$99411, "&gt;="&amp;DATE(2026,2,1),
  raw_stack!G$2:G$99411, "&lt;="&amp;EOMONTH(DATE(2026,2,1),0)
 ),
 IF(_xlpm.x=0, "-", _xlpm.x)
)</f>
        <v>-</v>
      </c>
      <c r="AD289" s="56" t="str">
        <f>_xlfn.LET(
 _xlpm.x,
 _xlfn.MAXIFS(
  raw_stack!H$2:H$100000,
  raw_stack!D$2:D$100000, G289,
  raw_stack!F$2:F$100000, "Iya",
  raw_stack!G$2:G$100000, "&gt;="&amp;DATE(2026,2,1),
  raw_stack!G$2:G$100000, "&lt;="&amp;EOMONTH(DATE(2026,2,1),0)
 ),
 IF(OR(_xlpm.x=0, _xlpm.x=""), "-", _xlpm.x)
)</f>
        <v>-</v>
      </c>
      <c r="AE289" s="55" t="str">
        <f>_xlfn.LET(
 _xlpm.x,
 _xlfn.MAXIFS(
  raw_stack!G$2:G$100000,
  raw_stack!D$2:D$100000, G289,
  raw_stack!F$2:F$100000, "Iya",
  raw_stack!G$2:G$100000, "&gt;="&amp;DATE(2026,3,1),
  raw_stack!G$2:G$100000, "&lt;="&amp;EOMONTH(DATE(2026,3,1),0)
 ),
 IF(_xlpm.x=0, "-", _xlpm.x)
)</f>
        <v>-</v>
      </c>
      <c r="AF289" s="56" t="str">
        <f>_xlfn.LET(
 _xlpm.x,
 _xlfn.MAXIFS(
  raw_stack!H$2:H$100000,
  raw_stack!D$2:D$100000, G289,
  raw_stack!F$2:F$100000, "Iya",
  raw_stack!G$2:G$100000, "&gt;="&amp;DATE(2026,3,1),
  raw_stack!G$2:G$100000, "&lt;="&amp;EOMONTH(DATE(2026,3,1),0)
 ),
 IF(OR(_xlpm.x=0, _xlpm.x=""), "-", _xlpm.x)
)</f>
        <v>-</v>
      </c>
      <c r="AG289" s="55" t="str">
        <f>_xlfn.LET(
 _xlpm.x,
 _xlfn.MAXIFS(
  raw_stack!G$2:G$100000,
  raw_stack!D$2:D$100000, G289,
  raw_stack!F$2:F$100000, "Iya",
  raw_stack!G$2:G$100000, "&gt;="&amp;DATE(2026,4,1),
  raw_stack!G$2:G$100000, "&lt;="&amp;EOMONTH(DATE(2026,4,1),0)
 ),
 IF(_xlpm.x=0, "-", _xlpm.x)
)</f>
        <v>-</v>
      </c>
      <c r="AH289" s="56" t="str">
        <f>_xlfn.LET(
 _xlpm.x,
 _xlfn.MAXIFS(
  raw_stack!H$2:H$100000,
  raw_stack!D$2:D$100000, G289,
  raw_stack!F$2:F$100000, "Iya",
  raw_stack!G$2:G$100000, "&gt;="&amp;DATE(2026,4,1),
  raw_stack!G$2:G$100000, "&lt;="&amp;EOMONTH(DATE(2026,4,1),0)
 ),
 IF(OR(_xlpm.x=0, _xlpm.x=""), "-", _xlpm.x)
)</f>
        <v>-</v>
      </c>
    </row>
    <row r="290" spans="1:34">
      <c r="A290" s="48">
        <v>289</v>
      </c>
      <c r="B290" s="49" t="str">
        <f t="shared" si="4"/>
        <v>21310</v>
      </c>
      <c r="C290" s="50" t="s">
        <v>46</v>
      </c>
      <c r="D290" s="51" t="s">
        <v>687</v>
      </c>
      <c r="E290" s="51" t="s">
        <v>51</v>
      </c>
      <c r="F290" s="49" t="s">
        <v>117</v>
      </c>
      <c r="G290" s="49" t="s">
        <v>406</v>
      </c>
      <c r="H290" s="49" t="s">
        <v>48</v>
      </c>
      <c r="I290" s="49" t="s">
        <v>52</v>
      </c>
      <c r="J290" s="52">
        <v>3880000</v>
      </c>
      <c r="K290" s="53">
        <v>45938</v>
      </c>
      <c r="L290" s="53">
        <v>47033</v>
      </c>
      <c r="M290" s="53">
        <v>46060</v>
      </c>
      <c r="N290" s="49" t="s">
        <v>50</v>
      </c>
      <c r="O290" s="54" t="str">
        <f>_xlfn.LET(
 _xlpm.x,
 _xlfn.MAXIFS(
  raw_stack!G$2:G$100000,
  raw_stack!D$2:D$100000, G290,
  raw_stack!F$2:F$100000, "Iya",
  raw_stack!G$2:G$100000, "&gt;="&amp;DATE(2025,7,1),
  raw_stack!G$2:G$100000, "&lt;="&amp;EOMONTH(DATE(2025,7,1),0)
 ),
 IF(_xlpm.x=0, "-", _xlpm.x)
)</f>
        <v>-</v>
      </c>
      <c r="P290" s="65" t="str">
        <f>_xlfn.LET(
 _xlpm.x,
 _xlfn.MAXIFS(
  raw_stack!H$2:H$100000,
  raw_stack!D$2:D$100000, G290,
  raw_stack!F$2:F$100000, "Iya",
  raw_stack!G$2:G$100000, "&gt;="&amp;DATE(2025,7,1),
  raw_stack!G$2:G$100000, "&lt;="&amp;EOMONTH(DATE(2025,7,1),0)
 ),
 IF(OR(_xlpm.x=0, _xlpm.x=""), "-", _xlpm.x)
)</f>
        <v>-</v>
      </c>
      <c r="Q290" s="54" t="str">
        <f>_xlfn.LET(
 _xlpm.x,
 _xlfn.MAXIFS(
  raw_stack!G$2:G$99411,
  raw_stack!D$2:D$99411, G290,
  raw_stack!F$2:F$99411, "Iya",
  raw_stack!G$2:G$99411, "&gt;="&amp;DATE(2025,8,1),
  raw_stack!G$2:G$99411, "&lt;="&amp;EOMONTH(DATE(2025,8,1),0)
 ),
 IF(_xlpm.x=0, "-", _xlpm.x)
)</f>
        <v>-</v>
      </c>
      <c r="R290" s="65" t="str">
        <f>_xlfn.LET(
 _xlpm.x,
 _xlfn.MAXIFS(
  raw_stack!H$2:H$100000,
  raw_stack!D$2:D$100000, G290,
  raw_stack!F$2:F$100000, "Iya",
  raw_stack!G$2:G$100000, "&gt;="&amp;DATE(2025,8,1),
  raw_stack!G$2:G$100000, "&lt;="&amp;EOMONTH(DATE(2025,8,1),0)
 ),
 IF(OR(_xlpm.x=0, _xlpm.x=""), "-", _xlpm.x)
)</f>
        <v>-</v>
      </c>
      <c r="S290" s="54" t="str">
        <f>_xlfn.LET(
 _xlpm.x,
 _xlfn.MAXIFS(
  raw_stack!G$2:G$99411,
  raw_stack!D$2:D$99411, G290,
  raw_stack!F$2:F$99411, "Iya",
  raw_stack!G$2:G$99411, "&gt;="&amp;DATE(2025,9,1),
  raw_stack!G$2:G$99411, "&lt;="&amp;EOMONTH(DATE(2025,9,1),0)
 ),
 IF(_xlpm.x=0, "-", _xlpm.x)
)</f>
        <v>-</v>
      </c>
      <c r="T290" s="65" t="str">
        <f>_xlfn.LET(
 _xlpm.x,
 _xlfn.MAXIFS(
  raw_stack!H$2:H$100000,
  raw_stack!D$2:D$100000, G290,
  raw_stack!F$2:F$100000, "Iya",
  raw_stack!G$2:G$100000, "&gt;="&amp;DATE(2025,9,1),
  raw_stack!G$2:G$100000, "&lt;="&amp;EOMONTH(DATE(2025,9,1),0)
 ),
 IF(OR(_xlpm.x=0, _xlpm.x=""), "-", _xlpm.x)
)</f>
        <v>-</v>
      </c>
      <c r="U290" s="54" t="str">
        <f>_xlfn.LET(
 _xlpm.x,
 _xlfn.MAXIFS(
  raw_stack!G$2:G$99411,
  raw_stack!D$2:D$99411, G290,
  raw_stack!F$2:F$99411, "Iya",
  raw_stack!G$2:G$99411, "&gt;="&amp;DATE(2025,10,1),
  raw_stack!G$2:G$99411, "&lt;="&amp;EOMONTH(DATE(2025,10,1),0)
 ),
 IF(_xlpm.x=0, "-", _xlpm.x)
)</f>
        <v>-</v>
      </c>
      <c r="V290" s="65" t="str">
        <f>_xlfn.LET(
 _xlpm.x,
 _xlfn.MAXIFS(
  raw_stack!H$2:H$100000,
  raw_stack!D$2:D$100000, G290,
  raw_stack!F$2:F$100000, "Iya",
  raw_stack!G$2:G$100000, "&gt;="&amp;DATE(2025,10,1),
  raw_stack!G$2:G$100000, "&lt;="&amp;EOMONTH(DATE(2025,10,1),0)
 ),
 IF(OR(_xlpm.x=0, _xlpm.x=""), "-", _xlpm.x)
)</f>
        <v>-</v>
      </c>
      <c r="W290" s="55">
        <f>_xlfn.LET(
 _xlpm.x,
 _xlfn.MAXIFS(
  raw_stack!G$2:G$99411,
  raw_stack!D$2:D$99411, G290,
  raw_stack!F$2:F$99411, "Iya",
  raw_stack!G$2:G$99411, "&gt;="&amp;DATE(2025,11,1),
  raw_stack!G$2:G$99411, "&lt;="&amp;EOMONTH(DATE(2025,11,1),0)
 ),
 IF(_xlpm.x=0, "-", _xlpm.x)
)</f>
        <v>45974</v>
      </c>
      <c r="X290" s="56">
        <f>_xlfn.LET(
 _xlpm.x,
 _xlfn.MAXIFS(
  raw_stack!H$2:H$100000,
  raw_stack!D$2:D$100000, G290,
  raw_stack!F$2:F$100000, "Iya",
  raw_stack!G$2:G$100000, "&gt;="&amp;DATE(2025,11,1),
  raw_stack!G$2:G$100000, "&lt;="&amp;EOMONTH(DATE(2025,11,1),0)
 ),
 IF(OR(_xlpm.x=0, _xlpm.x=""), "-", _xlpm.x)
)</f>
        <v>2142</v>
      </c>
      <c r="Y290" s="55" t="str">
        <f>_xlfn.LET(
 _xlpm.x,
 _xlfn.MAXIFS(
  raw_stack!G$2:G$99411,
  raw_stack!D$2:D$99411, G290,
  raw_stack!F$2:F$99411, "Iya",
  raw_stack!G$2:G$99411, "&gt;="&amp;DATE(2025,12,1),
  raw_stack!G$2:G$99411, "&lt;="&amp;EOMONTH(DATE(2025,12,1),0)
 ),
 IF(_xlpm.x=0, "-", _xlpm.x)
)</f>
        <v>-</v>
      </c>
      <c r="Z290" s="56" t="str">
        <f>_xlfn.LET(
 _xlpm.x,
 _xlfn.MAXIFS(
  raw_stack!H$2:H$100000,
  raw_stack!D$2:D$100000, G290,
  raw_stack!F$2:F$100000, "Iya",
  raw_stack!G$2:G$100000, "&gt;="&amp;DATE(2025,12,1),
  raw_stack!G$2:G$100000, "&lt;="&amp;EOMONTH(DATE(2025,12,1),0)
 ),
 IF(OR(_xlpm.x=0, _xlpm.x=""), "-", _xlpm.x)
)</f>
        <v>-</v>
      </c>
      <c r="AA290" s="55" t="str">
        <f>_xlfn.LET(
 _xlpm.x,
 _xlfn.MAXIFS(
  raw_stack!G$2:G$99411,
  raw_stack!D$2:D$99411, G290,
  raw_stack!F$2:F$99411, "Iya",
  raw_stack!G$2:G$99411, "&gt;="&amp;DATE(2026,1,1),
  raw_stack!G$2:G$99411, "&lt;="&amp;EOMONTH(DATE(2026,1,1),0)
 ),
 IF(_xlpm.x=0, "-", _xlpm.x)
)</f>
        <v>-</v>
      </c>
      <c r="AB290" s="56" t="str">
        <f>_xlfn.LET(
 _xlpm.x,
 _xlfn.MAXIFS(
  raw_stack!H$2:H$100000,
  raw_stack!D$2:D$100000, G290,
  raw_stack!F$2:F$100000, "Iya",
  raw_stack!G$2:G$100000, "&gt;="&amp;DATE(2026,1,1),
  raw_stack!G$2:G$100000, "&lt;="&amp;EOMONTH(DATE(2026,1,1),0)
 ),
 IF(OR(_xlpm.x=0, _xlpm.x=""), "-", _xlpm.x)
)</f>
        <v>-</v>
      </c>
      <c r="AC290" s="55" t="str">
        <f>_xlfn.LET(
 _xlpm.x,
 _xlfn.MAXIFS(
  raw_stack!G$2:G$99411,
  raw_stack!D$2:D$99411, G290,
  raw_stack!F$2:F$99411, "Iya",
  raw_stack!G$2:G$99411, "&gt;="&amp;DATE(2026,2,1),
  raw_stack!G$2:G$99411, "&lt;="&amp;EOMONTH(DATE(2026,2,1),0)
 ),
 IF(_xlpm.x=0, "-", _xlpm.x)
)</f>
        <v>-</v>
      </c>
      <c r="AD290" s="56" t="str">
        <f>_xlfn.LET(
 _xlpm.x,
 _xlfn.MAXIFS(
  raw_stack!H$2:H$100000,
  raw_stack!D$2:D$100000, G290,
  raw_stack!F$2:F$100000, "Iya",
  raw_stack!G$2:G$100000, "&gt;="&amp;DATE(2026,2,1),
  raw_stack!G$2:G$100000, "&lt;="&amp;EOMONTH(DATE(2026,2,1),0)
 ),
 IF(OR(_xlpm.x=0, _xlpm.x=""), "-", _xlpm.x)
)</f>
        <v>-</v>
      </c>
      <c r="AE290" s="55" t="str">
        <f>_xlfn.LET(
 _xlpm.x,
 _xlfn.MAXIFS(
  raw_stack!G$2:G$100000,
  raw_stack!D$2:D$100000, G290,
  raw_stack!F$2:F$100000, "Iya",
  raw_stack!G$2:G$100000, "&gt;="&amp;DATE(2026,3,1),
  raw_stack!G$2:G$100000, "&lt;="&amp;EOMONTH(DATE(2026,3,1),0)
 ),
 IF(_xlpm.x=0, "-", _xlpm.x)
)</f>
        <v>-</v>
      </c>
      <c r="AF290" s="56" t="str">
        <f>_xlfn.LET(
 _xlpm.x,
 _xlfn.MAXIFS(
  raw_stack!H$2:H$100000,
  raw_stack!D$2:D$100000, G290,
  raw_stack!F$2:F$100000, "Iya",
  raw_stack!G$2:G$100000, "&gt;="&amp;DATE(2026,3,1),
  raw_stack!G$2:G$100000, "&lt;="&amp;EOMONTH(DATE(2026,3,1),0)
 ),
 IF(OR(_xlpm.x=0, _xlpm.x=""), "-", _xlpm.x)
)</f>
        <v>-</v>
      </c>
      <c r="AG290" s="55" t="str">
        <f>_xlfn.LET(
 _xlpm.x,
 _xlfn.MAXIFS(
  raw_stack!G$2:G$100000,
  raw_stack!D$2:D$100000, G290,
  raw_stack!F$2:F$100000, "Iya",
  raw_stack!G$2:G$100000, "&gt;="&amp;DATE(2026,4,1),
  raw_stack!G$2:G$100000, "&lt;="&amp;EOMONTH(DATE(2026,4,1),0)
 ),
 IF(_xlpm.x=0, "-", _xlpm.x)
)</f>
        <v>-</v>
      </c>
      <c r="AH290" s="56" t="str">
        <f>_xlfn.LET(
 _xlpm.x,
 _xlfn.MAXIFS(
  raw_stack!H$2:H$100000,
  raw_stack!D$2:D$100000, G290,
  raw_stack!F$2:F$100000, "Iya",
  raw_stack!G$2:G$100000, "&gt;="&amp;DATE(2026,4,1),
  raw_stack!G$2:G$100000, "&lt;="&amp;EOMONTH(DATE(2026,4,1),0)
 ),
 IF(OR(_xlpm.x=0, _xlpm.x=""), "-", _xlpm.x)
)</f>
        <v>-</v>
      </c>
    </row>
    <row r="291" spans="1:34">
      <c r="A291" s="48">
        <v>290</v>
      </c>
      <c r="B291" s="49" t="str">
        <f t="shared" si="4"/>
        <v>77247</v>
      </c>
      <c r="C291" s="50" t="s">
        <v>46</v>
      </c>
      <c r="D291" s="51" t="s">
        <v>688</v>
      </c>
      <c r="E291" s="51" t="s">
        <v>54</v>
      </c>
      <c r="F291" s="49" t="s">
        <v>117</v>
      </c>
      <c r="G291" s="49" t="s">
        <v>407</v>
      </c>
      <c r="H291" s="49" t="s">
        <v>48</v>
      </c>
      <c r="I291" s="49" t="s">
        <v>52</v>
      </c>
      <c r="J291" s="52">
        <v>6600000</v>
      </c>
      <c r="K291" s="53">
        <v>45943</v>
      </c>
      <c r="L291" s="53">
        <v>47038</v>
      </c>
      <c r="M291" s="53">
        <v>46065</v>
      </c>
      <c r="N291" s="49" t="s">
        <v>50</v>
      </c>
      <c r="O291" s="54" t="str">
        <f>_xlfn.LET(
 _xlpm.x,
 _xlfn.MAXIFS(
  raw_stack!G$2:G$100000,
  raw_stack!D$2:D$100000, G291,
  raw_stack!F$2:F$100000, "Iya",
  raw_stack!G$2:G$100000, "&gt;="&amp;DATE(2025,7,1),
  raw_stack!G$2:G$100000, "&lt;="&amp;EOMONTH(DATE(2025,7,1),0)
 ),
 IF(_xlpm.x=0, "-", _xlpm.x)
)</f>
        <v>-</v>
      </c>
      <c r="P291" s="65" t="str">
        <f>_xlfn.LET(
 _xlpm.x,
 _xlfn.MAXIFS(
  raw_stack!H$2:H$100000,
  raw_stack!D$2:D$100000, G291,
  raw_stack!F$2:F$100000, "Iya",
  raw_stack!G$2:G$100000, "&gt;="&amp;DATE(2025,7,1),
  raw_stack!G$2:G$100000, "&lt;="&amp;EOMONTH(DATE(2025,7,1),0)
 ),
 IF(OR(_xlpm.x=0, _xlpm.x=""), "-", _xlpm.x)
)</f>
        <v>-</v>
      </c>
      <c r="Q291" s="54" t="str">
        <f>_xlfn.LET(
 _xlpm.x,
 _xlfn.MAXIFS(
  raw_stack!G$2:G$99411,
  raw_stack!D$2:D$99411, G291,
  raw_stack!F$2:F$99411, "Iya",
  raw_stack!G$2:G$99411, "&gt;="&amp;DATE(2025,8,1),
  raw_stack!G$2:G$99411, "&lt;="&amp;EOMONTH(DATE(2025,8,1),0)
 ),
 IF(_xlpm.x=0, "-", _xlpm.x)
)</f>
        <v>-</v>
      </c>
      <c r="R291" s="65" t="str">
        <f>_xlfn.LET(
 _xlpm.x,
 _xlfn.MAXIFS(
  raw_stack!H$2:H$100000,
  raw_stack!D$2:D$100000, G291,
  raw_stack!F$2:F$100000, "Iya",
  raw_stack!G$2:G$100000, "&gt;="&amp;DATE(2025,8,1),
  raw_stack!G$2:G$100000, "&lt;="&amp;EOMONTH(DATE(2025,8,1),0)
 ),
 IF(OR(_xlpm.x=0, _xlpm.x=""), "-", _xlpm.x)
)</f>
        <v>-</v>
      </c>
      <c r="S291" s="54" t="str">
        <f>_xlfn.LET(
 _xlpm.x,
 _xlfn.MAXIFS(
  raw_stack!G$2:G$99411,
  raw_stack!D$2:D$99411, G291,
  raw_stack!F$2:F$99411, "Iya",
  raw_stack!G$2:G$99411, "&gt;="&amp;DATE(2025,9,1),
  raw_stack!G$2:G$99411, "&lt;="&amp;EOMONTH(DATE(2025,9,1),0)
 ),
 IF(_xlpm.x=0, "-", _xlpm.x)
)</f>
        <v>-</v>
      </c>
      <c r="T291" s="65" t="str">
        <f>_xlfn.LET(
 _xlpm.x,
 _xlfn.MAXIFS(
  raw_stack!H$2:H$100000,
  raw_stack!D$2:D$100000, G291,
  raw_stack!F$2:F$100000, "Iya",
  raw_stack!G$2:G$100000, "&gt;="&amp;DATE(2025,9,1),
  raw_stack!G$2:G$100000, "&lt;="&amp;EOMONTH(DATE(2025,9,1),0)
 ),
 IF(OR(_xlpm.x=0, _xlpm.x=""), "-", _xlpm.x)
)</f>
        <v>-</v>
      </c>
      <c r="U291" s="54">
        <f>_xlfn.LET(
 _xlpm.x,
 _xlfn.MAXIFS(
  raw_stack!G$2:G$99411,
  raw_stack!D$2:D$99411, G291,
  raw_stack!F$2:F$99411, "Iya",
  raw_stack!G$2:G$99411, "&gt;="&amp;DATE(2025,10,1),
  raw_stack!G$2:G$99411, "&lt;="&amp;EOMONTH(DATE(2025,10,1),0)
 ),
 IF(_xlpm.x=0, "-", _xlpm.x)
)</f>
        <v>45943</v>
      </c>
      <c r="V291" s="65">
        <f>_xlfn.LET(
 _xlpm.x,
 _xlfn.MAXIFS(
  raw_stack!H$2:H$100000,
  raw_stack!D$2:D$100000, G291,
  raw_stack!F$2:F$100000, "Iya",
  raw_stack!G$2:G$100000, "&gt;="&amp;DATE(2025,10,1),
  raw_stack!G$2:G$100000, "&lt;="&amp;EOMONTH(DATE(2025,10,1),0)
 ),
 IF(OR(_xlpm.x=0, _xlpm.x=""), "-", _xlpm.x)
)</f>
        <v>5979</v>
      </c>
      <c r="W291" s="55">
        <f>_xlfn.LET(
 _xlpm.x,
 _xlfn.MAXIFS(
  raw_stack!G$2:G$99411,
  raw_stack!D$2:D$99411, G291,
  raw_stack!F$2:F$99411, "Iya",
  raw_stack!G$2:G$99411, "&gt;="&amp;DATE(2025,11,1),
  raw_stack!G$2:G$99411, "&lt;="&amp;EOMONTH(DATE(2025,11,1),0)
 ),
 IF(_xlpm.x=0, "-", _xlpm.x)
)</f>
        <v>45965</v>
      </c>
      <c r="X291" s="56">
        <f>_xlfn.LET(
 _xlpm.x,
 _xlfn.MAXIFS(
  raw_stack!H$2:H$100000,
  raw_stack!D$2:D$100000, G291,
  raw_stack!F$2:F$100000, "Iya",
  raw_stack!G$2:G$100000, "&gt;="&amp;DATE(2025,11,1),
  raw_stack!G$2:G$100000, "&lt;="&amp;EOMONTH(DATE(2025,11,1),0)
 ),
 IF(OR(_xlpm.x=0, _xlpm.x=""), "-", _xlpm.x)
)</f>
        <v>4223</v>
      </c>
      <c r="Y291" s="55" t="str">
        <f>_xlfn.LET(
 _xlpm.x,
 _xlfn.MAXIFS(
  raw_stack!G$2:G$99411,
  raw_stack!D$2:D$99411, G291,
  raw_stack!F$2:F$99411, "Iya",
  raw_stack!G$2:G$99411, "&gt;="&amp;DATE(2025,12,1),
  raw_stack!G$2:G$99411, "&lt;="&amp;EOMONTH(DATE(2025,12,1),0)
 ),
 IF(_xlpm.x=0, "-", _xlpm.x)
)</f>
        <v>-</v>
      </c>
      <c r="Z291" s="56" t="str">
        <f>_xlfn.LET(
 _xlpm.x,
 _xlfn.MAXIFS(
  raw_stack!H$2:H$100000,
  raw_stack!D$2:D$100000, G291,
  raw_stack!F$2:F$100000, "Iya",
  raw_stack!G$2:G$100000, "&gt;="&amp;DATE(2025,12,1),
  raw_stack!G$2:G$100000, "&lt;="&amp;EOMONTH(DATE(2025,12,1),0)
 ),
 IF(OR(_xlpm.x=0, _xlpm.x=""), "-", _xlpm.x)
)</f>
        <v>-</v>
      </c>
      <c r="AA291" s="55">
        <f>_xlfn.LET(
 _xlpm.x,
 _xlfn.MAXIFS(
  raw_stack!G$2:G$99411,
  raw_stack!D$2:D$99411, G291,
  raw_stack!F$2:F$99411, "Iya",
  raw_stack!G$2:G$99411, "&gt;="&amp;DATE(2026,1,1),
  raw_stack!G$2:G$99411, "&lt;="&amp;EOMONTH(DATE(2026,1,1),0)
 ),
 IF(_xlpm.x=0, "-", _xlpm.x)
)</f>
        <v>46034</v>
      </c>
      <c r="AB291" s="56">
        <f>_xlfn.LET(
 _xlpm.x,
 _xlfn.MAXIFS(
  raw_stack!H$2:H$100000,
  raw_stack!D$2:D$100000, G291,
  raw_stack!F$2:F$100000, "Iya",
  raw_stack!G$2:G$100000, "&gt;="&amp;DATE(2026,1,1),
  raw_stack!G$2:G$100000, "&lt;="&amp;EOMONTH(DATE(2026,1,1),0)
 ),
 IF(OR(_xlpm.x=0, _xlpm.x=""), "-", _xlpm.x)
)</f>
        <v>12193</v>
      </c>
      <c r="AC291" s="55" t="str">
        <f>_xlfn.LET(
 _xlpm.x,
 _xlfn.MAXIFS(
  raw_stack!G$2:G$99411,
  raw_stack!D$2:D$99411, G291,
  raw_stack!F$2:F$99411, "Iya",
  raw_stack!G$2:G$99411, "&gt;="&amp;DATE(2026,2,1),
  raw_stack!G$2:G$99411, "&lt;="&amp;EOMONTH(DATE(2026,2,1),0)
 ),
 IF(_xlpm.x=0, "-", _xlpm.x)
)</f>
        <v>-</v>
      </c>
      <c r="AD291" s="56" t="str">
        <f>_xlfn.LET(
 _xlpm.x,
 _xlfn.MAXIFS(
  raw_stack!H$2:H$100000,
  raw_stack!D$2:D$100000, G291,
  raw_stack!F$2:F$100000, "Iya",
  raw_stack!G$2:G$100000, "&gt;="&amp;DATE(2026,2,1),
  raw_stack!G$2:G$100000, "&lt;="&amp;EOMONTH(DATE(2026,2,1),0)
 ),
 IF(OR(_xlpm.x=0, _xlpm.x=""), "-", _xlpm.x)
)</f>
        <v>-</v>
      </c>
      <c r="AE291" s="55" t="str">
        <f>_xlfn.LET(
 _xlpm.x,
 _xlfn.MAXIFS(
  raw_stack!G$2:G$100000,
  raw_stack!D$2:D$100000, G291,
  raw_stack!F$2:F$100000, "Iya",
  raw_stack!G$2:G$100000, "&gt;="&amp;DATE(2026,3,1),
  raw_stack!G$2:G$100000, "&lt;="&amp;EOMONTH(DATE(2026,3,1),0)
 ),
 IF(_xlpm.x=0, "-", _xlpm.x)
)</f>
        <v>-</v>
      </c>
      <c r="AF291" s="56" t="str">
        <f>_xlfn.LET(
 _xlpm.x,
 _xlfn.MAXIFS(
  raw_stack!H$2:H$100000,
  raw_stack!D$2:D$100000, G291,
  raw_stack!F$2:F$100000, "Iya",
  raw_stack!G$2:G$100000, "&gt;="&amp;DATE(2026,3,1),
  raw_stack!G$2:G$100000, "&lt;="&amp;EOMONTH(DATE(2026,3,1),0)
 ),
 IF(OR(_xlpm.x=0, _xlpm.x=""), "-", _xlpm.x)
)</f>
        <v>-</v>
      </c>
      <c r="AG291" s="55">
        <f>_xlfn.LET(
 _xlpm.x,
 _xlfn.MAXIFS(
  raw_stack!G$2:G$100000,
  raw_stack!D$2:D$100000, G291,
  raw_stack!F$2:F$100000, "Iya",
  raw_stack!G$2:G$100000, "&gt;="&amp;DATE(2026,4,1),
  raw_stack!G$2:G$100000, "&lt;="&amp;EOMONTH(DATE(2026,4,1),0)
 ),
 IF(_xlpm.x=0, "-", _xlpm.x)
)</f>
        <v>46126</v>
      </c>
      <c r="AH291" s="56">
        <f>_xlfn.LET(
 _xlpm.x,
 _xlfn.MAXIFS(
  raw_stack!H$2:H$100000,
  raw_stack!D$2:D$100000, G291,
  raw_stack!F$2:F$100000, "Iya",
  raw_stack!G$2:G$100000, "&gt;="&amp;DATE(2026,4,1),
  raw_stack!G$2:G$100000, "&lt;="&amp;EOMONTH(DATE(2026,4,1),0)
 ),
 IF(OR(_xlpm.x=0, _xlpm.x=""), "-", _xlpm.x)
)</f>
        <v>15643</v>
      </c>
    </row>
    <row r="292" spans="1:34">
      <c r="A292" s="48">
        <v>291</v>
      </c>
      <c r="B292" s="49" t="str">
        <f t="shared" si="4"/>
        <v>15721</v>
      </c>
      <c r="C292" s="50" t="s">
        <v>46</v>
      </c>
      <c r="D292" s="51" t="s">
        <v>689</v>
      </c>
      <c r="E292" s="51" t="s">
        <v>54</v>
      </c>
      <c r="F292" s="49" t="s">
        <v>117</v>
      </c>
      <c r="G292" s="49" t="s">
        <v>408</v>
      </c>
      <c r="H292" s="49" t="s">
        <v>48</v>
      </c>
      <c r="I292" s="49" t="s">
        <v>52</v>
      </c>
      <c r="J292" s="52">
        <v>6600000</v>
      </c>
      <c r="K292" s="53">
        <v>45943</v>
      </c>
      <c r="L292" s="53">
        <v>47038</v>
      </c>
      <c r="M292" s="53">
        <v>46065</v>
      </c>
      <c r="N292" s="49" t="s">
        <v>50</v>
      </c>
      <c r="O292" s="54" t="str">
        <f>_xlfn.LET(
 _xlpm.x,
 _xlfn.MAXIFS(
  raw_stack!G$2:G$100000,
  raw_stack!D$2:D$100000, G292,
  raw_stack!F$2:F$100000, "Iya",
  raw_stack!G$2:G$100000, "&gt;="&amp;DATE(2025,7,1),
  raw_stack!G$2:G$100000, "&lt;="&amp;EOMONTH(DATE(2025,7,1),0)
 ),
 IF(_xlpm.x=0, "-", _xlpm.x)
)</f>
        <v>-</v>
      </c>
      <c r="P292" s="65" t="str">
        <f>_xlfn.LET(
 _xlpm.x,
 _xlfn.MAXIFS(
  raw_stack!H$2:H$100000,
  raw_stack!D$2:D$100000, G292,
  raw_stack!F$2:F$100000, "Iya",
  raw_stack!G$2:G$100000, "&gt;="&amp;DATE(2025,7,1),
  raw_stack!G$2:G$100000, "&lt;="&amp;EOMONTH(DATE(2025,7,1),0)
 ),
 IF(OR(_xlpm.x=0, _xlpm.x=""), "-", _xlpm.x)
)</f>
        <v>-</v>
      </c>
      <c r="Q292" s="54" t="str">
        <f>_xlfn.LET(
 _xlpm.x,
 _xlfn.MAXIFS(
  raw_stack!G$2:G$99411,
  raw_stack!D$2:D$99411, G292,
  raw_stack!F$2:F$99411, "Iya",
  raw_stack!G$2:G$99411, "&gt;="&amp;DATE(2025,8,1),
  raw_stack!G$2:G$99411, "&lt;="&amp;EOMONTH(DATE(2025,8,1),0)
 ),
 IF(_xlpm.x=0, "-", _xlpm.x)
)</f>
        <v>-</v>
      </c>
      <c r="R292" s="65" t="str">
        <f>_xlfn.LET(
 _xlpm.x,
 _xlfn.MAXIFS(
  raw_stack!H$2:H$100000,
  raw_stack!D$2:D$100000, G292,
  raw_stack!F$2:F$100000, "Iya",
  raw_stack!G$2:G$100000, "&gt;="&amp;DATE(2025,8,1),
  raw_stack!G$2:G$100000, "&lt;="&amp;EOMONTH(DATE(2025,8,1),0)
 ),
 IF(OR(_xlpm.x=0, _xlpm.x=""), "-", _xlpm.x)
)</f>
        <v>-</v>
      </c>
      <c r="S292" s="54" t="str">
        <f>_xlfn.LET(
 _xlpm.x,
 _xlfn.MAXIFS(
  raw_stack!G$2:G$99411,
  raw_stack!D$2:D$99411, G292,
  raw_stack!F$2:F$99411, "Iya",
  raw_stack!G$2:G$99411, "&gt;="&amp;DATE(2025,9,1),
  raw_stack!G$2:G$99411, "&lt;="&amp;EOMONTH(DATE(2025,9,1),0)
 ),
 IF(_xlpm.x=0, "-", _xlpm.x)
)</f>
        <v>-</v>
      </c>
      <c r="T292" s="65" t="str">
        <f>_xlfn.LET(
 _xlpm.x,
 _xlfn.MAXIFS(
  raw_stack!H$2:H$100000,
  raw_stack!D$2:D$100000, G292,
  raw_stack!F$2:F$100000, "Iya",
  raw_stack!G$2:G$100000, "&gt;="&amp;DATE(2025,9,1),
  raw_stack!G$2:G$100000, "&lt;="&amp;EOMONTH(DATE(2025,9,1),0)
 ),
 IF(OR(_xlpm.x=0, _xlpm.x=""), "-", _xlpm.x)
)</f>
        <v>-</v>
      </c>
      <c r="U292" s="54">
        <f>_xlfn.LET(
 _xlpm.x,
 _xlfn.MAXIFS(
  raw_stack!G$2:G$99411,
  raw_stack!D$2:D$99411, G292,
  raw_stack!F$2:F$99411, "Iya",
  raw_stack!G$2:G$99411, "&gt;="&amp;DATE(2025,10,1),
  raw_stack!G$2:G$99411, "&lt;="&amp;EOMONTH(DATE(2025,10,1),0)
 ),
 IF(_xlpm.x=0, "-", _xlpm.x)
)</f>
        <v>45946</v>
      </c>
      <c r="V292" s="65">
        <f>_xlfn.LET(
 _xlpm.x,
 _xlfn.MAXIFS(
  raw_stack!H$2:H$100000,
  raw_stack!D$2:D$100000, G292,
  raw_stack!F$2:F$100000, "Iya",
  raw_stack!G$2:G$100000, "&gt;="&amp;DATE(2025,10,1),
  raw_stack!G$2:G$100000, "&lt;="&amp;EOMONTH(DATE(2025,10,1),0)
 ),
 IF(OR(_xlpm.x=0, _xlpm.x=""), "-", _xlpm.x)
)</f>
        <v>5490</v>
      </c>
      <c r="W292" s="55" t="str">
        <f>_xlfn.LET(
 _xlpm.x,
 _xlfn.MAXIFS(
  raw_stack!G$2:G$99411,
  raw_stack!D$2:D$99411, G292,
  raw_stack!F$2:F$99411, "Iya",
  raw_stack!G$2:G$99411, "&gt;="&amp;DATE(2025,11,1),
  raw_stack!G$2:G$99411, "&lt;="&amp;EOMONTH(DATE(2025,11,1),0)
 ),
 IF(_xlpm.x=0, "-", _xlpm.x)
)</f>
        <v>-</v>
      </c>
      <c r="X292" s="56" t="str">
        <f>_xlfn.LET(
 _xlpm.x,
 _xlfn.MAXIFS(
  raw_stack!H$2:H$100000,
  raw_stack!D$2:D$100000, G292,
  raw_stack!F$2:F$100000, "Iya",
  raw_stack!G$2:G$100000, "&gt;="&amp;DATE(2025,11,1),
  raw_stack!G$2:G$100000, "&lt;="&amp;EOMONTH(DATE(2025,11,1),0)
 ),
 IF(OR(_xlpm.x=0, _xlpm.x=""), "-", _xlpm.x)
)</f>
        <v>-</v>
      </c>
      <c r="Y292" s="55" t="str">
        <f>_xlfn.LET(
 _xlpm.x,
 _xlfn.MAXIFS(
  raw_stack!G$2:G$99411,
  raw_stack!D$2:D$99411, G292,
  raw_stack!F$2:F$99411, "Iya",
  raw_stack!G$2:G$99411, "&gt;="&amp;DATE(2025,12,1),
  raw_stack!G$2:G$99411, "&lt;="&amp;EOMONTH(DATE(2025,12,1),0)
 ),
 IF(_xlpm.x=0, "-", _xlpm.x)
)</f>
        <v>-</v>
      </c>
      <c r="Z292" s="56" t="str">
        <f>_xlfn.LET(
 _xlpm.x,
 _xlfn.MAXIFS(
  raw_stack!H$2:H$100000,
  raw_stack!D$2:D$100000, G292,
  raw_stack!F$2:F$100000, "Iya",
  raw_stack!G$2:G$100000, "&gt;="&amp;DATE(2025,12,1),
  raw_stack!G$2:G$100000, "&lt;="&amp;EOMONTH(DATE(2025,12,1),0)
 ),
 IF(OR(_xlpm.x=0, _xlpm.x=""), "-", _xlpm.x)
)</f>
        <v>-</v>
      </c>
      <c r="AA292" s="55" t="str">
        <f>_xlfn.LET(
 _xlpm.x,
 _xlfn.MAXIFS(
  raw_stack!G$2:G$99411,
  raw_stack!D$2:D$99411, G292,
  raw_stack!F$2:F$99411, "Iya",
  raw_stack!G$2:G$99411, "&gt;="&amp;DATE(2026,1,1),
  raw_stack!G$2:G$99411, "&lt;="&amp;EOMONTH(DATE(2026,1,1),0)
 ),
 IF(_xlpm.x=0, "-", _xlpm.x)
)</f>
        <v>-</v>
      </c>
      <c r="AB292" s="56" t="str">
        <f>_xlfn.LET(
 _xlpm.x,
 _xlfn.MAXIFS(
  raw_stack!H$2:H$100000,
  raw_stack!D$2:D$100000, G292,
  raw_stack!F$2:F$100000, "Iya",
  raw_stack!G$2:G$100000, "&gt;="&amp;DATE(2026,1,1),
  raw_stack!G$2:G$100000, "&lt;="&amp;EOMONTH(DATE(2026,1,1),0)
 ),
 IF(OR(_xlpm.x=0, _xlpm.x=""), "-", _xlpm.x)
)</f>
        <v>-</v>
      </c>
      <c r="AC292" s="55" t="str">
        <f>_xlfn.LET(
 _xlpm.x,
 _xlfn.MAXIFS(
  raw_stack!G$2:G$99411,
  raw_stack!D$2:D$99411, G292,
  raw_stack!F$2:F$99411, "Iya",
  raw_stack!G$2:G$99411, "&gt;="&amp;DATE(2026,2,1),
  raw_stack!G$2:G$99411, "&lt;="&amp;EOMONTH(DATE(2026,2,1),0)
 ),
 IF(_xlpm.x=0, "-", _xlpm.x)
)</f>
        <v>-</v>
      </c>
      <c r="AD292" s="56" t="str">
        <f>_xlfn.LET(
 _xlpm.x,
 _xlfn.MAXIFS(
  raw_stack!H$2:H$100000,
  raw_stack!D$2:D$100000, G292,
  raw_stack!F$2:F$100000, "Iya",
  raw_stack!G$2:G$100000, "&gt;="&amp;DATE(2026,2,1),
  raw_stack!G$2:G$100000, "&lt;="&amp;EOMONTH(DATE(2026,2,1),0)
 ),
 IF(OR(_xlpm.x=0, _xlpm.x=""), "-", _xlpm.x)
)</f>
        <v>-</v>
      </c>
      <c r="AE292" s="55" t="str">
        <f>_xlfn.LET(
 _xlpm.x,
 _xlfn.MAXIFS(
  raw_stack!G$2:G$100000,
  raw_stack!D$2:D$100000, G292,
  raw_stack!F$2:F$100000, "Iya",
  raw_stack!G$2:G$100000, "&gt;="&amp;DATE(2026,3,1),
  raw_stack!G$2:G$100000, "&lt;="&amp;EOMONTH(DATE(2026,3,1),0)
 ),
 IF(_xlpm.x=0, "-", _xlpm.x)
)</f>
        <v>-</v>
      </c>
      <c r="AF292" s="56" t="str">
        <f>_xlfn.LET(
 _xlpm.x,
 _xlfn.MAXIFS(
  raw_stack!H$2:H$100000,
  raw_stack!D$2:D$100000, G292,
  raw_stack!F$2:F$100000, "Iya",
  raw_stack!G$2:G$100000, "&gt;="&amp;DATE(2026,3,1),
  raw_stack!G$2:G$100000, "&lt;="&amp;EOMONTH(DATE(2026,3,1),0)
 ),
 IF(OR(_xlpm.x=0, _xlpm.x=""), "-", _xlpm.x)
)</f>
        <v>-</v>
      </c>
      <c r="AG292" s="55" t="str">
        <f>_xlfn.LET(
 _xlpm.x,
 _xlfn.MAXIFS(
  raw_stack!G$2:G$100000,
  raw_stack!D$2:D$100000, G292,
  raw_stack!F$2:F$100000, "Iya",
  raw_stack!G$2:G$100000, "&gt;="&amp;DATE(2026,4,1),
  raw_stack!G$2:G$100000, "&lt;="&amp;EOMONTH(DATE(2026,4,1),0)
 ),
 IF(_xlpm.x=0, "-", _xlpm.x)
)</f>
        <v>-</v>
      </c>
      <c r="AH292" s="56" t="str">
        <f>_xlfn.LET(
 _xlpm.x,
 _xlfn.MAXIFS(
  raw_stack!H$2:H$100000,
  raw_stack!D$2:D$100000, G292,
  raw_stack!F$2:F$100000, "Iya",
  raw_stack!G$2:G$100000, "&gt;="&amp;DATE(2026,4,1),
  raw_stack!G$2:G$100000, "&lt;="&amp;EOMONTH(DATE(2026,4,1),0)
 ),
 IF(OR(_xlpm.x=0, _xlpm.x=""), "-", _xlpm.x)
)</f>
        <v>-</v>
      </c>
    </row>
    <row r="293" spans="1:34">
      <c r="A293" s="48">
        <v>292</v>
      </c>
      <c r="B293" s="49" t="str">
        <f t="shared" si="4"/>
        <v>66668</v>
      </c>
      <c r="C293" s="50" t="s">
        <v>46</v>
      </c>
      <c r="D293" s="51" t="s">
        <v>563</v>
      </c>
      <c r="E293" s="51" t="s">
        <v>51</v>
      </c>
      <c r="F293" s="49" t="s">
        <v>117</v>
      </c>
      <c r="G293" s="49" t="s">
        <v>409</v>
      </c>
      <c r="H293" s="49" t="s">
        <v>48</v>
      </c>
      <c r="I293" s="49" t="s">
        <v>52</v>
      </c>
      <c r="J293" s="52">
        <v>3880000</v>
      </c>
      <c r="K293" s="53">
        <v>45947</v>
      </c>
      <c r="L293" s="53">
        <v>47042</v>
      </c>
      <c r="M293" s="53">
        <v>46069</v>
      </c>
      <c r="N293" s="49" t="s">
        <v>50</v>
      </c>
      <c r="O293" s="54" t="str">
        <f>_xlfn.LET(
 _xlpm.x,
 _xlfn.MAXIFS(
  raw_stack!G$2:G$100000,
  raw_stack!D$2:D$100000, G293,
  raw_stack!F$2:F$100000, "Iya",
  raw_stack!G$2:G$100000, "&gt;="&amp;DATE(2025,7,1),
  raw_stack!G$2:G$100000, "&lt;="&amp;EOMONTH(DATE(2025,7,1),0)
 ),
 IF(_xlpm.x=0, "-", _xlpm.x)
)</f>
        <v>-</v>
      </c>
      <c r="P293" s="65" t="str">
        <f>_xlfn.LET(
 _xlpm.x,
 _xlfn.MAXIFS(
  raw_stack!H$2:H$100000,
  raw_stack!D$2:D$100000, G293,
  raw_stack!F$2:F$100000, "Iya",
  raw_stack!G$2:G$100000, "&gt;="&amp;DATE(2025,7,1),
  raw_stack!G$2:G$100000, "&lt;="&amp;EOMONTH(DATE(2025,7,1),0)
 ),
 IF(OR(_xlpm.x=0, _xlpm.x=""), "-", _xlpm.x)
)</f>
        <v>-</v>
      </c>
      <c r="Q293" s="54" t="str">
        <f>_xlfn.LET(
 _xlpm.x,
 _xlfn.MAXIFS(
  raw_stack!G$2:G$99411,
  raw_stack!D$2:D$99411, G293,
  raw_stack!F$2:F$99411, "Iya",
  raw_stack!G$2:G$99411, "&gt;="&amp;DATE(2025,8,1),
  raw_stack!G$2:G$99411, "&lt;="&amp;EOMONTH(DATE(2025,8,1),0)
 ),
 IF(_xlpm.x=0, "-", _xlpm.x)
)</f>
        <v>-</v>
      </c>
      <c r="R293" s="65" t="str">
        <f>_xlfn.LET(
 _xlpm.x,
 _xlfn.MAXIFS(
  raw_stack!H$2:H$100000,
  raw_stack!D$2:D$100000, G293,
  raw_stack!F$2:F$100000, "Iya",
  raw_stack!G$2:G$100000, "&gt;="&amp;DATE(2025,8,1),
  raw_stack!G$2:G$100000, "&lt;="&amp;EOMONTH(DATE(2025,8,1),0)
 ),
 IF(OR(_xlpm.x=0, _xlpm.x=""), "-", _xlpm.x)
)</f>
        <v>-</v>
      </c>
      <c r="S293" s="54" t="str">
        <f>_xlfn.LET(
 _xlpm.x,
 _xlfn.MAXIFS(
  raw_stack!G$2:G$99411,
  raw_stack!D$2:D$99411, G293,
  raw_stack!F$2:F$99411, "Iya",
  raw_stack!G$2:G$99411, "&gt;="&amp;DATE(2025,9,1),
  raw_stack!G$2:G$99411, "&lt;="&amp;EOMONTH(DATE(2025,9,1),0)
 ),
 IF(_xlpm.x=0, "-", _xlpm.x)
)</f>
        <v>-</v>
      </c>
      <c r="T293" s="65" t="str">
        <f>_xlfn.LET(
 _xlpm.x,
 _xlfn.MAXIFS(
  raw_stack!H$2:H$100000,
  raw_stack!D$2:D$100000, G293,
  raw_stack!F$2:F$100000, "Iya",
  raw_stack!G$2:G$100000, "&gt;="&amp;DATE(2025,9,1),
  raw_stack!G$2:G$100000, "&lt;="&amp;EOMONTH(DATE(2025,9,1),0)
 ),
 IF(OR(_xlpm.x=0, _xlpm.x=""), "-", _xlpm.x)
)</f>
        <v>-</v>
      </c>
      <c r="U293" s="54">
        <f>_xlfn.LET(
 _xlpm.x,
 _xlfn.MAXIFS(
  raw_stack!G$2:G$99411,
  raw_stack!D$2:D$99411, G293,
  raw_stack!F$2:F$99411, "Iya",
  raw_stack!G$2:G$99411, "&gt;="&amp;DATE(2025,10,1),
  raw_stack!G$2:G$99411, "&lt;="&amp;EOMONTH(DATE(2025,10,1),0)
 ),
 IF(_xlpm.x=0, "-", _xlpm.x)
)</f>
        <v>45948</v>
      </c>
      <c r="V293" s="65">
        <f>_xlfn.LET(
 _xlpm.x,
 _xlfn.MAXIFS(
  raw_stack!H$2:H$100000,
  raw_stack!D$2:D$100000, G293,
  raw_stack!F$2:F$100000, "Iya",
  raw_stack!G$2:G$100000, "&gt;="&amp;DATE(2025,10,1),
  raw_stack!G$2:G$100000, "&lt;="&amp;EOMONTH(DATE(2025,10,1),0)
 ),
 IF(OR(_xlpm.x=0, _xlpm.x=""), "-", _xlpm.x)
)</f>
        <v>2840</v>
      </c>
      <c r="W293" s="55" t="str">
        <f>_xlfn.LET(
 _xlpm.x,
 _xlfn.MAXIFS(
  raw_stack!G$2:G$99411,
  raw_stack!D$2:D$99411, G293,
  raw_stack!F$2:F$99411, "Iya",
  raw_stack!G$2:G$99411, "&gt;="&amp;DATE(2025,11,1),
  raw_stack!G$2:G$99411, "&lt;="&amp;EOMONTH(DATE(2025,11,1),0)
 ),
 IF(_xlpm.x=0, "-", _xlpm.x)
)</f>
        <v>-</v>
      </c>
      <c r="X293" s="56" t="str">
        <f>_xlfn.LET(
 _xlpm.x,
 _xlfn.MAXIFS(
  raw_stack!H$2:H$100000,
  raw_stack!D$2:D$100000, G293,
  raw_stack!F$2:F$100000, "Iya",
  raw_stack!G$2:G$100000, "&gt;="&amp;DATE(2025,11,1),
  raw_stack!G$2:G$100000, "&lt;="&amp;EOMONTH(DATE(2025,11,1),0)
 ),
 IF(OR(_xlpm.x=0, _xlpm.x=""), "-", _xlpm.x)
)</f>
        <v>-</v>
      </c>
      <c r="Y293" s="55" t="str">
        <f>_xlfn.LET(
 _xlpm.x,
 _xlfn.MAXIFS(
  raw_stack!G$2:G$99411,
  raw_stack!D$2:D$99411, G293,
  raw_stack!F$2:F$99411, "Iya",
  raw_stack!G$2:G$99411, "&gt;="&amp;DATE(2025,12,1),
  raw_stack!G$2:G$99411, "&lt;="&amp;EOMONTH(DATE(2025,12,1),0)
 ),
 IF(_xlpm.x=0, "-", _xlpm.x)
)</f>
        <v>-</v>
      </c>
      <c r="Z293" s="56" t="str">
        <f>_xlfn.LET(
 _xlpm.x,
 _xlfn.MAXIFS(
  raw_stack!H$2:H$100000,
  raw_stack!D$2:D$100000, G293,
  raw_stack!F$2:F$100000, "Iya",
  raw_stack!G$2:G$100000, "&gt;="&amp;DATE(2025,12,1),
  raw_stack!G$2:G$100000, "&lt;="&amp;EOMONTH(DATE(2025,12,1),0)
 ),
 IF(OR(_xlpm.x=0, _xlpm.x=""), "-", _xlpm.x)
)</f>
        <v>-</v>
      </c>
      <c r="AA293" s="55" t="str">
        <f>_xlfn.LET(
 _xlpm.x,
 _xlfn.MAXIFS(
  raw_stack!G$2:G$99411,
  raw_stack!D$2:D$99411, G293,
  raw_stack!F$2:F$99411, "Iya",
  raw_stack!G$2:G$99411, "&gt;="&amp;DATE(2026,1,1),
  raw_stack!G$2:G$99411, "&lt;="&amp;EOMONTH(DATE(2026,1,1),0)
 ),
 IF(_xlpm.x=0, "-", _xlpm.x)
)</f>
        <v>-</v>
      </c>
      <c r="AB293" s="56" t="str">
        <f>_xlfn.LET(
 _xlpm.x,
 _xlfn.MAXIFS(
  raw_stack!H$2:H$100000,
  raw_stack!D$2:D$100000, G293,
  raw_stack!F$2:F$100000, "Iya",
  raw_stack!G$2:G$100000, "&gt;="&amp;DATE(2026,1,1),
  raw_stack!G$2:G$100000, "&lt;="&amp;EOMONTH(DATE(2026,1,1),0)
 ),
 IF(OR(_xlpm.x=0, _xlpm.x=""), "-", _xlpm.x)
)</f>
        <v>-</v>
      </c>
      <c r="AC293" s="55" t="str">
        <f>_xlfn.LET(
 _xlpm.x,
 _xlfn.MAXIFS(
  raw_stack!G$2:G$99411,
  raw_stack!D$2:D$99411, G293,
  raw_stack!F$2:F$99411, "Iya",
  raw_stack!G$2:G$99411, "&gt;="&amp;DATE(2026,2,1),
  raw_stack!G$2:G$99411, "&lt;="&amp;EOMONTH(DATE(2026,2,1),0)
 ),
 IF(_xlpm.x=0, "-", _xlpm.x)
)</f>
        <v>-</v>
      </c>
      <c r="AD293" s="56" t="str">
        <f>_xlfn.LET(
 _xlpm.x,
 _xlfn.MAXIFS(
  raw_stack!H$2:H$100000,
  raw_stack!D$2:D$100000, G293,
  raw_stack!F$2:F$100000, "Iya",
  raw_stack!G$2:G$100000, "&gt;="&amp;DATE(2026,2,1),
  raw_stack!G$2:G$100000, "&lt;="&amp;EOMONTH(DATE(2026,2,1),0)
 ),
 IF(OR(_xlpm.x=0, _xlpm.x=""), "-", _xlpm.x)
)</f>
        <v>-</v>
      </c>
      <c r="AE293" s="55" t="str">
        <f>_xlfn.LET(
 _xlpm.x,
 _xlfn.MAXIFS(
  raw_stack!G$2:G$100000,
  raw_stack!D$2:D$100000, G293,
  raw_stack!F$2:F$100000, "Iya",
  raw_stack!G$2:G$100000, "&gt;="&amp;DATE(2026,3,1),
  raw_stack!G$2:G$100000, "&lt;="&amp;EOMONTH(DATE(2026,3,1),0)
 ),
 IF(_xlpm.x=0, "-", _xlpm.x)
)</f>
        <v>-</v>
      </c>
      <c r="AF293" s="56" t="str">
        <f>_xlfn.LET(
 _xlpm.x,
 _xlfn.MAXIFS(
  raw_stack!H$2:H$100000,
  raw_stack!D$2:D$100000, G293,
  raw_stack!F$2:F$100000, "Iya",
  raw_stack!G$2:G$100000, "&gt;="&amp;DATE(2026,3,1),
  raw_stack!G$2:G$100000, "&lt;="&amp;EOMONTH(DATE(2026,3,1),0)
 ),
 IF(OR(_xlpm.x=0, _xlpm.x=""), "-", _xlpm.x)
)</f>
        <v>-</v>
      </c>
      <c r="AG293" s="55" t="str">
        <f>_xlfn.LET(
 _xlpm.x,
 _xlfn.MAXIFS(
  raw_stack!G$2:G$100000,
  raw_stack!D$2:D$100000, G293,
  raw_stack!F$2:F$100000, "Iya",
  raw_stack!G$2:G$100000, "&gt;="&amp;DATE(2026,4,1),
  raw_stack!G$2:G$100000, "&lt;="&amp;EOMONTH(DATE(2026,4,1),0)
 ),
 IF(_xlpm.x=0, "-", _xlpm.x)
)</f>
        <v>-</v>
      </c>
      <c r="AH293" s="56" t="str">
        <f>_xlfn.LET(
 _xlpm.x,
 _xlfn.MAXIFS(
  raw_stack!H$2:H$100000,
  raw_stack!D$2:D$100000, G293,
  raw_stack!F$2:F$100000, "Iya",
  raw_stack!G$2:G$100000, "&gt;="&amp;DATE(2026,4,1),
  raw_stack!G$2:G$100000, "&lt;="&amp;EOMONTH(DATE(2026,4,1),0)
 ),
 IF(OR(_xlpm.x=0, _xlpm.x=""), "-", _xlpm.x)
)</f>
        <v>-</v>
      </c>
    </row>
    <row r="294" spans="1:34">
      <c r="A294" s="48">
        <v>293</v>
      </c>
      <c r="B294" s="49" t="str">
        <f t="shared" si="4"/>
        <v>84546</v>
      </c>
      <c r="C294" s="50" t="s">
        <v>46</v>
      </c>
      <c r="D294" s="51" t="s">
        <v>690</v>
      </c>
      <c r="E294" s="51" t="s">
        <v>51</v>
      </c>
      <c r="F294" s="49" t="s">
        <v>117</v>
      </c>
      <c r="G294" s="49" t="s">
        <v>410</v>
      </c>
      <c r="H294" s="49" t="s">
        <v>48</v>
      </c>
      <c r="I294" s="49" t="s">
        <v>52</v>
      </c>
      <c r="J294" s="52">
        <v>3880000</v>
      </c>
      <c r="K294" s="53">
        <v>45947</v>
      </c>
      <c r="L294" s="53">
        <v>47042</v>
      </c>
      <c r="M294" s="53">
        <v>46069</v>
      </c>
      <c r="N294" s="49" t="s">
        <v>50</v>
      </c>
      <c r="O294" s="54" t="str">
        <f>_xlfn.LET(
 _xlpm.x,
 _xlfn.MAXIFS(
  raw_stack!G$2:G$100000,
  raw_stack!D$2:D$100000, G294,
  raw_stack!F$2:F$100000, "Iya",
  raw_stack!G$2:G$100000, "&gt;="&amp;DATE(2025,7,1),
  raw_stack!G$2:G$100000, "&lt;="&amp;EOMONTH(DATE(2025,7,1),0)
 ),
 IF(_xlpm.x=0, "-", _xlpm.x)
)</f>
        <v>-</v>
      </c>
      <c r="P294" s="65" t="str">
        <f>_xlfn.LET(
 _xlpm.x,
 _xlfn.MAXIFS(
  raw_stack!H$2:H$100000,
  raw_stack!D$2:D$100000, G294,
  raw_stack!F$2:F$100000, "Iya",
  raw_stack!G$2:G$100000, "&gt;="&amp;DATE(2025,7,1),
  raw_stack!G$2:G$100000, "&lt;="&amp;EOMONTH(DATE(2025,7,1),0)
 ),
 IF(OR(_xlpm.x=0, _xlpm.x=""), "-", _xlpm.x)
)</f>
        <v>-</v>
      </c>
      <c r="Q294" s="54" t="str">
        <f>_xlfn.LET(
 _xlpm.x,
 _xlfn.MAXIFS(
  raw_stack!G$2:G$99411,
  raw_stack!D$2:D$99411, G294,
  raw_stack!F$2:F$99411, "Iya",
  raw_stack!G$2:G$99411, "&gt;="&amp;DATE(2025,8,1),
  raw_stack!G$2:G$99411, "&lt;="&amp;EOMONTH(DATE(2025,8,1),0)
 ),
 IF(_xlpm.x=0, "-", _xlpm.x)
)</f>
        <v>-</v>
      </c>
      <c r="R294" s="65" t="str">
        <f>_xlfn.LET(
 _xlpm.x,
 _xlfn.MAXIFS(
  raw_stack!H$2:H$100000,
  raw_stack!D$2:D$100000, G294,
  raw_stack!F$2:F$100000, "Iya",
  raw_stack!G$2:G$100000, "&gt;="&amp;DATE(2025,8,1),
  raw_stack!G$2:G$100000, "&lt;="&amp;EOMONTH(DATE(2025,8,1),0)
 ),
 IF(OR(_xlpm.x=0, _xlpm.x=""), "-", _xlpm.x)
)</f>
        <v>-</v>
      </c>
      <c r="S294" s="54" t="str">
        <f>_xlfn.LET(
 _xlpm.x,
 _xlfn.MAXIFS(
  raw_stack!G$2:G$99411,
  raw_stack!D$2:D$99411, G294,
  raw_stack!F$2:F$99411, "Iya",
  raw_stack!G$2:G$99411, "&gt;="&amp;DATE(2025,9,1),
  raw_stack!G$2:G$99411, "&lt;="&amp;EOMONTH(DATE(2025,9,1),0)
 ),
 IF(_xlpm.x=0, "-", _xlpm.x)
)</f>
        <v>-</v>
      </c>
      <c r="T294" s="65" t="str">
        <f>_xlfn.LET(
 _xlpm.x,
 _xlfn.MAXIFS(
  raw_stack!H$2:H$100000,
  raw_stack!D$2:D$100000, G294,
  raw_stack!F$2:F$100000, "Iya",
  raw_stack!G$2:G$100000, "&gt;="&amp;DATE(2025,9,1),
  raw_stack!G$2:G$100000, "&lt;="&amp;EOMONTH(DATE(2025,9,1),0)
 ),
 IF(OR(_xlpm.x=0, _xlpm.x=""), "-", _xlpm.x)
)</f>
        <v>-</v>
      </c>
      <c r="U294" s="54" t="str">
        <f>_xlfn.LET(
 _xlpm.x,
 _xlfn.MAXIFS(
  raw_stack!G$2:G$99411,
  raw_stack!D$2:D$99411, G294,
  raw_stack!F$2:F$99411, "Iya",
  raw_stack!G$2:G$99411, "&gt;="&amp;DATE(2025,10,1),
  raw_stack!G$2:G$99411, "&lt;="&amp;EOMONTH(DATE(2025,10,1),0)
 ),
 IF(_xlpm.x=0, "-", _xlpm.x)
)</f>
        <v>-</v>
      </c>
      <c r="V294" s="65" t="str">
        <f>_xlfn.LET(
 _xlpm.x,
 _xlfn.MAXIFS(
  raw_stack!H$2:H$100000,
  raw_stack!D$2:D$100000, G294,
  raw_stack!F$2:F$100000, "Iya",
  raw_stack!G$2:G$100000, "&gt;="&amp;DATE(2025,10,1),
  raw_stack!G$2:G$100000, "&lt;="&amp;EOMONTH(DATE(2025,10,1),0)
 ),
 IF(OR(_xlpm.x=0, _xlpm.x=""), "-", _xlpm.x)
)</f>
        <v>-</v>
      </c>
      <c r="W294" s="55" t="str">
        <f>_xlfn.LET(
 _xlpm.x,
 _xlfn.MAXIFS(
  raw_stack!G$2:G$99411,
  raw_stack!D$2:D$99411, G294,
  raw_stack!F$2:F$99411, "Iya",
  raw_stack!G$2:G$99411, "&gt;="&amp;DATE(2025,11,1),
  raw_stack!G$2:G$99411, "&lt;="&amp;EOMONTH(DATE(2025,11,1),0)
 ),
 IF(_xlpm.x=0, "-", _xlpm.x)
)</f>
        <v>-</v>
      </c>
      <c r="X294" s="56" t="str">
        <f>_xlfn.LET(
 _xlpm.x,
 _xlfn.MAXIFS(
  raw_stack!H$2:H$100000,
  raw_stack!D$2:D$100000, G294,
  raw_stack!F$2:F$100000, "Iya",
  raw_stack!G$2:G$100000, "&gt;="&amp;DATE(2025,11,1),
  raw_stack!G$2:G$100000, "&lt;="&amp;EOMONTH(DATE(2025,11,1),0)
 ),
 IF(OR(_xlpm.x=0, _xlpm.x=""), "-", _xlpm.x)
)</f>
        <v>-</v>
      </c>
      <c r="Y294" s="55">
        <f>_xlfn.LET(
 _xlpm.x,
 _xlfn.MAXIFS(
  raw_stack!G$2:G$99411,
  raw_stack!D$2:D$99411, G294,
  raw_stack!F$2:F$99411, "Iya",
  raw_stack!G$2:G$99411, "&gt;="&amp;DATE(2025,12,1),
  raw_stack!G$2:G$99411, "&lt;="&amp;EOMONTH(DATE(2025,12,1),0)
 ),
 IF(_xlpm.x=0, "-", _xlpm.x)
)</f>
        <v>45994</v>
      </c>
      <c r="Z294" s="56">
        <f>_xlfn.LET(
 _xlpm.x,
 _xlfn.MAXIFS(
  raw_stack!H$2:H$100000,
  raw_stack!D$2:D$100000, G294,
  raw_stack!F$2:F$100000, "Iya",
  raw_stack!G$2:G$100000, "&gt;="&amp;DATE(2025,12,1),
  raw_stack!G$2:G$100000, "&lt;="&amp;EOMONTH(DATE(2025,12,1),0)
 ),
 IF(OR(_xlpm.x=0, _xlpm.x=""), "-", _xlpm.x)
)</f>
        <v>512</v>
      </c>
      <c r="AA294" s="55" t="str">
        <f>_xlfn.LET(
 _xlpm.x,
 _xlfn.MAXIFS(
  raw_stack!G$2:G$99411,
  raw_stack!D$2:D$99411, G294,
  raw_stack!F$2:F$99411, "Iya",
  raw_stack!G$2:G$99411, "&gt;="&amp;DATE(2026,1,1),
  raw_stack!G$2:G$99411, "&lt;="&amp;EOMONTH(DATE(2026,1,1),0)
 ),
 IF(_xlpm.x=0, "-", _xlpm.x)
)</f>
        <v>-</v>
      </c>
      <c r="AB294" s="56" t="str">
        <f>_xlfn.LET(
 _xlpm.x,
 _xlfn.MAXIFS(
  raw_stack!H$2:H$100000,
  raw_stack!D$2:D$100000, G294,
  raw_stack!F$2:F$100000, "Iya",
  raw_stack!G$2:G$100000, "&gt;="&amp;DATE(2026,1,1),
  raw_stack!G$2:G$100000, "&lt;="&amp;EOMONTH(DATE(2026,1,1),0)
 ),
 IF(OR(_xlpm.x=0, _xlpm.x=""), "-", _xlpm.x)
)</f>
        <v>-</v>
      </c>
      <c r="AC294" s="55" t="str">
        <f>_xlfn.LET(
 _xlpm.x,
 _xlfn.MAXIFS(
  raw_stack!G$2:G$99411,
  raw_stack!D$2:D$99411, G294,
  raw_stack!F$2:F$99411, "Iya",
  raw_stack!G$2:G$99411, "&gt;="&amp;DATE(2026,2,1),
  raw_stack!G$2:G$99411, "&lt;="&amp;EOMONTH(DATE(2026,2,1),0)
 ),
 IF(_xlpm.x=0, "-", _xlpm.x)
)</f>
        <v>-</v>
      </c>
      <c r="AD294" s="56" t="str">
        <f>_xlfn.LET(
 _xlpm.x,
 _xlfn.MAXIFS(
  raw_stack!H$2:H$100000,
  raw_stack!D$2:D$100000, G294,
  raw_stack!F$2:F$100000, "Iya",
  raw_stack!G$2:G$100000, "&gt;="&amp;DATE(2026,2,1),
  raw_stack!G$2:G$100000, "&lt;="&amp;EOMONTH(DATE(2026,2,1),0)
 ),
 IF(OR(_xlpm.x=0, _xlpm.x=""), "-", _xlpm.x)
)</f>
        <v>-</v>
      </c>
      <c r="AE294" s="55" t="str">
        <f>_xlfn.LET(
 _xlpm.x,
 _xlfn.MAXIFS(
  raw_stack!G$2:G$100000,
  raw_stack!D$2:D$100000, G294,
  raw_stack!F$2:F$100000, "Iya",
  raw_stack!G$2:G$100000, "&gt;="&amp;DATE(2026,3,1),
  raw_stack!G$2:G$100000, "&lt;="&amp;EOMONTH(DATE(2026,3,1),0)
 ),
 IF(_xlpm.x=0, "-", _xlpm.x)
)</f>
        <v>-</v>
      </c>
      <c r="AF294" s="56" t="str">
        <f>_xlfn.LET(
 _xlpm.x,
 _xlfn.MAXIFS(
  raw_stack!H$2:H$100000,
  raw_stack!D$2:D$100000, G294,
  raw_stack!F$2:F$100000, "Iya",
  raw_stack!G$2:G$100000, "&gt;="&amp;DATE(2026,3,1),
  raw_stack!G$2:G$100000, "&lt;="&amp;EOMONTH(DATE(2026,3,1),0)
 ),
 IF(OR(_xlpm.x=0, _xlpm.x=""), "-", _xlpm.x)
)</f>
        <v>-</v>
      </c>
      <c r="AG294" s="55" t="str">
        <f>_xlfn.LET(
 _xlpm.x,
 _xlfn.MAXIFS(
  raw_stack!G$2:G$100000,
  raw_stack!D$2:D$100000, G294,
  raw_stack!F$2:F$100000, "Iya",
  raw_stack!G$2:G$100000, "&gt;="&amp;DATE(2026,4,1),
  raw_stack!G$2:G$100000, "&lt;="&amp;EOMONTH(DATE(2026,4,1),0)
 ),
 IF(_xlpm.x=0, "-", _xlpm.x)
)</f>
        <v>-</v>
      </c>
      <c r="AH294" s="56" t="str">
        <f>_xlfn.LET(
 _xlpm.x,
 _xlfn.MAXIFS(
  raw_stack!H$2:H$100000,
  raw_stack!D$2:D$100000, G294,
  raw_stack!F$2:F$100000, "Iya",
  raw_stack!G$2:G$100000, "&gt;="&amp;DATE(2026,4,1),
  raw_stack!G$2:G$100000, "&lt;="&amp;EOMONTH(DATE(2026,4,1),0)
 ),
 IF(OR(_xlpm.x=0, _xlpm.x=""), "-", _xlpm.x)
)</f>
        <v>-</v>
      </c>
    </row>
    <row r="295" spans="1:34">
      <c r="A295" s="48">
        <v>294</v>
      </c>
      <c r="B295" s="49" t="str">
        <f t="shared" si="4"/>
        <v>95009</v>
      </c>
      <c r="C295" s="50" t="s">
        <v>46</v>
      </c>
      <c r="D295" s="51" t="s">
        <v>561</v>
      </c>
      <c r="E295" s="51" t="s">
        <v>51</v>
      </c>
      <c r="F295" s="49" t="s">
        <v>117</v>
      </c>
      <c r="G295" s="49" t="s">
        <v>411</v>
      </c>
      <c r="H295" s="49" t="s">
        <v>48</v>
      </c>
      <c r="I295" s="49" t="s">
        <v>52</v>
      </c>
      <c r="J295" s="52">
        <v>3880000</v>
      </c>
      <c r="K295" s="53">
        <v>45947</v>
      </c>
      <c r="L295" s="53">
        <v>47042</v>
      </c>
      <c r="M295" s="53">
        <v>46069</v>
      </c>
      <c r="N295" s="49" t="s">
        <v>50</v>
      </c>
      <c r="O295" s="54" t="str">
        <f>_xlfn.LET(
 _xlpm.x,
 _xlfn.MAXIFS(
  raw_stack!G$2:G$100000,
  raw_stack!D$2:D$100000, G295,
  raw_stack!F$2:F$100000, "Iya",
  raw_stack!G$2:G$100000, "&gt;="&amp;DATE(2025,7,1),
  raw_stack!G$2:G$100000, "&lt;="&amp;EOMONTH(DATE(2025,7,1),0)
 ),
 IF(_xlpm.x=0, "-", _xlpm.x)
)</f>
        <v>-</v>
      </c>
      <c r="P295" s="65" t="str">
        <f>_xlfn.LET(
 _xlpm.x,
 _xlfn.MAXIFS(
  raw_stack!H$2:H$100000,
  raw_stack!D$2:D$100000, G295,
  raw_stack!F$2:F$100000, "Iya",
  raw_stack!G$2:G$100000, "&gt;="&amp;DATE(2025,7,1),
  raw_stack!G$2:G$100000, "&lt;="&amp;EOMONTH(DATE(2025,7,1),0)
 ),
 IF(OR(_xlpm.x=0, _xlpm.x=""), "-", _xlpm.x)
)</f>
        <v>-</v>
      </c>
      <c r="Q295" s="54" t="str">
        <f>_xlfn.LET(
 _xlpm.x,
 _xlfn.MAXIFS(
  raw_stack!G$2:G$99411,
  raw_stack!D$2:D$99411, G295,
  raw_stack!F$2:F$99411, "Iya",
  raw_stack!G$2:G$99411, "&gt;="&amp;DATE(2025,8,1),
  raw_stack!G$2:G$99411, "&lt;="&amp;EOMONTH(DATE(2025,8,1),0)
 ),
 IF(_xlpm.x=0, "-", _xlpm.x)
)</f>
        <v>-</v>
      </c>
      <c r="R295" s="65" t="str">
        <f>_xlfn.LET(
 _xlpm.x,
 _xlfn.MAXIFS(
  raw_stack!H$2:H$100000,
  raw_stack!D$2:D$100000, G295,
  raw_stack!F$2:F$100000, "Iya",
  raw_stack!G$2:G$100000, "&gt;="&amp;DATE(2025,8,1),
  raw_stack!G$2:G$100000, "&lt;="&amp;EOMONTH(DATE(2025,8,1),0)
 ),
 IF(OR(_xlpm.x=0, _xlpm.x=""), "-", _xlpm.x)
)</f>
        <v>-</v>
      </c>
      <c r="S295" s="54" t="str">
        <f>_xlfn.LET(
 _xlpm.x,
 _xlfn.MAXIFS(
  raw_stack!G$2:G$99411,
  raw_stack!D$2:D$99411, G295,
  raw_stack!F$2:F$99411, "Iya",
  raw_stack!G$2:G$99411, "&gt;="&amp;DATE(2025,9,1),
  raw_stack!G$2:G$99411, "&lt;="&amp;EOMONTH(DATE(2025,9,1),0)
 ),
 IF(_xlpm.x=0, "-", _xlpm.x)
)</f>
        <v>-</v>
      </c>
      <c r="T295" s="65" t="str">
        <f>_xlfn.LET(
 _xlpm.x,
 _xlfn.MAXIFS(
  raw_stack!H$2:H$100000,
  raw_stack!D$2:D$100000, G295,
  raw_stack!F$2:F$100000, "Iya",
  raw_stack!G$2:G$100000, "&gt;="&amp;DATE(2025,9,1),
  raw_stack!G$2:G$100000, "&lt;="&amp;EOMONTH(DATE(2025,9,1),0)
 ),
 IF(OR(_xlpm.x=0, _xlpm.x=""), "-", _xlpm.x)
)</f>
        <v>-</v>
      </c>
      <c r="U295" s="54">
        <f>_xlfn.LET(
 _xlpm.x,
 _xlfn.MAXIFS(
  raw_stack!G$2:G$99411,
  raw_stack!D$2:D$99411, G295,
  raw_stack!F$2:F$99411, "Iya",
  raw_stack!G$2:G$99411, "&gt;="&amp;DATE(2025,10,1),
  raw_stack!G$2:G$99411, "&lt;="&amp;EOMONTH(DATE(2025,10,1),0)
 ),
 IF(_xlpm.x=0, "-", _xlpm.x)
)</f>
        <v>45947</v>
      </c>
      <c r="V295" s="65">
        <f>_xlfn.LET(
 _xlpm.x,
 _xlfn.MAXIFS(
  raw_stack!H$2:H$100000,
  raw_stack!D$2:D$100000, G295,
  raw_stack!F$2:F$100000, "Iya",
  raw_stack!G$2:G$100000, "&gt;="&amp;DATE(2025,10,1),
  raw_stack!G$2:G$100000, "&lt;="&amp;EOMONTH(DATE(2025,10,1),0)
 ),
 IF(OR(_xlpm.x=0, _xlpm.x=""), "-", _xlpm.x)
)</f>
        <v>3652</v>
      </c>
      <c r="W295" s="55" t="str">
        <f>_xlfn.LET(
 _xlpm.x,
 _xlfn.MAXIFS(
  raw_stack!G$2:G$99411,
  raw_stack!D$2:D$99411, G295,
  raw_stack!F$2:F$99411, "Iya",
  raw_stack!G$2:G$99411, "&gt;="&amp;DATE(2025,11,1),
  raw_stack!G$2:G$99411, "&lt;="&amp;EOMONTH(DATE(2025,11,1),0)
 ),
 IF(_xlpm.x=0, "-", _xlpm.x)
)</f>
        <v>-</v>
      </c>
      <c r="X295" s="56" t="str">
        <f>_xlfn.LET(
 _xlpm.x,
 _xlfn.MAXIFS(
  raw_stack!H$2:H$100000,
  raw_stack!D$2:D$100000, G295,
  raw_stack!F$2:F$100000, "Iya",
  raw_stack!G$2:G$100000, "&gt;="&amp;DATE(2025,11,1),
  raw_stack!G$2:G$100000, "&lt;="&amp;EOMONTH(DATE(2025,11,1),0)
 ),
 IF(OR(_xlpm.x=0, _xlpm.x=""), "-", _xlpm.x)
)</f>
        <v>-</v>
      </c>
      <c r="Y295" s="55" t="str">
        <f>_xlfn.LET(
 _xlpm.x,
 _xlfn.MAXIFS(
  raw_stack!G$2:G$99411,
  raw_stack!D$2:D$99411, G295,
  raw_stack!F$2:F$99411, "Iya",
  raw_stack!G$2:G$99411, "&gt;="&amp;DATE(2025,12,1),
  raw_stack!G$2:G$99411, "&lt;="&amp;EOMONTH(DATE(2025,12,1),0)
 ),
 IF(_xlpm.x=0, "-", _xlpm.x)
)</f>
        <v>-</v>
      </c>
      <c r="Z295" s="56" t="str">
        <f>_xlfn.LET(
 _xlpm.x,
 _xlfn.MAXIFS(
  raw_stack!H$2:H$100000,
  raw_stack!D$2:D$100000, G295,
  raw_stack!F$2:F$100000, "Iya",
  raw_stack!G$2:G$100000, "&gt;="&amp;DATE(2025,12,1),
  raw_stack!G$2:G$100000, "&lt;="&amp;EOMONTH(DATE(2025,12,1),0)
 ),
 IF(OR(_xlpm.x=0, _xlpm.x=""), "-", _xlpm.x)
)</f>
        <v>-</v>
      </c>
      <c r="AA295" s="55" t="str">
        <f>_xlfn.LET(
 _xlpm.x,
 _xlfn.MAXIFS(
  raw_stack!G$2:G$99411,
  raw_stack!D$2:D$99411, G295,
  raw_stack!F$2:F$99411, "Iya",
  raw_stack!G$2:G$99411, "&gt;="&amp;DATE(2026,1,1),
  raw_stack!G$2:G$99411, "&lt;="&amp;EOMONTH(DATE(2026,1,1),0)
 ),
 IF(_xlpm.x=0, "-", _xlpm.x)
)</f>
        <v>-</v>
      </c>
      <c r="AB295" s="56" t="str">
        <f>_xlfn.LET(
 _xlpm.x,
 _xlfn.MAXIFS(
  raw_stack!H$2:H$100000,
  raw_stack!D$2:D$100000, G295,
  raw_stack!F$2:F$100000, "Iya",
  raw_stack!G$2:G$100000, "&gt;="&amp;DATE(2026,1,1),
  raw_stack!G$2:G$100000, "&lt;="&amp;EOMONTH(DATE(2026,1,1),0)
 ),
 IF(OR(_xlpm.x=0, _xlpm.x=""), "-", _xlpm.x)
)</f>
        <v>-</v>
      </c>
      <c r="AC295" s="55" t="str">
        <f>_xlfn.LET(
 _xlpm.x,
 _xlfn.MAXIFS(
  raw_stack!G$2:G$99411,
  raw_stack!D$2:D$99411, G295,
  raw_stack!F$2:F$99411, "Iya",
  raw_stack!G$2:G$99411, "&gt;="&amp;DATE(2026,2,1),
  raw_stack!G$2:G$99411, "&lt;="&amp;EOMONTH(DATE(2026,2,1),0)
 ),
 IF(_xlpm.x=0, "-", _xlpm.x)
)</f>
        <v>-</v>
      </c>
      <c r="AD295" s="56" t="str">
        <f>_xlfn.LET(
 _xlpm.x,
 _xlfn.MAXIFS(
  raw_stack!H$2:H$100000,
  raw_stack!D$2:D$100000, G295,
  raw_stack!F$2:F$100000, "Iya",
  raw_stack!G$2:G$100000, "&gt;="&amp;DATE(2026,2,1),
  raw_stack!G$2:G$100000, "&lt;="&amp;EOMONTH(DATE(2026,2,1),0)
 ),
 IF(OR(_xlpm.x=0, _xlpm.x=""), "-", _xlpm.x)
)</f>
        <v>-</v>
      </c>
      <c r="AE295" s="55" t="str">
        <f>_xlfn.LET(
 _xlpm.x,
 _xlfn.MAXIFS(
  raw_stack!G$2:G$100000,
  raw_stack!D$2:D$100000, G295,
  raw_stack!F$2:F$100000, "Iya",
  raw_stack!G$2:G$100000, "&gt;="&amp;DATE(2026,3,1),
  raw_stack!G$2:G$100000, "&lt;="&amp;EOMONTH(DATE(2026,3,1),0)
 ),
 IF(_xlpm.x=0, "-", _xlpm.x)
)</f>
        <v>-</v>
      </c>
      <c r="AF295" s="56" t="str">
        <f>_xlfn.LET(
 _xlpm.x,
 _xlfn.MAXIFS(
  raw_stack!H$2:H$100000,
  raw_stack!D$2:D$100000, G295,
  raw_stack!F$2:F$100000, "Iya",
  raw_stack!G$2:G$100000, "&gt;="&amp;DATE(2026,3,1),
  raw_stack!G$2:G$100000, "&lt;="&amp;EOMONTH(DATE(2026,3,1),0)
 ),
 IF(OR(_xlpm.x=0, _xlpm.x=""), "-", _xlpm.x)
)</f>
        <v>-</v>
      </c>
      <c r="AG295" s="55" t="str">
        <f>_xlfn.LET(
 _xlpm.x,
 _xlfn.MAXIFS(
  raw_stack!G$2:G$100000,
  raw_stack!D$2:D$100000, G295,
  raw_stack!F$2:F$100000, "Iya",
  raw_stack!G$2:G$100000, "&gt;="&amp;DATE(2026,4,1),
  raw_stack!G$2:G$100000, "&lt;="&amp;EOMONTH(DATE(2026,4,1),0)
 ),
 IF(_xlpm.x=0, "-", _xlpm.x)
)</f>
        <v>-</v>
      </c>
      <c r="AH295" s="56" t="str">
        <f>_xlfn.LET(
 _xlpm.x,
 _xlfn.MAXIFS(
  raw_stack!H$2:H$100000,
  raw_stack!D$2:D$100000, G295,
  raw_stack!F$2:F$100000, "Iya",
  raw_stack!G$2:G$100000, "&gt;="&amp;DATE(2026,4,1),
  raw_stack!G$2:G$100000, "&lt;="&amp;EOMONTH(DATE(2026,4,1),0)
 ),
 IF(OR(_xlpm.x=0, _xlpm.x=""), "-", _xlpm.x)
)</f>
        <v>-</v>
      </c>
    </row>
    <row r="296" spans="1:34">
      <c r="A296" s="48">
        <v>295</v>
      </c>
      <c r="B296" s="49" t="str">
        <f t="shared" si="4"/>
        <v>19849</v>
      </c>
      <c r="C296" s="50" t="s">
        <v>46</v>
      </c>
      <c r="D296" s="51" t="s">
        <v>691</v>
      </c>
      <c r="E296" s="51" t="s">
        <v>54</v>
      </c>
      <c r="F296" s="49" t="s">
        <v>117</v>
      </c>
      <c r="G296" s="49" t="s">
        <v>412</v>
      </c>
      <c r="H296" s="49" t="s">
        <v>48</v>
      </c>
      <c r="I296" s="49" t="s">
        <v>52</v>
      </c>
      <c r="J296" s="52">
        <v>6600000</v>
      </c>
      <c r="K296" s="53">
        <v>45950</v>
      </c>
      <c r="L296" s="53">
        <v>47045</v>
      </c>
      <c r="M296" s="53">
        <v>46072</v>
      </c>
      <c r="N296" s="49" t="s">
        <v>50</v>
      </c>
      <c r="O296" s="54" t="str">
        <f>_xlfn.LET(
 _xlpm.x,
 _xlfn.MAXIFS(
  raw_stack!G$2:G$100000,
  raw_stack!D$2:D$100000, G296,
  raw_stack!F$2:F$100000, "Iya",
  raw_stack!G$2:G$100000, "&gt;="&amp;DATE(2025,7,1),
  raw_stack!G$2:G$100000, "&lt;="&amp;EOMONTH(DATE(2025,7,1),0)
 ),
 IF(_xlpm.x=0, "-", _xlpm.x)
)</f>
        <v>-</v>
      </c>
      <c r="P296" s="65" t="str">
        <f>_xlfn.LET(
 _xlpm.x,
 _xlfn.MAXIFS(
  raw_stack!H$2:H$100000,
  raw_stack!D$2:D$100000, G296,
  raw_stack!F$2:F$100000, "Iya",
  raw_stack!G$2:G$100000, "&gt;="&amp;DATE(2025,7,1),
  raw_stack!G$2:G$100000, "&lt;="&amp;EOMONTH(DATE(2025,7,1),0)
 ),
 IF(OR(_xlpm.x=0, _xlpm.x=""), "-", _xlpm.x)
)</f>
        <v>-</v>
      </c>
      <c r="Q296" s="54" t="str">
        <f>_xlfn.LET(
 _xlpm.x,
 _xlfn.MAXIFS(
  raw_stack!G$2:G$99411,
  raw_stack!D$2:D$99411, G296,
  raw_stack!F$2:F$99411, "Iya",
  raw_stack!G$2:G$99411, "&gt;="&amp;DATE(2025,8,1),
  raw_stack!G$2:G$99411, "&lt;="&amp;EOMONTH(DATE(2025,8,1),0)
 ),
 IF(_xlpm.x=0, "-", _xlpm.x)
)</f>
        <v>-</v>
      </c>
      <c r="R296" s="65" t="str">
        <f>_xlfn.LET(
 _xlpm.x,
 _xlfn.MAXIFS(
  raw_stack!H$2:H$100000,
  raw_stack!D$2:D$100000, G296,
  raw_stack!F$2:F$100000, "Iya",
  raw_stack!G$2:G$100000, "&gt;="&amp;DATE(2025,8,1),
  raw_stack!G$2:G$100000, "&lt;="&amp;EOMONTH(DATE(2025,8,1),0)
 ),
 IF(OR(_xlpm.x=0, _xlpm.x=""), "-", _xlpm.x)
)</f>
        <v>-</v>
      </c>
      <c r="S296" s="54" t="str">
        <f>_xlfn.LET(
 _xlpm.x,
 _xlfn.MAXIFS(
  raw_stack!G$2:G$99411,
  raw_stack!D$2:D$99411, G296,
  raw_stack!F$2:F$99411, "Iya",
  raw_stack!G$2:G$99411, "&gt;="&amp;DATE(2025,9,1),
  raw_stack!G$2:G$99411, "&lt;="&amp;EOMONTH(DATE(2025,9,1),0)
 ),
 IF(_xlpm.x=0, "-", _xlpm.x)
)</f>
        <v>-</v>
      </c>
      <c r="T296" s="65" t="str">
        <f>_xlfn.LET(
 _xlpm.x,
 _xlfn.MAXIFS(
  raw_stack!H$2:H$100000,
  raw_stack!D$2:D$100000, G296,
  raw_stack!F$2:F$100000, "Iya",
  raw_stack!G$2:G$100000, "&gt;="&amp;DATE(2025,9,1),
  raw_stack!G$2:G$100000, "&lt;="&amp;EOMONTH(DATE(2025,9,1),0)
 ),
 IF(OR(_xlpm.x=0, _xlpm.x=""), "-", _xlpm.x)
)</f>
        <v>-</v>
      </c>
      <c r="U296" s="54">
        <f>_xlfn.LET(
 _xlpm.x,
 _xlfn.MAXIFS(
  raw_stack!G$2:G$99411,
  raw_stack!D$2:D$99411, G296,
  raw_stack!F$2:F$99411, "Iya",
  raw_stack!G$2:G$99411, "&gt;="&amp;DATE(2025,10,1),
  raw_stack!G$2:G$99411, "&lt;="&amp;EOMONTH(DATE(2025,10,1),0)
 ),
 IF(_xlpm.x=0, "-", _xlpm.x)
)</f>
        <v>45950</v>
      </c>
      <c r="V296" s="65">
        <f>_xlfn.LET(
 _xlpm.x,
 _xlfn.MAXIFS(
  raw_stack!H$2:H$100000,
  raw_stack!D$2:D$100000, G296,
  raw_stack!F$2:F$100000, "Iya",
  raw_stack!G$2:G$100000, "&gt;="&amp;DATE(2025,10,1),
  raw_stack!G$2:G$100000, "&lt;="&amp;EOMONTH(DATE(2025,10,1),0)
 ),
 IF(OR(_xlpm.x=0, _xlpm.x=""), "-", _xlpm.x)
)</f>
        <v>6375</v>
      </c>
      <c r="W296" s="55" t="str">
        <f>_xlfn.LET(
 _xlpm.x,
 _xlfn.MAXIFS(
  raw_stack!G$2:G$99411,
  raw_stack!D$2:D$99411, G296,
  raw_stack!F$2:F$99411, "Iya",
  raw_stack!G$2:G$99411, "&gt;="&amp;DATE(2025,11,1),
  raw_stack!G$2:G$99411, "&lt;="&amp;EOMONTH(DATE(2025,11,1),0)
 ),
 IF(_xlpm.x=0, "-", _xlpm.x)
)</f>
        <v>-</v>
      </c>
      <c r="X296" s="56" t="str">
        <f>_xlfn.LET(
 _xlpm.x,
 _xlfn.MAXIFS(
  raw_stack!H$2:H$100000,
  raw_stack!D$2:D$100000, G296,
  raw_stack!F$2:F$100000, "Iya",
  raw_stack!G$2:G$100000, "&gt;="&amp;DATE(2025,11,1),
  raw_stack!G$2:G$100000, "&lt;="&amp;EOMONTH(DATE(2025,11,1),0)
 ),
 IF(OR(_xlpm.x=0, _xlpm.x=""), "-", _xlpm.x)
)</f>
        <v>-</v>
      </c>
      <c r="Y296" s="55" t="str">
        <f>_xlfn.LET(
 _xlpm.x,
 _xlfn.MAXIFS(
  raw_stack!G$2:G$99411,
  raw_stack!D$2:D$99411, G296,
  raw_stack!F$2:F$99411, "Iya",
  raw_stack!G$2:G$99411, "&gt;="&amp;DATE(2025,12,1),
  raw_stack!G$2:G$99411, "&lt;="&amp;EOMONTH(DATE(2025,12,1),0)
 ),
 IF(_xlpm.x=0, "-", _xlpm.x)
)</f>
        <v>-</v>
      </c>
      <c r="Z296" s="56" t="str">
        <f>_xlfn.LET(
 _xlpm.x,
 _xlfn.MAXIFS(
  raw_stack!H$2:H$100000,
  raw_stack!D$2:D$100000, G296,
  raw_stack!F$2:F$100000, "Iya",
  raw_stack!G$2:G$100000, "&gt;="&amp;DATE(2025,12,1),
  raw_stack!G$2:G$100000, "&lt;="&amp;EOMONTH(DATE(2025,12,1),0)
 ),
 IF(OR(_xlpm.x=0, _xlpm.x=""), "-", _xlpm.x)
)</f>
        <v>-</v>
      </c>
      <c r="AA296" s="55" t="str">
        <f>_xlfn.LET(
 _xlpm.x,
 _xlfn.MAXIFS(
  raw_stack!G$2:G$99411,
  raw_stack!D$2:D$99411, G296,
  raw_stack!F$2:F$99411, "Iya",
  raw_stack!G$2:G$99411, "&gt;="&amp;DATE(2026,1,1),
  raw_stack!G$2:G$99411, "&lt;="&amp;EOMONTH(DATE(2026,1,1),0)
 ),
 IF(_xlpm.x=0, "-", _xlpm.x)
)</f>
        <v>-</v>
      </c>
      <c r="AB296" s="56" t="str">
        <f>_xlfn.LET(
 _xlpm.x,
 _xlfn.MAXIFS(
  raw_stack!H$2:H$100000,
  raw_stack!D$2:D$100000, G296,
  raw_stack!F$2:F$100000, "Iya",
  raw_stack!G$2:G$100000, "&gt;="&amp;DATE(2026,1,1),
  raw_stack!G$2:G$100000, "&lt;="&amp;EOMONTH(DATE(2026,1,1),0)
 ),
 IF(OR(_xlpm.x=0, _xlpm.x=""), "-", _xlpm.x)
)</f>
        <v>-</v>
      </c>
      <c r="AC296" s="55">
        <f>_xlfn.LET(
 _xlpm.x,
 _xlfn.MAXIFS(
  raw_stack!G$2:G$99411,
  raw_stack!D$2:D$99411, G296,
  raw_stack!F$2:F$99411, "Iya",
  raw_stack!G$2:G$99411, "&gt;="&amp;DATE(2026,2,1),
  raw_stack!G$2:G$99411, "&lt;="&amp;EOMONTH(DATE(2026,2,1),0)
 ),
 IF(_xlpm.x=0, "-", _xlpm.x)
)</f>
        <v>46074</v>
      </c>
      <c r="AD296" s="56">
        <f>_xlfn.LET(
 _xlpm.x,
 _xlfn.MAXIFS(
  raw_stack!H$2:H$100000,
  raw_stack!D$2:D$100000, G296,
  raw_stack!F$2:F$100000, "Iya",
  raw_stack!G$2:G$100000, "&gt;="&amp;DATE(2026,2,1),
  raw_stack!G$2:G$100000, "&lt;="&amp;EOMONTH(DATE(2026,2,1),0)
 ),
 IF(OR(_xlpm.x=0, _xlpm.x=""), "-", _xlpm.x)
)</f>
        <v>10997</v>
      </c>
      <c r="AE296" s="55" t="str">
        <f>_xlfn.LET(
 _xlpm.x,
 _xlfn.MAXIFS(
  raw_stack!G$2:G$100000,
  raw_stack!D$2:D$100000, G296,
  raw_stack!F$2:F$100000, "Iya",
  raw_stack!G$2:G$100000, "&gt;="&amp;DATE(2026,3,1),
  raw_stack!G$2:G$100000, "&lt;="&amp;EOMONTH(DATE(2026,3,1),0)
 ),
 IF(_xlpm.x=0, "-", _xlpm.x)
)</f>
        <v>-</v>
      </c>
      <c r="AF296" s="56" t="str">
        <f>_xlfn.LET(
 _xlpm.x,
 _xlfn.MAXIFS(
  raw_stack!H$2:H$100000,
  raw_stack!D$2:D$100000, G296,
  raw_stack!F$2:F$100000, "Iya",
  raw_stack!G$2:G$100000, "&gt;="&amp;DATE(2026,3,1),
  raw_stack!G$2:G$100000, "&lt;="&amp;EOMONTH(DATE(2026,3,1),0)
 ),
 IF(OR(_xlpm.x=0, _xlpm.x=""), "-", _xlpm.x)
)</f>
        <v>-</v>
      </c>
      <c r="AG296" s="55" t="str">
        <f>_xlfn.LET(
 _xlpm.x,
 _xlfn.MAXIFS(
  raw_stack!G$2:G$100000,
  raw_stack!D$2:D$100000, G296,
  raw_stack!F$2:F$100000, "Iya",
  raw_stack!G$2:G$100000, "&gt;="&amp;DATE(2026,4,1),
  raw_stack!G$2:G$100000, "&lt;="&amp;EOMONTH(DATE(2026,4,1),0)
 ),
 IF(_xlpm.x=0, "-", _xlpm.x)
)</f>
        <v>-</v>
      </c>
      <c r="AH296" s="56" t="str">
        <f>_xlfn.LET(
 _xlpm.x,
 _xlfn.MAXIFS(
  raw_stack!H$2:H$100000,
  raw_stack!D$2:D$100000, G296,
  raw_stack!F$2:F$100000, "Iya",
  raw_stack!G$2:G$100000, "&gt;="&amp;DATE(2026,4,1),
  raw_stack!G$2:G$100000, "&lt;="&amp;EOMONTH(DATE(2026,4,1),0)
 ),
 IF(OR(_xlpm.x=0, _xlpm.x=""), "-", _xlpm.x)
)</f>
        <v>-</v>
      </c>
    </row>
    <row r="297" spans="1:34">
      <c r="A297" s="48">
        <v>296</v>
      </c>
      <c r="B297" s="49" t="str">
        <f t="shared" si="4"/>
        <v>82123</v>
      </c>
      <c r="C297" s="50" t="s">
        <v>46</v>
      </c>
      <c r="D297" s="51" t="s">
        <v>566</v>
      </c>
      <c r="E297" s="51" t="s">
        <v>51</v>
      </c>
      <c r="F297" s="49" t="s">
        <v>117</v>
      </c>
      <c r="G297" s="49" t="s">
        <v>413</v>
      </c>
      <c r="H297" s="49" t="s">
        <v>48</v>
      </c>
      <c r="I297" s="49" t="s">
        <v>52</v>
      </c>
      <c r="J297" s="52">
        <v>3880000</v>
      </c>
      <c r="K297" s="53">
        <v>45951</v>
      </c>
      <c r="L297" s="53">
        <v>47046</v>
      </c>
      <c r="M297" s="53">
        <v>46073</v>
      </c>
      <c r="N297" s="49" t="s">
        <v>50</v>
      </c>
      <c r="O297" s="54" t="str">
        <f>_xlfn.LET(
 _xlpm.x,
 _xlfn.MAXIFS(
  raw_stack!G$2:G$100000,
  raw_stack!D$2:D$100000, G297,
  raw_stack!F$2:F$100000, "Iya",
  raw_stack!G$2:G$100000, "&gt;="&amp;DATE(2025,7,1),
  raw_stack!G$2:G$100000, "&lt;="&amp;EOMONTH(DATE(2025,7,1),0)
 ),
 IF(_xlpm.x=0, "-", _xlpm.x)
)</f>
        <v>-</v>
      </c>
      <c r="P297" s="65" t="str">
        <f>_xlfn.LET(
 _xlpm.x,
 _xlfn.MAXIFS(
  raw_stack!H$2:H$100000,
  raw_stack!D$2:D$100000, G297,
  raw_stack!F$2:F$100000, "Iya",
  raw_stack!G$2:G$100000, "&gt;="&amp;DATE(2025,7,1),
  raw_stack!G$2:G$100000, "&lt;="&amp;EOMONTH(DATE(2025,7,1),0)
 ),
 IF(OR(_xlpm.x=0, _xlpm.x=""), "-", _xlpm.x)
)</f>
        <v>-</v>
      </c>
      <c r="Q297" s="54" t="str">
        <f>_xlfn.LET(
 _xlpm.x,
 _xlfn.MAXIFS(
  raw_stack!G$2:G$99411,
  raw_stack!D$2:D$99411, G297,
  raw_stack!F$2:F$99411, "Iya",
  raw_stack!G$2:G$99411, "&gt;="&amp;DATE(2025,8,1),
  raw_stack!G$2:G$99411, "&lt;="&amp;EOMONTH(DATE(2025,8,1),0)
 ),
 IF(_xlpm.x=0, "-", _xlpm.x)
)</f>
        <v>-</v>
      </c>
      <c r="R297" s="65" t="str">
        <f>_xlfn.LET(
 _xlpm.x,
 _xlfn.MAXIFS(
  raw_stack!H$2:H$100000,
  raw_stack!D$2:D$100000, G297,
  raw_stack!F$2:F$100000, "Iya",
  raw_stack!G$2:G$100000, "&gt;="&amp;DATE(2025,8,1),
  raw_stack!G$2:G$100000, "&lt;="&amp;EOMONTH(DATE(2025,8,1),0)
 ),
 IF(OR(_xlpm.x=0, _xlpm.x=""), "-", _xlpm.x)
)</f>
        <v>-</v>
      </c>
      <c r="S297" s="54" t="str">
        <f>_xlfn.LET(
 _xlpm.x,
 _xlfn.MAXIFS(
  raw_stack!G$2:G$99411,
  raw_stack!D$2:D$99411, G297,
  raw_stack!F$2:F$99411, "Iya",
  raw_stack!G$2:G$99411, "&gt;="&amp;DATE(2025,9,1),
  raw_stack!G$2:G$99411, "&lt;="&amp;EOMONTH(DATE(2025,9,1),0)
 ),
 IF(_xlpm.x=0, "-", _xlpm.x)
)</f>
        <v>-</v>
      </c>
      <c r="T297" s="65" t="str">
        <f>_xlfn.LET(
 _xlpm.x,
 _xlfn.MAXIFS(
  raw_stack!H$2:H$100000,
  raw_stack!D$2:D$100000, G297,
  raw_stack!F$2:F$100000, "Iya",
  raw_stack!G$2:G$100000, "&gt;="&amp;DATE(2025,9,1),
  raw_stack!G$2:G$100000, "&lt;="&amp;EOMONTH(DATE(2025,9,1),0)
 ),
 IF(OR(_xlpm.x=0, _xlpm.x=""), "-", _xlpm.x)
)</f>
        <v>-</v>
      </c>
      <c r="U297" s="54">
        <f>_xlfn.LET(
 _xlpm.x,
 _xlfn.MAXIFS(
  raw_stack!G$2:G$99411,
  raw_stack!D$2:D$99411, G297,
  raw_stack!F$2:F$99411, "Iya",
  raw_stack!G$2:G$99411, "&gt;="&amp;DATE(2025,10,1),
  raw_stack!G$2:G$99411, "&lt;="&amp;EOMONTH(DATE(2025,10,1),0)
 ),
 IF(_xlpm.x=0, "-", _xlpm.x)
)</f>
        <v>45961</v>
      </c>
      <c r="V297" s="65">
        <f>_xlfn.LET(
 _xlpm.x,
 _xlfn.MAXIFS(
  raw_stack!H$2:H$100000,
  raw_stack!D$2:D$100000, G297,
  raw_stack!F$2:F$100000, "Iya",
  raw_stack!G$2:G$100000, "&gt;="&amp;DATE(2025,10,1),
  raw_stack!G$2:G$100000, "&lt;="&amp;EOMONTH(DATE(2025,10,1),0)
 ),
 IF(OR(_xlpm.x=0, _xlpm.x=""), "-", _xlpm.x)
)</f>
        <v>5078</v>
      </c>
      <c r="W297" s="55" t="str">
        <f>_xlfn.LET(
 _xlpm.x,
 _xlfn.MAXIFS(
  raw_stack!G$2:G$99411,
  raw_stack!D$2:D$99411, G297,
  raw_stack!F$2:F$99411, "Iya",
  raw_stack!G$2:G$99411, "&gt;="&amp;DATE(2025,11,1),
  raw_stack!G$2:G$99411, "&lt;="&amp;EOMONTH(DATE(2025,11,1),0)
 ),
 IF(_xlpm.x=0, "-", _xlpm.x)
)</f>
        <v>-</v>
      </c>
      <c r="X297" s="56" t="str">
        <f>_xlfn.LET(
 _xlpm.x,
 _xlfn.MAXIFS(
  raw_stack!H$2:H$100000,
  raw_stack!D$2:D$100000, G297,
  raw_stack!F$2:F$100000, "Iya",
  raw_stack!G$2:G$100000, "&gt;="&amp;DATE(2025,11,1),
  raw_stack!G$2:G$100000, "&lt;="&amp;EOMONTH(DATE(2025,11,1),0)
 ),
 IF(OR(_xlpm.x=0, _xlpm.x=""), "-", _xlpm.x)
)</f>
        <v>-</v>
      </c>
      <c r="Y297" s="55" t="str">
        <f>_xlfn.LET(
 _xlpm.x,
 _xlfn.MAXIFS(
  raw_stack!G$2:G$99411,
  raw_stack!D$2:D$99411, G297,
  raw_stack!F$2:F$99411, "Iya",
  raw_stack!G$2:G$99411, "&gt;="&amp;DATE(2025,12,1),
  raw_stack!G$2:G$99411, "&lt;="&amp;EOMONTH(DATE(2025,12,1),0)
 ),
 IF(_xlpm.x=0, "-", _xlpm.x)
)</f>
        <v>-</v>
      </c>
      <c r="Z297" s="56" t="str">
        <f>_xlfn.LET(
 _xlpm.x,
 _xlfn.MAXIFS(
  raw_stack!H$2:H$100000,
  raw_stack!D$2:D$100000, G297,
  raw_stack!F$2:F$100000, "Iya",
  raw_stack!G$2:G$100000, "&gt;="&amp;DATE(2025,12,1),
  raw_stack!G$2:G$100000, "&lt;="&amp;EOMONTH(DATE(2025,12,1),0)
 ),
 IF(OR(_xlpm.x=0, _xlpm.x=""), "-", _xlpm.x)
)</f>
        <v>-</v>
      </c>
      <c r="AA297" s="55" t="str">
        <f>_xlfn.LET(
 _xlpm.x,
 _xlfn.MAXIFS(
  raw_stack!G$2:G$99411,
  raw_stack!D$2:D$99411, G297,
  raw_stack!F$2:F$99411, "Iya",
  raw_stack!G$2:G$99411, "&gt;="&amp;DATE(2026,1,1),
  raw_stack!G$2:G$99411, "&lt;="&amp;EOMONTH(DATE(2026,1,1),0)
 ),
 IF(_xlpm.x=0, "-", _xlpm.x)
)</f>
        <v>-</v>
      </c>
      <c r="AB297" s="56" t="str">
        <f>_xlfn.LET(
 _xlpm.x,
 _xlfn.MAXIFS(
  raw_stack!H$2:H$100000,
  raw_stack!D$2:D$100000, G297,
  raw_stack!F$2:F$100000, "Iya",
  raw_stack!G$2:G$100000, "&gt;="&amp;DATE(2026,1,1),
  raw_stack!G$2:G$100000, "&lt;="&amp;EOMONTH(DATE(2026,1,1),0)
 ),
 IF(OR(_xlpm.x=0, _xlpm.x=""), "-", _xlpm.x)
)</f>
        <v>-</v>
      </c>
      <c r="AC297" s="55" t="str">
        <f>_xlfn.LET(
 _xlpm.x,
 _xlfn.MAXIFS(
  raw_stack!G$2:G$99411,
  raw_stack!D$2:D$99411, G297,
  raw_stack!F$2:F$99411, "Iya",
  raw_stack!G$2:G$99411, "&gt;="&amp;DATE(2026,2,1),
  raw_stack!G$2:G$99411, "&lt;="&amp;EOMONTH(DATE(2026,2,1),0)
 ),
 IF(_xlpm.x=0, "-", _xlpm.x)
)</f>
        <v>-</v>
      </c>
      <c r="AD297" s="56" t="str">
        <f>_xlfn.LET(
 _xlpm.x,
 _xlfn.MAXIFS(
  raw_stack!H$2:H$100000,
  raw_stack!D$2:D$100000, G297,
  raw_stack!F$2:F$100000, "Iya",
  raw_stack!G$2:G$100000, "&gt;="&amp;DATE(2026,2,1),
  raw_stack!G$2:G$100000, "&lt;="&amp;EOMONTH(DATE(2026,2,1),0)
 ),
 IF(OR(_xlpm.x=0, _xlpm.x=""), "-", _xlpm.x)
)</f>
        <v>-</v>
      </c>
      <c r="AE297" s="55" t="str">
        <f>_xlfn.LET(
 _xlpm.x,
 _xlfn.MAXIFS(
  raw_stack!G$2:G$100000,
  raw_stack!D$2:D$100000, G297,
  raw_stack!F$2:F$100000, "Iya",
  raw_stack!G$2:G$100000, "&gt;="&amp;DATE(2026,3,1),
  raw_stack!G$2:G$100000, "&lt;="&amp;EOMONTH(DATE(2026,3,1),0)
 ),
 IF(_xlpm.x=0, "-", _xlpm.x)
)</f>
        <v>-</v>
      </c>
      <c r="AF297" s="56" t="str">
        <f>_xlfn.LET(
 _xlpm.x,
 _xlfn.MAXIFS(
  raw_stack!H$2:H$100000,
  raw_stack!D$2:D$100000, G297,
  raw_stack!F$2:F$100000, "Iya",
  raw_stack!G$2:G$100000, "&gt;="&amp;DATE(2026,3,1),
  raw_stack!G$2:G$100000, "&lt;="&amp;EOMONTH(DATE(2026,3,1),0)
 ),
 IF(OR(_xlpm.x=0, _xlpm.x=""), "-", _xlpm.x)
)</f>
        <v>-</v>
      </c>
      <c r="AG297" s="55" t="str">
        <f>_xlfn.LET(
 _xlpm.x,
 _xlfn.MAXIFS(
  raw_stack!G$2:G$100000,
  raw_stack!D$2:D$100000, G297,
  raw_stack!F$2:F$100000, "Iya",
  raw_stack!G$2:G$100000, "&gt;="&amp;DATE(2026,4,1),
  raw_stack!G$2:G$100000, "&lt;="&amp;EOMONTH(DATE(2026,4,1),0)
 ),
 IF(_xlpm.x=0, "-", _xlpm.x)
)</f>
        <v>-</v>
      </c>
      <c r="AH297" s="56" t="str">
        <f>_xlfn.LET(
 _xlpm.x,
 _xlfn.MAXIFS(
  raw_stack!H$2:H$100000,
  raw_stack!D$2:D$100000, G297,
  raw_stack!F$2:F$100000, "Iya",
  raw_stack!G$2:G$100000, "&gt;="&amp;DATE(2026,4,1),
  raw_stack!G$2:G$100000, "&lt;="&amp;EOMONTH(DATE(2026,4,1),0)
 ),
 IF(OR(_xlpm.x=0, _xlpm.x=""), "-", _xlpm.x)
)</f>
        <v>-</v>
      </c>
    </row>
    <row r="298" spans="1:34">
      <c r="A298" s="48">
        <v>297</v>
      </c>
      <c r="B298" s="49" t="str">
        <f t="shared" si="4"/>
        <v>87716</v>
      </c>
      <c r="C298" s="50" t="s">
        <v>46</v>
      </c>
      <c r="D298" s="51" t="s">
        <v>692</v>
      </c>
      <c r="E298" s="51" t="s">
        <v>53</v>
      </c>
      <c r="F298" s="49" t="s">
        <v>117</v>
      </c>
      <c r="G298" s="49" t="s">
        <v>414</v>
      </c>
      <c r="H298" s="49" t="s">
        <v>48</v>
      </c>
      <c r="I298" s="49" t="s">
        <v>52</v>
      </c>
      <c r="J298" s="52">
        <v>3860000</v>
      </c>
      <c r="K298" s="53">
        <v>45957</v>
      </c>
      <c r="L298" s="53">
        <v>47052</v>
      </c>
      <c r="M298" s="53">
        <v>46079</v>
      </c>
      <c r="N298" s="49" t="s">
        <v>50</v>
      </c>
      <c r="O298" s="54" t="str">
        <f>_xlfn.LET(
 _xlpm.x,
 _xlfn.MAXIFS(
  raw_stack!G$2:G$100000,
  raw_stack!D$2:D$100000, G298,
  raw_stack!F$2:F$100000, "Iya",
  raw_stack!G$2:G$100000, "&gt;="&amp;DATE(2025,7,1),
  raw_stack!G$2:G$100000, "&lt;="&amp;EOMONTH(DATE(2025,7,1),0)
 ),
 IF(_xlpm.x=0, "-", _xlpm.x)
)</f>
        <v>-</v>
      </c>
      <c r="P298" s="65" t="str">
        <f>_xlfn.LET(
 _xlpm.x,
 _xlfn.MAXIFS(
  raw_stack!H$2:H$100000,
  raw_stack!D$2:D$100000, G298,
  raw_stack!F$2:F$100000, "Iya",
  raw_stack!G$2:G$100000, "&gt;="&amp;DATE(2025,7,1),
  raw_stack!G$2:G$100000, "&lt;="&amp;EOMONTH(DATE(2025,7,1),0)
 ),
 IF(OR(_xlpm.x=0, _xlpm.x=""), "-", _xlpm.x)
)</f>
        <v>-</v>
      </c>
      <c r="Q298" s="54" t="str">
        <f>_xlfn.LET(
 _xlpm.x,
 _xlfn.MAXIFS(
  raw_stack!G$2:G$99411,
  raw_stack!D$2:D$99411, G298,
  raw_stack!F$2:F$99411, "Iya",
  raw_stack!G$2:G$99411, "&gt;="&amp;DATE(2025,8,1),
  raw_stack!G$2:G$99411, "&lt;="&amp;EOMONTH(DATE(2025,8,1),0)
 ),
 IF(_xlpm.x=0, "-", _xlpm.x)
)</f>
        <v>-</v>
      </c>
      <c r="R298" s="65" t="str">
        <f>_xlfn.LET(
 _xlpm.x,
 _xlfn.MAXIFS(
  raw_stack!H$2:H$100000,
  raw_stack!D$2:D$100000, G298,
  raw_stack!F$2:F$100000, "Iya",
  raw_stack!G$2:G$100000, "&gt;="&amp;DATE(2025,8,1),
  raw_stack!G$2:G$100000, "&lt;="&amp;EOMONTH(DATE(2025,8,1),0)
 ),
 IF(OR(_xlpm.x=0, _xlpm.x=""), "-", _xlpm.x)
)</f>
        <v>-</v>
      </c>
      <c r="S298" s="54" t="str">
        <f>_xlfn.LET(
 _xlpm.x,
 _xlfn.MAXIFS(
  raw_stack!G$2:G$99411,
  raw_stack!D$2:D$99411, G298,
  raw_stack!F$2:F$99411, "Iya",
  raw_stack!G$2:G$99411, "&gt;="&amp;DATE(2025,9,1),
  raw_stack!G$2:G$99411, "&lt;="&amp;EOMONTH(DATE(2025,9,1),0)
 ),
 IF(_xlpm.x=0, "-", _xlpm.x)
)</f>
        <v>-</v>
      </c>
      <c r="T298" s="65" t="str">
        <f>_xlfn.LET(
 _xlpm.x,
 _xlfn.MAXIFS(
  raw_stack!H$2:H$100000,
  raw_stack!D$2:D$100000, G298,
  raw_stack!F$2:F$100000, "Iya",
  raw_stack!G$2:G$100000, "&gt;="&amp;DATE(2025,9,1),
  raw_stack!G$2:G$100000, "&lt;="&amp;EOMONTH(DATE(2025,9,1),0)
 ),
 IF(OR(_xlpm.x=0, _xlpm.x=""), "-", _xlpm.x)
)</f>
        <v>-</v>
      </c>
      <c r="U298" s="54">
        <f>_xlfn.LET(
 _xlpm.x,
 _xlfn.MAXIFS(
  raw_stack!G$2:G$99411,
  raw_stack!D$2:D$99411, G298,
  raw_stack!F$2:F$99411, "Iya",
  raw_stack!G$2:G$99411, "&gt;="&amp;DATE(2025,10,1),
  raw_stack!G$2:G$99411, "&lt;="&amp;EOMONTH(DATE(2025,10,1),0)
 ),
 IF(_xlpm.x=0, "-", _xlpm.x)
)</f>
        <v>45957</v>
      </c>
      <c r="V298" s="65">
        <f>_xlfn.LET(
 _xlpm.x,
 _xlfn.MAXIFS(
  raw_stack!H$2:H$100000,
  raw_stack!D$2:D$100000, G298,
  raw_stack!F$2:F$100000, "Iya",
  raw_stack!G$2:G$100000, "&gt;="&amp;DATE(2025,10,1),
  raw_stack!G$2:G$100000, "&lt;="&amp;EOMONTH(DATE(2025,10,1),0)
 ),
 IF(OR(_xlpm.x=0, _xlpm.x=""), "-", _xlpm.x)
)</f>
        <v>2524</v>
      </c>
      <c r="W298" s="55" t="str">
        <f>_xlfn.LET(
 _xlpm.x,
 _xlfn.MAXIFS(
  raw_stack!G$2:G$99411,
  raw_stack!D$2:D$99411, G298,
  raw_stack!F$2:F$99411, "Iya",
  raw_stack!G$2:G$99411, "&gt;="&amp;DATE(2025,11,1),
  raw_stack!G$2:G$99411, "&lt;="&amp;EOMONTH(DATE(2025,11,1),0)
 ),
 IF(_xlpm.x=0, "-", _xlpm.x)
)</f>
        <v>-</v>
      </c>
      <c r="X298" s="56" t="str">
        <f>_xlfn.LET(
 _xlpm.x,
 _xlfn.MAXIFS(
  raw_stack!H$2:H$100000,
  raw_stack!D$2:D$100000, G298,
  raw_stack!F$2:F$100000, "Iya",
  raw_stack!G$2:G$100000, "&gt;="&amp;DATE(2025,11,1),
  raw_stack!G$2:G$100000, "&lt;="&amp;EOMONTH(DATE(2025,11,1),0)
 ),
 IF(OR(_xlpm.x=0, _xlpm.x=""), "-", _xlpm.x)
)</f>
        <v>-</v>
      </c>
      <c r="Y298" s="55" t="str">
        <f>_xlfn.LET(
 _xlpm.x,
 _xlfn.MAXIFS(
  raw_stack!G$2:G$99411,
  raw_stack!D$2:D$99411, G298,
  raw_stack!F$2:F$99411, "Iya",
  raw_stack!G$2:G$99411, "&gt;="&amp;DATE(2025,12,1),
  raw_stack!G$2:G$99411, "&lt;="&amp;EOMONTH(DATE(2025,12,1),0)
 ),
 IF(_xlpm.x=0, "-", _xlpm.x)
)</f>
        <v>-</v>
      </c>
      <c r="Z298" s="56" t="str">
        <f>_xlfn.LET(
 _xlpm.x,
 _xlfn.MAXIFS(
  raw_stack!H$2:H$100000,
  raw_stack!D$2:D$100000, G298,
  raw_stack!F$2:F$100000, "Iya",
  raw_stack!G$2:G$100000, "&gt;="&amp;DATE(2025,12,1),
  raw_stack!G$2:G$100000, "&lt;="&amp;EOMONTH(DATE(2025,12,1),0)
 ),
 IF(OR(_xlpm.x=0, _xlpm.x=""), "-", _xlpm.x)
)</f>
        <v>-</v>
      </c>
      <c r="AA298" s="55" t="str">
        <f>_xlfn.LET(
 _xlpm.x,
 _xlfn.MAXIFS(
  raw_stack!G$2:G$99411,
  raw_stack!D$2:D$99411, G298,
  raw_stack!F$2:F$99411, "Iya",
  raw_stack!G$2:G$99411, "&gt;="&amp;DATE(2026,1,1),
  raw_stack!G$2:G$99411, "&lt;="&amp;EOMONTH(DATE(2026,1,1),0)
 ),
 IF(_xlpm.x=0, "-", _xlpm.x)
)</f>
        <v>-</v>
      </c>
      <c r="AB298" s="56" t="str">
        <f>_xlfn.LET(
 _xlpm.x,
 _xlfn.MAXIFS(
  raw_stack!H$2:H$100000,
  raw_stack!D$2:D$100000, G298,
  raw_stack!F$2:F$100000, "Iya",
  raw_stack!G$2:G$100000, "&gt;="&amp;DATE(2026,1,1),
  raw_stack!G$2:G$100000, "&lt;="&amp;EOMONTH(DATE(2026,1,1),0)
 ),
 IF(OR(_xlpm.x=0, _xlpm.x=""), "-", _xlpm.x)
)</f>
        <v>-</v>
      </c>
      <c r="AC298" s="55" t="str">
        <f>_xlfn.LET(
 _xlpm.x,
 _xlfn.MAXIFS(
  raw_stack!G$2:G$99411,
  raw_stack!D$2:D$99411, G298,
  raw_stack!F$2:F$99411, "Iya",
  raw_stack!G$2:G$99411, "&gt;="&amp;DATE(2026,2,1),
  raw_stack!G$2:G$99411, "&lt;="&amp;EOMONTH(DATE(2026,2,1),0)
 ),
 IF(_xlpm.x=0, "-", _xlpm.x)
)</f>
        <v>-</v>
      </c>
      <c r="AD298" s="56" t="str">
        <f>_xlfn.LET(
 _xlpm.x,
 _xlfn.MAXIFS(
  raw_stack!H$2:H$100000,
  raw_stack!D$2:D$100000, G298,
  raw_stack!F$2:F$100000, "Iya",
  raw_stack!G$2:G$100000, "&gt;="&amp;DATE(2026,2,1),
  raw_stack!G$2:G$100000, "&lt;="&amp;EOMONTH(DATE(2026,2,1),0)
 ),
 IF(OR(_xlpm.x=0, _xlpm.x=""), "-", _xlpm.x)
)</f>
        <v>-</v>
      </c>
      <c r="AE298" s="55" t="str">
        <f>_xlfn.LET(
 _xlpm.x,
 _xlfn.MAXIFS(
  raw_stack!G$2:G$100000,
  raw_stack!D$2:D$100000, G298,
  raw_stack!F$2:F$100000, "Iya",
  raw_stack!G$2:G$100000, "&gt;="&amp;DATE(2026,3,1),
  raw_stack!G$2:G$100000, "&lt;="&amp;EOMONTH(DATE(2026,3,1),0)
 ),
 IF(_xlpm.x=0, "-", _xlpm.x)
)</f>
        <v>-</v>
      </c>
      <c r="AF298" s="56" t="str">
        <f>_xlfn.LET(
 _xlpm.x,
 _xlfn.MAXIFS(
  raw_stack!H$2:H$100000,
  raw_stack!D$2:D$100000, G298,
  raw_stack!F$2:F$100000, "Iya",
  raw_stack!G$2:G$100000, "&gt;="&amp;DATE(2026,3,1),
  raw_stack!G$2:G$100000, "&lt;="&amp;EOMONTH(DATE(2026,3,1),0)
 ),
 IF(OR(_xlpm.x=0, _xlpm.x=""), "-", _xlpm.x)
)</f>
        <v>-</v>
      </c>
      <c r="AG298" s="55" t="str">
        <f>_xlfn.LET(
 _xlpm.x,
 _xlfn.MAXIFS(
  raw_stack!G$2:G$100000,
  raw_stack!D$2:D$100000, G298,
  raw_stack!F$2:F$100000, "Iya",
  raw_stack!G$2:G$100000, "&gt;="&amp;DATE(2026,4,1),
  raw_stack!G$2:G$100000, "&lt;="&amp;EOMONTH(DATE(2026,4,1),0)
 ),
 IF(_xlpm.x=0, "-", _xlpm.x)
)</f>
        <v>-</v>
      </c>
      <c r="AH298" s="56" t="str">
        <f>_xlfn.LET(
 _xlpm.x,
 _xlfn.MAXIFS(
  raw_stack!H$2:H$100000,
  raw_stack!D$2:D$100000, G298,
  raw_stack!F$2:F$100000, "Iya",
  raw_stack!G$2:G$100000, "&gt;="&amp;DATE(2026,4,1),
  raw_stack!G$2:G$100000, "&lt;="&amp;EOMONTH(DATE(2026,4,1),0)
 ),
 IF(OR(_xlpm.x=0, _xlpm.x=""), "-", _xlpm.x)
)</f>
        <v>-</v>
      </c>
    </row>
    <row r="299" spans="1:34">
      <c r="A299" s="48">
        <v>298</v>
      </c>
      <c r="B299" s="49" t="str">
        <f t="shared" si="4"/>
        <v>63557</v>
      </c>
      <c r="C299" s="50" t="s">
        <v>46</v>
      </c>
      <c r="D299" s="51" t="s">
        <v>693</v>
      </c>
      <c r="E299" s="51" t="s">
        <v>53</v>
      </c>
      <c r="F299" s="49" t="s">
        <v>117</v>
      </c>
      <c r="G299" s="49" t="s">
        <v>415</v>
      </c>
      <c r="H299" s="49" t="s">
        <v>48</v>
      </c>
      <c r="I299" s="49" t="s">
        <v>52</v>
      </c>
      <c r="J299" s="52">
        <v>3860000</v>
      </c>
      <c r="K299" s="53">
        <v>45957</v>
      </c>
      <c r="L299" s="53">
        <v>47052</v>
      </c>
      <c r="M299" s="53">
        <v>46079</v>
      </c>
      <c r="N299" s="49" t="s">
        <v>50</v>
      </c>
      <c r="O299" s="54" t="str">
        <f>_xlfn.LET(
 _xlpm.x,
 _xlfn.MAXIFS(
  raw_stack!G$2:G$100000,
  raw_stack!D$2:D$100000, G299,
  raw_stack!F$2:F$100000, "Iya",
  raw_stack!G$2:G$100000, "&gt;="&amp;DATE(2025,7,1),
  raw_stack!G$2:G$100000, "&lt;="&amp;EOMONTH(DATE(2025,7,1),0)
 ),
 IF(_xlpm.x=0, "-", _xlpm.x)
)</f>
        <v>-</v>
      </c>
      <c r="P299" s="65" t="str">
        <f>_xlfn.LET(
 _xlpm.x,
 _xlfn.MAXIFS(
  raw_stack!H$2:H$100000,
  raw_stack!D$2:D$100000, G299,
  raw_stack!F$2:F$100000, "Iya",
  raw_stack!G$2:G$100000, "&gt;="&amp;DATE(2025,7,1),
  raw_stack!G$2:G$100000, "&lt;="&amp;EOMONTH(DATE(2025,7,1),0)
 ),
 IF(OR(_xlpm.x=0, _xlpm.x=""), "-", _xlpm.x)
)</f>
        <v>-</v>
      </c>
      <c r="Q299" s="54" t="str">
        <f>_xlfn.LET(
 _xlpm.x,
 _xlfn.MAXIFS(
  raw_stack!G$2:G$99411,
  raw_stack!D$2:D$99411, G299,
  raw_stack!F$2:F$99411, "Iya",
  raw_stack!G$2:G$99411, "&gt;="&amp;DATE(2025,8,1),
  raw_stack!G$2:G$99411, "&lt;="&amp;EOMONTH(DATE(2025,8,1),0)
 ),
 IF(_xlpm.x=0, "-", _xlpm.x)
)</f>
        <v>-</v>
      </c>
      <c r="R299" s="65" t="str">
        <f>_xlfn.LET(
 _xlpm.x,
 _xlfn.MAXIFS(
  raw_stack!H$2:H$100000,
  raw_stack!D$2:D$100000, G299,
  raw_stack!F$2:F$100000, "Iya",
  raw_stack!G$2:G$100000, "&gt;="&amp;DATE(2025,8,1),
  raw_stack!G$2:G$100000, "&lt;="&amp;EOMONTH(DATE(2025,8,1),0)
 ),
 IF(OR(_xlpm.x=0, _xlpm.x=""), "-", _xlpm.x)
)</f>
        <v>-</v>
      </c>
      <c r="S299" s="54" t="str">
        <f>_xlfn.LET(
 _xlpm.x,
 _xlfn.MAXIFS(
  raw_stack!G$2:G$99411,
  raw_stack!D$2:D$99411, G299,
  raw_stack!F$2:F$99411, "Iya",
  raw_stack!G$2:G$99411, "&gt;="&amp;DATE(2025,9,1),
  raw_stack!G$2:G$99411, "&lt;="&amp;EOMONTH(DATE(2025,9,1),0)
 ),
 IF(_xlpm.x=0, "-", _xlpm.x)
)</f>
        <v>-</v>
      </c>
      <c r="T299" s="65" t="str">
        <f>_xlfn.LET(
 _xlpm.x,
 _xlfn.MAXIFS(
  raw_stack!H$2:H$100000,
  raw_stack!D$2:D$100000, G299,
  raw_stack!F$2:F$100000, "Iya",
  raw_stack!G$2:G$100000, "&gt;="&amp;DATE(2025,9,1),
  raw_stack!G$2:G$100000, "&lt;="&amp;EOMONTH(DATE(2025,9,1),0)
 ),
 IF(OR(_xlpm.x=0, _xlpm.x=""), "-", _xlpm.x)
)</f>
        <v>-</v>
      </c>
      <c r="U299" s="54">
        <f>_xlfn.LET(
 _xlpm.x,
 _xlfn.MAXIFS(
  raw_stack!G$2:G$99411,
  raw_stack!D$2:D$99411, G299,
  raw_stack!F$2:F$99411, "Iya",
  raw_stack!G$2:G$99411, "&gt;="&amp;DATE(2025,10,1),
  raw_stack!G$2:G$99411, "&lt;="&amp;EOMONTH(DATE(2025,10,1),0)
 ),
 IF(_xlpm.x=0, "-", _xlpm.x)
)</f>
        <v>45957</v>
      </c>
      <c r="V299" s="65">
        <f>_xlfn.LET(
 _xlpm.x,
 _xlfn.MAXIFS(
  raw_stack!H$2:H$100000,
  raw_stack!D$2:D$100000, G299,
  raw_stack!F$2:F$100000, "Iya",
  raw_stack!G$2:G$100000, "&gt;="&amp;DATE(2025,10,1),
  raw_stack!G$2:G$100000, "&lt;="&amp;EOMONTH(DATE(2025,10,1),0)
 ),
 IF(OR(_xlpm.x=0, _xlpm.x=""), "-", _xlpm.x)
)</f>
        <v>8444</v>
      </c>
      <c r="W299" s="55" t="str">
        <f>_xlfn.LET(
 _xlpm.x,
 _xlfn.MAXIFS(
  raw_stack!G$2:G$99411,
  raw_stack!D$2:D$99411, G299,
  raw_stack!F$2:F$99411, "Iya",
  raw_stack!G$2:G$99411, "&gt;="&amp;DATE(2025,11,1),
  raw_stack!G$2:G$99411, "&lt;="&amp;EOMONTH(DATE(2025,11,1),0)
 ),
 IF(_xlpm.x=0, "-", _xlpm.x)
)</f>
        <v>-</v>
      </c>
      <c r="X299" s="56" t="str">
        <f>_xlfn.LET(
 _xlpm.x,
 _xlfn.MAXIFS(
  raw_stack!H$2:H$100000,
  raw_stack!D$2:D$100000, G299,
  raw_stack!F$2:F$100000, "Iya",
  raw_stack!G$2:G$100000, "&gt;="&amp;DATE(2025,11,1),
  raw_stack!G$2:G$100000, "&lt;="&amp;EOMONTH(DATE(2025,11,1),0)
 ),
 IF(OR(_xlpm.x=0, _xlpm.x=""), "-", _xlpm.x)
)</f>
        <v>-</v>
      </c>
      <c r="Y299" s="55" t="str">
        <f>_xlfn.LET(
 _xlpm.x,
 _xlfn.MAXIFS(
  raw_stack!G$2:G$99411,
  raw_stack!D$2:D$99411, G299,
  raw_stack!F$2:F$99411, "Iya",
  raw_stack!G$2:G$99411, "&gt;="&amp;DATE(2025,12,1),
  raw_stack!G$2:G$99411, "&lt;="&amp;EOMONTH(DATE(2025,12,1),0)
 ),
 IF(_xlpm.x=0, "-", _xlpm.x)
)</f>
        <v>-</v>
      </c>
      <c r="Z299" s="56" t="str">
        <f>_xlfn.LET(
 _xlpm.x,
 _xlfn.MAXIFS(
  raw_stack!H$2:H$100000,
  raw_stack!D$2:D$100000, G299,
  raw_stack!F$2:F$100000, "Iya",
  raw_stack!G$2:G$100000, "&gt;="&amp;DATE(2025,12,1),
  raw_stack!G$2:G$100000, "&lt;="&amp;EOMONTH(DATE(2025,12,1),0)
 ),
 IF(OR(_xlpm.x=0, _xlpm.x=""), "-", _xlpm.x)
)</f>
        <v>-</v>
      </c>
      <c r="AA299" s="55" t="str">
        <f>_xlfn.LET(
 _xlpm.x,
 _xlfn.MAXIFS(
  raw_stack!G$2:G$99411,
  raw_stack!D$2:D$99411, G299,
  raw_stack!F$2:F$99411, "Iya",
  raw_stack!G$2:G$99411, "&gt;="&amp;DATE(2026,1,1),
  raw_stack!G$2:G$99411, "&lt;="&amp;EOMONTH(DATE(2026,1,1),0)
 ),
 IF(_xlpm.x=0, "-", _xlpm.x)
)</f>
        <v>-</v>
      </c>
      <c r="AB299" s="56" t="str">
        <f>_xlfn.LET(
 _xlpm.x,
 _xlfn.MAXIFS(
  raw_stack!H$2:H$100000,
  raw_stack!D$2:D$100000, G299,
  raw_stack!F$2:F$100000, "Iya",
  raw_stack!G$2:G$100000, "&gt;="&amp;DATE(2026,1,1),
  raw_stack!G$2:G$100000, "&lt;="&amp;EOMONTH(DATE(2026,1,1),0)
 ),
 IF(OR(_xlpm.x=0, _xlpm.x=""), "-", _xlpm.x)
)</f>
        <v>-</v>
      </c>
      <c r="AC299" s="55" t="str">
        <f>_xlfn.LET(
 _xlpm.x,
 _xlfn.MAXIFS(
  raw_stack!G$2:G$99411,
  raw_stack!D$2:D$99411, G299,
  raw_stack!F$2:F$99411, "Iya",
  raw_stack!G$2:G$99411, "&gt;="&amp;DATE(2026,2,1),
  raw_stack!G$2:G$99411, "&lt;="&amp;EOMONTH(DATE(2026,2,1),0)
 ),
 IF(_xlpm.x=0, "-", _xlpm.x)
)</f>
        <v>-</v>
      </c>
      <c r="AD299" s="56" t="str">
        <f>_xlfn.LET(
 _xlpm.x,
 _xlfn.MAXIFS(
  raw_stack!H$2:H$100000,
  raw_stack!D$2:D$100000, G299,
  raw_stack!F$2:F$100000, "Iya",
  raw_stack!G$2:G$100000, "&gt;="&amp;DATE(2026,2,1),
  raw_stack!G$2:G$100000, "&lt;="&amp;EOMONTH(DATE(2026,2,1),0)
 ),
 IF(OR(_xlpm.x=0, _xlpm.x=""), "-", _xlpm.x)
)</f>
        <v>-</v>
      </c>
      <c r="AE299" s="55" t="str">
        <f>_xlfn.LET(
 _xlpm.x,
 _xlfn.MAXIFS(
  raw_stack!G$2:G$100000,
  raw_stack!D$2:D$100000, G299,
  raw_stack!F$2:F$100000, "Iya",
  raw_stack!G$2:G$100000, "&gt;="&amp;DATE(2026,3,1),
  raw_stack!G$2:G$100000, "&lt;="&amp;EOMONTH(DATE(2026,3,1),0)
 ),
 IF(_xlpm.x=0, "-", _xlpm.x)
)</f>
        <v>-</v>
      </c>
      <c r="AF299" s="56" t="str">
        <f>_xlfn.LET(
 _xlpm.x,
 _xlfn.MAXIFS(
  raw_stack!H$2:H$100000,
  raw_stack!D$2:D$100000, G299,
  raw_stack!F$2:F$100000, "Iya",
  raw_stack!G$2:G$100000, "&gt;="&amp;DATE(2026,3,1),
  raw_stack!G$2:G$100000, "&lt;="&amp;EOMONTH(DATE(2026,3,1),0)
 ),
 IF(OR(_xlpm.x=0, _xlpm.x=""), "-", _xlpm.x)
)</f>
        <v>-</v>
      </c>
      <c r="AG299" s="55" t="str">
        <f>_xlfn.LET(
 _xlpm.x,
 _xlfn.MAXIFS(
  raw_stack!G$2:G$100000,
  raw_stack!D$2:D$100000, G299,
  raw_stack!F$2:F$100000, "Iya",
  raw_stack!G$2:G$100000, "&gt;="&amp;DATE(2026,4,1),
  raw_stack!G$2:G$100000, "&lt;="&amp;EOMONTH(DATE(2026,4,1),0)
 ),
 IF(_xlpm.x=0, "-", _xlpm.x)
)</f>
        <v>-</v>
      </c>
      <c r="AH299" s="56" t="str">
        <f>_xlfn.LET(
 _xlpm.x,
 _xlfn.MAXIFS(
  raw_stack!H$2:H$100000,
  raw_stack!D$2:D$100000, G299,
  raw_stack!F$2:F$100000, "Iya",
  raw_stack!G$2:G$100000, "&gt;="&amp;DATE(2026,4,1),
  raw_stack!G$2:G$100000, "&lt;="&amp;EOMONTH(DATE(2026,4,1),0)
 ),
 IF(OR(_xlpm.x=0, _xlpm.x=""), "-", _xlpm.x)
)</f>
        <v>-</v>
      </c>
    </row>
    <row r="300" spans="1:34">
      <c r="A300" s="48">
        <v>299</v>
      </c>
      <c r="B300" s="49" t="str">
        <f t="shared" si="4"/>
        <v>79735</v>
      </c>
      <c r="C300" s="50" t="s">
        <v>46</v>
      </c>
      <c r="D300" s="51" t="s">
        <v>694</v>
      </c>
      <c r="E300" s="51" t="s">
        <v>51</v>
      </c>
      <c r="F300" s="49" t="s">
        <v>117</v>
      </c>
      <c r="G300" s="49" t="s">
        <v>416</v>
      </c>
      <c r="H300" s="49" t="s">
        <v>48</v>
      </c>
      <c r="I300" s="49" t="s">
        <v>52</v>
      </c>
      <c r="J300" s="52">
        <v>3880000</v>
      </c>
      <c r="K300" s="53">
        <v>45960</v>
      </c>
      <c r="L300" s="53">
        <v>47055</v>
      </c>
      <c r="M300" s="53">
        <v>46080</v>
      </c>
      <c r="N300" s="49" t="s">
        <v>50</v>
      </c>
      <c r="O300" s="54" t="str">
        <f>_xlfn.LET(
 _xlpm.x,
 _xlfn.MAXIFS(
  raw_stack!G$2:G$100000,
  raw_stack!D$2:D$100000, G300,
  raw_stack!F$2:F$100000, "Iya",
  raw_stack!G$2:G$100000, "&gt;="&amp;DATE(2025,7,1),
  raw_stack!G$2:G$100000, "&lt;="&amp;EOMONTH(DATE(2025,7,1),0)
 ),
 IF(_xlpm.x=0, "-", _xlpm.x)
)</f>
        <v>-</v>
      </c>
      <c r="P300" s="65" t="str">
        <f>_xlfn.LET(
 _xlpm.x,
 _xlfn.MAXIFS(
  raw_stack!H$2:H$100000,
  raw_stack!D$2:D$100000, G300,
  raw_stack!F$2:F$100000, "Iya",
  raw_stack!G$2:G$100000, "&gt;="&amp;DATE(2025,7,1),
  raw_stack!G$2:G$100000, "&lt;="&amp;EOMONTH(DATE(2025,7,1),0)
 ),
 IF(OR(_xlpm.x=0, _xlpm.x=""), "-", _xlpm.x)
)</f>
        <v>-</v>
      </c>
      <c r="Q300" s="54" t="str">
        <f>_xlfn.LET(
 _xlpm.x,
 _xlfn.MAXIFS(
  raw_stack!G$2:G$99411,
  raw_stack!D$2:D$99411, G300,
  raw_stack!F$2:F$99411, "Iya",
  raw_stack!G$2:G$99411, "&gt;="&amp;DATE(2025,8,1),
  raw_stack!G$2:G$99411, "&lt;="&amp;EOMONTH(DATE(2025,8,1),0)
 ),
 IF(_xlpm.x=0, "-", _xlpm.x)
)</f>
        <v>-</v>
      </c>
      <c r="R300" s="65" t="str">
        <f>_xlfn.LET(
 _xlpm.x,
 _xlfn.MAXIFS(
  raw_stack!H$2:H$100000,
  raw_stack!D$2:D$100000, G300,
  raw_stack!F$2:F$100000, "Iya",
  raw_stack!G$2:G$100000, "&gt;="&amp;DATE(2025,8,1),
  raw_stack!G$2:G$100000, "&lt;="&amp;EOMONTH(DATE(2025,8,1),0)
 ),
 IF(OR(_xlpm.x=0, _xlpm.x=""), "-", _xlpm.x)
)</f>
        <v>-</v>
      </c>
      <c r="S300" s="54" t="str">
        <f>_xlfn.LET(
 _xlpm.x,
 _xlfn.MAXIFS(
  raw_stack!G$2:G$99411,
  raw_stack!D$2:D$99411, G300,
  raw_stack!F$2:F$99411, "Iya",
  raw_stack!G$2:G$99411, "&gt;="&amp;DATE(2025,9,1),
  raw_stack!G$2:G$99411, "&lt;="&amp;EOMONTH(DATE(2025,9,1),0)
 ),
 IF(_xlpm.x=0, "-", _xlpm.x)
)</f>
        <v>-</v>
      </c>
      <c r="T300" s="65" t="str">
        <f>_xlfn.LET(
 _xlpm.x,
 _xlfn.MAXIFS(
  raw_stack!H$2:H$100000,
  raw_stack!D$2:D$100000, G300,
  raw_stack!F$2:F$100000, "Iya",
  raw_stack!G$2:G$100000, "&gt;="&amp;DATE(2025,9,1),
  raw_stack!G$2:G$100000, "&lt;="&amp;EOMONTH(DATE(2025,9,1),0)
 ),
 IF(OR(_xlpm.x=0, _xlpm.x=""), "-", _xlpm.x)
)</f>
        <v>-</v>
      </c>
      <c r="U300" s="54">
        <f>_xlfn.LET(
 _xlpm.x,
 _xlfn.MAXIFS(
  raw_stack!G$2:G$99411,
  raw_stack!D$2:D$99411, G300,
  raw_stack!F$2:F$99411, "Iya",
  raw_stack!G$2:G$99411, "&gt;="&amp;DATE(2025,10,1),
  raw_stack!G$2:G$99411, "&lt;="&amp;EOMONTH(DATE(2025,10,1),0)
 ),
 IF(_xlpm.x=0, "-", _xlpm.x)
)</f>
        <v>45953</v>
      </c>
      <c r="V300" s="65">
        <f>_xlfn.LET(
 _xlpm.x,
 _xlfn.MAXIFS(
  raw_stack!H$2:H$100000,
  raw_stack!D$2:D$100000, G300,
  raw_stack!F$2:F$100000, "Iya",
  raw_stack!G$2:G$100000, "&gt;="&amp;DATE(2025,10,1),
  raw_stack!G$2:G$100000, "&lt;="&amp;EOMONTH(DATE(2025,10,1),0)
 ),
 IF(OR(_xlpm.x=0, _xlpm.x=""), "-", _xlpm.x)
)</f>
        <v>5774</v>
      </c>
      <c r="W300" s="55" t="str">
        <f>_xlfn.LET(
 _xlpm.x,
 _xlfn.MAXIFS(
  raw_stack!G$2:G$99411,
  raw_stack!D$2:D$99411, G300,
  raw_stack!F$2:F$99411, "Iya",
  raw_stack!G$2:G$99411, "&gt;="&amp;DATE(2025,11,1),
  raw_stack!G$2:G$99411, "&lt;="&amp;EOMONTH(DATE(2025,11,1),0)
 ),
 IF(_xlpm.x=0, "-", _xlpm.x)
)</f>
        <v>-</v>
      </c>
      <c r="X300" s="56" t="str">
        <f>_xlfn.LET(
 _xlpm.x,
 _xlfn.MAXIFS(
  raw_stack!H$2:H$100000,
  raw_stack!D$2:D$100000, G300,
  raw_stack!F$2:F$100000, "Iya",
  raw_stack!G$2:G$100000, "&gt;="&amp;DATE(2025,11,1),
  raw_stack!G$2:G$100000, "&lt;="&amp;EOMONTH(DATE(2025,11,1),0)
 ),
 IF(OR(_xlpm.x=0, _xlpm.x=""), "-", _xlpm.x)
)</f>
        <v>-</v>
      </c>
      <c r="Y300" s="55" t="str">
        <f>_xlfn.LET(
 _xlpm.x,
 _xlfn.MAXIFS(
  raw_stack!G$2:G$99411,
  raw_stack!D$2:D$99411, G300,
  raw_stack!F$2:F$99411, "Iya",
  raw_stack!G$2:G$99411, "&gt;="&amp;DATE(2025,12,1),
  raw_stack!G$2:G$99411, "&lt;="&amp;EOMONTH(DATE(2025,12,1),0)
 ),
 IF(_xlpm.x=0, "-", _xlpm.x)
)</f>
        <v>-</v>
      </c>
      <c r="Z300" s="56" t="str">
        <f>_xlfn.LET(
 _xlpm.x,
 _xlfn.MAXIFS(
  raw_stack!H$2:H$100000,
  raw_stack!D$2:D$100000, G300,
  raw_stack!F$2:F$100000, "Iya",
  raw_stack!G$2:G$100000, "&gt;="&amp;DATE(2025,12,1),
  raw_stack!G$2:G$100000, "&lt;="&amp;EOMONTH(DATE(2025,12,1),0)
 ),
 IF(OR(_xlpm.x=0, _xlpm.x=""), "-", _xlpm.x)
)</f>
        <v>-</v>
      </c>
      <c r="AA300" s="55" t="str">
        <f>_xlfn.LET(
 _xlpm.x,
 _xlfn.MAXIFS(
  raw_stack!G$2:G$99411,
  raw_stack!D$2:D$99411, G300,
  raw_stack!F$2:F$99411, "Iya",
  raw_stack!G$2:G$99411, "&gt;="&amp;DATE(2026,1,1),
  raw_stack!G$2:G$99411, "&lt;="&amp;EOMONTH(DATE(2026,1,1),0)
 ),
 IF(_xlpm.x=0, "-", _xlpm.x)
)</f>
        <v>-</v>
      </c>
      <c r="AB300" s="56" t="str">
        <f>_xlfn.LET(
 _xlpm.x,
 _xlfn.MAXIFS(
  raw_stack!H$2:H$100000,
  raw_stack!D$2:D$100000, G300,
  raw_stack!F$2:F$100000, "Iya",
  raw_stack!G$2:G$100000, "&gt;="&amp;DATE(2026,1,1),
  raw_stack!G$2:G$100000, "&lt;="&amp;EOMONTH(DATE(2026,1,1),0)
 ),
 IF(OR(_xlpm.x=0, _xlpm.x=""), "-", _xlpm.x)
)</f>
        <v>-</v>
      </c>
      <c r="AC300" s="55" t="str">
        <f>_xlfn.LET(
 _xlpm.x,
 _xlfn.MAXIFS(
  raw_stack!G$2:G$99411,
  raw_stack!D$2:D$99411, G300,
  raw_stack!F$2:F$99411, "Iya",
  raw_stack!G$2:G$99411, "&gt;="&amp;DATE(2026,2,1),
  raw_stack!G$2:G$99411, "&lt;="&amp;EOMONTH(DATE(2026,2,1),0)
 ),
 IF(_xlpm.x=0, "-", _xlpm.x)
)</f>
        <v>-</v>
      </c>
      <c r="AD300" s="56" t="str">
        <f>_xlfn.LET(
 _xlpm.x,
 _xlfn.MAXIFS(
  raw_stack!H$2:H$100000,
  raw_stack!D$2:D$100000, G300,
  raw_stack!F$2:F$100000, "Iya",
  raw_stack!G$2:G$100000, "&gt;="&amp;DATE(2026,2,1),
  raw_stack!G$2:G$100000, "&lt;="&amp;EOMONTH(DATE(2026,2,1),0)
 ),
 IF(OR(_xlpm.x=0, _xlpm.x=""), "-", _xlpm.x)
)</f>
        <v>-</v>
      </c>
      <c r="AE300" s="55" t="str">
        <f>_xlfn.LET(
 _xlpm.x,
 _xlfn.MAXIFS(
  raw_stack!G$2:G$100000,
  raw_stack!D$2:D$100000, G300,
  raw_stack!F$2:F$100000, "Iya",
  raw_stack!G$2:G$100000, "&gt;="&amp;DATE(2026,3,1),
  raw_stack!G$2:G$100000, "&lt;="&amp;EOMONTH(DATE(2026,3,1),0)
 ),
 IF(_xlpm.x=0, "-", _xlpm.x)
)</f>
        <v>-</v>
      </c>
      <c r="AF300" s="56" t="str">
        <f>_xlfn.LET(
 _xlpm.x,
 _xlfn.MAXIFS(
  raw_stack!H$2:H$100000,
  raw_stack!D$2:D$100000, G300,
  raw_stack!F$2:F$100000, "Iya",
  raw_stack!G$2:G$100000, "&gt;="&amp;DATE(2026,3,1),
  raw_stack!G$2:G$100000, "&lt;="&amp;EOMONTH(DATE(2026,3,1),0)
 ),
 IF(OR(_xlpm.x=0, _xlpm.x=""), "-", _xlpm.x)
)</f>
        <v>-</v>
      </c>
      <c r="AG300" s="55" t="str">
        <f>_xlfn.LET(
 _xlpm.x,
 _xlfn.MAXIFS(
  raw_stack!G$2:G$100000,
  raw_stack!D$2:D$100000, G300,
  raw_stack!F$2:F$100000, "Iya",
  raw_stack!G$2:G$100000, "&gt;="&amp;DATE(2026,4,1),
  raw_stack!G$2:G$100000, "&lt;="&amp;EOMONTH(DATE(2026,4,1),0)
 ),
 IF(_xlpm.x=0, "-", _xlpm.x)
)</f>
        <v>-</v>
      </c>
      <c r="AH300" s="56" t="str">
        <f>_xlfn.LET(
 _xlpm.x,
 _xlfn.MAXIFS(
  raw_stack!H$2:H$100000,
  raw_stack!D$2:D$100000, G300,
  raw_stack!F$2:F$100000, "Iya",
  raw_stack!G$2:G$100000, "&gt;="&amp;DATE(2026,4,1),
  raw_stack!G$2:G$100000, "&lt;="&amp;EOMONTH(DATE(2026,4,1),0)
 ),
 IF(OR(_xlpm.x=0, _xlpm.x=""), "-", _xlpm.x)
)</f>
        <v>-</v>
      </c>
    </row>
    <row r="301" spans="1:34">
      <c r="A301" s="48">
        <v>300</v>
      </c>
      <c r="B301" s="49" t="str">
        <f t="shared" si="4"/>
        <v>19573</v>
      </c>
      <c r="C301" s="50" t="s">
        <v>46</v>
      </c>
      <c r="D301" s="51" t="s">
        <v>581</v>
      </c>
      <c r="E301" s="51" t="s">
        <v>53</v>
      </c>
      <c r="F301" s="49" t="s">
        <v>117</v>
      </c>
      <c r="G301" s="49" t="s">
        <v>417</v>
      </c>
      <c r="H301" s="49" t="s">
        <v>48</v>
      </c>
      <c r="I301" s="49" t="s">
        <v>52</v>
      </c>
      <c r="J301" s="52">
        <v>4200000</v>
      </c>
      <c r="K301" s="53">
        <v>45960</v>
      </c>
      <c r="L301" s="53">
        <v>47055</v>
      </c>
      <c r="M301" s="53">
        <v>46080</v>
      </c>
      <c r="N301" s="49" t="s">
        <v>50</v>
      </c>
      <c r="O301" s="54" t="str">
        <f>_xlfn.LET(
 _xlpm.x,
 _xlfn.MAXIFS(
  raw_stack!G$2:G$100000,
  raw_stack!D$2:D$100000, G301,
  raw_stack!F$2:F$100000, "Iya",
  raw_stack!G$2:G$100000, "&gt;="&amp;DATE(2025,7,1),
  raw_stack!G$2:G$100000, "&lt;="&amp;EOMONTH(DATE(2025,7,1),0)
 ),
 IF(_xlpm.x=0, "-", _xlpm.x)
)</f>
        <v>-</v>
      </c>
      <c r="P301" s="65" t="str">
        <f>_xlfn.LET(
 _xlpm.x,
 _xlfn.MAXIFS(
  raw_stack!H$2:H$100000,
  raw_stack!D$2:D$100000, G301,
  raw_stack!F$2:F$100000, "Iya",
  raw_stack!G$2:G$100000, "&gt;="&amp;DATE(2025,7,1),
  raw_stack!G$2:G$100000, "&lt;="&amp;EOMONTH(DATE(2025,7,1),0)
 ),
 IF(OR(_xlpm.x=0, _xlpm.x=""), "-", _xlpm.x)
)</f>
        <v>-</v>
      </c>
      <c r="Q301" s="54" t="str">
        <f>_xlfn.LET(
 _xlpm.x,
 _xlfn.MAXIFS(
  raw_stack!G$2:G$99411,
  raw_stack!D$2:D$99411, G301,
  raw_stack!F$2:F$99411, "Iya",
  raw_stack!G$2:G$99411, "&gt;="&amp;DATE(2025,8,1),
  raw_stack!G$2:G$99411, "&lt;="&amp;EOMONTH(DATE(2025,8,1),0)
 ),
 IF(_xlpm.x=0, "-", _xlpm.x)
)</f>
        <v>-</v>
      </c>
      <c r="R301" s="65" t="str">
        <f>_xlfn.LET(
 _xlpm.x,
 _xlfn.MAXIFS(
  raw_stack!H$2:H$100000,
  raw_stack!D$2:D$100000, G301,
  raw_stack!F$2:F$100000, "Iya",
  raw_stack!G$2:G$100000, "&gt;="&amp;DATE(2025,8,1),
  raw_stack!G$2:G$100000, "&lt;="&amp;EOMONTH(DATE(2025,8,1),0)
 ),
 IF(OR(_xlpm.x=0, _xlpm.x=""), "-", _xlpm.x)
)</f>
        <v>-</v>
      </c>
      <c r="S301" s="54" t="str">
        <f>_xlfn.LET(
 _xlpm.x,
 _xlfn.MAXIFS(
  raw_stack!G$2:G$99411,
  raw_stack!D$2:D$99411, G301,
  raw_stack!F$2:F$99411, "Iya",
  raw_stack!G$2:G$99411, "&gt;="&amp;DATE(2025,9,1),
  raw_stack!G$2:G$99411, "&lt;="&amp;EOMONTH(DATE(2025,9,1),0)
 ),
 IF(_xlpm.x=0, "-", _xlpm.x)
)</f>
        <v>-</v>
      </c>
      <c r="T301" s="65" t="str">
        <f>_xlfn.LET(
 _xlpm.x,
 _xlfn.MAXIFS(
  raw_stack!H$2:H$100000,
  raw_stack!D$2:D$100000, G301,
  raw_stack!F$2:F$100000, "Iya",
  raw_stack!G$2:G$100000, "&gt;="&amp;DATE(2025,9,1),
  raw_stack!G$2:G$100000, "&lt;="&amp;EOMONTH(DATE(2025,9,1),0)
 ),
 IF(OR(_xlpm.x=0, _xlpm.x=""), "-", _xlpm.x)
)</f>
        <v>-</v>
      </c>
      <c r="U301" s="54">
        <f>_xlfn.LET(
 _xlpm.x,
 _xlfn.MAXIFS(
  raw_stack!G$2:G$99411,
  raw_stack!D$2:D$99411, G301,
  raw_stack!F$2:F$99411, "Iya",
  raw_stack!G$2:G$99411, "&gt;="&amp;DATE(2025,10,1),
  raw_stack!G$2:G$99411, "&lt;="&amp;EOMONTH(DATE(2025,10,1),0)
 ),
 IF(_xlpm.x=0, "-", _xlpm.x)
)</f>
        <v>45959</v>
      </c>
      <c r="V301" s="65">
        <f>_xlfn.LET(
 _xlpm.x,
 _xlfn.MAXIFS(
  raw_stack!H$2:H$100000,
  raw_stack!D$2:D$100000, G301,
  raw_stack!F$2:F$100000, "Iya",
  raw_stack!G$2:G$100000, "&gt;="&amp;DATE(2025,10,1),
  raw_stack!G$2:G$100000, "&lt;="&amp;EOMONTH(DATE(2025,10,1),0)
 ),
 IF(OR(_xlpm.x=0, _xlpm.x=""), "-", _xlpm.x)
)</f>
        <v>1237</v>
      </c>
      <c r="W301" s="55" t="str">
        <f>_xlfn.LET(
 _xlpm.x,
 _xlfn.MAXIFS(
  raw_stack!G$2:G$99411,
  raw_stack!D$2:D$99411, G301,
  raw_stack!F$2:F$99411, "Iya",
  raw_stack!G$2:G$99411, "&gt;="&amp;DATE(2025,11,1),
  raw_stack!G$2:G$99411, "&lt;="&amp;EOMONTH(DATE(2025,11,1),0)
 ),
 IF(_xlpm.x=0, "-", _xlpm.x)
)</f>
        <v>-</v>
      </c>
      <c r="X301" s="56" t="str">
        <f>_xlfn.LET(
 _xlpm.x,
 _xlfn.MAXIFS(
  raw_stack!H$2:H$100000,
  raw_stack!D$2:D$100000, G301,
  raw_stack!F$2:F$100000, "Iya",
  raw_stack!G$2:G$100000, "&gt;="&amp;DATE(2025,11,1),
  raw_stack!G$2:G$100000, "&lt;="&amp;EOMONTH(DATE(2025,11,1),0)
 ),
 IF(OR(_xlpm.x=0, _xlpm.x=""), "-", _xlpm.x)
)</f>
        <v>-</v>
      </c>
      <c r="Y301" s="55">
        <f>_xlfn.LET(
 _xlpm.x,
 _xlfn.MAXIFS(
  raw_stack!G$2:G$99411,
  raw_stack!D$2:D$99411, G301,
  raw_stack!F$2:F$99411, "Iya",
  raw_stack!G$2:G$99411, "&gt;="&amp;DATE(2025,12,1),
  raw_stack!G$2:G$99411, "&lt;="&amp;EOMONTH(DATE(2025,12,1),0)
 ),
 IF(_xlpm.x=0, "-", _xlpm.x)
)</f>
        <v>46003</v>
      </c>
      <c r="Z301" s="56">
        <f>_xlfn.LET(
 _xlpm.x,
 _xlfn.MAXIFS(
  raw_stack!H$2:H$100000,
  raw_stack!D$2:D$100000, G301,
  raw_stack!F$2:F$100000, "Iya",
  raw_stack!G$2:G$100000, "&gt;="&amp;DATE(2025,12,1),
  raw_stack!G$2:G$100000, "&lt;="&amp;EOMONTH(DATE(2025,12,1),0)
 ),
 IF(OR(_xlpm.x=0, _xlpm.x=""), "-", _xlpm.x)
)</f>
        <v>3159</v>
      </c>
      <c r="AA301" s="55" t="str">
        <f>_xlfn.LET(
 _xlpm.x,
 _xlfn.MAXIFS(
  raw_stack!G$2:G$99411,
  raw_stack!D$2:D$99411, G301,
  raw_stack!F$2:F$99411, "Iya",
  raw_stack!G$2:G$99411, "&gt;="&amp;DATE(2026,1,1),
  raw_stack!G$2:G$99411, "&lt;="&amp;EOMONTH(DATE(2026,1,1),0)
 ),
 IF(_xlpm.x=0, "-", _xlpm.x)
)</f>
        <v>-</v>
      </c>
      <c r="AB301" s="56" t="str">
        <f>_xlfn.LET(
 _xlpm.x,
 _xlfn.MAXIFS(
  raw_stack!H$2:H$100000,
  raw_stack!D$2:D$100000, G301,
  raw_stack!F$2:F$100000, "Iya",
  raw_stack!G$2:G$100000, "&gt;="&amp;DATE(2026,1,1),
  raw_stack!G$2:G$100000, "&lt;="&amp;EOMONTH(DATE(2026,1,1),0)
 ),
 IF(OR(_xlpm.x=0, _xlpm.x=""), "-", _xlpm.x)
)</f>
        <v>-</v>
      </c>
      <c r="AC301" s="55" t="str">
        <f>_xlfn.LET(
 _xlpm.x,
 _xlfn.MAXIFS(
  raw_stack!G$2:G$99411,
  raw_stack!D$2:D$99411, G301,
  raw_stack!F$2:F$99411, "Iya",
  raw_stack!G$2:G$99411, "&gt;="&amp;DATE(2026,2,1),
  raw_stack!G$2:G$99411, "&lt;="&amp;EOMONTH(DATE(2026,2,1),0)
 ),
 IF(_xlpm.x=0, "-", _xlpm.x)
)</f>
        <v>-</v>
      </c>
      <c r="AD301" s="56" t="str">
        <f>_xlfn.LET(
 _xlpm.x,
 _xlfn.MAXIFS(
  raw_stack!H$2:H$100000,
  raw_stack!D$2:D$100000, G301,
  raw_stack!F$2:F$100000, "Iya",
  raw_stack!G$2:G$100000, "&gt;="&amp;DATE(2026,2,1),
  raw_stack!G$2:G$100000, "&lt;="&amp;EOMONTH(DATE(2026,2,1),0)
 ),
 IF(OR(_xlpm.x=0, _xlpm.x=""), "-", _xlpm.x)
)</f>
        <v>-</v>
      </c>
      <c r="AE301" s="55">
        <f>_xlfn.LET(
 _xlpm.x,
 _xlfn.MAXIFS(
  raw_stack!G$2:G$100000,
  raw_stack!D$2:D$100000, G301,
  raw_stack!F$2:F$100000, "Iya",
  raw_stack!G$2:G$100000, "&gt;="&amp;DATE(2026,3,1),
  raw_stack!G$2:G$100000, "&lt;="&amp;EOMONTH(DATE(2026,3,1),0)
 ),
 IF(_xlpm.x=0, "-", _xlpm.x)
)</f>
        <v>46091</v>
      </c>
      <c r="AF301" s="56">
        <f>_xlfn.LET(
 _xlpm.x,
 _xlfn.MAXIFS(
  raw_stack!H$2:H$100000,
  raw_stack!D$2:D$100000, G301,
  raw_stack!F$2:F$100000, "Iya",
  raw_stack!G$2:G$100000, "&gt;="&amp;DATE(2026,3,1),
  raw_stack!G$2:G$100000, "&lt;="&amp;EOMONTH(DATE(2026,3,1),0)
 ),
 IF(OR(_xlpm.x=0, _xlpm.x=""), "-", _xlpm.x)
)</f>
        <v>5071</v>
      </c>
      <c r="AG301" s="55" t="str">
        <f>_xlfn.LET(
 _xlpm.x,
 _xlfn.MAXIFS(
  raw_stack!G$2:G$100000,
  raw_stack!D$2:D$100000, G301,
  raw_stack!F$2:F$100000, "Iya",
  raw_stack!G$2:G$100000, "&gt;="&amp;DATE(2026,4,1),
  raw_stack!G$2:G$100000, "&lt;="&amp;EOMONTH(DATE(2026,4,1),0)
 ),
 IF(_xlpm.x=0, "-", _xlpm.x)
)</f>
        <v>-</v>
      </c>
      <c r="AH301" s="56" t="str">
        <f>_xlfn.LET(
 _xlpm.x,
 _xlfn.MAXIFS(
  raw_stack!H$2:H$100000,
  raw_stack!D$2:D$100000, G301,
  raw_stack!F$2:F$100000, "Iya",
  raw_stack!G$2:G$100000, "&gt;="&amp;DATE(2026,4,1),
  raw_stack!G$2:G$100000, "&lt;="&amp;EOMONTH(DATE(2026,4,1),0)
 ),
 IF(OR(_xlpm.x=0, _xlpm.x=""), "-", _xlpm.x)
)</f>
        <v>-</v>
      </c>
    </row>
    <row r="302" spans="1:34">
      <c r="A302" s="48">
        <v>301</v>
      </c>
      <c r="B302" s="49" t="str">
        <f t="shared" si="4"/>
        <v>91588</v>
      </c>
      <c r="C302" s="50" t="s">
        <v>46</v>
      </c>
      <c r="D302" s="51" t="s">
        <v>695</v>
      </c>
      <c r="E302" s="51" t="s">
        <v>51</v>
      </c>
      <c r="F302" s="49" t="s">
        <v>117</v>
      </c>
      <c r="G302" s="49" t="s">
        <v>418</v>
      </c>
      <c r="H302" s="49" t="s">
        <v>48</v>
      </c>
      <c r="I302" s="49" t="s">
        <v>52</v>
      </c>
      <c r="J302" s="52">
        <v>3880000</v>
      </c>
      <c r="K302" s="53">
        <v>45963</v>
      </c>
      <c r="L302" s="53">
        <v>47058</v>
      </c>
      <c r="M302" s="53">
        <v>46082</v>
      </c>
      <c r="N302" s="49" t="s">
        <v>50</v>
      </c>
      <c r="O302" s="54" t="str">
        <f>_xlfn.LET(
 _xlpm.x,
 _xlfn.MAXIFS(
  raw_stack!G$2:G$100000,
  raw_stack!D$2:D$100000, G302,
  raw_stack!F$2:F$100000, "Iya",
  raw_stack!G$2:G$100000, "&gt;="&amp;DATE(2025,7,1),
  raw_stack!G$2:G$100000, "&lt;="&amp;EOMONTH(DATE(2025,7,1),0)
 ),
 IF(_xlpm.x=0, "-", _xlpm.x)
)</f>
        <v>-</v>
      </c>
      <c r="P302" s="65" t="str">
        <f>_xlfn.LET(
 _xlpm.x,
 _xlfn.MAXIFS(
  raw_stack!H$2:H$100000,
  raw_stack!D$2:D$100000, G302,
  raw_stack!F$2:F$100000, "Iya",
  raw_stack!G$2:G$100000, "&gt;="&amp;DATE(2025,7,1),
  raw_stack!G$2:G$100000, "&lt;="&amp;EOMONTH(DATE(2025,7,1),0)
 ),
 IF(OR(_xlpm.x=0, _xlpm.x=""), "-", _xlpm.x)
)</f>
        <v>-</v>
      </c>
      <c r="Q302" s="54" t="str">
        <f>_xlfn.LET(
 _xlpm.x,
 _xlfn.MAXIFS(
  raw_stack!G$2:G$99411,
  raw_stack!D$2:D$99411, G302,
  raw_stack!F$2:F$99411, "Iya",
  raw_stack!G$2:G$99411, "&gt;="&amp;DATE(2025,8,1),
  raw_stack!G$2:G$99411, "&lt;="&amp;EOMONTH(DATE(2025,8,1),0)
 ),
 IF(_xlpm.x=0, "-", _xlpm.x)
)</f>
        <v>-</v>
      </c>
      <c r="R302" s="65" t="str">
        <f>_xlfn.LET(
 _xlpm.x,
 _xlfn.MAXIFS(
  raw_stack!H$2:H$100000,
  raw_stack!D$2:D$100000, G302,
  raw_stack!F$2:F$100000, "Iya",
  raw_stack!G$2:G$100000, "&gt;="&amp;DATE(2025,8,1),
  raw_stack!G$2:G$100000, "&lt;="&amp;EOMONTH(DATE(2025,8,1),0)
 ),
 IF(OR(_xlpm.x=0, _xlpm.x=""), "-", _xlpm.x)
)</f>
        <v>-</v>
      </c>
      <c r="S302" s="54" t="str">
        <f>_xlfn.LET(
 _xlpm.x,
 _xlfn.MAXIFS(
  raw_stack!G$2:G$99411,
  raw_stack!D$2:D$99411, G302,
  raw_stack!F$2:F$99411, "Iya",
  raw_stack!G$2:G$99411, "&gt;="&amp;DATE(2025,9,1),
  raw_stack!G$2:G$99411, "&lt;="&amp;EOMONTH(DATE(2025,9,1),0)
 ),
 IF(_xlpm.x=0, "-", _xlpm.x)
)</f>
        <v>-</v>
      </c>
      <c r="T302" s="65" t="str">
        <f>_xlfn.LET(
 _xlpm.x,
 _xlfn.MAXIFS(
  raw_stack!H$2:H$100000,
  raw_stack!D$2:D$100000, G302,
  raw_stack!F$2:F$100000, "Iya",
  raw_stack!G$2:G$100000, "&gt;="&amp;DATE(2025,9,1),
  raw_stack!G$2:G$100000, "&lt;="&amp;EOMONTH(DATE(2025,9,1),0)
 ),
 IF(OR(_xlpm.x=0, _xlpm.x=""), "-", _xlpm.x)
)</f>
        <v>-</v>
      </c>
      <c r="U302" s="54" t="str">
        <f>_xlfn.LET(
 _xlpm.x,
 _xlfn.MAXIFS(
  raw_stack!G$2:G$99411,
  raw_stack!D$2:D$99411, G302,
  raw_stack!F$2:F$99411, "Iya",
  raw_stack!G$2:G$99411, "&gt;="&amp;DATE(2025,10,1),
  raw_stack!G$2:G$99411, "&lt;="&amp;EOMONTH(DATE(2025,10,1),0)
 ),
 IF(_xlpm.x=0, "-", _xlpm.x)
)</f>
        <v>-</v>
      </c>
      <c r="V302" s="65" t="str">
        <f>_xlfn.LET(
 _xlpm.x,
 _xlfn.MAXIFS(
  raw_stack!H$2:H$100000,
  raw_stack!D$2:D$100000, G302,
  raw_stack!F$2:F$100000, "Iya",
  raw_stack!G$2:G$100000, "&gt;="&amp;DATE(2025,10,1),
  raw_stack!G$2:G$100000, "&lt;="&amp;EOMONTH(DATE(2025,10,1),0)
 ),
 IF(OR(_xlpm.x=0, _xlpm.x=""), "-", _xlpm.x)
)</f>
        <v>-</v>
      </c>
      <c r="W302" s="55" t="str">
        <f>_xlfn.LET(
 _xlpm.x,
 _xlfn.MAXIFS(
  raw_stack!G$2:G$99411,
  raw_stack!D$2:D$99411, G302,
  raw_stack!F$2:F$99411, "Iya",
  raw_stack!G$2:G$99411, "&gt;="&amp;DATE(2025,11,1),
  raw_stack!G$2:G$99411, "&lt;="&amp;EOMONTH(DATE(2025,11,1),0)
 ),
 IF(_xlpm.x=0, "-", _xlpm.x)
)</f>
        <v>-</v>
      </c>
      <c r="X302" s="56" t="str">
        <f>_xlfn.LET(
 _xlpm.x,
 _xlfn.MAXIFS(
  raw_stack!H$2:H$100000,
  raw_stack!D$2:D$100000, G302,
  raw_stack!F$2:F$100000, "Iya",
  raw_stack!G$2:G$100000, "&gt;="&amp;DATE(2025,11,1),
  raw_stack!G$2:G$100000, "&lt;="&amp;EOMONTH(DATE(2025,11,1),0)
 ),
 IF(OR(_xlpm.x=0, _xlpm.x=""), "-", _xlpm.x)
)</f>
        <v>-</v>
      </c>
      <c r="Y302" s="55" t="str">
        <f>_xlfn.LET(
 _xlpm.x,
 _xlfn.MAXIFS(
  raw_stack!G$2:G$99411,
  raw_stack!D$2:D$99411, G302,
  raw_stack!F$2:F$99411, "Iya",
  raw_stack!G$2:G$99411, "&gt;="&amp;DATE(2025,12,1),
  raw_stack!G$2:G$99411, "&lt;="&amp;EOMONTH(DATE(2025,12,1),0)
 ),
 IF(_xlpm.x=0, "-", _xlpm.x)
)</f>
        <v>-</v>
      </c>
      <c r="Z302" s="56" t="str">
        <f>_xlfn.LET(
 _xlpm.x,
 _xlfn.MAXIFS(
  raw_stack!H$2:H$100000,
  raw_stack!D$2:D$100000, G302,
  raw_stack!F$2:F$100000, "Iya",
  raw_stack!G$2:G$100000, "&gt;="&amp;DATE(2025,12,1),
  raw_stack!G$2:G$100000, "&lt;="&amp;EOMONTH(DATE(2025,12,1),0)
 ),
 IF(OR(_xlpm.x=0, _xlpm.x=""), "-", _xlpm.x)
)</f>
        <v>-</v>
      </c>
      <c r="AA302" s="55" t="str">
        <f>_xlfn.LET(
 _xlpm.x,
 _xlfn.MAXIFS(
  raw_stack!G$2:G$99411,
  raw_stack!D$2:D$99411, G302,
  raw_stack!F$2:F$99411, "Iya",
  raw_stack!G$2:G$99411, "&gt;="&amp;DATE(2026,1,1),
  raw_stack!G$2:G$99411, "&lt;="&amp;EOMONTH(DATE(2026,1,1),0)
 ),
 IF(_xlpm.x=0, "-", _xlpm.x)
)</f>
        <v>-</v>
      </c>
      <c r="AB302" s="56" t="str">
        <f>_xlfn.LET(
 _xlpm.x,
 _xlfn.MAXIFS(
  raw_stack!H$2:H$100000,
  raw_stack!D$2:D$100000, G302,
  raw_stack!F$2:F$100000, "Iya",
  raw_stack!G$2:G$100000, "&gt;="&amp;DATE(2026,1,1),
  raw_stack!G$2:G$100000, "&lt;="&amp;EOMONTH(DATE(2026,1,1),0)
 ),
 IF(OR(_xlpm.x=0, _xlpm.x=""), "-", _xlpm.x)
)</f>
        <v>-</v>
      </c>
      <c r="AC302" s="55" t="str">
        <f>_xlfn.LET(
 _xlpm.x,
 _xlfn.MAXIFS(
  raw_stack!G$2:G$99411,
  raw_stack!D$2:D$99411, G302,
  raw_stack!F$2:F$99411, "Iya",
  raw_stack!G$2:G$99411, "&gt;="&amp;DATE(2026,2,1),
  raw_stack!G$2:G$99411, "&lt;="&amp;EOMONTH(DATE(2026,2,1),0)
 ),
 IF(_xlpm.x=0, "-", _xlpm.x)
)</f>
        <v>-</v>
      </c>
      <c r="AD302" s="56" t="str">
        <f>_xlfn.LET(
 _xlpm.x,
 _xlfn.MAXIFS(
  raw_stack!H$2:H$100000,
  raw_stack!D$2:D$100000, G302,
  raw_stack!F$2:F$100000, "Iya",
  raw_stack!G$2:G$100000, "&gt;="&amp;DATE(2026,2,1),
  raw_stack!G$2:G$100000, "&lt;="&amp;EOMONTH(DATE(2026,2,1),0)
 ),
 IF(OR(_xlpm.x=0, _xlpm.x=""), "-", _xlpm.x)
)</f>
        <v>-</v>
      </c>
      <c r="AE302" s="55" t="str">
        <f>_xlfn.LET(
 _xlpm.x,
 _xlfn.MAXIFS(
  raw_stack!G$2:G$100000,
  raw_stack!D$2:D$100000, G302,
  raw_stack!F$2:F$100000, "Iya",
  raw_stack!G$2:G$100000, "&gt;="&amp;DATE(2026,3,1),
  raw_stack!G$2:G$100000, "&lt;="&amp;EOMONTH(DATE(2026,3,1),0)
 ),
 IF(_xlpm.x=0, "-", _xlpm.x)
)</f>
        <v>-</v>
      </c>
      <c r="AF302" s="56" t="str">
        <f>_xlfn.LET(
 _xlpm.x,
 _xlfn.MAXIFS(
  raw_stack!H$2:H$100000,
  raw_stack!D$2:D$100000, G302,
  raw_stack!F$2:F$100000, "Iya",
  raw_stack!G$2:G$100000, "&gt;="&amp;DATE(2026,3,1),
  raw_stack!G$2:G$100000, "&lt;="&amp;EOMONTH(DATE(2026,3,1),0)
 ),
 IF(OR(_xlpm.x=0, _xlpm.x=""), "-", _xlpm.x)
)</f>
        <v>-</v>
      </c>
      <c r="AG302" s="55" t="str">
        <f>_xlfn.LET(
 _xlpm.x,
 _xlfn.MAXIFS(
  raw_stack!G$2:G$100000,
  raw_stack!D$2:D$100000, G302,
  raw_stack!F$2:F$100000, "Iya",
  raw_stack!G$2:G$100000, "&gt;="&amp;DATE(2026,4,1),
  raw_stack!G$2:G$100000, "&lt;="&amp;EOMONTH(DATE(2026,4,1),0)
 ),
 IF(_xlpm.x=0, "-", _xlpm.x)
)</f>
        <v>-</v>
      </c>
      <c r="AH302" s="56" t="str">
        <f>_xlfn.LET(
 _xlpm.x,
 _xlfn.MAXIFS(
  raw_stack!H$2:H$100000,
  raw_stack!D$2:D$100000, G302,
  raw_stack!F$2:F$100000, "Iya",
  raw_stack!G$2:G$100000, "&gt;="&amp;DATE(2026,4,1),
  raw_stack!G$2:G$100000, "&lt;="&amp;EOMONTH(DATE(2026,4,1),0)
 ),
 IF(OR(_xlpm.x=0, _xlpm.x=""), "-", _xlpm.x)
)</f>
        <v>-</v>
      </c>
    </row>
    <row r="303" spans="1:34">
      <c r="A303" s="48">
        <v>302</v>
      </c>
      <c r="B303" s="49" t="str">
        <f t="shared" ref="B303:B335" si="5">LEFT(D303,5)</f>
        <v>67728</v>
      </c>
      <c r="C303" s="50" t="s">
        <v>46</v>
      </c>
      <c r="D303" s="51" t="s">
        <v>696</v>
      </c>
      <c r="E303" s="51" t="s">
        <v>51</v>
      </c>
      <c r="F303" s="49" t="s">
        <v>117</v>
      </c>
      <c r="G303" s="49" t="s">
        <v>419</v>
      </c>
      <c r="H303" s="49" t="s">
        <v>48</v>
      </c>
      <c r="I303" s="49" t="s">
        <v>52</v>
      </c>
      <c r="J303" s="52">
        <v>3880000</v>
      </c>
      <c r="K303" s="53">
        <v>45965</v>
      </c>
      <c r="L303" s="53">
        <v>47060</v>
      </c>
      <c r="M303" s="53">
        <v>46084</v>
      </c>
      <c r="N303" s="49" t="s">
        <v>50</v>
      </c>
      <c r="O303" s="54" t="str">
        <f>_xlfn.LET(
 _xlpm.x,
 _xlfn.MAXIFS(
  raw_stack!G$2:G$100000,
  raw_stack!D$2:D$100000, G303,
  raw_stack!F$2:F$100000, "Iya",
  raw_stack!G$2:G$100000, "&gt;="&amp;DATE(2025,7,1),
  raw_stack!G$2:G$100000, "&lt;="&amp;EOMONTH(DATE(2025,7,1),0)
 ),
 IF(_xlpm.x=0, "-", _xlpm.x)
)</f>
        <v>-</v>
      </c>
      <c r="P303" s="65" t="str">
        <f>_xlfn.LET(
 _xlpm.x,
 _xlfn.MAXIFS(
  raw_stack!H$2:H$100000,
  raw_stack!D$2:D$100000, G303,
  raw_stack!F$2:F$100000, "Iya",
  raw_stack!G$2:G$100000, "&gt;="&amp;DATE(2025,7,1),
  raw_stack!G$2:G$100000, "&lt;="&amp;EOMONTH(DATE(2025,7,1),0)
 ),
 IF(OR(_xlpm.x=0, _xlpm.x=""), "-", _xlpm.x)
)</f>
        <v>-</v>
      </c>
      <c r="Q303" s="54" t="str">
        <f>_xlfn.LET(
 _xlpm.x,
 _xlfn.MAXIFS(
  raw_stack!G$2:G$99411,
  raw_stack!D$2:D$99411, G303,
  raw_stack!F$2:F$99411, "Iya",
  raw_stack!G$2:G$99411, "&gt;="&amp;DATE(2025,8,1),
  raw_stack!G$2:G$99411, "&lt;="&amp;EOMONTH(DATE(2025,8,1),0)
 ),
 IF(_xlpm.x=0, "-", _xlpm.x)
)</f>
        <v>-</v>
      </c>
      <c r="R303" s="65" t="str">
        <f>_xlfn.LET(
 _xlpm.x,
 _xlfn.MAXIFS(
  raw_stack!H$2:H$100000,
  raw_stack!D$2:D$100000, G303,
  raw_stack!F$2:F$100000, "Iya",
  raw_stack!G$2:G$100000, "&gt;="&amp;DATE(2025,8,1),
  raw_stack!G$2:G$100000, "&lt;="&amp;EOMONTH(DATE(2025,8,1),0)
 ),
 IF(OR(_xlpm.x=0, _xlpm.x=""), "-", _xlpm.x)
)</f>
        <v>-</v>
      </c>
      <c r="S303" s="54" t="str">
        <f>_xlfn.LET(
 _xlpm.x,
 _xlfn.MAXIFS(
  raw_stack!G$2:G$99411,
  raw_stack!D$2:D$99411, G303,
  raw_stack!F$2:F$99411, "Iya",
  raw_stack!G$2:G$99411, "&gt;="&amp;DATE(2025,9,1),
  raw_stack!G$2:G$99411, "&lt;="&amp;EOMONTH(DATE(2025,9,1),0)
 ),
 IF(_xlpm.x=0, "-", _xlpm.x)
)</f>
        <v>-</v>
      </c>
      <c r="T303" s="65" t="str">
        <f>_xlfn.LET(
 _xlpm.x,
 _xlfn.MAXIFS(
  raw_stack!H$2:H$100000,
  raw_stack!D$2:D$100000, G303,
  raw_stack!F$2:F$100000, "Iya",
  raw_stack!G$2:G$100000, "&gt;="&amp;DATE(2025,9,1),
  raw_stack!G$2:G$100000, "&lt;="&amp;EOMONTH(DATE(2025,9,1),0)
 ),
 IF(OR(_xlpm.x=0, _xlpm.x=""), "-", _xlpm.x)
)</f>
        <v>-</v>
      </c>
      <c r="U303" s="54" t="str">
        <f>_xlfn.LET(
 _xlpm.x,
 _xlfn.MAXIFS(
  raw_stack!G$2:G$99411,
  raw_stack!D$2:D$99411, G303,
  raw_stack!F$2:F$99411, "Iya",
  raw_stack!G$2:G$99411, "&gt;="&amp;DATE(2025,10,1),
  raw_stack!G$2:G$99411, "&lt;="&amp;EOMONTH(DATE(2025,10,1),0)
 ),
 IF(_xlpm.x=0, "-", _xlpm.x)
)</f>
        <v>-</v>
      </c>
      <c r="V303" s="65" t="str">
        <f>_xlfn.LET(
 _xlpm.x,
 _xlfn.MAXIFS(
  raw_stack!H$2:H$100000,
  raw_stack!D$2:D$100000, G303,
  raw_stack!F$2:F$100000, "Iya",
  raw_stack!G$2:G$100000, "&gt;="&amp;DATE(2025,10,1),
  raw_stack!G$2:G$100000, "&lt;="&amp;EOMONTH(DATE(2025,10,1),0)
 ),
 IF(OR(_xlpm.x=0, _xlpm.x=""), "-", _xlpm.x)
)</f>
        <v>-</v>
      </c>
      <c r="W303" s="55">
        <f>_xlfn.LET(
 _xlpm.x,
 _xlfn.MAXIFS(
  raw_stack!G$2:G$99411,
  raw_stack!D$2:D$99411, G303,
  raw_stack!F$2:F$99411, "Iya",
  raw_stack!G$2:G$99411, "&gt;="&amp;DATE(2025,11,1),
  raw_stack!G$2:G$99411, "&lt;="&amp;EOMONTH(DATE(2025,11,1),0)
 ),
 IF(_xlpm.x=0, "-", _xlpm.x)
)</f>
        <v>45962</v>
      </c>
      <c r="X303" s="56">
        <f>_xlfn.LET(
 _xlpm.x,
 _xlfn.MAXIFS(
  raw_stack!H$2:H$100000,
  raw_stack!D$2:D$100000, G303,
  raw_stack!F$2:F$100000, "Iya",
  raw_stack!G$2:G$100000, "&gt;="&amp;DATE(2025,11,1),
  raw_stack!G$2:G$100000, "&lt;="&amp;EOMONTH(DATE(2025,11,1),0)
 ),
 IF(OR(_xlpm.x=0, _xlpm.x=""), "-", _xlpm.x)
)</f>
        <v>3122</v>
      </c>
      <c r="Y303" s="55">
        <f>_xlfn.LET(
 _xlpm.x,
 _xlfn.MAXIFS(
  raw_stack!G$2:G$99411,
  raw_stack!D$2:D$99411, G303,
  raw_stack!F$2:F$99411, "Iya",
  raw_stack!G$2:G$99411, "&gt;="&amp;DATE(2025,12,1),
  raw_stack!G$2:G$99411, "&lt;="&amp;EOMONTH(DATE(2025,12,1),0)
 ),
 IF(_xlpm.x=0, "-", _xlpm.x)
)</f>
        <v>45992</v>
      </c>
      <c r="Z303" s="56">
        <f>_xlfn.LET(
 _xlpm.x,
 _xlfn.MAXIFS(
  raw_stack!H$2:H$100000,
  raw_stack!D$2:D$100000, G303,
  raw_stack!F$2:F$100000, "Iya",
  raw_stack!G$2:G$100000, "&gt;="&amp;DATE(2025,12,1),
  raw_stack!G$2:G$100000, "&lt;="&amp;EOMONTH(DATE(2025,12,1),0)
 ),
 IF(OR(_xlpm.x=0, _xlpm.x=""), "-", _xlpm.x)
)</f>
        <v>753</v>
      </c>
      <c r="AA303" s="55" t="str">
        <f>_xlfn.LET(
 _xlpm.x,
 _xlfn.MAXIFS(
  raw_stack!G$2:G$99411,
  raw_stack!D$2:D$99411, G303,
  raw_stack!F$2:F$99411, "Iya",
  raw_stack!G$2:G$99411, "&gt;="&amp;DATE(2026,1,1),
  raw_stack!G$2:G$99411, "&lt;="&amp;EOMONTH(DATE(2026,1,1),0)
 ),
 IF(_xlpm.x=0, "-", _xlpm.x)
)</f>
        <v>-</v>
      </c>
      <c r="AB303" s="56" t="str">
        <f>_xlfn.LET(
 _xlpm.x,
 _xlfn.MAXIFS(
  raw_stack!H$2:H$100000,
  raw_stack!D$2:D$100000, G303,
  raw_stack!F$2:F$100000, "Iya",
  raw_stack!G$2:G$100000, "&gt;="&amp;DATE(2026,1,1),
  raw_stack!G$2:G$100000, "&lt;="&amp;EOMONTH(DATE(2026,1,1),0)
 ),
 IF(OR(_xlpm.x=0, _xlpm.x=""), "-", _xlpm.x)
)</f>
        <v>-</v>
      </c>
      <c r="AC303" s="55" t="str">
        <f>_xlfn.LET(
 _xlpm.x,
 _xlfn.MAXIFS(
  raw_stack!G$2:G$99411,
  raw_stack!D$2:D$99411, G303,
  raw_stack!F$2:F$99411, "Iya",
  raw_stack!G$2:G$99411, "&gt;="&amp;DATE(2026,2,1),
  raw_stack!G$2:G$99411, "&lt;="&amp;EOMONTH(DATE(2026,2,1),0)
 ),
 IF(_xlpm.x=0, "-", _xlpm.x)
)</f>
        <v>-</v>
      </c>
      <c r="AD303" s="56" t="str">
        <f>_xlfn.LET(
 _xlpm.x,
 _xlfn.MAXIFS(
  raw_stack!H$2:H$100000,
  raw_stack!D$2:D$100000, G303,
  raw_stack!F$2:F$100000, "Iya",
  raw_stack!G$2:G$100000, "&gt;="&amp;DATE(2026,2,1),
  raw_stack!G$2:G$100000, "&lt;="&amp;EOMONTH(DATE(2026,2,1),0)
 ),
 IF(OR(_xlpm.x=0, _xlpm.x=""), "-", _xlpm.x)
)</f>
        <v>-</v>
      </c>
      <c r="AE303" s="55" t="str">
        <f>_xlfn.LET(
 _xlpm.x,
 _xlfn.MAXIFS(
  raw_stack!G$2:G$100000,
  raw_stack!D$2:D$100000, G303,
  raw_stack!F$2:F$100000, "Iya",
  raw_stack!G$2:G$100000, "&gt;="&amp;DATE(2026,3,1),
  raw_stack!G$2:G$100000, "&lt;="&amp;EOMONTH(DATE(2026,3,1),0)
 ),
 IF(_xlpm.x=0, "-", _xlpm.x)
)</f>
        <v>-</v>
      </c>
      <c r="AF303" s="56" t="str">
        <f>_xlfn.LET(
 _xlpm.x,
 _xlfn.MAXIFS(
  raw_stack!H$2:H$100000,
  raw_stack!D$2:D$100000, G303,
  raw_stack!F$2:F$100000, "Iya",
  raw_stack!G$2:G$100000, "&gt;="&amp;DATE(2026,3,1),
  raw_stack!G$2:G$100000, "&lt;="&amp;EOMONTH(DATE(2026,3,1),0)
 ),
 IF(OR(_xlpm.x=0, _xlpm.x=""), "-", _xlpm.x)
)</f>
        <v>-</v>
      </c>
      <c r="AG303" s="55" t="str">
        <f>_xlfn.LET(
 _xlpm.x,
 _xlfn.MAXIFS(
  raw_stack!G$2:G$100000,
  raw_stack!D$2:D$100000, G303,
  raw_stack!F$2:F$100000, "Iya",
  raw_stack!G$2:G$100000, "&gt;="&amp;DATE(2026,4,1),
  raw_stack!G$2:G$100000, "&lt;="&amp;EOMONTH(DATE(2026,4,1),0)
 ),
 IF(_xlpm.x=0, "-", _xlpm.x)
)</f>
        <v>-</v>
      </c>
      <c r="AH303" s="56" t="str">
        <f>_xlfn.LET(
 _xlpm.x,
 _xlfn.MAXIFS(
  raw_stack!H$2:H$100000,
  raw_stack!D$2:D$100000, G303,
  raw_stack!F$2:F$100000, "Iya",
  raw_stack!G$2:G$100000, "&gt;="&amp;DATE(2026,4,1),
  raw_stack!G$2:G$100000, "&lt;="&amp;EOMONTH(DATE(2026,4,1),0)
 ),
 IF(OR(_xlpm.x=0, _xlpm.x=""), "-", _xlpm.x)
)</f>
        <v>-</v>
      </c>
    </row>
    <row r="304" spans="1:34">
      <c r="A304" s="48">
        <v>303</v>
      </c>
      <c r="B304" s="49" t="str">
        <f t="shared" si="5"/>
        <v>86431</v>
      </c>
      <c r="C304" s="50" t="s">
        <v>46</v>
      </c>
      <c r="D304" s="51" t="s">
        <v>682</v>
      </c>
      <c r="E304" s="51" t="s">
        <v>47</v>
      </c>
      <c r="F304" s="49" t="s">
        <v>117</v>
      </c>
      <c r="G304" s="49" t="s">
        <v>420</v>
      </c>
      <c r="H304" s="49" t="s">
        <v>48</v>
      </c>
      <c r="I304" s="49" t="s">
        <v>49</v>
      </c>
      <c r="J304" s="52">
        <v>4475000</v>
      </c>
      <c r="K304" s="53">
        <v>45966</v>
      </c>
      <c r="L304" s="53">
        <v>47061</v>
      </c>
      <c r="M304" s="53">
        <v>46057</v>
      </c>
      <c r="N304" s="49" t="s">
        <v>50</v>
      </c>
      <c r="O304" s="54" t="str">
        <f>_xlfn.LET(
 _xlpm.x,
 _xlfn.MAXIFS(
  raw_stack!G$2:G$100000,
  raw_stack!D$2:D$100000, G304,
  raw_stack!F$2:F$100000, "Iya",
  raw_stack!G$2:G$100000, "&gt;="&amp;DATE(2025,7,1),
  raw_stack!G$2:G$100000, "&lt;="&amp;EOMONTH(DATE(2025,7,1),0)
 ),
 IF(_xlpm.x=0, "-", _xlpm.x)
)</f>
        <v>-</v>
      </c>
      <c r="P304" s="65" t="str">
        <f>_xlfn.LET(
 _xlpm.x,
 _xlfn.MAXIFS(
  raw_stack!H$2:H$100000,
  raw_stack!D$2:D$100000, G304,
  raw_stack!F$2:F$100000, "Iya",
  raw_stack!G$2:G$100000, "&gt;="&amp;DATE(2025,7,1),
  raw_stack!G$2:G$100000, "&lt;="&amp;EOMONTH(DATE(2025,7,1),0)
 ),
 IF(OR(_xlpm.x=0, _xlpm.x=""), "-", _xlpm.x)
)</f>
        <v>-</v>
      </c>
      <c r="Q304" s="54" t="str">
        <f>_xlfn.LET(
 _xlpm.x,
 _xlfn.MAXIFS(
  raw_stack!G$2:G$99411,
  raw_stack!D$2:D$99411, G304,
  raw_stack!F$2:F$99411, "Iya",
  raw_stack!G$2:G$99411, "&gt;="&amp;DATE(2025,8,1),
  raw_stack!G$2:G$99411, "&lt;="&amp;EOMONTH(DATE(2025,8,1),0)
 ),
 IF(_xlpm.x=0, "-", _xlpm.x)
)</f>
        <v>-</v>
      </c>
      <c r="R304" s="65" t="str">
        <f>_xlfn.LET(
 _xlpm.x,
 _xlfn.MAXIFS(
  raw_stack!H$2:H$100000,
  raw_stack!D$2:D$100000, G304,
  raw_stack!F$2:F$100000, "Iya",
  raw_stack!G$2:G$100000, "&gt;="&amp;DATE(2025,8,1),
  raw_stack!G$2:G$100000, "&lt;="&amp;EOMONTH(DATE(2025,8,1),0)
 ),
 IF(OR(_xlpm.x=0, _xlpm.x=""), "-", _xlpm.x)
)</f>
        <v>-</v>
      </c>
      <c r="S304" s="54" t="str">
        <f>_xlfn.LET(
 _xlpm.x,
 _xlfn.MAXIFS(
  raw_stack!G$2:G$99411,
  raw_stack!D$2:D$99411, G304,
  raw_stack!F$2:F$99411, "Iya",
  raw_stack!G$2:G$99411, "&gt;="&amp;DATE(2025,9,1),
  raw_stack!G$2:G$99411, "&lt;="&amp;EOMONTH(DATE(2025,9,1),0)
 ),
 IF(_xlpm.x=0, "-", _xlpm.x)
)</f>
        <v>-</v>
      </c>
      <c r="T304" s="65" t="str">
        <f>_xlfn.LET(
 _xlpm.x,
 _xlfn.MAXIFS(
  raw_stack!H$2:H$100000,
  raw_stack!D$2:D$100000, G304,
  raw_stack!F$2:F$100000, "Iya",
  raw_stack!G$2:G$100000, "&gt;="&amp;DATE(2025,9,1),
  raw_stack!G$2:G$100000, "&lt;="&amp;EOMONTH(DATE(2025,9,1),0)
 ),
 IF(OR(_xlpm.x=0, _xlpm.x=""), "-", _xlpm.x)
)</f>
        <v>-</v>
      </c>
      <c r="U304" s="54" t="str">
        <f>_xlfn.LET(
 _xlpm.x,
 _xlfn.MAXIFS(
  raw_stack!G$2:G$99411,
  raw_stack!D$2:D$99411, G304,
  raw_stack!F$2:F$99411, "Iya",
  raw_stack!G$2:G$99411, "&gt;="&amp;DATE(2025,10,1),
  raw_stack!G$2:G$99411, "&lt;="&amp;EOMONTH(DATE(2025,10,1),0)
 ),
 IF(_xlpm.x=0, "-", _xlpm.x)
)</f>
        <v>-</v>
      </c>
      <c r="V304" s="65" t="str">
        <f>_xlfn.LET(
 _xlpm.x,
 _xlfn.MAXIFS(
  raw_stack!H$2:H$100000,
  raw_stack!D$2:D$100000, G304,
  raw_stack!F$2:F$100000, "Iya",
  raw_stack!G$2:G$100000, "&gt;="&amp;DATE(2025,10,1),
  raw_stack!G$2:G$100000, "&lt;="&amp;EOMONTH(DATE(2025,10,1),0)
 ),
 IF(OR(_xlpm.x=0, _xlpm.x=""), "-", _xlpm.x)
)</f>
        <v>-</v>
      </c>
      <c r="W304" s="55">
        <f>_xlfn.LET(
 _xlpm.x,
 _xlfn.MAXIFS(
  raw_stack!G$2:G$99411,
  raw_stack!D$2:D$99411, G304,
  raw_stack!F$2:F$99411, "Iya",
  raw_stack!G$2:G$99411, "&gt;="&amp;DATE(2025,11,1),
  raw_stack!G$2:G$99411, "&lt;="&amp;EOMONTH(DATE(2025,11,1),0)
 ),
 IF(_xlpm.x=0, "-", _xlpm.x)
)</f>
        <v>45966</v>
      </c>
      <c r="X304" s="56">
        <f>_xlfn.LET(
 _xlpm.x,
 _xlfn.MAXIFS(
  raw_stack!H$2:H$100000,
  raw_stack!D$2:D$100000, G304,
  raw_stack!F$2:F$100000, "Iya",
  raw_stack!G$2:G$100000, "&gt;="&amp;DATE(2025,11,1),
  raw_stack!G$2:G$100000, "&lt;="&amp;EOMONTH(DATE(2025,11,1),0)
 ),
 IF(OR(_xlpm.x=0, _xlpm.x=""), "-", _xlpm.x)
)</f>
        <v>6033</v>
      </c>
      <c r="Y304" s="55" t="str">
        <f>_xlfn.LET(
 _xlpm.x,
 _xlfn.MAXIFS(
  raw_stack!G$2:G$99411,
  raw_stack!D$2:D$99411, G304,
  raw_stack!F$2:F$99411, "Iya",
  raw_stack!G$2:G$99411, "&gt;="&amp;DATE(2025,12,1),
  raw_stack!G$2:G$99411, "&lt;="&amp;EOMONTH(DATE(2025,12,1),0)
 ),
 IF(_xlpm.x=0, "-", _xlpm.x)
)</f>
        <v>-</v>
      </c>
      <c r="Z304" s="56" t="str">
        <f>_xlfn.LET(
 _xlpm.x,
 _xlfn.MAXIFS(
  raw_stack!H$2:H$100000,
  raw_stack!D$2:D$100000, G304,
  raw_stack!F$2:F$100000, "Iya",
  raw_stack!G$2:G$100000, "&gt;="&amp;DATE(2025,12,1),
  raw_stack!G$2:G$100000, "&lt;="&amp;EOMONTH(DATE(2025,12,1),0)
 ),
 IF(OR(_xlpm.x=0, _xlpm.x=""), "-", _xlpm.x)
)</f>
        <v>-</v>
      </c>
      <c r="AA304" s="55" t="str">
        <f>_xlfn.LET(
 _xlpm.x,
 _xlfn.MAXIFS(
  raw_stack!G$2:G$99411,
  raw_stack!D$2:D$99411, G304,
  raw_stack!F$2:F$99411, "Iya",
  raw_stack!G$2:G$99411, "&gt;="&amp;DATE(2026,1,1),
  raw_stack!G$2:G$99411, "&lt;="&amp;EOMONTH(DATE(2026,1,1),0)
 ),
 IF(_xlpm.x=0, "-", _xlpm.x)
)</f>
        <v>-</v>
      </c>
      <c r="AB304" s="56" t="str">
        <f>_xlfn.LET(
 _xlpm.x,
 _xlfn.MAXIFS(
  raw_stack!H$2:H$100000,
  raw_stack!D$2:D$100000, G304,
  raw_stack!F$2:F$100000, "Iya",
  raw_stack!G$2:G$100000, "&gt;="&amp;DATE(2026,1,1),
  raw_stack!G$2:G$100000, "&lt;="&amp;EOMONTH(DATE(2026,1,1),0)
 ),
 IF(OR(_xlpm.x=0, _xlpm.x=""), "-", _xlpm.x)
)</f>
        <v>-</v>
      </c>
      <c r="AC304" s="55" t="str">
        <f>_xlfn.LET(
 _xlpm.x,
 _xlfn.MAXIFS(
  raw_stack!G$2:G$99411,
  raw_stack!D$2:D$99411, G304,
  raw_stack!F$2:F$99411, "Iya",
  raw_stack!G$2:G$99411, "&gt;="&amp;DATE(2026,2,1),
  raw_stack!G$2:G$99411, "&lt;="&amp;EOMONTH(DATE(2026,2,1),0)
 ),
 IF(_xlpm.x=0, "-", _xlpm.x)
)</f>
        <v>-</v>
      </c>
      <c r="AD304" s="56" t="str">
        <f>_xlfn.LET(
 _xlpm.x,
 _xlfn.MAXIFS(
  raw_stack!H$2:H$100000,
  raw_stack!D$2:D$100000, G304,
  raw_stack!F$2:F$100000, "Iya",
  raw_stack!G$2:G$100000, "&gt;="&amp;DATE(2026,2,1),
  raw_stack!G$2:G$100000, "&lt;="&amp;EOMONTH(DATE(2026,2,1),0)
 ),
 IF(OR(_xlpm.x=0, _xlpm.x=""), "-", _xlpm.x)
)</f>
        <v>-</v>
      </c>
      <c r="AE304" s="55" t="str">
        <f>_xlfn.LET(
 _xlpm.x,
 _xlfn.MAXIFS(
  raw_stack!G$2:G$100000,
  raw_stack!D$2:D$100000, G304,
  raw_stack!F$2:F$100000, "Iya",
  raw_stack!G$2:G$100000, "&gt;="&amp;DATE(2026,3,1),
  raw_stack!G$2:G$100000, "&lt;="&amp;EOMONTH(DATE(2026,3,1),0)
 ),
 IF(_xlpm.x=0, "-", _xlpm.x)
)</f>
        <v>-</v>
      </c>
      <c r="AF304" s="56" t="str">
        <f>_xlfn.LET(
 _xlpm.x,
 _xlfn.MAXIFS(
  raw_stack!H$2:H$100000,
  raw_stack!D$2:D$100000, G304,
  raw_stack!F$2:F$100000, "Iya",
  raw_stack!G$2:G$100000, "&gt;="&amp;DATE(2026,3,1),
  raw_stack!G$2:G$100000, "&lt;="&amp;EOMONTH(DATE(2026,3,1),0)
 ),
 IF(OR(_xlpm.x=0, _xlpm.x=""), "-", _xlpm.x)
)</f>
        <v>-</v>
      </c>
      <c r="AG304" s="55" t="str">
        <f>_xlfn.LET(
 _xlpm.x,
 _xlfn.MAXIFS(
  raw_stack!G$2:G$100000,
  raw_stack!D$2:D$100000, G304,
  raw_stack!F$2:F$100000, "Iya",
  raw_stack!G$2:G$100000, "&gt;="&amp;DATE(2026,4,1),
  raw_stack!G$2:G$100000, "&lt;="&amp;EOMONTH(DATE(2026,4,1),0)
 ),
 IF(_xlpm.x=0, "-", _xlpm.x)
)</f>
        <v>-</v>
      </c>
      <c r="AH304" s="56" t="str">
        <f>_xlfn.LET(
 _xlpm.x,
 _xlfn.MAXIFS(
  raw_stack!H$2:H$100000,
  raw_stack!D$2:D$100000, G304,
  raw_stack!F$2:F$100000, "Iya",
  raw_stack!G$2:G$100000, "&gt;="&amp;DATE(2026,4,1),
  raw_stack!G$2:G$100000, "&lt;="&amp;EOMONTH(DATE(2026,4,1),0)
 ),
 IF(OR(_xlpm.x=0, _xlpm.x=""), "-", _xlpm.x)
)</f>
        <v>-</v>
      </c>
    </row>
    <row r="305" spans="1:34">
      <c r="A305" s="48">
        <v>304</v>
      </c>
      <c r="B305" s="49" t="str">
        <f t="shared" si="5"/>
        <v>34328</v>
      </c>
      <c r="C305" s="50" t="s">
        <v>46</v>
      </c>
      <c r="D305" s="51" t="s">
        <v>697</v>
      </c>
      <c r="E305" s="51" t="s">
        <v>51</v>
      </c>
      <c r="F305" s="49" t="s">
        <v>117</v>
      </c>
      <c r="G305" s="49" t="s">
        <v>421</v>
      </c>
      <c r="H305" s="49" t="s">
        <v>48</v>
      </c>
      <c r="I305" s="49" t="s">
        <v>52</v>
      </c>
      <c r="J305" s="52">
        <v>5790000</v>
      </c>
      <c r="K305" s="53">
        <v>45972</v>
      </c>
      <c r="L305" s="53">
        <v>47067</v>
      </c>
      <c r="M305" s="53">
        <v>46063</v>
      </c>
      <c r="N305" s="49" t="s">
        <v>50</v>
      </c>
      <c r="O305" s="54" t="str">
        <f>_xlfn.LET(
 _xlpm.x,
 _xlfn.MAXIFS(
  raw_stack!G$2:G$100000,
  raw_stack!D$2:D$100000, G305,
  raw_stack!F$2:F$100000, "Iya",
  raw_stack!G$2:G$100000, "&gt;="&amp;DATE(2025,7,1),
  raw_stack!G$2:G$100000, "&lt;="&amp;EOMONTH(DATE(2025,7,1),0)
 ),
 IF(_xlpm.x=0, "-", _xlpm.x)
)</f>
        <v>-</v>
      </c>
      <c r="P305" s="65" t="str">
        <f>_xlfn.LET(
 _xlpm.x,
 _xlfn.MAXIFS(
  raw_stack!H$2:H$100000,
  raw_stack!D$2:D$100000, G305,
  raw_stack!F$2:F$100000, "Iya",
  raw_stack!G$2:G$100000, "&gt;="&amp;DATE(2025,7,1),
  raw_stack!G$2:G$100000, "&lt;="&amp;EOMONTH(DATE(2025,7,1),0)
 ),
 IF(OR(_xlpm.x=0, _xlpm.x=""), "-", _xlpm.x)
)</f>
        <v>-</v>
      </c>
      <c r="Q305" s="54" t="str">
        <f>_xlfn.LET(
 _xlpm.x,
 _xlfn.MAXIFS(
  raw_stack!G$2:G$99411,
  raw_stack!D$2:D$99411, G305,
  raw_stack!F$2:F$99411, "Iya",
  raw_stack!G$2:G$99411, "&gt;="&amp;DATE(2025,8,1),
  raw_stack!G$2:G$99411, "&lt;="&amp;EOMONTH(DATE(2025,8,1),0)
 ),
 IF(_xlpm.x=0, "-", _xlpm.x)
)</f>
        <v>-</v>
      </c>
      <c r="R305" s="65" t="str">
        <f>_xlfn.LET(
 _xlpm.x,
 _xlfn.MAXIFS(
  raw_stack!H$2:H$100000,
  raw_stack!D$2:D$100000, G305,
  raw_stack!F$2:F$100000, "Iya",
  raw_stack!G$2:G$100000, "&gt;="&amp;DATE(2025,8,1),
  raw_stack!G$2:G$100000, "&lt;="&amp;EOMONTH(DATE(2025,8,1),0)
 ),
 IF(OR(_xlpm.x=0, _xlpm.x=""), "-", _xlpm.x)
)</f>
        <v>-</v>
      </c>
      <c r="S305" s="54" t="str">
        <f>_xlfn.LET(
 _xlpm.x,
 _xlfn.MAXIFS(
  raw_stack!G$2:G$99411,
  raw_stack!D$2:D$99411, G305,
  raw_stack!F$2:F$99411, "Iya",
  raw_stack!G$2:G$99411, "&gt;="&amp;DATE(2025,9,1),
  raw_stack!G$2:G$99411, "&lt;="&amp;EOMONTH(DATE(2025,9,1),0)
 ),
 IF(_xlpm.x=0, "-", _xlpm.x)
)</f>
        <v>-</v>
      </c>
      <c r="T305" s="65" t="str">
        <f>_xlfn.LET(
 _xlpm.x,
 _xlfn.MAXIFS(
  raw_stack!H$2:H$100000,
  raw_stack!D$2:D$100000, G305,
  raw_stack!F$2:F$100000, "Iya",
  raw_stack!G$2:G$100000, "&gt;="&amp;DATE(2025,9,1),
  raw_stack!G$2:G$100000, "&lt;="&amp;EOMONTH(DATE(2025,9,1),0)
 ),
 IF(OR(_xlpm.x=0, _xlpm.x=""), "-", _xlpm.x)
)</f>
        <v>-</v>
      </c>
      <c r="U305" s="54" t="str">
        <f>_xlfn.LET(
 _xlpm.x,
 _xlfn.MAXIFS(
  raw_stack!G$2:G$99411,
  raw_stack!D$2:D$99411, G305,
  raw_stack!F$2:F$99411, "Iya",
  raw_stack!G$2:G$99411, "&gt;="&amp;DATE(2025,10,1),
  raw_stack!G$2:G$99411, "&lt;="&amp;EOMONTH(DATE(2025,10,1),0)
 ),
 IF(_xlpm.x=0, "-", _xlpm.x)
)</f>
        <v>-</v>
      </c>
      <c r="V305" s="65" t="str">
        <f>_xlfn.LET(
 _xlpm.x,
 _xlfn.MAXIFS(
  raw_stack!H$2:H$100000,
  raw_stack!D$2:D$100000, G305,
  raw_stack!F$2:F$100000, "Iya",
  raw_stack!G$2:G$100000, "&gt;="&amp;DATE(2025,10,1),
  raw_stack!G$2:G$100000, "&lt;="&amp;EOMONTH(DATE(2025,10,1),0)
 ),
 IF(OR(_xlpm.x=0, _xlpm.x=""), "-", _xlpm.x)
)</f>
        <v>-</v>
      </c>
      <c r="W305" s="55" t="str">
        <f>_xlfn.LET(
 _xlpm.x,
 _xlfn.MAXIFS(
  raw_stack!G$2:G$99411,
  raw_stack!D$2:D$99411, G305,
  raw_stack!F$2:F$99411, "Iya",
  raw_stack!G$2:G$99411, "&gt;="&amp;DATE(2025,11,1),
  raw_stack!G$2:G$99411, "&lt;="&amp;EOMONTH(DATE(2025,11,1),0)
 ),
 IF(_xlpm.x=0, "-", _xlpm.x)
)</f>
        <v>-</v>
      </c>
      <c r="X305" s="56" t="str">
        <f>_xlfn.LET(
 _xlpm.x,
 _xlfn.MAXIFS(
  raw_stack!H$2:H$100000,
  raw_stack!D$2:D$100000, G305,
  raw_stack!F$2:F$100000, "Iya",
  raw_stack!G$2:G$100000, "&gt;="&amp;DATE(2025,11,1),
  raw_stack!G$2:G$100000, "&lt;="&amp;EOMONTH(DATE(2025,11,1),0)
 ),
 IF(OR(_xlpm.x=0, _xlpm.x=""), "-", _xlpm.x)
)</f>
        <v>-</v>
      </c>
      <c r="Y305" s="55" t="str">
        <f>_xlfn.LET(
 _xlpm.x,
 _xlfn.MAXIFS(
  raw_stack!G$2:G$99411,
  raw_stack!D$2:D$99411, G305,
  raw_stack!F$2:F$99411, "Iya",
  raw_stack!G$2:G$99411, "&gt;="&amp;DATE(2025,12,1),
  raw_stack!G$2:G$99411, "&lt;="&amp;EOMONTH(DATE(2025,12,1),0)
 ),
 IF(_xlpm.x=0, "-", _xlpm.x)
)</f>
        <v>-</v>
      </c>
      <c r="Z305" s="56" t="str">
        <f>_xlfn.LET(
 _xlpm.x,
 _xlfn.MAXIFS(
  raw_stack!H$2:H$100000,
  raw_stack!D$2:D$100000, G305,
  raw_stack!F$2:F$100000, "Iya",
  raw_stack!G$2:G$100000, "&gt;="&amp;DATE(2025,12,1),
  raw_stack!G$2:G$100000, "&lt;="&amp;EOMONTH(DATE(2025,12,1),0)
 ),
 IF(OR(_xlpm.x=0, _xlpm.x=""), "-", _xlpm.x)
)</f>
        <v>-</v>
      </c>
      <c r="AA305" s="55" t="str">
        <f>_xlfn.LET(
 _xlpm.x,
 _xlfn.MAXIFS(
  raw_stack!G$2:G$99411,
  raw_stack!D$2:D$99411, G305,
  raw_stack!F$2:F$99411, "Iya",
  raw_stack!G$2:G$99411, "&gt;="&amp;DATE(2026,1,1),
  raw_stack!G$2:G$99411, "&lt;="&amp;EOMONTH(DATE(2026,1,1),0)
 ),
 IF(_xlpm.x=0, "-", _xlpm.x)
)</f>
        <v>-</v>
      </c>
      <c r="AB305" s="56" t="str">
        <f>_xlfn.LET(
 _xlpm.x,
 _xlfn.MAXIFS(
  raw_stack!H$2:H$100000,
  raw_stack!D$2:D$100000, G305,
  raw_stack!F$2:F$100000, "Iya",
  raw_stack!G$2:G$100000, "&gt;="&amp;DATE(2026,1,1),
  raw_stack!G$2:G$100000, "&lt;="&amp;EOMONTH(DATE(2026,1,1),0)
 ),
 IF(OR(_xlpm.x=0, _xlpm.x=""), "-", _xlpm.x)
)</f>
        <v>-</v>
      </c>
      <c r="AC305" s="55" t="str">
        <f>_xlfn.LET(
 _xlpm.x,
 _xlfn.MAXIFS(
  raw_stack!G$2:G$99411,
  raw_stack!D$2:D$99411, G305,
  raw_stack!F$2:F$99411, "Iya",
  raw_stack!G$2:G$99411, "&gt;="&amp;DATE(2026,2,1),
  raw_stack!G$2:G$99411, "&lt;="&amp;EOMONTH(DATE(2026,2,1),0)
 ),
 IF(_xlpm.x=0, "-", _xlpm.x)
)</f>
        <v>-</v>
      </c>
      <c r="AD305" s="56" t="str">
        <f>_xlfn.LET(
 _xlpm.x,
 _xlfn.MAXIFS(
  raw_stack!H$2:H$100000,
  raw_stack!D$2:D$100000, G305,
  raw_stack!F$2:F$100000, "Iya",
  raw_stack!G$2:G$100000, "&gt;="&amp;DATE(2026,2,1),
  raw_stack!G$2:G$100000, "&lt;="&amp;EOMONTH(DATE(2026,2,1),0)
 ),
 IF(OR(_xlpm.x=0, _xlpm.x=""), "-", _xlpm.x)
)</f>
        <v>-</v>
      </c>
      <c r="AE305" s="55" t="str">
        <f>_xlfn.LET(
 _xlpm.x,
 _xlfn.MAXIFS(
  raw_stack!G$2:G$100000,
  raw_stack!D$2:D$100000, G305,
  raw_stack!F$2:F$100000, "Iya",
  raw_stack!G$2:G$100000, "&gt;="&amp;DATE(2026,3,1),
  raw_stack!G$2:G$100000, "&lt;="&amp;EOMONTH(DATE(2026,3,1),0)
 ),
 IF(_xlpm.x=0, "-", _xlpm.x)
)</f>
        <v>-</v>
      </c>
      <c r="AF305" s="56" t="str">
        <f>_xlfn.LET(
 _xlpm.x,
 _xlfn.MAXIFS(
  raw_stack!H$2:H$100000,
  raw_stack!D$2:D$100000, G305,
  raw_stack!F$2:F$100000, "Iya",
  raw_stack!G$2:G$100000, "&gt;="&amp;DATE(2026,3,1),
  raw_stack!G$2:G$100000, "&lt;="&amp;EOMONTH(DATE(2026,3,1),0)
 ),
 IF(OR(_xlpm.x=0, _xlpm.x=""), "-", _xlpm.x)
)</f>
        <v>-</v>
      </c>
      <c r="AG305" s="55" t="str">
        <f>_xlfn.LET(
 _xlpm.x,
 _xlfn.MAXIFS(
  raw_stack!G$2:G$100000,
  raw_stack!D$2:D$100000, G305,
  raw_stack!F$2:F$100000, "Iya",
  raw_stack!G$2:G$100000, "&gt;="&amp;DATE(2026,4,1),
  raw_stack!G$2:G$100000, "&lt;="&amp;EOMONTH(DATE(2026,4,1),0)
 ),
 IF(_xlpm.x=0, "-", _xlpm.x)
)</f>
        <v>-</v>
      </c>
      <c r="AH305" s="56" t="str">
        <f>_xlfn.LET(
 _xlpm.x,
 _xlfn.MAXIFS(
  raw_stack!H$2:H$100000,
  raw_stack!D$2:D$100000, G305,
  raw_stack!F$2:F$100000, "Iya",
  raw_stack!G$2:G$100000, "&gt;="&amp;DATE(2026,4,1),
  raw_stack!G$2:G$100000, "&lt;="&amp;EOMONTH(DATE(2026,4,1),0)
 ),
 IF(OR(_xlpm.x=0, _xlpm.x=""), "-", _xlpm.x)
)</f>
        <v>-</v>
      </c>
    </row>
    <row r="306" spans="1:34">
      <c r="A306" s="48">
        <v>305</v>
      </c>
      <c r="B306" s="49" t="str">
        <f t="shared" si="5"/>
        <v>84165</v>
      </c>
      <c r="C306" s="50" t="s">
        <v>46</v>
      </c>
      <c r="D306" s="51" t="s">
        <v>698</v>
      </c>
      <c r="E306" s="51" t="s">
        <v>57</v>
      </c>
      <c r="F306" s="49" t="s">
        <v>117</v>
      </c>
      <c r="G306" s="49" t="s">
        <v>422</v>
      </c>
      <c r="H306" s="49" t="s">
        <v>48</v>
      </c>
      <c r="I306" s="49" t="s">
        <v>49</v>
      </c>
      <c r="J306" s="52">
        <v>5170000</v>
      </c>
      <c r="K306" s="53">
        <v>45972</v>
      </c>
      <c r="L306" s="53">
        <v>47067</v>
      </c>
      <c r="M306" s="53">
        <v>46063</v>
      </c>
      <c r="N306" s="49" t="s">
        <v>50</v>
      </c>
      <c r="O306" s="54" t="str">
        <f>_xlfn.LET(
 _xlpm.x,
 _xlfn.MAXIFS(
  raw_stack!G$2:G$100000,
  raw_stack!D$2:D$100000, G306,
  raw_stack!F$2:F$100000, "Iya",
  raw_stack!G$2:G$100000, "&gt;="&amp;DATE(2025,7,1),
  raw_stack!G$2:G$100000, "&lt;="&amp;EOMONTH(DATE(2025,7,1),0)
 ),
 IF(_xlpm.x=0, "-", _xlpm.x)
)</f>
        <v>-</v>
      </c>
      <c r="P306" s="65" t="str">
        <f>_xlfn.LET(
 _xlpm.x,
 _xlfn.MAXIFS(
  raw_stack!H$2:H$100000,
  raw_stack!D$2:D$100000, G306,
  raw_stack!F$2:F$100000, "Iya",
  raw_stack!G$2:G$100000, "&gt;="&amp;DATE(2025,7,1),
  raw_stack!G$2:G$100000, "&lt;="&amp;EOMONTH(DATE(2025,7,1),0)
 ),
 IF(OR(_xlpm.x=0, _xlpm.x=""), "-", _xlpm.x)
)</f>
        <v>-</v>
      </c>
      <c r="Q306" s="54" t="str">
        <f>_xlfn.LET(
 _xlpm.x,
 _xlfn.MAXIFS(
  raw_stack!G$2:G$99411,
  raw_stack!D$2:D$99411, G306,
  raw_stack!F$2:F$99411, "Iya",
  raw_stack!G$2:G$99411, "&gt;="&amp;DATE(2025,8,1),
  raw_stack!G$2:G$99411, "&lt;="&amp;EOMONTH(DATE(2025,8,1),0)
 ),
 IF(_xlpm.x=0, "-", _xlpm.x)
)</f>
        <v>-</v>
      </c>
      <c r="R306" s="65" t="str">
        <f>_xlfn.LET(
 _xlpm.x,
 _xlfn.MAXIFS(
  raw_stack!H$2:H$100000,
  raw_stack!D$2:D$100000, G306,
  raw_stack!F$2:F$100000, "Iya",
  raw_stack!G$2:G$100000, "&gt;="&amp;DATE(2025,8,1),
  raw_stack!G$2:G$100000, "&lt;="&amp;EOMONTH(DATE(2025,8,1),0)
 ),
 IF(OR(_xlpm.x=0, _xlpm.x=""), "-", _xlpm.x)
)</f>
        <v>-</v>
      </c>
      <c r="S306" s="54" t="str">
        <f>_xlfn.LET(
 _xlpm.x,
 _xlfn.MAXIFS(
  raw_stack!G$2:G$99411,
  raw_stack!D$2:D$99411, G306,
  raw_stack!F$2:F$99411, "Iya",
  raw_stack!G$2:G$99411, "&gt;="&amp;DATE(2025,9,1),
  raw_stack!G$2:G$99411, "&lt;="&amp;EOMONTH(DATE(2025,9,1),0)
 ),
 IF(_xlpm.x=0, "-", _xlpm.x)
)</f>
        <v>-</v>
      </c>
      <c r="T306" s="65" t="str">
        <f>_xlfn.LET(
 _xlpm.x,
 _xlfn.MAXIFS(
  raw_stack!H$2:H$100000,
  raw_stack!D$2:D$100000, G306,
  raw_stack!F$2:F$100000, "Iya",
  raw_stack!G$2:G$100000, "&gt;="&amp;DATE(2025,9,1),
  raw_stack!G$2:G$100000, "&lt;="&amp;EOMONTH(DATE(2025,9,1),0)
 ),
 IF(OR(_xlpm.x=0, _xlpm.x=""), "-", _xlpm.x)
)</f>
        <v>-</v>
      </c>
      <c r="U306" s="54" t="str">
        <f>_xlfn.LET(
 _xlpm.x,
 _xlfn.MAXIFS(
  raw_stack!G$2:G$99411,
  raw_stack!D$2:D$99411, G306,
  raw_stack!F$2:F$99411, "Iya",
  raw_stack!G$2:G$99411, "&gt;="&amp;DATE(2025,10,1),
  raw_stack!G$2:G$99411, "&lt;="&amp;EOMONTH(DATE(2025,10,1),0)
 ),
 IF(_xlpm.x=0, "-", _xlpm.x)
)</f>
        <v>-</v>
      </c>
      <c r="V306" s="65" t="str">
        <f>_xlfn.LET(
 _xlpm.x,
 _xlfn.MAXIFS(
  raw_stack!H$2:H$100000,
  raw_stack!D$2:D$100000, G306,
  raw_stack!F$2:F$100000, "Iya",
  raw_stack!G$2:G$100000, "&gt;="&amp;DATE(2025,10,1),
  raw_stack!G$2:G$100000, "&lt;="&amp;EOMONTH(DATE(2025,10,1),0)
 ),
 IF(OR(_xlpm.x=0, _xlpm.x=""), "-", _xlpm.x)
)</f>
        <v>-</v>
      </c>
      <c r="W306" s="55">
        <f>_xlfn.LET(
 _xlpm.x,
 _xlfn.MAXIFS(
  raw_stack!G$2:G$99411,
  raw_stack!D$2:D$99411, G306,
  raw_stack!F$2:F$99411, "Iya",
  raw_stack!G$2:G$99411, "&gt;="&amp;DATE(2025,11,1),
  raw_stack!G$2:G$99411, "&lt;="&amp;EOMONTH(DATE(2025,11,1),0)
 ),
 IF(_xlpm.x=0, "-", _xlpm.x)
)</f>
        <v>45974</v>
      </c>
      <c r="X306" s="56">
        <f>_xlfn.LET(
 _xlpm.x,
 _xlfn.MAXIFS(
  raw_stack!H$2:H$100000,
  raw_stack!D$2:D$100000, G306,
  raw_stack!F$2:F$100000, "Iya",
  raw_stack!G$2:G$100000, "&gt;="&amp;DATE(2025,11,1),
  raw_stack!G$2:G$100000, "&lt;="&amp;EOMONTH(DATE(2025,11,1),0)
 ),
 IF(OR(_xlpm.x=0, _xlpm.x=""), "-", _xlpm.x)
)</f>
        <v>3173</v>
      </c>
      <c r="Y306" s="55" t="str">
        <f>_xlfn.LET(
 _xlpm.x,
 _xlfn.MAXIFS(
  raw_stack!G$2:G$99411,
  raw_stack!D$2:D$99411, G306,
  raw_stack!F$2:F$99411, "Iya",
  raw_stack!G$2:G$99411, "&gt;="&amp;DATE(2025,12,1),
  raw_stack!G$2:G$99411, "&lt;="&amp;EOMONTH(DATE(2025,12,1),0)
 ),
 IF(_xlpm.x=0, "-", _xlpm.x)
)</f>
        <v>-</v>
      </c>
      <c r="Z306" s="56" t="str">
        <f>_xlfn.LET(
 _xlpm.x,
 _xlfn.MAXIFS(
  raw_stack!H$2:H$100000,
  raw_stack!D$2:D$100000, G306,
  raw_stack!F$2:F$100000, "Iya",
  raw_stack!G$2:G$100000, "&gt;="&amp;DATE(2025,12,1),
  raw_stack!G$2:G$100000, "&lt;="&amp;EOMONTH(DATE(2025,12,1),0)
 ),
 IF(OR(_xlpm.x=0, _xlpm.x=""), "-", _xlpm.x)
)</f>
        <v>-</v>
      </c>
      <c r="AA306" s="55" t="str">
        <f>_xlfn.LET(
 _xlpm.x,
 _xlfn.MAXIFS(
  raw_stack!G$2:G$99411,
  raw_stack!D$2:D$99411, G306,
  raw_stack!F$2:F$99411, "Iya",
  raw_stack!G$2:G$99411, "&gt;="&amp;DATE(2026,1,1),
  raw_stack!G$2:G$99411, "&lt;="&amp;EOMONTH(DATE(2026,1,1),0)
 ),
 IF(_xlpm.x=0, "-", _xlpm.x)
)</f>
        <v>-</v>
      </c>
      <c r="AB306" s="56" t="str">
        <f>_xlfn.LET(
 _xlpm.x,
 _xlfn.MAXIFS(
  raw_stack!H$2:H$100000,
  raw_stack!D$2:D$100000, G306,
  raw_stack!F$2:F$100000, "Iya",
  raw_stack!G$2:G$100000, "&gt;="&amp;DATE(2026,1,1),
  raw_stack!G$2:G$100000, "&lt;="&amp;EOMONTH(DATE(2026,1,1),0)
 ),
 IF(OR(_xlpm.x=0, _xlpm.x=""), "-", _xlpm.x)
)</f>
        <v>-</v>
      </c>
      <c r="AC306" s="55" t="str">
        <f>_xlfn.LET(
 _xlpm.x,
 _xlfn.MAXIFS(
  raw_stack!G$2:G$99411,
  raw_stack!D$2:D$99411, G306,
  raw_stack!F$2:F$99411, "Iya",
  raw_stack!G$2:G$99411, "&gt;="&amp;DATE(2026,2,1),
  raw_stack!G$2:G$99411, "&lt;="&amp;EOMONTH(DATE(2026,2,1),0)
 ),
 IF(_xlpm.x=0, "-", _xlpm.x)
)</f>
        <v>-</v>
      </c>
      <c r="AD306" s="56" t="str">
        <f>_xlfn.LET(
 _xlpm.x,
 _xlfn.MAXIFS(
  raw_stack!H$2:H$100000,
  raw_stack!D$2:D$100000, G306,
  raw_stack!F$2:F$100000, "Iya",
  raw_stack!G$2:G$100000, "&gt;="&amp;DATE(2026,2,1),
  raw_stack!G$2:G$100000, "&lt;="&amp;EOMONTH(DATE(2026,2,1),0)
 ),
 IF(OR(_xlpm.x=0, _xlpm.x=""), "-", _xlpm.x)
)</f>
        <v>-</v>
      </c>
      <c r="AE306" s="55" t="str">
        <f>_xlfn.LET(
 _xlpm.x,
 _xlfn.MAXIFS(
  raw_stack!G$2:G$100000,
  raw_stack!D$2:D$100000, G306,
  raw_stack!F$2:F$100000, "Iya",
  raw_stack!G$2:G$100000, "&gt;="&amp;DATE(2026,3,1),
  raw_stack!G$2:G$100000, "&lt;="&amp;EOMONTH(DATE(2026,3,1),0)
 ),
 IF(_xlpm.x=0, "-", _xlpm.x)
)</f>
        <v>-</v>
      </c>
      <c r="AF306" s="56" t="str">
        <f>_xlfn.LET(
 _xlpm.x,
 _xlfn.MAXIFS(
  raw_stack!H$2:H$100000,
  raw_stack!D$2:D$100000, G306,
  raw_stack!F$2:F$100000, "Iya",
  raw_stack!G$2:G$100000, "&gt;="&amp;DATE(2026,3,1),
  raw_stack!G$2:G$100000, "&lt;="&amp;EOMONTH(DATE(2026,3,1),0)
 ),
 IF(OR(_xlpm.x=0, _xlpm.x=""), "-", _xlpm.x)
)</f>
        <v>-</v>
      </c>
      <c r="AG306" s="55" t="str">
        <f>_xlfn.LET(
 _xlpm.x,
 _xlfn.MAXIFS(
  raw_stack!G$2:G$100000,
  raw_stack!D$2:D$100000, G306,
  raw_stack!F$2:F$100000, "Iya",
  raw_stack!G$2:G$100000, "&gt;="&amp;DATE(2026,4,1),
  raw_stack!G$2:G$100000, "&lt;="&amp;EOMONTH(DATE(2026,4,1),0)
 ),
 IF(_xlpm.x=0, "-", _xlpm.x)
)</f>
        <v>-</v>
      </c>
      <c r="AH306" s="56" t="str">
        <f>_xlfn.LET(
 _xlpm.x,
 _xlfn.MAXIFS(
  raw_stack!H$2:H$100000,
  raw_stack!D$2:D$100000, G306,
  raw_stack!F$2:F$100000, "Iya",
  raw_stack!G$2:G$100000, "&gt;="&amp;DATE(2026,4,1),
  raw_stack!G$2:G$100000, "&lt;="&amp;EOMONTH(DATE(2026,4,1),0)
 ),
 IF(OR(_xlpm.x=0, _xlpm.x=""), "-", _xlpm.x)
)</f>
        <v>-</v>
      </c>
    </row>
    <row r="307" spans="1:34">
      <c r="A307" s="48">
        <v>306</v>
      </c>
      <c r="B307" s="49" t="str">
        <f t="shared" si="5"/>
        <v>71786</v>
      </c>
      <c r="C307" s="50" t="s">
        <v>46</v>
      </c>
      <c r="D307" s="51" t="s">
        <v>699</v>
      </c>
      <c r="E307" s="51" t="s">
        <v>51</v>
      </c>
      <c r="F307" s="49" t="s">
        <v>117</v>
      </c>
      <c r="G307" s="49" t="s">
        <v>423</v>
      </c>
      <c r="H307" s="49" t="s">
        <v>48</v>
      </c>
      <c r="I307" s="49" t="s">
        <v>52</v>
      </c>
      <c r="J307" s="52">
        <v>3880000</v>
      </c>
      <c r="K307" s="53">
        <v>45974</v>
      </c>
      <c r="L307" s="53">
        <v>47069</v>
      </c>
      <c r="M307" s="53">
        <v>46093</v>
      </c>
      <c r="N307" s="49" t="s">
        <v>50</v>
      </c>
      <c r="O307" s="54" t="str">
        <f>_xlfn.LET(
 _xlpm.x,
 _xlfn.MAXIFS(
  raw_stack!G$2:G$100000,
  raw_stack!D$2:D$100000, G307,
  raw_stack!F$2:F$100000, "Iya",
  raw_stack!G$2:G$100000, "&gt;="&amp;DATE(2025,7,1),
  raw_stack!G$2:G$100000, "&lt;="&amp;EOMONTH(DATE(2025,7,1),0)
 ),
 IF(_xlpm.x=0, "-", _xlpm.x)
)</f>
        <v>-</v>
      </c>
      <c r="P307" s="65" t="str">
        <f>_xlfn.LET(
 _xlpm.x,
 _xlfn.MAXIFS(
  raw_stack!H$2:H$100000,
  raw_stack!D$2:D$100000, G307,
  raw_stack!F$2:F$100000, "Iya",
  raw_stack!G$2:G$100000, "&gt;="&amp;DATE(2025,7,1),
  raw_stack!G$2:G$100000, "&lt;="&amp;EOMONTH(DATE(2025,7,1),0)
 ),
 IF(OR(_xlpm.x=0, _xlpm.x=""), "-", _xlpm.x)
)</f>
        <v>-</v>
      </c>
      <c r="Q307" s="54" t="str">
        <f>_xlfn.LET(
 _xlpm.x,
 _xlfn.MAXIFS(
  raw_stack!G$2:G$99411,
  raw_stack!D$2:D$99411, G307,
  raw_stack!F$2:F$99411, "Iya",
  raw_stack!G$2:G$99411, "&gt;="&amp;DATE(2025,8,1),
  raw_stack!G$2:G$99411, "&lt;="&amp;EOMONTH(DATE(2025,8,1),0)
 ),
 IF(_xlpm.x=0, "-", _xlpm.x)
)</f>
        <v>-</v>
      </c>
      <c r="R307" s="65" t="str">
        <f>_xlfn.LET(
 _xlpm.x,
 _xlfn.MAXIFS(
  raw_stack!H$2:H$100000,
  raw_stack!D$2:D$100000, G307,
  raw_stack!F$2:F$100000, "Iya",
  raw_stack!G$2:G$100000, "&gt;="&amp;DATE(2025,8,1),
  raw_stack!G$2:G$100000, "&lt;="&amp;EOMONTH(DATE(2025,8,1),0)
 ),
 IF(OR(_xlpm.x=0, _xlpm.x=""), "-", _xlpm.x)
)</f>
        <v>-</v>
      </c>
      <c r="S307" s="54" t="str">
        <f>_xlfn.LET(
 _xlpm.x,
 _xlfn.MAXIFS(
  raw_stack!G$2:G$99411,
  raw_stack!D$2:D$99411, G307,
  raw_stack!F$2:F$99411, "Iya",
  raw_stack!G$2:G$99411, "&gt;="&amp;DATE(2025,9,1),
  raw_stack!G$2:G$99411, "&lt;="&amp;EOMONTH(DATE(2025,9,1),0)
 ),
 IF(_xlpm.x=0, "-", _xlpm.x)
)</f>
        <v>-</v>
      </c>
      <c r="T307" s="65" t="str">
        <f>_xlfn.LET(
 _xlpm.x,
 _xlfn.MAXIFS(
  raw_stack!H$2:H$100000,
  raw_stack!D$2:D$100000, G307,
  raw_stack!F$2:F$100000, "Iya",
  raw_stack!G$2:G$100000, "&gt;="&amp;DATE(2025,9,1),
  raw_stack!G$2:G$100000, "&lt;="&amp;EOMONTH(DATE(2025,9,1),0)
 ),
 IF(OR(_xlpm.x=0, _xlpm.x=""), "-", _xlpm.x)
)</f>
        <v>-</v>
      </c>
      <c r="U307" s="54" t="str">
        <f>_xlfn.LET(
 _xlpm.x,
 _xlfn.MAXIFS(
  raw_stack!G$2:G$99411,
  raw_stack!D$2:D$99411, G307,
  raw_stack!F$2:F$99411, "Iya",
  raw_stack!G$2:G$99411, "&gt;="&amp;DATE(2025,10,1),
  raw_stack!G$2:G$99411, "&lt;="&amp;EOMONTH(DATE(2025,10,1),0)
 ),
 IF(_xlpm.x=0, "-", _xlpm.x)
)</f>
        <v>-</v>
      </c>
      <c r="V307" s="65" t="str">
        <f>_xlfn.LET(
 _xlpm.x,
 _xlfn.MAXIFS(
  raw_stack!H$2:H$100000,
  raw_stack!D$2:D$100000, G307,
  raw_stack!F$2:F$100000, "Iya",
  raw_stack!G$2:G$100000, "&gt;="&amp;DATE(2025,10,1),
  raw_stack!G$2:G$100000, "&lt;="&amp;EOMONTH(DATE(2025,10,1),0)
 ),
 IF(OR(_xlpm.x=0, _xlpm.x=""), "-", _xlpm.x)
)</f>
        <v>-</v>
      </c>
      <c r="W307" s="55">
        <f>_xlfn.LET(
 _xlpm.x,
 _xlfn.MAXIFS(
  raw_stack!G$2:G$99411,
  raw_stack!D$2:D$99411, G307,
  raw_stack!F$2:F$99411, "Iya",
  raw_stack!G$2:G$99411, "&gt;="&amp;DATE(2025,11,1),
  raw_stack!G$2:G$99411, "&lt;="&amp;EOMONTH(DATE(2025,11,1),0)
 ),
 IF(_xlpm.x=0, "-", _xlpm.x)
)</f>
        <v>45974</v>
      </c>
      <c r="X307" s="56">
        <f>_xlfn.LET(
 _xlpm.x,
 _xlfn.MAXIFS(
  raw_stack!H$2:H$100000,
  raw_stack!D$2:D$100000, G307,
  raw_stack!F$2:F$100000, "Iya",
  raw_stack!G$2:G$100000, "&gt;="&amp;DATE(2025,11,1),
  raw_stack!G$2:G$100000, "&lt;="&amp;EOMONTH(DATE(2025,11,1),0)
 ),
 IF(OR(_xlpm.x=0, _xlpm.x=""), "-", _xlpm.x)
)</f>
        <v>2092</v>
      </c>
      <c r="Y307" s="55" t="str">
        <f>_xlfn.LET(
 _xlpm.x,
 _xlfn.MAXIFS(
  raw_stack!G$2:G$99411,
  raw_stack!D$2:D$99411, G307,
  raw_stack!F$2:F$99411, "Iya",
  raw_stack!G$2:G$99411, "&gt;="&amp;DATE(2025,12,1),
  raw_stack!G$2:G$99411, "&lt;="&amp;EOMONTH(DATE(2025,12,1),0)
 ),
 IF(_xlpm.x=0, "-", _xlpm.x)
)</f>
        <v>-</v>
      </c>
      <c r="Z307" s="56" t="str">
        <f>_xlfn.LET(
 _xlpm.x,
 _xlfn.MAXIFS(
  raw_stack!H$2:H$100000,
  raw_stack!D$2:D$100000, G307,
  raw_stack!F$2:F$100000, "Iya",
  raw_stack!G$2:G$100000, "&gt;="&amp;DATE(2025,12,1),
  raw_stack!G$2:G$100000, "&lt;="&amp;EOMONTH(DATE(2025,12,1),0)
 ),
 IF(OR(_xlpm.x=0, _xlpm.x=""), "-", _xlpm.x)
)</f>
        <v>-</v>
      </c>
      <c r="AA307" s="55" t="str">
        <f>_xlfn.LET(
 _xlpm.x,
 _xlfn.MAXIFS(
  raw_stack!G$2:G$99411,
  raw_stack!D$2:D$99411, G307,
  raw_stack!F$2:F$99411, "Iya",
  raw_stack!G$2:G$99411, "&gt;="&amp;DATE(2026,1,1),
  raw_stack!G$2:G$99411, "&lt;="&amp;EOMONTH(DATE(2026,1,1),0)
 ),
 IF(_xlpm.x=0, "-", _xlpm.x)
)</f>
        <v>-</v>
      </c>
      <c r="AB307" s="56" t="str">
        <f>_xlfn.LET(
 _xlpm.x,
 _xlfn.MAXIFS(
  raw_stack!H$2:H$100000,
  raw_stack!D$2:D$100000, G307,
  raw_stack!F$2:F$100000, "Iya",
  raw_stack!G$2:G$100000, "&gt;="&amp;DATE(2026,1,1),
  raw_stack!G$2:G$100000, "&lt;="&amp;EOMONTH(DATE(2026,1,1),0)
 ),
 IF(OR(_xlpm.x=0, _xlpm.x=""), "-", _xlpm.x)
)</f>
        <v>-</v>
      </c>
      <c r="AC307" s="55" t="str">
        <f>_xlfn.LET(
 _xlpm.x,
 _xlfn.MAXIFS(
  raw_stack!G$2:G$99411,
  raw_stack!D$2:D$99411, G307,
  raw_stack!F$2:F$99411, "Iya",
  raw_stack!G$2:G$99411, "&gt;="&amp;DATE(2026,2,1),
  raw_stack!G$2:G$99411, "&lt;="&amp;EOMONTH(DATE(2026,2,1),0)
 ),
 IF(_xlpm.x=0, "-", _xlpm.x)
)</f>
        <v>-</v>
      </c>
      <c r="AD307" s="56" t="str">
        <f>_xlfn.LET(
 _xlpm.x,
 _xlfn.MAXIFS(
  raw_stack!H$2:H$100000,
  raw_stack!D$2:D$100000, G307,
  raw_stack!F$2:F$100000, "Iya",
  raw_stack!G$2:G$100000, "&gt;="&amp;DATE(2026,2,1),
  raw_stack!G$2:G$100000, "&lt;="&amp;EOMONTH(DATE(2026,2,1),0)
 ),
 IF(OR(_xlpm.x=0, _xlpm.x=""), "-", _xlpm.x)
)</f>
        <v>-</v>
      </c>
      <c r="AE307" s="55" t="str">
        <f>_xlfn.LET(
 _xlpm.x,
 _xlfn.MAXIFS(
  raw_stack!G$2:G$100000,
  raw_stack!D$2:D$100000, G307,
  raw_stack!F$2:F$100000, "Iya",
  raw_stack!G$2:G$100000, "&gt;="&amp;DATE(2026,3,1),
  raw_stack!G$2:G$100000, "&lt;="&amp;EOMONTH(DATE(2026,3,1),0)
 ),
 IF(_xlpm.x=0, "-", _xlpm.x)
)</f>
        <v>-</v>
      </c>
      <c r="AF307" s="56" t="str">
        <f>_xlfn.LET(
 _xlpm.x,
 _xlfn.MAXIFS(
  raw_stack!H$2:H$100000,
  raw_stack!D$2:D$100000, G307,
  raw_stack!F$2:F$100000, "Iya",
  raw_stack!G$2:G$100000, "&gt;="&amp;DATE(2026,3,1),
  raw_stack!G$2:G$100000, "&lt;="&amp;EOMONTH(DATE(2026,3,1),0)
 ),
 IF(OR(_xlpm.x=0, _xlpm.x=""), "-", _xlpm.x)
)</f>
        <v>-</v>
      </c>
      <c r="AG307" s="55" t="str">
        <f>_xlfn.LET(
 _xlpm.x,
 _xlfn.MAXIFS(
  raw_stack!G$2:G$100000,
  raw_stack!D$2:D$100000, G307,
  raw_stack!F$2:F$100000, "Iya",
  raw_stack!G$2:G$100000, "&gt;="&amp;DATE(2026,4,1),
  raw_stack!G$2:G$100000, "&lt;="&amp;EOMONTH(DATE(2026,4,1),0)
 ),
 IF(_xlpm.x=0, "-", _xlpm.x)
)</f>
        <v>-</v>
      </c>
      <c r="AH307" s="56" t="str">
        <f>_xlfn.LET(
 _xlpm.x,
 _xlfn.MAXIFS(
  raw_stack!H$2:H$100000,
  raw_stack!D$2:D$100000, G307,
  raw_stack!F$2:F$100000, "Iya",
  raw_stack!G$2:G$100000, "&gt;="&amp;DATE(2026,4,1),
  raw_stack!G$2:G$100000, "&lt;="&amp;EOMONTH(DATE(2026,4,1),0)
 ),
 IF(OR(_xlpm.x=0, _xlpm.x=""), "-", _xlpm.x)
)</f>
        <v>-</v>
      </c>
    </row>
    <row r="308" spans="1:34">
      <c r="A308" s="48">
        <v>307</v>
      </c>
      <c r="B308" s="49" t="str">
        <f t="shared" si="5"/>
        <v>69055</v>
      </c>
      <c r="C308" s="50" t="s">
        <v>46</v>
      </c>
      <c r="D308" s="51" t="s">
        <v>520</v>
      </c>
      <c r="E308" s="51" t="s">
        <v>53</v>
      </c>
      <c r="F308" s="49" t="s">
        <v>117</v>
      </c>
      <c r="G308" s="49" t="s">
        <v>424</v>
      </c>
      <c r="H308" s="49" t="s">
        <v>48</v>
      </c>
      <c r="I308" s="49" t="s">
        <v>52</v>
      </c>
      <c r="J308" s="52">
        <v>3860000</v>
      </c>
      <c r="K308" s="53">
        <v>45982</v>
      </c>
      <c r="L308" s="53">
        <v>47077</v>
      </c>
      <c r="M308" s="53">
        <v>46073</v>
      </c>
      <c r="N308" s="49" t="s">
        <v>50</v>
      </c>
      <c r="O308" s="54" t="str">
        <f>_xlfn.LET(
 _xlpm.x,
 _xlfn.MAXIFS(
  raw_stack!G$2:G$100000,
  raw_stack!D$2:D$100000, G308,
  raw_stack!F$2:F$100000, "Iya",
  raw_stack!G$2:G$100000, "&gt;="&amp;DATE(2025,7,1),
  raw_stack!G$2:G$100000, "&lt;="&amp;EOMONTH(DATE(2025,7,1),0)
 ),
 IF(_xlpm.x=0, "-", _xlpm.x)
)</f>
        <v>-</v>
      </c>
      <c r="P308" s="65" t="str">
        <f>_xlfn.LET(
 _xlpm.x,
 _xlfn.MAXIFS(
  raw_stack!H$2:H$100000,
  raw_stack!D$2:D$100000, G308,
  raw_stack!F$2:F$100000, "Iya",
  raw_stack!G$2:G$100000, "&gt;="&amp;DATE(2025,7,1),
  raw_stack!G$2:G$100000, "&lt;="&amp;EOMONTH(DATE(2025,7,1),0)
 ),
 IF(OR(_xlpm.x=0, _xlpm.x=""), "-", _xlpm.x)
)</f>
        <v>-</v>
      </c>
      <c r="Q308" s="54" t="str">
        <f>_xlfn.LET(
 _xlpm.x,
 _xlfn.MAXIFS(
  raw_stack!G$2:G$99411,
  raw_stack!D$2:D$99411, G308,
  raw_stack!F$2:F$99411, "Iya",
  raw_stack!G$2:G$99411, "&gt;="&amp;DATE(2025,8,1),
  raw_stack!G$2:G$99411, "&lt;="&amp;EOMONTH(DATE(2025,8,1),0)
 ),
 IF(_xlpm.x=0, "-", _xlpm.x)
)</f>
        <v>-</v>
      </c>
      <c r="R308" s="65" t="str">
        <f>_xlfn.LET(
 _xlpm.x,
 _xlfn.MAXIFS(
  raw_stack!H$2:H$100000,
  raw_stack!D$2:D$100000, G308,
  raw_stack!F$2:F$100000, "Iya",
  raw_stack!G$2:G$100000, "&gt;="&amp;DATE(2025,8,1),
  raw_stack!G$2:G$100000, "&lt;="&amp;EOMONTH(DATE(2025,8,1),0)
 ),
 IF(OR(_xlpm.x=0, _xlpm.x=""), "-", _xlpm.x)
)</f>
        <v>-</v>
      </c>
      <c r="S308" s="54" t="str">
        <f>_xlfn.LET(
 _xlpm.x,
 _xlfn.MAXIFS(
  raw_stack!G$2:G$99411,
  raw_stack!D$2:D$99411, G308,
  raw_stack!F$2:F$99411, "Iya",
  raw_stack!G$2:G$99411, "&gt;="&amp;DATE(2025,9,1),
  raw_stack!G$2:G$99411, "&lt;="&amp;EOMONTH(DATE(2025,9,1),0)
 ),
 IF(_xlpm.x=0, "-", _xlpm.x)
)</f>
        <v>-</v>
      </c>
      <c r="T308" s="65" t="str">
        <f>_xlfn.LET(
 _xlpm.x,
 _xlfn.MAXIFS(
  raw_stack!H$2:H$100000,
  raw_stack!D$2:D$100000, G308,
  raw_stack!F$2:F$100000, "Iya",
  raw_stack!G$2:G$100000, "&gt;="&amp;DATE(2025,9,1),
  raw_stack!G$2:G$100000, "&lt;="&amp;EOMONTH(DATE(2025,9,1),0)
 ),
 IF(OR(_xlpm.x=0, _xlpm.x=""), "-", _xlpm.x)
)</f>
        <v>-</v>
      </c>
      <c r="U308" s="54" t="str">
        <f>_xlfn.LET(
 _xlpm.x,
 _xlfn.MAXIFS(
  raw_stack!G$2:G$99411,
  raw_stack!D$2:D$99411, G308,
  raw_stack!F$2:F$99411, "Iya",
  raw_stack!G$2:G$99411, "&gt;="&amp;DATE(2025,10,1),
  raw_stack!G$2:G$99411, "&lt;="&amp;EOMONTH(DATE(2025,10,1),0)
 ),
 IF(_xlpm.x=0, "-", _xlpm.x)
)</f>
        <v>-</v>
      </c>
      <c r="V308" s="65" t="str">
        <f>_xlfn.LET(
 _xlpm.x,
 _xlfn.MAXIFS(
  raw_stack!H$2:H$100000,
  raw_stack!D$2:D$100000, G308,
  raw_stack!F$2:F$100000, "Iya",
  raw_stack!G$2:G$100000, "&gt;="&amp;DATE(2025,10,1),
  raw_stack!G$2:G$100000, "&lt;="&amp;EOMONTH(DATE(2025,10,1),0)
 ),
 IF(OR(_xlpm.x=0, _xlpm.x=""), "-", _xlpm.x)
)</f>
        <v>-</v>
      </c>
      <c r="W308" s="55">
        <f>_xlfn.LET(
 _xlpm.x,
 _xlfn.MAXIFS(
  raw_stack!G$2:G$99411,
  raw_stack!D$2:D$99411, G308,
  raw_stack!F$2:F$99411, "Iya",
  raw_stack!G$2:G$99411, "&gt;="&amp;DATE(2025,11,1),
  raw_stack!G$2:G$99411, "&lt;="&amp;EOMONTH(DATE(2025,11,1),0)
 ),
 IF(_xlpm.x=0, "-", _xlpm.x)
)</f>
        <v>45967</v>
      </c>
      <c r="X308" s="56">
        <f>_xlfn.LET(
 _xlpm.x,
 _xlfn.MAXIFS(
  raw_stack!H$2:H$100000,
  raw_stack!D$2:D$100000, G308,
  raw_stack!F$2:F$100000, "Iya",
  raw_stack!G$2:G$100000, "&gt;="&amp;DATE(2025,11,1),
  raw_stack!G$2:G$100000, "&lt;="&amp;EOMONTH(DATE(2025,11,1),0)
 ),
 IF(OR(_xlpm.x=0, _xlpm.x=""), "-", _xlpm.x)
)</f>
        <v>2765</v>
      </c>
      <c r="Y308" s="55" t="str">
        <f>_xlfn.LET(
 _xlpm.x,
 _xlfn.MAXIFS(
  raw_stack!G$2:G$99411,
  raw_stack!D$2:D$99411, G308,
  raw_stack!F$2:F$99411, "Iya",
  raw_stack!G$2:G$99411, "&gt;="&amp;DATE(2025,12,1),
  raw_stack!G$2:G$99411, "&lt;="&amp;EOMONTH(DATE(2025,12,1),0)
 ),
 IF(_xlpm.x=0, "-", _xlpm.x)
)</f>
        <v>-</v>
      </c>
      <c r="Z308" s="56" t="str">
        <f>_xlfn.LET(
 _xlpm.x,
 _xlfn.MAXIFS(
  raw_stack!H$2:H$100000,
  raw_stack!D$2:D$100000, G308,
  raw_stack!F$2:F$100000, "Iya",
  raw_stack!G$2:G$100000, "&gt;="&amp;DATE(2025,12,1),
  raw_stack!G$2:G$100000, "&lt;="&amp;EOMONTH(DATE(2025,12,1),0)
 ),
 IF(OR(_xlpm.x=0, _xlpm.x=""), "-", _xlpm.x)
)</f>
        <v>-</v>
      </c>
      <c r="AA308" s="55" t="str">
        <f>_xlfn.LET(
 _xlpm.x,
 _xlfn.MAXIFS(
  raw_stack!G$2:G$99411,
  raw_stack!D$2:D$99411, G308,
  raw_stack!F$2:F$99411, "Iya",
  raw_stack!G$2:G$99411, "&gt;="&amp;DATE(2026,1,1),
  raw_stack!G$2:G$99411, "&lt;="&amp;EOMONTH(DATE(2026,1,1),0)
 ),
 IF(_xlpm.x=0, "-", _xlpm.x)
)</f>
        <v>-</v>
      </c>
      <c r="AB308" s="56" t="str">
        <f>_xlfn.LET(
 _xlpm.x,
 _xlfn.MAXIFS(
  raw_stack!H$2:H$100000,
  raw_stack!D$2:D$100000, G308,
  raw_stack!F$2:F$100000, "Iya",
  raw_stack!G$2:G$100000, "&gt;="&amp;DATE(2026,1,1),
  raw_stack!G$2:G$100000, "&lt;="&amp;EOMONTH(DATE(2026,1,1),0)
 ),
 IF(OR(_xlpm.x=0, _xlpm.x=""), "-", _xlpm.x)
)</f>
        <v>-</v>
      </c>
      <c r="AC308" s="55" t="str">
        <f>_xlfn.LET(
 _xlpm.x,
 _xlfn.MAXIFS(
  raw_stack!G$2:G$99411,
  raw_stack!D$2:D$99411, G308,
  raw_stack!F$2:F$99411, "Iya",
  raw_stack!G$2:G$99411, "&gt;="&amp;DATE(2026,2,1),
  raw_stack!G$2:G$99411, "&lt;="&amp;EOMONTH(DATE(2026,2,1),0)
 ),
 IF(_xlpm.x=0, "-", _xlpm.x)
)</f>
        <v>-</v>
      </c>
      <c r="AD308" s="56" t="str">
        <f>_xlfn.LET(
 _xlpm.x,
 _xlfn.MAXIFS(
  raw_stack!H$2:H$100000,
  raw_stack!D$2:D$100000, G308,
  raw_stack!F$2:F$100000, "Iya",
  raw_stack!G$2:G$100000, "&gt;="&amp;DATE(2026,2,1),
  raw_stack!G$2:G$100000, "&lt;="&amp;EOMONTH(DATE(2026,2,1),0)
 ),
 IF(OR(_xlpm.x=0, _xlpm.x=""), "-", _xlpm.x)
)</f>
        <v>-</v>
      </c>
      <c r="AE308" s="55" t="str">
        <f>_xlfn.LET(
 _xlpm.x,
 _xlfn.MAXIFS(
  raw_stack!G$2:G$100000,
  raw_stack!D$2:D$100000, G308,
  raw_stack!F$2:F$100000, "Iya",
  raw_stack!G$2:G$100000, "&gt;="&amp;DATE(2026,3,1),
  raw_stack!G$2:G$100000, "&lt;="&amp;EOMONTH(DATE(2026,3,1),0)
 ),
 IF(_xlpm.x=0, "-", _xlpm.x)
)</f>
        <v>-</v>
      </c>
      <c r="AF308" s="56" t="str">
        <f>_xlfn.LET(
 _xlpm.x,
 _xlfn.MAXIFS(
  raw_stack!H$2:H$100000,
  raw_stack!D$2:D$100000, G308,
  raw_stack!F$2:F$100000, "Iya",
  raw_stack!G$2:G$100000, "&gt;="&amp;DATE(2026,3,1),
  raw_stack!G$2:G$100000, "&lt;="&amp;EOMONTH(DATE(2026,3,1),0)
 ),
 IF(OR(_xlpm.x=0, _xlpm.x=""), "-", _xlpm.x)
)</f>
        <v>-</v>
      </c>
      <c r="AG308" s="55" t="str">
        <f>_xlfn.LET(
 _xlpm.x,
 _xlfn.MAXIFS(
  raw_stack!G$2:G$100000,
  raw_stack!D$2:D$100000, G308,
  raw_stack!F$2:F$100000, "Iya",
  raw_stack!G$2:G$100000, "&gt;="&amp;DATE(2026,4,1),
  raw_stack!G$2:G$100000, "&lt;="&amp;EOMONTH(DATE(2026,4,1),0)
 ),
 IF(_xlpm.x=0, "-", _xlpm.x)
)</f>
        <v>-</v>
      </c>
      <c r="AH308" s="56" t="str">
        <f>_xlfn.LET(
 _xlpm.x,
 _xlfn.MAXIFS(
  raw_stack!H$2:H$100000,
  raw_stack!D$2:D$100000, G308,
  raw_stack!F$2:F$100000, "Iya",
  raw_stack!G$2:G$100000, "&gt;="&amp;DATE(2026,4,1),
  raw_stack!G$2:G$100000, "&lt;="&amp;EOMONTH(DATE(2026,4,1),0)
 ),
 IF(OR(_xlpm.x=0, _xlpm.x=""), "-", _xlpm.x)
)</f>
        <v>-</v>
      </c>
    </row>
    <row r="309" spans="1:34">
      <c r="A309" s="48">
        <v>308</v>
      </c>
      <c r="B309" s="49" t="str">
        <f t="shared" si="5"/>
        <v>29110</v>
      </c>
      <c r="C309" s="50" t="s">
        <v>46</v>
      </c>
      <c r="D309" s="51" t="s">
        <v>469</v>
      </c>
      <c r="E309" s="51" t="s">
        <v>51</v>
      </c>
      <c r="F309" s="49" t="s">
        <v>117</v>
      </c>
      <c r="G309" s="49" t="s">
        <v>425</v>
      </c>
      <c r="H309" s="49" t="s">
        <v>48</v>
      </c>
      <c r="I309" s="49" t="s">
        <v>52</v>
      </c>
      <c r="J309" s="52">
        <v>5500000</v>
      </c>
      <c r="K309" s="53">
        <v>45982</v>
      </c>
      <c r="L309" s="53">
        <v>47077</v>
      </c>
      <c r="M309" s="53">
        <v>46073</v>
      </c>
      <c r="N309" s="49" t="s">
        <v>50</v>
      </c>
      <c r="O309" s="54" t="str">
        <f>_xlfn.LET(
 _xlpm.x,
 _xlfn.MAXIFS(
  raw_stack!G$2:G$100000,
  raw_stack!D$2:D$100000, G309,
  raw_stack!F$2:F$100000, "Iya",
  raw_stack!G$2:G$100000, "&gt;="&amp;DATE(2025,7,1),
  raw_stack!G$2:G$100000, "&lt;="&amp;EOMONTH(DATE(2025,7,1),0)
 ),
 IF(_xlpm.x=0, "-", _xlpm.x)
)</f>
        <v>-</v>
      </c>
      <c r="P309" s="65" t="str">
        <f>_xlfn.LET(
 _xlpm.x,
 _xlfn.MAXIFS(
  raw_stack!H$2:H$100000,
  raw_stack!D$2:D$100000, G309,
  raw_stack!F$2:F$100000, "Iya",
  raw_stack!G$2:G$100000, "&gt;="&amp;DATE(2025,7,1),
  raw_stack!G$2:G$100000, "&lt;="&amp;EOMONTH(DATE(2025,7,1),0)
 ),
 IF(OR(_xlpm.x=0, _xlpm.x=""), "-", _xlpm.x)
)</f>
        <v>-</v>
      </c>
      <c r="Q309" s="54" t="str">
        <f>_xlfn.LET(
 _xlpm.x,
 _xlfn.MAXIFS(
  raw_stack!G$2:G$99411,
  raw_stack!D$2:D$99411, G309,
  raw_stack!F$2:F$99411, "Iya",
  raw_stack!G$2:G$99411, "&gt;="&amp;DATE(2025,8,1),
  raw_stack!G$2:G$99411, "&lt;="&amp;EOMONTH(DATE(2025,8,1),0)
 ),
 IF(_xlpm.x=0, "-", _xlpm.x)
)</f>
        <v>-</v>
      </c>
      <c r="R309" s="65" t="str">
        <f>_xlfn.LET(
 _xlpm.x,
 _xlfn.MAXIFS(
  raw_stack!H$2:H$100000,
  raw_stack!D$2:D$100000, G309,
  raw_stack!F$2:F$100000, "Iya",
  raw_stack!G$2:G$100000, "&gt;="&amp;DATE(2025,8,1),
  raw_stack!G$2:G$100000, "&lt;="&amp;EOMONTH(DATE(2025,8,1),0)
 ),
 IF(OR(_xlpm.x=0, _xlpm.x=""), "-", _xlpm.x)
)</f>
        <v>-</v>
      </c>
      <c r="S309" s="54" t="str">
        <f>_xlfn.LET(
 _xlpm.x,
 _xlfn.MAXIFS(
  raw_stack!G$2:G$99411,
  raw_stack!D$2:D$99411, G309,
  raw_stack!F$2:F$99411, "Iya",
  raw_stack!G$2:G$99411, "&gt;="&amp;DATE(2025,9,1),
  raw_stack!G$2:G$99411, "&lt;="&amp;EOMONTH(DATE(2025,9,1),0)
 ),
 IF(_xlpm.x=0, "-", _xlpm.x)
)</f>
        <v>-</v>
      </c>
      <c r="T309" s="65" t="str">
        <f>_xlfn.LET(
 _xlpm.x,
 _xlfn.MAXIFS(
  raw_stack!H$2:H$100000,
  raw_stack!D$2:D$100000, G309,
  raw_stack!F$2:F$100000, "Iya",
  raw_stack!G$2:G$100000, "&gt;="&amp;DATE(2025,9,1),
  raw_stack!G$2:G$100000, "&lt;="&amp;EOMONTH(DATE(2025,9,1),0)
 ),
 IF(OR(_xlpm.x=0, _xlpm.x=""), "-", _xlpm.x)
)</f>
        <v>-</v>
      </c>
      <c r="U309" s="54" t="str">
        <f>_xlfn.LET(
 _xlpm.x,
 _xlfn.MAXIFS(
  raw_stack!G$2:G$99411,
  raw_stack!D$2:D$99411, G309,
  raw_stack!F$2:F$99411, "Iya",
  raw_stack!G$2:G$99411, "&gt;="&amp;DATE(2025,10,1),
  raw_stack!G$2:G$99411, "&lt;="&amp;EOMONTH(DATE(2025,10,1),0)
 ),
 IF(_xlpm.x=0, "-", _xlpm.x)
)</f>
        <v>-</v>
      </c>
      <c r="V309" s="65" t="str">
        <f>_xlfn.LET(
 _xlpm.x,
 _xlfn.MAXIFS(
  raw_stack!H$2:H$100000,
  raw_stack!D$2:D$100000, G309,
  raw_stack!F$2:F$100000, "Iya",
  raw_stack!G$2:G$100000, "&gt;="&amp;DATE(2025,10,1),
  raw_stack!G$2:G$100000, "&lt;="&amp;EOMONTH(DATE(2025,10,1),0)
 ),
 IF(OR(_xlpm.x=0, _xlpm.x=""), "-", _xlpm.x)
)</f>
        <v>-</v>
      </c>
      <c r="W309" s="55">
        <f>_xlfn.LET(
 _xlpm.x,
 _xlfn.MAXIFS(
  raw_stack!G$2:G$99411,
  raw_stack!D$2:D$99411, G309,
  raw_stack!F$2:F$99411, "Iya",
  raw_stack!G$2:G$99411, "&gt;="&amp;DATE(2025,11,1),
  raw_stack!G$2:G$99411, "&lt;="&amp;EOMONTH(DATE(2025,11,1),0)
 ),
 IF(_xlpm.x=0, "-", _xlpm.x)
)</f>
        <v>45985</v>
      </c>
      <c r="X309" s="56">
        <f>_xlfn.LET(
 _xlpm.x,
 _xlfn.MAXIFS(
  raw_stack!H$2:H$100000,
  raw_stack!D$2:D$100000, G309,
  raw_stack!F$2:F$100000, "Iya",
  raw_stack!G$2:G$100000, "&gt;="&amp;DATE(2025,11,1),
  raw_stack!G$2:G$100000, "&lt;="&amp;EOMONTH(DATE(2025,11,1),0)
 ),
 IF(OR(_xlpm.x=0, _xlpm.x=""), "-", _xlpm.x)
)</f>
        <v>13021</v>
      </c>
      <c r="Y309" s="55">
        <f>_xlfn.LET(
 _xlpm.x,
 _xlfn.MAXIFS(
  raw_stack!G$2:G$99411,
  raw_stack!D$2:D$99411, G309,
  raw_stack!F$2:F$99411, "Iya",
  raw_stack!G$2:G$99411, "&gt;="&amp;DATE(2025,12,1),
  raw_stack!G$2:G$99411, "&lt;="&amp;EOMONTH(DATE(2025,12,1),0)
 ),
 IF(_xlpm.x=0, "-", _xlpm.x)
)</f>
        <v>46013</v>
      </c>
      <c r="Z309" s="56">
        <f>_xlfn.LET(
 _xlpm.x,
 _xlfn.MAXIFS(
  raw_stack!H$2:H$100000,
  raw_stack!D$2:D$100000, G309,
  raw_stack!F$2:F$100000, "Iya",
  raw_stack!G$2:G$100000, "&gt;="&amp;DATE(2025,12,1),
  raw_stack!G$2:G$100000, "&lt;="&amp;EOMONTH(DATE(2025,12,1),0)
 ),
 IF(OR(_xlpm.x=0, _xlpm.x=""), "-", _xlpm.x)
)</f>
        <v>2247</v>
      </c>
      <c r="AA309" s="55" t="str">
        <f>_xlfn.LET(
 _xlpm.x,
 _xlfn.MAXIFS(
  raw_stack!G$2:G$99411,
  raw_stack!D$2:D$99411, G309,
  raw_stack!F$2:F$99411, "Iya",
  raw_stack!G$2:G$99411, "&gt;="&amp;DATE(2026,1,1),
  raw_stack!G$2:G$99411, "&lt;="&amp;EOMONTH(DATE(2026,1,1),0)
 ),
 IF(_xlpm.x=0, "-", _xlpm.x)
)</f>
        <v>-</v>
      </c>
      <c r="AB309" s="56" t="str">
        <f>_xlfn.LET(
 _xlpm.x,
 _xlfn.MAXIFS(
  raw_stack!H$2:H$100000,
  raw_stack!D$2:D$100000, G309,
  raw_stack!F$2:F$100000, "Iya",
  raw_stack!G$2:G$100000, "&gt;="&amp;DATE(2026,1,1),
  raw_stack!G$2:G$100000, "&lt;="&amp;EOMONTH(DATE(2026,1,1),0)
 ),
 IF(OR(_xlpm.x=0, _xlpm.x=""), "-", _xlpm.x)
)</f>
        <v>-</v>
      </c>
      <c r="AC309" s="55" t="str">
        <f>_xlfn.LET(
 _xlpm.x,
 _xlfn.MAXIFS(
  raw_stack!G$2:G$99411,
  raw_stack!D$2:D$99411, G309,
  raw_stack!F$2:F$99411, "Iya",
  raw_stack!G$2:G$99411, "&gt;="&amp;DATE(2026,2,1),
  raw_stack!G$2:G$99411, "&lt;="&amp;EOMONTH(DATE(2026,2,1),0)
 ),
 IF(_xlpm.x=0, "-", _xlpm.x)
)</f>
        <v>-</v>
      </c>
      <c r="AD309" s="56" t="str">
        <f>_xlfn.LET(
 _xlpm.x,
 _xlfn.MAXIFS(
  raw_stack!H$2:H$100000,
  raw_stack!D$2:D$100000, G309,
  raw_stack!F$2:F$100000, "Iya",
  raw_stack!G$2:G$100000, "&gt;="&amp;DATE(2026,2,1),
  raw_stack!G$2:G$100000, "&lt;="&amp;EOMONTH(DATE(2026,2,1),0)
 ),
 IF(OR(_xlpm.x=0, _xlpm.x=""), "-", _xlpm.x)
)</f>
        <v>-</v>
      </c>
      <c r="AE309" s="55" t="str">
        <f>_xlfn.LET(
 _xlpm.x,
 _xlfn.MAXIFS(
  raw_stack!G$2:G$100000,
  raw_stack!D$2:D$100000, G309,
  raw_stack!F$2:F$100000, "Iya",
  raw_stack!G$2:G$100000, "&gt;="&amp;DATE(2026,3,1),
  raw_stack!G$2:G$100000, "&lt;="&amp;EOMONTH(DATE(2026,3,1),0)
 ),
 IF(_xlpm.x=0, "-", _xlpm.x)
)</f>
        <v>-</v>
      </c>
      <c r="AF309" s="56" t="str">
        <f>_xlfn.LET(
 _xlpm.x,
 _xlfn.MAXIFS(
  raw_stack!H$2:H$100000,
  raw_stack!D$2:D$100000, G309,
  raw_stack!F$2:F$100000, "Iya",
  raw_stack!G$2:G$100000, "&gt;="&amp;DATE(2026,3,1),
  raw_stack!G$2:G$100000, "&lt;="&amp;EOMONTH(DATE(2026,3,1),0)
 ),
 IF(OR(_xlpm.x=0, _xlpm.x=""), "-", _xlpm.x)
)</f>
        <v>-</v>
      </c>
      <c r="AG309" s="55" t="str">
        <f>_xlfn.LET(
 _xlpm.x,
 _xlfn.MAXIFS(
  raw_stack!G$2:G$100000,
  raw_stack!D$2:D$100000, G309,
  raw_stack!F$2:F$100000, "Iya",
  raw_stack!G$2:G$100000, "&gt;="&amp;DATE(2026,4,1),
  raw_stack!G$2:G$100000, "&lt;="&amp;EOMONTH(DATE(2026,4,1),0)
 ),
 IF(_xlpm.x=0, "-", _xlpm.x)
)</f>
        <v>-</v>
      </c>
      <c r="AH309" s="56" t="str">
        <f>_xlfn.LET(
 _xlpm.x,
 _xlfn.MAXIFS(
  raw_stack!H$2:H$100000,
  raw_stack!D$2:D$100000, G309,
  raw_stack!F$2:F$100000, "Iya",
  raw_stack!G$2:G$100000, "&gt;="&amp;DATE(2026,4,1),
  raw_stack!G$2:G$100000, "&lt;="&amp;EOMONTH(DATE(2026,4,1),0)
 ),
 IF(OR(_xlpm.x=0, _xlpm.x=""), "-", _xlpm.x)
)</f>
        <v>-</v>
      </c>
    </row>
    <row r="310" spans="1:34">
      <c r="A310" s="48">
        <v>309</v>
      </c>
      <c r="B310" s="49" t="str">
        <f t="shared" si="5"/>
        <v>88546</v>
      </c>
      <c r="C310" s="50" t="s">
        <v>46</v>
      </c>
      <c r="D310" s="51" t="s">
        <v>700</v>
      </c>
      <c r="E310" s="51" t="s">
        <v>53</v>
      </c>
      <c r="F310" s="49" t="s">
        <v>117</v>
      </c>
      <c r="G310" s="49" t="s">
        <v>426</v>
      </c>
      <c r="H310" s="49" t="s">
        <v>48</v>
      </c>
      <c r="I310" s="49" t="s">
        <v>52</v>
      </c>
      <c r="J310" s="52">
        <v>3960000</v>
      </c>
      <c r="K310" s="53">
        <v>45984</v>
      </c>
      <c r="L310" s="53">
        <v>47079</v>
      </c>
      <c r="M310" s="53">
        <v>46075</v>
      </c>
      <c r="N310" s="49" t="s">
        <v>50</v>
      </c>
      <c r="O310" s="54" t="str">
        <f>_xlfn.LET(
 _xlpm.x,
 _xlfn.MAXIFS(
  raw_stack!G$2:G$100000,
  raw_stack!D$2:D$100000, G310,
  raw_stack!F$2:F$100000, "Iya",
  raw_stack!G$2:G$100000, "&gt;="&amp;DATE(2025,7,1),
  raw_stack!G$2:G$100000, "&lt;="&amp;EOMONTH(DATE(2025,7,1),0)
 ),
 IF(_xlpm.x=0, "-", _xlpm.x)
)</f>
        <v>-</v>
      </c>
      <c r="P310" s="65" t="str">
        <f>_xlfn.LET(
 _xlpm.x,
 _xlfn.MAXIFS(
  raw_stack!H$2:H$100000,
  raw_stack!D$2:D$100000, G310,
  raw_stack!F$2:F$100000, "Iya",
  raw_stack!G$2:G$100000, "&gt;="&amp;DATE(2025,7,1),
  raw_stack!G$2:G$100000, "&lt;="&amp;EOMONTH(DATE(2025,7,1),0)
 ),
 IF(OR(_xlpm.x=0, _xlpm.x=""), "-", _xlpm.x)
)</f>
        <v>-</v>
      </c>
      <c r="Q310" s="54" t="str">
        <f>_xlfn.LET(
 _xlpm.x,
 _xlfn.MAXIFS(
  raw_stack!G$2:G$99411,
  raw_stack!D$2:D$99411, G310,
  raw_stack!F$2:F$99411, "Iya",
  raw_stack!G$2:G$99411, "&gt;="&amp;DATE(2025,8,1),
  raw_stack!G$2:G$99411, "&lt;="&amp;EOMONTH(DATE(2025,8,1),0)
 ),
 IF(_xlpm.x=0, "-", _xlpm.x)
)</f>
        <v>-</v>
      </c>
      <c r="R310" s="65" t="str">
        <f>_xlfn.LET(
 _xlpm.x,
 _xlfn.MAXIFS(
  raw_stack!H$2:H$100000,
  raw_stack!D$2:D$100000, G310,
  raw_stack!F$2:F$100000, "Iya",
  raw_stack!G$2:G$100000, "&gt;="&amp;DATE(2025,8,1),
  raw_stack!G$2:G$100000, "&lt;="&amp;EOMONTH(DATE(2025,8,1),0)
 ),
 IF(OR(_xlpm.x=0, _xlpm.x=""), "-", _xlpm.x)
)</f>
        <v>-</v>
      </c>
      <c r="S310" s="54" t="str">
        <f>_xlfn.LET(
 _xlpm.x,
 _xlfn.MAXIFS(
  raw_stack!G$2:G$99411,
  raw_stack!D$2:D$99411, G310,
  raw_stack!F$2:F$99411, "Iya",
  raw_stack!G$2:G$99411, "&gt;="&amp;DATE(2025,9,1),
  raw_stack!G$2:G$99411, "&lt;="&amp;EOMONTH(DATE(2025,9,1),0)
 ),
 IF(_xlpm.x=0, "-", _xlpm.x)
)</f>
        <v>-</v>
      </c>
      <c r="T310" s="65" t="str">
        <f>_xlfn.LET(
 _xlpm.x,
 _xlfn.MAXIFS(
  raw_stack!H$2:H$100000,
  raw_stack!D$2:D$100000, G310,
  raw_stack!F$2:F$100000, "Iya",
  raw_stack!G$2:G$100000, "&gt;="&amp;DATE(2025,9,1),
  raw_stack!G$2:G$100000, "&lt;="&amp;EOMONTH(DATE(2025,9,1),0)
 ),
 IF(OR(_xlpm.x=0, _xlpm.x=""), "-", _xlpm.x)
)</f>
        <v>-</v>
      </c>
      <c r="U310" s="54" t="str">
        <f>_xlfn.LET(
 _xlpm.x,
 _xlfn.MAXIFS(
  raw_stack!G$2:G$99411,
  raw_stack!D$2:D$99411, G310,
  raw_stack!F$2:F$99411, "Iya",
  raw_stack!G$2:G$99411, "&gt;="&amp;DATE(2025,10,1),
  raw_stack!G$2:G$99411, "&lt;="&amp;EOMONTH(DATE(2025,10,1),0)
 ),
 IF(_xlpm.x=0, "-", _xlpm.x)
)</f>
        <v>-</v>
      </c>
      <c r="V310" s="65" t="str">
        <f>_xlfn.LET(
 _xlpm.x,
 _xlfn.MAXIFS(
  raw_stack!H$2:H$100000,
  raw_stack!D$2:D$100000, G310,
  raw_stack!F$2:F$100000, "Iya",
  raw_stack!G$2:G$100000, "&gt;="&amp;DATE(2025,10,1),
  raw_stack!G$2:G$100000, "&lt;="&amp;EOMONTH(DATE(2025,10,1),0)
 ),
 IF(OR(_xlpm.x=0, _xlpm.x=""), "-", _xlpm.x)
)</f>
        <v>-</v>
      </c>
      <c r="W310" s="55">
        <f>_xlfn.LET(
 _xlpm.x,
 _xlfn.MAXIFS(
  raw_stack!G$2:G$99411,
  raw_stack!D$2:D$99411, G310,
  raw_stack!F$2:F$99411, "Iya",
  raw_stack!G$2:G$99411, "&gt;="&amp;DATE(2025,11,1),
  raw_stack!G$2:G$99411, "&lt;="&amp;EOMONTH(DATE(2025,11,1),0)
 ),
 IF(_xlpm.x=0, "-", _xlpm.x)
)</f>
        <v>45967</v>
      </c>
      <c r="X310" s="56">
        <f>_xlfn.LET(
 _xlpm.x,
 _xlfn.MAXIFS(
  raw_stack!H$2:H$100000,
  raw_stack!D$2:D$100000, G310,
  raw_stack!F$2:F$100000, "Iya",
  raw_stack!G$2:G$100000, "&gt;="&amp;DATE(2025,11,1),
  raw_stack!G$2:G$100000, "&lt;="&amp;EOMONTH(DATE(2025,11,1),0)
 ),
 IF(OR(_xlpm.x=0, _xlpm.x=""), "-", _xlpm.x)
)</f>
        <v>2839</v>
      </c>
      <c r="Y310" s="55" t="str">
        <f>_xlfn.LET(
 _xlpm.x,
 _xlfn.MAXIFS(
  raw_stack!G$2:G$99411,
  raw_stack!D$2:D$99411, G310,
  raw_stack!F$2:F$99411, "Iya",
  raw_stack!G$2:G$99411, "&gt;="&amp;DATE(2025,12,1),
  raw_stack!G$2:G$99411, "&lt;="&amp;EOMONTH(DATE(2025,12,1),0)
 ),
 IF(_xlpm.x=0, "-", _xlpm.x)
)</f>
        <v>-</v>
      </c>
      <c r="Z310" s="56" t="str">
        <f>_xlfn.LET(
 _xlpm.x,
 _xlfn.MAXIFS(
  raw_stack!H$2:H$100000,
  raw_stack!D$2:D$100000, G310,
  raw_stack!F$2:F$100000, "Iya",
  raw_stack!G$2:G$100000, "&gt;="&amp;DATE(2025,12,1),
  raw_stack!G$2:G$100000, "&lt;="&amp;EOMONTH(DATE(2025,12,1),0)
 ),
 IF(OR(_xlpm.x=0, _xlpm.x=""), "-", _xlpm.x)
)</f>
        <v>-</v>
      </c>
      <c r="AA310" s="55" t="str">
        <f>_xlfn.LET(
 _xlpm.x,
 _xlfn.MAXIFS(
  raw_stack!G$2:G$99411,
  raw_stack!D$2:D$99411, G310,
  raw_stack!F$2:F$99411, "Iya",
  raw_stack!G$2:G$99411, "&gt;="&amp;DATE(2026,1,1),
  raw_stack!G$2:G$99411, "&lt;="&amp;EOMONTH(DATE(2026,1,1),0)
 ),
 IF(_xlpm.x=0, "-", _xlpm.x)
)</f>
        <v>-</v>
      </c>
      <c r="AB310" s="56" t="str">
        <f>_xlfn.LET(
 _xlpm.x,
 _xlfn.MAXIFS(
  raw_stack!H$2:H$100000,
  raw_stack!D$2:D$100000, G310,
  raw_stack!F$2:F$100000, "Iya",
  raw_stack!G$2:G$100000, "&gt;="&amp;DATE(2026,1,1),
  raw_stack!G$2:G$100000, "&lt;="&amp;EOMONTH(DATE(2026,1,1),0)
 ),
 IF(OR(_xlpm.x=0, _xlpm.x=""), "-", _xlpm.x)
)</f>
        <v>-</v>
      </c>
      <c r="AC310" s="55" t="str">
        <f>_xlfn.LET(
 _xlpm.x,
 _xlfn.MAXIFS(
  raw_stack!G$2:G$99411,
  raw_stack!D$2:D$99411, G310,
  raw_stack!F$2:F$99411, "Iya",
  raw_stack!G$2:G$99411, "&gt;="&amp;DATE(2026,2,1),
  raw_stack!G$2:G$99411, "&lt;="&amp;EOMONTH(DATE(2026,2,1),0)
 ),
 IF(_xlpm.x=0, "-", _xlpm.x)
)</f>
        <v>-</v>
      </c>
      <c r="AD310" s="56" t="str">
        <f>_xlfn.LET(
 _xlpm.x,
 _xlfn.MAXIFS(
  raw_stack!H$2:H$100000,
  raw_stack!D$2:D$100000, G310,
  raw_stack!F$2:F$100000, "Iya",
  raw_stack!G$2:G$100000, "&gt;="&amp;DATE(2026,2,1),
  raw_stack!G$2:G$100000, "&lt;="&amp;EOMONTH(DATE(2026,2,1),0)
 ),
 IF(OR(_xlpm.x=0, _xlpm.x=""), "-", _xlpm.x)
)</f>
        <v>-</v>
      </c>
      <c r="AE310" s="55" t="str">
        <f>_xlfn.LET(
 _xlpm.x,
 _xlfn.MAXIFS(
  raw_stack!G$2:G$100000,
  raw_stack!D$2:D$100000, G310,
  raw_stack!F$2:F$100000, "Iya",
  raw_stack!G$2:G$100000, "&gt;="&amp;DATE(2026,3,1),
  raw_stack!G$2:G$100000, "&lt;="&amp;EOMONTH(DATE(2026,3,1),0)
 ),
 IF(_xlpm.x=0, "-", _xlpm.x)
)</f>
        <v>-</v>
      </c>
      <c r="AF310" s="56" t="str">
        <f>_xlfn.LET(
 _xlpm.x,
 _xlfn.MAXIFS(
  raw_stack!H$2:H$100000,
  raw_stack!D$2:D$100000, G310,
  raw_stack!F$2:F$100000, "Iya",
  raw_stack!G$2:G$100000, "&gt;="&amp;DATE(2026,3,1),
  raw_stack!G$2:G$100000, "&lt;="&amp;EOMONTH(DATE(2026,3,1),0)
 ),
 IF(OR(_xlpm.x=0, _xlpm.x=""), "-", _xlpm.x)
)</f>
        <v>-</v>
      </c>
      <c r="AG310" s="55" t="str">
        <f>_xlfn.LET(
 _xlpm.x,
 _xlfn.MAXIFS(
  raw_stack!G$2:G$100000,
  raw_stack!D$2:D$100000, G310,
  raw_stack!F$2:F$100000, "Iya",
  raw_stack!G$2:G$100000, "&gt;="&amp;DATE(2026,4,1),
  raw_stack!G$2:G$100000, "&lt;="&amp;EOMONTH(DATE(2026,4,1),0)
 ),
 IF(_xlpm.x=0, "-", _xlpm.x)
)</f>
        <v>-</v>
      </c>
      <c r="AH310" s="56" t="str">
        <f>_xlfn.LET(
 _xlpm.x,
 _xlfn.MAXIFS(
  raw_stack!H$2:H$100000,
  raw_stack!D$2:D$100000, G310,
  raw_stack!F$2:F$100000, "Iya",
  raw_stack!G$2:G$100000, "&gt;="&amp;DATE(2026,4,1),
  raw_stack!G$2:G$100000, "&lt;="&amp;EOMONTH(DATE(2026,4,1),0)
 ),
 IF(OR(_xlpm.x=0, _xlpm.x=""), "-", _xlpm.x)
)</f>
        <v>-</v>
      </c>
    </row>
    <row r="311" spans="1:34">
      <c r="A311" s="48">
        <v>310</v>
      </c>
      <c r="B311" s="49" t="str">
        <f t="shared" si="5"/>
        <v>84165</v>
      </c>
      <c r="C311" s="50" t="s">
        <v>46</v>
      </c>
      <c r="D311" s="51" t="s">
        <v>698</v>
      </c>
      <c r="E311" s="51" t="s">
        <v>51</v>
      </c>
      <c r="F311" s="49" t="s">
        <v>117</v>
      </c>
      <c r="G311" s="49" t="s">
        <v>427</v>
      </c>
      <c r="H311" s="49" t="s">
        <v>48</v>
      </c>
      <c r="I311" s="49" t="s">
        <v>52</v>
      </c>
      <c r="J311" s="52">
        <v>5790000</v>
      </c>
      <c r="K311" s="53">
        <v>45985</v>
      </c>
      <c r="L311" s="53">
        <v>47080</v>
      </c>
      <c r="M311" s="53">
        <v>46076</v>
      </c>
      <c r="N311" s="49" t="s">
        <v>50</v>
      </c>
      <c r="O311" s="54" t="str">
        <f>_xlfn.LET(
 _xlpm.x,
 _xlfn.MAXIFS(
  raw_stack!G$2:G$100000,
  raw_stack!D$2:D$100000, G311,
  raw_stack!F$2:F$100000, "Iya",
  raw_stack!G$2:G$100000, "&gt;="&amp;DATE(2025,7,1),
  raw_stack!G$2:G$100000, "&lt;="&amp;EOMONTH(DATE(2025,7,1),0)
 ),
 IF(_xlpm.x=0, "-", _xlpm.x)
)</f>
        <v>-</v>
      </c>
      <c r="P311" s="65" t="str">
        <f>_xlfn.LET(
 _xlpm.x,
 _xlfn.MAXIFS(
  raw_stack!H$2:H$100000,
  raw_stack!D$2:D$100000, G311,
  raw_stack!F$2:F$100000, "Iya",
  raw_stack!G$2:G$100000, "&gt;="&amp;DATE(2025,7,1),
  raw_stack!G$2:G$100000, "&lt;="&amp;EOMONTH(DATE(2025,7,1),0)
 ),
 IF(OR(_xlpm.x=0, _xlpm.x=""), "-", _xlpm.x)
)</f>
        <v>-</v>
      </c>
      <c r="Q311" s="54" t="str">
        <f>_xlfn.LET(
 _xlpm.x,
 _xlfn.MAXIFS(
  raw_stack!G$2:G$99411,
  raw_stack!D$2:D$99411, G311,
  raw_stack!F$2:F$99411, "Iya",
  raw_stack!G$2:G$99411, "&gt;="&amp;DATE(2025,8,1),
  raw_stack!G$2:G$99411, "&lt;="&amp;EOMONTH(DATE(2025,8,1),0)
 ),
 IF(_xlpm.x=0, "-", _xlpm.x)
)</f>
        <v>-</v>
      </c>
      <c r="R311" s="65" t="str">
        <f>_xlfn.LET(
 _xlpm.x,
 _xlfn.MAXIFS(
  raw_stack!H$2:H$100000,
  raw_stack!D$2:D$100000, G311,
  raw_stack!F$2:F$100000, "Iya",
  raw_stack!G$2:G$100000, "&gt;="&amp;DATE(2025,8,1),
  raw_stack!G$2:G$100000, "&lt;="&amp;EOMONTH(DATE(2025,8,1),0)
 ),
 IF(OR(_xlpm.x=0, _xlpm.x=""), "-", _xlpm.x)
)</f>
        <v>-</v>
      </c>
      <c r="S311" s="54" t="str">
        <f>_xlfn.LET(
 _xlpm.x,
 _xlfn.MAXIFS(
  raw_stack!G$2:G$99411,
  raw_stack!D$2:D$99411, G311,
  raw_stack!F$2:F$99411, "Iya",
  raw_stack!G$2:G$99411, "&gt;="&amp;DATE(2025,9,1),
  raw_stack!G$2:G$99411, "&lt;="&amp;EOMONTH(DATE(2025,9,1),0)
 ),
 IF(_xlpm.x=0, "-", _xlpm.x)
)</f>
        <v>-</v>
      </c>
      <c r="T311" s="65" t="str">
        <f>_xlfn.LET(
 _xlpm.x,
 _xlfn.MAXIFS(
  raw_stack!H$2:H$100000,
  raw_stack!D$2:D$100000, G311,
  raw_stack!F$2:F$100000, "Iya",
  raw_stack!G$2:G$100000, "&gt;="&amp;DATE(2025,9,1),
  raw_stack!G$2:G$100000, "&lt;="&amp;EOMONTH(DATE(2025,9,1),0)
 ),
 IF(OR(_xlpm.x=0, _xlpm.x=""), "-", _xlpm.x)
)</f>
        <v>-</v>
      </c>
      <c r="U311" s="54" t="str">
        <f>_xlfn.LET(
 _xlpm.x,
 _xlfn.MAXIFS(
  raw_stack!G$2:G$99411,
  raw_stack!D$2:D$99411, G311,
  raw_stack!F$2:F$99411, "Iya",
  raw_stack!G$2:G$99411, "&gt;="&amp;DATE(2025,10,1),
  raw_stack!G$2:G$99411, "&lt;="&amp;EOMONTH(DATE(2025,10,1),0)
 ),
 IF(_xlpm.x=0, "-", _xlpm.x)
)</f>
        <v>-</v>
      </c>
      <c r="V311" s="65" t="str">
        <f>_xlfn.LET(
 _xlpm.x,
 _xlfn.MAXIFS(
  raw_stack!H$2:H$100000,
  raw_stack!D$2:D$100000, G311,
  raw_stack!F$2:F$100000, "Iya",
  raw_stack!G$2:G$100000, "&gt;="&amp;DATE(2025,10,1),
  raw_stack!G$2:G$100000, "&lt;="&amp;EOMONTH(DATE(2025,10,1),0)
 ),
 IF(OR(_xlpm.x=0, _xlpm.x=""), "-", _xlpm.x)
)</f>
        <v>-</v>
      </c>
      <c r="W311" s="55" t="str">
        <f>_xlfn.LET(
 _xlpm.x,
 _xlfn.MAXIFS(
  raw_stack!G$2:G$99411,
  raw_stack!D$2:D$99411, G311,
  raw_stack!F$2:F$99411, "Iya",
  raw_stack!G$2:G$99411, "&gt;="&amp;DATE(2025,11,1),
  raw_stack!G$2:G$99411, "&lt;="&amp;EOMONTH(DATE(2025,11,1),0)
 ),
 IF(_xlpm.x=0, "-", _xlpm.x)
)</f>
        <v>-</v>
      </c>
      <c r="X311" s="56" t="str">
        <f>_xlfn.LET(
 _xlpm.x,
 _xlfn.MAXIFS(
  raw_stack!H$2:H$100000,
  raw_stack!D$2:D$100000, G311,
  raw_stack!F$2:F$100000, "Iya",
  raw_stack!G$2:G$100000, "&gt;="&amp;DATE(2025,11,1),
  raw_stack!G$2:G$100000, "&lt;="&amp;EOMONTH(DATE(2025,11,1),0)
 ),
 IF(OR(_xlpm.x=0, _xlpm.x=""), "-", _xlpm.x)
)</f>
        <v>-</v>
      </c>
      <c r="Y311" s="55">
        <f>_xlfn.LET(
 _xlpm.x,
 _xlfn.MAXIFS(
  raw_stack!G$2:G$99411,
  raw_stack!D$2:D$99411, G311,
  raw_stack!F$2:F$99411, "Iya",
  raw_stack!G$2:G$99411, "&gt;="&amp;DATE(2025,12,1),
  raw_stack!G$2:G$99411, "&lt;="&amp;EOMONTH(DATE(2025,12,1),0)
 ),
 IF(_xlpm.x=0, "-", _xlpm.x)
)</f>
        <v>45992</v>
      </c>
      <c r="Z311" s="56">
        <f>_xlfn.LET(
 _xlpm.x,
 _xlfn.MAXIFS(
  raw_stack!H$2:H$100000,
  raw_stack!D$2:D$100000, G311,
  raw_stack!F$2:F$100000, "Iya",
  raw_stack!G$2:G$100000, "&gt;="&amp;DATE(2025,12,1),
  raw_stack!G$2:G$100000, "&lt;="&amp;EOMONTH(DATE(2025,12,1),0)
 ),
 IF(OR(_xlpm.x=0, _xlpm.x=""), "-", _xlpm.x)
)</f>
        <v>2243</v>
      </c>
      <c r="AA311" s="55" t="str">
        <f>_xlfn.LET(
 _xlpm.x,
 _xlfn.MAXIFS(
  raw_stack!G$2:G$99411,
  raw_stack!D$2:D$99411, G311,
  raw_stack!F$2:F$99411, "Iya",
  raw_stack!G$2:G$99411, "&gt;="&amp;DATE(2026,1,1),
  raw_stack!G$2:G$99411, "&lt;="&amp;EOMONTH(DATE(2026,1,1),0)
 ),
 IF(_xlpm.x=0, "-", _xlpm.x)
)</f>
        <v>-</v>
      </c>
      <c r="AB311" s="56" t="str">
        <f>_xlfn.LET(
 _xlpm.x,
 _xlfn.MAXIFS(
  raw_stack!H$2:H$100000,
  raw_stack!D$2:D$100000, G311,
  raw_stack!F$2:F$100000, "Iya",
  raw_stack!G$2:G$100000, "&gt;="&amp;DATE(2026,1,1),
  raw_stack!G$2:G$100000, "&lt;="&amp;EOMONTH(DATE(2026,1,1),0)
 ),
 IF(OR(_xlpm.x=0, _xlpm.x=""), "-", _xlpm.x)
)</f>
        <v>-</v>
      </c>
      <c r="AC311" s="55" t="str">
        <f>_xlfn.LET(
 _xlpm.x,
 _xlfn.MAXIFS(
  raw_stack!G$2:G$99411,
  raw_stack!D$2:D$99411, G311,
  raw_stack!F$2:F$99411, "Iya",
  raw_stack!G$2:G$99411, "&gt;="&amp;DATE(2026,2,1),
  raw_stack!G$2:G$99411, "&lt;="&amp;EOMONTH(DATE(2026,2,1),0)
 ),
 IF(_xlpm.x=0, "-", _xlpm.x)
)</f>
        <v>-</v>
      </c>
      <c r="AD311" s="56" t="str">
        <f>_xlfn.LET(
 _xlpm.x,
 _xlfn.MAXIFS(
  raw_stack!H$2:H$100000,
  raw_stack!D$2:D$100000, G311,
  raw_stack!F$2:F$100000, "Iya",
  raw_stack!G$2:G$100000, "&gt;="&amp;DATE(2026,2,1),
  raw_stack!G$2:G$100000, "&lt;="&amp;EOMONTH(DATE(2026,2,1),0)
 ),
 IF(OR(_xlpm.x=0, _xlpm.x=""), "-", _xlpm.x)
)</f>
        <v>-</v>
      </c>
      <c r="AE311" s="55" t="str">
        <f>_xlfn.LET(
 _xlpm.x,
 _xlfn.MAXIFS(
  raw_stack!G$2:G$100000,
  raw_stack!D$2:D$100000, G311,
  raw_stack!F$2:F$100000, "Iya",
  raw_stack!G$2:G$100000, "&gt;="&amp;DATE(2026,3,1),
  raw_stack!G$2:G$100000, "&lt;="&amp;EOMONTH(DATE(2026,3,1),0)
 ),
 IF(_xlpm.x=0, "-", _xlpm.x)
)</f>
        <v>-</v>
      </c>
      <c r="AF311" s="56" t="str">
        <f>_xlfn.LET(
 _xlpm.x,
 _xlfn.MAXIFS(
  raw_stack!H$2:H$100000,
  raw_stack!D$2:D$100000, G311,
  raw_stack!F$2:F$100000, "Iya",
  raw_stack!G$2:G$100000, "&gt;="&amp;DATE(2026,3,1),
  raw_stack!G$2:G$100000, "&lt;="&amp;EOMONTH(DATE(2026,3,1),0)
 ),
 IF(OR(_xlpm.x=0, _xlpm.x=""), "-", _xlpm.x)
)</f>
        <v>-</v>
      </c>
      <c r="AG311" s="55" t="str">
        <f>_xlfn.LET(
 _xlpm.x,
 _xlfn.MAXIFS(
  raw_stack!G$2:G$100000,
  raw_stack!D$2:D$100000, G311,
  raw_stack!F$2:F$100000, "Iya",
  raw_stack!G$2:G$100000, "&gt;="&amp;DATE(2026,4,1),
  raw_stack!G$2:G$100000, "&lt;="&amp;EOMONTH(DATE(2026,4,1),0)
 ),
 IF(_xlpm.x=0, "-", _xlpm.x)
)</f>
        <v>-</v>
      </c>
      <c r="AH311" s="56" t="str">
        <f>_xlfn.LET(
 _xlpm.x,
 _xlfn.MAXIFS(
  raw_stack!H$2:H$100000,
  raw_stack!D$2:D$100000, G311,
  raw_stack!F$2:F$100000, "Iya",
  raw_stack!G$2:G$100000, "&gt;="&amp;DATE(2026,4,1),
  raw_stack!G$2:G$100000, "&lt;="&amp;EOMONTH(DATE(2026,4,1),0)
 ),
 IF(OR(_xlpm.x=0, _xlpm.x=""), "-", _xlpm.x)
)</f>
        <v>-</v>
      </c>
    </row>
    <row r="312" spans="1:34">
      <c r="A312" s="48">
        <v>311</v>
      </c>
      <c r="B312" s="49" t="str">
        <f t="shared" si="5"/>
        <v>75394</v>
      </c>
      <c r="C312" s="50" t="s">
        <v>46</v>
      </c>
      <c r="D312" s="51" t="s">
        <v>499</v>
      </c>
      <c r="E312" s="51" t="s">
        <v>51</v>
      </c>
      <c r="F312" s="49" t="s">
        <v>117</v>
      </c>
      <c r="G312" s="49" t="s">
        <v>428</v>
      </c>
      <c r="H312" s="49" t="s">
        <v>48</v>
      </c>
      <c r="I312" s="49" t="s">
        <v>52</v>
      </c>
      <c r="J312" s="52">
        <v>3880000</v>
      </c>
      <c r="K312" s="53">
        <v>45986</v>
      </c>
      <c r="L312" s="53">
        <v>47081</v>
      </c>
      <c r="M312" s="53">
        <v>46077</v>
      </c>
      <c r="N312" s="49" t="s">
        <v>50</v>
      </c>
      <c r="O312" s="54" t="str">
        <f>_xlfn.LET(
 _xlpm.x,
 _xlfn.MAXIFS(
  raw_stack!G$2:G$100000,
  raw_stack!D$2:D$100000, G312,
  raw_stack!F$2:F$100000, "Iya",
  raw_stack!G$2:G$100000, "&gt;="&amp;DATE(2025,7,1),
  raw_stack!G$2:G$100000, "&lt;="&amp;EOMONTH(DATE(2025,7,1),0)
 ),
 IF(_xlpm.x=0, "-", _xlpm.x)
)</f>
        <v>-</v>
      </c>
      <c r="P312" s="65" t="str">
        <f>_xlfn.LET(
 _xlpm.x,
 _xlfn.MAXIFS(
  raw_stack!H$2:H$100000,
  raw_stack!D$2:D$100000, G312,
  raw_stack!F$2:F$100000, "Iya",
  raw_stack!G$2:G$100000, "&gt;="&amp;DATE(2025,7,1),
  raw_stack!G$2:G$100000, "&lt;="&amp;EOMONTH(DATE(2025,7,1),0)
 ),
 IF(OR(_xlpm.x=0, _xlpm.x=""), "-", _xlpm.x)
)</f>
        <v>-</v>
      </c>
      <c r="Q312" s="54" t="str">
        <f>_xlfn.LET(
 _xlpm.x,
 _xlfn.MAXIFS(
  raw_stack!G$2:G$99411,
  raw_stack!D$2:D$99411, G312,
  raw_stack!F$2:F$99411, "Iya",
  raw_stack!G$2:G$99411, "&gt;="&amp;DATE(2025,8,1),
  raw_stack!G$2:G$99411, "&lt;="&amp;EOMONTH(DATE(2025,8,1),0)
 ),
 IF(_xlpm.x=0, "-", _xlpm.x)
)</f>
        <v>-</v>
      </c>
      <c r="R312" s="65" t="str">
        <f>_xlfn.LET(
 _xlpm.x,
 _xlfn.MAXIFS(
  raw_stack!H$2:H$100000,
  raw_stack!D$2:D$100000, G312,
  raw_stack!F$2:F$100000, "Iya",
  raw_stack!G$2:G$100000, "&gt;="&amp;DATE(2025,8,1),
  raw_stack!G$2:G$100000, "&lt;="&amp;EOMONTH(DATE(2025,8,1),0)
 ),
 IF(OR(_xlpm.x=0, _xlpm.x=""), "-", _xlpm.x)
)</f>
        <v>-</v>
      </c>
      <c r="S312" s="54" t="str">
        <f>_xlfn.LET(
 _xlpm.x,
 _xlfn.MAXIFS(
  raw_stack!G$2:G$99411,
  raw_stack!D$2:D$99411, G312,
  raw_stack!F$2:F$99411, "Iya",
  raw_stack!G$2:G$99411, "&gt;="&amp;DATE(2025,9,1),
  raw_stack!G$2:G$99411, "&lt;="&amp;EOMONTH(DATE(2025,9,1),0)
 ),
 IF(_xlpm.x=0, "-", _xlpm.x)
)</f>
        <v>-</v>
      </c>
      <c r="T312" s="65" t="str">
        <f>_xlfn.LET(
 _xlpm.x,
 _xlfn.MAXIFS(
  raw_stack!H$2:H$100000,
  raw_stack!D$2:D$100000, G312,
  raw_stack!F$2:F$100000, "Iya",
  raw_stack!G$2:G$100000, "&gt;="&amp;DATE(2025,9,1),
  raw_stack!G$2:G$100000, "&lt;="&amp;EOMONTH(DATE(2025,9,1),0)
 ),
 IF(OR(_xlpm.x=0, _xlpm.x=""), "-", _xlpm.x)
)</f>
        <v>-</v>
      </c>
      <c r="U312" s="54" t="str">
        <f>_xlfn.LET(
 _xlpm.x,
 _xlfn.MAXIFS(
  raw_stack!G$2:G$99411,
  raw_stack!D$2:D$99411, G312,
  raw_stack!F$2:F$99411, "Iya",
  raw_stack!G$2:G$99411, "&gt;="&amp;DATE(2025,10,1),
  raw_stack!G$2:G$99411, "&lt;="&amp;EOMONTH(DATE(2025,10,1),0)
 ),
 IF(_xlpm.x=0, "-", _xlpm.x)
)</f>
        <v>-</v>
      </c>
      <c r="V312" s="65" t="str">
        <f>_xlfn.LET(
 _xlpm.x,
 _xlfn.MAXIFS(
  raw_stack!H$2:H$100000,
  raw_stack!D$2:D$100000, G312,
  raw_stack!F$2:F$100000, "Iya",
  raw_stack!G$2:G$100000, "&gt;="&amp;DATE(2025,10,1),
  raw_stack!G$2:G$100000, "&lt;="&amp;EOMONTH(DATE(2025,10,1),0)
 ),
 IF(OR(_xlpm.x=0, _xlpm.x=""), "-", _xlpm.x)
)</f>
        <v>-</v>
      </c>
      <c r="W312" s="55">
        <f>_xlfn.LET(
 _xlpm.x,
 _xlfn.MAXIFS(
  raw_stack!G$2:G$99411,
  raw_stack!D$2:D$99411, G312,
  raw_stack!F$2:F$99411, "Iya",
  raw_stack!G$2:G$99411, "&gt;="&amp;DATE(2025,11,1),
  raw_stack!G$2:G$99411, "&lt;="&amp;EOMONTH(DATE(2025,11,1),0)
 ),
 IF(_xlpm.x=0, "-", _xlpm.x)
)</f>
        <v>45987</v>
      </c>
      <c r="X312" s="56">
        <f>_xlfn.LET(
 _xlpm.x,
 _xlfn.MAXIFS(
  raw_stack!H$2:H$100000,
  raw_stack!D$2:D$100000, G312,
  raw_stack!F$2:F$100000, "Iya",
  raw_stack!G$2:G$100000, "&gt;="&amp;DATE(2025,11,1),
  raw_stack!G$2:G$100000, "&lt;="&amp;EOMONTH(DATE(2025,11,1),0)
 ),
 IF(OR(_xlpm.x=0, _xlpm.x=""), "-", _xlpm.x)
)</f>
        <v>1428</v>
      </c>
      <c r="Y312" s="55" t="str">
        <f>_xlfn.LET(
 _xlpm.x,
 _xlfn.MAXIFS(
  raw_stack!G$2:G$99411,
  raw_stack!D$2:D$99411, G312,
  raw_stack!F$2:F$99411, "Iya",
  raw_stack!G$2:G$99411, "&gt;="&amp;DATE(2025,12,1),
  raw_stack!G$2:G$99411, "&lt;="&amp;EOMONTH(DATE(2025,12,1),0)
 ),
 IF(_xlpm.x=0, "-", _xlpm.x)
)</f>
        <v>-</v>
      </c>
      <c r="Z312" s="56" t="str">
        <f>_xlfn.LET(
 _xlpm.x,
 _xlfn.MAXIFS(
  raw_stack!H$2:H$100000,
  raw_stack!D$2:D$100000, G312,
  raw_stack!F$2:F$100000, "Iya",
  raw_stack!G$2:G$100000, "&gt;="&amp;DATE(2025,12,1),
  raw_stack!G$2:G$100000, "&lt;="&amp;EOMONTH(DATE(2025,12,1),0)
 ),
 IF(OR(_xlpm.x=0, _xlpm.x=""), "-", _xlpm.x)
)</f>
        <v>-</v>
      </c>
      <c r="AA312" s="55" t="str">
        <f>_xlfn.LET(
 _xlpm.x,
 _xlfn.MAXIFS(
  raw_stack!G$2:G$99411,
  raw_stack!D$2:D$99411, G312,
  raw_stack!F$2:F$99411, "Iya",
  raw_stack!G$2:G$99411, "&gt;="&amp;DATE(2026,1,1),
  raw_stack!G$2:G$99411, "&lt;="&amp;EOMONTH(DATE(2026,1,1),0)
 ),
 IF(_xlpm.x=0, "-", _xlpm.x)
)</f>
        <v>-</v>
      </c>
      <c r="AB312" s="56" t="str">
        <f>_xlfn.LET(
 _xlpm.x,
 _xlfn.MAXIFS(
  raw_stack!H$2:H$100000,
  raw_stack!D$2:D$100000, G312,
  raw_stack!F$2:F$100000, "Iya",
  raw_stack!G$2:G$100000, "&gt;="&amp;DATE(2026,1,1),
  raw_stack!G$2:G$100000, "&lt;="&amp;EOMONTH(DATE(2026,1,1),0)
 ),
 IF(OR(_xlpm.x=0, _xlpm.x=""), "-", _xlpm.x)
)</f>
        <v>-</v>
      </c>
      <c r="AC312" s="55" t="str">
        <f>_xlfn.LET(
 _xlpm.x,
 _xlfn.MAXIFS(
  raw_stack!G$2:G$99411,
  raw_stack!D$2:D$99411, G312,
  raw_stack!F$2:F$99411, "Iya",
  raw_stack!G$2:G$99411, "&gt;="&amp;DATE(2026,2,1),
  raw_stack!G$2:G$99411, "&lt;="&amp;EOMONTH(DATE(2026,2,1),0)
 ),
 IF(_xlpm.x=0, "-", _xlpm.x)
)</f>
        <v>-</v>
      </c>
      <c r="AD312" s="56" t="str">
        <f>_xlfn.LET(
 _xlpm.x,
 _xlfn.MAXIFS(
  raw_stack!H$2:H$100000,
  raw_stack!D$2:D$100000, G312,
  raw_stack!F$2:F$100000, "Iya",
  raw_stack!G$2:G$100000, "&gt;="&amp;DATE(2026,2,1),
  raw_stack!G$2:G$100000, "&lt;="&amp;EOMONTH(DATE(2026,2,1),0)
 ),
 IF(OR(_xlpm.x=0, _xlpm.x=""), "-", _xlpm.x)
)</f>
        <v>-</v>
      </c>
      <c r="AE312" s="55" t="str">
        <f>_xlfn.LET(
 _xlpm.x,
 _xlfn.MAXIFS(
  raw_stack!G$2:G$100000,
  raw_stack!D$2:D$100000, G312,
  raw_stack!F$2:F$100000, "Iya",
  raw_stack!G$2:G$100000, "&gt;="&amp;DATE(2026,3,1),
  raw_stack!G$2:G$100000, "&lt;="&amp;EOMONTH(DATE(2026,3,1),0)
 ),
 IF(_xlpm.x=0, "-", _xlpm.x)
)</f>
        <v>-</v>
      </c>
      <c r="AF312" s="56" t="str">
        <f>_xlfn.LET(
 _xlpm.x,
 _xlfn.MAXIFS(
  raw_stack!H$2:H$100000,
  raw_stack!D$2:D$100000, G312,
  raw_stack!F$2:F$100000, "Iya",
  raw_stack!G$2:G$100000, "&gt;="&amp;DATE(2026,3,1),
  raw_stack!G$2:G$100000, "&lt;="&amp;EOMONTH(DATE(2026,3,1),0)
 ),
 IF(OR(_xlpm.x=0, _xlpm.x=""), "-", _xlpm.x)
)</f>
        <v>-</v>
      </c>
      <c r="AG312" s="55" t="str">
        <f>_xlfn.LET(
 _xlpm.x,
 _xlfn.MAXIFS(
  raw_stack!G$2:G$100000,
  raw_stack!D$2:D$100000, G312,
  raw_stack!F$2:F$100000, "Iya",
  raw_stack!G$2:G$100000, "&gt;="&amp;DATE(2026,4,1),
  raw_stack!G$2:G$100000, "&lt;="&amp;EOMONTH(DATE(2026,4,1),0)
 ),
 IF(_xlpm.x=0, "-", _xlpm.x)
)</f>
        <v>-</v>
      </c>
      <c r="AH312" s="56" t="str">
        <f>_xlfn.LET(
 _xlpm.x,
 _xlfn.MAXIFS(
  raw_stack!H$2:H$100000,
  raw_stack!D$2:D$100000, G312,
  raw_stack!F$2:F$100000, "Iya",
  raw_stack!G$2:G$100000, "&gt;="&amp;DATE(2026,4,1),
  raw_stack!G$2:G$100000, "&lt;="&amp;EOMONTH(DATE(2026,4,1),0)
 ),
 IF(OR(_xlpm.x=0, _xlpm.x=""), "-", _xlpm.x)
)</f>
        <v>-</v>
      </c>
    </row>
    <row r="313" spans="1:34">
      <c r="A313" s="48">
        <v>312</v>
      </c>
      <c r="B313" s="49" t="str">
        <f t="shared" si="5"/>
        <v>37568</v>
      </c>
      <c r="C313" s="50" t="s">
        <v>46</v>
      </c>
      <c r="D313" s="51" t="s">
        <v>555</v>
      </c>
      <c r="E313" s="51" t="s">
        <v>51</v>
      </c>
      <c r="F313" s="49" t="s">
        <v>117</v>
      </c>
      <c r="G313" s="49" t="s">
        <v>429</v>
      </c>
      <c r="H313" s="49" t="s">
        <v>48</v>
      </c>
      <c r="I313" s="49" t="s">
        <v>52</v>
      </c>
      <c r="J313" s="52">
        <v>3880000</v>
      </c>
      <c r="K313" s="53">
        <v>45986</v>
      </c>
      <c r="L313" s="53">
        <v>47081</v>
      </c>
      <c r="M313" s="53">
        <v>46077</v>
      </c>
      <c r="N313" s="49" t="s">
        <v>50</v>
      </c>
      <c r="O313" s="54" t="str">
        <f>_xlfn.LET(
 _xlpm.x,
 _xlfn.MAXIFS(
  raw_stack!G$2:G$100000,
  raw_stack!D$2:D$100000, G313,
  raw_stack!F$2:F$100000, "Iya",
  raw_stack!G$2:G$100000, "&gt;="&amp;DATE(2025,7,1),
  raw_stack!G$2:G$100000, "&lt;="&amp;EOMONTH(DATE(2025,7,1),0)
 ),
 IF(_xlpm.x=0, "-", _xlpm.x)
)</f>
        <v>-</v>
      </c>
      <c r="P313" s="65" t="str">
        <f>_xlfn.LET(
 _xlpm.x,
 _xlfn.MAXIFS(
  raw_stack!H$2:H$100000,
  raw_stack!D$2:D$100000, G313,
  raw_stack!F$2:F$100000, "Iya",
  raw_stack!G$2:G$100000, "&gt;="&amp;DATE(2025,7,1),
  raw_stack!G$2:G$100000, "&lt;="&amp;EOMONTH(DATE(2025,7,1),0)
 ),
 IF(OR(_xlpm.x=0, _xlpm.x=""), "-", _xlpm.x)
)</f>
        <v>-</v>
      </c>
      <c r="Q313" s="54" t="str">
        <f>_xlfn.LET(
 _xlpm.x,
 _xlfn.MAXIFS(
  raw_stack!G$2:G$99411,
  raw_stack!D$2:D$99411, G313,
  raw_stack!F$2:F$99411, "Iya",
  raw_stack!G$2:G$99411, "&gt;="&amp;DATE(2025,8,1),
  raw_stack!G$2:G$99411, "&lt;="&amp;EOMONTH(DATE(2025,8,1),0)
 ),
 IF(_xlpm.x=0, "-", _xlpm.x)
)</f>
        <v>-</v>
      </c>
      <c r="R313" s="65" t="str">
        <f>_xlfn.LET(
 _xlpm.x,
 _xlfn.MAXIFS(
  raw_stack!H$2:H$100000,
  raw_stack!D$2:D$100000, G313,
  raw_stack!F$2:F$100000, "Iya",
  raw_stack!G$2:G$100000, "&gt;="&amp;DATE(2025,8,1),
  raw_stack!G$2:G$100000, "&lt;="&amp;EOMONTH(DATE(2025,8,1),0)
 ),
 IF(OR(_xlpm.x=0, _xlpm.x=""), "-", _xlpm.x)
)</f>
        <v>-</v>
      </c>
      <c r="S313" s="54" t="str">
        <f>_xlfn.LET(
 _xlpm.x,
 _xlfn.MAXIFS(
  raw_stack!G$2:G$99411,
  raw_stack!D$2:D$99411, G313,
  raw_stack!F$2:F$99411, "Iya",
  raw_stack!G$2:G$99411, "&gt;="&amp;DATE(2025,9,1),
  raw_stack!G$2:G$99411, "&lt;="&amp;EOMONTH(DATE(2025,9,1),0)
 ),
 IF(_xlpm.x=0, "-", _xlpm.x)
)</f>
        <v>-</v>
      </c>
      <c r="T313" s="65" t="str">
        <f>_xlfn.LET(
 _xlpm.x,
 _xlfn.MAXIFS(
  raw_stack!H$2:H$100000,
  raw_stack!D$2:D$100000, G313,
  raw_stack!F$2:F$100000, "Iya",
  raw_stack!G$2:G$100000, "&gt;="&amp;DATE(2025,9,1),
  raw_stack!G$2:G$100000, "&lt;="&amp;EOMONTH(DATE(2025,9,1),0)
 ),
 IF(OR(_xlpm.x=0, _xlpm.x=""), "-", _xlpm.x)
)</f>
        <v>-</v>
      </c>
      <c r="U313" s="54" t="str">
        <f>_xlfn.LET(
 _xlpm.x,
 _xlfn.MAXIFS(
  raw_stack!G$2:G$99411,
  raw_stack!D$2:D$99411, G313,
  raw_stack!F$2:F$99411, "Iya",
  raw_stack!G$2:G$99411, "&gt;="&amp;DATE(2025,10,1),
  raw_stack!G$2:G$99411, "&lt;="&amp;EOMONTH(DATE(2025,10,1),0)
 ),
 IF(_xlpm.x=0, "-", _xlpm.x)
)</f>
        <v>-</v>
      </c>
      <c r="V313" s="65" t="str">
        <f>_xlfn.LET(
 _xlpm.x,
 _xlfn.MAXIFS(
  raw_stack!H$2:H$100000,
  raw_stack!D$2:D$100000, G313,
  raw_stack!F$2:F$100000, "Iya",
  raw_stack!G$2:G$100000, "&gt;="&amp;DATE(2025,10,1),
  raw_stack!G$2:G$100000, "&lt;="&amp;EOMONTH(DATE(2025,10,1),0)
 ),
 IF(OR(_xlpm.x=0, _xlpm.x=""), "-", _xlpm.x)
)</f>
        <v>-</v>
      </c>
      <c r="W313" s="55">
        <f>_xlfn.LET(
 _xlpm.x,
 _xlfn.MAXIFS(
  raw_stack!G$2:G$99411,
  raw_stack!D$2:D$99411, G313,
  raw_stack!F$2:F$99411, "Iya",
  raw_stack!G$2:G$99411, "&gt;="&amp;DATE(2025,11,1),
  raw_stack!G$2:G$99411, "&lt;="&amp;EOMONTH(DATE(2025,11,1),0)
 ),
 IF(_xlpm.x=0, "-", _xlpm.x)
)</f>
        <v>45986</v>
      </c>
      <c r="X313" s="56">
        <f>_xlfn.LET(
 _xlpm.x,
 _xlfn.MAXIFS(
  raw_stack!H$2:H$100000,
  raw_stack!D$2:D$100000, G313,
  raw_stack!F$2:F$100000, "Iya",
  raw_stack!G$2:G$100000, "&gt;="&amp;DATE(2025,11,1),
  raw_stack!G$2:G$100000, "&lt;="&amp;EOMONTH(DATE(2025,11,1),0)
 ),
 IF(OR(_xlpm.x=0, _xlpm.x=""), "-", _xlpm.x)
)</f>
        <v>1308</v>
      </c>
      <c r="Y313" s="55" t="str">
        <f>_xlfn.LET(
 _xlpm.x,
 _xlfn.MAXIFS(
  raw_stack!G$2:G$99411,
  raw_stack!D$2:D$99411, G313,
  raw_stack!F$2:F$99411, "Iya",
  raw_stack!G$2:G$99411, "&gt;="&amp;DATE(2025,12,1),
  raw_stack!G$2:G$99411, "&lt;="&amp;EOMONTH(DATE(2025,12,1),0)
 ),
 IF(_xlpm.x=0, "-", _xlpm.x)
)</f>
        <v>-</v>
      </c>
      <c r="Z313" s="56" t="str">
        <f>_xlfn.LET(
 _xlpm.x,
 _xlfn.MAXIFS(
  raw_stack!H$2:H$100000,
  raw_stack!D$2:D$100000, G313,
  raw_stack!F$2:F$100000, "Iya",
  raw_stack!G$2:G$100000, "&gt;="&amp;DATE(2025,12,1),
  raw_stack!G$2:G$100000, "&lt;="&amp;EOMONTH(DATE(2025,12,1),0)
 ),
 IF(OR(_xlpm.x=0, _xlpm.x=""), "-", _xlpm.x)
)</f>
        <v>-</v>
      </c>
      <c r="AA313" s="55" t="str">
        <f>_xlfn.LET(
 _xlpm.x,
 _xlfn.MAXIFS(
  raw_stack!G$2:G$99411,
  raw_stack!D$2:D$99411, G313,
  raw_stack!F$2:F$99411, "Iya",
  raw_stack!G$2:G$99411, "&gt;="&amp;DATE(2026,1,1),
  raw_stack!G$2:G$99411, "&lt;="&amp;EOMONTH(DATE(2026,1,1),0)
 ),
 IF(_xlpm.x=0, "-", _xlpm.x)
)</f>
        <v>-</v>
      </c>
      <c r="AB313" s="56" t="str">
        <f>_xlfn.LET(
 _xlpm.x,
 _xlfn.MAXIFS(
  raw_stack!H$2:H$100000,
  raw_stack!D$2:D$100000, G313,
  raw_stack!F$2:F$100000, "Iya",
  raw_stack!G$2:G$100000, "&gt;="&amp;DATE(2026,1,1),
  raw_stack!G$2:G$100000, "&lt;="&amp;EOMONTH(DATE(2026,1,1),0)
 ),
 IF(OR(_xlpm.x=0, _xlpm.x=""), "-", _xlpm.x)
)</f>
        <v>-</v>
      </c>
      <c r="AC313" s="55" t="str">
        <f>_xlfn.LET(
 _xlpm.x,
 _xlfn.MAXIFS(
  raw_stack!G$2:G$99411,
  raw_stack!D$2:D$99411, G313,
  raw_stack!F$2:F$99411, "Iya",
  raw_stack!G$2:G$99411, "&gt;="&amp;DATE(2026,2,1),
  raw_stack!G$2:G$99411, "&lt;="&amp;EOMONTH(DATE(2026,2,1),0)
 ),
 IF(_xlpm.x=0, "-", _xlpm.x)
)</f>
        <v>-</v>
      </c>
      <c r="AD313" s="56" t="str">
        <f>_xlfn.LET(
 _xlpm.x,
 _xlfn.MAXIFS(
  raw_stack!H$2:H$100000,
  raw_stack!D$2:D$100000, G313,
  raw_stack!F$2:F$100000, "Iya",
  raw_stack!G$2:G$100000, "&gt;="&amp;DATE(2026,2,1),
  raw_stack!G$2:G$100000, "&lt;="&amp;EOMONTH(DATE(2026,2,1),0)
 ),
 IF(OR(_xlpm.x=0, _xlpm.x=""), "-", _xlpm.x)
)</f>
        <v>-</v>
      </c>
      <c r="AE313" s="55" t="str">
        <f>_xlfn.LET(
 _xlpm.x,
 _xlfn.MAXIFS(
  raw_stack!G$2:G$100000,
  raw_stack!D$2:D$100000, G313,
  raw_stack!F$2:F$100000, "Iya",
  raw_stack!G$2:G$100000, "&gt;="&amp;DATE(2026,3,1),
  raw_stack!G$2:G$100000, "&lt;="&amp;EOMONTH(DATE(2026,3,1),0)
 ),
 IF(_xlpm.x=0, "-", _xlpm.x)
)</f>
        <v>-</v>
      </c>
      <c r="AF313" s="56" t="str">
        <f>_xlfn.LET(
 _xlpm.x,
 _xlfn.MAXIFS(
  raw_stack!H$2:H$100000,
  raw_stack!D$2:D$100000, G313,
  raw_stack!F$2:F$100000, "Iya",
  raw_stack!G$2:G$100000, "&gt;="&amp;DATE(2026,3,1),
  raw_stack!G$2:G$100000, "&lt;="&amp;EOMONTH(DATE(2026,3,1),0)
 ),
 IF(OR(_xlpm.x=0, _xlpm.x=""), "-", _xlpm.x)
)</f>
        <v>-</v>
      </c>
      <c r="AG313" s="55" t="str">
        <f>_xlfn.LET(
 _xlpm.x,
 _xlfn.MAXIFS(
  raw_stack!G$2:G$100000,
  raw_stack!D$2:D$100000, G313,
  raw_stack!F$2:F$100000, "Iya",
  raw_stack!G$2:G$100000, "&gt;="&amp;DATE(2026,4,1),
  raw_stack!G$2:G$100000, "&lt;="&amp;EOMONTH(DATE(2026,4,1),0)
 ),
 IF(_xlpm.x=0, "-", _xlpm.x)
)</f>
        <v>-</v>
      </c>
      <c r="AH313" s="56" t="str">
        <f>_xlfn.LET(
 _xlpm.x,
 _xlfn.MAXIFS(
  raw_stack!H$2:H$100000,
  raw_stack!D$2:D$100000, G313,
  raw_stack!F$2:F$100000, "Iya",
  raw_stack!G$2:G$100000, "&gt;="&amp;DATE(2026,4,1),
  raw_stack!G$2:G$100000, "&lt;="&amp;EOMONTH(DATE(2026,4,1),0)
 ),
 IF(OR(_xlpm.x=0, _xlpm.x=""), "-", _xlpm.x)
)</f>
        <v>-</v>
      </c>
    </row>
    <row r="314" spans="1:34">
      <c r="A314" s="48">
        <v>313</v>
      </c>
      <c r="B314" s="49" t="str">
        <f t="shared" si="5"/>
        <v>51793</v>
      </c>
      <c r="C314" s="50" t="s">
        <v>46</v>
      </c>
      <c r="D314" s="51" t="s">
        <v>701</v>
      </c>
      <c r="E314" s="51" t="s">
        <v>51</v>
      </c>
      <c r="F314" s="49" t="s">
        <v>117</v>
      </c>
      <c r="G314" s="49" t="s">
        <v>430</v>
      </c>
      <c r="H314" s="49" t="s">
        <v>48</v>
      </c>
      <c r="I314" s="49" t="s">
        <v>52</v>
      </c>
      <c r="J314" s="52">
        <v>3880000</v>
      </c>
      <c r="K314" s="53">
        <v>45986</v>
      </c>
      <c r="L314" s="53">
        <v>47081</v>
      </c>
      <c r="M314" s="53">
        <v>46077</v>
      </c>
      <c r="N314" s="49" t="s">
        <v>50</v>
      </c>
      <c r="O314" s="54" t="str">
        <f>_xlfn.LET(
 _xlpm.x,
 _xlfn.MAXIFS(
  raw_stack!G$2:G$100000,
  raw_stack!D$2:D$100000, G314,
  raw_stack!F$2:F$100000, "Iya",
  raw_stack!G$2:G$100000, "&gt;="&amp;DATE(2025,7,1),
  raw_stack!G$2:G$100000, "&lt;="&amp;EOMONTH(DATE(2025,7,1),0)
 ),
 IF(_xlpm.x=0, "-", _xlpm.x)
)</f>
        <v>-</v>
      </c>
      <c r="P314" s="65" t="str">
        <f>_xlfn.LET(
 _xlpm.x,
 _xlfn.MAXIFS(
  raw_stack!H$2:H$100000,
  raw_stack!D$2:D$100000, G314,
  raw_stack!F$2:F$100000, "Iya",
  raw_stack!G$2:G$100000, "&gt;="&amp;DATE(2025,7,1),
  raw_stack!G$2:G$100000, "&lt;="&amp;EOMONTH(DATE(2025,7,1),0)
 ),
 IF(OR(_xlpm.x=0, _xlpm.x=""), "-", _xlpm.x)
)</f>
        <v>-</v>
      </c>
      <c r="Q314" s="54" t="str">
        <f>_xlfn.LET(
 _xlpm.x,
 _xlfn.MAXIFS(
  raw_stack!G$2:G$99411,
  raw_stack!D$2:D$99411, G314,
  raw_stack!F$2:F$99411, "Iya",
  raw_stack!G$2:G$99411, "&gt;="&amp;DATE(2025,8,1),
  raw_stack!G$2:G$99411, "&lt;="&amp;EOMONTH(DATE(2025,8,1),0)
 ),
 IF(_xlpm.x=0, "-", _xlpm.x)
)</f>
        <v>-</v>
      </c>
      <c r="R314" s="65" t="str">
        <f>_xlfn.LET(
 _xlpm.x,
 _xlfn.MAXIFS(
  raw_stack!H$2:H$100000,
  raw_stack!D$2:D$100000, G314,
  raw_stack!F$2:F$100000, "Iya",
  raw_stack!G$2:G$100000, "&gt;="&amp;DATE(2025,8,1),
  raw_stack!G$2:G$100000, "&lt;="&amp;EOMONTH(DATE(2025,8,1),0)
 ),
 IF(OR(_xlpm.x=0, _xlpm.x=""), "-", _xlpm.x)
)</f>
        <v>-</v>
      </c>
      <c r="S314" s="54" t="str">
        <f>_xlfn.LET(
 _xlpm.x,
 _xlfn.MAXIFS(
  raw_stack!G$2:G$99411,
  raw_stack!D$2:D$99411, G314,
  raw_stack!F$2:F$99411, "Iya",
  raw_stack!G$2:G$99411, "&gt;="&amp;DATE(2025,9,1),
  raw_stack!G$2:G$99411, "&lt;="&amp;EOMONTH(DATE(2025,9,1),0)
 ),
 IF(_xlpm.x=0, "-", _xlpm.x)
)</f>
        <v>-</v>
      </c>
      <c r="T314" s="65" t="str">
        <f>_xlfn.LET(
 _xlpm.x,
 _xlfn.MAXIFS(
  raw_stack!H$2:H$100000,
  raw_stack!D$2:D$100000, G314,
  raw_stack!F$2:F$100000, "Iya",
  raw_stack!G$2:G$100000, "&gt;="&amp;DATE(2025,9,1),
  raw_stack!G$2:G$100000, "&lt;="&amp;EOMONTH(DATE(2025,9,1),0)
 ),
 IF(OR(_xlpm.x=0, _xlpm.x=""), "-", _xlpm.x)
)</f>
        <v>-</v>
      </c>
      <c r="U314" s="54" t="str">
        <f>_xlfn.LET(
 _xlpm.x,
 _xlfn.MAXIFS(
  raw_stack!G$2:G$99411,
  raw_stack!D$2:D$99411, G314,
  raw_stack!F$2:F$99411, "Iya",
  raw_stack!G$2:G$99411, "&gt;="&amp;DATE(2025,10,1),
  raw_stack!G$2:G$99411, "&lt;="&amp;EOMONTH(DATE(2025,10,1),0)
 ),
 IF(_xlpm.x=0, "-", _xlpm.x)
)</f>
        <v>-</v>
      </c>
      <c r="V314" s="65" t="str">
        <f>_xlfn.LET(
 _xlpm.x,
 _xlfn.MAXIFS(
  raw_stack!H$2:H$100000,
  raw_stack!D$2:D$100000, G314,
  raw_stack!F$2:F$100000, "Iya",
  raw_stack!G$2:G$100000, "&gt;="&amp;DATE(2025,10,1),
  raw_stack!G$2:G$100000, "&lt;="&amp;EOMONTH(DATE(2025,10,1),0)
 ),
 IF(OR(_xlpm.x=0, _xlpm.x=""), "-", _xlpm.x)
)</f>
        <v>-</v>
      </c>
      <c r="W314" s="55" t="str">
        <f>_xlfn.LET(
 _xlpm.x,
 _xlfn.MAXIFS(
  raw_stack!G$2:G$99411,
  raw_stack!D$2:D$99411, G314,
  raw_stack!F$2:F$99411, "Iya",
  raw_stack!G$2:G$99411, "&gt;="&amp;DATE(2025,11,1),
  raw_stack!G$2:G$99411, "&lt;="&amp;EOMONTH(DATE(2025,11,1),0)
 ),
 IF(_xlpm.x=0, "-", _xlpm.x)
)</f>
        <v>-</v>
      </c>
      <c r="X314" s="56" t="str">
        <f>_xlfn.LET(
 _xlpm.x,
 _xlfn.MAXIFS(
  raw_stack!H$2:H$100000,
  raw_stack!D$2:D$100000, G314,
  raw_stack!F$2:F$100000, "Iya",
  raw_stack!G$2:G$100000, "&gt;="&amp;DATE(2025,11,1),
  raw_stack!G$2:G$100000, "&lt;="&amp;EOMONTH(DATE(2025,11,1),0)
 ),
 IF(OR(_xlpm.x=0, _xlpm.x=""), "-", _xlpm.x)
)</f>
        <v>-</v>
      </c>
      <c r="Y314" s="55" t="str">
        <f>_xlfn.LET(
 _xlpm.x,
 _xlfn.MAXIFS(
  raw_stack!G$2:G$99411,
  raw_stack!D$2:D$99411, G314,
  raw_stack!F$2:F$99411, "Iya",
  raw_stack!G$2:G$99411, "&gt;="&amp;DATE(2025,12,1),
  raw_stack!G$2:G$99411, "&lt;="&amp;EOMONTH(DATE(2025,12,1),0)
 ),
 IF(_xlpm.x=0, "-", _xlpm.x)
)</f>
        <v>-</v>
      </c>
      <c r="Z314" s="56" t="str">
        <f>_xlfn.LET(
 _xlpm.x,
 _xlfn.MAXIFS(
  raw_stack!H$2:H$100000,
  raw_stack!D$2:D$100000, G314,
  raw_stack!F$2:F$100000, "Iya",
  raw_stack!G$2:G$100000, "&gt;="&amp;DATE(2025,12,1),
  raw_stack!G$2:G$100000, "&lt;="&amp;EOMONTH(DATE(2025,12,1),0)
 ),
 IF(OR(_xlpm.x=0, _xlpm.x=""), "-", _xlpm.x)
)</f>
        <v>-</v>
      </c>
      <c r="AA314" s="55" t="str">
        <f>_xlfn.LET(
 _xlpm.x,
 _xlfn.MAXIFS(
  raw_stack!G$2:G$99411,
  raw_stack!D$2:D$99411, G314,
  raw_stack!F$2:F$99411, "Iya",
  raw_stack!G$2:G$99411, "&gt;="&amp;DATE(2026,1,1),
  raw_stack!G$2:G$99411, "&lt;="&amp;EOMONTH(DATE(2026,1,1),0)
 ),
 IF(_xlpm.x=0, "-", _xlpm.x)
)</f>
        <v>-</v>
      </c>
      <c r="AB314" s="56" t="str">
        <f>_xlfn.LET(
 _xlpm.x,
 _xlfn.MAXIFS(
  raw_stack!H$2:H$100000,
  raw_stack!D$2:D$100000, G314,
  raw_stack!F$2:F$100000, "Iya",
  raw_stack!G$2:G$100000, "&gt;="&amp;DATE(2026,1,1),
  raw_stack!G$2:G$100000, "&lt;="&amp;EOMONTH(DATE(2026,1,1),0)
 ),
 IF(OR(_xlpm.x=0, _xlpm.x=""), "-", _xlpm.x)
)</f>
        <v>-</v>
      </c>
      <c r="AC314" s="55" t="str">
        <f>_xlfn.LET(
 _xlpm.x,
 _xlfn.MAXIFS(
  raw_stack!G$2:G$99411,
  raw_stack!D$2:D$99411, G314,
  raw_stack!F$2:F$99411, "Iya",
  raw_stack!G$2:G$99411, "&gt;="&amp;DATE(2026,2,1),
  raw_stack!G$2:G$99411, "&lt;="&amp;EOMONTH(DATE(2026,2,1),0)
 ),
 IF(_xlpm.x=0, "-", _xlpm.x)
)</f>
        <v>-</v>
      </c>
      <c r="AD314" s="56" t="str">
        <f>_xlfn.LET(
 _xlpm.x,
 _xlfn.MAXIFS(
  raw_stack!H$2:H$100000,
  raw_stack!D$2:D$100000, G314,
  raw_stack!F$2:F$100000, "Iya",
  raw_stack!G$2:G$100000, "&gt;="&amp;DATE(2026,2,1),
  raw_stack!G$2:G$100000, "&lt;="&amp;EOMONTH(DATE(2026,2,1),0)
 ),
 IF(OR(_xlpm.x=0, _xlpm.x=""), "-", _xlpm.x)
)</f>
        <v>-</v>
      </c>
      <c r="AE314" s="55" t="str">
        <f>_xlfn.LET(
 _xlpm.x,
 _xlfn.MAXIFS(
  raw_stack!G$2:G$100000,
  raw_stack!D$2:D$100000, G314,
  raw_stack!F$2:F$100000, "Iya",
  raw_stack!G$2:G$100000, "&gt;="&amp;DATE(2026,3,1),
  raw_stack!G$2:G$100000, "&lt;="&amp;EOMONTH(DATE(2026,3,1),0)
 ),
 IF(_xlpm.x=0, "-", _xlpm.x)
)</f>
        <v>-</v>
      </c>
      <c r="AF314" s="56" t="str">
        <f>_xlfn.LET(
 _xlpm.x,
 _xlfn.MAXIFS(
  raw_stack!H$2:H$100000,
  raw_stack!D$2:D$100000, G314,
  raw_stack!F$2:F$100000, "Iya",
  raw_stack!G$2:G$100000, "&gt;="&amp;DATE(2026,3,1),
  raw_stack!G$2:G$100000, "&lt;="&amp;EOMONTH(DATE(2026,3,1),0)
 ),
 IF(OR(_xlpm.x=0, _xlpm.x=""), "-", _xlpm.x)
)</f>
        <v>-</v>
      </c>
      <c r="AG314" s="55" t="str">
        <f>_xlfn.LET(
 _xlpm.x,
 _xlfn.MAXIFS(
  raw_stack!G$2:G$100000,
  raw_stack!D$2:D$100000, G314,
  raw_stack!F$2:F$100000, "Iya",
  raw_stack!G$2:G$100000, "&gt;="&amp;DATE(2026,4,1),
  raw_stack!G$2:G$100000, "&lt;="&amp;EOMONTH(DATE(2026,4,1),0)
 ),
 IF(_xlpm.x=0, "-", _xlpm.x)
)</f>
        <v>-</v>
      </c>
      <c r="AH314" s="56" t="str">
        <f>_xlfn.LET(
 _xlpm.x,
 _xlfn.MAXIFS(
  raw_stack!H$2:H$100000,
  raw_stack!D$2:D$100000, G314,
  raw_stack!F$2:F$100000, "Iya",
  raw_stack!G$2:G$100000, "&gt;="&amp;DATE(2026,4,1),
  raw_stack!G$2:G$100000, "&lt;="&amp;EOMONTH(DATE(2026,4,1),0)
 ),
 IF(OR(_xlpm.x=0, _xlpm.x=""), "-", _xlpm.x)
)</f>
        <v>-</v>
      </c>
    </row>
    <row r="315" spans="1:34">
      <c r="A315" s="48">
        <v>314</v>
      </c>
      <c r="B315" s="49" t="str">
        <f t="shared" si="5"/>
        <v>47339</v>
      </c>
      <c r="C315" s="50" t="s">
        <v>46</v>
      </c>
      <c r="D315" s="51" t="s">
        <v>702</v>
      </c>
      <c r="E315" s="51" t="s">
        <v>51</v>
      </c>
      <c r="F315" s="49" t="s">
        <v>117</v>
      </c>
      <c r="G315" s="49" t="s">
        <v>431</v>
      </c>
      <c r="H315" s="49" t="s">
        <v>48</v>
      </c>
      <c r="I315" s="49" t="s">
        <v>52</v>
      </c>
      <c r="J315" s="52">
        <v>3880000</v>
      </c>
      <c r="K315" s="53">
        <v>45986</v>
      </c>
      <c r="L315" s="53">
        <v>47081</v>
      </c>
      <c r="M315" s="53">
        <v>46077</v>
      </c>
      <c r="N315" s="49" t="s">
        <v>50</v>
      </c>
      <c r="O315" s="54" t="str">
        <f>_xlfn.LET(
 _xlpm.x,
 _xlfn.MAXIFS(
  raw_stack!G$2:G$100000,
  raw_stack!D$2:D$100000, G315,
  raw_stack!F$2:F$100000, "Iya",
  raw_stack!G$2:G$100000, "&gt;="&amp;DATE(2025,7,1),
  raw_stack!G$2:G$100000, "&lt;="&amp;EOMONTH(DATE(2025,7,1),0)
 ),
 IF(_xlpm.x=0, "-", _xlpm.x)
)</f>
        <v>-</v>
      </c>
      <c r="P315" s="65" t="str">
        <f>_xlfn.LET(
 _xlpm.x,
 _xlfn.MAXIFS(
  raw_stack!H$2:H$100000,
  raw_stack!D$2:D$100000, G315,
  raw_stack!F$2:F$100000, "Iya",
  raw_stack!G$2:G$100000, "&gt;="&amp;DATE(2025,7,1),
  raw_stack!G$2:G$100000, "&lt;="&amp;EOMONTH(DATE(2025,7,1),0)
 ),
 IF(OR(_xlpm.x=0, _xlpm.x=""), "-", _xlpm.x)
)</f>
        <v>-</v>
      </c>
      <c r="Q315" s="54" t="str">
        <f>_xlfn.LET(
 _xlpm.x,
 _xlfn.MAXIFS(
  raw_stack!G$2:G$99411,
  raw_stack!D$2:D$99411, G315,
  raw_stack!F$2:F$99411, "Iya",
  raw_stack!G$2:G$99411, "&gt;="&amp;DATE(2025,8,1),
  raw_stack!G$2:G$99411, "&lt;="&amp;EOMONTH(DATE(2025,8,1),0)
 ),
 IF(_xlpm.x=0, "-", _xlpm.x)
)</f>
        <v>-</v>
      </c>
      <c r="R315" s="65" t="str">
        <f>_xlfn.LET(
 _xlpm.x,
 _xlfn.MAXIFS(
  raw_stack!H$2:H$100000,
  raw_stack!D$2:D$100000, G315,
  raw_stack!F$2:F$100000, "Iya",
  raw_stack!G$2:G$100000, "&gt;="&amp;DATE(2025,8,1),
  raw_stack!G$2:G$100000, "&lt;="&amp;EOMONTH(DATE(2025,8,1),0)
 ),
 IF(OR(_xlpm.x=0, _xlpm.x=""), "-", _xlpm.x)
)</f>
        <v>-</v>
      </c>
      <c r="S315" s="54" t="str">
        <f>_xlfn.LET(
 _xlpm.x,
 _xlfn.MAXIFS(
  raw_stack!G$2:G$99411,
  raw_stack!D$2:D$99411, G315,
  raw_stack!F$2:F$99411, "Iya",
  raw_stack!G$2:G$99411, "&gt;="&amp;DATE(2025,9,1),
  raw_stack!G$2:G$99411, "&lt;="&amp;EOMONTH(DATE(2025,9,1),0)
 ),
 IF(_xlpm.x=0, "-", _xlpm.x)
)</f>
        <v>-</v>
      </c>
      <c r="T315" s="65" t="str">
        <f>_xlfn.LET(
 _xlpm.x,
 _xlfn.MAXIFS(
  raw_stack!H$2:H$100000,
  raw_stack!D$2:D$100000, G315,
  raw_stack!F$2:F$100000, "Iya",
  raw_stack!G$2:G$100000, "&gt;="&amp;DATE(2025,9,1),
  raw_stack!G$2:G$100000, "&lt;="&amp;EOMONTH(DATE(2025,9,1),0)
 ),
 IF(OR(_xlpm.x=0, _xlpm.x=""), "-", _xlpm.x)
)</f>
        <v>-</v>
      </c>
      <c r="U315" s="54">
        <f>_xlfn.LET(
 _xlpm.x,
 _xlfn.MAXIFS(
  raw_stack!G$2:G$99411,
  raw_stack!D$2:D$99411, G315,
  raw_stack!F$2:F$99411, "Iya",
  raw_stack!G$2:G$99411, "&gt;="&amp;DATE(2025,10,1),
  raw_stack!G$2:G$99411, "&lt;="&amp;EOMONTH(DATE(2025,10,1),0)
 ),
 IF(_xlpm.x=0, "-", _xlpm.x)
)</f>
        <v>45931</v>
      </c>
      <c r="V315" s="65">
        <f>_xlfn.LET(
 _xlpm.x,
 _xlfn.MAXIFS(
  raw_stack!H$2:H$100000,
  raw_stack!D$2:D$100000, G315,
  raw_stack!F$2:F$100000, "Iya",
  raw_stack!G$2:G$100000, "&gt;="&amp;DATE(2025,10,1),
  raw_stack!G$2:G$100000, "&lt;="&amp;EOMONTH(DATE(2025,10,1),0)
 ),
 IF(OR(_xlpm.x=0, _xlpm.x=""), "-", _xlpm.x)
)</f>
        <v>1466</v>
      </c>
      <c r="W315" s="55">
        <f>_xlfn.LET(
 _xlpm.x,
 _xlfn.MAXIFS(
  raw_stack!G$2:G$99411,
  raw_stack!D$2:D$99411, G315,
  raw_stack!F$2:F$99411, "Iya",
  raw_stack!G$2:G$99411, "&gt;="&amp;DATE(2025,11,1),
  raw_stack!G$2:G$99411, "&lt;="&amp;EOMONTH(DATE(2025,11,1),0)
 ),
 IF(_xlpm.x=0, "-", _xlpm.x)
)</f>
        <v>45987</v>
      </c>
      <c r="X315" s="56">
        <f>_xlfn.LET(
 _xlpm.x,
 _xlfn.MAXIFS(
  raw_stack!H$2:H$100000,
  raw_stack!D$2:D$100000, G315,
  raw_stack!F$2:F$100000, "Iya",
  raw_stack!G$2:G$100000, "&gt;="&amp;DATE(2025,11,1),
  raw_stack!G$2:G$100000, "&lt;="&amp;EOMONTH(DATE(2025,11,1),0)
 ),
 IF(OR(_xlpm.x=0, _xlpm.x=""), "-", _xlpm.x)
)</f>
        <v>239</v>
      </c>
      <c r="Y315" s="55" t="str">
        <f>_xlfn.LET(
 _xlpm.x,
 _xlfn.MAXIFS(
  raw_stack!G$2:G$99411,
  raw_stack!D$2:D$99411, G315,
  raw_stack!F$2:F$99411, "Iya",
  raw_stack!G$2:G$99411, "&gt;="&amp;DATE(2025,12,1),
  raw_stack!G$2:G$99411, "&lt;="&amp;EOMONTH(DATE(2025,12,1),0)
 ),
 IF(_xlpm.x=0, "-", _xlpm.x)
)</f>
        <v>-</v>
      </c>
      <c r="Z315" s="56" t="str">
        <f>_xlfn.LET(
 _xlpm.x,
 _xlfn.MAXIFS(
  raw_stack!H$2:H$100000,
  raw_stack!D$2:D$100000, G315,
  raw_stack!F$2:F$100000, "Iya",
  raw_stack!G$2:G$100000, "&gt;="&amp;DATE(2025,12,1),
  raw_stack!G$2:G$100000, "&lt;="&amp;EOMONTH(DATE(2025,12,1),0)
 ),
 IF(OR(_xlpm.x=0, _xlpm.x=""), "-", _xlpm.x)
)</f>
        <v>-</v>
      </c>
      <c r="AA315" s="55" t="str">
        <f>_xlfn.LET(
 _xlpm.x,
 _xlfn.MAXIFS(
  raw_stack!G$2:G$99411,
  raw_stack!D$2:D$99411, G315,
  raw_stack!F$2:F$99411, "Iya",
  raw_stack!G$2:G$99411, "&gt;="&amp;DATE(2026,1,1),
  raw_stack!G$2:G$99411, "&lt;="&amp;EOMONTH(DATE(2026,1,1),0)
 ),
 IF(_xlpm.x=0, "-", _xlpm.x)
)</f>
        <v>-</v>
      </c>
      <c r="AB315" s="56" t="str">
        <f>_xlfn.LET(
 _xlpm.x,
 _xlfn.MAXIFS(
  raw_stack!H$2:H$100000,
  raw_stack!D$2:D$100000, G315,
  raw_stack!F$2:F$100000, "Iya",
  raw_stack!G$2:G$100000, "&gt;="&amp;DATE(2026,1,1),
  raw_stack!G$2:G$100000, "&lt;="&amp;EOMONTH(DATE(2026,1,1),0)
 ),
 IF(OR(_xlpm.x=0, _xlpm.x=""), "-", _xlpm.x)
)</f>
        <v>-</v>
      </c>
      <c r="AC315" s="55" t="str">
        <f>_xlfn.LET(
 _xlpm.x,
 _xlfn.MAXIFS(
  raw_stack!G$2:G$99411,
  raw_stack!D$2:D$99411, G315,
  raw_stack!F$2:F$99411, "Iya",
  raw_stack!G$2:G$99411, "&gt;="&amp;DATE(2026,2,1),
  raw_stack!G$2:G$99411, "&lt;="&amp;EOMONTH(DATE(2026,2,1),0)
 ),
 IF(_xlpm.x=0, "-", _xlpm.x)
)</f>
        <v>-</v>
      </c>
      <c r="AD315" s="56" t="str">
        <f>_xlfn.LET(
 _xlpm.x,
 _xlfn.MAXIFS(
  raw_stack!H$2:H$100000,
  raw_stack!D$2:D$100000, G315,
  raw_stack!F$2:F$100000, "Iya",
  raw_stack!G$2:G$100000, "&gt;="&amp;DATE(2026,2,1),
  raw_stack!G$2:G$100000, "&lt;="&amp;EOMONTH(DATE(2026,2,1),0)
 ),
 IF(OR(_xlpm.x=0, _xlpm.x=""), "-", _xlpm.x)
)</f>
        <v>-</v>
      </c>
      <c r="AE315" s="55" t="str">
        <f>_xlfn.LET(
 _xlpm.x,
 _xlfn.MAXIFS(
  raw_stack!G$2:G$100000,
  raw_stack!D$2:D$100000, G315,
  raw_stack!F$2:F$100000, "Iya",
  raw_stack!G$2:G$100000, "&gt;="&amp;DATE(2026,3,1),
  raw_stack!G$2:G$100000, "&lt;="&amp;EOMONTH(DATE(2026,3,1),0)
 ),
 IF(_xlpm.x=0, "-", _xlpm.x)
)</f>
        <v>-</v>
      </c>
      <c r="AF315" s="56" t="str">
        <f>_xlfn.LET(
 _xlpm.x,
 _xlfn.MAXIFS(
  raw_stack!H$2:H$100000,
  raw_stack!D$2:D$100000, G315,
  raw_stack!F$2:F$100000, "Iya",
  raw_stack!G$2:G$100000, "&gt;="&amp;DATE(2026,3,1),
  raw_stack!G$2:G$100000, "&lt;="&amp;EOMONTH(DATE(2026,3,1),0)
 ),
 IF(OR(_xlpm.x=0, _xlpm.x=""), "-", _xlpm.x)
)</f>
        <v>-</v>
      </c>
      <c r="AG315" s="55" t="str">
        <f>_xlfn.LET(
 _xlpm.x,
 _xlfn.MAXIFS(
  raw_stack!G$2:G$100000,
  raw_stack!D$2:D$100000, G315,
  raw_stack!F$2:F$100000, "Iya",
  raw_stack!G$2:G$100000, "&gt;="&amp;DATE(2026,4,1),
  raw_stack!G$2:G$100000, "&lt;="&amp;EOMONTH(DATE(2026,4,1),0)
 ),
 IF(_xlpm.x=0, "-", _xlpm.x)
)</f>
        <v>-</v>
      </c>
      <c r="AH315" s="56" t="str">
        <f>_xlfn.LET(
 _xlpm.x,
 _xlfn.MAXIFS(
  raw_stack!H$2:H$100000,
  raw_stack!D$2:D$100000, G315,
  raw_stack!F$2:F$100000, "Iya",
  raw_stack!G$2:G$100000, "&gt;="&amp;DATE(2026,4,1),
  raw_stack!G$2:G$100000, "&lt;="&amp;EOMONTH(DATE(2026,4,1),0)
 ),
 IF(OR(_xlpm.x=0, _xlpm.x=""), "-", _xlpm.x)
)</f>
        <v>-</v>
      </c>
    </row>
    <row r="316" spans="1:34">
      <c r="A316" s="48">
        <v>315</v>
      </c>
      <c r="B316" s="49" t="str">
        <f t="shared" si="5"/>
        <v>32542</v>
      </c>
      <c r="C316" s="50" t="s">
        <v>46</v>
      </c>
      <c r="D316" s="51" t="s">
        <v>704</v>
      </c>
      <c r="E316" s="51" t="s">
        <v>51</v>
      </c>
      <c r="F316" s="49" t="s">
        <v>117</v>
      </c>
      <c r="G316" s="49" t="s">
        <v>432</v>
      </c>
      <c r="H316" s="49" t="s">
        <v>48</v>
      </c>
      <c r="I316" s="49" t="s">
        <v>52</v>
      </c>
      <c r="J316" s="52">
        <v>3880000</v>
      </c>
      <c r="K316" s="53">
        <v>45990</v>
      </c>
      <c r="L316" s="53">
        <v>47085</v>
      </c>
      <c r="M316" s="53">
        <v>46080</v>
      </c>
      <c r="N316" s="49" t="s">
        <v>50</v>
      </c>
      <c r="O316" s="54" t="str">
        <f>_xlfn.LET(
 _xlpm.x,
 _xlfn.MAXIFS(
  raw_stack!G$2:G$100000,
  raw_stack!D$2:D$100000, G316,
  raw_stack!F$2:F$100000, "Iya",
  raw_stack!G$2:G$100000, "&gt;="&amp;DATE(2025,7,1),
  raw_stack!G$2:G$100000, "&lt;="&amp;EOMONTH(DATE(2025,7,1),0)
 ),
 IF(_xlpm.x=0, "-", _xlpm.x)
)</f>
        <v>-</v>
      </c>
      <c r="P316" s="65" t="str">
        <f>_xlfn.LET(
 _xlpm.x,
 _xlfn.MAXIFS(
  raw_stack!H$2:H$100000,
  raw_stack!D$2:D$100000, G316,
  raw_stack!F$2:F$100000, "Iya",
  raw_stack!G$2:G$100000, "&gt;="&amp;DATE(2025,7,1),
  raw_stack!G$2:G$100000, "&lt;="&amp;EOMONTH(DATE(2025,7,1),0)
 ),
 IF(OR(_xlpm.x=0, _xlpm.x=""), "-", _xlpm.x)
)</f>
        <v>-</v>
      </c>
      <c r="Q316" s="54" t="str">
        <f>_xlfn.LET(
 _xlpm.x,
 _xlfn.MAXIFS(
  raw_stack!G$2:G$99411,
  raw_stack!D$2:D$99411, G316,
  raw_stack!F$2:F$99411, "Iya",
  raw_stack!G$2:G$99411, "&gt;="&amp;DATE(2025,8,1),
  raw_stack!G$2:G$99411, "&lt;="&amp;EOMONTH(DATE(2025,8,1),0)
 ),
 IF(_xlpm.x=0, "-", _xlpm.x)
)</f>
        <v>-</v>
      </c>
      <c r="R316" s="65" t="str">
        <f>_xlfn.LET(
 _xlpm.x,
 _xlfn.MAXIFS(
  raw_stack!H$2:H$100000,
  raw_stack!D$2:D$100000, G316,
  raw_stack!F$2:F$100000, "Iya",
  raw_stack!G$2:G$100000, "&gt;="&amp;DATE(2025,8,1),
  raw_stack!G$2:G$100000, "&lt;="&amp;EOMONTH(DATE(2025,8,1),0)
 ),
 IF(OR(_xlpm.x=0, _xlpm.x=""), "-", _xlpm.x)
)</f>
        <v>-</v>
      </c>
      <c r="S316" s="54" t="str">
        <f>_xlfn.LET(
 _xlpm.x,
 _xlfn.MAXIFS(
  raw_stack!G$2:G$99411,
  raw_stack!D$2:D$99411, G316,
  raw_stack!F$2:F$99411, "Iya",
  raw_stack!G$2:G$99411, "&gt;="&amp;DATE(2025,9,1),
  raw_stack!G$2:G$99411, "&lt;="&amp;EOMONTH(DATE(2025,9,1),0)
 ),
 IF(_xlpm.x=0, "-", _xlpm.x)
)</f>
        <v>-</v>
      </c>
      <c r="T316" s="65" t="str">
        <f>_xlfn.LET(
 _xlpm.x,
 _xlfn.MAXIFS(
  raw_stack!H$2:H$100000,
  raw_stack!D$2:D$100000, G316,
  raw_stack!F$2:F$100000, "Iya",
  raw_stack!G$2:G$100000, "&gt;="&amp;DATE(2025,9,1),
  raw_stack!G$2:G$100000, "&lt;="&amp;EOMONTH(DATE(2025,9,1),0)
 ),
 IF(OR(_xlpm.x=0, _xlpm.x=""), "-", _xlpm.x)
)</f>
        <v>-</v>
      </c>
      <c r="U316" s="54" t="str">
        <f>_xlfn.LET(
 _xlpm.x,
 _xlfn.MAXIFS(
  raw_stack!G$2:G$99411,
  raw_stack!D$2:D$99411, G316,
  raw_stack!F$2:F$99411, "Iya",
  raw_stack!G$2:G$99411, "&gt;="&amp;DATE(2025,10,1),
  raw_stack!G$2:G$99411, "&lt;="&amp;EOMONTH(DATE(2025,10,1),0)
 ),
 IF(_xlpm.x=0, "-", _xlpm.x)
)</f>
        <v>-</v>
      </c>
      <c r="V316" s="65" t="str">
        <f>_xlfn.LET(
 _xlpm.x,
 _xlfn.MAXIFS(
  raw_stack!H$2:H$100000,
  raw_stack!D$2:D$100000, G316,
  raw_stack!F$2:F$100000, "Iya",
  raw_stack!G$2:G$100000, "&gt;="&amp;DATE(2025,10,1),
  raw_stack!G$2:G$100000, "&lt;="&amp;EOMONTH(DATE(2025,10,1),0)
 ),
 IF(OR(_xlpm.x=0, _xlpm.x=""), "-", _xlpm.x)
)</f>
        <v>-</v>
      </c>
      <c r="W316" s="55">
        <f>_xlfn.LET(
 _xlpm.x,
 _xlfn.MAXIFS(
  raw_stack!G$2:G$99411,
  raw_stack!D$2:D$99411, G316,
  raw_stack!F$2:F$99411, "Iya",
  raw_stack!G$2:G$99411, "&gt;="&amp;DATE(2025,11,1),
  raw_stack!G$2:G$99411, "&lt;="&amp;EOMONTH(DATE(2025,11,1),0)
 ),
 IF(_xlpm.x=0, "-", _xlpm.x)
)</f>
        <v>45990</v>
      </c>
      <c r="X316" s="56">
        <f>_xlfn.LET(
 _xlpm.x,
 _xlfn.MAXIFS(
  raw_stack!H$2:H$100000,
  raw_stack!D$2:D$100000, G316,
  raw_stack!F$2:F$100000, "Iya",
  raw_stack!G$2:G$100000, "&gt;="&amp;DATE(2025,11,1),
  raw_stack!G$2:G$100000, "&lt;="&amp;EOMONTH(DATE(2025,11,1),0)
 ),
 IF(OR(_xlpm.x=0, _xlpm.x=""), "-", _xlpm.x)
)</f>
        <v>323</v>
      </c>
      <c r="Y316" s="55" t="str">
        <f>_xlfn.LET(
 _xlpm.x,
 _xlfn.MAXIFS(
  raw_stack!G$2:G$99411,
  raw_stack!D$2:D$99411, G316,
  raw_stack!F$2:F$99411, "Iya",
  raw_stack!G$2:G$99411, "&gt;="&amp;DATE(2025,12,1),
  raw_stack!G$2:G$99411, "&lt;="&amp;EOMONTH(DATE(2025,12,1),0)
 ),
 IF(_xlpm.x=0, "-", _xlpm.x)
)</f>
        <v>-</v>
      </c>
      <c r="Z316" s="56" t="str">
        <f>_xlfn.LET(
 _xlpm.x,
 _xlfn.MAXIFS(
  raw_stack!H$2:H$100000,
  raw_stack!D$2:D$100000, G316,
  raw_stack!F$2:F$100000, "Iya",
  raw_stack!G$2:G$100000, "&gt;="&amp;DATE(2025,12,1),
  raw_stack!G$2:G$100000, "&lt;="&amp;EOMONTH(DATE(2025,12,1),0)
 ),
 IF(OR(_xlpm.x=0, _xlpm.x=""), "-", _xlpm.x)
)</f>
        <v>-</v>
      </c>
      <c r="AA316" s="55" t="str">
        <f>_xlfn.LET(
 _xlpm.x,
 _xlfn.MAXIFS(
  raw_stack!G$2:G$99411,
  raw_stack!D$2:D$99411, G316,
  raw_stack!F$2:F$99411, "Iya",
  raw_stack!G$2:G$99411, "&gt;="&amp;DATE(2026,1,1),
  raw_stack!G$2:G$99411, "&lt;="&amp;EOMONTH(DATE(2026,1,1),0)
 ),
 IF(_xlpm.x=0, "-", _xlpm.x)
)</f>
        <v>-</v>
      </c>
      <c r="AB316" s="56" t="str">
        <f>_xlfn.LET(
 _xlpm.x,
 _xlfn.MAXIFS(
  raw_stack!H$2:H$100000,
  raw_stack!D$2:D$100000, G316,
  raw_stack!F$2:F$100000, "Iya",
  raw_stack!G$2:G$100000, "&gt;="&amp;DATE(2026,1,1),
  raw_stack!G$2:G$100000, "&lt;="&amp;EOMONTH(DATE(2026,1,1),0)
 ),
 IF(OR(_xlpm.x=0, _xlpm.x=""), "-", _xlpm.x)
)</f>
        <v>-</v>
      </c>
      <c r="AC316" s="55" t="str">
        <f>_xlfn.LET(
 _xlpm.x,
 _xlfn.MAXIFS(
  raw_stack!G$2:G$99411,
  raw_stack!D$2:D$99411, G316,
  raw_stack!F$2:F$99411, "Iya",
  raw_stack!G$2:G$99411, "&gt;="&amp;DATE(2026,2,1),
  raw_stack!G$2:G$99411, "&lt;="&amp;EOMONTH(DATE(2026,2,1),0)
 ),
 IF(_xlpm.x=0, "-", _xlpm.x)
)</f>
        <v>-</v>
      </c>
      <c r="AD316" s="56" t="str">
        <f>_xlfn.LET(
 _xlpm.x,
 _xlfn.MAXIFS(
  raw_stack!H$2:H$100000,
  raw_stack!D$2:D$100000, G316,
  raw_stack!F$2:F$100000, "Iya",
  raw_stack!G$2:G$100000, "&gt;="&amp;DATE(2026,2,1),
  raw_stack!G$2:G$100000, "&lt;="&amp;EOMONTH(DATE(2026,2,1),0)
 ),
 IF(OR(_xlpm.x=0, _xlpm.x=""), "-", _xlpm.x)
)</f>
        <v>-</v>
      </c>
      <c r="AE316" s="55" t="str">
        <f>_xlfn.LET(
 _xlpm.x,
 _xlfn.MAXIFS(
  raw_stack!G$2:G$100000,
  raw_stack!D$2:D$100000, G316,
  raw_stack!F$2:F$100000, "Iya",
  raw_stack!G$2:G$100000, "&gt;="&amp;DATE(2026,3,1),
  raw_stack!G$2:G$100000, "&lt;="&amp;EOMONTH(DATE(2026,3,1),0)
 ),
 IF(_xlpm.x=0, "-", _xlpm.x)
)</f>
        <v>-</v>
      </c>
      <c r="AF316" s="56" t="str">
        <f>_xlfn.LET(
 _xlpm.x,
 _xlfn.MAXIFS(
  raw_stack!H$2:H$100000,
  raw_stack!D$2:D$100000, G316,
  raw_stack!F$2:F$100000, "Iya",
  raw_stack!G$2:G$100000, "&gt;="&amp;DATE(2026,3,1),
  raw_stack!G$2:G$100000, "&lt;="&amp;EOMONTH(DATE(2026,3,1),0)
 ),
 IF(OR(_xlpm.x=0, _xlpm.x=""), "-", _xlpm.x)
)</f>
        <v>-</v>
      </c>
      <c r="AG316" s="55" t="str">
        <f>_xlfn.LET(
 _xlpm.x,
 _xlfn.MAXIFS(
  raw_stack!G$2:G$100000,
  raw_stack!D$2:D$100000, G316,
  raw_stack!F$2:F$100000, "Iya",
  raw_stack!G$2:G$100000, "&gt;="&amp;DATE(2026,4,1),
  raw_stack!G$2:G$100000, "&lt;="&amp;EOMONTH(DATE(2026,4,1),0)
 ),
 IF(_xlpm.x=0, "-", _xlpm.x)
)</f>
        <v>-</v>
      </c>
      <c r="AH316" s="56" t="str">
        <f>_xlfn.LET(
 _xlpm.x,
 _xlfn.MAXIFS(
  raw_stack!H$2:H$100000,
  raw_stack!D$2:D$100000, G316,
  raw_stack!F$2:F$100000, "Iya",
  raw_stack!G$2:G$100000, "&gt;="&amp;DATE(2026,4,1),
  raw_stack!G$2:G$100000, "&lt;="&amp;EOMONTH(DATE(2026,4,1),0)
 ),
 IF(OR(_xlpm.x=0, _xlpm.x=""), "-", _xlpm.x)
)</f>
        <v>-</v>
      </c>
    </row>
    <row r="317" spans="1:34">
      <c r="A317" s="48">
        <v>316</v>
      </c>
      <c r="B317" s="49" t="str">
        <f t="shared" si="5"/>
        <v>24770</v>
      </c>
      <c r="C317" s="50" t="s">
        <v>46</v>
      </c>
      <c r="D317" s="51" t="s">
        <v>705</v>
      </c>
      <c r="E317" s="51" t="s">
        <v>53</v>
      </c>
      <c r="F317" s="49" t="s">
        <v>117</v>
      </c>
      <c r="G317" s="49" t="s">
        <v>433</v>
      </c>
      <c r="H317" s="49" t="s">
        <v>48</v>
      </c>
      <c r="I317" s="49" t="s">
        <v>52</v>
      </c>
      <c r="J317" s="52">
        <v>3860000</v>
      </c>
      <c r="K317" s="53">
        <v>45994</v>
      </c>
      <c r="L317" s="53">
        <v>47089</v>
      </c>
      <c r="M317" s="53">
        <v>46083</v>
      </c>
      <c r="N317" s="49" t="s">
        <v>50</v>
      </c>
      <c r="O317" s="54" t="str">
        <f>_xlfn.LET(
 _xlpm.x,
 _xlfn.MAXIFS(
  raw_stack!G$2:G$100000,
  raw_stack!D$2:D$100000, G317,
  raw_stack!F$2:F$100000, "Iya",
  raw_stack!G$2:G$100000, "&gt;="&amp;DATE(2025,7,1),
  raw_stack!G$2:G$100000, "&lt;="&amp;EOMONTH(DATE(2025,7,1),0)
 ),
 IF(_xlpm.x=0, "-", _xlpm.x)
)</f>
        <v>-</v>
      </c>
      <c r="P317" s="65" t="str">
        <f>_xlfn.LET(
 _xlpm.x,
 _xlfn.MAXIFS(
  raw_stack!H$2:H$100000,
  raw_stack!D$2:D$100000, G317,
  raw_stack!F$2:F$100000, "Iya",
  raw_stack!G$2:G$100000, "&gt;="&amp;DATE(2025,7,1),
  raw_stack!G$2:G$100000, "&lt;="&amp;EOMONTH(DATE(2025,7,1),0)
 ),
 IF(OR(_xlpm.x=0, _xlpm.x=""), "-", _xlpm.x)
)</f>
        <v>-</v>
      </c>
      <c r="Q317" s="54" t="str">
        <f>_xlfn.LET(
 _xlpm.x,
 _xlfn.MAXIFS(
  raw_stack!G$2:G$99411,
  raw_stack!D$2:D$99411, G317,
  raw_stack!F$2:F$99411, "Iya",
  raw_stack!G$2:G$99411, "&gt;="&amp;DATE(2025,8,1),
  raw_stack!G$2:G$99411, "&lt;="&amp;EOMONTH(DATE(2025,8,1),0)
 ),
 IF(_xlpm.x=0, "-", _xlpm.x)
)</f>
        <v>-</v>
      </c>
      <c r="R317" s="65" t="str">
        <f>_xlfn.LET(
 _xlpm.x,
 _xlfn.MAXIFS(
  raw_stack!H$2:H$100000,
  raw_stack!D$2:D$100000, G317,
  raw_stack!F$2:F$100000, "Iya",
  raw_stack!G$2:G$100000, "&gt;="&amp;DATE(2025,8,1),
  raw_stack!G$2:G$100000, "&lt;="&amp;EOMONTH(DATE(2025,8,1),0)
 ),
 IF(OR(_xlpm.x=0, _xlpm.x=""), "-", _xlpm.x)
)</f>
        <v>-</v>
      </c>
      <c r="S317" s="54" t="str">
        <f>_xlfn.LET(
 _xlpm.x,
 _xlfn.MAXIFS(
  raw_stack!G$2:G$99411,
  raw_stack!D$2:D$99411, G317,
  raw_stack!F$2:F$99411, "Iya",
  raw_stack!G$2:G$99411, "&gt;="&amp;DATE(2025,9,1),
  raw_stack!G$2:G$99411, "&lt;="&amp;EOMONTH(DATE(2025,9,1),0)
 ),
 IF(_xlpm.x=0, "-", _xlpm.x)
)</f>
        <v>-</v>
      </c>
      <c r="T317" s="65" t="str">
        <f>_xlfn.LET(
 _xlpm.x,
 _xlfn.MAXIFS(
  raw_stack!H$2:H$100000,
  raw_stack!D$2:D$100000, G317,
  raw_stack!F$2:F$100000, "Iya",
  raw_stack!G$2:G$100000, "&gt;="&amp;DATE(2025,9,1),
  raw_stack!G$2:G$100000, "&lt;="&amp;EOMONTH(DATE(2025,9,1),0)
 ),
 IF(OR(_xlpm.x=0, _xlpm.x=""), "-", _xlpm.x)
)</f>
        <v>-</v>
      </c>
      <c r="U317" s="54" t="str">
        <f>_xlfn.LET(
 _xlpm.x,
 _xlfn.MAXIFS(
  raw_stack!G$2:G$99411,
  raw_stack!D$2:D$99411, G317,
  raw_stack!F$2:F$99411, "Iya",
  raw_stack!G$2:G$99411, "&gt;="&amp;DATE(2025,10,1),
  raw_stack!G$2:G$99411, "&lt;="&amp;EOMONTH(DATE(2025,10,1),0)
 ),
 IF(_xlpm.x=0, "-", _xlpm.x)
)</f>
        <v>-</v>
      </c>
      <c r="V317" s="65" t="str">
        <f>_xlfn.LET(
 _xlpm.x,
 _xlfn.MAXIFS(
  raw_stack!H$2:H$100000,
  raw_stack!D$2:D$100000, G317,
  raw_stack!F$2:F$100000, "Iya",
  raw_stack!G$2:G$100000, "&gt;="&amp;DATE(2025,10,1),
  raw_stack!G$2:G$100000, "&lt;="&amp;EOMONTH(DATE(2025,10,1),0)
 ),
 IF(OR(_xlpm.x=0, _xlpm.x=""), "-", _xlpm.x)
)</f>
        <v>-</v>
      </c>
      <c r="W317" s="55" t="str">
        <f>_xlfn.LET(
 _xlpm.x,
 _xlfn.MAXIFS(
  raw_stack!G$2:G$99411,
  raw_stack!D$2:D$99411, G317,
  raw_stack!F$2:F$99411, "Iya",
  raw_stack!G$2:G$99411, "&gt;="&amp;DATE(2025,11,1),
  raw_stack!G$2:G$99411, "&lt;="&amp;EOMONTH(DATE(2025,11,1),0)
 ),
 IF(_xlpm.x=0, "-", _xlpm.x)
)</f>
        <v>-</v>
      </c>
      <c r="X317" s="56" t="str">
        <f>_xlfn.LET(
 _xlpm.x,
 _xlfn.MAXIFS(
  raw_stack!H$2:H$100000,
  raw_stack!D$2:D$100000, G317,
  raw_stack!F$2:F$100000, "Iya",
  raw_stack!G$2:G$100000, "&gt;="&amp;DATE(2025,11,1),
  raw_stack!G$2:G$100000, "&lt;="&amp;EOMONTH(DATE(2025,11,1),0)
 ),
 IF(OR(_xlpm.x=0, _xlpm.x=""), "-", _xlpm.x)
)</f>
        <v>-</v>
      </c>
      <c r="Y317" s="55">
        <f>_xlfn.LET(
 _xlpm.x,
 _xlfn.MAXIFS(
  raw_stack!G$2:G$99411,
  raw_stack!D$2:D$99411, G317,
  raw_stack!F$2:F$99411, "Iya",
  raw_stack!G$2:G$99411, "&gt;="&amp;DATE(2025,12,1),
  raw_stack!G$2:G$99411, "&lt;="&amp;EOMONTH(DATE(2025,12,1),0)
 ),
 IF(_xlpm.x=0, "-", _xlpm.x)
)</f>
        <v>46013</v>
      </c>
      <c r="Z317" s="56">
        <f>_xlfn.LET(
 _xlpm.x,
 _xlfn.MAXIFS(
  raw_stack!H$2:H$100000,
  raw_stack!D$2:D$100000, G317,
  raw_stack!F$2:F$100000, "Iya",
  raw_stack!G$2:G$100000, "&gt;="&amp;DATE(2025,12,1),
  raw_stack!G$2:G$100000, "&lt;="&amp;EOMONTH(DATE(2025,12,1),0)
 ),
 IF(OR(_xlpm.x=0, _xlpm.x=""), "-", _xlpm.x)
)</f>
        <v>903</v>
      </c>
      <c r="AA317" s="55">
        <f>_xlfn.LET(
 _xlpm.x,
 _xlfn.MAXIFS(
  raw_stack!G$2:G$99411,
  raw_stack!D$2:D$99411, G317,
  raw_stack!F$2:F$99411, "Iya",
  raw_stack!G$2:G$99411, "&gt;="&amp;DATE(2026,1,1),
  raw_stack!G$2:G$99411, "&lt;="&amp;EOMONTH(DATE(2026,1,1),0)
 ),
 IF(_xlpm.x=0, "-", _xlpm.x)
)</f>
        <v>46050</v>
      </c>
      <c r="AB317" s="56">
        <f>_xlfn.LET(
 _xlpm.x,
 _xlfn.MAXIFS(
  raw_stack!H$2:H$100000,
  raw_stack!D$2:D$100000, G317,
  raw_stack!F$2:F$100000, "Iya",
  raw_stack!G$2:G$100000, "&gt;="&amp;DATE(2026,1,1),
  raw_stack!G$2:G$100000, "&lt;="&amp;EOMONTH(DATE(2026,1,1),0)
 ),
 IF(OR(_xlpm.x=0, _xlpm.x=""), "-", _xlpm.x)
)</f>
        <v>2024</v>
      </c>
      <c r="AC317" s="55" t="str">
        <f>_xlfn.LET(
 _xlpm.x,
 _xlfn.MAXIFS(
  raw_stack!G$2:G$99411,
  raw_stack!D$2:D$99411, G317,
  raw_stack!F$2:F$99411, "Iya",
  raw_stack!G$2:G$99411, "&gt;="&amp;DATE(2026,2,1),
  raw_stack!G$2:G$99411, "&lt;="&amp;EOMONTH(DATE(2026,2,1),0)
 ),
 IF(_xlpm.x=0, "-", _xlpm.x)
)</f>
        <v>-</v>
      </c>
      <c r="AD317" s="56" t="str">
        <f>_xlfn.LET(
 _xlpm.x,
 _xlfn.MAXIFS(
  raw_stack!H$2:H$100000,
  raw_stack!D$2:D$100000, G317,
  raw_stack!F$2:F$100000, "Iya",
  raw_stack!G$2:G$100000, "&gt;="&amp;DATE(2026,2,1),
  raw_stack!G$2:G$100000, "&lt;="&amp;EOMONTH(DATE(2026,2,1),0)
 ),
 IF(OR(_xlpm.x=0, _xlpm.x=""), "-", _xlpm.x)
)</f>
        <v>-</v>
      </c>
      <c r="AE317" s="55">
        <f>_xlfn.LET(
 _xlpm.x,
 _xlfn.MAXIFS(
  raw_stack!G$2:G$100000,
  raw_stack!D$2:D$100000, G317,
  raw_stack!F$2:F$100000, "Iya",
  raw_stack!G$2:G$100000, "&gt;="&amp;DATE(2026,3,1),
  raw_stack!G$2:G$100000, "&lt;="&amp;EOMONTH(DATE(2026,3,1),0)
 ),
 IF(_xlpm.x=0, "-", _xlpm.x)
)</f>
        <v>46107</v>
      </c>
      <c r="AF317" s="56">
        <f>_xlfn.LET(
 _xlpm.x,
 _xlfn.MAXIFS(
  raw_stack!H$2:H$100000,
  raw_stack!D$2:D$100000, G317,
  raw_stack!F$2:F$100000, "Iya",
  raw_stack!G$2:G$100000, "&gt;="&amp;DATE(2026,3,1),
  raw_stack!G$2:G$100000, "&lt;="&amp;EOMONTH(DATE(2026,3,1),0)
 ),
 IF(OR(_xlpm.x=0, _xlpm.x=""), "-", _xlpm.x)
)</f>
        <v>2864</v>
      </c>
      <c r="AG317" s="55" t="str">
        <f>_xlfn.LET(
 _xlpm.x,
 _xlfn.MAXIFS(
  raw_stack!G$2:G$100000,
  raw_stack!D$2:D$100000, G317,
  raw_stack!F$2:F$100000, "Iya",
  raw_stack!G$2:G$100000, "&gt;="&amp;DATE(2026,4,1),
  raw_stack!G$2:G$100000, "&lt;="&amp;EOMONTH(DATE(2026,4,1),0)
 ),
 IF(_xlpm.x=0, "-", _xlpm.x)
)</f>
        <v>-</v>
      </c>
      <c r="AH317" s="56" t="str">
        <f>_xlfn.LET(
 _xlpm.x,
 _xlfn.MAXIFS(
  raw_stack!H$2:H$100000,
  raw_stack!D$2:D$100000, G317,
  raw_stack!F$2:F$100000, "Iya",
  raw_stack!G$2:G$100000, "&gt;="&amp;DATE(2026,4,1),
  raw_stack!G$2:G$100000, "&lt;="&amp;EOMONTH(DATE(2026,4,1),0)
 ),
 IF(OR(_xlpm.x=0, _xlpm.x=""), "-", _xlpm.x)
)</f>
        <v>-</v>
      </c>
    </row>
    <row r="318" spans="1:34">
      <c r="A318" s="48">
        <v>317</v>
      </c>
      <c r="B318" s="49" t="str">
        <f t="shared" si="5"/>
        <v>72992</v>
      </c>
      <c r="C318" s="50" t="s">
        <v>46</v>
      </c>
      <c r="D318" s="51" t="s">
        <v>706</v>
      </c>
      <c r="E318" s="51" t="s">
        <v>53</v>
      </c>
      <c r="F318" s="49" t="s">
        <v>117</v>
      </c>
      <c r="G318" s="49" t="s">
        <v>434</v>
      </c>
      <c r="H318" s="49" t="s">
        <v>48</v>
      </c>
      <c r="I318" s="49" t="s">
        <v>52</v>
      </c>
      <c r="J318" s="52">
        <v>3860000</v>
      </c>
      <c r="K318" s="53">
        <v>45996</v>
      </c>
      <c r="L318" s="53">
        <v>47091</v>
      </c>
      <c r="M318" s="53">
        <v>46057</v>
      </c>
      <c r="N318" s="49" t="s">
        <v>50</v>
      </c>
      <c r="O318" s="54" t="str">
        <f>_xlfn.LET(
 _xlpm.x,
 _xlfn.MAXIFS(
  raw_stack!G$2:G$100000,
  raw_stack!D$2:D$100000, G318,
  raw_stack!F$2:F$100000, "Iya",
  raw_stack!G$2:G$100000, "&gt;="&amp;DATE(2025,7,1),
  raw_stack!G$2:G$100000, "&lt;="&amp;EOMONTH(DATE(2025,7,1),0)
 ),
 IF(_xlpm.x=0, "-", _xlpm.x)
)</f>
        <v>-</v>
      </c>
      <c r="P318" s="65" t="str">
        <f>_xlfn.LET(
 _xlpm.x,
 _xlfn.MAXIFS(
  raw_stack!H$2:H$100000,
  raw_stack!D$2:D$100000, G318,
  raw_stack!F$2:F$100000, "Iya",
  raw_stack!G$2:G$100000, "&gt;="&amp;DATE(2025,7,1),
  raw_stack!G$2:G$100000, "&lt;="&amp;EOMONTH(DATE(2025,7,1),0)
 ),
 IF(OR(_xlpm.x=0, _xlpm.x=""), "-", _xlpm.x)
)</f>
        <v>-</v>
      </c>
      <c r="Q318" s="54" t="str">
        <f>_xlfn.LET(
 _xlpm.x,
 _xlfn.MAXIFS(
  raw_stack!G$2:G$99411,
  raw_stack!D$2:D$99411, G318,
  raw_stack!F$2:F$99411, "Iya",
  raw_stack!G$2:G$99411, "&gt;="&amp;DATE(2025,8,1),
  raw_stack!G$2:G$99411, "&lt;="&amp;EOMONTH(DATE(2025,8,1),0)
 ),
 IF(_xlpm.x=0, "-", _xlpm.x)
)</f>
        <v>-</v>
      </c>
      <c r="R318" s="65" t="str">
        <f>_xlfn.LET(
 _xlpm.x,
 _xlfn.MAXIFS(
  raw_stack!H$2:H$100000,
  raw_stack!D$2:D$100000, G318,
  raw_stack!F$2:F$100000, "Iya",
  raw_stack!G$2:G$100000, "&gt;="&amp;DATE(2025,8,1),
  raw_stack!G$2:G$100000, "&lt;="&amp;EOMONTH(DATE(2025,8,1),0)
 ),
 IF(OR(_xlpm.x=0, _xlpm.x=""), "-", _xlpm.x)
)</f>
        <v>-</v>
      </c>
      <c r="S318" s="54" t="str">
        <f>_xlfn.LET(
 _xlpm.x,
 _xlfn.MAXIFS(
  raw_stack!G$2:G$99411,
  raw_stack!D$2:D$99411, G318,
  raw_stack!F$2:F$99411, "Iya",
  raw_stack!G$2:G$99411, "&gt;="&amp;DATE(2025,9,1),
  raw_stack!G$2:G$99411, "&lt;="&amp;EOMONTH(DATE(2025,9,1),0)
 ),
 IF(_xlpm.x=0, "-", _xlpm.x)
)</f>
        <v>-</v>
      </c>
      <c r="T318" s="65" t="str">
        <f>_xlfn.LET(
 _xlpm.x,
 _xlfn.MAXIFS(
  raw_stack!H$2:H$100000,
  raw_stack!D$2:D$100000, G318,
  raw_stack!F$2:F$100000, "Iya",
  raw_stack!G$2:G$100000, "&gt;="&amp;DATE(2025,9,1),
  raw_stack!G$2:G$100000, "&lt;="&amp;EOMONTH(DATE(2025,9,1),0)
 ),
 IF(OR(_xlpm.x=0, _xlpm.x=""), "-", _xlpm.x)
)</f>
        <v>-</v>
      </c>
      <c r="U318" s="54" t="str">
        <f>_xlfn.LET(
 _xlpm.x,
 _xlfn.MAXIFS(
  raw_stack!G$2:G$99411,
  raw_stack!D$2:D$99411, G318,
  raw_stack!F$2:F$99411, "Iya",
  raw_stack!G$2:G$99411, "&gt;="&amp;DATE(2025,10,1),
  raw_stack!G$2:G$99411, "&lt;="&amp;EOMONTH(DATE(2025,10,1),0)
 ),
 IF(_xlpm.x=0, "-", _xlpm.x)
)</f>
        <v>-</v>
      </c>
      <c r="V318" s="65" t="str">
        <f>_xlfn.LET(
 _xlpm.x,
 _xlfn.MAXIFS(
  raw_stack!H$2:H$100000,
  raw_stack!D$2:D$100000, G318,
  raw_stack!F$2:F$100000, "Iya",
  raw_stack!G$2:G$100000, "&gt;="&amp;DATE(2025,10,1),
  raw_stack!G$2:G$100000, "&lt;="&amp;EOMONTH(DATE(2025,10,1),0)
 ),
 IF(OR(_xlpm.x=0, _xlpm.x=""), "-", _xlpm.x)
)</f>
        <v>-</v>
      </c>
      <c r="W318" s="55">
        <f>_xlfn.LET(
 _xlpm.x,
 _xlfn.MAXIFS(
  raw_stack!G$2:G$99411,
  raw_stack!D$2:D$99411, G318,
  raw_stack!F$2:F$99411, "Iya",
  raw_stack!G$2:G$99411, "&gt;="&amp;DATE(2025,11,1),
  raw_stack!G$2:G$99411, "&lt;="&amp;EOMONTH(DATE(2025,11,1),0)
 ),
 IF(_xlpm.x=0, "-", _xlpm.x)
)</f>
        <v>45967</v>
      </c>
      <c r="X318" s="56">
        <f>_xlfn.LET(
 _xlpm.x,
 _xlfn.MAXIFS(
  raw_stack!H$2:H$100000,
  raw_stack!D$2:D$100000, G318,
  raw_stack!F$2:F$100000, "Iya",
  raw_stack!G$2:G$100000, "&gt;="&amp;DATE(2025,11,1),
  raw_stack!G$2:G$100000, "&lt;="&amp;EOMONTH(DATE(2025,11,1),0)
 ),
 IF(OR(_xlpm.x=0, _xlpm.x=""), "-", _xlpm.x)
)</f>
        <v>5806</v>
      </c>
      <c r="Y318" s="55" t="str">
        <f>_xlfn.LET(
 _xlpm.x,
 _xlfn.MAXIFS(
  raw_stack!G$2:G$99411,
  raw_stack!D$2:D$99411, G318,
  raw_stack!F$2:F$99411, "Iya",
  raw_stack!G$2:G$99411, "&gt;="&amp;DATE(2025,12,1),
  raw_stack!G$2:G$99411, "&lt;="&amp;EOMONTH(DATE(2025,12,1),0)
 ),
 IF(_xlpm.x=0, "-", _xlpm.x)
)</f>
        <v>-</v>
      </c>
      <c r="Z318" s="56" t="str">
        <f>_xlfn.LET(
 _xlpm.x,
 _xlfn.MAXIFS(
  raw_stack!H$2:H$100000,
  raw_stack!D$2:D$100000, G318,
  raw_stack!F$2:F$100000, "Iya",
  raw_stack!G$2:G$100000, "&gt;="&amp;DATE(2025,12,1),
  raw_stack!G$2:G$100000, "&lt;="&amp;EOMONTH(DATE(2025,12,1),0)
 ),
 IF(OR(_xlpm.x=0, _xlpm.x=""), "-", _xlpm.x)
)</f>
        <v>-</v>
      </c>
      <c r="AA318" s="55" t="str">
        <f>_xlfn.LET(
 _xlpm.x,
 _xlfn.MAXIFS(
  raw_stack!G$2:G$99411,
  raw_stack!D$2:D$99411, G318,
  raw_stack!F$2:F$99411, "Iya",
  raw_stack!G$2:G$99411, "&gt;="&amp;DATE(2026,1,1),
  raw_stack!G$2:G$99411, "&lt;="&amp;EOMONTH(DATE(2026,1,1),0)
 ),
 IF(_xlpm.x=0, "-", _xlpm.x)
)</f>
        <v>-</v>
      </c>
      <c r="AB318" s="56" t="str">
        <f>_xlfn.LET(
 _xlpm.x,
 _xlfn.MAXIFS(
  raw_stack!H$2:H$100000,
  raw_stack!D$2:D$100000, G318,
  raw_stack!F$2:F$100000, "Iya",
  raw_stack!G$2:G$100000, "&gt;="&amp;DATE(2026,1,1),
  raw_stack!G$2:G$100000, "&lt;="&amp;EOMONTH(DATE(2026,1,1),0)
 ),
 IF(OR(_xlpm.x=0, _xlpm.x=""), "-", _xlpm.x)
)</f>
        <v>-</v>
      </c>
      <c r="AC318" s="55" t="str">
        <f>_xlfn.LET(
 _xlpm.x,
 _xlfn.MAXIFS(
  raw_stack!G$2:G$99411,
  raw_stack!D$2:D$99411, G318,
  raw_stack!F$2:F$99411, "Iya",
  raw_stack!G$2:G$99411, "&gt;="&amp;DATE(2026,2,1),
  raw_stack!G$2:G$99411, "&lt;="&amp;EOMONTH(DATE(2026,2,1),0)
 ),
 IF(_xlpm.x=0, "-", _xlpm.x)
)</f>
        <v>-</v>
      </c>
      <c r="AD318" s="56" t="str">
        <f>_xlfn.LET(
 _xlpm.x,
 _xlfn.MAXIFS(
  raw_stack!H$2:H$100000,
  raw_stack!D$2:D$100000, G318,
  raw_stack!F$2:F$100000, "Iya",
  raw_stack!G$2:G$100000, "&gt;="&amp;DATE(2026,2,1),
  raw_stack!G$2:G$100000, "&lt;="&amp;EOMONTH(DATE(2026,2,1),0)
 ),
 IF(OR(_xlpm.x=0, _xlpm.x=""), "-", _xlpm.x)
)</f>
        <v>-</v>
      </c>
      <c r="AE318" s="55" t="str">
        <f>_xlfn.LET(
 _xlpm.x,
 _xlfn.MAXIFS(
  raw_stack!G$2:G$100000,
  raw_stack!D$2:D$100000, G318,
  raw_stack!F$2:F$100000, "Iya",
  raw_stack!G$2:G$100000, "&gt;="&amp;DATE(2026,3,1),
  raw_stack!G$2:G$100000, "&lt;="&amp;EOMONTH(DATE(2026,3,1),0)
 ),
 IF(_xlpm.x=0, "-", _xlpm.x)
)</f>
        <v>-</v>
      </c>
      <c r="AF318" s="56" t="str">
        <f>_xlfn.LET(
 _xlpm.x,
 _xlfn.MAXIFS(
  raw_stack!H$2:H$100000,
  raw_stack!D$2:D$100000, G318,
  raw_stack!F$2:F$100000, "Iya",
  raw_stack!G$2:G$100000, "&gt;="&amp;DATE(2026,3,1),
  raw_stack!G$2:G$100000, "&lt;="&amp;EOMONTH(DATE(2026,3,1),0)
 ),
 IF(OR(_xlpm.x=0, _xlpm.x=""), "-", _xlpm.x)
)</f>
        <v>-</v>
      </c>
      <c r="AG318" s="55" t="str">
        <f>_xlfn.LET(
 _xlpm.x,
 _xlfn.MAXIFS(
  raw_stack!G$2:G$100000,
  raw_stack!D$2:D$100000, G318,
  raw_stack!F$2:F$100000, "Iya",
  raw_stack!G$2:G$100000, "&gt;="&amp;DATE(2026,4,1),
  raw_stack!G$2:G$100000, "&lt;="&amp;EOMONTH(DATE(2026,4,1),0)
 ),
 IF(_xlpm.x=0, "-", _xlpm.x)
)</f>
        <v>-</v>
      </c>
      <c r="AH318" s="56" t="str">
        <f>_xlfn.LET(
 _xlpm.x,
 _xlfn.MAXIFS(
  raw_stack!H$2:H$100000,
  raw_stack!D$2:D$100000, G318,
  raw_stack!F$2:F$100000, "Iya",
  raw_stack!G$2:G$100000, "&gt;="&amp;DATE(2026,4,1),
  raw_stack!G$2:G$100000, "&lt;="&amp;EOMONTH(DATE(2026,4,1),0)
 ),
 IF(OR(_xlpm.x=0, _xlpm.x=""), "-", _xlpm.x)
)</f>
        <v>-</v>
      </c>
    </row>
    <row r="319" spans="1:34">
      <c r="A319" s="48">
        <v>318</v>
      </c>
      <c r="B319" s="49" t="str">
        <f t="shared" si="5"/>
        <v>88035</v>
      </c>
      <c r="C319" s="50" t="s">
        <v>46</v>
      </c>
      <c r="D319" s="51" t="s">
        <v>707</v>
      </c>
      <c r="E319" s="51" t="s">
        <v>47</v>
      </c>
      <c r="F319" s="49" t="s">
        <v>117</v>
      </c>
      <c r="G319" s="49" t="s">
        <v>435</v>
      </c>
      <c r="H319" s="49" t="s">
        <v>48</v>
      </c>
      <c r="I319" s="49" t="s">
        <v>49</v>
      </c>
      <c r="J319" s="52">
        <v>4595000</v>
      </c>
      <c r="K319" s="53">
        <v>45999</v>
      </c>
      <c r="L319" s="53">
        <v>47094</v>
      </c>
      <c r="M319" s="53">
        <v>46060</v>
      </c>
      <c r="N319" s="49" t="s">
        <v>50</v>
      </c>
      <c r="O319" s="54" t="str">
        <f>_xlfn.LET(
 _xlpm.x,
 _xlfn.MAXIFS(
  raw_stack!G$2:G$100000,
  raw_stack!D$2:D$100000, G319,
  raw_stack!F$2:F$100000, "Iya",
  raw_stack!G$2:G$100000, "&gt;="&amp;DATE(2025,7,1),
  raw_stack!G$2:G$100000, "&lt;="&amp;EOMONTH(DATE(2025,7,1),0)
 ),
 IF(_xlpm.x=0, "-", _xlpm.x)
)</f>
        <v>-</v>
      </c>
      <c r="P319" s="65" t="str">
        <f>_xlfn.LET(
 _xlpm.x,
 _xlfn.MAXIFS(
  raw_stack!H$2:H$100000,
  raw_stack!D$2:D$100000, G319,
  raw_stack!F$2:F$100000, "Iya",
  raw_stack!G$2:G$100000, "&gt;="&amp;DATE(2025,7,1),
  raw_stack!G$2:G$100000, "&lt;="&amp;EOMONTH(DATE(2025,7,1),0)
 ),
 IF(OR(_xlpm.x=0, _xlpm.x=""), "-", _xlpm.x)
)</f>
        <v>-</v>
      </c>
      <c r="Q319" s="54" t="str">
        <f>_xlfn.LET(
 _xlpm.x,
 _xlfn.MAXIFS(
  raw_stack!G$2:G$99411,
  raw_stack!D$2:D$99411, G319,
  raw_stack!F$2:F$99411, "Iya",
  raw_stack!G$2:G$99411, "&gt;="&amp;DATE(2025,8,1),
  raw_stack!G$2:G$99411, "&lt;="&amp;EOMONTH(DATE(2025,8,1),0)
 ),
 IF(_xlpm.x=0, "-", _xlpm.x)
)</f>
        <v>-</v>
      </c>
      <c r="R319" s="65" t="str">
        <f>_xlfn.LET(
 _xlpm.x,
 _xlfn.MAXIFS(
  raw_stack!H$2:H$100000,
  raw_stack!D$2:D$100000, G319,
  raw_stack!F$2:F$100000, "Iya",
  raw_stack!G$2:G$100000, "&gt;="&amp;DATE(2025,8,1),
  raw_stack!G$2:G$100000, "&lt;="&amp;EOMONTH(DATE(2025,8,1),0)
 ),
 IF(OR(_xlpm.x=0, _xlpm.x=""), "-", _xlpm.x)
)</f>
        <v>-</v>
      </c>
      <c r="S319" s="54" t="str">
        <f>_xlfn.LET(
 _xlpm.x,
 _xlfn.MAXIFS(
  raw_stack!G$2:G$99411,
  raw_stack!D$2:D$99411, G319,
  raw_stack!F$2:F$99411, "Iya",
  raw_stack!G$2:G$99411, "&gt;="&amp;DATE(2025,9,1),
  raw_stack!G$2:G$99411, "&lt;="&amp;EOMONTH(DATE(2025,9,1),0)
 ),
 IF(_xlpm.x=0, "-", _xlpm.x)
)</f>
        <v>-</v>
      </c>
      <c r="T319" s="65" t="str">
        <f>_xlfn.LET(
 _xlpm.x,
 _xlfn.MAXIFS(
  raw_stack!H$2:H$100000,
  raw_stack!D$2:D$100000, G319,
  raw_stack!F$2:F$100000, "Iya",
  raw_stack!G$2:G$100000, "&gt;="&amp;DATE(2025,9,1),
  raw_stack!G$2:G$100000, "&lt;="&amp;EOMONTH(DATE(2025,9,1),0)
 ),
 IF(OR(_xlpm.x=0, _xlpm.x=""), "-", _xlpm.x)
)</f>
        <v>-</v>
      </c>
      <c r="U319" s="54" t="str">
        <f>_xlfn.LET(
 _xlpm.x,
 _xlfn.MAXIFS(
  raw_stack!G$2:G$99411,
  raw_stack!D$2:D$99411, G319,
  raw_stack!F$2:F$99411, "Iya",
  raw_stack!G$2:G$99411, "&gt;="&amp;DATE(2025,10,1),
  raw_stack!G$2:G$99411, "&lt;="&amp;EOMONTH(DATE(2025,10,1),0)
 ),
 IF(_xlpm.x=0, "-", _xlpm.x)
)</f>
        <v>-</v>
      </c>
      <c r="V319" s="65" t="str">
        <f>_xlfn.LET(
 _xlpm.x,
 _xlfn.MAXIFS(
  raw_stack!H$2:H$100000,
  raw_stack!D$2:D$100000, G319,
  raw_stack!F$2:F$100000, "Iya",
  raw_stack!G$2:G$100000, "&gt;="&amp;DATE(2025,10,1),
  raw_stack!G$2:G$100000, "&lt;="&amp;EOMONTH(DATE(2025,10,1),0)
 ),
 IF(OR(_xlpm.x=0, _xlpm.x=""), "-", _xlpm.x)
)</f>
        <v>-</v>
      </c>
      <c r="W319" s="55" t="str">
        <f>_xlfn.LET(
 _xlpm.x,
 _xlfn.MAXIFS(
  raw_stack!G$2:G$99411,
  raw_stack!D$2:D$99411, G319,
  raw_stack!F$2:F$99411, "Iya",
  raw_stack!G$2:G$99411, "&gt;="&amp;DATE(2025,11,1),
  raw_stack!G$2:G$99411, "&lt;="&amp;EOMONTH(DATE(2025,11,1),0)
 ),
 IF(_xlpm.x=0, "-", _xlpm.x)
)</f>
        <v>-</v>
      </c>
      <c r="X319" s="56" t="str">
        <f>_xlfn.LET(
 _xlpm.x,
 _xlfn.MAXIFS(
  raw_stack!H$2:H$100000,
  raw_stack!D$2:D$100000, G319,
  raw_stack!F$2:F$100000, "Iya",
  raw_stack!G$2:G$100000, "&gt;="&amp;DATE(2025,11,1),
  raw_stack!G$2:G$100000, "&lt;="&amp;EOMONTH(DATE(2025,11,1),0)
 ),
 IF(OR(_xlpm.x=0, _xlpm.x=""), "-", _xlpm.x)
)</f>
        <v>-</v>
      </c>
      <c r="Y319" s="55">
        <f>_xlfn.LET(
 _xlpm.x,
 _xlfn.MAXIFS(
  raw_stack!G$2:G$99411,
  raw_stack!D$2:D$99411, G319,
  raw_stack!F$2:F$99411, "Iya",
  raw_stack!G$2:G$99411, "&gt;="&amp;DATE(2025,12,1),
  raw_stack!G$2:G$99411, "&lt;="&amp;EOMONTH(DATE(2025,12,1),0)
 ),
 IF(_xlpm.x=0, "-", _xlpm.x)
)</f>
        <v>45999</v>
      </c>
      <c r="Z319" s="56">
        <f>_xlfn.LET(
 _xlpm.x,
 _xlfn.MAXIFS(
  raw_stack!H$2:H$100000,
  raw_stack!D$2:D$100000, G319,
  raw_stack!F$2:F$100000, "Iya",
  raw_stack!G$2:G$100000, "&gt;="&amp;DATE(2025,12,1),
  raw_stack!G$2:G$100000, "&lt;="&amp;EOMONTH(DATE(2025,12,1),0)
 ),
 IF(OR(_xlpm.x=0, _xlpm.x=""), "-", _xlpm.x)
)</f>
        <v>6524</v>
      </c>
      <c r="AA319" s="55" t="str">
        <f>_xlfn.LET(
 _xlpm.x,
 _xlfn.MAXIFS(
  raw_stack!G$2:G$99411,
  raw_stack!D$2:D$99411, G319,
  raw_stack!F$2:F$99411, "Iya",
  raw_stack!G$2:G$99411, "&gt;="&amp;DATE(2026,1,1),
  raw_stack!G$2:G$99411, "&lt;="&amp;EOMONTH(DATE(2026,1,1),0)
 ),
 IF(_xlpm.x=0, "-", _xlpm.x)
)</f>
        <v>-</v>
      </c>
      <c r="AB319" s="56" t="str">
        <f>_xlfn.LET(
 _xlpm.x,
 _xlfn.MAXIFS(
  raw_stack!H$2:H$100000,
  raw_stack!D$2:D$100000, G319,
  raw_stack!F$2:F$100000, "Iya",
  raw_stack!G$2:G$100000, "&gt;="&amp;DATE(2026,1,1),
  raw_stack!G$2:G$100000, "&lt;="&amp;EOMONTH(DATE(2026,1,1),0)
 ),
 IF(OR(_xlpm.x=0, _xlpm.x=""), "-", _xlpm.x)
)</f>
        <v>-</v>
      </c>
      <c r="AC319" s="55" t="str">
        <f>_xlfn.LET(
 _xlpm.x,
 _xlfn.MAXIFS(
  raw_stack!G$2:G$99411,
  raw_stack!D$2:D$99411, G319,
  raw_stack!F$2:F$99411, "Iya",
  raw_stack!G$2:G$99411, "&gt;="&amp;DATE(2026,2,1),
  raw_stack!G$2:G$99411, "&lt;="&amp;EOMONTH(DATE(2026,2,1),0)
 ),
 IF(_xlpm.x=0, "-", _xlpm.x)
)</f>
        <v>-</v>
      </c>
      <c r="AD319" s="56" t="str">
        <f>_xlfn.LET(
 _xlpm.x,
 _xlfn.MAXIFS(
  raw_stack!H$2:H$100000,
  raw_stack!D$2:D$100000, G319,
  raw_stack!F$2:F$100000, "Iya",
  raw_stack!G$2:G$100000, "&gt;="&amp;DATE(2026,2,1),
  raw_stack!G$2:G$100000, "&lt;="&amp;EOMONTH(DATE(2026,2,1),0)
 ),
 IF(OR(_xlpm.x=0, _xlpm.x=""), "-", _xlpm.x)
)</f>
        <v>-</v>
      </c>
      <c r="AE319" s="55" t="str">
        <f>_xlfn.LET(
 _xlpm.x,
 _xlfn.MAXIFS(
  raw_stack!G$2:G$100000,
  raw_stack!D$2:D$100000, G319,
  raw_stack!F$2:F$100000, "Iya",
  raw_stack!G$2:G$100000, "&gt;="&amp;DATE(2026,3,1),
  raw_stack!G$2:G$100000, "&lt;="&amp;EOMONTH(DATE(2026,3,1),0)
 ),
 IF(_xlpm.x=0, "-", _xlpm.x)
)</f>
        <v>-</v>
      </c>
      <c r="AF319" s="56" t="str">
        <f>_xlfn.LET(
 _xlpm.x,
 _xlfn.MAXIFS(
  raw_stack!H$2:H$100000,
  raw_stack!D$2:D$100000, G319,
  raw_stack!F$2:F$100000, "Iya",
  raw_stack!G$2:G$100000, "&gt;="&amp;DATE(2026,3,1),
  raw_stack!G$2:G$100000, "&lt;="&amp;EOMONTH(DATE(2026,3,1),0)
 ),
 IF(OR(_xlpm.x=0, _xlpm.x=""), "-", _xlpm.x)
)</f>
        <v>-</v>
      </c>
      <c r="AG319" s="55" t="str">
        <f>_xlfn.LET(
 _xlpm.x,
 _xlfn.MAXIFS(
  raw_stack!G$2:G$100000,
  raw_stack!D$2:D$100000, G319,
  raw_stack!F$2:F$100000, "Iya",
  raw_stack!G$2:G$100000, "&gt;="&amp;DATE(2026,4,1),
  raw_stack!G$2:G$100000, "&lt;="&amp;EOMONTH(DATE(2026,4,1),0)
 ),
 IF(_xlpm.x=0, "-", _xlpm.x)
)</f>
        <v>-</v>
      </c>
      <c r="AH319" s="56" t="str">
        <f>_xlfn.LET(
 _xlpm.x,
 _xlfn.MAXIFS(
  raw_stack!H$2:H$100000,
  raw_stack!D$2:D$100000, G319,
  raw_stack!F$2:F$100000, "Iya",
  raw_stack!G$2:G$100000, "&gt;="&amp;DATE(2026,4,1),
  raw_stack!G$2:G$100000, "&lt;="&amp;EOMONTH(DATE(2026,4,1),0)
 ),
 IF(OR(_xlpm.x=0, _xlpm.x=""), "-", _xlpm.x)
)</f>
        <v>-</v>
      </c>
    </row>
    <row r="320" spans="1:34">
      <c r="A320" s="48">
        <v>319</v>
      </c>
      <c r="B320" s="49" t="str">
        <f t="shared" si="5"/>
        <v>88035</v>
      </c>
      <c r="C320" s="50" t="s">
        <v>46</v>
      </c>
      <c r="D320" s="51" t="s">
        <v>707</v>
      </c>
      <c r="E320" s="51" t="s">
        <v>54</v>
      </c>
      <c r="F320" s="49" t="s">
        <v>117</v>
      </c>
      <c r="G320" s="49" t="s">
        <v>436</v>
      </c>
      <c r="H320" s="49" t="s">
        <v>48</v>
      </c>
      <c r="I320" s="49" t="s">
        <v>52</v>
      </c>
      <c r="J320" s="52">
        <v>6600000</v>
      </c>
      <c r="K320" s="53">
        <v>45999</v>
      </c>
      <c r="L320" s="53">
        <v>47094</v>
      </c>
      <c r="M320" s="53">
        <v>46060</v>
      </c>
      <c r="N320" s="49" t="s">
        <v>50</v>
      </c>
      <c r="O320" s="54" t="str">
        <f>_xlfn.LET(
 _xlpm.x,
 _xlfn.MAXIFS(
  raw_stack!G$2:G$100000,
  raw_stack!D$2:D$100000, G320,
  raw_stack!F$2:F$100000, "Iya",
  raw_stack!G$2:G$100000, "&gt;="&amp;DATE(2025,7,1),
  raw_stack!G$2:G$100000, "&lt;="&amp;EOMONTH(DATE(2025,7,1),0)
 ),
 IF(_xlpm.x=0, "-", _xlpm.x)
)</f>
        <v>-</v>
      </c>
      <c r="P320" s="65" t="str">
        <f>_xlfn.LET(
 _xlpm.x,
 _xlfn.MAXIFS(
  raw_stack!H$2:H$100000,
  raw_stack!D$2:D$100000, G320,
  raw_stack!F$2:F$100000, "Iya",
  raw_stack!G$2:G$100000, "&gt;="&amp;DATE(2025,7,1),
  raw_stack!G$2:G$100000, "&lt;="&amp;EOMONTH(DATE(2025,7,1),0)
 ),
 IF(OR(_xlpm.x=0, _xlpm.x=""), "-", _xlpm.x)
)</f>
        <v>-</v>
      </c>
      <c r="Q320" s="54" t="str">
        <f>_xlfn.LET(
 _xlpm.x,
 _xlfn.MAXIFS(
  raw_stack!G$2:G$99411,
  raw_stack!D$2:D$99411, G320,
  raw_stack!F$2:F$99411, "Iya",
  raw_stack!G$2:G$99411, "&gt;="&amp;DATE(2025,8,1),
  raw_stack!G$2:G$99411, "&lt;="&amp;EOMONTH(DATE(2025,8,1),0)
 ),
 IF(_xlpm.x=0, "-", _xlpm.x)
)</f>
        <v>-</v>
      </c>
      <c r="R320" s="65" t="str">
        <f>_xlfn.LET(
 _xlpm.x,
 _xlfn.MAXIFS(
  raw_stack!H$2:H$100000,
  raw_stack!D$2:D$100000, G320,
  raw_stack!F$2:F$100000, "Iya",
  raw_stack!G$2:G$100000, "&gt;="&amp;DATE(2025,8,1),
  raw_stack!G$2:G$100000, "&lt;="&amp;EOMONTH(DATE(2025,8,1),0)
 ),
 IF(OR(_xlpm.x=0, _xlpm.x=""), "-", _xlpm.x)
)</f>
        <v>-</v>
      </c>
      <c r="S320" s="54" t="str">
        <f>_xlfn.LET(
 _xlpm.x,
 _xlfn.MAXIFS(
  raw_stack!G$2:G$99411,
  raw_stack!D$2:D$99411, G320,
  raw_stack!F$2:F$99411, "Iya",
  raw_stack!G$2:G$99411, "&gt;="&amp;DATE(2025,9,1),
  raw_stack!G$2:G$99411, "&lt;="&amp;EOMONTH(DATE(2025,9,1),0)
 ),
 IF(_xlpm.x=0, "-", _xlpm.x)
)</f>
        <v>-</v>
      </c>
      <c r="T320" s="65" t="str">
        <f>_xlfn.LET(
 _xlpm.x,
 _xlfn.MAXIFS(
  raw_stack!H$2:H$100000,
  raw_stack!D$2:D$100000, G320,
  raw_stack!F$2:F$100000, "Iya",
  raw_stack!G$2:G$100000, "&gt;="&amp;DATE(2025,9,1),
  raw_stack!G$2:G$100000, "&lt;="&amp;EOMONTH(DATE(2025,9,1),0)
 ),
 IF(OR(_xlpm.x=0, _xlpm.x=""), "-", _xlpm.x)
)</f>
        <v>-</v>
      </c>
      <c r="U320" s="54" t="str">
        <f>_xlfn.LET(
 _xlpm.x,
 _xlfn.MAXIFS(
  raw_stack!G$2:G$99411,
  raw_stack!D$2:D$99411, G320,
  raw_stack!F$2:F$99411, "Iya",
  raw_stack!G$2:G$99411, "&gt;="&amp;DATE(2025,10,1),
  raw_stack!G$2:G$99411, "&lt;="&amp;EOMONTH(DATE(2025,10,1),0)
 ),
 IF(_xlpm.x=0, "-", _xlpm.x)
)</f>
        <v>-</v>
      </c>
      <c r="V320" s="65" t="str">
        <f>_xlfn.LET(
 _xlpm.x,
 _xlfn.MAXIFS(
  raw_stack!H$2:H$100000,
  raw_stack!D$2:D$100000, G320,
  raw_stack!F$2:F$100000, "Iya",
  raw_stack!G$2:G$100000, "&gt;="&amp;DATE(2025,10,1),
  raw_stack!G$2:G$100000, "&lt;="&amp;EOMONTH(DATE(2025,10,1),0)
 ),
 IF(OR(_xlpm.x=0, _xlpm.x=""), "-", _xlpm.x)
)</f>
        <v>-</v>
      </c>
      <c r="W320" s="55" t="str">
        <f>_xlfn.LET(
 _xlpm.x,
 _xlfn.MAXIFS(
  raw_stack!G$2:G$99411,
  raw_stack!D$2:D$99411, G320,
  raw_stack!F$2:F$99411, "Iya",
  raw_stack!G$2:G$99411, "&gt;="&amp;DATE(2025,11,1),
  raw_stack!G$2:G$99411, "&lt;="&amp;EOMONTH(DATE(2025,11,1),0)
 ),
 IF(_xlpm.x=0, "-", _xlpm.x)
)</f>
        <v>-</v>
      </c>
      <c r="X320" s="56" t="str">
        <f>_xlfn.LET(
 _xlpm.x,
 _xlfn.MAXIFS(
  raw_stack!H$2:H$100000,
  raw_stack!D$2:D$100000, G320,
  raw_stack!F$2:F$100000, "Iya",
  raw_stack!G$2:G$100000, "&gt;="&amp;DATE(2025,11,1),
  raw_stack!G$2:G$100000, "&lt;="&amp;EOMONTH(DATE(2025,11,1),0)
 ),
 IF(OR(_xlpm.x=0, _xlpm.x=""), "-", _xlpm.x)
)</f>
        <v>-</v>
      </c>
      <c r="Y320" s="55">
        <f>_xlfn.LET(
 _xlpm.x,
 _xlfn.MAXIFS(
  raw_stack!G$2:G$99411,
  raw_stack!D$2:D$99411, G320,
  raw_stack!F$2:F$99411, "Iya",
  raw_stack!G$2:G$99411, "&gt;="&amp;DATE(2025,12,1),
  raw_stack!G$2:G$99411, "&lt;="&amp;EOMONTH(DATE(2025,12,1),0)
 ),
 IF(_xlpm.x=0, "-", _xlpm.x)
)</f>
        <v>45999</v>
      </c>
      <c r="Z320" s="56">
        <f>_xlfn.LET(
 _xlpm.x,
 _xlfn.MAXIFS(
  raw_stack!H$2:H$100000,
  raw_stack!D$2:D$100000, G320,
  raw_stack!F$2:F$100000, "Iya",
  raw_stack!G$2:G$100000, "&gt;="&amp;DATE(2025,12,1),
  raw_stack!G$2:G$100000, "&lt;="&amp;EOMONTH(DATE(2025,12,1),0)
 ),
 IF(OR(_xlpm.x=0, _xlpm.x=""), "-", _xlpm.x)
)</f>
        <v>2015</v>
      </c>
      <c r="AA320" s="55" t="str">
        <f>_xlfn.LET(
 _xlpm.x,
 _xlfn.MAXIFS(
  raw_stack!G$2:G$99411,
  raw_stack!D$2:D$99411, G320,
  raw_stack!F$2:F$99411, "Iya",
  raw_stack!G$2:G$99411, "&gt;="&amp;DATE(2026,1,1),
  raw_stack!G$2:G$99411, "&lt;="&amp;EOMONTH(DATE(2026,1,1),0)
 ),
 IF(_xlpm.x=0, "-", _xlpm.x)
)</f>
        <v>-</v>
      </c>
      <c r="AB320" s="56" t="str">
        <f>_xlfn.LET(
 _xlpm.x,
 _xlfn.MAXIFS(
  raw_stack!H$2:H$100000,
  raw_stack!D$2:D$100000, G320,
  raw_stack!F$2:F$100000, "Iya",
  raw_stack!G$2:G$100000, "&gt;="&amp;DATE(2026,1,1),
  raw_stack!G$2:G$100000, "&lt;="&amp;EOMONTH(DATE(2026,1,1),0)
 ),
 IF(OR(_xlpm.x=0, _xlpm.x=""), "-", _xlpm.x)
)</f>
        <v>-</v>
      </c>
      <c r="AC320" s="55" t="str">
        <f>_xlfn.LET(
 _xlpm.x,
 _xlfn.MAXIFS(
  raw_stack!G$2:G$99411,
  raw_stack!D$2:D$99411, G320,
  raw_stack!F$2:F$99411, "Iya",
  raw_stack!G$2:G$99411, "&gt;="&amp;DATE(2026,2,1),
  raw_stack!G$2:G$99411, "&lt;="&amp;EOMONTH(DATE(2026,2,1),0)
 ),
 IF(_xlpm.x=0, "-", _xlpm.x)
)</f>
        <v>-</v>
      </c>
      <c r="AD320" s="56" t="str">
        <f>_xlfn.LET(
 _xlpm.x,
 _xlfn.MAXIFS(
  raw_stack!H$2:H$100000,
  raw_stack!D$2:D$100000, G320,
  raw_stack!F$2:F$100000, "Iya",
  raw_stack!G$2:G$100000, "&gt;="&amp;DATE(2026,2,1),
  raw_stack!G$2:G$100000, "&lt;="&amp;EOMONTH(DATE(2026,2,1),0)
 ),
 IF(OR(_xlpm.x=0, _xlpm.x=""), "-", _xlpm.x)
)</f>
        <v>-</v>
      </c>
      <c r="AE320" s="55" t="str">
        <f>_xlfn.LET(
 _xlpm.x,
 _xlfn.MAXIFS(
  raw_stack!G$2:G$100000,
  raw_stack!D$2:D$100000, G320,
  raw_stack!F$2:F$100000, "Iya",
  raw_stack!G$2:G$100000, "&gt;="&amp;DATE(2026,3,1),
  raw_stack!G$2:G$100000, "&lt;="&amp;EOMONTH(DATE(2026,3,1),0)
 ),
 IF(_xlpm.x=0, "-", _xlpm.x)
)</f>
        <v>-</v>
      </c>
      <c r="AF320" s="56" t="str">
        <f>_xlfn.LET(
 _xlpm.x,
 _xlfn.MAXIFS(
  raw_stack!H$2:H$100000,
  raw_stack!D$2:D$100000, G320,
  raw_stack!F$2:F$100000, "Iya",
  raw_stack!G$2:G$100000, "&gt;="&amp;DATE(2026,3,1),
  raw_stack!G$2:G$100000, "&lt;="&amp;EOMONTH(DATE(2026,3,1),0)
 ),
 IF(OR(_xlpm.x=0, _xlpm.x=""), "-", _xlpm.x)
)</f>
        <v>-</v>
      </c>
      <c r="AG320" s="55" t="str">
        <f>_xlfn.LET(
 _xlpm.x,
 _xlfn.MAXIFS(
  raw_stack!G$2:G$100000,
  raw_stack!D$2:D$100000, G320,
  raw_stack!F$2:F$100000, "Iya",
  raw_stack!G$2:G$100000, "&gt;="&amp;DATE(2026,4,1),
  raw_stack!G$2:G$100000, "&lt;="&amp;EOMONTH(DATE(2026,4,1),0)
 ),
 IF(_xlpm.x=0, "-", _xlpm.x)
)</f>
        <v>-</v>
      </c>
      <c r="AH320" s="56" t="str">
        <f>_xlfn.LET(
 _xlpm.x,
 _xlfn.MAXIFS(
  raw_stack!H$2:H$100000,
  raw_stack!D$2:D$100000, G320,
  raw_stack!F$2:F$100000, "Iya",
  raw_stack!G$2:G$100000, "&gt;="&amp;DATE(2026,4,1),
  raw_stack!G$2:G$100000, "&lt;="&amp;EOMONTH(DATE(2026,4,1),0)
 ),
 IF(OR(_xlpm.x=0, _xlpm.x=""), "-", _xlpm.x)
)</f>
        <v>-</v>
      </c>
    </row>
    <row r="321" spans="1:34">
      <c r="A321" s="48">
        <v>320</v>
      </c>
      <c r="B321" s="49" t="str">
        <f t="shared" si="5"/>
        <v>79200</v>
      </c>
      <c r="C321" s="50" t="s">
        <v>46</v>
      </c>
      <c r="D321" s="51" t="s">
        <v>709</v>
      </c>
      <c r="E321" s="51" t="s">
        <v>56</v>
      </c>
      <c r="F321" s="49" t="s">
        <v>117</v>
      </c>
      <c r="G321" s="49" t="s">
        <v>437</v>
      </c>
      <c r="H321" s="49" t="s">
        <v>48</v>
      </c>
      <c r="I321" s="49" t="s">
        <v>52</v>
      </c>
      <c r="J321" s="52">
        <v>7310000</v>
      </c>
      <c r="K321" s="53">
        <v>46000</v>
      </c>
      <c r="L321" s="53">
        <v>47095</v>
      </c>
      <c r="M321" s="53">
        <v>46061</v>
      </c>
      <c r="N321" s="49" t="s">
        <v>50</v>
      </c>
      <c r="O321" s="54" t="str">
        <f>_xlfn.LET(
 _xlpm.x,
 _xlfn.MAXIFS(
  raw_stack!G$2:G$100000,
  raw_stack!D$2:D$100000, G321,
  raw_stack!F$2:F$100000, "Iya",
  raw_stack!G$2:G$100000, "&gt;="&amp;DATE(2025,7,1),
  raw_stack!G$2:G$100000, "&lt;="&amp;EOMONTH(DATE(2025,7,1),0)
 ),
 IF(_xlpm.x=0, "-", _xlpm.x)
)</f>
        <v>-</v>
      </c>
      <c r="P321" s="65" t="str">
        <f>_xlfn.LET(
 _xlpm.x,
 _xlfn.MAXIFS(
  raw_stack!H$2:H$100000,
  raw_stack!D$2:D$100000, G321,
  raw_stack!F$2:F$100000, "Iya",
  raw_stack!G$2:G$100000, "&gt;="&amp;DATE(2025,7,1),
  raw_stack!G$2:G$100000, "&lt;="&amp;EOMONTH(DATE(2025,7,1),0)
 ),
 IF(OR(_xlpm.x=0, _xlpm.x=""), "-", _xlpm.x)
)</f>
        <v>-</v>
      </c>
      <c r="Q321" s="54" t="str">
        <f>_xlfn.LET(
 _xlpm.x,
 _xlfn.MAXIFS(
  raw_stack!G$2:G$99411,
  raw_stack!D$2:D$99411, G321,
  raw_stack!F$2:F$99411, "Iya",
  raw_stack!G$2:G$99411, "&gt;="&amp;DATE(2025,8,1),
  raw_stack!G$2:G$99411, "&lt;="&amp;EOMONTH(DATE(2025,8,1),0)
 ),
 IF(_xlpm.x=0, "-", _xlpm.x)
)</f>
        <v>-</v>
      </c>
      <c r="R321" s="65" t="str">
        <f>_xlfn.LET(
 _xlpm.x,
 _xlfn.MAXIFS(
  raw_stack!H$2:H$100000,
  raw_stack!D$2:D$100000, G321,
  raw_stack!F$2:F$100000, "Iya",
  raw_stack!G$2:G$100000, "&gt;="&amp;DATE(2025,8,1),
  raw_stack!G$2:G$100000, "&lt;="&amp;EOMONTH(DATE(2025,8,1),0)
 ),
 IF(OR(_xlpm.x=0, _xlpm.x=""), "-", _xlpm.x)
)</f>
        <v>-</v>
      </c>
      <c r="S321" s="54" t="str">
        <f>_xlfn.LET(
 _xlpm.x,
 _xlfn.MAXIFS(
  raw_stack!G$2:G$99411,
  raw_stack!D$2:D$99411, G321,
  raw_stack!F$2:F$99411, "Iya",
  raw_stack!G$2:G$99411, "&gt;="&amp;DATE(2025,9,1),
  raw_stack!G$2:G$99411, "&lt;="&amp;EOMONTH(DATE(2025,9,1),0)
 ),
 IF(_xlpm.x=0, "-", _xlpm.x)
)</f>
        <v>-</v>
      </c>
      <c r="T321" s="65" t="str">
        <f>_xlfn.LET(
 _xlpm.x,
 _xlfn.MAXIFS(
  raw_stack!H$2:H$100000,
  raw_stack!D$2:D$100000, G321,
  raw_stack!F$2:F$100000, "Iya",
  raw_stack!G$2:G$100000, "&gt;="&amp;DATE(2025,9,1),
  raw_stack!G$2:G$100000, "&lt;="&amp;EOMONTH(DATE(2025,9,1),0)
 ),
 IF(OR(_xlpm.x=0, _xlpm.x=""), "-", _xlpm.x)
)</f>
        <v>-</v>
      </c>
      <c r="U321" s="54" t="str">
        <f>_xlfn.LET(
 _xlpm.x,
 _xlfn.MAXIFS(
  raw_stack!G$2:G$99411,
  raw_stack!D$2:D$99411, G321,
  raw_stack!F$2:F$99411, "Iya",
  raw_stack!G$2:G$99411, "&gt;="&amp;DATE(2025,10,1),
  raw_stack!G$2:G$99411, "&lt;="&amp;EOMONTH(DATE(2025,10,1),0)
 ),
 IF(_xlpm.x=0, "-", _xlpm.x)
)</f>
        <v>-</v>
      </c>
      <c r="V321" s="65" t="str">
        <f>_xlfn.LET(
 _xlpm.x,
 _xlfn.MAXIFS(
  raw_stack!H$2:H$100000,
  raw_stack!D$2:D$100000, G321,
  raw_stack!F$2:F$100000, "Iya",
  raw_stack!G$2:G$100000, "&gt;="&amp;DATE(2025,10,1),
  raw_stack!G$2:G$100000, "&lt;="&amp;EOMONTH(DATE(2025,10,1),0)
 ),
 IF(OR(_xlpm.x=0, _xlpm.x=""), "-", _xlpm.x)
)</f>
        <v>-</v>
      </c>
      <c r="W321" s="55" t="str">
        <f>_xlfn.LET(
 _xlpm.x,
 _xlfn.MAXIFS(
  raw_stack!G$2:G$99411,
  raw_stack!D$2:D$99411, G321,
  raw_stack!F$2:F$99411, "Iya",
  raw_stack!G$2:G$99411, "&gt;="&amp;DATE(2025,11,1),
  raw_stack!G$2:G$99411, "&lt;="&amp;EOMONTH(DATE(2025,11,1),0)
 ),
 IF(_xlpm.x=0, "-", _xlpm.x)
)</f>
        <v>-</v>
      </c>
      <c r="X321" s="56" t="str">
        <f>_xlfn.LET(
 _xlpm.x,
 _xlfn.MAXIFS(
  raw_stack!H$2:H$100000,
  raw_stack!D$2:D$100000, G321,
  raw_stack!F$2:F$100000, "Iya",
  raw_stack!G$2:G$100000, "&gt;="&amp;DATE(2025,11,1),
  raw_stack!G$2:G$100000, "&lt;="&amp;EOMONTH(DATE(2025,11,1),0)
 ),
 IF(OR(_xlpm.x=0, _xlpm.x=""), "-", _xlpm.x)
)</f>
        <v>-</v>
      </c>
      <c r="Y321" s="55">
        <f>_xlfn.LET(
 _xlpm.x,
 _xlfn.MAXIFS(
  raw_stack!G$2:G$99411,
  raw_stack!D$2:D$99411, G321,
  raw_stack!F$2:F$99411, "Iya",
  raw_stack!G$2:G$99411, "&gt;="&amp;DATE(2025,12,1),
  raw_stack!G$2:G$99411, "&lt;="&amp;EOMONTH(DATE(2025,12,1),0)
 ),
 IF(_xlpm.x=0, "-", _xlpm.x)
)</f>
        <v>45992</v>
      </c>
      <c r="Z321" s="56">
        <f>_xlfn.LET(
 _xlpm.x,
 _xlfn.MAXIFS(
  raw_stack!H$2:H$100000,
  raw_stack!D$2:D$100000, G321,
  raw_stack!F$2:F$100000, "Iya",
  raw_stack!G$2:G$100000, "&gt;="&amp;DATE(2025,12,1),
  raw_stack!G$2:G$100000, "&lt;="&amp;EOMONTH(DATE(2025,12,1),0)
 ),
 IF(OR(_xlpm.x=0, _xlpm.x=""), "-", _xlpm.x)
)</f>
        <v>975</v>
      </c>
      <c r="AA321" s="55" t="str">
        <f>_xlfn.LET(
 _xlpm.x,
 _xlfn.MAXIFS(
  raw_stack!G$2:G$99411,
  raw_stack!D$2:D$99411, G321,
  raw_stack!F$2:F$99411, "Iya",
  raw_stack!G$2:G$99411, "&gt;="&amp;DATE(2026,1,1),
  raw_stack!G$2:G$99411, "&lt;="&amp;EOMONTH(DATE(2026,1,1),0)
 ),
 IF(_xlpm.x=0, "-", _xlpm.x)
)</f>
        <v>-</v>
      </c>
      <c r="AB321" s="56" t="str">
        <f>_xlfn.LET(
 _xlpm.x,
 _xlfn.MAXIFS(
  raw_stack!H$2:H$100000,
  raw_stack!D$2:D$100000, G321,
  raw_stack!F$2:F$100000, "Iya",
  raw_stack!G$2:G$100000, "&gt;="&amp;DATE(2026,1,1),
  raw_stack!G$2:G$100000, "&lt;="&amp;EOMONTH(DATE(2026,1,1),0)
 ),
 IF(OR(_xlpm.x=0, _xlpm.x=""), "-", _xlpm.x)
)</f>
        <v>-</v>
      </c>
      <c r="AC321" s="55" t="str">
        <f>_xlfn.LET(
 _xlpm.x,
 _xlfn.MAXIFS(
  raw_stack!G$2:G$99411,
  raw_stack!D$2:D$99411, G321,
  raw_stack!F$2:F$99411, "Iya",
  raw_stack!G$2:G$99411, "&gt;="&amp;DATE(2026,2,1),
  raw_stack!G$2:G$99411, "&lt;="&amp;EOMONTH(DATE(2026,2,1),0)
 ),
 IF(_xlpm.x=0, "-", _xlpm.x)
)</f>
        <v>-</v>
      </c>
      <c r="AD321" s="56" t="str">
        <f>_xlfn.LET(
 _xlpm.x,
 _xlfn.MAXIFS(
  raw_stack!H$2:H$100000,
  raw_stack!D$2:D$100000, G321,
  raw_stack!F$2:F$100000, "Iya",
  raw_stack!G$2:G$100000, "&gt;="&amp;DATE(2026,2,1),
  raw_stack!G$2:G$100000, "&lt;="&amp;EOMONTH(DATE(2026,2,1),0)
 ),
 IF(OR(_xlpm.x=0, _xlpm.x=""), "-", _xlpm.x)
)</f>
        <v>-</v>
      </c>
      <c r="AE321" s="55" t="str">
        <f>_xlfn.LET(
 _xlpm.x,
 _xlfn.MAXIFS(
  raw_stack!G$2:G$100000,
  raw_stack!D$2:D$100000, G321,
  raw_stack!F$2:F$100000, "Iya",
  raw_stack!G$2:G$100000, "&gt;="&amp;DATE(2026,3,1),
  raw_stack!G$2:G$100000, "&lt;="&amp;EOMONTH(DATE(2026,3,1),0)
 ),
 IF(_xlpm.x=0, "-", _xlpm.x)
)</f>
        <v>-</v>
      </c>
      <c r="AF321" s="56" t="str">
        <f>_xlfn.LET(
 _xlpm.x,
 _xlfn.MAXIFS(
  raw_stack!H$2:H$100000,
  raw_stack!D$2:D$100000, G321,
  raw_stack!F$2:F$100000, "Iya",
  raw_stack!G$2:G$100000, "&gt;="&amp;DATE(2026,3,1),
  raw_stack!G$2:G$100000, "&lt;="&amp;EOMONTH(DATE(2026,3,1),0)
 ),
 IF(OR(_xlpm.x=0, _xlpm.x=""), "-", _xlpm.x)
)</f>
        <v>-</v>
      </c>
      <c r="AG321" s="55" t="str">
        <f>_xlfn.LET(
 _xlpm.x,
 _xlfn.MAXIFS(
  raw_stack!G$2:G$100000,
  raw_stack!D$2:D$100000, G321,
  raw_stack!F$2:F$100000, "Iya",
  raw_stack!G$2:G$100000, "&gt;="&amp;DATE(2026,4,1),
  raw_stack!G$2:G$100000, "&lt;="&amp;EOMONTH(DATE(2026,4,1),0)
 ),
 IF(_xlpm.x=0, "-", _xlpm.x)
)</f>
        <v>-</v>
      </c>
      <c r="AH321" s="56" t="str">
        <f>_xlfn.LET(
 _xlpm.x,
 _xlfn.MAXIFS(
  raw_stack!H$2:H$100000,
  raw_stack!D$2:D$100000, G321,
  raw_stack!F$2:F$100000, "Iya",
  raw_stack!G$2:G$100000, "&gt;="&amp;DATE(2026,4,1),
  raw_stack!G$2:G$100000, "&lt;="&amp;EOMONTH(DATE(2026,4,1),0)
 ),
 IF(OR(_xlpm.x=0, _xlpm.x=""), "-", _xlpm.x)
)</f>
        <v>-</v>
      </c>
    </row>
    <row r="322" spans="1:34">
      <c r="A322" s="48">
        <v>321</v>
      </c>
      <c r="B322" s="49" t="str">
        <f t="shared" si="5"/>
        <v>49313</v>
      </c>
      <c r="C322" s="50" t="s">
        <v>46</v>
      </c>
      <c r="D322" s="51" t="s">
        <v>579</v>
      </c>
      <c r="E322" s="51" t="s">
        <v>51</v>
      </c>
      <c r="F322" s="49" t="s">
        <v>117</v>
      </c>
      <c r="G322" s="49" t="s">
        <v>438</v>
      </c>
      <c r="H322" s="49" t="s">
        <v>48</v>
      </c>
      <c r="I322" s="49" t="s">
        <v>52</v>
      </c>
      <c r="J322" s="52">
        <v>3880000</v>
      </c>
      <c r="K322" s="53">
        <v>46008</v>
      </c>
      <c r="L322" s="53">
        <v>47103</v>
      </c>
      <c r="M322" s="53">
        <v>46069</v>
      </c>
      <c r="N322" s="49" t="s">
        <v>50</v>
      </c>
      <c r="O322" s="54" t="str">
        <f>_xlfn.LET(
 _xlpm.x,
 _xlfn.MAXIFS(
  raw_stack!G$2:G$100000,
  raw_stack!D$2:D$100000, G322,
  raw_stack!F$2:F$100000, "Iya",
  raw_stack!G$2:G$100000, "&gt;="&amp;DATE(2025,7,1),
  raw_stack!G$2:G$100000, "&lt;="&amp;EOMONTH(DATE(2025,7,1),0)
 ),
 IF(_xlpm.x=0, "-", _xlpm.x)
)</f>
        <v>-</v>
      </c>
      <c r="P322" s="65" t="str">
        <f>_xlfn.LET(
 _xlpm.x,
 _xlfn.MAXIFS(
  raw_stack!H$2:H$100000,
  raw_stack!D$2:D$100000, G322,
  raw_stack!F$2:F$100000, "Iya",
  raw_stack!G$2:G$100000, "&gt;="&amp;DATE(2025,7,1),
  raw_stack!G$2:G$100000, "&lt;="&amp;EOMONTH(DATE(2025,7,1),0)
 ),
 IF(OR(_xlpm.x=0, _xlpm.x=""), "-", _xlpm.x)
)</f>
        <v>-</v>
      </c>
      <c r="Q322" s="54" t="str">
        <f>_xlfn.LET(
 _xlpm.x,
 _xlfn.MAXIFS(
  raw_stack!G$2:G$99411,
  raw_stack!D$2:D$99411, G322,
  raw_stack!F$2:F$99411, "Iya",
  raw_stack!G$2:G$99411, "&gt;="&amp;DATE(2025,8,1),
  raw_stack!G$2:G$99411, "&lt;="&amp;EOMONTH(DATE(2025,8,1),0)
 ),
 IF(_xlpm.x=0, "-", _xlpm.x)
)</f>
        <v>-</v>
      </c>
      <c r="R322" s="65" t="str">
        <f>_xlfn.LET(
 _xlpm.x,
 _xlfn.MAXIFS(
  raw_stack!H$2:H$100000,
  raw_stack!D$2:D$100000, G322,
  raw_stack!F$2:F$100000, "Iya",
  raw_stack!G$2:G$100000, "&gt;="&amp;DATE(2025,8,1),
  raw_stack!G$2:G$100000, "&lt;="&amp;EOMONTH(DATE(2025,8,1),0)
 ),
 IF(OR(_xlpm.x=0, _xlpm.x=""), "-", _xlpm.x)
)</f>
        <v>-</v>
      </c>
      <c r="S322" s="54" t="str">
        <f>_xlfn.LET(
 _xlpm.x,
 _xlfn.MAXIFS(
  raw_stack!G$2:G$99411,
  raw_stack!D$2:D$99411, G322,
  raw_stack!F$2:F$99411, "Iya",
  raw_stack!G$2:G$99411, "&gt;="&amp;DATE(2025,9,1),
  raw_stack!G$2:G$99411, "&lt;="&amp;EOMONTH(DATE(2025,9,1),0)
 ),
 IF(_xlpm.x=0, "-", _xlpm.x)
)</f>
        <v>-</v>
      </c>
      <c r="T322" s="65" t="str">
        <f>_xlfn.LET(
 _xlpm.x,
 _xlfn.MAXIFS(
  raw_stack!H$2:H$100000,
  raw_stack!D$2:D$100000, G322,
  raw_stack!F$2:F$100000, "Iya",
  raw_stack!G$2:G$100000, "&gt;="&amp;DATE(2025,9,1),
  raw_stack!G$2:G$100000, "&lt;="&amp;EOMONTH(DATE(2025,9,1),0)
 ),
 IF(OR(_xlpm.x=0, _xlpm.x=""), "-", _xlpm.x)
)</f>
        <v>-</v>
      </c>
      <c r="U322" s="54" t="str">
        <f>_xlfn.LET(
 _xlpm.x,
 _xlfn.MAXIFS(
  raw_stack!G$2:G$99411,
  raw_stack!D$2:D$99411, G322,
  raw_stack!F$2:F$99411, "Iya",
  raw_stack!G$2:G$99411, "&gt;="&amp;DATE(2025,10,1),
  raw_stack!G$2:G$99411, "&lt;="&amp;EOMONTH(DATE(2025,10,1),0)
 ),
 IF(_xlpm.x=0, "-", _xlpm.x)
)</f>
        <v>-</v>
      </c>
      <c r="V322" s="65" t="str">
        <f>_xlfn.LET(
 _xlpm.x,
 _xlfn.MAXIFS(
  raw_stack!H$2:H$100000,
  raw_stack!D$2:D$100000, G322,
  raw_stack!F$2:F$100000, "Iya",
  raw_stack!G$2:G$100000, "&gt;="&amp;DATE(2025,10,1),
  raw_stack!G$2:G$100000, "&lt;="&amp;EOMONTH(DATE(2025,10,1),0)
 ),
 IF(OR(_xlpm.x=0, _xlpm.x=""), "-", _xlpm.x)
)</f>
        <v>-</v>
      </c>
      <c r="W322" s="55" t="str">
        <f>_xlfn.LET(
 _xlpm.x,
 _xlfn.MAXIFS(
  raw_stack!G$2:G$99411,
  raw_stack!D$2:D$99411, G322,
  raw_stack!F$2:F$99411, "Iya",
  raw_stack!G$2:G$99411, "&gt;="&amp;DATE(2025,11,1),
  raw_stack!G$2:G$99411, "&lt;="&amp;EOMONTH(DATE(2025,11,1),0)
 ),
 IF(_xlpm.x=0, "-", _xlpm.x)
)</f>
        <v>-</v>
      </c>
      <c r="X322" s="56" t="str">
        <f>_xlfn.LET(
 _xlpm.x,
 _xlfn.MAXIFS(
  raw_stack!H$2:H$100000,
  raw_stack!D$2:D$100000, G322,
  raw_stack!F$2:F$100000, "Iya",
  raw_stack!G$2:G$100000, "&gt;="&amp;DATE(2025,11,1),
  raw_stack!G$2:G$100000, "&lt;="&amp;EOMONTH(DATE(2025,11,1),0)
 ),
 IF(OR(_xlpm.x=0, _xlpm.x=""), "-", _xlpm.x)
)</f>
        <v>-</v>
      </c>
      <c r="Y322" s="55">
        <f>_xlfn.LET(
 _xlpm.x,
 _xlfn.MAXIFS(
  raw_stack!G$2:G$99411,
  raw_stack!D$2:D$99411, G322,
  raw_stack!F$2:F$99411, "Iya",
  raw_stack!G$2:G$99411, "&gt;="&amp;DATE(2025,12,1),
  raw_stack!G$2:G$99411, "&lt;="&amp;EOMONTH(DATE(2025,12,1),0)
 ),
 IF(_xlpm.x=0, "-", _xlpm.x)
)</f>
        <v>46010</v>
      </c>
      <c r="Z322" s="56">
        <f>_xlfn.LET(
 _xlpm.x,
 _xlfn.MAXIFS(
  raw_stack!H$2:H$100000,
  raw_stack!D$2:D$100000, G322,
  raw_stack!F$2:F$100000, "Iya",
  raw_stack!G$2:G$100000, "&gt;="&amp;DATE(2025,12,1),
  raw_stack!G$2:G$100000, "&lt;="&amp;EOMONTH(DATE(2025,12,1),0)
 ),
 IF(OR(_xlpm.x=0, _xlpm.x=""), "-", _xlpm.x)
)</f>
        <v>740</v>
      </c>
      <c r="AA322" s="55" t="str">
        <f>_xlfn.LET(
 _xlpm.x,
 _xlfn.MAXIFS(
  raw_stack!G$2:G$99411,
  raw_stack!D$2:D$99411, G322,
  raw_stack!F$2:F$99411, "Iya",
  raw_stack!G$2:G$99411, "&gt;="&amp;DATE(2026,1,1),
  raw_stack!G$2:G$99411, "&lt;="&amp;EOMONTH(DATE(2026,1,1),0)
 ),
 IF(_xlpm.x=0, "-", _xlpm.x)
)</f>
        <v>-</v>
      </c>
      <c r="AB322" s="56" t="str">
        <f>_xlfn.LET(
 _xlpm.x,
 _xlfn.MAXIFS(
  raw_stack!H$2:H$100000,
  raw_stack!D$2:D$100000, G322,
  raw_stack!F$2:F$100000, "Iya",
  raw_stack!G$2:G$100000, "&gt;="&amp;DATE(2026,1,1),
  raw_stack!G$2:G$100000, "&lt;="&amp;EOMONTH(DATE(2026,1,1),0)
 ),
 IF(OR(_xlpm.x=0, _xlpm.x=""), "-", _xlpm.x)
)</f>
        <v>-</v>
      </c>
      <c r="AC322" s="55" t="str">
        <f>_xlfn.LET(
 _xlpm.x,
 _xlfn.MAXIFS(
  raw_stack!G$2:G$99411,
  raw_stack!D$2:D$99411, G322,
  raw_stack!F$2:F$99411, "Iya",
  raw_stack!G$2:G$99411, "&gt;="&amp;DATE(2026,2,1),
  raw_stack!G$2:G$99411, "&lt;="&amp;EOMONTH(DATE(2026,2,1),0)
 ),
 IF(_xlpm.x=0, "-", _xlpm.x)
)</f>
        <v>-</v>
      </c>
      <c r="AD322" s="56" t="str">
        <f>_xlfn.LET(
 _xlpm.x,
 _xlfn.MAXIFS(
  raw_stack!H$2:H$100000,
  raw_stack!D$2:D$100000, G322,
  raw_stack!F$2:F$100000, "Iya",
  raw_stack!G$2:G$100000, "&gt;="&amp;DATE(2026,2,1),
  raw_stack!G$2:G$100000, "&lt;="&amp;EOMONTH(DATE(2026,2,1),0)
 ),
 IF(OR(_xlpm.x=0, _xlpm.x=""), "-", _xlpm.x)
)</f>
        <v>-</v>
      </c>
      <c r="AE322" s="55" t="str">
        <f>_xlfn.LET(
 _xlpm.x,
 _xlfn.MAXIFS(
  raw_stack!G$2:G$100000,
  raw_stack!D$2:D$100000, G322,
  raw_stack!F$2:F$100000, "Iya",
  raw_stack!G$2:G$100000, "&gt;="&amp;DATE(2026,3,1),
  raw_stack!G$2:G$100000, "&lt;="&amp;EOMONTH(DATE(2026,3,1),0)
 ),
 IF(_xlpm.x=0, "-", _xlpm.x)
)</f>
        <v>-</v>
      </c>
      <c r="AF322" s="56" t="str">
        <f>_xlfn.LET(
 _xlpm.x,
 _xlfn.MAXIFS(
  raw_stack!H$2:H$100000,
  raw_stack!D$2:D$100000, G322,
  raw_stack!F$2:F$100000, "Iya",
  raw_stack!G$2:G$100000, "&gt;="&amp;DATE(2026,3,1),
  raw_stack!G$2:G$100000, "&lt;="&amp;EOMONTH(DATE(2026,3,1),0)
 ),
 IF(OR(_xlpm.x=0, _xlpm.x=""), "-", _xlpm.x)
)</f>
        <v>-</v>
      </c>
      <c r="AG322" s="55" t="str">
        <f>_xlfn.LET(
 _xlpm.x,
 _xlfn.MAXIFS(
  raw_stack!G$2:G$100000,
  raw_stack!D$2:D$100000, G322,
  raw_stack!F$2:F$100000, "Iya",
  raw_stack!G$2:G$100000, "&gt;="&amp;DATE(2026,4,1),
  raw_stack!G$2:G$100000, "&lt;="&amp;EOMONTH(DATE(2026,4,1),0)
 ),
 IF(_xlpm.x=0, "-", _xlpm.x)
)</f>
        <v>-</v>
      </c>
      <c r="AH322" s="56" t="str">
        <f>_xlfn.LET(
 _xlpm.x,
 _xlfn.MAXIFS(
  raw_stack!H$2:H$100000,
  raw_stack!D$2:D$100000, G322,
  raw_stack!F$2:F$100000, "Iya",
  raw_stack!G$2:G$100000, "&gt;="&amp;DATE(2026,4,1),
  raw_stack!G$2:G$100000, "&lt;="&amp;EOMONTH(DATE(2026,4,1),0)
 ),
 IF(OR(_xlpm.x=0, _xlpm.x=""), "-", _xlpm.x)
)</f>
        <v>-</v>
      </c>
    </row>
    <row r="323" spans="1:34">
      <c r="A323" s="48">
        <v>322</v>
      </c>
      <c r="B323" s="49" t="str">
        <f t="shared" si="5"/>
        <v>38580</v>
      </c>
      <c r="C323" s="50" t="s">
        <v>46</v>
      </c>
      <c r="D323" s="51" t="s">
        <v>556</v>
      </c>
      <c r="E323" s="51" t="s">
        <v>51</v>
      </c>
      <c r="F323" s="49" t="s">
        <v>117</v>
      </c>
      <c r="G323" s="49" t="s">
        <v>439</v>
      </c>
      <c r="H323" s="49" t="s">
        <v>48</v>
      </c>
      <c r="I323" s="49" t="s">
        <v>52</v>
      </c>
      <c r="J323" s="52">
        <v>3880000</v>
      </c>
      <c r="K323" s="53">
        <v>46009</v>
      </c>
      <c r="L323" s="53">
        <v>47104</v>
      </c>
      <c r="M323" s="53">
        <v>46070</v>
      </c>
      <c r="N323" s="49" t="s">
        <v>50</v>
      </c>
      <c r="O323" s="54" t="str">
        <f>_xlfn.LET(
 _xlpm.x,
 _xlfn.MAXIFS(
  raw_stack!G$2:G$100000,
  raw_stack!D$2:D$100000, G323,
  raw_stack!F$2:F$100000, "Iya",
  raw_stack!G$2:G$100000, "&gt;="&amp;DATE(2025,7,1),
  raw_stack!G$2:G$100000, "&lt;="&amp;EOMONTH(DATE(2025,7,1),0)
 ),
 IF(_xlpm.x=0, "-", _xlpm.x)
)</f>
        <v>-</v>
      </c>
      <c r="P323" s="65" t="str">
        <f>_xlfn.LET(
 _xlpm.x,
 _xlfn.MAXIFS(
  raw_stack!H$2:H$100000,
  raw_stack!D$2:D$100000, G323,
  raw_stack!F$2:F$100000, "Iya",
  raw_stack!G$2:G$100000, "&gt;="&amp;DATE(2025,7,1),
  raw_stack!G$2:G$100000, "&lt;="&amp;EOMONTH(DATE(2025,7,1),0)
 ),
 IF(OR(_xlpm.x=0, _xlpm.x=""), "-", _xlpm.x)
)</f>
        <v>-</v>
      </c>
      <c r="Q323" s="54" t="str">
        <f>_xlfn.LET(
 _xlpm.x,
 _xlfn.MAXIFS(
  raw_stack!G$2:G$99411,
  raw_stack!D$2:D$99411, G323,
  raw_stack!F$2:F$99411, "Iya",
  raw_stack!G$2:G$99411, "&gt;="&amp;DATE(2025,8,1),
  raw_stack!G$2:G$99411, "&lt;="&amp;EOMONTH(DATE(2025,8,1),0)
 ),
 IF(_xlpm.x=0, "-", _xlpm.x)
)</f>
        <v>-</v>
      </c>
      <c r="R323" s="65" t="str">
        <f>_xlfn.LET(
 _xlpm.x,
 _xlfn.MAXIFS(
  raw_stack!H$2:H$100000,
  raw_stack!D$2:D$100000, G323,
  raw_stack!F$2:F$100000, "Iya",
  raw_stack!G$2:G$100000, "&gt;="&amp;DATE(2025,8,1),
  raw_stack!G$2:G$100000, "&lt;="&amp;EOMONTH(DATE(2025,8,1),0)
 ),
 IF(OR(_xlpm.x=0, _xlpm.x=""), "-", _xlpm.x)
)</f>
        <v>-</v>
      </c>
      <c r="S323" s="54" t="str">
        <f>_xlfn.LET(
 _xlpm.x,
 _xlfn.MAXIFS(
  raw_stack!G$2:G$99411,
  raw_stack!D$2:D$99411, G323,
  raw_stack!F$2:F$99411, "Iya",
  raw_stack!G$2:G$99411, "&gt;="&amp;DATE(2025,9,1),
  raw_stack!G$2:G$99411, "&lt;="&amp;EOMONTH(DATE(2025,9,1),0)
 ),
 IF(_xlpm.x=0, "-", _xlpm.x)
)</f>
        <v>-</v>
      </c>
      <c r="T323" s="65" t="str">
        <f>_xlfn.LET(
 _xlpm.x,
 _xlfn.MAXIFS(
  raw_stack!H$2:H$100000,
  raw_stack!D$2:D$100000, G323,
  raw_stack!F$2:F$100000, "Iya",
  raw_stack!G$2:G$100000, "&gt;="&amp;DATE(2025,9,1),
  raw_stack!G$2:G$100000, "&lt;="&amp;EOMONTH(DATE(2025,9,1),0)
 ),
 IF(OR(_xlpm.x=0, _xlpm.x=""), "-", _xlpm.x)
)</f>
        <v>-</v>
      </c>
      <c r="U323" s="54" t="str">
        <f>_xlfn.LET(
 _xlpm.x,
 _xlfn.MAXIFS(
  raw_stack!G$2:G$99411,
  raw_stack!D$2:D$99411, G323,
  raw_stack!F$2:F$99411, "Iya",
  raw_stack!G$2:G$99411, "&gt;="&amp;DATE(2025,10,1),
  raw_stack!G$2:G$99411, "&lt;="&amp;EOMONTH(DATE(2025,10,1),0)
 ),
 IF(_xlpm.x=0, "-", _xlpm.x)
)</f>
        <v>-</v>
      </c>
      <c r="V323" s="65" t="str">
        <f>_xlfn.LET(
 _xlpm.x,
 _xlfn.MAXIFS(
  raw_stack!H$2:H$100000,
  raw_stack!D$2:D$100000, G323,
  raw_stack!F$2:F$100000, "Iya",
  raw_stack!G$2:G$100000, "&gt;="&amp;DATE(2025,10,1),
  raw_stack!G$2:G$100000, "&lt;="&amp;EOMONTH(DATE(2025,10,1),0)
 ),
 IF(OR(_xlpm.x=0, _xlpm.x=""), "-", _xlpm.x)
)</f>
        <v>-</v>
      </c>
      <c r="W323" s="55">
        <f>_xlfn.LET(
 _xlpm.x,
 _xlfn.MAXIFS(
  raw_stack!G$2:G$99411,
  raw_stack!D$2:D$99411, G323,
  raw_stack!F$2:F$99411, "Iya",
  raw_stack!G$2:G$99411, "&gt;="&amp;DATE(2025,11,1),
  raw_stack!G$2:G$99411, "&lt;="&amp;EOMONTH(DATE(2025,11,1),0)
 ),
 IF(_xlpm.x=0, "-", _xlpm.x)
)</f>
        <v>45980</v>
      </c>
      <c r="X323" s="56">
        <f>_xlfn.LET(
 _xlpm.x,
 _xlfn.MAXIFS(
  raw_stack!H$2:H$100000,
  raw_stack!D$2:D$100000, G323,
  raw_stack!F$2:F$100000, "Iya",
  raw_stack!G$2:G$100000, "&gt;="&amp;DATE(2025,11,1),
  raw_stack!G$2:G$100000, "&lt;="&amp;EOMONTH(DATE(2025,11,1),0)
 ),
 IF(OR(_xlpm.x=0, _xlpm.x=""), "-", _xlpm.x)
)</f>
        <v>888</v>
      </c>
      <c r="Y323" s="55" t="str">
        <f>_xlfn.LET(
 _xlpm.x,
 _xlfn.MAXIFS(
  raw_stack!G$2:G$99411,
  raw_stack!D$2:D$99411, G323,
  raw_stack!F$2:F$99411, "Iya",
  raw_stack!G$2:G$99411, "&gt;="&amp;DATE(2025,12,1),
  raw_stack!G$2:G$99411, "&lt;="&amp;EOMONTH(DATE(2025,12,1),0)
 ),
 IF(_xlpm.x=0, "-", _xlpm.x)
)</f>
        <v>-</v>
      </c>
      <c r="Z323" s="56" t="str">
        <f>_xlfn.LET(
 _xlpm.x,
 _xlfn.MAXIFS(
  raw_stack!H$2:H$100000,
  raw_stack!D$2:D$100000, G323,
  raw_stack!F$2:F$100000, "Iya",
  raw_stack!G$2:G$100000, "&gt;="&amp;DATE(2025,12,1),
  raw_stack!G$2:G$100000, "&lt;="&amp;EOMONTH(DATE(2025,12,1),0)
 ),
 IF(OR(_xlpm.x=0, _xlpm.x=""), "-", _xlpm.x)
)</f>
        <v>-</v>
      </c>
      <c r="AA323" s="55" t="str">
        <f>_xlfn.LET(
 _xlpm.x,
 _xlfn.MAXIFS(
  raw_stack!G$2:G$99411,
  raw_stack!D$2:D$99411, G323,
  raw_stack!F$2:F$99411, "Iya",
  raw_stack!G$2:G$99411, "&gt;="&amp;DATE(2026,1,1),
  raw_stack!G$2:G$99411, "&lt;="&amp;EOMONTH(DATE(2026,1,1),0)
 ),
 IF(_xlpm.x=0, "-", _xlpm.x)
)</f>
        <v>-</v>
      </c>
      <c r="AB323" s="56" t="str">
        <f>_xlfn.LET(
 _xlpm.x,
 _xlfn.MAXIFS(
  raw_stack!H$2:H$100000,
  raw_stack!D$2:D$100000, G323,
  raw_stack!F$2:F$100000, "Iya",
  raw_stack!G$2:G$100000, "&gt;="&amp;DATE(2026,1,1),
  raw_stack!G$2:G$100000, "&lt;="&amp;EOMONTH(DATE(2026,1,1),0)
 ),
 IF(OR(_xlpm.x=0, _xlpm.x=""), "-", _xlpm.x)
)</f>
        <v>-</v>
      </c>
      <c r="AC323" s="55" t="str">
        <f>_xlfn.LET(
 _xlpm.x,
 _xlfn.MAXIFS(
  raw_stack!G$2:G$99411,
  raw_stack!D$2:D$99411, G323,
  raw_stack!F$2:F$99411, "Iya",
  raw_stack!G$2:G$99411, "&gt;="&amp;DATE(2026,2,1),
  raw_stack!G$2:G$99411, "&lt;="&amp;EOMONTH(DATE(2026,2,1),0)
 ),
 IF(_xlpm.x=0, "-", _xlpm.x)
)</f>
        <v>-</v>
      </c>
      <c r="AD323" s="56" t="str">
        <f>_xlfn.LET(
 _xlpm.x,
 _xlfn.MAXIFS(
  raw_stack!H$2:H$100000,
  raw_stack!D$2:D$100000, G323,
  raw_stack!F$2:F$100000, "Iya",
  raw_stack!G$2:G$100000, "&gt;="&amp;DATE(2026,2,1),
  raw_stack!G$2:G$100000, "&lt;="&amp;EOMONTH(DATE(2026,2,1),0)
 ),
 IF(OR(_xlpm.x=0, _xlpm.x=""), "-", _xlpm.x)
)</f>
        <v>-</v>
      </c>
      <c r="AE323" s="55" t="str">
        <f>_xlfn.LET(
 _xlpm.x,
 _xlfn.MAXIFS(
  raw_stack!G$2:G$100000,
  raw_stack!D$2:D$100000, G323,
  raw_stack!F$2:F$100000, "Iya",
  raw_stack!G$2:G$100000, "&gt;="&amp;DATE(2026,3,1),
  raw_stack!G$2:G$100000, "&lt;="&amp;EOMONTH(DATE(2026,3,1),0)
 ),
 IF(_xlpm.x=0, "-", _xlpm.x)
)</f>
        <v>-</v>
      </c>
      <c r="AF323" s="56" t="str">
        <f>_xlfn.LET(
 _xlpm.x,
 _xlfn.MAXIFS(
  raw_stack!H$2:H$100000,
  raw_stack!D$2:D$100000, G323,
  raw_stack!F$2:F$100000, "Iya",
  raw_stack!G$2:G$100000, "&gt;="&amp;DATE(2026,3,1),
  raw_stack!G$2:G$100000, "&lt;="&amp;EOMONTH(DATE(2026,3,1),0)
 ),
 IF(OR(_xlpm.x=0, _xlpm.x=""), "-", _xlpm.x)
)</f>
        <v>-</v>
      </c>
      <c r="AG323" s="55" t="str">
        <f>_xlfn.LET(
 _xlpm.x,
 _xlfn.MAXIFS(
  raw_stack!G$2:G$100000,
  raw_stack!D$2:D$100000, G323,
  raw_stack!F$2:F$100000, "Iya",
  raw_stack!G$2:G$100000, "&gt;="&amp;DATE(2026,4,1),
  raw_stack!G$2:G$100000, "&lt;="&amp;EOMONTH(DATE(2026,4,1),0)
 ),
 IF(_xlpm.x=0, "-", _xlpm.x)
)</f>
        <v>-</v>
      </c>
      <c r="AH323" s="56" t="str">
        <f>_xlfn.LET(
 _xlpm.x,
 _xlfn.MAXIFS(
  raw_stack!H$2:H$100000,
  raw_stack!D$2:D$100000, G323,
  raw_stack!F$2:F$100000, "Iya",
  raw_stack!G$2:G$100000, "&gt;="&amp;DATE(2026,4,1),
  raw_stack!G$2:G$100000, "&lt;="&amp;EOMONTH(DATE(2026,4,1),0)
 ),
 IF(OR(_xlpm.x=0, _xlpm.x=""), "-", _xlpm.x)
)</f>
        <v>-</v>
      </c>
    </row>
    <row r="324" spans="1:34">
      <c r="A324" s="48">
        <v>323</v>
      </c>
      <c r="B324" s="49" t="str">
        <f t="shared" si="5"/>
        <v>21546</v>
      </c>
      <c r="C324" s="50" t="s">
        <v>46</v>
      </c>
      <c r="D324" s="51" t="s">
        <v>710</v>
      </c>
      <c r="E324" s="51" t="s">
        <v>51</v>
      </c>
      <c r="F324" s="49" t="s">
        <v>117</v>
      </c>
      <c r="G324" s="49" t="s">
        <v>440</v>
      </c>
      <c r="H324" s="49" t="s">
        <v>48</v>
      </c>
      <c r="I324" s="49" t="s">
        <v>52</v>
      </c>
      <c r="J324" s="52">
        <v>3880000</v>
      </c>
      <c r="K324" s="53">
        <v>46009</v>
      </c>
      <c r="L324" s="53">
        <v>47104</v>
      </c>
      <c r="M324" s="53">
        <v>46070</v>
      </c>
      <c r="N324" s="49" t="s">
        <v>50</v>
      </c>
      <c r="O324" s="54" t="str">
        <f>_xlfn.LET(
 _xlpm.x,
 _xlfn.MAXIFS(
  raw_stack!G$2:G$100000,
  raw_stack!D$2:D$100000, G324,
  raw_stack!F$2:F$100000, "Iya",
  raw_stack!G$2:G$100000, "&gt;="&amp;DATE(2025,7,1),
  raw_stack!G$2:G$100000, "&lt;="&amp;EOMONTH(DATE(2025,7,1),0)
 ),
 IF(_xlpm.x=0, "-", _xlpm.x)
)</f>
        <v>-</v>
      </c>
      <c r="P324" s="65" t="str">
        <f>_xlfn.LET(
 _xlpm.x,
 _xlfn.MAXIFS(
  raw_stack!H$2:H$100000,
  raw_stack!D$2:D$100000, G324,
  raw_stack!F$2:F$100000, "Iya",
  raw_stack!G$2:G$100000, "&gt;="&amp;DATE(2025,7,1),
  raw_stack!G$2:G$100000, "&lt;="&amp;EOMONTH(DATE(2025,7,1),0)
 ),
 IF(OR(_xlpm.x=0, _xlpm.x=""), "-", _xlpm.x)
)</f>
        <v>-</v>
      </c>
      <c r="Q324" s="54" t="str">
        <f>_xlfn.LET(
 _xlpm.x,
 _xlfn.MAXIFS(
  raw_stack!G$2:G$99411,
  raw_stack!D$2:D$99411, G324,
  raw_stack!F$2:F$99411, "Iya",
  raw_stack!G$2:G$99411, "&gt;="&amp;DATE(2025,8,1),
  raw_stack!G$2:G$99411, "&lt;="&amp;EOMONTH(DATE(2025,8,1),0)
 ),
 IF(_xlpm.x=0, "-", _xlpm.x)
)</f>
        <v>-</v>
      </c>
      <c r="R324" s="65" t="str">
        <f>_xlfn.LET(
 _xlpm.x,
 _xlfn.MAXIFS(
  raw_stack!H$2:H$100000,
  raw_stack!D$2:D$100000, G324,
  raw_stack!F$2:F$100000, "Iya",
  raw_stack!G$2:G$100000, "&gt;="&amp;DATE(2025,8,1),
  raw_stack!G$2:G$100000, "&lt;="&amp;EOMONTH(DATE(2025,8,1),0)
 ),
 IF(OR(_xlpm.x=0, _xlpm.x=""), "-", _xlpm.x)
)</f>
        <v>-</v>
      </c>
      <c r="S324" s="54" t="str">
        <f>_xlfn.LET(
 _xlpm.x,
 _xlfn.MAXIFS(
  raw_stack!G$2:G$99411,
  raw_stack!D$2:D$99411, G324,
  raw_stack!F$2:F$99411, "Iya",
  raw_stack!G$2:G$99411, "&gt;="&amp;DATE(2025,9,1),
  raw_stack!G$2:G$99411, "&lt;="&amp;EOMONTH(DATE(2025,9,1),0)
 ),
 IF(_xlpm.x=0, "-", _xlpm.x)
)</f>
        <v>-</v>
      </c>
      <c r="T324" s="65" t="str">
        <f>_xlfn.LET(
 _xlpm.x,
 _xlfn.MAXIFS(
  raw_stack!H$2:H$100000,
  raw_stack!D$2:D$100000, G324,
  raw_stack!F$2:F$100000, "Iya",
  raw_stack!G$2:G$100000, "&gt;="&amp;DATE(2025,9,1),
  raw_stack!G$2:G$100000, "&lt;="&amp;EOMONTH(DATE(2025,9,1),0)
 ),
 IF(OR(_xlpm.x=0, _xlpm.x=""), "-", _xlpm.x)
)</f>
        <v>-</v>
      </c>
      <c r="U324" s="54" t="str">
        <f>_xlfn.LET(
 _xlpm.x,
 _xlfn.MAXIFS(
  raw_stack!G$2:G$99411,
  raw_stack!D$2:D$99411, G324,
  raw_stack!F$2:F$99411, "Iya",
  raw_stack!G$2:G$99411, "&gt;="&amp;DATE(2025,10,1),
  raw_stack!G$2:G$99411, "&lt;="&amp;EOMONTH(DATE(2025,10,1),0)
 ),
 IF(_xlpm.x=0, "-", _xlpm.x)
)</f>
        <v>-</v>
      </c>
      <c r="V324" s="65" t="str">
        <f>_xlfn.LET(
 _xlpm.x,
 _xlfn.MAXIFS(
  raw_stack!H$2:H$100000,
  raw_stack!D$2:D$100000, G324,
  raw_stack!F$2:F$100000, "Iya",
  raw_stack!G$2:G$100000, "&gt;="&amp;DATE(2025,10,1),
  raw_stack!G$2:G$100000, "&lt;="&amp;EOMONTH(DATE(2025,10,1),0)
 ),
 IF(OR(_xlpm.x=0, _xlpm.x=""), "-", _xlpm.x)
)</f>
        <v>-</v>
      </c>
      <c r="W324" s="55" t="str">
        <f>_xlfn.LET(
 _xlpm.x,
 _xlfn.MAXIFS(
  raw_stack!G$2:G$99411,
  raw_stack!D$2:D$99411, G324,
  raw_stack!F$2:F$99411, "Iya",
  raw_stack!G$2:G$99411, "&gt;="&amp;DATE(2025,11,1),
  raw_stack!G$2:G$99411, "&lt;="&amp;EOMONTH(DATE(2025,11,1),0)
 ),
 IF(_xlpm.x=0, "-", _xlpm.x)
)</f>
        <v>-</v>
      </c>
      <c r="X324" s="56" t="str">
        <f>_xlfn.LET(
 _xlpm.x,
 _xlfn.MAXIFS(
  raw_stack!H$2:H$100000,
  raw_stack!D$2:D$100000, G324,
  raw_stack!F$2:F$100000, "Iya",
  raw_stack!G$2:G$100000, "&gt;="&amp;DATE(2025,11,1),
  raw_stack!G$2:G$100000, "&lt;="&amp;EOMONTH(DATE(2025,11,1),0)
 ),
 IF(OR(_xlpm.x=0, _xlpm.x=""), "-", _xlpm.x)
)</f>
        <v>-</v>
      </c>
      <c r="Y324" s="55">
        <f>_xlfn.LET(
 _xlpm.x,
 _xlfn.MAXIFS(
  raw_stack!G$2:G$99411,
  raw_stack!D$2:D$99411, G324,
  raw_stack!F$2:F$99411, "Iya",
  raw_stack!G$2:G$99411, "&gt;="&amp;DATE(2025,12,1),
  raw_stack!G$2:G$99411, "&lt;="&amp;EOMONTH(DATE(2025,12,1),0)
 ),
 IF(_xlpm.x=0, "-", _xlpm.x)
)</f>
        <v>46010</v>
      </c>
      <c r="Z324" s="56">
        <f>_xlfn.LET(
 _xlpm.x,
 _xlfn.MAXIFS(
  raw_stack!H$2:H$100000,
  raw_stack!D$2:D$100000, G324,
  raw_stack!F$2:F$100000, "Iya",
  raw_stack!G$2:G$100000, "&gt;="&amp;DATE(2025,12,1),
  raw_stack!G$2:G$100000, "&lt;="&amp;EOMONTH(DATE(2025,12,1),0)
 ),
 IF(OR(_xlpm.x=0, _xlpm.x=""), "-", _xlpm.x)
)</f>
        <v>1753</v>
      </c>
      <c r="AA324" s="55" t="str">
        <f>_xlfn.LET(
 _xlpm.x,
 _xlfn.MAXIFS(
  raw_stack!G$2:G$99411,
  raw_stack!D$2:D$99411, G324,
  raw_stack!F$2:F$99411, "Iya",
  raw_stack!G$2:G$99411, "&gt;="&amp;DATE(2026,1,1),
  raw_stack!G$2:G$99411, "&lt;="&amp;EOMONTH(DATE(2026,1,1),0)
 ),
 IF(_xlpm.x=0, "-", _xlpm.x)
)</f>
        <v>-</v>
      </c>
      <c r="AB324" s="56" t="str">
        <f>_xlfn.LET(
 _xlpm.x,
 _xlfn.MAXIFS(
  raw_stack!H$2:H$100000,
  raw_stack!D$2:D$100000, G324,
  raw_stack!F$2:F$100000, "Iya",
  raw_stack!G$2:G$100000, "&gt;="&amp;DATE(2026,1,1),
  raw_stack!G$2:G$100000, "&lt;="&amp;EOMONTH(DATE(2026,1,1),0)
 ),
 IF(OR(_xlpm.x=0, _xlpm.x=""), "-", _xlpm.x)
)</f>
        <v>-</v>
      </c>
      <c r="AC324" s="55" t="str">
        <f>_xlfn.LET(
 _xlpm.x,
 _xlfn.MAXIFS(
  raw_stack!G$2:G$99411,
  raw_stack!D$2:D$99411, G324,
  raw_stack!F$2:F$99411, "Iya",
  raw_stack!G$2:G$99411, "&gt;="&amp;DATE(2026,2,1),
  raw_stack!G$2:G$99411, "&lt;="&amp;EOMONTH(DATE(2026,2,1),0)
 ),
 IF(_xlpm.x=0, "-", _xlpm.x)
)</f>
        <v>-</v>
      </c>
      <c r="AD324" s="56" t="str">
        <f>_xlfn.LET(
 _xlpm.x,
 _xlfn.MAXIFS(
  raw_stack!H$2:H$100000,
  raw_stack!D$2:D$100000, G324,
  raw_stack!F$2:F$100000, "Iya",
  raw_stack!G$2:G$100000, "&gt;="&amp;DATE(2026,2,1),
  raw_stack!G$2:G$100000, "&lt;="&amp;EOMONTH(DATE(2026,2,1),0)
 ),
 IF(OR(_xlpm.x=0, _xlpm.x=""), "-", _xlpm.x)
)</f>
        <v>-</v>
      </c>
      <c r="AE324" s="55" t="str">
        <f>_xlfn.LET(
 _xlpm.x,
 _xlfn.MAXIFS(
  raw_stack!G$2:G$100000,
  raw_stack!D$2:D$100000, G324,
  raw_stack!F$2:F$100000, "Iya",
  raw_stack!G$2:G$100000, "&gt;="&amp;DATE(2026,3,1),
  raw_stack!G$2:G$100000, "&lt;="&amp;EOMONTH(DATE(2026,3,1),0)
 ),
 IF(_xlpm.x=0, "-", _xlpm.x)
)</f>
        <v>-</v>
      </c>
      <c r="AF324" s="56" t="str">
        <f>_xlfn.LET(
 _xlpm.x,
 _xlfn.MAXIFS(
  raw_stack!H$2:H$100000,
  raw_stack!D$2:D$100000, G324,
  raw_stack!F$2:F$100000, "Iya",
  raw_stack!G$2:G$100000, "&gt;="&amp;DATE(2026,3,1),
  raw_stack!G$2:G$100000, "&lt;="&amp;EOMONTH(DATE(2026,3,1),0)
 ),
 IF(OR(_xlpm.x=0, _xlpm.x=""), "-", _xlpm.x)
)</f>
        <v>-</v>
      </c>
      <c r="AG324" s="55" t="str">
        <f>_xlfn.LET(
 _xlpm.x,
 _xlfn.MAXIFS(
  raw_stack!G$2:G$100000,
  raw_stack!D$2:D$100000, G324,
  raw_stack!F$2:F$100000, "Iya",
  raw_stack!G$2:G$100000, "&gt;="&amp;DATE(2026,4,1),
  raw_stack!G$2:G$100000, "&lt;="&amp;EOMONTH(DATE(2026,4,1),0)
 ),
 IF(_xlpm.x=0, "-", _xlpm.x)
)</f>
        <v>-</v>
      </c>
      <c r="AH324" s="56" t="str">
        <f>_xlfn.LET(
 _xlpm.x,
 _xlfn.MAXIFS(
  raw_stack!H$2:H$100000,
  raw_stack!D$2:D$100000, G324,
  raw_stack!F$2:F$100000, "Iya",
  raw_stack!G$2:G$100000, "&gt;="&amp;DATE(2026,4,1),
  raw_stack!G$2:G$100000, "&lt;="&amp;EOMONTH(DATE(2026,4,1),0)
 ),
 IF(OR(_xlpm.x=0, _xlpm.x=""), "-", _xlpm.x)
)</f>
        <v>-</v>
      </c>
    </row>
    <row r="325" spans="1:34">
      <c r="A325" s="48">
        <v>324</v>
      </c>
      <c r="B325" s="49" t="str">
        <f t="shared" si="5"/>
        <v>30396</v>
      </c>
      <c r="C325" s="50" t="s">
        <v>46</v>
      </c>
      <c r="D325" s="51" t="s">
        <v>671</v>
      </c>
      <c r="E325" s="51" t="s">
        <v>53</v>
      </c>
      <c r="F325" s="49" t="s">
        <v>117</v>
      </c>
      <c r="G325" s="49" t="s">
        <v>441</v>
      </c>
      <c r="H325" s="49" t="s">
        <v>48</v>
      </c>
      <c r="I325" s="49" t="s">
        <v>52</v>
      </c>
      <c r="J325" s="52">
        <v>3880000</v>
      </c>
      <c r="K325" s="53">
        <v>46010</v>
      </c>
      <c r="L325" s="53">
        <v>47105</v>
      </c>
      <c r="M325" s="53">
        <v>46080</v>
      </c>
      <c r="N325" s="49" t="s">
        <v>50</v>
      </c>
      <c r="O325" s="54" t="str">
        <f>_xlfn.LET(
 _xlpm.x,
 _xlfn.MAXIFS(
  raw_stack!G$2:G$100000,
  raw_stack!D$2:D$100000, G325,
  raw_stack!F$2:F$100000, "Iya",
  raw_stack!G$2:G$100000, "&gt;="&amp;DATE(2025,7,1),
  raw_stack!G$2:G$100000, "&lt;="&amp;EOMONTH(DATE(2025,7,1),0)
 ),
 IF(_xlpm.x=0, "-", _xlpm.x)
)</f>
        <v>-</v>
      </c>
      <c r="P325" s="65" t="str">
        <f>_xlfn.LET(
 _xlpm.x,
 _xlfn.MAXIFS(
  raw_stack!H$2:H$100000,
  raw_stack!D$2:D$100000, G325,
  raw_stack!F$2:F$100000, "Iya",
  raw_stack!G$2:G$100000, "&gt;="&amp;DATE(2025,7,1),
  raw_stack!G$2:G$100000, "&lt;="&amp;EOMONTH(DATE(2025,7,1),0)
 ),
 IF(OR(_xlpm.x=0, _xlpm.x=""), "-", _xlpm.x)
)</f>
        <v>-</v>
      </c>
      <c r="Q325" s="54" t="str">
        <f>_xlfn.LET(
 _xlpm.x,
 _xlfn.MAXIFS(
  raw_stack!G$2:G$99411,
  raw_stack!D$2:D$99411, G325,
  raw_stack!F$2:F$99411, "Iya",
  raw_stack!G$2:G$99411, "&gt;="&amp;DATE(2025,8,1),
  raw_stack!G$2:G$99411, "&lt;="&amp;EOMONTH(DATE(2025,8,1),0)
 ),
 IF(_xlpm.x=0, "-", _xlpm.x)
)</f>
        <v>-</v>
      </c>
      <c r="R325" s="65" t="str">
        <f>_xlfn.LET(
 _xlpm.x,
 _xlfn.MAXIFS(
  raw_stack!H$2:H$100000,
  raw_stack!D$2:D$100000, G325,
  raw_stack!F$2:F$100000, "Iya",
  raw_stack!G$2:G$100000, "&gt;="&amp;DATE(2025,8,1),
  raw_stack!G$2:G$100000, "&lt;="&amp;EOMONTH(DATE(2025,8,1),0)
 ),
 IF(OR(_xlpm.x=0, _xlpm.x=""), "-", _xlpm.x)
)</f>
        <v>-</v>
      </c>
      <c r="S325" s="54" t="str">
        <f>_xlfn.LET(
 _xlpm.x,
 _xlfn.MAXIFS(
  raw_stack!G$2:G$99411,
  raw_stack!D$2:D$99411, G325,
  raw_stack!F$2:F$99411, "Iya",
  raw_stack!G$2:G$99411, "&gt;="&amp;DATE(2025,9,1),
  raw_stack!G$2:G$99411, "&lt;="&amp;EOMONTH(DATE(2025,9,1),0)
 ),
 IF(_xlpm.x=0, "-", _xlpm.x)
)</f>
        <v>-</v>
      </c>
      <c r="T325" s="65" t="str">
        <f>_xlfn.LET(
 _xlpm.x,
 _xlfn.MAXIFS(
  raw_stack!H$2:H$100000,
  raw_stack!D$2:D$100000, G325,
  raw_stack!F$2:F$100000, "Iya",
  raw_stack!G$2:G$100000, "&gt;="&amp;DATE(2025,9,1),
  raw_stack!G$2:G$100000, "&lt;="&amp;EOMONTH(DATE(2025,9,1),0)
 ),
 IF(OR(_xlpm.x=0, _xlpm.x=""), "-", _xlpm.x)
)</f>
        <v>-</v>
      </c>
      <c r="U325" s="54" t="str">
        <f>_xlfn.LET(
 _xlpm.x,
 _xlfn.MAXIFS(
  raw_stack!G$2:G$99411,
  raw_stack!D$2:D$99411, G325,
  raw_stack!F$2:F$99411, "Iya",
  raw_stack!G$2:G$99411, "&gt;="&amp;DATE(2025,10,1),
  raw_stack!G$2:G$99411, "&lt;="&amp;EOMONTH(DATE(2025,10,1),0)
 ),
 IF(_xlpm.x=0, "-", _xlpm.x)
)</f>
        <v>-</v>
      </c>
      <c r="V325" s="65" t="str">
        <f>_xlfn.LET(
 _xlpm.x,
 _xlfn.MAXIFS(
  raw_stack!H$2:H$100000,
  raw_stack!D$2:D$100000, G325,
  raw_stack!F$2:F$100000, "Iya",
  raw_stack!G$2:G$100000, "&gt;="&amp;DATE(2025,10,1),
  raw_stack!G$2:G$100000, "&lt;="&amp;EOMONTH(DATE(2025,10,1),0)
 ),
 IF(OR(_xlpm.x=0, _xlpm.x=""), "-", _xlpm.x)
)</f>
        <v>-</v>
      </c>
      <c r="W325" s="55">
        <f>_xlfn.LET(
 _xlpm.x,
 _xlfn.MAXIFS(
  raw_stack!G$2:G$99411,
  raw_stack!D$2:D$99411, G325,
  raw_stack!F$2:F$99411, "Iya",
  raw_stack!G$2:G$99411, "&gt;="&amp;DATE(2025,11,1),
  raw_stack!G$2:G$99411, "&lt;="&amp;EOMONTH(DATE(2025,11,1),0)
 ),
 IF(_xlpm.x=0, "-", _xlpm.x)
)</f>
        <v>45980</v>
      </c>
      <c r="X325" s="56">
        <f>_xlfn.LET(
 _xlpm.x,
 _xlfn.MAXIFS(
  raw_stack!H$2:H$100000,
  raw_stack!D$2:D$100000, G325,
  raw_stack!F$2:F$100000, "Iya",
  raw_stack!G$2:G$100000, "&gt;="&amp;DATE(2025,11,1),
  raw_stack!G$2:G$100000, "&lt;="&amp;EOMONTH(DATE(2025,11,1),0)
 ),
 IF(OR(_xlpm.x=0, _xlpm.x=""), "-", _xlpm.x)
)</f>
        <v>3553</v>
      </c>
      <c r="Y325" s="55">
        <f>_xlfn.LET(
 _xlpm.x,
 _xlfn.MAXIFS(
  raw_stack!G$2:G$99411,
  raw_stack!D$2:D$99411, G325,
  raw_stack!F$2:F$99411, "Iya",
  raw_stack!G$2:G$99411, "&gt;="&amp;DATE(2025,12,1),
  raw_stack!G$2:G$99411, "&lt;="&amp;EOMONTH(DATE(2025,12,1),0)
 ),
 IF(_xlpm.x=0, "-", _xlpm.x)
)</f>
        <v>46010</v>
      </c>
      <c r="Z325" s="56">
        <f>_xlfn.LET(
 _xlpm.x,
 _xlfn.MAXIFS(
  raw_stack!H$2:H$100000,
  raw_stack!D$2:D$100000, G325,
  raw_stack!F$2:F$100000, "Iya",
  raw_stack!G$2:G$100000, "&gt;="&amp;DATE(2025,12,1),
  raw_stack!G$2:G$100000, "&lt;="&amp;EOMONTH(DATE(2025,12,1),0)
 ),
 IF(OR(_xlpm.x=0, _xlpm.x=""), "-", _xlpm.x)
)</f>
        <v>923</v>
      </c>
      <c r="AA325" s="55" t="str">
        <f>_xlfn.LET(
 _xlpm.x,
 _xlfn.MAXIFS(
  raw_stack!G$2:G$99411,
  raw_stack!D$2:D$99411, G325,
  raw_stack!F$2:F$99411, "Iya",
  raw_stack!G$2:G$99411, "&gt;="&amp;DATE(2026,1,1),
  raw_stack!G$2:G$99411, "&lt;="&amp;EOMONTH(DATE(2026,1,1),0)
 ),
 IF(_xlpm.x=0, "-", _xlpm.x)
)</f>
        <v>-</v>
      </c>
      <c r="AB325" s="56" t="str">
        <f>_xlfn.LET(
 _xlpm.x,
 _xlfn.MAXIFS(
  raw_stack!H$2:H$100000,
  raw_stack!D$2:D$100000, G325,
  raw_stack!F$2:F$100000, "Iya",
  raw_stack!G$2:G$100000, "&gt;="&amp;DATE(2026,1,1),
  raw_stack!G$2:G$100000, "&lt;="&amp;EOMONTH(DATE(2026,1,1),0)
 ),
 IF(OR(_xlpm.x=0, _xlpm.x=""), "-", _xlpm.x)
)</f>
        <v>-</v>
      </c>
      <c r="AC325" s="55" t="str">
        <f>_xlfn.LET(
 _xlpm.x,
 _xlfn.MAXIFS(
  raw_stack!G$2:G$99411,
  raw_stack!D$2:D$99411, G325,
  raw_stack!F$2:F$99411, "Iya",
  raw_stack!G$2:G$99411, "&gt;="&amp;DATE(2026,2,1),
  raw_stack!G$2:G$99411, "&lt;="&amp;EOMONTH(DATE(2026,2,1),0)
 ),
 IF(_xlpm.x=0, "-", _xlpm.x)
)</f>
        <v>-</v>
      </c>
      <c r="AD325" s="56" t="str">
        <f>_xlfn.LET(
 _xlpm.x,
 _xlfn.MAXIFS(
  raw_stack!H$2:H$100000,
  raw_stack!D$2:D$100000, G325,
  raw_stack!F$2:F$100000, "Iya",
  raw_stack!G$2:G$100000, "&gt;="&amp;DATE(2026,2,1),
  raw_stack!G$2:G$100000, "&lt;="&amp;EOMONTH(DATE(2026,2,1),0)
 ),
 IF(OR(_xlpm.x=0, _xlpm.x=""), "-", _xlpm.x)
)</f>
        <v>-</v>
      </c>
      <c r="AE325" s="55" t="str">
        <f>_xlfn.LET(
 _xlpm.x,
 _xlfn.MAXIFS(
  raw_stack!G$2:G$100000,
  raw_stack!D$2:D$100000, G325,
  raw_stack!F$2:F$100000, "Iya",
  raw_stack!G$2:G$100000, "&gt;="&amp;DATE(2026,3,1),
  raw_stack!G$2:G$100000, "&lt;="&amp;EOMONTH(DATE(2026,3,1),0)
 ),
 IF(_xlpm.x=0, "-", _xlpm.x)
)</f>
        <v>-</v>
      </c>
      <c r="AF325" s="56" t="str">
        <f>_xlfn.LET(
 _xlpm.x,
 _xlfn.MAXIFS(
  raw_stack!H$2:H$100000,
  raw_stack!D$2:D$100000, G325,
  raw_stack!F$2:F$100000, "Iya",
  raw_stack!G$2:G$100000, "&gt;="&amp;DATE(2026,3,1),
  raw_stack!G$2:G$100000, "&lt;="&amp;EOMONTH(DATE(2026,3,1),0)
 ),
 IF(OR(_xlpm.x=0, _xlpm.x=""), "-", _xlpm.x)
)</f>
        <v>-</v>
      </c>
      <c r="AG325" s="55" t="str">
        <f>_xlfn.LET(
 _xlpm.x,
 _xlfn.MAXIFS(
  raw_stack!G$2:G$100000,
  raw_stack!D$2:D$100000, G325,
  raw_stack!F$2:F$100000, "Iya",
  raw_stack!G$2:G$100000, "&gt;="&amp;DATE(2026,4,1),
  raw_stack!G$2:G$100000, "&lt;="&amp;EOMONTH(DATE(2026,4,1),0)
 ),
 IF(_xlpm.x=0, "-", _xlpm.x)
)</f>
        <v>-</v>
      </c>
      <c r="AH325" s="56" t="str">
        <f>_xlfn.LET(
 _xlpm.x,
 _xlfn.MAXIFS(
  raw_stack!H$2:H$100000,
  raw_stack!D$2:D$100000, G325,
  raw_stack!F$2:F$100000, "Iya",
  raw_stack!G$2:G$100000, "&gt;="&amp;DATE(2026,4,1),
  raw_stack!G$2:G$100000, "&lt;="&amp;EOMONTH(DATE(2026,4,1),0)
 ),
 IF(OR(_xlpm.x=0, _xlpm.x=""), "-", _xlpm.x)
)</f>
        <v>-</v>
      </c>
    </row>
    <row r="326" spans="1:34">
      <c r="A326" s="48">
        <v>325</v>
      </c>
      <c r="B326" s="49" t="str">
        <f t="shared" si="5"/>
        <v>41662</v>
      </c>
      <c r="C326" s="50" t="s">
        <v>46</v>
      </c>
      <c r="D326" s="51" t="s">
        <v>711</v>
      </c>
      <c r="E326" s="51" t="s">
        <v>51</v>
      </c>
      <c r="F326" s="49" t="s">
        <v>117</v>
      </c>
      <c r="G326" s="49" t="s">
        <v>442</v>
      </c>
      <c r="H326" s="49" t="s">
        <v>48</v>
      </c>
      <c r="I326" s="49" t="s">
        <v>52</v>
      </c>
      <c r="J326" s="52">
        <v>3880000</v>
      </c>
      <c r="K326" s="53">
        <v>46010</v>
      </c>
      <c r="L326" s="53">
        <v>47105</v>
      </c>
      <c r="M326" s="53">
        <v>46071</v>
      </c>
      <c r="N326" s="49" t="s">
        <v>50</v>
      </c>
      <c r="O326" s="54" t="str">
        <f>_xlfn.LET(
 _xlpm.x,
 _xlfn.MAXIFS(
  raw_stack!G$2:G$100000,
  raw_stack!D$2:D$100000, G326,
  raw_stack!F$2:F$100000, "Iya",
  raw_stack!G$2:G$100000, "&gt;="&amp;DATE(2025,7,1),
  raw_stack!G$2:G$100000, "&lt;="&amp;EOMONTH(DATE(2025,7,1),0)
 ),
 IF(_xlpm.x=0, "-", _xlpm.x)
)</f>
        <v>-</v>
      </c>
      <c r="P326" s="65" t="str">
        <f>_xlfn.LET(
 _xlpm.x,
 _xlfn.MAXIFS(
  raw_stack!H$2:H$100000,
  raw_stack!D$2:D$100000, G326,
  raw_stack!F$2:F$100000, "Iya",
  raw_stack!G$2:G$100000, "&gt;="&amp;DATE(2025,7,1),
  raw_stack!G$2:G$100000, "&lt;="&amp;EOMONTH(DATE(2025,7,1),0)
 ),
 IF(OR(_xlpm.x=0, _xlpm.x=""), "-", _xlpm.x)
)</f>
        <v>-</v>
      </c>
      <c r="Q326" s="54" t="str">
        <f>_xlfn.LET(
 _xlpm.x,
 _xlfn.MAXIFS(
  raw_stack!G$2:G$99411,
  raw_stack!D$2:D$99411, G326,
  raw_stack!F$2:F$99411, "Iya",
  raw_stack!G$2:G$99411, "&gt;="&amp;DATE(2025,8,1),
  raw_stack!G$2:G$99411, "&lt;="&amp;EOMONTH(DATE(2025,8,1),0)
 ),
 IF(_xlpm.x=0, "-", _xlpm.x)
)</f>
        <v>-</v>
      </c>
      <c r="R326" s="65" t="str">
        <f>_xlfn.LET(
 _xlpm.x,
 _xlfn.MAXIFS(
  raw_stack!H$2:H$100000,
  raw_stack!D$2:D$100000, G326,
  raw_stack!F$2:F$100000, "Iya",
  raw_stack!G$2:G$100000, "&gt;="&amp;DATE(2025,8,1),
  raw_stack!G$2:G$100000, "&lt;="&amp;EOMONTH(DATE(2025,8,1),0)
 ),
 IF(OR(_xlpm.x=0, _xlpm.x=""), "-", _xlpm.x)
)</f>
        <v>-</v>
      </c>
      <c r="S326" s="54" t="str">
        <f>_xlfn.LET(
 _xlpm.x,
 _xlfn.MAXIFS(
  raw_stack!G$2:G$99411,
  raw_stack!D$2:D$99411, G326,
  raw_stack!F$2:F$99411, "Iya",
  raw_stack!G$2:G$99411, "&gt;="&amp;DATE(2025,9,1),
  raw_stack!G$2:G$99411, "&lt;="&amp;EOMONTH(DATE(2025,9,1),0)
 ),
 IF(_xlpm.x=0, "-", _xlpm.x)
)</f>
        <v>-</v>
      </c>
      <c r="T326" s="65" t="str">
        <f>_xlfn.LET(
 _xlpm.x,
 _xlfn.MAXIFS(
  raw_stack!H$2:H$100000,
  raw_stack!D$2:D$100000, G326,
  raw_stack!F$2:F$100000, "Iya",
  raw_stack!G$2:G$100000, "&gt;="&amp;DATE(2025,9,1),
  raw_stack!G$2:G$100000, "&lt;="&amp;EOMONTH(DATE(2025,9,1),0)
 ),
 IF(OR(_xlpm.x=0, _xlpm.x=""), "-", _xlpm.x)
)</f>
        <v>-</v>
      </c>
      <c r="U326" s="54" t="str">
        <f>_xlfn.LET(
 _xlpm.x,
 _xlfn.MAXIFS(
  raw_stack!G$2:G$99411,
  raw_stack!D$2:D$99411, G326,
  raw_stack!F$2:F$99411, "Iya",
  raw_stack!G$2:G$99411, "&gt;="&amp;DATE(2025,10,1),
  raw_stack!G$2:G$99411, "&lt;="&amp;EOMONTH(DATE(2025,10,1),0)
 ),
 IF(_xlpm.x=0, "-", _xlpm.x)
)</f>
        <v>-</v>
      </c>
      <c r="V326" s="65" t="str">
        <f>_xlfn.LET(
 _xlpm.x,
 _xlfn.MAXIFS(
  raw_stack!H$2:H$100000,
  raw_stack!D$2:D$100000, G326,
  raw_stack!F$2:F$100000, "Iya",
  raw_stack!G$2:G$100000, "&gt;="&amp;DATE(2025,10,1),
  raw_stack!G$2:G$100000, "&lt;="&amp;EOMONTH(DATE(2025,10,1),0)
 ),
 IF(OR(_xlpm.x=0, _xlpm.x=""), "-", _xlpm.x)
)</f>
        <v>-</v>
      </c>
      <c r="W326" s="55" t="str">
        <f>_xlfn.LET(
 _xlpm.x,
 _xlfn.MAXIFS(
  raw_stack!G$2:G$99411,
  raw_stack!D$2:D$99411, G326,
  raw_stack!F$2:F$99411, "Iya",
  raw_stack!G$2:G$99411, "&gt;="&amp;DATE(2025,11,1),
  raw_stack!G$2:G$99411, "&lt;="&amp;EOMONTH(DATE(2025,11,1),0)
 ),
 IF(_xlpm.x=0, "-", _xlpm.x)
)</f>
        <v>-</v>
      </c>
      <c r="X326" s="56" t="str">
        <f>_xlfn.LET(
 _xlpm.x,
 _xlfn.MAXIFS(
  raw_stack!H$2:H$100000,
  raw_stack!D$2:D$100000, G326,
  raw_stack!F$2:F$100000, "Iya",
  raw_stack!G$2:G$100000, "&gt;="&amp;DATE(2025,11,1),
  raw_stack!G$2:G$100000, "&lt;="&amp;EOMONTH(DATE(2025,11,1),0)
 ),
 IF(OR(_xlpm.x=0, _xlpm.x=""), "-", _xlpm.x)
)</f>
        <v>-</v>
      </c>
      <c r="Y326" s="55">
        <f>_xlfn.LET(
 _xlpm.x,
 _xlfn.MAXIFS(
  raw_stack!G$2:G$99411,
  raw_stack!D$2:D$99411, G326,
  raw_stack!F$2:F$99411, "Iya",
  raw_stack!G$2:G$99411, "&gt;="&amp;DATE(2025,12,1),
  raw_stack!G$2:G$99411, "&lt;="&amp;EOMONTH(DATE(2025,12,1),0)
 ),
 IF(_xlpm.x=0, "-", _xlpm.x)
)</f>
        <v>46010</v>
      </c>
      <c r="Z326" s="56">
        <f>_xlfn.LET(
 _xlpm.x,
 _xlfn.MAXIFS(
  raw_stack!H$2:H$100000,
  raw_stack!D$2:D$100000, G326,
  raw_stack!F$2:F$100000, "Iya",
  raw_stack!G$2:G$100000, "&gt;="&amp;DATE(2025,12,1),
  raw_stack!G$2:G$100000, "&lt;="&amp;EOMONTH(DATE(2025,12,1),0)
 ),
 IF(OR(_xlpm.x=0, _xlpm.x=""), "-", _xlpm.x)
)</f>
        <v>2211</v>
      </c>
      <c r="AA326" s="55" t="str">
        <f>_xlfn.LET(
 _xlpm.x,
 _xlfn.MAXIFS(
  raw_stack!G$2:G$99411,
  raw_stack!D$2:D$99411, G326,
  raw_stack!F$2:F$99411, "Iya",
  raw_stack!G$2:G$99411, "&gt;="&amp;DATE(2026,1,1),
  raw_stack!G$2:G$99411, "&lt;="&amp;EOMONTH(DATE(2026,1,1),0)
 ),
 IF(_xlpm.x=0, "-", _xlpm.x)
)</f>
        <v>-</v>
      </c>
      <c r="AB326" s="56" t="str">
        <f>_xlfn.LET(
 _xlpm.x,
 _xlfn.MAXIFS(
  raw_stack!H$2:H$100000,
  raw_stack!D$2:D$100000, G326,
  raw_stack!F$2:F$100000, "Iya",
  raw_stack!G$2:G$100000, "&gt;="&amp;DATE(2026,1,1),
  raw_stack!G$2:G$100000, "&lt;="&amp;EOMONTH(DATE(2026,1,1),0)
 ),
 IF(OR(_xlpm.x=0, _xlpm.x=""), "-", _xlpm.x)
)</f>
        <v>-</v>
      </c>
      <c r="AC326" s="55" t="str">
        <f>_xlfn.LET(
 _xlpm.x,
 _xlfn.MAXIFS(
  raw_stack!G$2:G$99411,
  raw_stack!D$2:D$99411, G326,
  raw_stack!F$2:F$99411, "Iya",
  raw_stack!G$2:G$99411, "&gt;="&amp;DATE(2026,2,1),
  raw_stack!G$2:G$99411, "&lt;="&amp;EOMONTH(DATE(2026,2,1),0)
 ),
 IF(_xlpm.x=0, "-", _xlpm.x)
)</f>
        <v>-</v>
      </c>
      <c r="AD326" s="56" t="str">
        <f>_xlfn.LET(
 _xlpm.x,
 _xlfn.MAXIFS(
  raw_stack!H$2:H$100000,
  raw_stack!D$2:D$100000, G326,
  raw_stack!F$2:F$100000, "Iya",
  raw_stack!G$2:G$100000, "&gt;="&amp;DATE(2026,2,1),
  raw_stack!G$2:G$100000, "&lt;="&amp;EOMONTH(DATE(2026,2,1),0)
 ),
 IF(OR(_xlpm.x=0, _xlpm.x=""), "-", _xlpm.x)
)</f>
        <v>-</v>
      </c>
      <c r="AE326" s="55" t="str">
        <f>_xlfn.LET(
 _xlpm.x,
 _xlfn.MAXIFS(
  raw_stack!G$2:G$100000,
  raw_stack!D$2:D$100000, G326,
  raw_stack!F$2:F$100000, "Iya",
  raw_stack!G$2:G$100000, "&gt;="&amp;DATE(2026,3,1),
  raw_stack!G$2:G$100000, "&lt;="&amp;EOMONTH(DATE(2026,3,1),0)
 ),
 IF(_xlpm.x=0, "-", _xlpm.x)
)</f>
        <v>-</v>
      </c>
      <c r="AF326" s="56" t="str">
        <f>_xlfn.LET(
 _xlpm.x,
 _xlfn.MAXIFS(
  raw_stack!H$2:H$100000,
  raw_stack!D$2:D$100000, G326,
  raw_stack!F$2:F$100000, "Iya",
  raw_stack!G$2:G$100000, "&gt;="&amp;DATE(2026,3,1),
  raw_stack!G$2:G$100000, "&lt;="&amp;EOMONTH(DATE(2026,3,1),0)
 ),
 IF(OR(_xlpm.x=0, _xlpm.x=""), "-", _xlpm.x)
)</f>
        <v>-</v>
      </c>
      <c r="AG326" s="55" t="str">
        <f>_xlfn.LET(
 _xlpm.x,
 _xlfn.MAXIFS(
  raw_stack!G$2:G$100000,
  raw_stack!D$2:D$100000, G326,
  raw_stack!F$2:F$100000, "Iya",
  raw_stack!G$2:G$100000, "&gt;="&amp;DATE(2026,4,1),
  raw_stack!G$2:G$100000, "&lt;="&amp;EOMONTH(DATE(2026,4,1),0)
 ),
 IF(_xlpm.x=0, "-", _xlpm.x)
)</f>
        <v>-</v>
      </c>
      <c r="AH326" s="56" t="str">
        <f>_xlfn.LET(
 _xlpm.x,
 _xlfn.MAXIFS(
  raw_stack!H$2:H$100000,
  raw_stack!D$2:D$100000, G326,
  raw_stack!F$2:F$100000, "Iya",
  raw_stack!G$2:G$100000, "&gt;="&amp;DATE(2026,4,1),
  raw_stack!G$2:G$100000, "&lt;="&amp;EOMONTH(DATE(2026,4,1),0)
 ),
 IF(OR(_xlpm.x=0, _xlpm.x=""), "-", _xlpm.x)
)</f>
        <v>-</v>
      </c>
    </row>
    <row r="327" spans="1:34">
      <c r="A327" s="48">
        <v>326</v>
      </c>
      <c r="B327" s="49" t="str">
        <f t="shared" si="5"/>
        <v>62353</v>
      </c>
      <c r="C327" s="50" t="s">
        <v>46</v>
      </c>
      <c r="D327" s="51" t="s">
        <v>632</v>
      </c>
      <c r="E327" s="51" t="s">
        <v>47</v>
      </c>
      <c r="F327" s="49" t="s">
        <v>117</v>
      </c>
      <c r="G327" s="49" t="s">
        <v>443</v>
      </c>
      <c r="H327" s="49" t="s">
        <v>48</v>
      </c>
      <c r="I327" s="49" t="s">
        <v>49</v>
      </c>
      <c r="J327" s="52">
        <v>4475000</v>
      </c>
      <c r="K327" s="53">
        <v>46010</v>
      </c>
      <c r="L327" s="53">
        <v>47105</v>
      </c>
      <c r="M327" s="53">
        <v>46040</v>
      </c>
      <c r="N327" s="49" t="s">
        <v>50</v>
      </c>
      <c r="O327" s="54" t="str">
        <f>_xlfn.LET(
 _xlpm.x,
 _xlfn.MAXIFS(
  raw_stack!G$2:G$100000,
  raw_stack!D$2:D$100000, G327,
  raw_stack!F$2:F$100000, "Iya",
  raw_stack!G$2:G$100000, "&gt;="&amp;DATE(2025,7,1),
  raw_stack!G$2:G$100000, "&lt;="&amp;EOMONTH(DATE(2025,7,1),0)
 ),
 IF(_xlpm.x=0, "-", _xlpm.x)
)</f>
        <v>-</v>
      </c>
      <c r="P327" s="65" t="str">
        <f>_xlfn.LET(
 _xlpm.x,
 _xlfn.MAXIFS(
  raw_stack!H$2:H$100000,
  raw_stack!D$2:D$100000, G327,
  raw_stack!F$2:F$100000, "Iya",
  raw_stack!G$2:G$100000, "&gt;="&amp;DATE(2025,7,1),
  raw_stack!G$2:G$100000, "&lt;="&amp;EOMONTH(DATE(2025,7,1),0)
 ),
 IF(OR(_xlpm.x=0, _xlpm.x=""), "-", _xlpm.x)
)</f>
        <v>-</v>
      </c>
      <c r="Q327" s="54" t="str">
        <f>_xlfn.LET(
 _xlpm.x,
 _xlfn.MAXIFS(
  raw_stack!G$2:G$99411,
  raw_stack!D$2:D$99411, G327,
  raw_stack!F$2:F$99411, "Iya",
  raw_stack!G$2:G$99411, "&gt;="&amp;DATE(2025,8,1),
  raw_stack!G$2:G$99411, "&lt;="&amp;EOMONTH(DATE(2025,8,1),0)
 ),
 IF(_xlpm.x=0, "-", _xlpm.x)
)</f>
        <v>-</v>
      </c>
      <c r="R327" s="65" t="str">
        <f>_xlfn.LET(
 _xlpm.x,
 _xlfn.MAXIFS(
  raw_stack!H$2:H$100000,
  raw_stack!D$2:D$100000, G327,
  raw_stack!F$2:F$100000, "Iya",
  raw_stack!G$2:G$100000, "&gt;="&amp;DATE(2025,8,1),
  raw_stack!G$2:G$100000, "&lt;="&amp;EOMONTH(DATE(2025,8,1),0)
 ),
 IF(OR(_xlpm.x=0, _xlpm.x=""), "-", _xlpm.x)
)</f>
        <v>-</v>
      </c>
      <c r="S327" s="54" t="str">
        <f>_xlfn.LET(
 _xlpm.x,
 _xlfn.MAXIFS(
  raw_stack!G$2:G$99411,
  raw_stack!D$2:D$99411, G327,
  raw_stack!F$2:F$99411, "Iya",
  raw_stack!G$2:G$99411, "&gt;="&amp;DATE(2025,9,1),
  raw_stack!G$2:G$99411, "&lt;="&amp;EOMONTH(DATE(2025,9,1),0)
 ),
 IF(_xlpm.x=0, "-", _xlpm.x)
)</f>
        <v>-</v>
      </c>
      <c r="T327" s="65" t="str">
        <f>_xlfn.LET(
 _xlpm.x,
 _xlfn.MAXIFS(
  raw_stack!H$2:H$100000,
  raw_stack!D$2:D$100000, G327,
  raw_stack!F$2:F$100000, "Iya",
  raw_stack!G$2:G$100000, "&gt;="&amp;DATE(2025,9,1),
  raw_stack!G$2:G$100000, "&lt;="&amp;EOMONTH(DATE(2025,9,1),0)
 ),
 IF(OR(_xlpm.x=0, _xlpm.x=""), "-", _xlpm.x)
)</f>
        <v>-</v>
      </c>
      <c r="U327" s="54" t="str">
        <f>_xlfn.LET(
 _xlpm.x,
 _xlfn.MAXIFS(
  raw_stack!G$2:G$99411,
  raw_stack!D$2:D$99411, G327,
  raw_stack!F$2:F$99411, "Iya",
  raw_stack!G$2:G$99411, "&gt;="&amp;DATE(2025,10,1),
  raw_stack!G$2:G$99411, "&lt;="&amp;EOMONTH(DATE(2025,10,1),0)
 ),
 IF(_xlpm.x=0, "-", _xlpm.x)
)</f>
        <v>-</v>
      </c>
      <c r="V327" s="65" t="str">
        <f>_xlfn.LET(
 _xlpm.x,
 _xlfn.MAXIFS(
  raw_stack!H$2:H$100000,
  raw_stack!D$2:D$100000, G327,
  raw_stack!F$2:F$100000, "Iya",
  raw_stack!G$2:G$100000, "&gt;="&amp;DATE(2025,10,1),
  raw_stack!G$2:G$100000, "&lt;="&amp;EOMONTH(DATE(2025,10,1),0)
 ),
 IF(OR(_xlpm.x=0, _xlpm.x=""), "-", _xlpm.x)
)</f>
        <v>-</v>
      </c>
      <c r="W327" s="55" t="str">
        <f>_xlfn.LET(
 _xlpm.x,
 _xlfn.MAXIFS(
  raw_stack!G$2:G$99411,
  raw_stack!D$2:D$99411, G327,
  raw_stack!F$2:F$99411, "Iya",
  raw_stack!G$2:G$99411, "&gt;="&amp;DATE(2025,11,1),
  raw_stack!G$2:G$99411, "&lt;="&amp;EOMONTH(DATE(2025,11,1),0)
 ),
 IF(_xlpm.x=0, "-", _xlpm.x)
)</f>
        <v>-</v>
      </c>
      <c r="X327" s="56" t="str">
        <f>_xlfn.LET(
 _xlpm.x,
 _xlfn.MAXIFS(
  raw_stack!H$2:H$100000,
  raw_stack!D$2:D$100000, G327,
  raw_stack!F$2:F$100000, "Iya",
  raw_stack!G$2:G$100000, "&gt;="&amp;DATE(2025,11,1),
  raw_stack!G$2:G$100000, "&lt;="&amp;EOMONTH(DATE(2025,11,1),0)
 ),
 IF(OR(_xlpm.x=0, _xlpm.x=""), "-", _xlpm.x)
)</f>
        <v>-</v>
      </c>
      <c r="Y327" s="55" t="str">
        <f>_xlfn.LET(
 _xlpm.x,
 _xlfn.MAXIFS(
  raw_stack!G$2:G$99411,
  raw_stack!D$2:D$99411, G327,
  raw_stack!F$2:F$99411, "Iya",
  raw_stack!G$2:G$99411, "&gt;="&amp;DATE(2025,12,1),
  raw_stack!G$2:G$99411, "&lt;="&amp;EOMONTH(DATE(2025,12,1),0)
 ),
 IF(_xlpm.x=0, "-", _xlpm.x)
)</f>
        <v>-</v>
      </c>
      <c r="Z327" s="56" t="str">
        <f>_xlfn.LET(
 _xlpm.x,
 _xlfn.MAXIFS(
  raw_stack!H$2:H$100000,
  raw_stack!D$2:D$100000, G327,
  raw_stack!F$2:F$100000, "Iya",
  raw_stack!G$2:G$100000, "&gt;="&amp;DATE(2025,12,1),
  raw_stack!G$2:G$100000, "&lt;="&amp;EOMONTH(DATE(2025,12,1),0)
 ),
 IF(OR(_xlpm.x=0, _xlpm.x=""), "-", _xlpm.x)
)</f>
        <v>-</v>
      </c>
      <c r="AA327" s="55">
        <f>_xlfn.LET(
 _xlpm.x,
 _xlfn.MAXIFS(
  raw_stack!G$2:G$99411,
  raw_stack!D$2:D$99411, G327,
  raw_stack!F$2:F$99411, "Iya",
  raw_stack!G$2:G$99411, "&gt;="&amp;DATE(2026,1,1),
  raw_stack!G$2:G$99411, "&lt;="&amp;EOMONTH(DATE(2026,1,1),0)
 ),
 IF(_xlpm.x=0, "-", _xlpm.x)
)</f>
        <v>46048</v>
      </c>
      <c r="AB327" s="56">
        <f>_xlfn.LET(
 _xlpm.x,
 _xlfn.MAXIFS(
  raw_stack!H$2:H$100000,
  raw_stack!D$2:D$100000, G327,
  raw_stack!F$2:F$100000, "Iya",
  raw_stack!G$2:G$100000, "&gt;="&amp;DATE(2026,1,1),
  raw_stack!G$2:G$100000, "&lt;="&amp;EOMONTH(DATE(2026,1,1),0)
 ),
 IF(OR(_xlpm.x=0, _xlpm.x=""), "-", _xlpm.x)
)</f>
        <v>1313</v>
      </c>
      <c r="AC327" s="55" t="str">
        <f>_xlfn.LET(
 _xlpm.x,
 _xlfn.MAXIFS(
  raw_stack!G$2:G$99411,
  raw_stack!D$2:D$99411, G327,
  raw_stack!F$2:F$99411, "Iya",
  raw_stack!G$2:G$99411, "&gt;="&amp;DATE(2026,2,1),
  raw_stack!G$2:G$99411, "&lt;="&amp;EOMONTH(DATE(2026,2,1),0)
 ),
 IF(_xlpm.x=0, "-", _xlpm.x)
)</f>
        <v>-</v>
      </c>
      <c r="AD327" s="56" t="str">
        <f>_xlfn.LET(
 _xlpm.x,
 _xlfn.MAXIFS(
  raw_stack!H$2:H$100000,
  raw_stack!D$2:D$100000, G327,
  raw_stack!F$2:F$100000, "Iya",
  raw_stack!G$2:G$100000, "&gt;="&amp;DATE(2026,2,1),
  raw_stack!G$2:G$100000, "&lt;="&amp;EOMONTH(DATE(2026,2,1),0)
 ),
 IF(OR(_xlpm.x=0, _xlpm.x=""), "-", _xlpm.x)
)</f>
        <v>-</v>
      </c>
      <c r="AE327" s="55">
        <f>_xlfn.LET(
 _xlpm.x,
 _xlfn.MAXIFS(
  raw_stack!G$2:G$100000,
  raw_stack!D$2:D$100000, G327,
  raw_stack!F$2:F$100000, "Iya",
  raw_stack!G$2:G$100000, "&gt;="&amp;DATE(2026,3,1),
  raw_stack!G$2:G$100000, "&lt;="&amp;EOMONTH(DATE(2026,3,1),0)
 ),
 IF(_xlpm.x=0, "-", _xlpm.x)
)</f>
        <v>46085</v>
      </c>
      <c r="AF327" s="56">
        <f>_xlfn.LET(
 _xlpm.x,
 _xlfn.MAXIFS(
  raw_stack!H$2:H$100000,
  raw_stack!D$2:D$100000, G327,
  raw_stack!F$2:F$100000, "Iya",
  raw_stack!G$2:G$100000, "&gt;="&amp;DATE(2026,3,1),
  raw_stack!G$2:G$100000, "&lt;="&amp;EOMONTH(DATE(2026,3,1),0)
 ),
 IF(OR(_xlpm.x=0, _xlpm.x=""), "-", _xlpm.x)
)</f>
        <v>1894</v>
      </c>
      <c r="AG327" s="55">
        <f>_xlfn.LET(
 _xlpm.x,
 _xlfn.MAXIFS(
  raw_stack!G$2:G$100000,
  raw_stack!D$2:D$100000, G327,
  raw_stack!F$2:F$100000, "Iya",
  raw_stack!G$2:G$100000, "&gt;="&amp;DATE(2026,4,1),
  raw_stack!G$2:G$100000, "&lt;="&amp;EOMONTH(DATE(2026,4,1),0)
 ),
 IF(_xlpm.x=0, "-", _xlpm.x)
)</f>
        <v>46122</v>
      </c>
      <c r="AH327" s="56">
        <f>_xlfn.LET(
 _xlpm.x,
 _xlfn.MAXIFS(
  raw_stack!H$2:H$100000,
  raw_stack!D$2:D$100000, G327,
  raw_stack!F$2:F$100000, "Iya",
  raw_stack!G$2:G$100000, "&gt;="&amp;DATE(2026,4,1),
  raw_stack!G$2:G$100000, "&lt;="&amp;EOMONTH(DATE(2026,4,1),0)
 ),
 IF(OR(_xlpm.x=0, _xlpm.x=""), "-", _xlpm.x)
)</f>
        <v>2487</v>
      </c>
    </row>
    <row r="328" spans="1:34">
      <c r="A328" s="48">
        <v>327</v>
      </c>
      <c r="B328" s="49" t="str">
        <f t="shared" si="5"/>
        <v>58804</v>
      </c>
      <c r="C328" s="50" t="s">
        <v>46</v>
      </c>
      <c r="D328" s="51" t="s">
        <v>712</v>
      </c>
      <c r="E328" s="51" t="s">
        <v>51</v>
      </c>
      <c r="F328" s="49" t="s">
        <v>117</v>
      </c>
      <c r="G328" s="49" t="s">
        <v>444</v>
      </c>
      <c r="H328" s="49" t="s">
        <v>48</v>
      </c>
      <c r="I328" s="49" t="s">
        <v>52</v>
      </c>
      <c r="J328" s="52">
        <v>5790000</v>
      </c>
      <c r="K328" s="53">
        <v>46024</v>
      </c>
      <c r="L328" s="53">
        <v>47119</v>
      </c>
      <c r="M328" s="53">
        <v>46082</v>
      </c>
      <c r="N328" s="49" t="s">
        <v>50</v>
      </c>
      <c r="O328" s="54" t="str">
        <f>_xlfn.LET(
 _xlpm.x,
 _xlfn.MAXIFS(
  raw_stack!G$2:G$100000,
  raw_stack!D$2:D$100000, G328,
  raw_stack!F$2:F$100000, "Iya",
  raw_stack!G$2:G$100000, "&gt;="&amp;DATE(2025,7,1),
  raw_stack!G$2:G$100000, "&lt;="&amp;EOMONTH(DATE(2025,7,1),0)
 ),
 IF(_xlpm.x=0, "-", _xlpm.x)
)</f>
        <v>-</v>
      </c>
      <c r="P328" s="65" t="str">
        <f>_xlfn.LET(
 _xlpm.x,
 _xlfn.MAXIFS(
  raw_stack!H$2:H$100000,
  raw_stack!D$2:D$100000, G328,
  raw_stack!F$2:F$100000, "Iya",
  raw_stack!G$2:G$100000, "&gt;="&amp;DATE(2025,7,1),
  raw_stack!G$2:G$100000, "&lt;="&amp;EOMONTH(DATE(2025,7,1),0)
 ),
 IF(OR(_xlpm.x=0, _xlpm.x=""), "-", _xlpm.x)
)</f>
        <v>-</v>
      </c>
      <c r="Q328" s="54" t="str">
        <f>_xlfn.LET(
 _xlpm.x,
 _xlfn.MAXIFS(
  raw_stack!G$2:G$99411,
  raw_stack!D$2:D$99411, G328,
  raw_stack!F$2:F$99411, "Iya",
  raw_stack!G$2:G$99411, "&gt;="&amp;DATE(2025,8,1),
  raw_stack!G$2:G$99411, "&lt;="&amp;EOMONTH(DATE(2025,8,1),0)
 ),
 IF(_xlpm.x=0, "-", _xlpm.x)
)</f>
        <v>-</v>
      </c>
      <c r="R328" s="65" t="str">
        <f>_xlfn.LET(
 _xlpm.x,
 _xlfn.MAXIFS(
  raw_stack!H$2:H$100000,
  raw_stack!D$2:D$100000, G328,
  raw_stack!F$2:F$100000, "Iya",
  raw_stack!G$2:G$100000, "&gt;="&amp;DATE(2025,8,1),
  raw_stack!G$2:G$100000, "&lt;="&amp;EOMONTH(DATE(2025,8,1),0)
 ),
 IF(OR(_xlpm.x=0, _xlpm.x=""), "-", _xlpm.x)
)</f>
        <v>-</v>
      </c>
      <c r="S328" s="54" t="str">
        <f>_xlfn.LET(
 _xlpm.x,
 _xlfn.MAXIFS(
  raw_stack!G$2:G$99411,
  raw_stack!D$2:D$99411, G328,
  raw_stack!F$2:F$99411, "Iya",
  raw_stack!G$2:G$99411, "&gt;="&amp;DATE(2025,9,1),
  raw_stack!G$2:G$99411, "&lt;="&amp;EOMONTH(DATE(2025,9,1),0)
 ),
 IF(_xlpm.x=0, "-", _xlpm.x)
)</f>
        <v>-</v>
      </c>
      <c r="T328" s="65" t="str">
        <f>_xlfn.LET(
 _xlpm.x,
 _xlfn.MAXIFS(
  raw_stack!H$2:H$100000,
  raw_stack!D$2:D$100000, G328,
  raw_stack!F$2:F$100000, "Iya",
  raw_stack!G$2:G$100000, "&gt;="&amp;DATE(2025,9,1),
  raw_stack!G$2:G$100000, "&lt;="&amp;EOMONTH(DATE(2025,9,1),0)
 ),
 IF(OR(_xlpm.x=0, _xlpm.x=""), "-", _xlpm.x)
)</f>
        <v>-</v>
      </c>
      <c r="U328" s="54" t="str">
        <f>_xlfn.LET(
 _xlpm.x,
 _xlfn.MAXIFS(
  raw_stack!G$2:G$99411,
  raw_stack!D$2:D$99411, G328,
  raw_stack!F$2:F$99411, "Iya",
  raw_stack!G$2:G$99411, "&gt;="&amp;DATE(2025,10,1),
  raw_stack!G$2:G$99411, "&lt;="&amp;EOMONTH(DATE(2025,10,1),0)
 ),
 IF(_xlpm.x=0, "-", _xlpm.x)
)</f>
        <v>-</v>
      </c>
      <c r="V328" s="65" t="str">
        <f>_xlfn.LET(
 _xlpm.x,
 _xlfn.MAXIFS(
  raw_stack!H$2:H$100000,
  raw_stack!D$2:D$100000, G328,
  raw_stack!F$2:F$100000, "Iya",
  raw_stack!G$2:G$100000, "&gt;="&amp;DATE(2025,10,1),
  raw_stack!G$2:G$100000, "&lt;="&amp;EOMONTH(DATE(2025,10,1),0)
 ),
 IF(OR(_xlpm.x=0, _xlpm.x=""), "-", _xlpm.x)
)</f>
        <v>-</v>
      </c>
      <c r="W328" s="55" t="str">
        <f>_xlfn.LET(
 _xlpm.x,
 _xlfn.MAXIFS(
  raw_stack!G$2:G$99411,
  raw_stack!D$2:D$99411, G328,
  raw_stack!F$2:F$99411, "Iya",
  raw_stack!G$2:G$99411, "&gt;="&amp;DATE(2025,11,1),
  raw_stack!G$2:G$99411, "&lt;="&amp;EOMONTH(DATE(2025,11,1),0)
 ),
 IF(_xlpm.x=0, "-", _xlpm.x)
)</f>
        <v>-</v>
      </c>
      <c r="X328" s="56" t="str">
        <f>_xlfn.LET(
 _xlpm.x,
 _xlfn.MAXIFS(
  raw_stack!H$2:H$100000,
  raw_stack!D$2:D$100000, G328,
  raw_stack!F$2:F$100000, "Iya",
  raw_stack!G$2:G$100000, "&gt;="&amp;DATE(2025,11,1),
  raw_stack!G$2:G$100000, "&lt;="&amp;EOMONTH(DATE(2025,11,1),0)
 ),
 IF(OR(_xlpm.x=0, _xlpm.x=""), "-", _xlpm.x)
)</f>
        <v>-</v>
      </c>
      <c r="Y328" s="55" t="str">
        <f>_xlfn.LET(
 _xlpm.x,
 _xlfn.MAXIFS(
  raw_stack!G$2:G$99411,
  raw_stack!D$2:D$99411, G328,
  raw_stack!F$2:F$99411, "Iya",
  raw_stack!G$2:G$99411, "&gt;="&amp;DATE(2025,12,1),
  raw_stack!G$2:G$99411, "&lt;="&amp;EOMONTH(DATE(2025,12,1),0)
 ),
 IF(_xlpm.x=0, "-", _xlpm.x)
)</f>
        <v>-</v>
      </c>
      <c r="Z328" s="56" t="str">
        <f>_xlfn.LET(
 _xlpm.x,
 _xlfn.MAXIFS(
  raw_stack!H$2:H$100000,
  raw_stack!D$2:D$100000, G328,
  raw_stack!F$2:F$100000, "Iya",
  raw_stack!G$2:G$100000, "&gt;="&amp;DATE(2025,12,1),
  raw_stack!G$2:G$100000, "&lt;="&amp;EOMONTH(DATE(2025,12,1),0)
 ),
 IF(OR(_xlpm.x=0, _xlpm.x=""), "-", _xlpm.x)
)</f>
        <v>-</v>
      </c>
      <c r="AA328" s="55">
        <f>_xlfn.LET(
 _xlpm.x,
 _xlfn.MAXIFS(
  raw_stack!G$2:G$99411,
  raw_stack!D$2:D$99411, G328,
  raw_stack!F$2:F$99411, "Iya",
  raw_stack!G$2:G$99411, "&gt;="&amp;DATE(2026,1,1),
  raw_stack!G$2:G$99411, "&lt;="&amp;EOMONTH(DATE(2026,1,1),0)
 ),
 IF(_xlpm.x=0, "-", _xlpm.x)
)</f>
        <v>46023</v>
      </c>
      <c r="AB328" s="56">
        <f>_xlfn.LET(
 _xlpm.x,
 _xlfn.MAXIFS(
  raw_stack!H$2:H$100000,
  raw_stack!D$2:D$100000, G328,
  raw_stack!F$2:F$100000, "Iya",
  raw_stack!G$2:G$100000, "&gt;="&amp;DATE(2026,1,1),
  raw_stack!G$2:G$100000, "&lt;="&amp;EOMONTH(DATE(2026,1,1),0)
 ),
 IF(OR(_xlpm.x=0, _xlpm.x=""), "-", _xlpm.x)
)</f>
        <v>6409</v>
      </c>
      <c r="AC328" s="55" t="str">
        <f>_xlfn.LET(
 _xlpm.x,
 _xlfn.MAXIFS(
  raw_stack!G$2:G$99411,
  raw_stack!D$2:D$99411, G328,
  raw_stack!F$2:F$99411, "Iya",
  raw_stack!G$2:G$99411, "&gt;="&amp;DATE(2026,2,1),
  raw_stack!G$2:G$99411, "&lt;="&amp;EOMONTH(DATE(2026,2,1),0)
 ),
 IF(_xlpm.x=0, "-", _xlpm.x)
)</f>
        <v>-</v>
      </c>
      <c r="AD328" s="56" t="str">
        <f>_xlfn.LET(
 _xlpm.x,
 _xlfn.MAXIFS(
  raw_stack!H$2:H$100000,
  raw_stack!D$2:D$100000, G328,
  raw_stack!F$2:F$100000, "Iya",
  raw_stack!G$2:G$100000, "&gt;="&amp;DATE(2026,2,1),
  raw_stack!G$2:G$100000, "&lt;="&amp;EOMONTH(DATE(2026,2,1),0)
 ),
 IF(OR(_xlpm.x=0, _xlpm.x=""), "-", _xlpm.x)
)</f>
        <v>-</v>
      </c>
      <c r="AE328" s="55" t="str">
        <f>_xlfn.LET(
 _xlpm.x,
 _xlfn.MAXIFS(
  raw_stack!G$2:G$100000,
  raw_stack!D$2:D$100000, G328,
  raw_stack!F$2:F$100000, "Iya",
  raw_stack!G$2:G$100000, "&gt;="&amp;DATE(2026,3,1),
  raw_stack!G$2:G$100000, "&lt;="&amp;EOMONTH(DATE(2026,3,1),0)
 ),
 IF(_xlpm.x=0, "-", _xlpm.x)
)</f>
        <v>-</v>
      </c>
      <c r="AF328" s="56" t="str">
        <f>_xlfn.LET(
 _xlpm.x,
 _xlfn.MAXIFS(
  raw_stack!H$2:H$100000,
  raw_stack!D$2:D$100000, G328,
  raw_stack!F$2:F$100000, "Iya",
  raw_stack!G$2:G$100000, "&gt;="&amp;DATE(2026,3,1),
  raw_stack!G$2:G$100000, "&lt;="&amp;EOMONTH(DATE(2026,3,1),0)
 ),
 IF(OR(_xlpm.x=0, _xlpm.x=""), "-", _xlpm.x)
)</f>
        <v>-</v>
      </c>
      <c r="AG328" s="55" t="str">
        <f>_xlfn.LET(
 _xlpm.x,
 _xlfn.MAXIFS(
  raw_stack!G$2:G$100000,
  raw_stack!D$2:D$100000, G328,
  raw_stack!F$2:F$100000, "Iya",
  raw_stack!G$2:G$100000, "&gt;="&amp;DATE(2026,4,1),
  raw_stack!G$2:G$100000, "&lt;="&amp;EOMONTH(DATE(2026,4,1),0)
 ),
 IF(_xlpm.x=0, "-", _xlpm.x)
)</f>
        <v>-</v>
      </c>
      <c r="AH328" s="56" t="str">
        <f>_xlfn.LET(
 _xlpm.x,
 _xlfn.MAXIFS(
  raw_stack!H$2:H$100000,
  raw_stack!D$2:D$100000, G328,
  raw_stack!F$2:F$100000, "Iya",
  raw_stack!G$2:G$100000, "&gt;="&amp;DATE(2026,4,1),
  raw_stack!G$2:G$100000, "&lt;="&amp;EOMONTH(DATE(2026,4,1),0)
 ),
 IF(OR(_xlpm.x=0, _xlpm.x=""), "-", _xlpm.x)
)</f>
        <v>-</v>
      </c>
    </row>
    <row r="329" spans="1:34">
      <c r="A329" s="48">
        <v>328</v>
      </c>
      <c r="B329" s="49" t="str">
        <f t="shared" si="5"/>
        <v>89414</v>
      </c>
      <c r="C329" s="50" t="s">
        <v>46</v>
      </c>
      <c r="D329" s="51" t="s">
        <v>713</v>
      </c>
      <c r="E329" s="51" t="s">
        <v>53</v>
      </c>
      <c r="F329" s="49" t="s">
        <v>117</v>
      </c>
      <c r="G329" s="49" t="s">
        <v>445</v>
      </c>
      <c r="H329" s="49" t="s">
        <v>48</v>
      </c>
      <c r="I329" s="49" t="s">
        <v>52</v>
      </c>
      <c r="J329" s="52">
        <v>3860000</v>
      </c>
      <c r="K329" s="53">
        <v>46027</v>
      </c>
      <c r="L329" s="53">
        <v>47122</v>
      </c>
      <c r="M329" s="53">
        <v>46057</v>
      </c>
      <c r="N329" s="49" t="s">
        <v>50</v>
      </c>
      <c r="O329" s="54" t="str">
        <f>_xlfn.LET(
 _xlpm.x,
 _xlfn.MAXIFS(
  raw_stack!G$2:G$100000,
  raw_stack!D$2:D$100000, G329,
  raw_stack!F$2:F$100000, "Iya",
  raw_stack!G$2:G$100000, "&gt;="&amp;DATE(2025,7,1),
  raw_stack!G$2:G$100000, "&lt;="&amp;EOMONTH(DATE(2025,7,1),0)
 ),
 IF(_xlpm.x=0, "-", _xlpm.x)
)</f>
        <v>-</v>
      </c>
      <c r="P329" s="65" t="str">
        <f>_xlfn.LET(
 _xlpm.x,
 _xlfn.MAXIFS(
  raw_stack!H$2:H$100000,
  raw_stack!D$2:D$100000, G329,
  raw_stack!F$2:F$100000, "Iya",
  raw_stack!G$2:G$100000, "&gt;="&amp;DATE(2025,7,1),
  raw_stack!G$2:G$100000, "&lt;="&amp;EOMONTH(DATE(2025,7,1),0)
 ),
 IF(OR(_xlpm.x=0, _xlpm.x=""), "-", _xlpm.x)
)</f>
        <v>-</v>
      </c>
      <c r="Q329" s="54" t="str">
        <f>_xlfn.LET(
 _xlpm.x,
 _xlfn.MAXIFS(
  raw_stack!G$2:G$99411,
  raw_stack!D$2:D$99411, G329,
  raw_stack!F$2:F$99411, "Iya",
  raw_stack!G$2:G$99411, "&gt;="&amp;DATE(2025,8,1),
  raw_stack!G$2:G$99411, "&lt;="&amp;EOMONTH(DATE(2025,8,1),0)
 ),
 IF(_xlpm.x=0, "-", _xlpm.x)
)</f>
        <v>-</v>
      </c>
      <c r="R329" s="65" t="str">
        <f>_xlfn.LET(
 _xlpm.x,
 _xlfn.MAXIFS(
  raw_stack!H$2:H$100000,
  raw_stack!D$2:D$100000, G329,
  raw_stack!F$2:F$100000, "Iya",
  raw_stack!G$2:G$100000, "&gt;="&amp;DATE(2025,8,1),
  raw_stack!G$2:G$100000, "&lt;="&amp;EOMONTH(DATE(2025,8,1),0)
 ),
 IF(OR(_xlpm.x=0, _xlpm.x=""), "-", _xlpm.x)
)</f>
        <v>-</v>
      </c>
      <c r="S329" s="54" t="str">
        <f>_xlfn.LET(
 _xlpm.x,
 _xlfn.MAXIFS(
  raw_stack!G$2:G$99411,
  raw_stack!D$2:D$99411, G329,
  raw_stack!F$2:F$99411, "Iya",
  raw_stack!G$2:G$99411, "&gt;="&amp;DATE(2025,9,1),
  raw_stack!G$2:G$99411, "&lt;="&amp;EOMONTH(DATE(2025,9,1),0)
 ),
 IF(_xlpm.x=0, "-", _xlpm.x)
)</f>
        <v>-</v>
      </c>
      <c r="T329" s="65" t="str">
        <f>_xlfn.LET(
 _xlpm.x,
 _xlfn.MAXIFS(
  raw_stack!H$2:H$100000,
  raw_stack!D$2:D$100000, G329,
  raw_stack!F$2:F$100000, "Iya",
  raw_stack!G$2:G$100000, "&gt;="&amp;DATE(2025,9,1),
  raw_stack!G$2:G$100000, "&lt;="&amp;EOMONTH(DATE(2025,9,1),0)
 ),
 IF(OR(_xlpm.x=0, _xlpm.x=""), "-", _xlpm.x)
)</f>
        <v>-</v>
      </c>
      <c r="U329" s="54" t="str">
        <f>_xlfn.LET(
 _xlpm.x,
 _xlfn.MAXIFS(
  raw_stack!G$2:G$99411,
  raw_stack!D$2:D$99411, G329,
  raw_stack!F$2:F$99411, "Iya",
  raw_stack!G$2:G$99411, "&gt;="&amp;DATE(2025,10,1),
  raw_stack!G$2:G$99411, "&lt;="&amp;EOMONTH(DATE(2025,10,1),0)
 ),
 IF(_xlpm.x=0, "-", _xlpm.x)
)</f>
        <v>-</v>
      </c>
      <c r="V329" s="65" t="str">
        <f>_xlfn.LET(
 _xlpm.x,
 _xlfn.MAXIFS(
  raw_stack!H$2:H$100000,
  raw_stack!D$2:D$100000, G329,
  raw_stack!F$2:F$100000, "Iya",
  raw_stack!G$2:G$100000, "&gt;="&amp;DATE(2025,10,1),
  raw_stack!G$2:G$100000, "&lt;="&amp;EOMONTH(DATE(2025,10,1),0)
 ),
 IF(OR(_xlpm.x=0, _xlpm.x=""), "-", _xlpm.x)
)</f>
        <v>-</v>
      </c>
      <c r="W329" s="55" t="str">
        <f>_xlfn.LET(
 _xlpm.x,
 _xlfn.MAXIFS(
  raw_stack!G$2:G$99411,
  raw_stack!D$2:D$99411, G329,
  raw_stack!F$2:F$99411, "Iya",
  raw_stack!G$2:G$99411, "&gt;="&amp;DATE(2025,11,1),
  raw_stack!G$2:G$99411, "&lt;="&amp;EOMONTH(DATE(2025,11,1),0)
 ),
 IF(_xlpm.x=0, "-", _xlpm.x)
)</f>
        <v>-</v>
      </c>
      <c r="X329" s="56" t="str">
        <f>_xlfn.LET(
 _xlpm.x,
 _xlfn.MAXIFS(
  raw_stack!H$2:H$100000,
  raw_stack!D$2:D$100000, G329,
  raw_stack!F$2:F$100000, "Iya",
  raw_stack!G$2:G$100000, "&gt;="&amp;DATE(2025,11,1),
  raw_stack!G$2:G$100000, "&lt;="&amp;EOMONTH(DATE(2025,11,1),0)
 ),
 IF(OR(_xlpm.x=0, _xlpm.x=""), "-", _xlpm.x)
)</f>
        <v>-</v>
      </c>
      <c r="Y329" s="55" t="str">
        <f>_xlfn.LET(
 _xlpm.x,
 _xlfn.MAXIFS(
  raw_stack!G$2:G$99411,
  raw_stack!D$2:D$99411, G329,
  raw_stack!F$2:F$99411, "Iya",
  raw_stack!G$2:G$99411, "&gt;="&amp;DATE(2025,12,1),
  raw_stack!G$2:G$99411, "&lt;="&amp;EOMONTH(DATE(2025,12,1),0)
 ),
 IF(_xlpm.x=0, "-", _xlpm.x)
)</f>
        <v>-</v>
      </c>
      <c r="Z329" s="56" t="str">
        <f>_xlfn.LET(
 _xlpm.x,
 _xlfn.MAXIFS(
  raw_stack!H$2:H$100000,
  raw_stack!D$2:D$100000, G329,
  raw_stack!F$2:F$100000, "Iya",
  raw_stack!G$2:G$100000, "&gt;="&amp;DATE(2025,12,1),
  raw_stack!G$2:G$100000, "&lt;="&amp;EOMONTH(DATE(2025,12,1),0)
 ),
 IF(OR(_xlpm.x=0, _xlpm.x=""), "-", _xlpm.x)
)</f>
        <v>-</v>
      </c>
      <c r="AA329" s="55">
        <f>_xlfn.LET(
 _xlpm.x,
 _xlfn.MAXIFS(
  raw_stack!G$2:G$99411,
  raw_stack!D$2:D$99411, G329,
  raw_stack!F$2:F$99411, "Iya",
  raw_stack!G$2:G$99411, "&gt;="&amp;DATE(2026,1,1),
  raw_stack!G$2:G$99411, "&lt;="&amp;EOMONTH(DATE(2026,1,1),0)
 ),
 IF(_xlpm.x=0, "-", _xlpm.x)
)</f>
        <v>46053</v>
      </c>
      <c r="AB329" s="56">
        <f>_xlfn.LET(
 _xlpm.x,
 _xlfn.MAXIFS(
  raw_stack!H$2:H$100000,
  raw_stack!D$2:D$100000, G329,
  raw_stack!F$2:F$100000, "Iya",
  raw_stack!G$2:G$100000, "&gt;="&amp;DATE(2026,1,1),
  raw_stack!G$2:G$100000, "&lt;="&amp;EOMONTH(DATE(2026,1,1),0)
 ),
 IF(OR(_xlpm.x=0, _xlpm.x=""), "-", _xlpm.x)
)</f>
        <v>4401</v>
      </c>
      <c r="AC329" s="55" t="str">
        <f>_xlfn.LET(
 _xlpm.x,
 _xlfn.MAXIFS(
  raw_stack!G$2:G$99411,
  raw_stack!D$2:D$99411, G329,
  raw_stack!F$2:F$99411, "Iya",
  raw_stack!G$2:G$99411, "&gt;="&amp;DATE(2026,2,1),
  raw_stack!G$2:G$99411, "&lt;="&amp;EOMONTH(DATE(2026,2,1),0)
 ),
 IF(_xlpm.x=0, "-", _xlpm.x)
)</f>
        <v>-</v>
      </c>
      <c r="AD329" s="56" t="str">
        <f>_xlfn.LET(
 _xlpm.x,
 _xlfn.MAXIFS(
  raw_stack!H$2:H$100000,
  raw_stack!D$2:D$100000, G329,
  raw_stack!F$2:F$100000, "Iya",
  raw_stack!G$2:G$100000, "&gt;="&amp;DATE(2026,2,1),
  raw_stack!G$2:G$100000, "&lt;="&amp;EOMONTH(DATE(2026,2,1),0)
 ),
 IF(OR(_xlpm.x=0, _xlpm.x=""), "-", _xlpm.x)
)</f>
        <v>-</v>
      </c>
      <c r="AE329" s="55" t="str">
        <f>_xlfn.LET(
 _xlpm.x,
 _xlfn.MAXIFS(
  raw_stack!G$2:G$100000,
  raw_stack!D$2:D$100000, G329,
  raw_stack!F$2:F$100000, "Iya",
  raw_stack!G$2:G$100000, "&gt;="&amp;DATE(2026,3,1),
  raw_stack!G$2:G$100000, "&lt;="&amp;EOMONTH(DATE(2026,3,1),0)
 ),
 IF(_xlpm.x=0, "-", _xlpm.x)
)</f>
        <v>-</v>
      </c>
      <c r="AF329" s="56" t="str">
        <f>_xlfn.LET(
 _xlpm.x,
 _xlfn.MAXIFS(
  raw_stack!H$2:H$100000,
  raw_stack!D$2:D$100000, G329,
  raw_stack!F$2:F$100000, "Iya",
  raw_stack!G$2:G$100000, "&gt;="&amp;DATE(2026,3,1),
  raw_stack!G$2:G$100000, "&lt;="&amp;EOMONTH(DATE(2026,3,1),0)
 ),
 IF(OR(_xlpm.x=0, _xlpm.x=""), "-", _xlpm.x)
)</f>
        <v>-</v>
      </c>
      <c r="AG329" s="55" t="str">
        <f>_xlfn.LET(
 _xlpm.x,
 _xlfn.MAXIFS(
  raw_stack!G$2:G$100000,
  raw_stack!D$2:D$100000, G329,
  raw_stack!F$2:F$100000, "Iya",
  raw_stack!G$2:G$100000, "&gt;="&amp;DATE(2026,4,1),
  raw_stack!G$2:G$100000, "&lt;="&amp;EOMONTH(DATE(2026,4,1),0)
 ),
 IF(_xlpm.x=0, "-", _xlpm.x)
)</f>
        <v>-</v>
      </c>
      <c r="AH329" s="56" t="str">
        <f>_xlfn.LET(
 _xlpm.x,
 _xlfn.MAXIFS(
  raw_stack!H$2:H$100000,
  raw_stack!D$2:D$100000, G329,
  raw_stack!F$2:F$100000, "Iya",
  raw_stack!G$2:G$100000, "&gt;="&amp;DATE(2026,4,1),
  raw_stack!G$2:G$100000, "&lt;="&amp;EOMONTH(DATE(2026,4,1),0)
 ),
 IF(OR(_xlpm.x=0, _xlpm.x=""), "-", _xlpm.x)
)</f>
        <v>-</v>
      </c>
    </row>
    <row r="330" spans="1:34">
      <c r="A330" s="48">
        <v>329</v>
      </c>
      <c r="B330" s="49" t="str">
        <f t="shared" si="5"/>
        <v>10942</v>
      </c>
      <c r="C330" s="50" t="s">
        <v>46</v>
      </c>
      <c r="D330" s="51" t="s">
        <v>714</v>
      </c>
      <c r="E330" s="51" t="s">
        <v>51</v>
      </c>
      <c r="F330" s="49" t="s">
        <v>117</v>
      </c>
      <c r="G330" s="49" t="s">
        <v>446</v>
      </c>
      <c r="H330" s="49" t="s">
        <v>48</v>
      </c>
      <c r="I330" s="49" t="s">
        <v>52</v>
      </c>
      <c r="J330" s="52">
        <v>3880000</v>
      </c>
      <c r="K330" s="53">
        <v>46030</v>
      </c>
      <c r="L330" s="53">
        <v>47125</v>
      </c>
      <c r="M330" s="53">
        <v>46088</v>
      </c>
      <c r="N330" s="49" t="s">
        <v>50</v>
      </c>
      <c r="O330" s="54" t="str">
        <f>_xlfn.LET(
 _xlpm.x,
 _xlfn.MAXIFS(
  raw_stack!G$2:G$100000,
  raw_stack!D$2:D$100000, G330,
  raw_stack!F$2:F$100000, "Iya",
  raw_stack!G$2:G$100000, "&gt;="&amp;DATE(2025,7,1),
  raw_stack!G$2:G$100000, "&lt;="&amp;EOMONTH(DATE(2025,7,1),0)
 ),
 IF(_xlpm.x=0, "-", _xlpm.x)
)</f>
        <v>-</v>
      </c>
      <c r="P330" s="65" t="str">
        <f>_xlfn.LET(
 _xlpm.x,
 _xlfn.MAXIFS(
  raw_stack!H$2:H$100000,
  raw_stack!D$2:D$100000, G330,
  raw_stack!F$2:F$100000, "Iya",
  raw_stack!G$2:G$100000, "&gt;="&amp;DATE(2025,7,1),
  raw_stack!G$2:G$100000, "&lt;="&amp;EOMONTH(DATE(2025,7,1),0)
 ),
 IF(OR(_xlpm.x=0, _xlpm.x=""), "-", _xlpm.x)
)</f>
        <v>-</v>
      </c>
      <c r="Q330" s="54" t="str">
        <f>_xlfn.LET(
 _xlpm.x,
 _xlfn.MAXIFS(
  raw_stack!G$2:G$99411,
  raw_stack!D$2:D$99411, G330,
  raw_stack!F$2:F$99411, "Iya",
  raw_stack!G$2:G$99411, "&gt;="&amp;DATE(2025,8,1),
  raw_stack!G$2:G$99411, "&lt;="&amp;EOMONTH(DATE(2025,8,1),0)
 ),
 IF(_xlpm.x=0, "-", _xlpm.x)
)</f>
        <v>-</v>
      </c>
      <c r="R330" s="65" t="str">
        <f>_xlfn.LET(
 _xlpm.x,
 _xlfn.MAXIFS(
  raw_stack!H$2:H$100000,
  raw_stack!D$2:D$100000, G330,
  raw_stack!F$2:F$100000, "Iya",
  raw_stack!G$2:G$100000, "&gt;="&amp;DATE(2025,8,1),
  raw_stack!G$2:G$100000, "&lt;="&amp;EOMONTH(DATE(2025,8,1),0)
 ),
 IF(OR(_xlpm.x=0, _xlpm.x=""), "-", _xlpm.x)
)</f>
        <v>-</v>
      </c>
      <c r="S330" s="54" t="str">
        <f>_xlfn.LET(
 _xlpm.x,
 _xlfn.MAXIFS(
  raw_stack!G$2:G$99411,
  raw_stack!D$2:D$99411, G330,
  raw_stack!F$2:F$99411, "Iya",
  raw_stack!G$2:G$99411, "&gt;="&amp;DATE(2025,9,1),
  raw_stack!G$2:G$99411, "&lt;="&amp;EOMONTH(DATE(2025,9,1),0)
 ),
 IF(_xlpm.x=0, "-", _xlpm.x)
)</f>
        <v>-</v>
      </c>
      <c r="T330" s="65" t="str">
        <f>_xlfn.LET(
 _xlpm.x,
 _xlfn.MAXIFS(
  raw_stack!H$2:H$100000,
  raw_stack!D$2:D$100000, G330,
  raw_stack!F$2:F$100000, "Iya",
  raw_stack!G$2:G$100000, "&gt;="&amp;DATE(2025,9,1),
  raw_stack!G$2:G$100000, "&lt;="&amp;EOMONTH(DATE(2025,9,1),0)
 ),
 IF(OR(_xlpm.x=0, _xlpm.x=""), "-", _xlpm.x)
)</f>
        <v>-</v>
      </c>
      <c r="U330" s="54" t="str">
        <f>_xlfn.LET(
 _xlpm.x,
 _xlfn.MAXIFS(
  raw_stack!G$2:G$99411,
  raw_stack!D$2:D$99411, G330,
  raw_stack!F$2:F$99411, "Iya",
  raw_stack!G$2:G$99411, "&gt;="&amp;DATE(2025,10,1),
  raw_stack!G$2:G$99411, "&lt;="&amp;EOMONTH(DATE(2025,10,1),0)
 ),
 IF(_xlpm.x=0, "-", _xlpm.x)
)</f>
        <v>-</v>
      </c>
      <c r="V330" s="65" t="str">
        <f>_xlfn.LET(
 _xlpm.x,
 _xlfn.MAXIFS(
  raw_stack!H$2:H$100000,
  raw_stack!D$2:D$100000, G330,
  raw_stack!F$2:F$100000, "Iya",
  raw_stack!G$2:G$100000, "&gt;="&amp;DATE(2025,10,1),
  raw_stack!G$2:G$100000, "&lt;="&amp;EOMONTH(DATE(2025,10,1),0)
 ),
 IF(OR(_xlpm.x=0, _xlpm.x=""), "-", _xlpm.x)
)</f>
        <v>-</v>
      </c>
      <c r="W330" s="55" t="str">
        <f>_xlfn.LET(
 _xlpm.x,
 _xlfn.MAXIFS(
  raw_stack!G$2:G$99411,
  raw_stack!D$2:D$99411, G330,
  raw_stack!F$2:F$99411, "Iya",
  raw_stack!G$2:G$99411, "&gt;="&amp;DATE(2025,11,1),
  raw_stack!G$2:G$99411, "&lt;="&amp;EOMONTH(DATE(2025,11,1),0)
 ),
 IF(_xlpm.x=0, "-", _xlpm.x)
)</f>
        <v>-</v>
      </c>
      <c r="X330" s="56" t="str">
        <f>_xlfn.LET(
 _xlpm.x,
 _xlfn.MAXIFS(
  raw_stack!H$2:H$100000,
  raw_stack!D$2:D$100000, G330,
  raw_stack!F$2:F$100000, "Iya",
  raw_stack!G$2:G$100000, "&gt;="&amp;DATE(2025,11,1),
  raw_stack!G$2:G$100000, "&lt;="&amp;EOMONTH(DATE(2025,11,1),0)
 ),
 IF(OR(_xlpm.x=0, _xlpm.x=""), "-", _xlpm.x)
)</f>
        <v>-</v>
      </c>
      <c r="Y330" s="55" t="str">
        <f>_xlfn.LET(
 _xlpm.x,
 _xlfn.MAXIFS(
  raw_stack!G$2:G$99411,
  raw_stack!D$2:D$99411, G330,
  raw_stack!F$2:F$99411, "Iya",
  raw_stack!G$2:G$99411, "&gt;="&amp;DATE(2025,12,1),
  raw_stack!G$2:G$99411, "&lt;="&amp;EOMONTH(DATE(2025,12,1),0)
 ),
 IF(_xlpm.x=0, "-", _xlpm.x)
)</f>
        <v>-</v>
      </c>
      <c r="Z330" s="56" t="str">
        <f>_xlfn.LET(
 _xlpm.x,
 _xlfn.MAXIFS(
  raw_stack!H$2:H$100000,
  raw_stack!D$2:D$100000, G330,
  raw_stack!F$2:F$100000, "Iya",
  raw_stack!G$2:G$100000, "&gt;="&amp;DATE(2025,12,1),
  raw_stack!G$2:G$100000, "&lt;="&amp;EOMONTH(DATE(2025,12,1),0)
 ),
 IF(OR(_xlpm.x=0, _xlpm.x=""), "-", _xlpm.x)
)</f>
        <v>-</v>
      </c>
      <c r="AA330" s="55">
        <f>_xlfn.LET(
 _xlpm.x,
 _xlfn.MAXIFS(
  raw_stack!G$2:G$99411,
  raw_stack!D$2:D$99411, G330,
  raw_stack!F$2:F$99411, "Iya",
  raw_stack!G$2:G$99411, "&gt;="&amp;DATE(2026,1,1),
  raw_stack!G$2:G$99411, "&lt;="&amp;EOMONTH(DATE(2026,1,1),0)
 ),
 IF(_xlpm.x=0, "-", _xlpm.x)
)</f>
        <v>46029</v>
      </c>
      <c r="AB330" s="56">
        <f>_xlfn.LET(
 _xlpm.x,
 _xlfn.MAXIFS(
  raw_stack!H$2:H$100000,
  raw_stack!D$2:D$100000, G330,
  raw_stack!F$2:F$100000, "Iya",
  raw_stack!G$2:G$100000, "&gt;="&amp;DATE(2026,1,1),
  raw_stack!G$2:G$100000, "&lt;="&amp;EOMONTH(DATE(2026,1,1),0)
 ),
 IF(OR(_xlpm.x=0, _xlpm.x=""), "-", _xlpm.x)
)</f>
        <v>3817</v>
      </c>
      <c r="AC330" s="55" t="str">
        <f>_xlfn.LET(
 _xlpm.x,
 _xlfn.MAXIFS(
  raw_stack!G$2:G$99411,
  raw_stack!D$2:D$99411, G330,
  raw_stack!F$2:F$99411, "Iya",
  raw_stack!G$2:G$99411, "&gt;="&amp;DATE(2026,2,1),
  raw_stack!G$2:G$99411, "&lt;="&amp;EOMONTH(DATE(2026,2,1),0)
 ),
 IF(_xlpm.x=0, "-", _xlpm.x)
)</f>
        <v>-</v>
      </c>
      <c r="AD330" s="56" t="str">
        <f>_xlfn.LET(
 _xlpm.x,
 _xlfn.MAXIFS(
  raw_stack!H$2:H$100000,
  raw_stack!D$2:D$100000, G330,
  raw_stack!F$2:F$100000, "Iya",
  raw_stack!G$2:G$100000, "&gt;="&amp;DATE(2026,2,1),
  raw_stack!G$2:G$100000, "&lt;="&amp;EOMONTH(DATE(2026,2,1),0)
 ),
 IF(OR(_xlpm.x=0, _xlpm.x=""), "-", _xlpm.x)
)</f>
        <v>-</v>
      </c>
      <c r="AE330" s="55" t="str">
        <f>_xlfn.LET(
 _xlpm.x,
 _xlfn.MAXIFS(
  raw_stack!G$2:G$100000,
  raw_stack!D$2:D$100000, G330,
  raw_stack!F$2:F$100000, "Iya",
  raw_stack!G$2:G$100000, "&gt;="&amp;DATE(2026,3,1),
  raw_stack!G$2:G$100000, "&lt;="&amp;EOMONTH(DATE(2026,3,1),0)
 ),
 IF(_xlpm.x=0, "-", _xlpm.x)
)</f>
        <v>-</v>
      </c>
      <c r="AF330" s="56" t="str">
        <f>_xlfn.LET(
 _xlpm.x,
 _xlfn.MAXIFS(
  raw_stack!H$2:H$100000,
  raw_stack!D$2:D$100000, G330,
  raw_stack!F$2:F$100000, "Iya",
  raw_stack!G$2:G$100000, "&gt;="&amp;DATE(2026,3,1),
  raw_stack!G$2:G$100000, "&lt;="&amp;EOMONTH(DATE(2026,3,1),0)
 ),
 IF(OR(_xlpm.x=0, _xlpm.x=""), "-", _xlpm.x)
)</f>
        <v>-</v>
      </c>
      <c r="AG330" s="55" t="str">
        <f>_xlfn.LET(
 _xlpm.x,
 _xlfn.MAXIFS(
  raw_stack!G$2:G$100000,
  raw_stack!D$2:D$100000, G330,
  raw_stack!F$2:F$100000, "Iya",
  raw_stack!G$2:G$100000, "&gt;="&amp;DATE(2026,4,1),
  raw_stack!G$2:G$100000, "&lt;="&amp;EOMONTH(DATE(2026,4,1),0)
 ),
 IF(_xlpm.x=0, "-", _xlpm.x)
)</f>
        <v>-</v>
      </c>
      <c r="AH330" s="56" t="str">
        <f>_xlfn.LET(
 _xlpm.x,
 _xlfn.MAXIFS(
  raw_stack!H$2:H$100000,
  raw_stack!D$2:D$100000, G330,
  raw_stack!F$2:F$100000, "Iya",
  raw_stack!G$2:G$100000, "&gt;="&amp;DATE(2026,4,1),
  raw_stack!G$2:G$100000, "&lt;="&amp;EOMONTH(DATE(2026,4,1),0)
 ),
 IF(OR(_xlpm.x=0, _xlpm.x=""), "-", _xlpm.x)
)</f>
        <v>-</v>
      </c>
    </row>
    <row r="331" spans="1:34">
      <c r="A331" s="48">
        <v>330</v>
      </c>
      <c r="B331" s="49" t="str">
        <f t="shared" si="5"/>
        <v>23223</v>
      </c>
      <c r="C331" s="50" t="s">
        <v>46</v>
      </c>
      <c r="D331" s="51" t="s">
        <v>715</v>
      </c>
      <c r="E331" s="51" t="s">
        <v>51</v>
      </c>
      <c r="F331" s="49" t="s">
        <v>117</v>
      </c>
      <c r="G331" s="49" t="s">
        <v>447</v>
      </c>
      <c r="H331" s="49" t="s">
        <v>48</v>
      </c>
      <c r="I331" s="49" t="s">
        <v>52</v>
      </c>
      <c r="J331" s="52">
        <v>3880000</v>
      </c>
      <c r="K331" s="53">
        <v>46031</v>
      </c>
      <c r="L331" s="53">
        <v>47126</v>
      </c>
      <c r="M331" s="53">
        <v>46089</v>
      </c>
      <c r="N331" s="49" t="s">
        <v>50</v>
      </c>
      <c r="O331" s="54" t="str">
        <f>_xlfn.LET(
 _xlpm.x,
 _xlfn.MAXIFS(
  raw_stack!G$2:G$100000,
  raw_stack!D$2:D$100000, G331,
  raw_stack!F$2:F$100000, "Iya",
  raw_stack!G$2:G$100000, "&gt;="&amp;DATE(2025,7,1),
  raw_stack!G$2:G$100000, "&lt;="&amp;EOMONTH(DATE(2025,7,1),0)
 ),
 IF(_xlpm.x=0, "-", _xlpm.x)
)</f>
        <v>-</v>
      </c>
      <c r="P331" s="65" t="str">
        <f>_xlfn.LET(
 _xlpm.x,
 _xlfn.MAXIFS(
  raw_stack!H$2:H$100000,
  raw_stack!D$2:D$100000, G331,
  raw_stack!F$2:F$100000, "Iya",
  raw_stack!G$2:G$100000, "&gt;="&amp;DATE(2025,7,1),
  raw_stack!G$2:G$100000, "&lt;="&amp;EOMONTH(DATE(2025,7,1),0)
 ),
 IF(OR(_xlpm.x=0, _xlpm.x=""), "-", _xlpm.x)
)</f>
        <v>-</v>
      </c>
      <c r="Q331" s="54" t="str">
        <f>_xlfn.LET(
 _xlpm.x,
 _xlfn.MAXIFS(
  raw_stack!G$2:G$99411,
  raw_stack!D$2:D$99411, G331,
  raw_stack!F$2:F$99411, "Iya",
  raw_stack!G$2:G$99411, "&gt;="&amp;DATE(2025,8,1),
  raw_stack!G$2:G$99411, "&lt;="&amp;EOMONTH(DATE(2025,8,1),0)
 ),
 IF(_xlpm.x=0, "-", _xlpm.x)
)</f>
        <v>-</v>
      </c>
      <c r="R331" s="65" t="str">
        <f>_xlfn.LET(
 _xlpm.x,
 _xlfn.MAXIFS(
  raw_stack!H$2:H$100000,
  raw_stack!D$2:D$100000, G331,
  raw_stack!F$2:F$100000, "Iya",
  raw_stack!G$2:G$100000, "&gt;="&amp;DATE(2025,8,1),
  raw_stack!G$2:G$100000, "&lt;="&amp;EOMONTH(DATE(2025,8,1),0)
 ),
 IF(OR(_xlpm.x=0, _xlpm.x=""), "-", _xlpm.x)
)</f>
        <v>-</v>
      </c>
      <c r="S331" s="54" t="str">
        <f>_xlfn.LET(
 _xlpm.x,
 _xlfn.MAXIFS(
  raw_stack!G$2:G$99411,
  raw_stack!D$2:D$99411, G331,
  raw_stack!F$2:F$99411, "Iya",
  raw_stack!G$2:G$99411, "&gt;="&amp;DATE(2025,9,1),
  raw_stack!G$2:G$99411, "&lt;="&amp;EOMONTH(DATE(2025,9,1),0)
 ),
 IF(_xlpm.x=0, "-", _xlpm.x)
)</f>
        <v>-</v>
      </c>
      <c r="T331" s="65" t="str">
        <f>_xlfn.LET(
 _xlpm.x,
 _xlfn.MAXIFS(
  raw_stack!H$2:H$100000,
  raw_stack!D$2:D$100000, G331,
  raw_stack!F$2:F$100000, "Iya",
  raw_stack!G$2:G$100000, "&gt;="&amp;DATE(2025,9,1),
  raw_stack!G$2:G$100000, "&lt;="&amp;EOMONTH(DATE(2025,9,1),0)
 ),
 IF(OR(_xlpm.x=0, _xlpm.x=""), "-", _xlpm.x)
)</f>
        <v>-</v>
      </c>
      <c r="U331" s="54" t="str">
        <f>_xlfn.LET(
 _xlpm.x,
 _xlfn.MAXIFS(
  raw_stack!G$2:G$99411,
  raw_stack!D$2:D$99411, G331,
  raw_stack!F$2:F$99411, "Iya",
  raw_stack!G$2:G$99411, "&gt;="&amp;DATE(2025,10,1),
  raw_stack!G$2:G$99411, "&lt;="&amp;EOMONTH(DATE(2025,10,1),0)
 ),
 IF(_xlpm.x=0, "-", _xlpm.x)
)</f>
        <v>-</v>
      </c>
      <c r="V331" s="65" t="str">
        <f>_xlfn.LET(
 _xlpm.x,
 _xlfn.MAXIFS(
  raw_stack!H$2:H$100000,
  raw_stack!D$2:D$100000, G331,
  raw_stack!F$2:F$100000, "Iya",
  raw_stack!G$2:G$100000, "&gt;="&amp;DATE(2025,10,1),
  raw_stack!G$2:G$100000, "&lt;="&amp;EOMONTH(DATE(2025,10,1),0)
 ),
 IF(OR(_xlpm.x=0, _xlpm.x=""), "-", _xlpm.x)
)</f>
        <v>-</v>
      </c>
      <c r="W331" s="55" t="str">
        <f>_xlfn.LET(
 _xlpm.x,
 _xlfn.MAXIFS(
  raw_stack!G$2:G$99411,
  raw_stack!D$2:D$99411, G331,
  raw_stack!F$2:F$99411, "Iya",
  raw_stack!G$2:G$99411, "&gt;="&amp;DATE(2025,11,1),
  raw_stack!G$2:G$99411, "&lt;="&amp;EOMONTH(DATE(2025,11,1),0)
 ),
 IF(_xlpm.x=0, "-", _xlpm.x)
)</f>
        <v>-</v>
      </c>
      <c r="X331" s="56" t="str">
        <f>_xlfn.LET(
 _xlpm.x,
 _xlfn.MAXIFS(
  raw_stack!H$2:H$100000,
  raw_stack!D$2:D$100000, G331,
  raw_stack!F$2:F$100000, "Iya",
  raw_stack!G$2:G$100000, "&gt;="&amp;DATE(2025,11,1),
  raw_stack!G$2:G$100000, "&lt;="&amp;EOMONTH(DATE(2025,11,1),0)
 ),
 IF(OR(_xlpm.x=0, _xlpm.x=""), "-", _xlpm.x)
)</f>
        <v>-</v>
      </c>
      <c r="Y331" s="55" t="str">
        <f>_xlfn.LET(
 _xlpm.x,
 _xlfn.MAXIFS(
  raw_stack!G$2:G$99411,
  raw_stack!D$2:D$99411, G331,
  raw_stack!F$2:F$99411, "Iya",
  raw_stack!G$2:G$99411, "&gt;="&amp;DATE(2025,12,1),
  raw_stack!G$2:G$99411, "&lt;="&amp;EOMONTH(DATE(2025,12,1),0)
 ),
 IF(_xlpm.x=0, "-", _xlpm.x)
)</f>
        <v>-</v>
      </c>
      <c r="Z331" s="56" t="str">
        <f>_xlfn.LET(
 _xlpm.x,
 _xlfn.MAXIFS(
  raw_stack!H$2:H$100000,
  raw_stack!D$2:D$100000, G331,
  raw_stack!F$2:F$100000, "Iya",
  raw_stack!G$2:G$100000, "&gt;="&amp;DATE(2025,12,1),
  raw_stack!G$2:G$100000, "&lt;="&amp;EOMONTH(DATE(2025,12,1),0)
 ),
 IF(OR(_xlpm.x=0, _xlpm.x=""), "-", _xlpm.x)
)</f>
        <v>-</v>
      </c>
      <c r="AA331" s="55">
        <f>_xlfn.LET(
 _xlpm.x,
 _xlfn.MAXIFS(
  raw_stack!G$2:G$99411,
  raw_stack!D$2:D$99411, G331,
  raw_stack!F$2:F$99411, "Iya",
  raw_stack!G$2:G$99411, "&gt;="&amp;DATE(2026,1,1),
  raw_stack!G$2:G$99411, "&lt;="&amp;EOMONTH(DATE(2026,1,1),0)
 ),
 IF(_xlpm.x=0, "-", _xlpm.x)
)</f>
        <v>46031</v>
      </c>
      <c r="AB331" s="56">
        <f>_xlfn.LET(
 _xlpm.x,
 _xlfn.MAXIFS(
  raw_stack!H$2:H$100000,
  raw_stack!D$2:D$100000, G331,
  raw_stack!F$2:F$100000, "Iya",
  raw_stack!G$2:G$100000, "&gt;="&amp;DATE(2026,1,1),
  raw_stack!G$2:G$100000, "&lt;="&amp;EOMONTH(DATE(2026,1,1),0)
 ),
 IF(OR(_xlpm.x=0, _xlpm.x=""), "-", _xlpm.x)
)</f>
        <v>1165</v>
      </c>
      <c r="AC331" s="55" t="str">
        <f>_xlfn.LET(
 _xlpm.x,
 _xlfn.MAXIFS(
  raw_stack!G$2:G$99411,
  raw_stack!D$2:D$99411, G331,
  raw_stack!F$2:F$99411, "Iya",
  raw_stack!G$2:G$99411, "&gt;="&amp;DATE(2026,2,1),
  raw_stack!G$2:G$99411, "&lt;="&amp;EOMONTH(DATE(2026,2,1),0)
 ),
 IF(_xlpm.x=0, "-", _xlpm.x)
)</f>
        <v>-</v>
      </c>
      <c r="AD331" s="56" t="str">
        <f>_xlfn.LET(
 _xlpm.x,
 _xlfn.MAXIFS(
  raw_stack!H$2:H$100000,
  raw_stack!D$2:D$100000, G331,
  raw_stack!F$2:F$100000, "Iya",
  raw_stack!G$2:G$100000, "&gt;="&amp;DATE(2026,2,1),
  raw_stack!G$2:G$100000, "&lt;="&amp;EOMONTH(DATE(2026,2,1),0)
 ),
 IF(OR(_xlpm.x=0, _xlpm.x=""), "-", _xlpm.x)
)</f>
        <v>-</v>
      </c>
      <c r="AE331" s="55" t="str">
        <f>_xlfn.LET(
 _xlpm.x,
 _xlfn.MAXIFS(
  raw_stack!G$2:G$100000,
  raw_stack!D$2:D$100000, G331,
  raw_stack!F$2:F$100000, "Iya",
  raw_stack!G$2:G$100000, "&gt;="&amp;DATE(2026,3,1),
  raw_stack!G$2:G$100000, "&lt;="&amp;EOMONTH(DATE(2026,3,1),0)
 ),
 IF(_xlpm.x=0, "-", _xlpm.x)
)</f>
        <v>-</v>
      </c>
      <c r="AF331" s="56" t="str">
        <f>_xlfn.LET(
 _xlpm.x,
 _xlfn.MAXIFS(
  raw_stack!H$2:H$100000,
  raw_stack!D$2:D$100000, G331,
  raw_stack!F$2:F$100000, "Iya",
  raw_stack!G$2:G$100000, "&gt;="&amp;DATE(2026,3,1),
  raw_stack!G$2:G$100000, "&lt;="&amp;EOMONTH(DATE(2026,3,1),0)
 ),
 IF(OR(_xlpm.x=0, _xlpm.x=""), "-", _xlpm.x)
)</f>
        <v>-</v>
      </c>
      <c r="AG331" s="55" t="str">
        <f>_xlfn.LET(
 _xlpm.x,
 _xlfn.MAXIFS(
  raw_stack!G$2:G$100000,
  raw_stack!D$2:D$100000, G331,
  raw_stack!F$2:F$100000, "Iya",
  raw_stack!G$2:G$100000, "&gt;="&amp;DATE(2026,4,1),
  raw_stack!G$2:G$100000, "&lt;="&amp;EOMONTH(DATE(2026,4,1),0)
 ),
 IF(_xlpm.x=0, "-", _xlpm.x)
)</f>
        <v>-</v>
      </c>
      <c r="AH331" s="56" t="str">
        <f>_xlfn.LET(
 _xlpm.x,
 _xlfn.MAXIFS(
  raw_stack!H$2:H$100000,
  raw_stack!D$2:D$100000, G331,
  raw_stack!F$2:F$100000, "Iya",
  raw_stack!G$2:G$100000, "&gt;="&amp;DATE(2026,4,1),
  raw_stack!G$2:G$100000, "&lt;="&amp;EOMONTH(DATE(2026,4,1),0)
 ),
 IF(OR(_xlpm.x=0, _xlpm.x=""), "-", _xlpm.x)
)</f>
        <v>-</v>
      </c>
    </row>
    <row r="332" spans="1:34">
      <c r="A332" s="48">
        <v>331</v>
      </c>
      <c r="B332" s="49" t="str">
        <f t="shared" si="5"/>
        <v>14924</v>
      </c>
      <c r="C332" s="50" t="s">
        <v>46</v>
      </c>
      <c r="D332" s="51" t="s">
        <v>716</v>
      </c>
      <c r="E332" s="51" t="s">
        <v>51</v>
      </c>
      <c r="F332" s="49" t="s">
        <v>117</v>
      </c>
      <c r="G332" s="49" t="s">
        <v>448</v>
      </c>
      <c r="H332" s="49" t="s">
        <v>48</v>
      </c>
      <c r="I332" s="49" t="s">
        <v>52</v>
      </c>
      <c r="J332" s="52">
        <v>3880000</v>
      </c>
      <c r="K332" s="53">
        <v>46031</v>
      </c>
      <c r="L332" s="53">
        <v>47126</v>
      </c>
      <c r="M332" s="53">
        <v>46089</v>
      </c>
      <c r="N332" s="49" t="s">
        <v>50</v>
      </c>
      <c r="O332" s="54" t="str">
        <f>_xlfn.LET(
 _xlpm.x,
 _xlfn.MAXIFS(
  raw_stack!G$2:G$100000,
  raw_stack!D$2:D$100000, G332,
  raw_stack!F$2:F$100000, "Iya",
  raw_stack!G$2:G$100000, "&gt;="&amp;DATE(2025,7,1),
  raw_stack!G$2:G$100000, "&lt;="&amp;EOMONTH(DATE(2025,7,1),0)
 ),
 IF(_xlpm.x=0, "-", _xlpm.x)
)</f>
        <v>-</v>
      </c>
      <c r="P332" s="65" t="str">
        <f>_xlfn.LET(
 _xlpm.x,
 _xlfn.MAXIFS(
  raw_stack!H$2:H$100000,
  raw_stack!D$2:D$100000, G332,
  raw_stack!F$2:F$100000, "Iya",
  raw_stack!G$2:G$100000, "&gt;="&amp;DATE(2025,7,1),
  raw_stack!G$2:G$100000, "&lt;="&amp;EOMONTH(DATE(2025,7,1),0)
 ),
 IF(OR(_xlpm.x=0, _xlpm.x=""), "-", _xlpm.x)
)</f>
        <v>-</v>
      </c>
      <c r="Q332" s="54" t="str">
        <f>_xlfn.LET(
 _xlpm.x,
 _xlfn.MAXIFS(
  raw_stack!G$2:G$99411,
  raw_stack!D$2:D$99411, G332,
  raw_stack!F$2:F$99411, "Iya",
  raw_stack!G$2:G$99411, "&gt;="&amp;DATE(2025,8,1),
  raw_stack!G$2:G$99411, "&lt;="&amp;EOMONTH(DATE(2025,8,1),0)
 ),
 IF(_xlpm.x=0, "-", _xlpm.x)
)</f>
        <v>-</v>
      </c>
      <c r="R332" s="65" t="str">
        <f>_xlfn.LET(
 _xlpm.x,
 _xlfn.MAXIFS(
  raw_stack!H$2:H$100000,
  raw_stack!D$2:D$100000, G332,
  raw_stack!F$2:F$100000, "Iya",
  raw_stack!G$2:G$100000, "&gt;="&amp;DATE(2025,8,1),
  raw_stack!G$2:G$100000, "&lt;="&amp;EOMONTH(DATE(2025,8,1),0)
 ),
 IF(OR(_xlpm.x=0, _xlpm.x=""), "-", _xlpm.x)
)</f>
        <v>-</v>
      </c>
      <c r="S332" s="54" t="str">
        <f>_xlfn.LET(
 _xlpm.x,
 _xlfn.MAXIFS(
  raw_stack!G$2:G$99411,
  raw_stack!D$2:D$99411, G332,
  raw_stack!F$2:F$99411, "Iya",
  raw_stack!G$2:G$99411, "&gt;="&amp;DATE(2025,9,1),
  raw_stack!G$2:G$99411, "&lt;="&amp;EOMONTH(DATE(2025,9,1),0)
 ),
 IF(_xlpm.x=0, "-", _xlpm.x)
)</f>
        <v>-</v>
      </c>
      <c r="T332" s="65" t="str">
        <f>_xlfn.LET(
 _xlpm.x,
 _xlfn.MAXIFS(
  raw_stack!H$2:H$100000,
  raw_stack!D$2:D$100000, G332,
  raw_stack!F$2:F$100000, "Iya",
  raw_stack!G$2:G$100000, "&gt;="&amp;DATE(2025,9,1),
  raw_stack!G$2:G$100000, "&lt;="&amp;EOMONTH(DATE(2025,9,1),0)
 ),
 IF(OR(_xlpm.x=0, _xlpm.x=""), "-", _xlpm.x)
)</f>
        <v>-</v>
      </c>
      <c r="U332" s="54" t="str">
        <f>_xlfn.LET(
 _xlpm.x,
 _xlfn.MAXIFS(
  raw_stack!G$2:G$99411,
  raw_stack!D$2:D$99411, G332,
  raw_stack!F$2:F$99411, "Iya",
  raw_stack!G$2:G$99411, "&gt;="&amp;DATE(2025,10,1),
  raw_stack!G$2:G$99411, "&lt;="&amp;EOMONTH(DATE(2025,10,1),0)
 ),
 IF(_xlpm.x=0, "-", _xlpm.x)
)</f>
        <v>-</v>
      </c>
      <c r="V332" s="65" t="str">
        <f>_xlfn.LET(
 _xlpm.x,
 _xlfn.MAXIFS(
  raw_stack!H$2:H$100000,
  raw_stack!D$2:D$100000, G332,
  raw_stack!F$2:F$100000, "Iya",
  raw_stack!G$2:G$100000, "&gt;="&amp;DATE(2025,10,1),
  raw_stack!G$2:G$100000, "&lt;="&amp;EOMONTH(DATE(2025,10,1),0)
 ),
 IF(OR(_xlpm.x=0, _xlpm.x=""), "-", _xlpm.x)
)</f>
        <v>-</v>
      </c>
      <c r="W332" s="55" t="str">
        <f>_xlfn.LET(
 _xlpm.x,
 _xlfn.MAXIFS(
  raw_stack!G$2:G$99411,
  raw_stack!D$2:D$99411, G332,
  raw_stack!F$2:F$99411, "Iya",
  raw_stack!G$2:G$99411, "&gt;="&amp;DATE(2025,11,1),
  raw_stack!G$2:G$99411, "&lt;="&amp;EOMONTH(DATE(2025,11,1),0)
 ),
 IF(_xlpm.x=0, "-", _xlpm.x)
)</f>
        <v>-</v>
      </c>
      <c r="X332" s="56" t="str">
        <f>_xlfn.LET(
 _xlpm.x,
 _xlfn.MAXIFS(
  raw_stack!H$2:H$100000,
  raw_stack!D$2:D$100000, G332,
  raw_stack!F$2:F$100000, "Iya",
  raw_stack!G$2:G$100000, "&gt;="&amp;DATE(2025,11,1),
  raw_stack!G$2:G$100000, "&lt;="&amp;EOMONTH(DATE(2025,11,1),0)
 ),
 IF(OR(_xlpm.x=0, _xlpm.x=""), "-", _xlpm.x)
)</f>
        <v>-</v>
      </c>
      <c r="Y332" s="55" t="str">
        <f>_xlfn.LET(
 _xlpm.x,
 _xlfn.MAXIFS(
  raw_stack!G$2:G$99411,
  raw_stack!D$2:D$99411, G332,
  raw_stack!F$2:F$99411, "Iya",
  raw_stack!G$2:G$99411, "&gt;="&amp;DATE(2025,12,1),
  raw_stack!G$2:G$99411, "&lt;="&amp;EOMONTH(DATE(2025,12,1),0)
 ),
 IF(_xlpm.x=0, "-", _xlpm.x)
)</f>
        <v>-</v>
      </c>
      <c r="Z332" s="56" t="str">
        <f>_xlfn.LET(
 _xlpm.x,
 _xlfn.MAXIFS(
  raw_stack!H$2:H$100000,
  raw_stack!D$2:D$100000, G332,
  raw_stack!F$2:F$100000, "Iya",
  raw_stack!G$2:G$100000, "&gt;="&amp;DATE(2025,12,1),
  raw_stack!G$2:G$100000, "&lt;="&amp;EOMONTH(DATE(2025,12,1),0)
 ),
 IF(OR(_xlpm.x=0, _xlpm.x=""), "-", _xlpm.x)
)</f>
        <v>-</v>
      </c>
      <c r="AA332" s="55">
        <f>_xlfn.LET(
 _xlpm.x,
 _xlfn.MAXIFS(
  raw_stack!G$2:G$99411,
  raw_stack!D$2:D$99411, G332,
  raw_stack!F$2:F$99411, "Iya",
  raw_stack!G$2:G$99411, "&gt;="&amp;DATE(2026,1,1),
  raw_stack!G$2:G$99411, "&lt;="&amp;EOMONTH(DATE(2026,1,1),0)
 ),
 IF(_xlpm.x=0, "-", _xlpm.x)
)</f>
        <v>46029</v>
      </c>
      <c r="AB332" s="56">
        <f>_xlfn.LET(
 _xlpm.x,
 _xlfn.MAXIFS(
  raw_stack!H$2:H$100000,
  raw_stack!D$2:D$100000, G332,
  raw_stack!F$2:F$100000, "Iya",
  raw_stack!G$2:G$100000, "&gt;="&amp;DATE(2026,1,1),
  raw_stack!G$2:G$100000, "&lt;="&amp;EOMONTH(DATE(2026,1,1),0)
 ),
 IF(OR(_xlpm.x=0, _xlpm.x=""), "-", _xlpm.x)
)</f>
        <v>2573</v>
      </c>
      <c r="AC332" s="55" t="str">
        <f>_xlfn.LET(
 _xlpm.x,
 _xlfn.MAXIFS(
  raw_stack!G$2:G$99411,
  raw_stack!D$2:D$99411, G332,
  raw_stack!F$2:F$99411, "Iya",
  raw_stack!G$2:G$99411, "&gt;="&amp;DATE(2026,2,1),
  raw_stack!G$2:G$99411, "&lt;="&amp;EOMONTH(DATE(2026,2,1),0)
 ),
 IF(_xlpm.x=0, "-", _xlpm.x)
)</f>
        <v>-</v>
      </c>
      <c r="AD332" s="56" t="str">
        <f>_xlfn.LET(
 _xlpm.x,
 _xlfn.MAXIFS(
  raw_stack!H$2:H$100000,
  raw_stack!D$2:D$100000, G332,
  raw_stack!F$2:F$100000, "Iya",
  raw_stack!G$2:G$100000, "&gt;="&amp;DATE(2026,2,1),
  raw_stack!G$2:G$100000, "&lt;="&amp;EOMONTH(DATE(2026,2,1),0)
 ),
 IF(OR(_xlpm.x=0, _xlpm.x=""), "-", _xlpm.x)
)</f>
        <v>-</v>
      </c>
      <c r="AE332" s="55" t="str">
        <f>_xlfn.LET(
 _xlpm.x,
 _xlfn.MAXIFS(
  raw_stack!G$2:G$100000,
  raw_stack!D$2:D$100000, G332,
  raw_stack!F$2:F$100000, "Iya",
  raw_stack!G$2:G$100000, "&gt;="&amp;DATE(2026,3,1),
  raw_stack!G$2:G$100000, "&lt;="&amp;EOMONTH(DATE(2026,3,1),0)
 ),
 IF(_xlpm.x=0, "-", _xlpm.x)
)</f>
        <v>-</v>
      </c>
      <c r="AF332" s="56" t="str">
        <f>_xlfn.LET(
 _xlpm.x,
 _xlfn.MAXIFS(
  raw_stack!H$2:H$100000,
  raw_stack!D$2:D$100000, G332,
  raw_stack!F$2:F$100000, "Iya",
  raw_stack!G$2:G$100000, "&gt;="&amp;DATE(2026,3,1),
  raw_stack!G$2:G$100000, "&lt;="&amp;EOMONTH(DATE(2026,3,1),0)
 ),
 IF(OR(_xlpm.x=0, _xlpm.x=""), "-", _xlpm.x)
)</f>
        <v>-</v>
      </c>
      <c r="AG332" s="55" t="str">
        <f>_xlfn.LET(
 _xlpm.x,
 _xlfn.MAXIFS(
  raw_stack!G$2:G$100000,
  raw_stack!D$2:D$100000, G332,
  raw_stack!F$2:F$100000, "Iya",
  raw_stack!G$2:G$100000, "&gt;="&amp;DATE(2026,4,1),
  raw_stack!G$2:G$100000, "&lt;="&amp;EOMONTH(DATE(2026,4,1),0)
 ),
 IF(_xlpm.x=0, "-", _xlpm.x)
)</f>
        <v>-</v>
      </c>
      <c r="AH332" s="56" t="str">
        <f>_xlfn.LET(
 _xlpm.x,
 _xlfn.MAXIFS(
  raw_stack!H$2:H$100000,
  raw_stack!D$2:D$100000, G332,
  raw_stack!F$2:F$100000, "Iya",
  raw_stack!G$2:G$100000, "&gt;="&amp;DATE(2026,4,1),
  raw_stack!G$2:G$100000, "&lt;="&amp;EOMONTH(DATE(2026,4,1),0)
 ),
 IF(OR(_xlpm.x=0, _xlpm.x=""), "-", _xlpm.x)
)</f>
        <v>-</v>
      </c>
    </row>
    <row r="333" spans="1:34">
      <c r="A333" s="48">
        <v>332</v>
      </c>
      <c r="B333" s="49" t="str">
        <f t="shared" si="5"/>
        <v>51407</v>
      </c>
      <c r="C333" s="50" t="s">
        <v>46</v>
      </c>
      <c r="D333" s="51" t="s">
        <v>573</v>
      </c>
      <c r="E333" s="51" t="s">
        <v>53</v>
      </c>
      <c r="F333" s="49" t="s">
        <v>117</v>
      </c>
      <c r="G333" s="49" t="s">
        <v>449</v>
      </c>
      <c r="H333" s="49" t="s">
        <v>48</v>
      </c>
      <c r="I333" s="49" t="s">
        <v>52</v>
      </c>
      <c r="J333" s="52">
        <v>3960000</v>
      </c>
      <c r="K333" s="53">
        <v>46034</v>
      </c>
      <c r="L333" s="53">
        <v>47129</v>
      </c>
      <c r="M333" s="53">
        <v>46064</v>
      </c>
      <c r="N333" s="49" t="s">
        <v>50</v>
      </c>
      <c r="O333" s="54" t="str">
        <f>_xlfn.LET(
 _xlpm.x,
 _xlfn.MAXIFS(
  raw_stack!G$2:G$100000,
  raw_stack!D$2:D$100000, G333,
  raw_stack!F$2:F$100000, "Iya",
  raw_stack!G$2:G$100000, "&gt;="&amp;DATE(2025,7,1),
  raw_stack!G$2:G$100000, "&lt;="&amp;EOMONTH(DATE(2025,7,1),0)
 ),
 IF(_xlpm.x=0, "-", _xlpm.x)
)</f>
        <v>-</v>
      </c>
      <c r="P333" s="65" t="str">
        <f>_xlfn.LET(
 _xlpm.x,
 _xlfn.MAXIFS(
  raw_stack!H$2:H$100000,
  raw_stack!D$2:D$100000, G333,
  raw_stack!F$2:F$100000, "Iya",
  raw_stack!G$2:G$100000, "&gt;="&amp;DATE(2025,7,1),
  raw_stack!G$2:G$100000, "&lt;="&amp;EOMONTH(DATE(2025,7,1),0)
 ),
 IF(OR(_xlpm.x=0, _xlpm.x=""), "-", _xlpm.x)
)</f>
        <v>-</v>
      </c>
      <c r="Q333" s="54" t="str">
        <f>_xlfn.LET(
 _xlpm.x,
 _xlfn.MAXIFS(
  raw_stack!G$2:G$99411,
  raw_stack!D$2:D$99411, G333,
  raw_stack!F$2:F$99411, "Iya",
  raw_stack!G$2:G$99411, "&gt;="&amp;DATE(2025,8,1),
  raw_stack!G$2:G$99411, "&lt;="&amp;EOMONTH(DATE(2025,8,1),0)
 ),
 IF(_xlpm.x=0, "-", _xlpm.x)
)</f>
        <v>-</v>
      </c>
      <c r="R333" s="65" t="str">
        <f>_xlfn.LET(
 _xlpm.x,
 _xlfn.MAXIFS(
  raw_stack!H$2:H$100000,
  raw_stack!D$2:D$100000, G333,
  raw_stack!F$2:F$100000, "Iya",
  raw_stack!G$2:G$100000, "&gt;="&amp;DATE(2025,8,1),
  raw_stack!G$2:G$100000, "&lt;="&amp;EOMONTH(DATE(2025,8,1),0)
 ),
 IF(OR(_xlpm.x=0, _xlpm.x=""), "-", _xlpm.x)
)</f>
        <v>-</v>
      </c>
      <c r="S333" s="54" t="str">
        <f>_xlfn.LET(
 _xlpm.x,
 _xlfn.MAXIFS(
  raw_stack!G$2:G$99411,
  raw_stack!D$2:D$99411, G333,
  raw_stack!F$2:F$99411, "Iya",
  raw_stack!G$2:G$99411, "&gt;="&amp;DATE(2025,9,1),
  raw_stack!G$2:G$99411, "&lt;="&amp;EOMONTH(DATE(2025,9,1),0)
 ),
 IF(_xlpm.x=0, "-", _xlpm.x)
)</f>
        <v>-</v>
      </c>
      <c r="T333" s="65" t="str">
        <f>_xlfn.LET(
 _xlpm.x,
 _xlfn.MAXIFS(
  raw_stack!H$2:H$100000,
  raw_stack!D$2:D$100000, G333,
  raw_stack!F$2:F$100000, "Iya",
  raw_stack!G$2:G$100000, "&gt;="&amp;DATE(2025,9,1),
  raw_stack!G$2:G$100000, "&lt;="&amp;EOMONTH(DATE(2025,9,1),0)
 ),
 IF(OR(_xlpm.x=0, _xlpm.x=""), "-", _xlpm.x)
)</f>
        <v>-</v>
      </c>
      <c r="U333" s="54" t="str">
        <f>_xlfn.LET(
 _xlpm.x,
 _xlfn.MAXIFS(
  raw_stack!G$2:G$99411,
  raw_stack!D$2:D$99411, G333,
  raw_stack!F$2:F$99411, "Iya",
  raw_stack!G$2:G$99411, "&gt;="&amp;DATE(2025,10,1),
  raw_stack!G$2:G$99411, "&lt;="&amp;EOMONTH(DATE(2025,10,1),0)
 ),
 IF(_xlpm.x=0, "-", _xlpm.x)
)</f>
        <v>-</v>
      </c>
      <c r="V333" s="65" t="str">
        <f>_xlfn.LET(
 _xlpm.x,
 _xlfn.MAXIFS(
  raw_stack!H$2:H$100000,
  raw_stack!D$2:D$100000, G333,
  raw_stack!F$2:F$100000, "Iya",
  raw_stack!G$2:G$100000, "&gt;="&amp;DATE(2025,10,1),
  raw_stack!G$2:G$100000, "&lt;="&amp;EOMONTH(DATE(2025,10,1),0)
 ),
 IF(OR(_xlpm.x=0, _xlpm.x=""), "-", _xlpm.x)
)</f>
        <v>-</v>
      </c>
      <c r="W333" s="55" t="str">
        <f>_xlfn.LET(
 _xlpm.x,
 _xlfn.MAXIFS(
  raw_stack!G$2:G$99411,
  raw_stack!D$2:D$99411, G333,
  raw_stack!F$2:F$99411, "Iya",
  raw_stack!G$2:G$99411, "&gt;="&amp;DATE(2025,11,1),
  raw_stack!G$2:G$99411, "&lt;="&amp;EOMONTH(DATE(2025,11,1),0)
 ),
 IF(_xlpm.x=0, "-", _xlpm.x)
)</f>
        <v>-</v>
      </c>
      <c r="X333" s="56" t="str">
        <f>_xlfn.LET(
 _xlpm.x,
 _xlfn.MAXIFS(
  raw_stack!H$2:H$100000,
  raw_stack!D$2:D$100000, G333,
  raw_stack!F$2:F$100000, "Iya",
  raw_stack!G$2:G$100000, "&gt;="&amp;DATE(2025,11,1),
  raw_stack!G$2:G$100000, "&lt;="&amp;EOMONTH(DATE(2025,11,1),0)
 ),
 IF(OR(_xlpm.x=0, _xlpm.x=""), "-", _xlpm.x)
)</f>
        <v>-</v>
      </c>
      <c r="Y333" s="55" t="str">
        <f>_xlfn.LET(
 _xlpm.x,
 _xlfn.MAXIFS(
  raw_stack!G$2:G$99411,
  raw_stack!D$2:D$99411, G333,
  raw_stack!F$2:F$99411, "Iya",
  raw_stack!G$2:G$99411, "&gt;="&amp;DATE(2025,12,1),
  raw_stack!G$2:G$99411, "&lt;="&amp;EOMONTH(DATE(2025,12,1),0)
 ),
 IF(_xlpm.x=0, "-", _xlpm.x)
)</f>
        <v>-</v>
      </c>
      <c r="Z333" s="56" t="str">
        <f>_xlfn.LET(
 _xlpm.x,
 _xlfn.MAXIFS(
  raw_stack!H$2:H$100000,
  raw_stack!D$2:D$100000, G333,
  raw_stack!F$2:F$100000, "Iya",
  raw_stack!G$2:G$100000, "&gt;="&amp;DATE(2025,12,1),
  raw_stack!G$2:G$100000, "&lt;="&amp;EOMONTH(DATE(2025,12,1),0)
 ),
 IF(OR(_xlpm.x=0, _xlpm.x=""), "-", _xlpm.x)
)</f>
        <v>-</v>
      </c>
      <c r="AA333" s="55" t="str">
        <f>_xlfn.LET(
 _xlpm.x,
 _xlfn.MAXIFS(
  raw_stack!G$2:G$99411,
  raw_stack!D$2:D$99411, G333,
  raw_stack!F$2:F$99411, "Iya",
  raw_stack!G$2:G$99411, "&gt;="&amp;DATE(2026,1,1),
  raw_stack!G$2:G$99411, "&lt;="&amp;EOMONTH(DATE(2026,1,1),0)
 ),
 IF(_xlpm.x=0, "-", _xlpm.x)
)</f>
        <v>-</v>
      </c>
      <c r="AB333" s="56" t="str">
        <f>_xlfn.LET(
 _xlpm.x,
 _xlfn.MAXIFS(
  raw_stack!H$2:H$100000,
  raw_stack!D$2:D$100000, G333,
  raw_stack!F$2:F$100000, "Iya",
  raw_stack!G$2:G$100000, "&gt;="&amp;DATE(2026,1,1),
  raw_stack!G$2:G$100000, "&lt;="&amp;EOMONTH(DATE(2026,1,1),0)
 ),
 IF(OR(_xlpm.x=0, _xlpm.x=""), "-", _xlpm.x)
)</f>
        <v>-</v>
      </c>
      <c r="AC333" s="55" t="str">
        <f>_xlfn.LET(
 _xlpm.x,
 _xlfn.MAXIFS(
  raw_stack!G$2:G$99411,
  raw_stack!D$2:D$99411, G333,
  raw_stack!F$2:F$99411, "Iya",
  raw_stack!G$2:G$99411, "&gt;="&amp;DATE(2026,2,1),
  raw_stack!G$2:G$99411, "&lt;="&amp;EOMONTH(DATE(2026,2,1),0)
 ),
 IF(_xlpm.x=0, "-", _xlpm.x)
)</f>
        <v>-</v>
      </c>
      <c r="AD333" s="56" t="str">
        <f>_xlfn.LET(
 _xlpm.x,
 _xlfn.MAXIFS(
  raw_stack!H$2:H$100000,
  raw_stack!D$2:D$100000, G333,
  raw_stack!F$2:F$100000, "Iya",
  raw_stack!G$2:G$100000, "&gt;="&amp;DATE(2026,2,1),
  raw_stack!G$2:G$100000, "&lt;="&amp;EOMONTH(DATE(2026,2,1),0)
 ),
 IF(OR(_xlpm.x=0, _xlpm.x=""), "-", _xlpm.x)
)</f>
        <v>-</v>
      </c>
      <c r="AE333" s="55" t="str">
        <f>_xlfn.LET(
 _xlpm.x,
 _xlfn.MAXIFS(
  raw_stack!G$2:G$100000,
  raw_stack!D$2:D$100000, G333,
  raw_stack!F$2:F$100000, "Iya",
  raw_stack!G$2:G$100000, "&gt;="&amp;DATE(2026,3,1),
  raw_stack!G$2:G$100000, "&lt;="&amp;EOMONTH(DATE(2026,3,1),0)
 ),
 IF(_xlpm.x=0, "-", _xlpm.x)
)</f>
        <v>-</v>
      </c>
      <c r="AF333" s="56" t="str">
        <f>_xlfn.LET(
 _xlpm.x,
 _xlfn.MAXIFS(
  raw_stack!H$2:H$100000,
  raw_stack!D$2:D$100000, G333,
  raw_stack!F$2:F$100000, "Iya",
  raw_stack!G$2:G$100000, "&gt;="&amp;DATE(2026,3,1),
  raw_stack!G$2:G$100000, "&lt;="&amp;EOMONTH(DATE(2026,3,1),0)
 ),
 IF(OR(_xlpm.x=0, _xlpm.x=""), "-", _xlpm.x)
)</f>
        <v>-</v>
      </c>
      <c r="AG333" s="55" t="str">
        <f>_xlfn.LET(
 _xlpm.x,
 _xlfn.MAXIFS(
  raw_stack!G$2:G$100000,
  raw_stack!D$2:D$100000, G333,
  raw_stack!F$2:F$100000, "Iya",
  raw_stack!G$2:G$100000, "&gt;="&amp;DATE(2026,4,1),
  raw_stack!G$2:G$100000, "&lt;="&amp;EOMONTH(DATE(2026,4,1),0)
 ),
 IF(_xlpm.x=0, "-", _xlpm.x)
)</f>
        <v>-</v>
      </c>
      <c r="AH333" s="56" t="str">
        <f>_xlfn.LET(
 _xlpm.x,
 _xlfn.MAXIFS(
  raw_stack!H$2:H$100000,
  raw_stack!D$2:D$100000, G333,
  raw_stack!F$2:F$100000, "Iya",
  raw_stack!G$2:G$100000, "&gt;="&amp;DATE(2026,4,1),
  raw_stack!G$2:G$100000, "&lt;="&amp;EOMONTH(DATE(2026,4,1),0)
 ),
 IF(OR(_xlpm.x=0, _xlpm.x=""), "-", _xlpm.x)
)</f>
        <v>-</v>
      </c>
    </row>
    <row r="334" spans="1:34">
      <c r="A334" s="48">
        <v>333</v>
      </c>
      <c r="B334" s="49" t="str">
        <f t="shared" si="5"/>
        <v>98372</v>
      </c>
      <c r="C334" s="50" t="s">
        <v>46</v>
      </c>
      <c r="D334" s="51" t="s">
        <v>717</v>
      </c>
      <c r="E334" s="51" t="s">
        <v>56</v>
      </c>
      <c r="F334" s="49" t="s">
        <v>117</v>
      </c>
      <c r="G334" s="49" t="s">
        <v>450</v>
      </c>
      <c r="H334" s="49" t="s">
        <v>48</v>
      </c>
      <c r="I334" s="49" t="s">
        <v>52</v>
      </c>
      <c r="J334" s="52">
        <v>6915000</v>
      </c>
      <c r="K334" s="53">
        <v>46037</v>
      </c>
      <c r="L334" s="53">
        <v>47132</v>
      </c>
      <c r="M334" s="53">
        <v>46095</v>
      </c>
      <c r="N334" s="49" t="s">
        <v>50</v>
      </c>
      <c r="O334" s="54" t="str">
        <f>_xlfn.LET(
 _xlpm.x,
 _xlfn.MAXIFS(
  raw_stack!G$2:G$100000,
  raw_stack!D$2:D$100000, G334,
  raw_stack!F$2:F$100000, "Iya",
  raw_stack!G$2:G$100000, "&gt;="&amp;DATE(2025,7,1),
  raw_stack!G$2:G$100000, "&lt;="&amp;EOMONTH(DATE(2025,7,1),0)
 ),
 IF(_xlpm.x=0, "-", _xlpm.x)
)</f>
        <v>-</v>
      </c>
      <c r="P334" s="65" t="str">
        <f>_xlfn.LET(
 _xlpm.x,
 _xlfn.MAXIFS(
  raw_stack!H$2:H$100000,
  raw_stack!D$2:D$100000, G334,
  raw_stack!F$2:F$100000, "Iya",
  raw_stack!G$2:G$100000, "&gt;="&amp;DATE(2025,7,1),
  raw_stack!G$2:G$100000, "&lt;="&amp;EOMONTH(DATE(2025,7,1),0)
 ),
 IF(OR(_xlpm.x=0, _xlpm.x=""), "-", _xlpm.x)
)</f>
        <v>-</v>
      </c>
      <c r="Q334" s="54" t="str">
        <f>_xlfn.LET(
 _xlpm.x,
 _xlfn.MAXIFS(
  raw_stack!G$2:G$99411,
  raw_stack!D$2:D$99411, G334,
  raw_stack!F$2:F$99411, "Iya",
  raw_stack!G$2:G$99411, "&gt;="&amp;DATE(2025,8,1),
  raw_stack!G$2:G$99411, "&lt;="&amp;EOMONTH(DATE(2025,8,1),0)
 ),
 IF(_xlpm.x=0, "-", _xlpm.x)
)</f>
        <v>-</v>
      </c>
      <c r="R334" s="65" t="str">
        <f>_xlfn.LET(
 _xlpm.x,
 _xlfn.MAXIFS(
  raw_stack!H$2:H$100000,
  raw_stack!D$2:D$100000, G334,
  raw_stack!F$2:F$100000, "Iya",
  raw_stack!G$2:G$100000, "&gt;="&amp;DATE(2025,8,1),
  raw_stack!G$2:G$100000, "&lt;="&amp;EOMONTH(DATE(2025,8,1),0)
 ),
 IF(OR(_xlpm.x=0, _xlpm.x=""), "-", _xlpm.x)
)</f>
        <v>-</v>
      </c>
      <c r="S334" s="54" t="str">
        <f>_xlfn.LET(
 _xlpm.x,
 _xlfn.MAXIFS(
  raw_stack!G$2:G$99411,
  raw_stack!D$2:D$99411, G334,
  raw_stack!F$2:F$99411, "Iya",
  raw_stack!G$2:G$99411, "&gt;="&amp;DATE(2025,9,1),
  raw_stack!G$2:G$99411, "&lt;="&amp;EOMONTH(DATE(2025,9,1),0)
 ),
 IF(_xlpm.x=0, "-", _xlpm.x)
)</f>
        <v>-</v>
      </c>
      <c r="T334" s="65" t="str">
        <f>_xlfn.LET(
 _xlpm.x,
 _xlfn.MAXIFS(
  raw_stack!H$2:H$100000,
  raw_stack!D$2:D$100000, G334,
  raw_stack!F$2:F$100000, "Iya",
  raw_stack!G$2:G$100000, "&gt;="&amp;DATE(2025,9,1),
  raw_stack!G$2:G$100000, "&lt;="&amp;EOMONTH(DATE(2025,9,1),0)
 ),
 IF(OR(_xlpm.x=0, _xlpm.x=""), "-", _xlpm.x)
)</f>
        <v>-</v>
      </c>
      <c r="U334" s="54" t="str">
        <f>_xlfn.LET(
 _xlpm.x,
 _xlfn.MAXIFS(
  raw_stack!G$2:G$99411,
  raw_stack!D$2:D$99411, G334,
  raw_stack!F$2:F$99411, "Iya",
  raw_stack!G$2:G$99411, "&gt;="&amp;DATE(2025,10,1),
  raw_stack!G$2:G$99411, "&lt;="&amp;EOMONTH(DATE(2025,10,1),0)
 ),
 IF(_xlpm.x=0, "-", _xlpm.x)
)</f>
        <v>-</v>
      </c>
      <c r="V334" s="65" t="str">
        <f>_xlfn.LET(
 _xlpm.x,
 _xlfn.MAXIFS(
  raw_stack!H$2:H$100000,
  raw_stack!D$2:D$100000, G334,
  raw_stack!F$2:F$100000, "Iya",
  raw_stack!G$2:G$100000, "&gt;="&amp;DATE(2025,10,1),
  raw_stack!G$2:G$100000, "&lt;="&amp;EOMONTH(DATE(2025,10,1),0)
 ),
 IF(OR(_xlpm.x=0, _xlpm.x=""), "-", _xlpm.x)
)</f>
        <v>-</v>
      </c>
      <c r="W334" s="55" t="str">
        <f>_xlfn.LET(
 _xlpm.x,
 _xlfn.MAXIFS(
  raw_stack!G$2:G$99411,
  raw_stack!D$2:D$99411, G334,
  raw_stack!F$2:F$99411, "Iya",
  raw_stack!G$2:G$99411, "&gt;="&amp;DATE(2025,11,1),
  raw_stack!G$2:G$99411, "&lt;="&amp;EOMONTH(DATE(2025,11,1),0)
 ),
 IF(_xlpm.x=0, "-", _xlpm.x)
)</f>
        <v>-</v>
      </c>
      <c r="X334" s="56" t="str">
        <f>_xlfn.LET(
 _xlpm.x,
 _xlfn.MAXIFS(
  raw_stack!H$2:H$100000,
  raw_stack!D$2:D$100000, G334,
  raw_stack!F$2:F$100000, "Iya",
  raw_stack!G$2:G$100000, "&gt;="&amp;DATE(2025,11,1),
  raw_stack!G$2:G$100000, "&lt;="&amp;EOMONTH(DATE(2025,11,1),0)
 ),
 IF(OR(_xlpm.x=0, _xlpm.x=""), "-", _xlpm.x)
)</f>
        <v>-</v>
      </c>
      <c r="Y334" s="55" t="str">
        <f>_xlfn.LET(
 _xlpm.x,
 _xlfn.MAXIFS(
  raw_stack!G$2:G$99411,
  raw_stack!D$2:D$99411, G334,
  raw_stack!F$2:F$99411, "Iya",
  raw_stack!G$2:G$99411, "&gt;="&amp;DATE(2025,12,1),
  raw_stack!G$2:G$99411, "&lt;="&amp;EOMONTH(DATE(2025,12,1),0)
 ),
 IF(_xlpm.x=0, "-", _xlpm.x)
)</f>
        <v>-</v>
      </c>
      <c r="Z334" s="56" t="str">
        <f>_xlfn.LET(
 _xlpm.x,
 _xlfn.MAXIFS(
  raw_stack!H$2:H$100000,
  raw_stack!D$2:D$100000, G334,
  raw_stack!F$2:F$100000, "Iya",
  raw_stack!G$2:G$100000, "&gt;="&amp;DATE(2025,12,1),
  raw_stack!G$2:G$100000, "&lt;="&amp;EOMONTH(DATE(2025,12,1),0)
 ),
 IF(OR(_xlpm.x=0, _xlpm.x=""), "-", _xlpm.x)
)</f>
        <v>-</v>
      </c>
      <c r="AA334" s="55">
        <f>_xlfn.LET(
 _xlpm.x,
 _xlfn.MAXIFS(
  raw_stack!G$2:G$99411,
  raw_stack!D$2:D$99411, G334,
  raw_stack!F$2:F$99411, "Iya",
  raw_stack!G$2:G$99411, "&gt;="&amp;DATE(2026,1,1),
  raw_stack!G$2:G$99411, "&lt;="&amp;EOMONTH(DATE(2026,1,1),0)
 ),
 IF(_xlpm.x=0, "-", _xlpm.x)
)</f>
        <v>46037</v>
      </c>
      <c r="AB334" s="56">
        <f>_xlfn.LET(
 _xlpm.x,
 _xlfn.MAXIFS(
  raw_stack!H$2:H$100000,
  raw_stack!D$2:D$100000, G334,
  raw_stack!F$2:F$100000, "Iya",
  raw_stack!G$2:G$100000, "&gt;="&amp;DATE(2026,1,1),
  raw_stack!G$2:G$100000, "&lt;="&amp;EOMONTH(DATE(2026,1,1),0)
 ),
 IF(OR(_xlpm.x=0, _xlpm.x=""), "-", _xlpm.x)
)</f>
        <v>1671</v>
      </c>
      <c r="AC334" s="55" t="str">
        <f>_xlfn.LET(
 _xlpm.x,
 _xlfn.MAXIFS(
  raw_stack!G$2:G$99411,
  raw_stack!D$2:D$99411, G334,
  raw_stack!F$2:F$99411, "Iya",
  raw_stack!G$2:G$99411, "&gt;="&amp;DATE(2026,2,1),
  raw_stack!G$2:G$99411, "&lt;="&amp;EOMONTH(DATE(2026,2,1),0)
 ),
 IF(_xlpm.x=0, "-", _xlpm.x)
)</f>
        <v>-</v>
      </c>
      <c r="AD334" s="56" t="str">
        <f>_xlfn.LET(
 _xlpm.x,
 _xlfn.MAXIFS(
  raw_stack!H$2:H$100000,
  raw_stack!D$2:D$100000, G334,
  raw_stack!F$2:F$100000, "Iya",
  raw_stack!G$2:G$100000, "&gt;="&amp;DATE(2026,2,1),
  raw_stack!G$2:G$100000, "&lt;="&amp;EOMONTH(DATE(2026,2,1),0)
 ),
 IF(OR(_xlpm.x=0, _xlpm.x=""), "-", _xlpm.x)
)</f>
        <v>-</v>
      </c>
      <c r="AE334" s="55" t="str">
        <f>_xlfn.LET(
 _xlpm.x,
 _xlfn.MAXIFS(
  raw_stack!G$2:G$100000,
  raw_stack!D$2:D$100000, G334,
  raw_stack!F$2:F$100000, "Iya",
  raw_stack!G$2:G$100000, "&gt;="&amp;DATE(2026,3,1),
  raw_stack!G$2:G$100000, "&lt;="&amp;EOMONTH(DATE(2026,3,1),0)
 ),
 IF(_xlpm.x=0, "-", _xlpm.x)
)</f>
        <v>-</v>
      </c>
      <c r="AF334" s="56" t="str">
        <f>_xlfn.LET(
 _xlpm.x,
 _xlfn.MAXIFS(
  raw_stack!H$2:H$100000,
  raw_stack!D$2:D$100000, G334,
  raw_stack!F$2:F$100000, "Iya",
  raw_stack!G$2:G$100000, "&gt;="&amp;DATE(2026,3,1),
  raw_stack!G$2:G$100000, "&lt;="&amp;EOMONTH(DATE(2026,3,1),0)
 ),
 IF(OR(_xlpm.x=0, _xlpm.x=""), "-", _xlpm.x)
)</f>
        <v>-</v>
      </c>
      <c r="AG334" s="55" t="str">
        <f>_xlfn.LET(
 _xlpm.x,
 _xlfn.MAXIFS(
  raw_stack!G$2:G$100000,
  raw_stack!D$2:D$100000, G334,
  raw_stack!F$2:F$100000, "Iya",
  raw_stack!G$2:G$100000, "&gt;="&amp;DATE(2026,4,1),
  raw_stack!G$2:G$100000, "&lt;="&amp;EOMONTH(DATE(2026,4,1),0)
 ),
 IF(_xlpm.x=0, "-", _xlpm.x)
)</f>
        <v>-</v>
      </c>
      <c r="AH334" s="56" t="str">
        <f>_xlfn.LET(
 _xlpm.x,
 _xlfn.MAXIFS(
  raw_stack!H$2:H$100000,
  raw_stack!D$2:D$100000, G334,
  raw_stack!F$2:F$100000, "Iya",
  raw_stack!G$2:G$100000, "&gt;="&amp;DATE(2026,4,1),
  raw_stack!G$2:G$100000, "&lt;="&amp;EOMONTH(DATE(2026,4,1),0)
 ),
 IF(OR(_xlpm.x=0, _xlpm.x=""), "-", _xlpm.x)
)</f>
        <v>-</v>
      </c>
    </row>
    <row r="335" spans="1:34">
      <c r="A335" s="48">
        <v>334</v>
      </c>
      <c r="B335" s="49" t="str">
        <f t="shared" si="5"/>
        <v>54229</v>
      </c>
      <c r="C335" s="50" t="s">
        <v>46</v>
      </c>
      <c r="D335" s="51" t="s">
        <v>721</v>
      </c>
      <c r="E335" s="51" t="s">
        <v>53</v>
      </c>
      <c r="F335" s="49" t="s">
        <v>117</v>
      </c>
      <c r="G335" s="49" t="s">
        <v>451</v>
      </c>
      <c r="H335" s="49" t="s">
        <v>48</v>
      </c>
      <c r="I335" s="49" t="s">
        <v>52</v>
      </c>
      <c r="J335" s="52">
        <v>4200000</v>
      </c>
      <c r="K335" s="53">
        <v>46064</v>
      </c>
      <c r="L335" s="53">
        <v>47159</v>
      </c>
      <c r="M335" s="53"/>
      <c r="N335" s="49" t="s">
        <v>50</v>
      </c>
      <c r="O335" s="54" t="str">
        <f>_xlfn.LET(
 _xlpm.x,
 _xlfn.MAXIFS(
  raw_stack!G$2:G$100000,
  raw_stack!D$2:D$100000, G335,
  raw_stack!F$2:F$100000, "Iya",
  raw_stack!G$2:G$100000, "&gt;="&amp;DATE(2025,7,1),
  raw_stack!G$2:G$100000, "&lt;="&amp;EOMONTH(DATE(2025,7,1),0)
 ),
 IF(_xlpm.x=0, "-", _xlpm.x)
)</f>
        <v>-</v>
      </c>
      <c r="P335" s="65" t="str">
        <f>_xlfn.LET(
 _xlpm.x,
 _xlfn.MAXIFS(
  raw_stack!H$2:H$100000,
  raw_stack!D$2:D$100000, G335,
  raw_stack!F$2:F$100000, "Iya",
  raw_stack!G$2:G$100000, "&gt;="&amp;DATE(2025,7,1),
  raw_stack!G$2:G$100000, "&lt;="&amp;EOMONTH(DATE(2025,7,1),0)
 ),
 IF(OR(_xlpm.x=0, _xlpm.x=""), "-", _xlpm.x)
)</f>
        <v>-</v>
      </c>
      <c r="Q335" s="54" t="str">
        <f>_xlfn.LET(
 _xlpm.x,
 _xlfn.MAXIFS(
  raw_stack!G$2:G$99411,
  raw_stack!D$2:D$99411, G335,
  raw_stack!F$2:F$99411, "Iya",
  raw_stack!G$2:G$99411, "&gt;="&amp;DATE(2025,8,1),
  raw_stack!G$2:G$99411, "&lt;="&amp;EOMONTH(DATE(2025,8,1),0)
 ),
 IF(_xlpm.x=0, "-", _xlpm.x)
)</f>
        <v>-</v>
      </c>
      <c r="R335" s="65" t="str">
        <f>_xlfn.LET(
 _xlpm.x,
 _xlfn.MAXIFS(
  raw_stack!H$2:H$100000,
  raw_stack!D$2:D$100000, G335,
  raw_stack!F$2:F$100000, "Iya",
  raw_stack!G$2:G$100000, "&gt;="&amp;DATE(2025,8,1),
  raw_stack!G$2:G$100000, "&lt;="&amp;EOMONTH(DATE(2025,8,1),0)
 ),
 IF(OR(_xlpm.x=0, _xlpm.x=""), "-", _xlpm.x)
)</f>
        <v>-</v>
      </c>
      <c r="S335" s="54" t="str">
        <f>_xlfn.LET(
 _xlpm.x,
 _xlfn.MAXIFS(
  raw_stack!G$2:G$99411,
  raw_stack!D$2:D$99411, G335,
  raw_stack!F$2:F$99411, "Iya",
  raw_stack!G$2:G$99411, "&gt;="&amp;DATE(2025,9,1),
  raw_stack!G$2:G$99411, "&lt;="&amp;EOMONTH(DATE(2025,9,1),0)
 ),
 IF(_xlpm.x=0, "-", _xlpm.x)
)</f>
        <v>-</v>
      </c>
      <c r="T335" s="65" t="str">
        <f>_xlfn.LET(
 _xlpm.x,
 _xlfn.MAXIFS(
  raw_stack!H$2:H$100000,
  raw_stack!D$2:D$100000, G335,
  raw_stack!F$2:F$100000, "Iya",
  raw_stack!G$2:G$100000, "&gt;="&amp;DATE(2025,9,1),
  raw_stack!G$2:G$100000, "&lt;="&amp;EOMONTH(DATE(2025,9,1),0)
 ),
 IF(OR(_xlpm.x=0, _xlpm.x=""), "-", _xlpm.x)
)</f>
        <v>-</v>
      </c>
      <c r="U335" s="54" t="str">
        <f>_xlfn.LET(
 _xlpm.x,
 _xlfn.MAXIFS(
  raw_stack!G$2:G$99411,
  raw_stack!D$2:D$99411, G335,
  raw_stack!F$2:F$99411, "Iya",
  raw_stack!G$2:G$99411, "&gt;="&amp;DATE(2025,10,1),
  raw_stack!G$2:G$99411, "&lt;="&amp;EOMONTH(DATE(2025,10,1),0)
 ),
 IF(_xlpm.x=0, "-", _xlpm.x)
)</f>
        <v>-</v>
      </c>
      <c r="V335" s="65" t="str">
        <f>_xlfn.LET(
 _xlpm.x,
 _xlfn.MAXIFS(
  raw_stack!H$2:H$100000,
  raw_stack!D$2:D$100000, G335,
  raw_stack!F$2:F$100000, "Iya",
  raw_stack!G$2:G$100000, "&gt;="&amp;DATE(2025,10,1),
  raw_stack!G$2:G$100000, "&lt;="&amp;EOMONTH(DATE(2025,10,1),0)
 ),
 IF(OR(_xlpm.x=0, _xlpm.x=""), "-", _xlpm.x)
)</f>
        <v>-</v>
      </c>
      <c r="W335" s="55" t="str">
        <f>_xlfn.LET(
 _xlpm.x,
 _xlfn.MAXIFS(
  raw_stack!G$2:G$99411,
  raw_stack!D$2:D$99411, G335,
  raw_stack!F$2:F$99411, "Iya",
  raw_stack!G$2:G$99411, "&gt;="&amp;DATE(2025,11,1),
  raw_stack!G$2:G$99411, "&lt;="&amp;EOMONTH(DATE(2025,11,1),0)
 ),
 IF(_xlpm.x=0, "-", _xlpm.x)
)</f>
        <v>-</v>
      </c>
      <c r="X335" s="56" t="str">
        <f>_xlfn.LET(
 _xlpm.x,
 _xlfn.MAXIFS(
  raw_stack!H$2:H$100000,
  raw_stack!D$2:D$100000, G335,
  raw_stack!F$2:F$100000, "Iya",
  raw_stack!G$2:G$100000, "&gt;="&amp;DATE(2025,11,1),
  raw_stack!G$2:G$100000, "&lt;="&amp;EOMONTH(DATE(2025,11,1),0)
 ),
 IF(OR(_xlpm.x=0, _xlpm.x=""), "-", _xlpm.x)
)</f>
        <v>-</v>
      </c>
      <c r="Y335" s="55">
        <f>_xlfn.LET(
 _xlpm.x,
 _xlfn.MAXIFS(
  raw_stack!G$2:G$99411,
  raw_stack!D$2:D$99411, G335,
  raw_stack!F$2:F$99411, "Iya",
  raw_stack!G$2:G$99411, "&gt;="&amp;DATE(2025,12,1),
  raw_stack!G$2:G$99411, "&lt;="&amp;EOMONTH(DATE(2025,12,1),0)
 ),
 IF(_xlpm.x=0, "-", _xlpm.x)
)</f>
        <v>45995</v>
      </c>
      <c r="Z335" s="56">
        <f>_xlfn.LET(
 _xlpm.x,
 _xlfn.MAXIFS(
  raw_stack!H$2:H$100000,
  raw_stack!D$2:D$100000, G335,
  raw_stack!F$2:F$100000, "Iya",
  raw_stack!G$2:G$100000, "&gt;="&amp;DATE(2025,12,1),
  raw_stack!G$2:G$100000, "&lt;="&amp;EOMONTH(DATE(2025,12,1),0)
 ),
 IF(OR(_xlpm.x=0, _xlpm.x=""), "-", _xlpm.x)
)</f>
        <v>8290</v>
      </c>
      <c r="AA335" s="55" t="str">
        <f>_xlfn.LET(
 _xlpm.x,
 _xlfn.MAXIFS(
  raw_stack!G$2:G$99411,
  raw_stack!D$2:D$99411, G335,
  raw_stack!F$2:F$99411, "Iya",
  raw_stack!G$2:G$99411, "&gt;="&amp;DATE(2026,1,1),
  raw_stack!G$2:G$99411, "&lt;="&amp;EOMONTH(DATE(2026,1,1),0)
 ),
 IF(_xlpm.x=0, "-", _xlpm.x)
)</f>
        <v>-</v>
      </c>
      <c r="AB335" s="56" t="str">
        <f>_xlfn.LET(
 _xlpm.x,
 _xlfn.MAXIFS(
  raw_stack!H$2:H$100000,
  raw_stack!D$2:D$100000, G335,
  raw_stack!F$2:F$100000, "Iya",
  raw_stack!G$2:G$100000, "&gt;="&amp;DATE(2026,1,1),
  raw_stack!G$2:G$100000, "&lt;="&amp;EOMONTH(DATE(2026,1,1),0)
 ),
 IF(OR(_xlpm.x=0, _xlpm.x=""), "-", _xlpm.x)
)</f>
        <v>-</v>
      </c>
      <c r="AC335" s="55" t="str">
        <f>_xlfn.LET(
 _xlpm.x,
 _xlfn.MAXIFS(
  raw_stack!G$2:G$99411,
  raw_stack!D$2:D$99411, G335,
  raw_stack!F$2:F$99411, "Iya",
  raw_stack!G$2:G$99411, "&gt;="&amp;DATE(2026,2,1),
  raw_stack!G$2:G$99411, "&lt;="&amp;EOMONTH(DATE(2026,2,1),0)
 ),
 IF(_xlpm.x=0, "-", _xlpm.x)
)</f>
        <v>-</v>
      </c>
      <c r="AD335" s="56" t="str">
        <f>_xlfn.LET(
 _xlpm.x,
 _xlfn.MAXIFS(
  raw_stack!H$2:H$100000,
  raw_stack!D$2:D$100000, G335,
  raw_stack!F$2:F$100000, "Iya",
  raw_stack!G$2:G$100000, "&gt;="&amp;DATE(2026,2,1),
  raw_stack!G$2:G$100000, "&lt;="&amp;EOMONTH(DATE(2026,2,1),0)
 ),
 IF(OR(_xlpm.x=0, _xlpm.x=""), "-", _xlpm.x)
)</f>
        <v>-</v>
      </c>
      <c r="AE335" s="55">
        <f>_xlfn.LET(
 _xlpm.x,
 _xlfn.MAXIFS(
  raw_stack!G$2:G$100000,
  raw_stack!D$2:D$100000, G335,
  raw_stack!F$2:F$100000, "Iya",
  raw_stack!G$2:G$100000, "&gt;="&amp;DATE(2026,3,1),
  raw_stack!G$2:G$100000, "&lt;="&amp;EOMONTH(DATE(2026,3,1),0)
 ),
 IF(_xlpm.x=0, "-", _xlpm.x)
)</f>
        <v>46093</v>
      </c>
      <c r="AF335" s="56">
        <f>_xlfn.LET(
 _xlpm.x,
 _xlfn.MAXIFS(
  raw_stack!H$2:H$100000,
  raw_stack!D$2:D$100000, G335,
  raw_stack!F$2:F$100000, "Iya",
  raw_stack!G$2:G$100000, "&gt;="&amp;DATE(2026,3,1),
  raw_stack!G$2:G$100000, "&lt;="&amp;EOMONTH(DATE(2026,3,1),0)
 ),
 IF(OR(_xlpm.x=0, _xlpm.x=""), "-", _xlpm.x)
)</f>
        <v>8688</v>
      </c>
      <c r="AG335" s="55" t="str">
        <f>_xlfn.LET(
 _xlpm.x,
 _xlfn.MAXIFS(
  raw_stack!G$2:G$100000,
  raw_stack!D$2:D$100000, G335,
  raw_stack!F$2:F$100000, "Iya",
  raw_stack!G$2:G$100000, "&gt;="&amp;DATE(2026,4,1),
  raw_stack!G$2:G$100000, "&lt;="&amp;EOMONTH(DATE(2026,4,1),0)
 ),
 IF(_xlpm.x=0, "-", _xlpm.x)
)</f>
        <v>-</v>
      </c>
      <c r="AH335" s="56" t="str">
        <f>_xlfn.LET(
 _xlpm.x,
 _xlfn.MAXIFS(
  raw_stack!H$2:H$100000,
  raw_stack!D$2:D$100000, G335,
  raw_stack!F$2:F$100000, "Iya",
  raw_stack!G$2:G$100000, "&gt;="&amp;DATE(2026,4,1),
  raw_stack!G$2:G$100000, "&lt;="&amp;EOMONTH(DATE(2026,4,1),0)
 ),
 IF(OR(_xlpm.x=0, _xlpm.x=""), "-", _xlpm.x)
)</f>
        <v>-</v>
      </c>
    </row>
  </sheetData>
  <autoFilter ref="A1:AH335" xr:uid="{A2513DC1-2E9C-9F4E-9101-04054138FF3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5079-BA96-554A-AEC0-FDE8459DEF5B}">
  <sheetPr>
    <tabColor rgb="FFFFFF00"/>
  </sheetPr>
  <dimension ref="A1:J369"/>
  <sheetViews>
    <sheetView workbookViewId="0">
      <selection activeCell="A336" sqref="A336"/>
    </sheetView>
  </sheetViews>
  <sheetFormatPr baseColWidth="10" defaultRowHeight="16"/>
  <cols>
    <col min="1" max="1" width="12" bestFit="1" customWidth="1"/>
    <col min="2" max="2" width="51" bestFit="1" customWidth="1"/>
    <col min="3" max="3" width="11.33203125" style="12" bestFit="1" customWidth="1"/>
    <col min="4" max="4" width="19.33203125" style="4" bestFit="1" customWidth="1"/>
    <col min="5" max="5" width="21.5" style="4" bestFit="1" customWidth="1"/>
    <col min="6" max="6" width="17" style="7" bestFit="1" customWidth="1"/>
    <col min="7" max="7" width="10.83203125" style="7" bestFit="1" customWidth="1"/>
    <col min="8" max="8" width="10.33203125" style="10" bestFit="1" customWidth="1"/>
    <col min="9" max="9" width="9.33203125" style="7" bestFit="1" customWidth="1"/>
    <col min="10" max="10" width="12.83203125" style="3" bestFit="1" customWidth="1"/>
  </cols>
  <sheetData>
    <row r="1" spans="1:10" ht="32">
      <c r="A1" s="42" t="s">
        <v>112</v>
      </c>
      <c r="B1" s="42"/>
      <c r="C1" s="42"/>
      <c r="D1" s="42"/>
      <c r="E1" s="42"/>
      <c r="F1" s="42"/>
      <c r="G1" s="42"/>
      <c r="H1" s="42"/>
      <c r="I1" s="42"/>
      <c r="J1" s="42"/>
    </row>
    <row r="2" spans="1:10">
      <c r="A2" s="36" t="s">
        <v>115</v>
      </c>
      <c r="B2" s="36" t="s">
        <v>116</v>
      </c>
      <c r="C2" s="17" t="s">
        <v>0</v>
      </c>
      <c r="D2" s="17" t="s">
        <v>29</v>
      </c>
      <c r="E2" s="17" t="s">
        <v>60</v>
      </c>
      <c r="F2" s="17" t="s">
        <v>30</v>
      </c>
      <c r="G2" s="17" t="s">
        <v>34</v>
      </c>
      <c r="H2" s="17" t="s">
        <v>31</v>
      </c>
      <c r="I2" s="17" t="s">
        <v>32</v>
      </c>
      <c r="J2" s="17" t="s">
        <v>33</v>
      </c>
    </row>
    <row r="3" spans="1:10">
      <c r="A3" s="11" t="str">
        <f>_xlfn.XLOOKUP(C3, data_master!G:G, data_master!B:B)</f>
        <v>48431</v>
      </c>
      <c r="B3" t="str">
        <f>_xlfn.XLOOKUP(C3, data_master!G:G, data_master!D:D)</f>
        <v>48431 SAMPANG UNIT</v>
      </c>
      <c r="C3" s="12" t="str" cm="1">
        <f t="array" ref="C3:C336">_xlfn.UNIQUE(_xlfn._xlws.FILTER(data_master!G2:G1000,data_master!G2:G1000&lt;&gt;""))</f>
        <v>B4474RVI</v>
      </c>
      <c r="D3" s="4">
        <f>IFERROR( _xlfn.MAXIFS( raw_stack!G:G, raw_stack!D:D, C3, raw_stack!F:F, "Iya" ), "" )</f>
        <v>45897</v>
      </c>
      <c r="E3" s="4">
        <f>EDATE(D3,6)</f>
        <v>46081</v>
      </c>
      <c r="F3" s="7">
        <f>IFERROR(
 _xlfn.MAXIFS(
  raw_stack!H:H,
  raw_stack!D:D, C3,
  raw_stack!G:G, D3
 ),
 ""
)</f>
        <v>68652</v>
      </c>
      <c r="G3" s="7">
        <f>IFERROR(
 _xlfn.MAXIFS(
  raw_stack!E:E,
  raw_stack!D:D, C3,
  raw_stack!G:G, D3
 ),
 ""
)</f>
        <v>68652</v>
      </c>
      <c r="H3" s="10">
        <f ca="1">IF(D3=0, "", TODAY()-D3)</f>
        <v>348</v>
      </c>
      <c r="I3" s="7">
        <f>IF(E3=0, "", G3-F3)</f>
        <v>0</v>
      </c>
      <c r="J3" s="3" t="str">
        <f ca="1">IF(D3=0,
 "BELUM SERVIS",
 IF(OR(H3&gt;=180, I3&gt;=10000),
  "OVERDUE",
  "AMAN"
 )
)</f>
        <v>OVERDUE</v>
      </c>
    </row>
    <row r="4" spans="1:10">
      <c r="A4" s="11" t="str">
        <f>_xlfn.XLOOKUP(C4, data_master!G:G, data_master!B:B)</f>
        <v>69968</v>
      </c>
      <c r="B4" t="str">
        <f>_xlfn.XLOOKUP(C4, data_master!G:G, data_master!D:D)</f>
        <v>69968 BALIKPAPAN</v>
      </c>
      <c r="C4" s="12" t="str">
        <v>B8269XJ</v>
      </c>
      <c r="D4" s="4">
        <f>IFERROR( _xlfn.MAXIFS( raw_stack!G:G, raw_stack!D:D, C4, raw_stack!F:F, "Iya" ), "" )</f>
        <v>46036</v>
      </c>
      <c r="E4" s="4">
        <f t="shared" ref="E4:E67" si="0">EDATE(D4,6)</f>
        <v>46217</v>
      </c>
      <c r="F4" s="7">
        <f>IFERROR(
 _xlfn.MAXIFS(
  raw_stack!H:H,
  raw_stack!D:D, C4,
  raw_stack!G:G, D4
 ),
 ""
)</f>
        <v>31963</v>
      </c>
      <c r="G4" s="7">
        <f>IFERROR(
 _xlfn.MAXIFS(
  raw_stack!E:E,
  raw_stack!D:D, C4,
  raw_stack!G:G, D4
 ),
 ""
)</f>
        <v>31963</v>
      </c>
      <c r="H4" s="10">
        <f t="shared" ref="H4:H67" ca="1" si="1">IF(D4=0, "", TODAY()-D4)</f>
        <v>209</v>
      </c>
      <c r="I4" s="7">
        <f t="shared" ref="I4:I67" si="2">IF(E4=0, "", G4-F4)</f>
        <v>0</v>
      </c>
      <c r="J4" s="3" t="str">
        <f t="shared" ref="J4:J67" ca="1" si="3">IF(D4=0,
 "BELUM SERVIS",
 IF(OR(H4&gt;=180, I4&gt;=10000),
  "OVERDUE",
  "AMAN"
 )
)</f>
        <v>OVERDUE</v>
      </c>
    </row>
    <row r="5" spans="1:10">
      <c r="A5" s="11" t="str">
        <f>_xlfn.XLOOKUP(C5, data_master!G:G, data_master!B:B)</f>
        <v>23209</v>
      </c>
      <c r="B5" t="str">
        <f>_xlfn.XLOOKUP(C5, data_master!G:G, data_master!D:D)</f>
        <v>23209 SUBANG POS</v>
      </c>
      <c r="C5" s="12" t="str">
        <v>B9912VG</v>
      </c>
      <c r="D5" s="4">
        <f>IFERROR( _xlfn.MAXIFS( raw_stack!G:G, raw_stack!D:D, C5, raw_stack!F:F, "Iya" ), "" )</f>
        <v>46035</v>
      </c>
      <c r="E5" s="4">
        <f t="shared" si="0"/>
        <v>46216</v>
      </c>
      <c r="F5" s="7">
        <f>IFERROR(
 _xlfn.MAXIFS(
  raw_stack!H:H,
  raw_stack!D:D, C5,
  raw_stack!G:G, D5
 ),
 ""
)</f>
        <v>107336</v>
      </c>
      <c r="G5" s="7">
        <f>IFERROR(
 _xlfn.MAXIFS(
  raw_stack!E:E,
  raw_stack!D:D, C5,
  raw_stack!G:G, D5
 ),
 ""
)</f>
        <v>107336</v>
      </c>
      <c r="H5" s="10">
        <f t="shared" ca="1" si="1"/>
        <v>210</v>
      </c>
      <c r="I5" s="7">
        <f t="shared" si="2"/>
        <v>0</v>
      </c>
      <c r="J5" s="3" t="str">
        <f t="shared" ca="1" si="3"/>
        <v>OVERDUE</v>
      </c>
    </row>
    <row r="6" spans="1:10">
      <c r="A6" s="11" t="str">
        <f>_xlfn.XLOOKUP(C6, data_master!G:G, data_master!B:B)</f>
        <v>89677</v>
      </c>
      <c r="B6" t="str">
        <f>_xlfn.XLOOKUP(C6, data_master!G:G, data_master!D:D)</f>
        <v>89677 MAKASSAR</v>
      </c>
      <c r="C6" s="12" t="str">
        <v>DD1709SU</v>
      </c>
      <c r="D6" s="4">
        <f>IFERROR( _xlfn.MAXIFS( raw_stack!G:G, raw_stack!D:D, C6, raw_stack!F:F, "Iya" ), "" )</f>
        <v>45986</v>
      </c>
      <c r="E6" s="4">
        <f t="shared" si="0"/>
        <v>46167</v>
      </c>
      <c r="F6" s="7">
        <f>IFERROR(
 _xlfn.MAXIFS(
  raw_stack!H:H,
  raw_stack!D:D, C6,
  raw_stack!G:G, D6
 ),
 ""
)</f>
        <v>37103</v>
      </c>
      <c r="G6" s="7">
        <f>IFERROR(
 _xlfn.MAXIFS(
  raw_stack!E:E,
  raw_stack!D:D, C6,
  raw_stack!G:G, D6
 ),
 ""
)</f>
        <v>37103</v>
      </c>
      <c r="H6" s="10">
        <f t="shared" ca="1" si="1"/>
        <v>259</v>
      </c>
      <c r="I6" s="7">
        <f t="shared" si="2"/>
        <v>0</v>
      </c>
      <c r="J6" s="3" t="str">
        <f t="shared" ca="1" si="3"/>
        <v>OVERDUE</v>
      </c>
    </row>
    <row r="7" spans="1:10">
      <c r="A7" s="11" t="str">
        <f>_xlfn.XLOOKUP(C7, data_master!G:G, data_master!B:B)</f>
        <v>89828</v>
      </c>
      <c r="B7" t="str">
        <f>_xlfn.XLOOKUP(C7, data_master!G:G, data_master!D:D)</f>
        <v>89828 NAMLEA</v>
      </c>
      <c r="C7" s="12" t="str">
        <v>B3079BPJ</v>
      </c>
      <c r="D7" s="4">
        <f>IFERROR( _xlfn.MAXIFS( raw_stack!G:G, raw_stack!D:D, C7, raw_stack!F:F, "Iya" ), "" )</f>
        <v>46028</v>
      </c>
      <c r="E7" s="4">
        <f t="shared" si="0"/>
        <v>46209</v>
      </c>
      <c r="F7" s="7">
        <f>IFERROR(
 _xlfn.MAXIFS(
  raw_stack!H:H,
  raw_stack!D:D, C7,
  raw_stack!G:G, D7
 ),
 ""
)</f>
        <v>55586</v>
      </c>
      <c r="G7" s="7">
        <f>IFERROR(
 _xlfn.MAXIFS(
  raw_stack!E:E,
  raw_stack!D:D, C7,
  raw_stack!G:G, D7
 ),
 ""
)</f>
        <v>55586</v>
      </c>
      <c r="H7" s="10">
        <f t="shared" ca="1" si="1"/>
        <v>217</v>
      </c>
      <c r="I7" s="7">
        <f t="shared" si="2"/>
        <v>0</v>
      </c>
      <c r="J7" s="3" t="str">
        <f t="shared" ca="1" si="3"/>
        <v>OVERDUE</v>
      </c>
    </row>
    <row r="8" spans="1:10">
      <c r="A8" s="11" t="str">
        <f>_xlfn.XLOOKUP(C8, data_master!G:G, data_master!B:B)</f>
        <v>42609</v>
      </c>
      <c r="B8" t="str">
        <f>_xlfn.XLOOKUP(C8, data_master!G:G, data_master!D:D)</f>
        <v>42609 LOMBOK TIMUR</v>
      </c>
      <c r="C8" s="12" t="str">
        <v>B3485RG</v>
      </c>
      <c r="D8" s="4">
        <f>IFERROR( _xlfn.MAXIFS( raw_stack!G:G, raw_stack!D:D, C8, raw_stack!F:F, "Iya" ), "" )</f>
        <v>45880</v>
      </c>
      <c r="E8" s="4">
        <f t="shared" si="0"/>
        <v>46064</v>
      </c>
      <c r="F8" s="7">
        <f>IFERROR(
 _xlfn.MAXIFS(
  raw_stack!H:H,
  raw_stack!D:D, C8,
  raw_stack!G:G, D8
 ),
 ""
)</f>
        <v>41303</v>
      </c>
      <c r="G8" s="7">
        <f>IFERROR(
 _xlfn.MAXIFS(
  raw_stack!E:E,
  raw_stack!D:D, C8,
  raw_stack!G:G, D8
 ),
 ""
)</f>
        <v>41303</v>
      </c>
      <c r="H8" s="10">
        <f t="shared" ca="1" si="1"/>
        <v>365</v>
      </c>
      <c r="I8" s="7">
        <f t="shared" si="2"/>
        <v>0</v>
      </c>
      <c r="J8" s="3" t="str">
        <f t="shared" ca="1" si="3"/>
        <v>OVERDUE</v>
      </c>
    </row>
    <row r="9" spans="1:10">
      <c r="A9" s="11" t="str">
        <f>_xlfn.XLOOKUP(C9, data_master!G:G, data_master!B:B)</f>
        <v>26773</v>
      </c>
      <c r="B9" t="str">
        <f>_xlfn.XLOOKUP(C9, data_master!G:G, data_master!D:D)</f>
        <v>26773 RAHA POS</v>
      </c>
      <c r="C9" s="12" t="str">
        <v>B8132XW</v>
      </c>
      <c r="D9" s="4">
        <f>IFERROR( _xlfn.MAXIFS( raw_stack!G:G, raw_stack!D:D, C9, raw_stack!F:F, "Iya" ), "" )</f>
        <v>46132</v>
      </c>
      <c r="E9" s="4">
        <f t="shared" si="0"/>
        <v>46315</v>
      </c>
      <c r="F9" s="7">
        <f>IFERROR(
 _xlfn.MAXIFS(
  raw_stack!H:H,
  raw_stack!D:D, C9,
  raw_stack!G:G, D9
 ),
 ""
)</f>
        <v>36641</v>
      </c>
      <c r="G9" s="7">
        <f>IFERROR(
 _xlfn.MAXIFS(
  raw_stack!E:E,
  raw_stack!D:D, C9,
  raw_stack!G:G, D9
 ),
 ""
)</f>
        <v>36641</v>
      </c>
      <c r="H9" s="10">
        <f t="shared" ca="1" si="1"/>
        <v>113</v>
      </c>
      <c r="I9" s="7">
        <f t="shared" si="2"/>
        <v>0</v>
      </c>
      <c r="J9" s="3" t="str">
        <f t="shared" ca="1" si="3"/>
        <v>AMAN</v>
      </c>
    </row>
    <row r="10" spans="1:10">
      <c r="A10" s="11" t="str">
        <f>_xlfn.XLOOKUP(C10, data_master!G:G, data_master!B:B)</f>
        <v>55926</v>
      </c>
      <c r="B10" t="str">
        <f>_xlfn.XLOOKUP(C10, data_master!G:G, data_master!D:D)</f>
        <v>55926 KOTAMOBAGU</v>
      </c>
      <c r="C10" s="12" t="str">
        <v>B5572LYP</v>
      </c>
      <c r="D10" s="4">
        <f>IFERROR( _xlfn.MAXIFS( raw_stack!G:G, raw_stack!D:D, C10, raw_stack!F:F, "Iya" ), "" )</f>
        <v>45941</v>
      </c>
      <c r="E10" s="4">
        <f t="shared" si="0"/>
        <v>46123</v>
      </c>
      <c r="F10" s="7">
        <f>IFERROR(
 _xlfn.MAXIFS(
  raw_stack!H:H,
  raw_stack!D:D, C10,
  raw_stack!G:G, D10
 ),
 ""
)</f>
        <v>22555</v>
      </c>
      <c r="G10" s="7">
        <f>IFERROR(
 _xlfn.MAXIFS(
  raw_stack!E:E,
  raw_stack!D:D, C10,
  raw_stack!G:G, D10
 ),
 ""
)</f>
        <v>22555</v>
      </c>
      <c r="H10" s="10">
        <f t="shared" ca="1" si="1"/>
        <v>304</v>
      </c>
      <c r="I10" s="7">
        <f t="shared" si="2"/>
        <v>0</v>
      </c>
      <c r="J10" s="3" t="str">
        <f t="shared" ca="1" si="3"/>
        <v>OVERDUE</v>
      </c>
    </row>
    <row r="11" spans="1:10">
      <c r="A11" s="11" t="str">
        <f>_xlfn.XLOOKUP(C11, data_master!G:G, data_master!B:B)</f>
        <v>91919</v>
      </c>
      <c r="B11" t="str">
        <f>_xlfn.XLOOKUP(C11, data_master!G:G, data_master!D:D)</f>
        <v>91919 BATULICIN 2</v>
      </c>
      <c r="C11" s="12" t="str">
        <v>B2325IRM</v>
      </c>
      <c r="D11" s="4">
        <f>IFERROR( _xlfn.MAXIFS( raw_stack!G:G, raw_stack!D:D, C11, raw_stack!F:F, "Iya" ), "" )</f>
        <v>46041</v>
      </c>
      <c r="E11" s="4">
        <f t="shared" si="0"/>
        <v>46222</v>
      </c>
      <c r="F11" s="7">
        <f>IFERROR(
 _xlfn.MAXIFS(
  raw_stack!H:H,
  raw_stack!D:D, C11,
  raw_stack!G:G, D11
 ),
 ""
)</f>
        <v>28881</v>
      </c>
      <c r="G11" s="7">
        <f>IFERROR(
 _xlfn.MAXIFS(
  raw_stack!E:E,
  raw_stack!D:D, C11,
  raw_stack!G:G, D11
 ),
 ""
)</f>
        <v>28881</v>
      </c>
      <c r="H11" s="10">
        <f t="shared" ca="1" si="1"/>
        <v>204</v>
      </c>
      <c r="I11" s="7">
        <f t="shared" si="2"/>
        <v>0</v>
      </c>
      <c r="J11" s="3" t="str">
        <f t="shared" ca="1" si="3"/>
        <v>OVERDUE</v>
      </c>
    </row>
    <row r="12" spans="1:10">
      <c r="A12" s="11" t="str">
        <f>_xlfn.XLOOKUP(C12, data_master!G:G, data_master!B:B)</f>
        <v>70597</v>
      </c>
      <c r="B12" t="str">
        <f>_xlfn.XLOOKUP(C12, data_master!G:G, data_master!D:D)</f>
        <v>70597 AMUNTAI</v>
      </c>
      <c r="C12" s="12" t="str">
        <v>B7960GK</v>
      </c>
      <c r="D12" s="4">
        <f>IFERROR( _xlfn.MAXIFS( raw_stack!G:G, raw_stack!D:D, C12, raw_stack!F:F, "Iya" ), "" )</f>
        <v>45668</v>
      </c>
      <c r="E12" s="4">
        <f t="shared" si="0"/>
        <v>45849</v>
      </c>
      <c r="F12" s="7">
        <f>IFERROR(
 _xlfn.MAXIFS(
  raw_stack!H:H,
  raw_stack!D:D, C12,
  raw_stack!G:G, D12
 ),
 ""
)</f>
        <v>22754</v>
      </c>
      <c r="G12" s="7">
        <f>IFERROR(
 _xlfn.MAXIFS(
  raw_stack!E:E,
  raw_stack!D:D, C12,
  raw_stack!G:G, D12
 ),
 ""
)</f>
        <v>22754</v>
      </c>
      <c r="H12" s="10">
        <f t="shared" ca="1" si="1"/>
        <v>577</v>
      </c>
      <c r="I12" s="7">
        <f t="shared" si="2"/>
        <v>0</v>
      </c>
      <c r="J12" s="3" t="str">
        <f t="shared" ca="1" si="3"/>
        <v>OVERDUE</v>
      </c>
    </row>
    <row r="13" spans="1:10">
      <c r="A13" s="11" t="str">
        <f>_xlfn.XLOOKUP(C13, data_master!G:G, data_master!B:B)</f>
        <v>17645</v>
      </c>
      <c r="B13" t="str">
        <f>_xlfn.XLOOKUP(C13, data_master!G:G, data_master!D:D)</f>
        <v>17645 KEBUMEN</v>
      </c>
      <c r="C13" s="12" t="str">
        <v>B5541LZ</v>
      </c>
      <c r="D13" s="4">
        <f>IFERROR( _xlfn.MAXIFS( raw_stack!G:G, raw_stack!D:D, C13, raw_stack!F:F, "Iya" ), "" )</f>
        <v>45985</v>
      </c>
      <c r="E13" s="4">
        <f t="shared" si="0"/>
        <v>46166</v>
      </c>
      <c r="F13" s="7">
        <f>IFERROR(
 _xlfn.MAXIFS(
  raw_stack!H:H,
  raw_stack!D:D, C13,
  raw_stack!G:G, D13
 ),
 ""
)</f>
        <v>24689</v>
      </c>
      <c r="G13" s="7">
        <f>IFERROR(
 _xlfn.MAXIFS(
  raw_stack!E:E,
  raw_stack!D:D, C13,
  raw_stack!G:G, D13
 ),
 ""
)</f>
        <v>24689</v>
      </c>
      <c r="H13" s="10">
        <f t="shared" ca="1" si="1"/>
        <v>260</v>
      </c>
      <c r="I13" s="7">
        <f t="shared" si="2"/>
        <v>0</v>
      </c>
      <c r="J13" s="3" t="str">
        <f t="shared" ca="1" si="3"/>
        <v>OVERDUE</v>
      </c>
    </row>
    <row r="14" spans="1:10">
      <c r="A14" s="11" t="str">
        <f>_xlfn.XLOOKUP(C14, data_master!G:G, data_master!B:B)</f>
        <v>11037</v>
      </c>
      <c r="B14" t="str">
        <f>_xlfn.XLOOKUP(C14, data_master!G:G, data_master!D:D)</f>
        <v>11037 JEMBER POS</v>
      </c>
      <c r="C14" s="12" t="str">
        <v>B8182EB</v>
      </c>
      <c r="D14" s="4">
        <f>IFERROR( _xlfn.MAXIFS( raw_stack!G:G, raw_stack!D:D, C14, raw_stack!F:F, "Iya" ), "" )</f>
        <v>45950</v>
      </c>
      <c r="E14" s="4">
        <f t="shared" si="0"/>
        <v>46132</v>
      </c>
      <c r="F14" s="7">
        <f>IFERROR(
 _xlfn.MAXIFS(
  raw_stack!H:H,
  raw_stack!D:D, C14,
  raw_stack!G:G, D14
 ),
 ""
)</f>
        <v>86315</v>
      </c>
      <c r="G14" s="7">
        <f>IFERROR(
 _xlfn.MAXIFS(
  raw_stack!E:E,
  raw_stack!D:D, C14,
  raw_stack!G:G, D14
 ),
 ""
)</f>
        <v>86315</v>
      </c>
      <c r="H14" s="10">
        <f t="shared" ca="1" si="1"/>
        <v>295</v>
      </c>
      <c r="I14" s="7">
        <f t="shared" si="2"/>
        <v>0</v>
      </c>
      <c r="J14" s="3" t="str">
        <f t="shared" ca="1" si="3"/>
        <v>OVERDUE</v>
      </c>
    </row>
    <row r="15" spans="1:10">
      <c r="A15" s="11" t="str">
        <f>_xlfn.XLOOKUP(C15, data_master!G:G, data_master!B:B)</f>
        <v>52285</v>
      </c>
      <c r="B15" t="str">
        <f>_xlfn.XLOOKUP(C15, data_master!G:G, data_master!D:D)</f>
        <v>52285 PEKANBARU</v>
      </c>
      <c r="C15" s="12" t="str">
        <v>B8659VBE</v>
      </c>
      <c r="D15" s="4">
        <f>IFERROR( _xlfn.MAXIFS( raw_stack!G:G, raw_stack!D:D, C15, raw_stack!F:F, "Iya" ), "" )</f>
        <v>46059</v>
      </c>
      <c r="E15" s="4">
        <f t="shared" si="0"/>
        <v>46240</v>
      </c>
      <c r="F15" s="7">
        <f>IFERROR(
 _xlfn.MAXIFS(
  raw_stack!H:H,
  raw_stack!D:D, C15,
  raw_stack!G:G, D15
 ),
 ""
)</f>
        <v>92501</v>
      </c>
      <c r="G15" s="7">
        <f>IFERROR(
 _xlfn.MAXIFS(
  raw_stack!E:E,
  raw_stack!D:D, C15,
  raw_stack!G:G, D15
 ),
 ""
)</f>
        <v>92501</v>
      </c>
      <c r="H15" s="10">
        <f t="shared" ca="1" si="1"/>
        <v>186</v>
      </c>
      <c r="I15" s="7">
        <f t="shared" si="2"/>
        <v>0</v>
      </c>
      <c r="J15" s="3" t="str">
        <f t="shared" ca="1" si="3"/>
        <v>OVERDUE</v>
      </c>
    </row>
    <row r="16" spans="1:10">
      <c r="A16" s="11" t="str">
        <f>_xlfn.XLOOKUP(C16, data_master!G:G, data_master!B:B)</f>
        <v>72540</v>
      </c>
      <c r="B16" t="str">
        <f>_xlfn.XLOOKUP(C16, data_master!G:G, data_master!D:D)</f>
        <v>72540 MUNTOK 2</v>
      </c>
      <c r="C16" s="12" t="str">
        <v>B6557JW</v>
      </c>
      <c r="D16" s="4">
        <f>IFERROR( _xlfn.MAXIFS( raw_stack!G:G, raw_stack!D:D, C16, raw_stack!F:F, "Iya" ), "" )</f>
        <v>45999</v>
      </c>
      <c r="E16" s="4">
        <f t="shared" si="0"/>
        <v>46181</v>
      </c>
      <c r="F16" s="7">
        <f>IFERROR(
 _xlfn.MAXIFS(
  raw_stack!H:H,
  raw_stack!D:D, C16,
  raw_stack!G:G, D16
 ),
 ""
)</f>
        <v>87009</v>
      </c>
      <c r="G16" s="7">
        <f>IFERROR(
 _xlfn.MAXIFS(
  raw_stack!E:E,
  raw_stack!D:D, C16,
  raw_stack!G:G, D16
 ),
 ""
)</f>
        <v>87009</v>
      </c>
      <c r="H16" s="10">
        <f t="shared" ca="1" si="1"/>
        <v>246</v>
      </c>
      <c r="I16" s="7">
        <f t="shared" si="2"/>
        <v>0</v>
      </c>
      <c r="J16" s="3" t="str">
        <f t="shared" ca="1" si="3"/>
        <v>OVERDUE</v>
      </c>
    </row>
    <row r="17" spans="1:10">
      <c r="A17" s="11" t="str">
        <f>_xlfn.XLOOKUP(C17, data_master!G:G, data_master!B:B)</f>
        <v>89828</v>
      </c>
      <c r="B17" t="str">
        <f>_xlfn.XLOOKUP(C17, data_master!G:G, data_master!D:D)</f>
        <v>89828 NAMLEA</v>
      </c>
      <c r="C17" s="12" t="str">
        <v>B9653KV</v>
      </c>
      <c r="D17" s="4">
        <f>IFERROR( _xlfn.MAXIFS( raw_stack!G:G, raw_stack!D:D, C17, raw_stack!F:F, "Iya" ), "" )</f>
        <v>46039</v>
      </c>
      <c r="E17" s="4">
        <f t="shared" si="0"/>
        <v>46220</v>
      </c>
      <c r="F17" s="7">
        <f>IFERROR(
 _xlfn.MAXIFS(
  raw_stack!H:H,
  raw_stack!D:D, C17,
  raw_stack!G:G, D17
 ),
 ""
)</f>
        <v>51663</v>
      </c>
      <c r="G17" s="7">
        <f>IFERROR(
 _xlfn.MAXIFS(
  raw_stack!E:E,
  raw_stack!D:D, C17,
  raw_stack!G:G, D17
 ),
 ""
)</f>
        <v>51663</v>
      </c>
      <c r="H17" s="10">
        <f t="shared" ca="1" si="1"/>
        <v>206</v>
      </c>
      <c r="I17" s="7">
        <f t="shared" si="2"/>
        <v>0</v>
      </c>
      <c r="J17" s="3" t="str">
        <f t="shared" ca="1" si="3"/>
        <v>OVERDUE</v>
      </c>
    </row>
    <row r="18" spans="1:10">
      <c r="A18" s="11" t="str">
        <f>_xlfn.XLOOKUP(C18, data_master!G:G, data_master!B:B)</f>
        <v>90392</v>
      </c>
      <c r="B18" t="str">
        <f>_xlfn.XLOOKUP(C18, data_master!G:G, data_master!D:D)</f>
        <v>90392 NUNUKAN UNIT</v>
      </c>
      <c r="C18" s="12" t="str">
        <v>B2743VJK</v>
      </c>
      <c r="D18" s="4">
        <f>IFERROR( _xlfn.MAXIFS( raw_stack!G:G, raw_stack!D:D, C18, raw_stack!F:F, "Iya" ), "" )</f>
        <v>46002</v>
      </c>
      <c r="E18" s="4">
        <f t="shared" si="0"/>
        <v>46184</v>
      </c>
      <c r="F18" s="7">
        <f>IFERROR(
 _xlfn.MAXIFS(
  raw_stack!H:H,
  raw_stack!D:D, C18,
  raw_stack!G:G, D18
 ),
 ""
)</f>
        <v>61427</v>
      </c>
      <c r="G18" s="7">
        <f>IFERROR(
 _xlfn.MAXIFS(
  raw_stack!E:E,
  raw_stack!D:D, C18,
  raw_stack!G:G, D18
 ),
 ""
)</f>
        <v>61427</v>
      </c>
      <c r="H18" s="10">
        <f t="shared" ca="1" si="1"/>
        <v>243</v>
      </c>
      <c r="I18" s="7">
        <f t="shared" si="2"/>
        <v>0</v>
      </c>
      <c r="J18" s="3" t="str">
        <f t="shared" ca="1" si="3"/>
        <v>OVERDUE</v>
      </c>
    </row>
    <row r="19" spans="1:10">
      <c r="A19" s="11" t="str">
        <f>_xlfn.XLOOKUP(C19, data_master!G:G, data_master!B:B)</f>
        <v>44007</v>
      </c>
      <c r="B19" t="str">
        <f>_xlfn.XLOOKUP(C19, data_master!G:G, data_master!D:D)</f>
        <v>44007 BANDA ACEH</v>
      </c>
      <c r="C19" s="12" t="str">
        <v>B1960LKY</v>
      </c>
      <c r="D19" s="4">
        <f>IFERROR( _xlfn.MAXIFS( raw_stack!G:G, raw_stack!D:D, C19, raw_stack!F:F, "Iya" ), "" )</f>
        <v>46296</v>
      </c>
      <c r="E19" s="4">
        <f t="shared" si="0"/>
        <v>46478</v>
      </c>
      <c r="F19" s="7">
        <f>IFERROR(
 _xlfn.MAXIFS(
  raw_stack!H:H,
  raw_stack!D:D, C19,
  raw_stack!G:G, D19
 ),
 ""
)</f>
        <v>49627</v>
      </c>
      <c r="G19" s="7">
        <f>IFERROR(
 _xlfn.MAXIFS(
  raw_stack!E:E,
  raw_stack!D:D, C19,
  raw_stack!G:G, D19
 ),
 ""
)</f>
        <v>49627</v>
      </c>
      <c r="H19" s="10">
        <f t="shared" ca="1" si="1"/>
        <v>-51</v>
      </c>
      <c r="I19" s="7">
        <f t="shared" si="2"/>
        <v>0</v>
      </c>
      <c r="J19" s="3" t="str">
        <f t="shared" ca="1" si="3"/>
        <v>AMAN</v>
      </c>
    </row>
    <row r="20" spans="1:10">
      <c r="A20" s="11" t="str">
        <f>_xlfn.XLOOKUP(C20, data_master!G:G, data_master!B:B)</f>
        <v>29110</v>
      </c>
      <c r="B20" t="str">
        <f>_xlfn.XLOOKUP(C20, data_master!G:G, data_master!D:D)</f>
        <v>29110 INDRAGIRI HILIR</v>
      </c>
      <c r="C20" s="12" t="str">
        <v>B4547RRN</v>
      </c>
      <c r="D20" s="4">
        <f>IFERROR( _xlfn.MAXIFS( raw_stack!G:G, raw_stack!D:D, C20, raw_stack!F:F, "Iya" ), "" )</f>
        <v>45939</v>
      </c>
      <c r="E20" s="4">
        <f t="shared" si="0"/>
        <v>46121</v>
      </c>
      <c r="F20" s="7">
        <f>IFERROR(
 _xlfn.MAXIFS(
  raw_stack!H:H,
  raw_stack!D:D, C20,
  raw_stack!G:G, D20
 ),
 ""
)</f>
        <v>69285</v>
      </c>
      <c r="G20" s="7">
        <f>IFERROR(
 _xlfn.MAXIFS(
  raw_stack!E:E,
  raw_stack!D:D, C20,
  raw_stack!G:G, D20
 ),
 ""
)</f>
        <v>69285</v>
      </c>
      <c r="H20" s="10">
        <f t="shared" ca="1" si="1"/>
        <v>306</v>
      </c>
      <c r="I20" s="7">
        <f t="shared" si="2"/>
        <v>0</v>
      </c>
      <c r="J20" s="3" t="str">
        <f t="shared" ca="1" si="3"/>
        <v>OVERDUE</v>
      </c>
    </row>
    <row r="21" spans="1:10">
      <c r="A21" s="11" t="str">
        <f>_xlfn.XLOOKUP(C21, data_master!G:G, data_master!B:B)</f>
        <v>52103</v>
      </c>
      <c r="B21" t="str">
        <f>_xlfn.XLOOKUP(C21, data_master!G:G, data_master!D:D)</f>
        <v>52103 BATAM 2</v>
      </c>
      <c r="C21" s="12" t="str">
        <v>B6191JQ</v>
      </c>
      <c r="D21" s="4">
        <f>IFERROR( _xlfn.MAXIFS( raw_stack!G:G, raw_stack!D:D, C21, raw_stack!F:F, "Iya" ), "" )</f>
        <v>46004</v>
      </c>
      <c r="E21" s="4">
        <f t="shared" si="0"/>
        <v>46186</v>
      </c>
      <c r="F21" s="7">
        <f>IFERROR(
 _xlfn.MAXIFS(
  raw_stack!H:H,
  raw_stack!D:D, C21,
  raw_stack!G:G, D21
 ),
 ""
)</f>
        <v>85805</v>
      </c>
      <c r="G21" s="7">
        <f>IFERROR(
 _xlfn.MAXIFS(
  raw_stack!E:E,
  raw_stack!D:D, C21,
  raw_stack!G:G, D21
 ),
 ""
)</f>
        <v>85805</v>
      </c>
      <c r="H21" s="10">
        <f t="shared" ca="1" si="1"/>
        <v>241</v>
      </c>
      <c r="I21" s="7">
        <f t="shared" si="2"/>
        <v>0</v>
      </c>
      <c r="J21" s="3" t="str">
        <f t="shared" ca="1" si="3"/>
        <v>OVERDUE</v>
      </c>
    </row>
    <row r="22" spans="1:10">
      <c r="A22" s="11" t="str">
        <f>_xlfn.XLOOKUP(C22, data_master!G:G, data_master!B:B)</f>
        <v>92412</v>
      </c>
      <c r="B22" t="str">
        <f>_xlfn.XLOOKUP(C22, data_master!G:G, data_master!D:D)</f>
        <v>92412 MALANG POS</v>
      </c>
      <c r="C22" s="12" t="str">
        <v>D8668TS</v>
      </c>
      <c r="D22" s="4">
        <f>IFERROR( _xlfn.MAXIFS( raw_stack!G:G, raw_stack!D:D, C22, raw_stack!F:F, "Iya" ), "" )</f>
        <v>45980</v>
      </c>
      <c r="E22" s="4">
        <f t="shared" si="0"/>
        <v>46161</v>
      </c>
      <c r="F22" s="7">
        <f>IFERROR(
 _xlfn.MAXIFS(
  raw_stack!H:H,
  raw_stack!D:D, C22,
  raw_stack!G:G, D22
 ),
 ""
)</f>
        <v>30678</v>
      </c>
      <c r="G22" s="7">
        <f>IFERROR(
 _xlfn.MAXIFS(
  raw_stack!E:E,
  raw_stack!D:D, C22,
  raw_stack!G:G, D22
 ),
 ""
)</f>
        <v>30678</v>
      </c>
      <c r="H22" s="10">
        <f t="shared" ca="1" si="1"/>
        <v>265</v>
      </c>
      <c r="I22" s="7">
        <f t="shared" si="2"/>
        <v>0</v>
      </c>
      <c r="J22" s="3" t="str">
        <f t="shared" ca="1" si="3"/>
        <v>OVERDUE</v>
      </c>
    </row>
    <row r="23" spans="1:10">
      <c r="A23" s="11" t="str">
        <f>_xlfn.XLOOKUP(C23, data_master!G:G, data_master!B:B)</f>
        <v>40555</v>
      </c>
      <c r="B23" t="str">
        <f>_xlfn.XLOOKUP(C23, data_master!G:G, data_master!D:D)</f>
        <v>40555 MANNA</v>
      </c>
      <c r="C23" s="12" t="str">
        <v>B9936AP</v>
      </c>
      <c r="D23" s="4">
        <f>IFERROR( _xlfn.MAXIFS( raw_stack!G:G, raw_stack!D:D, C23, raw_stack!F:F, "Iya" ), "" )</f>
        <v>46032</v>
      </c>
      <c r="E23" s="4">
        <f t="shared" si="0"/>
        <v>46213</v>
      </c>
      <c r="F23" s="7">
        <f>IFERROR(
 _xlfn.MAXIFS(
  raw_stack!H:H,
  raw_stack!D:D, C23,
  raw_stack!G:G, D23
 ),
 ""
)</f>
        <v>54324</v>
      </c>
      <c r="G23" s="7">
        <f>IFERROR(
 _xlfn.MAXIFS(
  raw_stack!E:E,
  raw_stack!D:D, C23,
  raw_stack!G:G, D23
 ),
 ""
)</f>
        <v>54324</v>
      </c>
      <c r="H23" s="10">
        <f t="shared" ca="1" si="1"/>
        <v>213</v>
      </c>
      <c r="I23" s="7">
        <f t="shared" si="2"/>
        <v>0</v>
      </c>
      <c r="J23" s="3" t="str">
        <f t="shared" ca="1" si="3"/>
        <v>OVERDUE</v>
      </c>
    </row>
    <row r="24" spans="1:10">
      <c r="A24" s="11" t="str">
        <f>_xlfn.XLOOKUP(C24, data_master!G:G, data_master!B:B)</f>
        <v>78077</v>
      </c>
      <c r="B24" t="str">
        <f>_xlfn.XLOOKUP(C24, data_master!G:G, data_master!D:D)</f>
        <v>78077 METRO 2</v>
      </c>
      <c r="C24" s="12" t="str">
        <v>B5918LZ</v>
      </c>
      <c r="D24" s="4">
        <f>IFERROR( _xlfn.MAXIFS( raw_stack!G:G, raw_stack!D:D, C24, raw_stack!F:F, "Iya" ), "" )</f>
        <v>46120</v>
      </c>
      <c r="E24" s="4">
        <f t="shared" si="0"/>
        <v>46303</v>
      </c>
      <c r="F24" s="7">
        <f>IFERROR(
 _xlfn.MAXIFS(
  raw_stack!H:H,
  raw_stack!D:D, C24,
  raw_stack!G:G, D24
 ),
 ""
)</f>
        <v>104998</v>
      </c>
      <c r="G24" s="7">
        <f>IFERROR(
 _xlfn.MAXIFS(
  raw_stack!E:E,
  raw_stack!D:D, C24,
  raw_stack!G:G, D24
 ),
 ""
)</f>
        <v>105566</v>
      </c>
      <c r="H24" s="10">
        <f t="shared" ca="1" si="1"/>
        <v>125</v>
      </c>
      <c r="I24" s="7">
        <f t="shared" si="2"/>
        <v>568</v>
      </c>
      <c r="J24" s="3" t="str">
        <f t="shared" ca="1" si="3"/>
        <v>AMAN</v>
      </c>
    </row>
    <row r="25" spans="1:10">
      <c r="A25" s="11" t="str">
        <f>_xlfn.XLOOKUP(C25, data_master!G:G, data_master!B:B)</f>
        <v>47591</v>
      </c>
      <c r="B25" t="str">
        <f>_xlfn.XLOOKUP(C25, data_master!G:G, data_master!D:D)</f>
        <v>47591 LABUAN BAJO BRANCH</v>
      </c>
      <c r="C25" s="12" t="str">
        <v>B9409VZ</v>
      </c>
      <c r="D25" s="4">
        <f>IFERROR( _xlfn.MAXIFS( raw_stack!G:G, raw_stack!D:D, C25, raw_stack!F:F, "Iya" ), "" )</f>
        <v>45903</v>
      </c>
      <c r="E25" s="4">
        <f t="shared" si="0"/>
        <v>46084</v>
      </c>
      <c r="F25" s="7">
        <f>IFERROR(
 _xlfn.MAXIFS(
  raw_stack!H:H,
  raw_stack!D:D, C25,
  raw_stack!G:G, D25
 ),
 ""
)</f>
        <v>24606</v>
      </c>
      <c r="G25" s="7">
        <f>IFERROR(
 _xlfn.MAXIFS(
  raw_stack!E:E,
  raw_stack!D:D, C25,
  raw_stack!G:G, D25
 ),
 ""
)</f>
        <v>24606</v>
      </c>
      <c r="H25" s="10">
        <f t="shared" ca="1" si="1"/>
        <v>342</v>
      </c>
      <c r="I25" s="7">
        <f t="shared" si="2"/>
        <v>0</v>
      </c>
      <c r="J25" s="3" t="str">
        <f t="shared" ca="1" si="3"/>
        <v>OVERDUE</v>
      </c>
    </row>
    <row r="26" spans="1:10">
      <c r="A26" s="11" t="str">
        <f>_xlfn.XLOOKUP(C26, data_master!G:G, data_master!B:B)</f>
        <v>39371</v>
      </c>
      <c r="B26" t="str">
        <f>_xlfn.XLOOKUP(C26, data_master!G:G, data_master!D:D)</f>
        <v>39371 SAMPIT 2</v>
      </c>
      <c r="C26" s="12" t="str">
        <v>B3345RM</v>
      </c>
      <c r="D26" s="4">
        <f>IFERROR( _xlfn.MAXIFS( raw_stack!G:G, raw_stack!D:D, C26, raw_stack!F:F, "Iya" ), "" )</f>
        <v>46004</v>
      </c>
      <c r="E26" s="4">
        <f t="shared" si="0"/>
        <v>46186</v>
      </c>
      <c r="F26" s="7">
        <f>IFERROR(
 _xlfn.MAXIFS(
  raw_stack!H:H,
  raw_stack!D:D, C26,
  raw_stack!G:G, D26
 ),
 ""
)</f>
        <v>119071</v>
      </c>
      <c r="G26" s="7">
        <f>IFERROR(
 _xlfn.MAXIFS(
  raw_stack!E:E,
  raw_stack!D:D, C26,
  raw_stack!G:G, D26
 ),
 ""
)</f>
        <v>119071</v>
      </c>
      <c r="H26" s="10">
        <f t="shared" ca="1" si="1"/>
        <v>241</v>
      </c>
      <c r="I26" s="7">
        <f t="shared" si="2"/>
        <v>0</v>
      </c>
      <c r="J26" s="3" t="str">
        <f t="shared" ca="1" si="3"/>
        <v>OVERDUE</v>
      </c>
    </row>
    <row r="27" spans="1:10">
      <c r="A27" s="11" t="str">
        <f>_xlfn.XLOOKUP(C27, data_master!G:G, data_master!B:B)</f>
        <v>42998</v>
      </c>
      <c r="B27" t="str">
        <f>_xlfn.XLOOKUP(C27, data_master!G:G, data_master!D:D)</f>
        <v>42998 SERUI 2</v>
      </c>
      <c r="C27" s="12" t="str">
        <v>B5388UQ</v>
      </c>
      <c r="D27" s="4">
        <f>IFERROR( _xlfn.MAXIFS( raw_stack!G:G, raw_stack!D:D, C27, raw_stack!F:F, "Iya" ), "" )</f>
        <v>45992</v>
      </c>
      <c r="E27" s="4">
        <f t="shared" si="0"/>
        <v>46174</v>
      </c>
      <c r="F27" s="7">
        <f>IFERROR(
 _xlfn.MAXIFS(
  raw_stack!H:H,
  raw_stack!D:D, C27,
  raw_stack!G:G, D27
 ),
 ""
)</f>
        <v>53253</v>
      </c>
      <c r="G27" s="7">
        <f>IFERROR(
 _xlfn.MAXIFS(
  raw_stack!E:E,
  raw_stack!D:D, C27,
  raw_stack!G:G, D27
 ),
 ""
)</f>
        <v>53253</v>
      </c>
      <c r="H27" s="10">
        <f t="shared" ca="1" si="1"/>
        <v>253</v>
      </c>
      <c r="I27" s="7">
        <f t="shared" si="2"/>
        <v>0</v>
      </c>
      <c r="J27" s="3" t="str">
        <f t="shared" ca="1" si="3"/>
        <v>OVERDUE</v>
      </c>
    </row>
    <row r="28" spans="1:10">
      <c r="A28" s="11" t="str">
        <f>_xlfn.XLOOKUP(C28, data_master!G:G, data_master!B:B)</f>
        <v>81962</v>
      </c>
      <c r="B28" t="str">
        <f>_xlfn.XLOOKUP(C28, data_master!G:G, data_master!D:D)</f>
        <v>81962 MEDAN 2</v>
      </c>
      <c r="C28" s="12" t="str">
        <v>B2784YG</v>
      </c>
      <c r="D28" s="4">
        <f>IFERROR( _xlfn.MAXIFS( raw_stack!G:G, raw_stack!D:D, C28, raw_stack!F:F, "Iya" ), "" )</f>
        <v>45952</v>
      </c>
      <c r="E28" s="4">
        <f t="shared" si="0"/>
        <v>46134</v>
      </c>
      <c r="F28" s="7">
        <f>IFERROR(
 _xlfn.MAXIFS(
  raw_stack!H:H,
  raw_stack!D:D, C28,
  raw_stack!G:G, D28
 ),
 ""
)</f>
        <v>89343</v>
      </c>
      <c r="G28" s="7">
        <f>IFERROR(
 _xlfn.MAXIFS(
  raw_stack!E:E,
  raw_stack!D:D, C28,
  raw_stack!G:G, D28
 ),
 ""
)</f>
        <v>89343</v>
      </c>
      <c r="H28" s="10">
        <f t="shared" ca="1" si="1"/>
        <v>293</v>
      </c>
      <c r="I28" s="7">
        <f t="shared" si="2"/>
        <v>0</v>
      </c>
      <c r="J28" s="3" t="str">
        <f t="shared" ca="1" si="3"/>
        <v>OVERDUE</v>
      </c>
    </row>
    <row r="29" spans="1:10">
      <c r="A29" s="11" t="str">
        <f>_xlfn.XLOOKUP(C29, data_master!G:G, data_master!B:B)</f>
        <v>53715</v>
      </c>
      <c r="B29" t="str">
        <f>_xlfn.XLOOKUP(C29, data_master!G:G, data_master!D:D)</f>
        <v>53715 SALATIGA POS</v>
      </c>
      <c r="C29" s="12" t="str">
        <v>B7707TH</v>
      </c>
      <c r="D29" s="4">
        <f>IFERROR( _xlfn.MAXIFS( raw_stack!G:G, raw_stack!D:D, C29, raw_stack!F:F, "Iya" ), "" )</f>
        <v>46027</v>
      </c>
      <c r="E29" s="4">
        <f t="shared" si="0"/>
        <v>46208</v>
      </c>
      <c r="F29" s="7">
        <f>IFERROR(
 _xlfn.MAXIFS(
  raw_stack!H:H,
  raw_stack!D:D, C29,
  raw_stack!G:G, D29
 ),
 ""
)</f>
        <v>67411</v>
      </c>
      <c r="G29" s="7">
        <f>IFERROR(
 _xlfn.MAXIFS(
  raw_stack!E:E,
  raw_stack!D:D, C29,
  raw_stack!G:G, D29
 ),
 ""
)</f>
        <v>67411</v>
      </c>
      <c r="H29" s="10">
        <f t="shared" ca="1" si="1"/>
        <v>218</v>
      </c>
      <c r="I29" s="7">
        <f t="shared" si="2"/>
        <v>0</v>
      </c>
      <c r="J29" s="3" t="str">
        <f t="shared" ca="1" si="3"/>
        <v>OVERDUE</v>
      </c>
    </row>
    <row r="30" spans="1:10">
      <c r="A30" s="11" t="str">
        <f>_xlfn.XLOOKUP(C30, data_master!G:G, data_master!B:B)</f>
        <v>56875</v>
      </c>
      <c r="B30" t="str">
        <f>_xlfn.XLOOKUP(C30, data_master!G:G, data_master!D:D)</f>
        <v>56875 TULANG BAWANG</v>
      </c>
      <c r="C30" s="12" t="str">
        <v>B7223XEX</v>
      </c>
      <c r="D30" s="4">
        <f>IFERROR( _xlfn.MAXIFS( raw_stack!G:G, raw_stack!D:D, C30, raw_stack!F:F, "Iya" ), "" )</f>
        <v>46094</v>
      </c>
      <c r="E30" s="4">
        <f t="shared" si="0"/>
        <v>46278</v>
      </c>
      <c r="F30" s="7">
        <f>IFERROR(
 _xlfn.MAXIFS(
  raw_stack!H:H,
  raw_stack!D:D, C30,
  raw_stack!G:G, D30
 ),
 ""
)</f>
        <v>61375</v>
      </c>
      <c r="G30" s="7">
        <f>IFERROR(
 _xlfn.MAXIFS(
  raw_stack!E:E,
  raw_stack!D:D, C30,
  raw_stack!G:G, D30
 ),
 ""
)</f>
        <v>61375</v>
      </c>
      <c r="H30" s="10">
        <f t="shared" ca="1" si="1"/>
        <v>151</v>
      </c>
      <c r="I30" s="7">
        <f t="shared" si="2"/>
        <v>0</v>
      </c>
      <c r="J30" s="3" t="str">
        <f t="shared" ca="1" si="3"/>
        <v>AMAN</v>
      </c>
    </row>
    <row r="31" spans="1:10">
      <c r="A31" s="11" t="str">
        <f>_xlfn.XLOOKUP(C31, data_master!G:G, data_master!B:B)</f>
        <v>64137</v>
      </c>
      <c r="B31" t="str">
        <f>_xlfn.XLOOKUP(C31, data_master!G:G, data_master!D:D)</f>
        <v>64137 WAINGAPU</v>
      </c>
      <c r="C31" s="12" t="str">
        <v>B6882KT</v>
      </c>
      <c r="D31" s="4">
        <f>IFERROR( _xlfn.MAXIFS( raw_stack!G:G, raw_stack!D:D, C31, raw_stack!F:F, "Iya" ), "" )</f>
        <v>45982</v>
      </c>
      <c r="E31" s="4">
        <f t="shared" si="0"/>
        <v>46163</v>
      </c>
      <c r="F31" s="7">
        <f>IFERROR(
 _xlfn.MAXIFS(
  raw_stack!H:H,
  raw_stack!D:D, C31,
  raw_stack!G:G, D31
 ),
 ""
)</f>
        <v>66002</v>
      </c>
      <c r="G31" s="7">
        <f>IFERROR(
 _xlfn.MAXIFS(
  raw_stack!E:E,
  raw_stack!D:D, C31,
  raw_stack!G:G, D31
 ),
 ""
)</f>
        <v>66002</v>
      </c>
      <c r="H31" s="10">
        <f t="shared" ca="1" si="1"/>
        <v>263</v>
      </c>
      <c r="I31" s="7">
        <f t="shared" si="2"/>
        <v>0</v>
      </c>
      <c r="J31" s="3" t="str">
        <f t="shared" ca="1" si="3"/>
        <v>OVERDUE</v>
      </c>
    </row>
    <row r="32" spans="1:10">
      <c r="A32" s="11" t="str">
        <f>_xlfn.XLOOKUP(C32, data_master!G:G, data_master!B:B)</f>
        <v>96224</v>
      </c>
      <c r="B32" t="str">
        <f>_xlfn.XLOOKUP(C32, data_master!G:G, data_master!D:D)</f>
        <v>96224 LHOKSEUMAWE</v>
      </c>
      <c r="C32" s="12" t="str">
        <v>B9274GSS</v>
      </c>
      <c r="D32" s="4">
        <f>IFERROR( _xlfn.MAXIFS( raw_stack!G:G, raw_stack!D:D, C32, raw_stack!F:F, "Iya" ), "" )</f>
        <v>45988</v>
      </c>
      <c r="E32" s="4">
        <f t="shared" si="0"/>
        <v>46169</v>
      </c>
      <c r="F32" s="7">
        <f>IFERROR(
 _xlfn.MAXIFS(
  raw_stack!H:H,
  raw_stack!D:D, C32,
  raw_stack!G:G, D32
 ),
 ""
)</f>
        <v>45544</v>
      </c>
      <c r="G32" s="7">
        <f>IFERROR(
 _xlfn.MAXIFS(
  raw_stack!E:E,
  raw_stack!D:D, C32,
  raw_stack!G:G, D32
 ),
 ""
)</f>
        <v>45544</v>
      </c>
      <c r="H32" s="10">
        <f t="shared" ca="1" si="1"/>
        <v>257</v>
      </c>
      <c r="I32" s="7">
        <f t="shared" si="2"/>
        <v>0</v>
      </c>
      <c r="J32" s="3" t="str">
        <f t="shared" ca="1" si="3"/>
        <v>OVERDUE</v>
      </c>
    </row>
    <row r="33" spans="1:10">
      <c r="A33" s="11" t="str">
        <f>_xlfn.XLOOKUP(C33, data_master!G:G, data_master!B:B)</f>
        <v>82746</v>
      </c>
      <c r="B33" t="str">
        <f>_xlfn.XLOOKUP(C33, data_master!G:G, data_master!D:D)</f>
        <v>82746 SURABAYA 2</v>
      </c>
      <c r="C33" s="12" t="str">
        <v>B7584BN</v>
      </c>
      <c r="D33" s="4">
        <f>IFERROR( _xlfn.MAXIFS( raw_stack!G:G, raw_stack!D:D, C33, raw_stack!F:F, "Iya" ), "" )</f>
        <v>46058</v>
      </c>
      <c r="E33" s="4">
        <f t="shared" si="0"/>
        <v>46239</v>
      </c>
      <c r="F33" s="7">
        <f>IFERROR(
 _xlfn.MAXIFS(
  raw_stack!H:H,
  raw_stack!D:D, C33,
  raw_stack!G:G, D33
 ),
 ""
)</f>
        <v>52155</v>
      </c>
      <c r="G33" s="7">
        <f>IFERROR(
 _xlfn.MAXIFS(
  raw_stack!E:E,
  raw_stack!D:D, C33,
  raw_stack!G:G, D33
 ),
 ""
)</f>
        <v>52155</v>
      </c>
      <c r="H33" s="10">
        <f t="shared" ca="1" si="1"/>
        <v>187</v>
      </c>
      <c r="I33" s="7">
        <f t="shared" si="2"/>
        <v>0</v>
      </c>
      <c r="J33" s="3" t="str">
        <f t="shared" ca="1" si="3"/>
        <v>OVERDUE</v>
      </c>
    </row>
    <row r="34" spans="1:10">
      <c r="A34" s="11" t="str">
        <f>_xlfn.XLOOKUP(C34, data_master!G:G, data_master!B:B)</f>
        <v>70524</v>
      </c>
      <c r="B34" t="str">
        <f>_xlfn.XLOOKUP(C34, data_master!G:G, data_master!D:D)</f>
        <v>70524 PADANG 2</v>
      </c>
      <c r="C34" s="12" t="str">
        <v>B5843ME</v>
      </c>
      <c r="D34" s="4">
        <f>IFERROR( _xlfn.MAXIFS( raw_stack!G:G, raw_stack!D:D, C34, raw_stack!F:F, "Iya" ), "" )</f>
        <v>45943</v>
      </c>
      <c r="E34" s="4">
        <f t="shared" si="0"/>
        <v>46125</v>
      </c>
      <c r="F34" s="7">
        <f>IFERROR(
 _xlfn.MAXIFS(
  raw_stack!H:H,
  raw_stack!D:D, C34,
  raw_stack!G:G, D34
 ),
 ""
)</f>
        <v>104110</v>
      </c>
      <c r="G34" s="7">
        <f>IFERROR(
 _xlfn.MAXIFS(
  raw_stack!E:E,
  raw_stack!D:D, C34,
  raw_stack!G:G, D34
 ),
 ""
)</f>
        <v>104110</v>
      </c>
      <c r="H34" s="10">
        <f t="shared" ca="1" si="1"/>
        <v>302</v>
      </c>
      <c r="I34" s="7">
        <f t="shared" si="2"/>
        <v>0</v>
      </c>
      <c r="J34" s="3" t="str">
        <f t="shared" ca="1" si="3"/>
        <v>OVERDUE</v>
      </c>
    </row>
    <row r="35" spans="1:10">
      <c r="A35" s="11" t="str">
        <f>_xlfn.XLOOKUP(C35, data_master!G:G, data_master!B:B)</f>
        <v>60924</v>
      </c>
      <c r="B35" t="str">
        <f>_xlfn.XLOOKUP(C35, data_master!G:G, data_master!D:D)</f>
        <v>60924 CILACAP</v>
      </c>
      <c r="C35" s="12" t="str">
        <v>B4790UR</v>
      </c>
      <c r="D35" s="4">
        <f>IFERROR( _xlfn.MAXIFS( raw_stack!G:G, raw_stack!D:D, C35, raw_stack!F:F, "Iya" ), "" )</f>
        <v>45811</v>
      </c>
      <c r="E35" s="4">
        <f t="shared" si="0"/>
        <v>45994</v>
      </c>
      <c r="F35" s="7">
        <f>IFERROR(
 _xlfn.MAXIFS(
  raw_stack!H:H,
  raw_stack!D:D, C35,
  raw_stack!G:G, D35
 ),
 ""
)</f>
        <v>44394</v>
      </c>
      <c r="G35" s="7">
        <f>IFERROR(
 _xlfn.MAXIFS(
  raw_stack!E:E,
  raw_stack!D:D, C35,
  raw_stack!G:G, D35
 ),
 ""
)</f>
        <v>44394</v>
      </c>
      <c r="H35" s="10">
        <f t="shared" ca="1" si="1"/>
        <v>434</v>
      </c>
      <c r="I35" s="7">
        <f t="shared" si="2"/>
        <v>0</v>
      </c>
      <c r="J35" s="3" t="str">
        <f t="shared" ca="1" si="3"/>
        <v>OVERDUE</v>
      </c>
    </row>
    <row r="36" spans="1:10">
      <c r="A36" s="11" t="str">
        <f>_xlfn.XLOOKUP(C36, data_master!G:G, data_master!B:B)</f>
        <v>23316</v>
      </c>
      <c r="B36" t="str">
        <f>_xlfn.XLOOKUP(C36, data_master!G:G, data_master!D:D)</f>
        <v>23316 TEGAL BRANCH</v>
      </c>
      <c r="C36" s="12" t="str">
        <v>B3271BYK</v>
      </c>
      <c r="D36" s="4">
        <f>IFERROR( _xlfn.MAXIFS( raw_stack!G:G, raw_stack!D:D, C36, raw_stack!F:F, "Iya" ), "" )</f>
        <v>45936</v>
      </c>
      <c r="E36" s="4">
        <f t="shared" si="0"/>
        <v>46118</v>
      </c>
      <c r="F36" s="7">
        <f>IFERROR(
 _xlfn.MAXIFS(
  raw_stack!H:H,
  raw_stack!D:D, C36,
  raw_stack!G:G, D36
 ),
 ""
)</f>
        <v>37071</v>
      </c>
      <c r="G36" s="7">
        <f>IFERROR(
 _xlfn.MAXIFS(
  raw_stack!E:E,
  raw_stack!D:D, C36,
  raw_stack!G:G, D36
 ),
 ""
)</f>
        <v>37071</v>
      </c>
      <c r="H36" s="10">
        <f t="shared" ca="1" si="1"/>
        <v>309</v>
      </c>
      <c r="I36" s="7">
        <f t="shared" si="2"/>
        <v>0</v>
      </c>
      <c r="J36" s="3" t="str">
        <f t="shared" ca="1" si="3"/>
        <v>OVERDUE</v>
      </c>
    </row>
    <row r="37" spans="1:10">
      <c r="A37" s="11" t="str">
        <f>_xlfn.XLOOKUP(C37, data_master!G:G, data_master!B:B)</f>
        <v>55318</v>
      </c>
      <c r="B37" t="str">
        <f>_xlfn.XLOOKUP(C37, data_master!G:G, data_master!D:D)</f>
        <v>55318 PAMEKASAN</v>
      </c>
      <c r="C37" s="12" t="str">
        <v>B8342NSJ</v>
      </c>
      <c r="D37" s="4">
        <f>IFERROR( _xlfn.MAXIFS( raw_stack!G:G, raw_stack!D:D, C37, raw_stack!F:F, "Iya" ), "" )</f>
        <v>45956</v>
      </c>
      <c r="E37" s="4">
        <f t="shared" si="0"/>
        <v>46138</v>
      </c>
      <c r="F37" s="7">
        <f>IFERROR(
 _xlfn.MAXIFS(
  raw_stack!H:H,
  raw_stack!D:D, C37,
  raw_stack!G:G, D37
 ),
 ""
)</f>
        <v>50335</v>
      </c>
      <c r="G37" s="7">
        <f>IFERROR(
 _xlfn.MAXIFS(
  raw_stack!E:E,
  raw_stack!D:D, C37,
  raw_stack!G:G, D37
 ),
 ""
)</f>
        <v>50335</v>
      </c>
      <c r="H37" s="10">
        <f t="shared" ca="1" si="1"/>
        <v>289</v>
      </c>
      <c r="I37" s="7">
        <f t="shared" si="2"/>
        <v>0</v>
      </c>
      <c r="J37" s="3" t="str">
        <f t="shared" ca="1" si="3"/>
        <v>OVERDUE</v>
      </c>
    </row>
    <row r="38" spans="1:10">
      <c r="A38" s="11" t="str">
        <f>_xlfn.XLOOKUP(C38, data_master!G:G, data_master!B:B)</f>
        <v>24647</v>
      </c>
      <c r="B38" t="str">
        <f>_xlfn.XLOOKUP(C38, data_master!G:G, data_master!D:D)</f>
        <v>24647 SIBOLGA 2</v>
      </c>
      <c r="C38" s="12" t="str">
        <v>B3540VF</v>
      </c>
      <c r="D38" s="4">
        <f>IFERROR( _xlfn.MAXIFS( raw_stack!G:G, raw_stack!D:D, C38, raw_stack!F:F, "Iya" ), "" )</f>
        <v>45911</v>
      </c>
      <c r="E38" s="4">
        <f t="shared" si="0"/>
        <v>46092</v>
      </c>
      <c r="F38" s="7">
        <f>IFERROR(
 _xlfn.MAXIFS(
  raw_stack!H:H,
  raw_stack!D:D, C38,
  raw_stack!G:G, D38
 ),
 ""
)</f>
        <v>20214</v>
      </c>
      <c r="G38" s="7">
        <f>IFERROR(
 _xlfn.MAXIFS(
  raw_stack!E:E,
  raw_stack!D:D, C38,
  raw_stack!G:G, D38
 ),
 ""
)</f>
        <v>20214</v>
      </c>
      <c r="H38" s="10">
        <f t="shared" ca="1" si="1"/>
        <v>334</v>
      </c>
      <c r="I38" s="7">
        <f t="shared" si="2"/>
        <v>0</v>
      </c>
      <c r="J38" s="3" t="str">
        <f t="shared" ca="1" si="3"/>
        <v>OVERDUE</v>
      </c>
    </row>
    <row r="39" spans="1:10">
      <c r="A39" s="11" t="str">
        <f>_xlfn.XLOOKUP(C39, data_master!G:G, data_master!B:B)</f>
        <v>19910</v>
      </c>
      <c r="B39" t="str">
        <f>_xlfn.XLOOKUP(C39, data_master!G:G, data_master!D:D)</f>
        <v>19910 KARANGASEM BRANCH</v>
      </c>
      <c r="C39" s="12" t="str">
        <v>B7390TQ</v>
      </c>
      <c r="D39" s="4">
        <f>IFERROR( _xlfn.MAXIFS( raw_stack!G:G, raw_stack!D:D, C39, raw_stack!F:F, "Iya" ), "" )</f>
        <v>46031</v>
      </c>
      <c r="E39" s="4">
        <f t="shared" si="0"/>
        <v>46212</v>
      </c>
      <c r="F39" s="7">
        <f>IFERROR(
 _xlfn.MAXIFS(
  raw_stack!H:H,
  raw_stack!D:D, C39,
  raw_stack!G:G, D39
 ),
 ""
)</f>
        <v>47776</v>
      </c>
      <c r="G39" s="7">
        <f>IFERROR(
 _xlfn.MAXIFS(
  raw_stack!E:E,
  raw_stack!D:D, C39,
  raw_stack!G:G, D39
 ),
 ""
)</f>
        <v>47776</v>
      </c>
      <c r="H39" s="10">
        <f t="shared" ca="1" si="1"/>
        <v>214</v>
      </c>
      <c r="I39" s="7">
        <f t="shared" si="2"/>
        <v>0</v>
      </c>
      <c r="J39" s="3" t="str">
        <f t="shared" ca="1" si="3"/>
        <v>OVERDUE</v>
      </c>
    </row>
    <row r="40" spans="1:10">
      <c r="A40" s="11" t="str">
        <f>_xlfn.XLOOKUP(C40, data_master!G:G, data_master!B:B)</f>
        <v>67081</v>
      </c>
      <c r="B40" t="str">
        <f>_xlfn.XLOOKUP(C40, data_master!G:G, data_master!D:D)</f>
        <v>67081 MAROS</v>
      </c>
      <c r="C40" s="12" t="str">
        <v>B3245IGH</v>
      </c>
      <c r="D40" s="4">
        <f>IFERROR( _xlfn.MAXIFS( raw_stack!G:G, raw_stack!D:D, C40, raw_stack!F:F, "Iya" ), "" )</f>
        <v>46028</v>
      </c>
      <c r="E40" s="4">
        <f t="shared" si="0"/>
        <v>46209</v>
      </c>
      <c r="F40" s="7">
        <f>IFERROR(
 _xlfn.MAXIFS(
  raw_stack!H:H,
  raw_stack!D:D, C40,
  raw_stack!G:G, D40
 ),
 ""
)</f>
        <v>44001</v>
      </c>
      <c r="G40" s="7">
        <f>IFERROR(
 _xlfn.MAXIFS(
  raw_stack!E:E,
  raw_stack!D:D, C40,
  raw_stack!G:G, D40
 ),
 ""
)</f>
        <v>44001</v>
      </c>
      <c r="H40" s="10">
        <f t="shared" ca="1" si="1"/>
        <v>217</v>
      </c>
      <c r="I40" s="7">
        <f t="shared" si="2"/>
        <v>0</v>
      </c>
      <c r="J40" s="3" t="str">
        <f t="shared" ca="1" si="3"/>
        <v>OVERDUE</v>
      </c>
    </row>
    <row r="41" spans="1:10">
      <c r="A41" s="11" t="str">
        <f>_xlfn.XLOOKUP(C41, data_master!G:G, data_master!B:B)</f>
        <v>99068</v>
      </c>
      <c r="B41" t="str">
        <f>_xlfn.XLOOKUP(C41, data_master!G:G, data_master!D:D)</f>
        <v>99068 ROKAN HULU</v>
      </c>
      <c r="C41" s="12" t="str">
        <v>B5790CM</v>
      </c>
      <c r="D41" s="4">
        <f>IFERROR( _xlfn.MAXIFS( raw_stack!G:G, raw_stack!D:D, C41, raw_stack!F:F, "Iya" ), "" )</f>
        <v>45960</v>
      </c>
      <c r="E41" s="4">
        <f t="shared" si="0"/>
        <v>46142</v>
      </c>
      <c r="F41" s="7">
        <f>IFERROR(
 _xlfn.MAXIFS(
  raw_stack!H:H,
  raw_stack!D:D, C41,
  raw_stack!G:G, D41
 ),
 ""
)</f>
        <v>18629</v>
      </c>
      <c r="G41" s="7">
        <f>IFERROR(
 _xlfn.MAXIFS(
  raw_stack!E:E,
  raw_stack!D:D, C41,
  raw_stack!G:G, D41
 ),
 ""
)</f>
        <v>18629</v>
      </c>
      <c r="H41" s="10">
        <f t="shared" ca="1" si="1"/>
        <v>285</v>
      </c>
      <c r="I41" s="7">
        <f t="shared" si="2"/>
        <v>0</v>
      </c>
      <c r="J41" s="3" t="str">
        <f t="shared" ca="1" si="3"/>
        <v>OVERDUE</v>
      </c>
    </row>
    <row r="42" spans="1:10">
      <c r="A42" s="11" t="str">
        <f>_xlfn.XLOOKUP(C42, data_master!G:G, data_master!B:B)</f>
        <v>95337</v>
      </c>
      <c r="B42" t="str">
        <f>_xlfn.XLOOKUP(C42, data_master!G:G, data_master!D:D)</f>
        <v>95337 BLORA POS</v>
      </c>
      <c r="C42" s="12" t="str">
        <v>B2710QMZ</v>
      </c>
      <c r="D42" s="4">
        <f>IFERROR( _xlfn.MAXIFS( raw_stack!G:G, raw_stack!D:D, C42, raw_stack!F:F, "Iya" ), "" )</f>
        <v>46048</v>
      </c>
      <c r="E42" s="4">
        <f t="shared" si="0"/>
        <v>46229</v>
      </c>
      <c r="F42" s="7">
        <f>IFERROR(
 _xlfn.MAXIFS(
  raw_stack!H:H,
  raw_stack!D:D, C42,
  raw_stack!G:G, D42
 ),
 ""
)</f>
        <v>53954</v>
      </c>
      <c r="G42" s="7">
        <f>IFERROR(
 _xlfn.MAXIFS(
  raw_stack!E:E,
  raw_stack!D:D, C42,
  raw_stack!G:G, D42
 ),
 ""
)</f>
        <v>53954</v>
      </c>
      <c r="H42" s="10">
        <f t="shared" ca="1" si="1"/>
        <v>197</v>
      </c>
      <c r="I42" s="7">
        <f t="shared" si="2"/>
        <v>0</v>
      </c>
      <c r="J42" s="3" t="str">
        <f t="shared" ca="1" si="3"/>
        <v>OVERDUE</v>
      </c>
    </row>
    <row r="43" spans="1:10">
      <c r="A43" s="11" t="str">
        <f>_xlfn.XLOOKUP(C43, data_master!G:G, data_master!B:B)</f>
        <v>14214</v>
      </c>
      <c r="B43" t="str">
        <f>_xlfn.XLOOKUP(C43, data_master!G:G, data_master!D:D)</f>
        <v>14214 DENPASAR BRANCH</v>
      </c>
      <c r="C43" s="12" t="str">
        <v>B6512QGG</v>
      </c>
      <c r="D43" s="4">
        <f>IFERROR( _xlfn.MAXIFS( raw_stack!G:G, raw_stack!D:D, C43, raw_stack!F:F, "Iya" ), "" )</f>
        <v>45875</v>
      </c>
      <c r="E43" s="4">
        <f t="shared" si="0"/>
        <v>46059</v>
      </c>
      <c r="F43" s="7">
        <f>IFERROR(
 _xlfn.MAXIFS(
  raw_stack!H:H,
  raw_stack!D:D, C43,
  raw_stack!G:G, D43
 ),
 ""
)</f>
        <v>60652</v>
      </c>
      <c r="G43" s="7">
        <f>IFERROR(
 _xlfn.MAXIFS(
  raw_stack!E:E,
  raw_stack!D:D, C43,
  raw_stack!G:G, D43
 ),
 ""
)</f>
        <v>60652</v>
      </c>
      <c r="H43" s="10">
        <f t="shared" ca="1" si="1"/>
        <v>370</v>
      </c>
      <c r="I43" s="7">
        <f t="shared" si="2"/>
        <v>0</v>
      </c>
      <c r="J43" s="3" t="str">
        <f t="shared" ca="1" si="3"/>
        <v>OVERDUE</v>
      </c>
    </row>
    <row r="44" spans="1:10">
      <c r="A44" s="11" t="str">
        <f>_xlfn.XLOOKUP(C44, data_master!G:G, data_master!B:B)</f>
        <v>95425</v>
      </c>
      <c r="B44" t="str">
        <f>_xlfn.XLOOKUP(C44, data_master!G:G, data_master!D:D)</f>
        <v>95425 MOJOKERTO 2</v>
      </c>
      <c r="C44" s="12" t="str">
        <v>B4356XF</v>
      </c>
      <c r="D44" s="4">
        <f>IFERROR( _xlfn.MAXIFS( raw_stack!G:G, raw_stack!D:D, C44, raw_stack!F:F, "Iya" ), "" )</f>
        <v>46042</v>
      </c>
      <c r="E44" s="4">
        <f t="shared" si="0"/>
        <v>46223</v>
      </c>
      <c r="F44" s="7">
        <f>IFERROR(
 _xlfn.MAXIFS(
  raw_stack!H:H,
  raw_stack!D:D, C44,
  raw_stack!G:G, D44
 ),
 ""
)</f>
        <v>43635</v>
      </c>
      <c r="G44" s="7">
        <f>IFERROR(
 _xlfn.MAXIFS(
  raw_stack!E:E,
  raw_stack!D:D, C44,
  raw_stack!G:G, D44
 ),
 ""
)</f>
        <v>43635</v>
      </c>
      <c r="H44" s="10">
        <f t="shared" ca="1" si="1"/>
        <v>203</v>
      </c>
      <c r="I44" s="7">
        <f t="shared" si="2"/>
        <v>0</v>
      </c>
      <c r="J44" s="3" t="str">
        <f t="shared" ca="1" si="3"/>
        <v>OVERDUE</v>
      </c>
    </row>
    <row r="45" spans="1:10">
      <c r="A45" s="11" t="str">
        <f>_xlfn.XLOOKUP(C45, data_master!G:G, data_master!B:B)</f>
        <v>14028</v>
      </c>
      <c r="B45" t="str">
        <f>_xlfn.XLOOKUP(C45, data_master!G:G, data_master!D:D)</f>
        <v>14028 POSO BRANCH</v>
      </c>
      <c r="C45" s="12" t="str">
        <v>B2404HI</v>
      </c>
      <c r="D45" s="4">
        <f>IFERROR( _xlfn.MAXIFS( raw_stack!G:G, raw_stack!D:D, C45, raw_stack!F:F, "Iya" ), "" )</f>
        <v>45866</v>
      </c>
      <c r="E45" s="4">
        <f t="shared" si="0"/>
        <v>46050</v>
      </c>
      <c r="F45" s="7">
        <f>IFERROR(
 _xlfn.MAXIFS(
  raw_stack!H:H,
  raw_stack!D:D, C45,
  raw_stack!G:G, D45
 ),
 ""
)</f>
        <v>32310</v>
      </c>
      <c r="G45" s="7">
        <f>IFERROR(
 _xlfn.MAXIFS(
  raw_stack!E:E,
  raw_stack!D:D, C45,
  raw_stack!G:G, D45
 ),
 ""
)</f>
        <v>32310</v>
      </c>
      <c r="H45" s="10">
        <f t="shared" ca="1" si="1"/>
        <v>379</v>
      </c>
      <c r="I45" s="7">
        <f t="shared" si="2"/>
        <v>0</v>
      </c>
      <c r="J45" s="3" t="str">
        <f t="shared" ca="1" si="3"/>
        <v>OVERDUE</v>
      </c>
    </row>
    <row r="46" spans="1:10">
      <c r="A46" s="11" t="str">
        <f>_xlfn.XLOOKUP(C46, data_master!G:G, data_master!B:B)</f>
        <v>88046</v>
      </c>
      <c r="B46" t="str">
        <f>_xlfn.XLOOKUP(C46, data_master!G:G, data_master!D:D)</f>
        <v>88046 SITUBONDO 2</v>
      </c>
      <c r="C46" s="12" t="str">
        <v>B8589XJW</v>
      </c>
      <c r="D46" s="4">
        <f>IFERROR( _xlfn.MAXIFS( raw_stack!G:G, raw_stack!D:D, C46, raw_stack!F:F, "Iya" ), "" )</f>
        <v>45953</v>
      </c>
      <c r="E46" s="4">
        <f t="shared" si="0"/>
        <v>46135</v>
      </c>
      <c r="F46" s="7">
        <f>IFERROR(
 _xlfn.MAXIFS(
  raw_stack!H:H,
  raw_stack!D:D, C46,
  raw_stack!G:G, D46
 ),
 ""
)</f>
        <v>29882</v>
      </c>
      <c r="G46" s="7">
        <f>IFERROR(
 _xlfn.MAXIFS(
  raw_stack!E:E,
  raw_stack!D:D, C46,
  raw_stack!G:G, D46
 ),
 ""
)</f>
        <v>29882</v>
      </c>
      <c r="H46" s="10">
        <f t="shared" ca="1" si="1"/>
        <v>292</v>
      </c>
      <c r="I46" s="7">
        <f t="shared" si="2"/>
        <v>0</v>
      </c>
      <c r="J46" s="3" t="str">
        <f t="shared" ca="1" si="3"/>
        <v>OVERDUE</v>
      </c>
    </row>
    <row r="47" spans="1:10">
      <c r="A47" s="11" t="str">
        <f>_xlfn.XLOOKUP(C47, data_master!G:G, data_master!B:B)</f>
        <v>83865</v>
      </c>
      <c r="B47" t="str">
        <f>_xlfn.XLOOKUP(C47, data_master!G:G, data_master!D:D)</f>
        <v>83865 PELALAWAN 2</v>
      </c>
      <c r="C47" s="12" t="str">
        <v>B5067LZ</v>
      </c>
      <c r="D47" s="4">
        <f>IFERROR( _xlfn.MAXIFS( raw_stack!G:G, raw_stack!D:D, C47, raw_stack!F:F, "Iya" ), "" )</f>
        <v>46076</v>
      </c>
      <c r="E47" s="4">
        <f t="shared" si="0"/>
        <v>46257</v>
      </c>
      <c r="F47" s="7">
        <f>IFERROR(
 _xlfn.MAXIFS(
  raw_stack!H:H,
  raw_stack!D:D, C47,
  raw_stack!G:G, D47
 ),
 ""
)</f>
        <v>38590</v>
      </c>
      <c r="G47" s="7">
        <f>IFERROR(
 _xlfn.MAXIFS(
  raw_stack!E:E,
  raw_stack!D:D, C47,
  raw_stack!G:G, D47
 ),
 ""
)</f>
        <v>38590</v>
      </c>
      <c r="H47" s="10">
        <f t="shared" ca="1" si="1"/>
        <v>169</v>
      </c>
      <c r="I47" s="7">
        <f t="shared" si="2"/>
        <v>0</v>
      </c>
      <c r="J47" s="3" t="str">
        <f t="shared" ca="1" si="3"/>
        <v>AMAN</v>
      </c>
    </row>
    <row r="48" spans="1:10">
      <c r="A48" s="11" t="str">
        <f>_xlfn.XLOOKUP(C48, data_master!G:G, data_master!B:B)</f>
        <v>87006</v>
      </c>
      <c r="B48" t="str">
        <f>_xlfn.XLOOKUP(C48, data_master!G:G, data_master!D:D)</f>
        <v>87006 TANJUNG PANDAN</v>
      </c>
      <c r="C48" s="12" t="str">
        <v>B6633GLS</v>
      </c>
      <c r="D48" s="4">
        <f>IFERROR( _xlfn.MAXIFS( raw_stack!G:G, raw_stack!D:D, C48, raw_stack!F:F, "Iya" ), "" )</f>
        <v>45861</v>
      </c>
      <c r="E48" s="4">
        <f t="shared" si="0"/>
        <v>46045</v>
      </c>
      <c r="F48" s="7">
        <f>IFERROR(
 _xlfn.MAXIFS(
  raw_stack!H:H,
  raw_stack!D:D, C48,
  raw_stack!G:G, D48
 ),
 ""
)</f>
        <v>15915</v>
      </c>
      <c r="G48" s="7">
        <f>IFERROR(
 _xlfn.MAXIFS(
  raw_stack!E:E,
  raw_stack!D:D, C48,
  raw_stack!G:G, D48
 ),
 ""
)</f>
        <v>15915</v>
      </c>
      <c r="H48" s="10">
        <f t="shared" ca="1" si="1"/>
        <v>384</v>
      </c>
      <c r="I48" s="7">
        <f t="shared" si="2"/>
        <v>0</v>
      </c>
      <c r="J48" s="3" t="str">
        <f t="shared" ca="1" si="3"/>
        <v>OVERDUE</v>
      </c>
    </row>
    <row r="49" spans="1:10">
      <c r="A49" s="11" t="str">
        <f>_xlfn.XLOOKUP(C49, data_master!G:G, data_master!B:B)</f>
        <v>27458</v>
      </c>
      <c r="B49" t="str">
        <f>_xlfn.XLOOKUP(C49, data_master!G:G, data_master!D:D)</f>
        <v>27458 SANGATTA 2</v>
      </c>
      <c r="C49" s="12" t="str">
        <v>D3684CE</v>
      </c>
      <c r="D49" s="4">
        <f>IFERROR( _xlfn.MAXIFS( raw_stack!G:G, raw_stack!D:D, C49, raw_stack!F:F, "Iya" ), "" )</f>
        <v>46013</v>
      </c>
      <c r="E49" s="4">
        <f t="shared" si="0"/>
        <v>46195</v>
      </c>
      <c r="F49" s="7">
        <f>IFERROR(
 _xlfn.MAXIFS(
  raw_stack!H:H,
  raw_stack!D:D, C49,
  raw_stack!G:G, D49
 ),
 ""
)</f>
        <v>94758</v>
      </c>
      <c r="G49" s="7">
        <f>IFERROR(
 _xlfn.MAXIFS(
  raw_stack!E:E,
  raw_stack!D:D, C49,
  raw_stack!G:G, D49
 ),
 ""
)</f>
        <v>94758</v>
      </c>
      <c r="H49" s="10">
        <f t="shared" ca="1" si="1"/>
        <v>232</v>
      </c>
      <c r="I49" s="7">
        <f t="shared" si="2"/>
        <v>0</v>
      </c>
      <c r="J49" s="3" t="str">
        <f t="shared" ca="1" si="3"/>
        <v>OVERDUE</v>
      </c>
    </row>
    <row r="50" spans="1:10">
      <c r="A50" s="11" t="str">
        <f>_xlfn.XLOOKUP(C50, data_master!G:G, data_master!B:B)</f>
        <v>75394</v>
      </c>
      <c r="B50" t="str">
        <f>_xlfn.XLOOKUP(C50, data_master!G:G, data_master!D:D)</f>
        <v>75394 KUNINGAN</v>
      </c>
      <c r="C50" s="12" t="str">
        <v>B9091PM</v>
      </c>
      <c r="D50" s="4">
        <f>IFERROR( _xlfn.MAXIFS( raw_stack!G:G, raw_stack!D:D, C50, raw_stack!F:F, "Iya" ), "" )</f>
        <v>46126</v>
      </c>
      <c r="E50" s="4">
        <f t="shared" si="0"/>
        <v>46309</v>
      </c>
      <c r="F50" s="7">
        <f>IFERROR(
 _xlfn.MAXIFS(
  raw_stack!H:H,
  raw_stack!D:D, C50,
  raw_stack!G:G, D50
 ),
 ""
)</f>
        <v>38797</v>
      </c>
      <c r="G50" s="7">
        <f>IFERROR(
 _xlfn.MAXIFS(
  raw_stack!E:E,
  raw_stack!D:D, C50,
  raw_stack!G:G, D50
 ),
 ""
)</f>
        <v>38989</v>
      </c>
      <c r="H50" s="10">
        <f t="shared" ca="1" si="1"/>
        <v>119</v>
      </c>
      <c r="I50" s="7">
        <f t="shared" si="2"/>
        <v>192</v>
      </c>
      <c r="J50" s="3" t="str">
        <f t="shared" ca="1" si="3"/>
        <v>AMAN</v>
      </c>
    </row>
    <row r="51" spans="1:10">
      <c r="A51" s="11" t="str">
        <f>_xlfn.XLOOKUP(C51, data_master!G:G, data_master!B:B)</f>
        <v>84357</v>
      </c>
      <c r="B51" t="str">
        <f>_xlfn.XLOOKUP(C51, data_master!G:G, data_master!D:D)</f>
        <v>84357 BENGKALIS UNIT</v>
      </c>
      <c r="C51" s="12" t="str">
        <v>B9897TAZ</v>
      </c>
      <c r="D51" s="4">
        <f>IFERROR( _xlfn.MAXIFS( raw_stack!G:G, raw_stack!D:D, C51, raw_stack!F:F, "Iya" ), "" )</f>
        <v>45953</v>
      </c>
      <c r="E51" s="4">
        <f t="shared" si="0"/>
        <v>46135</v>
      </c>
      <c r="F51" s="7">
        <f>IFERROR(
 _xlfn.MAXIFS(
  raw_stack!H:H,
  raw_stack!D:D, C51,
  raw_stack!G:G, D51
 ),
 ""
)</f>
        <v>34814</v>
      </c>
      <c r="G51" s="7">
        <f>IFERROR(
 _xlfn.MAXIFS(
  raw_stack!E:E,
  raw_stack!D:D, C51,
  raw_stack!G:G, D51
 ),
 ""
)</f>
        <v>34814</v>
      </c>
      <c r="H51" s="10">
        <f t="shared" ca="1" si="1"/>
        <v>292</v>
      </c>
      <c r="I51" s="7">
        <f t="shared" si="2"/>
        <v>0</v>
      </c>
      <c r="J51" s="3" t="str">
        <f t="shared" ca="1" si="3"/>
        <v>OVERDUE</v>
      </c>
    </row>
    <row r="52" spans="1:10">
      <c r="A52" s="11" t="str">
        <f>_xlfn.XLOOKUP(C52, data_master!G:G, data_master!B:B)</f>
        <v>39196</v>
      </c>
      <c r="B52" t="str">
        <f>_xlfn.XLOOKUP(C52, data_master!G:G, data_master!D:D)</f>
        <v>39196 LANGSA</v>
      </c>
      <c r="C52" s="12" t="str">
        <v>B8732XP</v>
      </c>
      <c r="D52" s="4">
        <f>IFERROR( _xlfn.MAXIFS( raw_stack!G:G, raw_stack!D:D, C52, raw_stack!F:F, "Iya" ), "" )</f>
        <v>45841</v>
      </c>
      <c r="E52" s="4">
        <f t="shared" si="0"/>
        <v>46025</v>
      </c>
      <c r="F52" s="7">
        <f>IFERROR(
 _xlfn.MAXIFS(
  raw_stack!H:H,
  raw_stack!D:D, C52,
  raw_stack!G:G, D52
 ),
 ""
)</f>
        <v>32053</v>
      </c>
      <c r="G52" s="7">
        <f>IFERROR(
 _xlfn.MAXIFS(
  raw_stack!E:E,
  raw_stack!D:D, C52,
  raw_stack!G:G, D52
 ),
 ""
)</f>
        <v>32053</v>
      </c>
      <c r="H52" s="10">
        <f t="shared" ca="1" si="1"/>
        <v>404</v>
      </c>
      <c r="I52" s="7">
        <f t="shared" si="2"/>
        <v>0</v>
      </c>
      <c r="J52" s="3" t="str">
        <f t="shared" ca="1" si="3"/>
        <v>OVERDUE</v>
      </c>
    </row>
    <row r="53" spans="1:10">
      <c r="A53" s="11" t="str">
        <f>_xlfn.XLOOKUP(C53, data_master!G:G, data_master!B:B)</f>
        <v>35756</v>
      </c>
      <c r="B53" t="str">
        <f>_xlfn.XLOOKUP(C53, data_master!G:G, data_master!D:D)</f>
        <v>35756 CIMAHI</v>
      </c>
      <c r="C53" s="12" t="str">
        <v>B5009UN</v>
      </c>
      <c r="D53" s="4">
        <f>IFERROR( _xlfn.MAXIFS( raw_stack!G:G, raw_stack!D:D, C53, raw_stack!F:F, "Iya" ), "" )</f>
        <v>45957</v>
      </c>
      <c r="E53" s="4">
        <f t="shared" si="0"/>
        <v>46139</v>
      </c>
      <c r="F53" s="7">
        <f>IFERROR(
 _xlfn.MAXIFS(
  raw_stack!H:H,
  raw_stack!D:D, C53,
  raw_stack!G:G, D53
 ),
 ""
)</f>
        <v>71917</v>
      </c>
      <c r="G53" s="7">
        <f>IFERROR(
 _xlfn.MAXIFS(
  raw_stack!E:E,
  raw_stack!D:D, C53,
  raw_stack!G:G, D53
 ),
 ""
)</f>
        <v>71917</v>
      </c>
      <c r="H53" s="10">
        <f t="shared" ca="1" si="1"/>
        <v>288</v>
      </c>
      <c r="I53" s="7">
        <f t="shared" si="2"/>
        <v>0</v>
      </c>
      <c r="J53" s="3" t="str">
        <f t="shared" ca="1" si="3"/>
        <v>OVERDUE</v>
      </c>
    </row>
    <row r="54" spans="1:10">
      <c r="A54" s="11" t="str">
        <f>_xlfn.XLOOKUP(C54, data_master!G:G, data_master!B:B)</f>
        <v>31566</v>
      </c>
      <c r="B54" t="str">
        <f>_xlfn.XLOOKUP(C54, data_master!G:G, data_master!D:D)</f>
        <v>31566 BINJAI BRANCH</v>
      </c>
      <c r="C54" s="12" t="str">
        <v>B7591HAI</v>
      </c>
      <c r="D54" s="4">
        <f>IFERROR( _xlfn.MAXIFS( raw_stack!G:G, raw_stack!D:D, C54, raw_stack!F:F, "Iya" ), "" )</f>
        <v>46097</v>
      </c>
      <c r="E54" s="4">
        <f t="shared" si="0"/>
        <v>46281</v>
      </c>
      <c r="F54" s="7">
        <f>IFERROR(
 _xlfn.MAXIFS(
  raw_stack!H:H,
  raw_stack!D:D, C54,
  raw_stack!G:G, D54
 ),
 ""
)</f>
        <v>101040</v>
      </c>
      <c r="G54" s="7">
        <f>IFERROR(
 _xlfn.MAXIFS(
  raw_stack!E:E,
  raw_stack!D:D, C54,
  raw_stack!G:G, D54
 ),
 ""
)</f>
        <v>102995</v>
      </c>
      <c r="H54" s="10">
        <f t="shared" ca="1" si="1"/>
        <v>148</v>
      </c>
      <c r="I54" s="7">
        <f t="shared" si="2"/>
        <v>1955</v>
      </c>
      <c r="J54" s="3" t="str">
        <f t="shared" ca="1" si="3"/>
        <v>AMAN</v>
      </c>
    </row>
    <row r="55" spans="1:10">
      <c r="A55" s="11" t="str">
        <f>_xlfn.XLOOKUP(C55, data_master!G:G, data_master!B:B)</f>
        <v>25152</v>
      </c>
      <c r="B55" t="str">
        <f>_xlfn.XLOOKUP(C55, data_master!G:G, data_master!D:D)</f>
        <v>25152 PARIGI POS</v>
      </c>
      <c r="C55" s="12" t="str">
        <v>KB7221ZEE</v>
      </c>
      <c r="D55" s="4">
        <f>IFERROR( _xlfn.MAXIFS( raw_stack!G:G, raw_stack!D:D, C55, raw_stack!F:F, "Iya" ), "" )</f>
        <v>45960</v>
      </c>
      <c r="E55" s="4">
        <f t="shared" si="0"/>
        <v>46142</v>
      </c>
      <c r="F55" s="7">
        <f>IFERROR(
 _xlfn.MAXIFS(
  raw_stack!H:H,
  raw_stack!D:D, C55,
  raw_stack!G:G, D55
 ),
 ""
)</f>
        <v>63907</v>
      </c>
      <c r="G55" s="7">
        <f>IFERROR(
 _xlfn.MAXIFS(
  raw_stack!E:E,
  raw_stack!D:D, C55,
  raw_stack!G:G, D55
 ),
 ""
)</f>
        <v>63907</v>
      </c>
      <c r="H55" s="10">
        <f t="shared" ca="1" si="1"/>
        <v>285</v>
      </c>
      <c r="I55" s="7">
        <f t="shared" si="2"/>
        <v>0</v>
      </c>
      <c r="J55" s="3" t="str">
        <f t="shared" ca="1" si="3"/>
        <v>OVERDUE</v>
      </c>
    </row>
    <row r="56" spans="1:10">
      <c r="A56" s="11" t="str">
        <f>_xlfn.XLOOKUP(C56, data_master!G:G, data_master!B:B)</f>
        <v>20624</v>
      </c>
      <c r="B56" t="str">
        <f>_xlfn.XLOOKUP(C56, data_master!G:G, data_master!D:D)</f>
        <v>20624 MAGELANG UNIT</v>
      </c>
      <c r="C56" s="12" t="str">
        <v>B4784VXS</v>
      </c>
      <c r="D56" s="4">
        <f>IFERROR( _xlfn.MAXIFS( raw_stack!G:G, raw_stack!D:D, C56, raw_stack!F:F, "Iya" ), "" )</f>
        <v>46093</v>
      </c>
      <c r="E56" s="4">
        <f t="shared" si="0"/>
        <v>46277</v>
      </c>
      <c r="F56" s="7">
        <f>IFERROR(
 _xlfn.MAXIFS(
  raw_stack!H:H,
  raw_stack!D:D, C56,
  raw_stack!G:G, D56
 ),
 ""
)</f>
        <v>90157</v>
      </c>
      <c r="G56" s="7">
        <f>IFERROR(
 _xlfn.MAXIFS(
  raw_stack!E:E,
  raw_stack!D:D, C56,
  raw_stack!G:G, D56
 ),
 ""
)</f>
        <v>90157</v>
      </c>
      <c r="H56" s="10">
        <f t="shared" ca="1" si="1"/>
        <v>152</v>
      </c>
      <c r="I56" s="7">
        <f t="shared" si="2"/>
        <v>0</v>
      </c>
      <c r="J56" s="3" t="str">
        <f t="shared" ca="1" si="3"/>
        <v>AMAN</v>
      </c>
    </row>
    <row r="57" spans="1:10">
      <c r="A57" s="11" t="str">
        <f>_xlfn.XLOOKUP(C57, data_master!G:G, data_master!B:B)</f>
        <v>14599</v>
      </c>
      <c r="B57" t="str">
        <f>_xlfn.XLOOKUP(C57, data_master!G:G, data_master!D:D)</f>
        <v>14599 MATARAM</v>
      </c>
      <c r="C57" s="12" t="str">
        <v>B4196MS</v>
      </c>
      <c r="D57" s="4">
        <f>IFERROR( _xlfn.MAXIFS( raw_stack!G:G, raw_stack!D:D, C57, raw_stack!F:F, "Iya" ), "" )</f>
        <v>45912</v>
      </c>
      <c r="E57" s="4">
        <f t="shared" si="0"/>
        <v>46093</v>
      </c>
      <c r="F57" s="7">
        <f>IFERROR(
 _xlfn.MAXIFS(
  raw_stack!H:H,
  raw_stack!D:D, C57,
  raw_stack!G:G, D57
 ),
 ""
)</f>
        <v>23084</v>
      </c>
      <c r="G57" s="7">
        <f>IFERROR(
 _xlfn.MAXIFS(
  raw_stack!E:E,
  raw_stack!D:D, C57,
  raw_stack!G:G, D57
 ),
 ""
)</f>
        <v>23084</v>
      </c>
      <c r="H57" s="10">
        <f t="shared" ca="1" si="1"/>
        <v>333</v>
      </c>
      <c r="I57" s="7">
        <f t="shared" si="2"/>
        <v>0</v>
      </c>
      <c r="J57" s="3" t="str">
        <f t="shared" ca="1" si="3"/>
        <v>OVERDUE</v>
      </c>
    </row>
    <row r="58" spans="1:10">
      <c r="A58" s="11" t="str">
        <f>_xlfn.XLOOKUP(C58, data_master!G:G, data_master!B:B)</f>
        <v>13032</v>
      </c>
      <c r="B58" t="str">
        <f>_xlfn.XLOOKUP(C58, data_master!G:G, data_master!D:D)</f>
        <v>13032 TASIKMALAYA UNIT</v>
      </c>
      <c r="C58" s="12" t="str">
        <v>D2758PP</v>
      </c>
      <c r="D58" s="4">
        <f>IFERROR( _xlfn.MAXIFS( raw_stack!G:G, raw_stack!D:D, C58, raw_stack!F:F, "Iya" ), "" )</f>
        <v>45881</v>
      </c>
      <c r="E58" s="4">
        <f t="shared" si="0"/>
        <v>46065</v>
      </c>
      <c r="F58" s="7">
        <f>IFERROR(
 _xlfn.MAXIFS(
  raw_stack!H:H,
  raw_stack!D:D, C58,
  raw_stack!G:G, D58
 ),
 ""
)</f>
        <v>58630</v>
      </c>
      <c r="G58" s="7">
        <f>IFERROR(
 _xlfn.MAXIFS(
  raw_stack!E:E,
  raw_stack!D:D, C58,
  raw_stack!G:G, D58
 ),
 ""
)</f>
        <v>58630</v>
      </c>
      <c r="H58" s="10">
        <f t="shared" ca="1" si="1"/>
        <v>364</v>
      </c>
      <c r="I58" s="7">
        <f t="shared" si="2"/>
        <v>0</v>
      </c>
      <c r="J58" s="3" t="str">
        <f t="shared" ca="1" si="3"/>
        <v>OVERDUE</v>
      </c>
    </row>
    <row r="59" spans="1:10">
      <c r="A59" s="11" t="str">
        <f>_xlfn.XLOOKUP(C59, data_master!G:G, data_master!B:B)</f>
        <v>46643</v>
      </c>
      <c r="B59" t="str">
        <f>_xlfn.XLOOKUP(C59, data_master!G:G, data_master!D:D)</f>
        <v>46643 SINGKAWANG</v>
      </c>
      <c r="C59" s="12" t="str">
        <v>B2118PQK</v>
      </c>
      <c r="D59" s="4">
        <f>IFERROR( _xlfn.MAXIFS( raw_stack!G:G, raw_stack!D:D, C59, raw_stack!F:F, "Iya" ), "" )</f>
        <v>46096</v>
      </c>
      <c r="E59" s="4">
        <f t="shared" si="0"/>
        <v>46280</v>
      </c>
      <c r="F59" s="7">
        <f>IFERROR(
 _xlfn.MAXIFS(
  raw_stack!H:H,
  raw_stack!D:D, C59,
  raw_stack!G:G, D59
 ),
 ""
)</f>
        <v>50653</v>
      </c>
      <c r="G59" s="7">
        <f>IFERROR(
 _xlfn.MAXIFS(
  raw_stack!E:E,
  raw_stack!D:D, C59,
  raw_stack!G:G, D59
 ),
 ""
)</f>
        <v>50653</v>
      </c>
      <c r="H59" s="10">
        <f t="shared" ca="1" si="1"/>
        <v>149</v>
      </c>
      <c r="I59" s="7">
        <f t="shared" si="2"/>
        <v>0</v>
      </c>
      <c r="J59" s="3" t="str">
        <f t="shared" ca="1" si="3"/>
        <v>AMAN</v>
      </c>
    </row>
    <row r="60" spans="1:10">
      <c r="A60" s="11" t="str">
        <f>_xlfn.XLOOKUP(C60, data_master!G:G, data_master!B:B)</f>
        <v>66198</v>
      </c>
      <c r="B60" t="str">
        <f>_xlfn.XLOOKUP(C60, data_master!G:G, data_master!D:D)</f>
        <v>66198 NATUNA</v>
      </c>
      <c r="C60" s="12" t="str">
        <v>B7035JK</v>
      </c>
      <c r="D60" s="4">
        <f>IFERROR( _xlfn.MAXIFS( raw_stack!G:G, raw_stack!D:D, C60, raw_stack!F:F, "Iya" ), "" )</f>
        <v>45926</v>
      </c>
      <c r="E60" s="4">
        <f t="shared" si="0"/>
        <v>46107</v>
      </c>
      <c r="F60" s="7">
        <f>IFERROR(
 _xlfn.MAXIFS(
  raw_stack!H:H,
  raw_stack!D:D, C60,
  raw_stack!G:G, D60
 ),
 ""
)</f>
        <v>42535</v>
      </c>
      <c r="G60" s="7">
        <f>IFERROR(
 _xlfn.MAXIFS(
  raw_stack!E:E,
  raw_stack!D:D, C60,
  raw_stack!G:G, D60
 ),
 ""
)</f>
        <v>42535</v>
      </c>
      <c r="H60" s="10">
        <f t="shared" ca="1" si="1"/>
        <v>319</v>
      </c>
      <c r="I60" s="7">
        <f t="shared" si="2"/>
        <v>0</v>
      </c>
      <c r="J60" s="3" t="str">
        <f t="shared" ca="1" si="3"/>
        <v>OVERDUE</v>
      </c>
    </row>
    <row r="61" spans="1:10">
      <c r="A61" s="11" t="str">
        <f>_xlfn.XLOOKUP(C61, data_master!G:G, data_master!B:B)</f>
        <v>90392</v>
      </c>
      <c r="B61" t="str">
        <f>_xlfn.XLOOKUP(C61, data_master!G:G, data_master!D:D)</f>
        <v>90392 NUNUKAN UNIT</v>
      </c>
      <c r="C61" s="12" t="str">
        <v>BP6297BR</v>
      </c>
      <c r="D61" s="4">
        <f>IFERROR( _xlfn.MAXIFS( raw_stack!G:G, raw_stack!D:D, C61, raw_stack!F:F, "Iya" ), "" )</f>
        <v>45982</v>
      </c>
      <c r="E61" s="4">
        <f t="shared" si="0"/>
        <v>46163</v>
      </c>
      <c r="F61" s="7">
        <f>IFERROR(
 _xlfn.MAXIFS(
  raw_stack!H:H,
  raw_stack!D:D, C61,
  raw_stack!G:G, D61
 ),
 ""
)</f>
        <v>38247</v>
      </c>
      <c r="G61" s="7">
        <f>IFERROR(
 _xlfn.MAXIFS(
  raw_stack!E:E,
  raw_stack!D:D, C61,
  raw_stack!G:G, D61
 ),
 ""
)</f>
        <v>38247</v>
      </c>
      <c r="H61" s="10">
        <f t="shared" ca="1" si="1"/>
        <v>263</v>
      </c>
      <c r="I61" s="7">
        <f t="shared" si="2"/>
        <v>0</v>
      </c>
      <c r="J61" s="3" t="str">
        <f t="shared" ca="1" si="3"/>
        <v>OVERDUE</v>
      </c>
    </row>
    <row r="62" spans="1:10">
      <c r="A62" s="11" t="str">
        <f>_xlfn.XLOOKUP(C62, data_master!G:G, data_master!B:B)</f>
        <v>31340</v>
      </c>
      <c r="B62" t="str">
        <f>_xlfn.XLOOKUP(C62, data_master!G:G, data_master!D:D)</f>
        <v>31340 SEMARANG</v>
      </c>
      <c r="C62" s="12" t="str">
        <v>B1075RA</v>
      </c>
      <c r="D62" s="4">
        <f>IFERROR( _xlfn.MAXIFS( raw_stack!G:G, raw_stack!D:D, C62, raw_stack!F:F, "Iya" ), "" )</f>
        <v>46013</v>
      </c>
      <c r="E62" s="4">
        <f t="shared" si="0"/>
        <v>46195</v>
      </c>
      <c r="F62" s="7">
        <f>IFERROR(
 _xlfn.MAXIFS(
  raw_stack!H:H,
  raw_stack!D:D, C62,
  raw_stack!G:G, D62
 ),
 ""
)</f>
        <v>49356</v>
      </c>
      <c r="G62" s="7">
        <f>IFERROR(
 _xlfn.MAXIFS(
  raw_stack!E:E,
  raw_stack!D:D, C62,
  raw_stack!G:G, D62
 ),
 ""
)</f>
        <v>49356</v>
      </c>
      <c r="H62" s="10">
        <f t="shared" ca="1" si="1"/>
        <v>232</v>
      </c>
      <c r="I62" s="7">
        <f t="shared" si="2"/>
        <v>0</v>
      </c>
      <c r="J62" s="3" t="str">
        <f t="shared" ca="1" si="3"/>
        <v>OVERDUE</v>
      </c>
    </row>
    <row r="63" spans="1:10">
      <c r="A63" s="11" t="str">
        <f>_xlfn.XLOOKUP(C63, data_master!G:G, data_master!B:B)</f>
        <v>10915</v>
      </c>
      <c r="B63" t="str">
        <f>_xlfn.XLOOKUP(C63, data_master!G:G, data_master!D:D)</f>
        <v>10915 KEDIRI BRANCH</v>
      </c>
      <c r="C63" s="12" t="str">
        <v>B2146GK</v>
      </c>
      <c r="D63" s="4">
        <f>IFERROR( _xlfn.MAXIFS( raw_stack!G:G, raw_stack!D:D, C63, raw_stack!F:F, "Iya" ), "" )</f>
        <v>45815</v>
      </c>
      <c r="E63" s="4">
        <f t="shared" si="0"/>
        <v>45998</v>
      </c>
      <c r="F63" s="7">
        <f>IFERROR(
 _xlfn.MAXIFS(
  raw_stack!H:H,
  raw_stack!D:D, C63,
  raw_stack!G:G, D63
 ),
 ""
)</f>
        <v>95685</v>
      </c>
      <c r="G63" s="7">
        <f>IFERROR(
 _xlfn.MAXIFS(
  raw_stack!E:E,
  raw_stack!D:D, C63,
  raw_stack!G:G, D63
 ),
 ""
)</f>
        <v>95685</v>
      </c>
      <c r="H63" s="10">
        <f t="shared" ca="1" si="1"/>
        <v>430</v>
      </c>
      <c r="I63" s="7">
        <f t="shared" si="2"/>
        <v>0</v>
      </c>
      <c r="J63" s="3" t="str">
        <f t="shared" ca="1" si="3"/>
        <v>OVERDUE</v>
      </c>
    </row>
    <row r="64" spans="1:10">
      <c r="A64" s="11" t="str">
        <f>_xlfn.XLOOKUP(C64, data_master!G:G, data_master!B:B)</f>
        <v>54360</v>
      </c>
      <c r="B64" t="str">
        <f>_xlfn.XLOOKUP(C64, data_master!G:G, data_master!D:D)</f>
        <v>54360 RUTENG</v>
      </c>
      <c r="C64" s="12" t="str">
        <v>B6137XG</v>
      </c>
      <c r="D64" s="4">
        <f>IFERROR( _xlfn.MAXIFS( raw_stack!G:G, raw_stack!D:D, C64, raw_stack!F:F, "Iya" ), "" )</f>
        <v>46064</v>
      </c>
      <c r="E64" s="4">
        <f t="shared" si="0"/>
        <v>46245</v>
      </c>
      <c r="F64" s="7">
        <f>IFERROR(
 _xlfn.MAXIFS(
  raw_stack!H:H,
  raw_stack!D:D, C64,
  raw_stack!G:G, D64
 ),
 ""
)</f>
        <v>72161</v>
      </c>
      <c r="G64" s="7">
        <f>IFERROR(
 _xlfn.MAXIFS(
  raw_stack!E:E,
  raw_stack!D:D, C64,
  raw_stack!G:G, D64
 ),
 ""
)</f>
        <v>72161</v>
      </c>
      <c r="H64" s="10">
        <f t="shared" ca="1" si="1"/>
        <v>181</v>
      </c>
      <c r="I64" s="7">
        <f t="shared" si="2"/>
        <v>0</v>
      </c>
      <c r="J64" s="3" t="str">
        <f t="shared" ca="1" si="3"/>
        <v>OVERDUE</v>
      </c>
    </row>
    <row r="65" spans="1:10">
      <c r="A65" s="11" t="str">
        <f>_xlfn.XLOOKUP(C65, data_master!G:G, data_master!B:B)</f>
        <v>25052</v>
      </c>
      <c r="B65" t="str">
        <f>_xlfn.XLOOKUP(C65, data_master!G:G, data_master!D:D)</f>
        <v>25052 JAKARTA UTARA</v>
      </c>
      <c r="C65" s="12" t="str">
        <v>B6341YY</v>
      </c>
      <c r="D65" s="4">
        <f>IFERROR( _xlfn.MAXIFS( raw_stack!G:G, raw_stack!D:D, C65, raw_stack!F:F, "Iya" ), "" )</f>
        <v>45962</v>
      </c>
      <c r="E65" s="4">
        <f t="shared" si="0"/>
        <v>46143</v>
      </c>
      <c r="F65" s="7">
        <f>IFERROR(
 _xlfn.MAXIFS(
  raw_stack!H:H,
  raw_stack!D:D, C65,
  raw_stack!G:G, D65
 ),
 ""
)</f>
        <v>36122</v>
      </c>
      <c r="G65" s="7">
        <f>IFERROR(
 _xlfn.MAXIFS(
  raw_stack!E:E,
  raw_stack!D:D, C65,
  raw_stack!G:G, D65
 ),
 ""
)</f>
        <v>36122</v>
      </c>
      <c r="H65" s="10">
        <f t="shared" ca="1" si="1"/>
        <v>283</v>
      </c>
      <c r="I65" s="7">
        <f t="shared" si="2"/>
        <v>0</v>
      </c>
      <c r="J65" s="3" t="str">
        <f t="shared" ca="1" si="3"/>
        <v>OVERDUE</v>
      </c>
    </row>
    <row r="66" spans="1:10">
      <c r="A66" s="11" t="str">
        <f>_xlfn.XLOOKUP(C66, data_master!G:G, data_master!B:B)</f>
        <v>95987</v>
      </c>
      <c r="B66" t="str">
        <f>_xlfn.XLOOKUP(C66, data_master!G:G, data_master!D:D)</f>
        <v>95987 TOLI TOLI</v>
      </c>
      <c r="C66" s="12" t="str">
        <v>B4242KSP</v>
      </c>
      <c r="D66" s="4">
        <f>IFERROR( _xlfn.MAXIFS( raw_stack!G:G, raw_stack!D:D, C66, raw_stack!F:F, "Iya" ), "" )</f>
        <v>45996</v>
      </c>
      <c r="E66" s="4">
        <f t="shared" si="0"/>
        <v>46178</v>
      </c>
      <c r="F66" s="7">
        <f>IFERROR(
 _xlfn.MAXIFS(
  raw_stack!H:H,
  raw_stack!D:D, C66,
  raw_stack!G:G, D66
 ),
 ""
)</f>
        <v>34123</v>
      </c>
      <c r="G66" s="7">
        <f>IFERROR(
 _xlfn.MAXIFS(
  raw_stack!E:E,
  raw_stack!D:D, C66,
  raw_stack!G:G, D66
 ),
 ""
)</f>
        <v>34123</v>
      </c>
      <c r="H66" s="10">
        <f t="shared" ca="1" si="1"/>
        <v>249</v>
      </c>
      <c r="I66" s="7">
        <f t="shared" si="2"/>
        <v>0</v>
      </c>
      <c r="J66" s="3" t="str">
        <f t="shared" ca="1" si="3"/>
        <v>OVERDUE</v>
      </c>
    </row>
    <row r="67" spans="1:10">
      <c r="A67" s="11" t="str">
        <f>_xlfn.XLOOKUP(C67, data_master!G:G, data_master!B:B)</f>
        <v>71063</v>
      </c>
      <c r="B67" t="str">
        <f>_xlfn.XLOOKUP(C67, data_master!G:G, data_master!D:D)</f>
        <v>71063 MADIUN</v>
      </c>
      <c r="C67" s="12" t="str">
        <v>B1356KE</v>
      </c>
      <c r="D67" s="4">
        <f>IFERROR( _xlfn.MAXIFS( raw_stack!G:G, raw_stack!D:D, C67, raw_stack!F:F, "Iya" ), "" )</f>
        <v>45895</v>
      </c>
      <c r="E67" s="4">
        <f t="shared" si="0"/>
        <v>46079</v>
      </c>
      <c r="F67" s="7">
        <f>IFERROR(
 _xlfn.MAXIFS(
  raw_stack!H:H,
  raw_stack!D:D, C67,
  raw_stack!G:G, D67
 ),
 ""
)</f>
        <v>48511</v>
      </c>
      <c r="G67" s="7">
        <f>IFERROR(
 _xlfn.MAXIFS(
  raw_stack!E:E,
  raw_stack!D:D, C67,
  raw_stack!G:G, D67
 ),
 ""
)</f>
        <v>48511</v>
      </c>
      <c r="H67" s="10">
        <f t="shared" ca="1" si="1"/>
        <v>350</v>
      </c>
      <c r="I67" s="7">
        <f t="shared" si="2"/>
        <v>0</v>
      </c>
      <c r="J67" s="3" t="str">
        <f t="shared" ca="1" si="3"/>
        <v>OVERDUE</v>
      </c>
    </row>
    <row r="68" spans="1:10">
      <c r="A68" s="11" t="str">
        <f>_xlfn.XLOOKUP(C68, data_master!G:G, data_master!B:B)</f>
        <v>24232</v>
      </c>
      <c r="B68" t="str">
        <f>_xlfn.XLOOKUP(C68, data_master!G:G, data_master!D:D)</f>
        <v>24232 MINAHASA 2</v>
      </c>
      <c r="C68" s="12" t="str">
        <v>B7915GBS</v>
      </c>
      <c r="D68" s="4">
        <f>IFERROR( _xlfn.MAXIFS( raw_stack!G:G, raw_stack!D:D, C68, raw_stack!F:F, "Iya" ), "" )</f>
        <v>46121</v>
      </c>
      <c r="E68" s="4">
        <f t="shared" ref="E68:E131" si="4">EDATE(D68,6)</f>
        <v>46304</v>
      </c>
      <c r="F68" s="7">
        <f>IFERROR(
 _xlfn.MAXIFS(
  raw_stack!H:H,
  raw_stack!D:D, C68,
  raw_stack!G:G, D68
 ),
 ""
)</f>
        <v>56854</v>
      </c>
      <c r="G68" s="7">
        <f>IFERROR(
 _xlfn.MAXIFS(
  raw_stack!E:E,
  raw_stack!D:D, C68,
  raw_stack!G:G, D68
 ),
 ""
)</f>
        <v>57090</v>
      </c>
      <c r="H68" s="10">
        <f t="shared" ref="H68:H131" ca="1" si="5">IF(D68=0, "", TODAY()-D68)</f>
        <v>124</v>
      </c>
      <c r="I68" s="7">
        <f t="shared" ref="I68:I131" si="6">IF(E68=0, "", G68-F68)</f>
        <v>236</v>
      </c>
      <c r="J68" s="3" t="str">
        <f t="shared" ref="J68:J131" ca="1" si="7">IF(D68=0,
 "BELUM SERVIS",
 IF(OR(H68&gt;=180, I68&gt;=10000),
  "OVERDUE",
  "AMAN"
 )
)</f>
        <v>AMAN</v>
      </c>
    </row>
    <row r="69" spans="1:10">
      <c r="A69" s="11" t="str">
        <f>_xlfn.XLOOKUP(C69, data_master!G:G, data_master!B:B)</f>
        <v>61828</v>
      </c>
      <c r="B69" t="str">
        <f>_xlfn.XLOOKUP(C69, data_master!G:G, data_master!D:D)</f>
        <v>61828 KALIANDA 2</v>
      </c>
      <c r="C69" s="12" t="str">
        <v>B2960MA</v>
      </c>
      <c r="D69" s="4">
        <f>IFERROR( _xlfn.MAXIFS( raw_stack!G:G, raw_stack!D:D, C69, raw_stack!F:F, "Iya" ), "" )</f>
        <v>46116</v>
      </c>
      <c r="E69" s="4">
        <f t="shared" si="4"/>
        <v>46299</v>
      </c>
      <c r="F69" s="7">
        <f>IFERROR(
 _xlfn.MAXIFS(
  raw_stack!H:H,
  raw_stack!D:D, C69,
  raw_stack!G:G, D69
 ),
 ""
)</f>
        <v>65160</v>
      </c>
      <c r="G69" s="7">
        <f>IFERROR(
 _xlfn.MAXIFS(
  raw_stack!E:E,
  raw_stack!D:D, C69,
  raw_stack!G:G, D69
 ),
 ""
)</f>
        <v>64698</v>
      </c>
      <c r="H69" s="10">
        <f t="shared" ca="1" si="5"/>
        <v>129</v>
      </c>
      <c r="I69" s="7">
        <f t="shared" si="6"/>
        <v>-462</v>
      </c>
      <c r="J69" s="3" t="str">
        <f t="shared" ca="1" si="7"/>
        <v>AMAN</v>
      </c>
    </row>
    <row r="70" spans="1:10">
      <c r="A70" s="11" t="str">
        <f>_xlfn.XLOOKUP(C70, data_master!G:G, data_master!B:B)</f>
        <v>91251</v>
      </c>
      <c r="B70" t="str">
        <f>_xlfn.XLOOKUP(C70, data_master!G:G, data_master!D:D)</f>
        <v>91251 JAKARTA PUSAT</v>
      </c>
      <c r="C70" s="12" t="str">
        <v>B8891JP</v>
      </c>
      <c r="D70" s="4">
        <f>IFERROR( _xlfn.MAXIFS( raw_stack!G:G, raw_stack!D:D, C70, raw_stack!F:F, "Iya" ), "" )</f>
        <v>45983</v>
      </c>
      <c r="E70" s="4">
        <f t="shared" si="4"/>
        <v>46164</v>
      </c>
      <c r="F70" s="7">
        <f>IFERROR(
 _xlfn.MAXIFS(
  raw_stack!H:H,
  raw_stack!D:D, C70,
  raw_stack!G:G, D70
 ),
 ""
)</f>
        <v>62498</v>
      </c>
      <c r="G70" s="7">
        <f>IFERROR(
 _xlfn.MAXIFS(
  raw_stack!E:E,
  raw_stack!D:D, C70,
  raw_stack!G:G, D70
 ),
 ""
)</f>
        <v>62498</v>
      </c>
      <c r="H70" s="10">
        <f t="shared" ca="1" si="5"/>
        <v>262</v>
      </c>
      <c r="I70" s="7">
        <f t="shared" si="6"/>
        <v>0</v>
      </c>
      <c r="J70" s="3" t="str">
        <f t="shared" ca="1" si="7"/>
        <v>OVERDUE</v>
      </c>
    </row>
    <row r="71" spans="1:10">
      <c r="A71" s="11" t="str">
        <f>_xlfn.XLOOKUP(C71, data_master!G:G, data_master!B:B)</f>
        <v>98608</v>
      </c>
      <c r="B71" t="str">
        <f>_xlfn.XLOOKUP(C71, data_master!G:G, data_master!D:D)</f>
        <v>98608 TUBAN BRANCH</v>
      </c>
      <c r="C71" s="12" t="str">
        <v>B4764SNX</v>
      </c>
      <c r="D71" s="4">
        <f>IFERROR( _xlfn.MAXIFS( raw_stack!G:G, raw_stack!D:D, C71, raw_stack!F:F, "Iya" ), "" )</f>
        <v>45889</v>
      </c>
      <c r="E71" s="4">
        <f t="shared" si="4"/>
        <v>46073</v>
      </c>
      <c r="F71" s="7">
        <f>IFERROR(
 _xlfn.MAXIFS(
  raw_stack!H:H,
  raw_stack!D:D, C71,
  raw_stack!G:G, D71
 ),
 ""
)</f>
        <v>22197</v>
      </c>
      <c r="G71" s="7">
        <f>IFERROR(
 _xlfn.MAXIFS(
  raw_stack!E:E,
  raw_stack!D:D, C71,
  raw_stack!G:G, D71
 ),
 ""
)</f>
        <v>22197</v>
      </c>
      <c r="H71" s="10">
        <f t="shared" ca="1" si="5"/>
        <v>356</v>
      </c>
      <c r="I71" s="7">
        <f t="shared" si="6"/>
        <v>0</v>
      </c>
      <c r="J71" s="3" t="str">
        <f t="shared" ca="1" si="7"/>
        <v>OVERDUE</v>
      </c>
    </row>
    <row r="72" spans="1:10">
      <c r="A72" s="11" t="str">
        <f>_xlfn.XLOOKUP(C72, data_master!G:G, data_master!B:B)</f>
        <v>69055</v>
      </c>
      <c r="B72" t="str">
        <f>_xlfn.XLOOKUP(C72, data_master!G:G, data_master!D:D)</f>
        <v>69055 KARAWANG UNIT</v>
      </c>
      <c r="C72" s="12" t="str">
        <v>B1035ITY</v>
      </c>
      <c r="D72" s="4">
        <f>IFERROR( _xlfn.MAXIFS( raw_stack!G:G, raw_stack!D:D, C72, raw_stack!F:F, "Iya" ), "" )</f>
        <v>45423</v>
      </c>
      <c r="E72" s="4">
        <f t="shared" si="4"/>
        <v>45607</v>
      </c>
      <c r="F72" s="7">
        <f>IFERROR(
 _xlfn.MAXIFS(
  raw_stack!H:H,
  raw_stack!D:D, C72,
  raw_stack!G:G, D72
 ),
 ""
)</f>
        <v>18011</v>
      </c>
      <c r="G72" s="7">
        <f>IFERROR(
 _xlfn.MAXIFS(
  raw_stack!E:E,
  raw_stack!D:D, C72,
  raw_stack!G:G, D72
 ),
 ""
)</f>
        <v>18011</v>
      </c>
      <c r="H72" s="10">
        <f t="shared" ca="1" si="5"/>
        <v>822</v>
      </c>
      <c r="I72" s="7">
        <f t="shared" si="6"/>
        <v>0</v>
      </c>
      <c r="J72" s="3" t="str">
        <f t="shared" ca="1" si="7"/>
        <v>OVERDUE</v>
      </c>
    </row>
    <row r="73" spans="1:10">
      <c r="A73" s="11" t="str">
        <f>_xlfn.XLOOKUP(C73, data_master!G:G, data_master!B:B)</f>
        <v>11165</v>
      </c>
      <c r="B73" t="str">
        <f>_xlfn.XLOOKUP(C73, data_master!G:G, data_master!D:D)</f>
        <v>11165 LEBAK</v>
      </c>
      <c r="C73" s="12" t="str">
        <v>B8613WYE</v>
      </c>
      <c r="D73" s="4">
        <f>IFERROR( _xlfn.MAXIFS( raw_stack!G:G, raw_stack!D:D, C73, raw_stack!F:F, "Iya" ), "" )</f>
        <v>45934</v>
      </c>
      <c r="E73" s="4">
        <f t="shared" si="4"/>
        <v>46116</v>
      </c>
      <c r="F73" s="7">
        <f>IFERROR(
 _xlfn.MAXIFS(
  raw_stack!H:H,
  raw_stack!D:D, C73,
  raw_stack!G:G, D73
 ),
 ""
)</f>
        <v>60356</v>
      </c>
      <c r="G73" s="7">
        <f>IFERROR(
 _xlfn.MAXIFS(
  raw_stack!E:E,
  raw_stack!D:D, C73,
  raw_stack!G:G, D73
 ),
 ""
)</f>
        <v>60356</v>
      </c>
      <c r="H73" s="10">
        <f t="shared" ca="1" si="5"/>
        <v>311</v>
      </c>
      <c r="I73" s="7">
        <f t="shared" si="6"/>
        <v>0</v>
      </c>
      <c r="J73" s="3" t="str">
        <f t="shared" ca="1" si="7"/>
        <v>OVERDUE</v>
      </c>
    </row>
    <row r="74" spans="1:10">
      <c r="A74" s="11" t="str">
        <f>_xlfn.XLOOKUP(C74, data_master!G:G, data_master!B:B)</f>
        <v>60455</v>
      </c>
      <c r="B74" t="str">
        <f>_xlfn.XLOOKUP(C74, data_master!G:G, data_master!D:D)</f>
        <v>60455 KARO POS</v>
      </c>
      <c r="C74" s="12" t="str">
        <v>B6598EX</v>
      </c>
      <c r="D74" s="4">
        <f>IFERROR( _xlfn.MAXIFS( raw_stack!G:G, raw_stack!D:D, C74, raw_stack!F:F, "Iya" ), "" )</f>
        <v>46035</v>
      </c>
      <c r="E74" s="4">
        <f t="shared" si="4"/>
        <v>46216</v>
      </c>
      <c r="F74" s="7">
        <f>IFERROR(
 _xlfn.MAXIFS(
  raw_stack!H:H,
  raw_stack!D:D, C74,
  raw_stack!G:G, D74
 ),
 ""
)</f>
        <v>25355</v>
      </c>
      <c r="G74" s="7">
        <f>IFERROR(
 _xlfn.MAXIFS(
  raw_stack!E:E,
  raw_stack!D:D, C74,
  raw_stack!G:G, D74
 ),
 ""
)</f>
        <v>25355</v>
      </c>
      <c r="H74" s="10">
        <f t="shared" ca="1" si="5"/>
        <v>210</v>
      </c>
      <c r="I74" s="7">
        <f t="shared" si="6"/>
        <v>0</v>
      </c>
      <c r="J74" s="3" t="str">
        <f t="shared" ca="1" si="7"/>
        <v>OVERDUE</v>
      </c>
    </row>
    <row r="75" spans="1:10">
      <c r="A75" s="11" t="str">
        <f>_xlfn.XLOOKUP(C75, data_master!G:G, data_master!B:B)</f>
        <v>43172</v>
      </c>
      <c r="B75" t="str">
        <f>_xlfn.XLOOKUP(C75, data_master!G:G, data_master!D:D)</f>
        <v>43172 KULON PROGO POS</v>
      </c>
      <c r="C75" s="12" t="str">
        <v>DD1071FI</v>
      </c>
      <c r="D75" s="4">
        <f>IFERROR( _xlfn.MAXIFS( raw_stack!G:G, raw_stack!D:D, C75, raw_stack!F:F, "Iya" ), "" )</f>
        <v>45911</v>
      </c>
      <c r="E75" s="4">
        <f t="shared" si="4"/>
        <v>46092</v>
      </c>
      <c r="F75" s="7">
        <f>IFERROR(
 _xlfn.MAXIFS(
  raw_stack!H:H,
  raw_stack!D:D, C75,
  raw_stack!G:G, D75
 ),
 ""
)</f>
        <v>32789</v>
      </c>
      <c r="G75" s="7">
        <f>IFERROR(
 _xlfn.MAXIFS(
  raw_stack!E:E,
  raw_stack!D:D, C75,
  raw_stack!G:G, D75
 ),
 ""
)</f>
        <v>32789</v>
      </c>
      <c r="H75" s="10">
        <f t="shared" ca="1" si="5"/>
        <v>334</v>
      </c>
      <c r="I75" s="7">
        <f t="shared" si="6"/>
        <v>0</v>
      </c>
      <c r="J75" s="3" t="str">
        <f t="shared" ca="1" si="7"/>
        <v>OVERDUE</v>
      </c>
    </row>
    <row r="76" spans="1:10">
      <c r="A76" s="11" t="str">
        <f>_xlfn.XLOOKUP(C76, data_master!G:G, data_master!B:B)</f>
        <v>38577</v>
      </c>
      <c r="B76" t="str">
        <f>_xlfn.XLOOKUP(C76, data_master!G:G, data_master!D:D)</f>
        <v>38577 JAYAPURA BRANCH</v>
      </c>
      <c r="C76" s="12" t="str">
        <v>B1377ZP</v>
      </c>
      <c r="D76" s="4">
        <f>IFERROR( _xlfn.MAXIFS( raw_stack!G:G, raw_stack!D:D, C76, raw_stack!F:F, "Iya" ), "" )</f>
        <v>45970</v>
      </c>
      <c r="E76" s="4">
        <f t="shared" si="4"/>
        <v>46151</v>
      </c>
      <c r="F76" s="7">
        <f>IFERROR(
 _xlfn.MAXIFS(
  raw_stack!H:H,
  raw_stack!D:D, C76,
  raw_stack!G:G, D76
 ),
 ""
)</f>
        <v>55205</v>
      </c>
      <c r="G76" s="7">
        <f>IFERROR(
 _xlfn.MAXIFS(
  raw_stack!E:E,
  raw_stack!D:D, C76,
  raw_stack!G:G, D76
 ),
 ""
)</f>
        <v>55205</v>
      </c>
      <c r="H76" s="10">
        <f t="shared" ca="1" si="5"/>
        <v>275</v>
      </c>
      <c r="I76" s="7">
        <f t="shared" si="6"/>
        <v>0</v>
      </c>
      <c r="J76" s="3" t="str">
        <f t="shared" ca="1" si="7"/>
        <v>OVERDUE</v>
      </c>
    </row>
    <row r="77" spans="1:10">
      <c r="A77" s="11" t="str">
        <f>_xlfn.XLOOKUP(C77, data_master!G:G, data_master!B:B)</f>
        <v>10597</v>
      </c>
      <c r="B77" t="str">
        <f>_xlfn.XLOOKUP(C77, data_master!G:G, data_master!D:D)</f>
        <v>10597 NABIRE UNIT</v>
      </c>
      <c r="C77" s="12" t="str">
        <v>B8069JR</v>
      </c>
      <c r="D77" s="4">
        <f>IFERROR( _xlfn.MAXIFS( raw_stack!G:G, raw_stack!D:D, C77, raw_stack!F:F, "Iya" ), "" )</f>
        <v>46118</v>
      </c>
      <c r="E77" s="4">
        <f t="shared" si="4"/>
        <v>46301</v>
      </c>
      <c r="F77" s="7">
        <f>IFERROR(
 _xlfn.MAXIFS(
  raw_stack!H:H,
  raw_stack!D:D, C77,
  raw_stack!G:G, D77
 ),
 ""
)</f>
        <v>119398</v>
      </c>
      <c r="G77" s="7">
        <f>IFERROR(
 _xlfn.MAXIFS(
  raw_stack!E:E,
  raw_stack!D:D, C77,
  raw_stack!G:G, D77
 ),
 ""
)</f>
        <v>120429</v>
      </c>
      <c r="H77" s="10">
        <f t="shared" ca="1" si="5"/>
        <v>127</v>
      </c>
      <c r="I77" s="7">
        <f t="shared" si="6"/>
        <v>1031</v>
      </c>
      <c r="J77" s="3" t="str">
        <f t="shared" ca="1" si="7"/>
        <v>AMAN</v>
      </c>
    </row>
    <row r="78" spans="1:10">
      <c r="A78" s="11" t="str">
        <f>_xlfn.XLOOKUP(C78, data_master!G:G, data_master!B:B)</f>
        <v>44362</v>
      </c>
      <c r="B78" t="str">
        <f>_xlfn.XLOOKUP(C78, data_master!G:G, data_master!D:D)</f>
        <v>44362 JEMBRANA</v>
      </c>
      <c r="C78" s="12" t="str">
        <v>B7986SF</v>
      </c>
      <c r="D78" s="4">
        <f>IFERROR( _xlfn.MAXIFS( raw_stack!G:G, raw_stack!D:D, C78, raw_stack!F:F, "Iya" ), "" )</f>
        <v>45979</v>
      </c>
      <c r="E78" s="4">
        <f t="shared" si="4"/>
        <v>46160</v>
      </c>
      <c r="F78" s="7">
        <f>IFERROR(
 _xlfn.MAXIFS(
  raw_stack!H:H,
  raw_stack!D:D, C78,
  raw_stack!G:G, D78
 ),
 ""
)</f>
        <v>37659</v>
      </c>
      <c r="G78" s="7">
        <f>IFERROR(
 _xlfn.MAXIFS(
  raw_stack!E:E,
  raw_stack!D:D, C78,
  raw_stack!G:G, D78
 ),
 ""
)</f>
        <v>37659</v>
      </c>
      <c r="H78" s="10">
        <f t="shared" ca="1" si="5"/>
        <v>266</v>
      </c>
      <c r="I78" s="7">
        <f t="shared" si="6"/>
        <v>0</v>
      </c>
      <c r="J78" s="3" t="str">
        <f t="shared" ca="1" si="7"/>
        <v>OVERDUE</v>
      </c>
    </row>
    <row r="79" spans="1:10">
      <c r="A79" s="11" t="str">
        <f>_xlfn.XLOOKUP(C79, data_master!G:G, data_master!B:B)</f>
        <v>40259</v>
      </c>
      <c r="B79" t="str">
        <f>_xlfn.XLOOKUP(C79, data_master!G:G, data_master!D:D)</f>
        <v>40259 UNAAHA</v>
      </c>
      <c r="C79" s="12" t="str">
        <v>B2401EI</v>
      </c>
      <c r="D79" s="4">
        <f>IFERROR( _xlfn.MAXIFS( raw_stack!G:G, raw_stack!D:D, C79, raw_stack!F:F, "Iya" ), "" )</f>
        <v>46008</v>
      </c>
      <c r="E79" s="4">
        <f t="shared" si="4"/>
        <v>46190</v>
      </c>
      <c r="F79" s="7">
        <f>IFERROR(
 _xlfn.MAXIFS(
  raw_stack!H:H,
  raw_stack!D:D, C79,
  raw_stack!G:G, D79
 ),
 ""
)</f>
        <v>63171</v>
      </c>
      <c r="G79" s="7">
        <f>IFERROR(
 _xlfn.MAXIFS(
  raw_stack!E:E,
  raw_stack!D:D, C79,
  raw_stack!G:G, D79
 ),
 ""
)</f>
        <v>63171</v>
      </c>
      <c r="H79" s="10">
        <f t="shared" ca="1" si="5"/>
        <v>237</v>
      </c>
      <c r="I79" s="7">
        <f t="shared" si="6"/>
        <v>0</v>
      </c>
      <c r="J79" s="3" t="str">
        <f t="shared" ca="1" si="7"/>
        <v>OVERDUE</v>
      </c>
    </row>
    <row r="80" spans="1:10">
      <c r="A80" s="11" t="str">
        <f>_xlfn.XLOOKUP(C80, data_master!G:G, data_master!B:B)</f>
        <v>27693</v>
      </c>
      <c r="B80" t="str">
        <f>_xlfn.XLOOKUP(C80, data_master!G:G, data_master!D:D)</f>
        <v>27693 BADUNG POS</v>
      </c>
      <c r="C80" s="12" t="str">
        <v>B2652NS</v>
      </c>
      <c r="D80" s="4">
        <f>IFERROR( _xlfn.MAXIFS( raw_stack!G:G, raw_stack!D:D, C80, raw_stack!F:F, "Iya" ), "" )</f>
        <v>46092</v>
      </c>
      <c r="E80" s="4">
        <f t="shared" si="4"/>
        <v>46276</v>
      </c>
      <c r="F80" s="7">
        <f>IFERROR(
 _xlfn.MAXIFS(
  raw_stack!H:H,
  raw_stack!D:D, C80,
  raw_stack!G:G, D80
 ),
 ""
)</f>
        <v>50071</v>
      </c>
      <c r="G80" s="7">
        <f>IFERROR(
 _xlfn.MAXIFS(
  raw_stack!E:E,
  raw_stack!D:D, C80,
  raw_stack!G:G, D80
 ),
 ""
)</f>
        <v>50071</v>
      </c>
      <c r="H80" s="10">
        <f t="shared" ca="1" si="5"/>
        <v>153</v>
      </c>
      <c r="I80" s="7">
        <f t="shared" si="6"/>
        <v>0</v>
      </c>
      <c r="J80" s="3" t="str">
        <f t="shared" ca="1" si="7"/>
        <v>AMAN</v>
      </c>
    </row>
    <row r="81" spans="1:10">
      <c r="A81" s="11" t="str">
        <f>_xlfn.XLOOKUP(C81, data_master!G:G, data_master!B:B)</f>
        <v>72402</v>
      </c>
      <c r="B81" t="str">
        <f>_xlfn.XLOOKUP(C81, data_master!G:G, data_master!D:D)</f>
        <v>72402 JEPARA 2</v>
      </c>
      <c r="C81" s="12" t="str">
        <v>B2997NJ</v>
      </c>
      <c r="D81" s="4">
        <f>IFERROR( _xlfn.MAXIFS( raw_stack!G:G, raw_stack!D:D, C81, raw_stack!F:F, "Iya" ), "" )</f>
        <v>45904</v>
      </c>
      <c r="E81" s="4">
        <f t="shared" si="4"/>
        <v>46085</v>
      </c>
      <c r="F81" s="7">
        <f>IFERROR(
 _xlfn.MAXIFS(
  raw_stack!H:H,
  raw_stack!D:D, C81,
  raw_stack!G:G, D81
 ),
 ""
)</f>
        <v>70397</v>
      </c>
      <c r="G81" s="7">
        <f>IFERROR(
 _xlfn.MAXIFS(
  raw_stack!E:E,
  raw_stack!D:D, C81,
  raw_stack!G:G, D81
 ),
 ""
)</f>
        <v>70397</v>
      </c>
      <c r="H81" s="10">
        <f t="shared" ca="1" si="5"/>
        <v>341</v>
      </c>
      <c r="I81" s="7">
        <f t="shared" si="6"/>
        <v>0</v>
      </c>
      <c r="J81" s="3" t="str">
        <f t="shared" ca="1" si="7"/>
        <v>OVERDUE</v>
      </c>
    </row>
    <row r="82" spans="1:10">
      <c r="A82" s="11" t="str">
        <f>_xlfn.XLOOKUP(C82, data_master!G:G, data_master!B:B)</f>
        <v>36094</v>
      </c>
      <c r="B82" t="str">
        <f>_xlfn.XLOOKUP(C82, data_master!G:G, data_master!D:D)</f>
        <v>36094 PALANGKARAYA</v>
      </c>
      <c r="C82" s="12" t="str">
        <v>B8230YP</v>
      </c>
      <c r="D82" s="4">
        <f>IFERROR( _xlfn.MAXIFS( raw_stack!G:G, raw_stack!D:D, C82, raw_stack!F:F, "Iya" ), "" )</f>
        <v>46087</v>
      </c>
      <c r="E82" s="4">
        <f t="shared" si="4"/>
        <v>46271</v>
      </c>
      <c r="F82" s="7">
        <f>IFERROR(
 _xlfn.MAXIFS(
  raw_stack!H:H,
  raw_stack!D:D, C82,
  raw_stack!G:G, D82
 ),
 ""
)</f>
        <v>33220</v>
      </c>
      <c r="G82" s="7">
        <f>IFERROR(
 _xlfn.MAXIFS(
  raw_stack!E:E,
  raw_stack!D:D, C82,
  raw_stack!G:G, D82
 ),
 ""
)</f>
        <v>33220</v>
      </c>
      <c r="H82" s="10">
        <f t="shared" ca="1" si="5"/>
        <v>158</v>
      </c>
      <c r="I82" s="7">
        <f t="shared" si="6"/>
        <v>0</v>
      </c>
      <c r="J82" s="3" t="str">
        <f t="shared" ca="1" si="7"/>
        <v>AMAN</v>
      </c>
    </row>
    <row r="83" spans="1:10">
      <c r="A83" s="11" t="str">
        <f>_xlfn.XLOOKUP(C83, data_master!G:G, data_master!B:B)</f>
        <v>14599</v>
      </c>
      <c r="B83" t="str">
        <f>_xlfn.XLOOKUP(C83, data_master!G:G, data_master!D:D)</f>
        <v>14599 MATARAM</v>
      </c>
      <c r="C83" s="12" t="str">
        <v>B9347LJ</v>
      </c>
      <c r="D83" s="4">
        <f>IFERROR( _xlfn.MAXIFS( raw_stack!G:G, raw_stack!D:D, C83, raw_stack!F:F, "Iya" ), "" )</f>
        <v>46088</v>
      </c>
      <c r="E83" s="4">
        <f t="shared" si="4"/>
        <v>46272</v>
      </c>
      <c r="F83" s="7">
        <f>IFERROR(
 _xlfn.MAXIFS(
  raw_stack!H:H,
  raw_stack!D:D, C83,
  raw_stack!G:G, D83
 ),
 ""
)</f>
        <v>48435</v>
      </c>
      <c r="G83" s="7">
        <f>IFERROR(
 _xlfn.MAXIFS(
  raw_stack!E:E,
  raw_stack!D:D, C83,
  raw_stack!G:G, D83
 ),
 ""
)</f>
        <v>48435</v>
      </c>
      <c r="H83" s="10">
        <f t="shared" ca="1" si="5"/>
        <v>157</v>
      </c>
      <c r="I83" s="7">
        <f t="shared" si="6"/>
        <v>0</v>
      </c>
      <c r="J83" s="3" t="str">
        <f t="shared" ca="1" si="7"/>
        <v>AMAN</v>
      </c>
    </row>
    <row r="84" spans="1:10">
      <c r="A84" s="11" t="str">
        <f>_xlfn.XLOOKUP(C84, data_master!G:G, data_master!B:B)</f>
        <v>20958</v>
      </c>
      <c r="B84" t="str">
        <f>_xlfn.XLOOKUP(C84, data_master!G:G, data_master!D:D)</f>
        <v>20958 SIAK</v>
      </c>
      <c r="C84" s="12" t="str">
        <v>AB1281PCR</v>
      </c>
      <c r="D84" s="4">
        <f>IFERROR( _xlfn.MAXIFS( raw_stack!G:G, raw_stack!D:D, C84, raw_stack!F:F, "Iya" ), "" )</f>
        <v>45902</v>
      </c>
      <c r="E84" s="4">
        <f t="shared" si="4"/>
        <v>46083</v>
      </c>
      <c r="F84" s="7">
        <f>IFERROR(
 _xlfn.MAXIFS(
  raw_stack!H:H,
  raw_stack!D:D, C84,
  raw_stack!G:G, D84
 ),
 ""
)</f>
        <v>24299</v>
      </c>
      <c r="G84" s="7">
        <f>IFERROR(
 _xlfn.MAXIFS(
  raw_stack!E:E,
  raw_stack!D:D, C84,
  raw_stack!G:G, D84
 ),
 ""
)</f>
        <v>24299</v>
      </c>
      <c r="H84" s="10">
        <f t="shared" ca="1" si="5"/>
        <v>343</v>
      </c>
      <c r="I84" s="7">
        <f t="shared" si="6"/>
        <v>0</v>
      </c>
      <c r="J84" s="3" t="str">
        <f t="shared" ca="1" si="7"/>
        <v>OVERDUE</v>
      </c>
    </row>
    <row r="85" spans="1:10">
      <c r="A85" s="11" t="str">
        <f>_xlfn.XLOOKUP(C85, data_master!G:G, data_master!B:B)</f>
        <v>29309</v>
      </c>
      <c r="B85" t="str">
        <f>_xlfn.XLOOKUP(C85, data_master!G:G, data_master!D:D)</f>
        <v>29309 NGANJUK</v>
      </c>
      <c r="C85" s="12" t="str">
        <v>B2034KCH</v>
      </c>
      <c r="D85" s="4">
        <f>IFERROR( _xlfn.MAXIFS( raw_stack!G:G, raw_stack!D:D, C85, raw_stack!F:F, "Iya" ), "" )</f>
        <v>46088</v>
      </c>
      <c r="E85" s="4">
        <f t="shared" si="4"/>
        <v>46272</v>
      </c>
      <c r="F85" s="7">
        <f>IFERROR(
 _xlfn.MAXIFS(
  raw_stack!H:H,
  raw_stack!D:D, C85,
  raw_stack!G:G, D85
 ),
 ""
)</f>
        <v>117613</v>
      </c>
      <c r="G85" s="7">
        <f>IFERROR(
 _xlfn.MAXIFS(
  raw_stack!E:E,
  raw_stack!D:D, C85,
  raw_stack!G:G, D85
 ),
 ""
)</f>
        <v>117613</v>
      </c>
      <c r="H85" s="10">
        <f t="shared" ca="1" si="5"/>
        <v>157</v>
      </c>
      <c r="I85" s="7">
        <f t="shared" si="6"/>
        <v>0</v>
      </c>
      <c r="J85" s="3" t="str">
        <f t="shared" ca="1" si="7"/>
        <v>AMAN</v>
      </c>
    </row>
    <row r="86" spans="1:10">
      <c r="A86" s="11" t="str">
        <f>_xlfn.XLOOKUP(C86, data_master!G:G, data_master!B:B)</f>
        <v>66880</v>
      </c>
      <c r="B86" t="str">
        <f>_xlfn.XLOOKUP(C86, data_master!G:G, data_master!D:D)</f>
        <v>66880 SUMBAWA</v>
      </c>
      <c r="C86" s="12" t="str">
        <v>B6874UZA</v>
      </c>
      <c r="D86" s="4">
        <f>IFERROR( _xlfn.MAXIFS( raw_stack!G:G, raw_stack!D:D, C86, raw_stack!F:F, "Iya" ), "" )</f>
        <v>46048</v>
      </c>
      <c r="E86" s="4">
        <f t="shared" si="4"/>
        <v>46229</v>
      </c>
      <c r="F86" s="7">
        <f>IFERROR(
 _xlfn.MAXIFS(
  raw_stack!H:H,
  raw_stack!D:D, C86,
  raw_stack!G:G, D86
 ),
 ""
)</f>
        <v>61600</v>
      </c>
      <c r="G86" s="7">
        <f>IFERROR(
 _xlfn.MAXIFS(
  raw_stack!E:E,
  raw_stack!D:D, C86,
  raw_stack!G:G, D86
 ),
 ""
)</f>
        <v>61600</v>
      </c>
      <c r="H86" s="10">
        <f t="shared" ca="1" si="5"/>
        <v>197</v>
      </c>
      <c r="I86" s="7">
        <f t="shared" si="6"/>
        <v>0</v>
      </c>
      <c r="J86" s="3" t="str">
        <f t="shared" ca="1" si="7"/>
        <v>OVERDUE</v>
      </c>
    </row>
    <row r="87" spans="1:10">
      <c r="A87" s="11" t="str">
        <f>_xlfn.XLOOKUP(C87, data_master!G:G, data_master!B:B)</f>
        <v>92015</v>
      </c>
      <c r="B87" t="str">
        <f>_xlfn.XLOOKUP(C87, data_master!G:G, data_master!D:D)</f>
        <v>92015 DUMAI BRANCH</v>
      </c>
      <c r="C87" s="12" t="str">
        <v>D2702MC</v>
      </c>
      <c r="D87" s="4">
        <f>IFERROR( _xlfn.MAXIFS( raw_stack!G:G, raw_stack!D:D, C87, raw_stack!F:F, "Iya" ), "" )</f>
        <v>46123</v>
      </c>
      <c r="E87" s="4">
        <f t="shared" si="4"/>
        <v>46306</v>
      </c>
      <c r="F87" s="7">
        <f>IFERROR(
 _xlfn.MAXIFS(
  raw_stack!H:H,
  raw_stack!D:D, C87,
  raw_stack!G:G, D87
 ),
 ""
)</f>
        <v>44266</v>
      </c>
      <c r="G87" s="7">
        <f>IFERROR(
 _xlfn.MAXIFS(
  raw_stack!E:E,
  raw_stack!D:D, C87,
  raw_stack!G:G, D87
 ),
 ""
)</f>
        <v>44266</v>
      </c>
      <c r="H87" s="10">
        <f t="shared" ca="1" si="5"/>
        <v>122</v>
      </c>
      <c r="I87" s="7">
        <f t="shared" si="6"/>
        <v>0</v>
      </c>
      <c r="J87" s="3" t="str">
        <f t="shared" ca="1" si="7"/>
        <v>AMAN</v>
      </c>
    </row>
    <row r="88" spans="1:10">
      <c r="A88" s="11" t="str">
        <f>_xlfn.XLOOKUP(C88, data_master!G:G, data_master!B:B)</f>
        <v>23490</v>
      </c>
      <c r="B88" t="str">
        <f>_xlfn.XLOOKUP(C88, data_master!G:G, data_master!D:D)</f>
        <v>23490 INDRAMAYU BRANCH</v>
      </c>
      <c r="C88" s="12" t="str">
        <v>BE6556LIU</v>
      </c>
      <c r="D88" s="4">
        <f>IFERROR( _xlfn.MAXIFS( raw_stack!G:G, raw_stack!D:D, C88, raw_stack!F:F, "Iya" ), "" )</f>
        <v>46129</v>
      </c>
      <c r="E88" s="4">
        <f t="shared" si="4"/>
        <v>46312</v>
      </c>
      <c r="F88" s="7">
        <f>IFERROR(
 _xlfn.MAXIFS(
  raw_stack!H:H,
  raw_stack!D:D, C88,
  raw_stack!G:G, D88
 ),
 ""
)</f>
        <v>24114</v>
      </c>
      <c r="G88" s="7">
        <f>IFERROR(
 _xlfn.MAXIFS(
  raw_stack!E:E,
  raw_stack!D:D, C88,
  raw_stack!G:G, D88
 ),
 ""
)</f>
        <v>24114</v>
      </c>
      <c r="H88" s="10">
        <f t="shared" ca="1" si="5"/>
        <v>116</v>
      </c>
      <c r="I88" s="7">
        <f t="shared" si="6"/>
        <v>0</v>
      </c>
      <c r="J88" s="3" t="str">
        <f t="shared" ca="1" si="7"/>
        <v>AMAN</v>
      </c>
    </row>
    <row r="89" spans="1:10">
      <c r="A89" s="11" t="str">
        <f>_xlfn.XLOOKUP(C89, data_master!G:G, data_master!B:B)</f>
        <v>66820</v>
      </c>
      <c r="B89" t="str">
        <f>_xlfn.XLOOKUP(C89, data_master!G:G, data_master!D:D)</f>
        <v>66820 MEMPAWAH UNIT</v>
      </c>
      <c r="C89" s="12" t="str">
        <v>B3472IIU</v>
      </c>
      <c r="D89" s="4">
        <f>IFERROR( _xlfn.MAXIFS( raw_stack!G:G, raw_stack!D:D, C89, raw_stack!F:F, "Iya" ), "" )</f>
        <v>46062</v>
      </c>
      <c r="E89" s="4">
        <f t="shared" si="4"/>
        <v>46243</v>
      </c>
      <c r="F89" s="7">
        <f>IFERROR(
 _xlfn.MAXIFS(
  raw_stack!H:H,
  raw_stack!D:D, C89,
  raw_stack!G:G, D89
 ),
 ""
)</f>
        <v>87347</v>
      </c>
      <c r="G89" s="7">
        <f>IFERROR(
 _xlfn.MAXIFS(
  raw_stack!E:E,
  raw_stack!D:D, C89,
  raw_stack!G:G, D89
 ),
 ""
)</f>
        <v>87347</v>
      </c>
      <c r="H89" s="10">
        <f t="shared" ca="1" si="5"/>
        <v>183</v>
      </c>
      <c r="I89" s="7">
        <f t="shared" si="6"/>
        <v>0</v>
      </c>
      <c r="J89" s="3" t="str">
        <f t="shared" ca="1" si="7"/>
        <v>OVERDUE</v>
      </c>
    </row>
    <row r="90" spans="1:10">
      <c r="A90" s="11" t="str">
        <f>_xlfn.XLOOKUP(C90, data_master!G:G, data_master!B:B)</f>
        <v>20314</v>
      </c>
      <c r="B90" t="str">
        <f>_xlfn.XLOOKUP(C90, data_master!G:G, data_master!D:D)</f>
        <v>20314 SINTANG BRANCH</v>
      </c>
      <c r="C90" s="12" t="str">
        <v>DD1053PKN</v>
      </c>
      <c r="D90" s="4">
        <f>IFERROR( _xlfn.MAXIFS( raw_stack!G:G, raw_stack!D:D, C90, raw_stack!F:F, "Iya" ), "" )</f>
        <v>45920</v>
      </c>
      <c r="E90" s="4">
        <f t="shared" si="4"/>
        <v>46101</v>
      </c>
      <c r="F90" s="7">
        <f>IFERROR(
 _xlfn.MAXIFS(
  raw_stack!H:H,
  raw_stack!D:D, C90,
  raw_stack!G:G, D90
 ),
 ""
)</f>
        <v>37203</v>
      </c>
      <c r="G90" s="7">
        <f>IFERROR(
 _xlfn.MAXIFS(
  raw_stack!E:E,
  raw_stack!D:D, C90,
  raw_stack!G:G, D90
 ),
 ""
)</f>
        <v>37203</v>
      </c>
      <c r="H90" s="10">
        <f t="shared" ca="1" si="5"/>
        <v>325</v>
      </c>
      <c r="I90" s="7">
        <f t="shared" si="6"/>
        <v>0</v>
      </c>
      <c r="J90" s="3" t="str">
        <f t="shared" ca="1" si="7"/>
        <v>OVERDUE</v>
      </c>
    </row>
    <row r="91" spans="1:10">
      <c r="A91" s="11" t="str">
        <f>_xlfn.XLOOKUP(C91, data_master!G:G, data_master!B:B)</f>
        <v>63313</v>
      </c>
      <c r="B91" t="str">
        <f>_xlfn.XLOOKUP(C91, data_master!G:G, data_master!D:D)</f>
        <v>63313 TEMANGGUNG</v>
      </c>
      <c r="C91" s="12" t="str">
        <v>B8753SMF</v>
      </c>
      <c r="D91" s="4">
        <f>IFERROR( _xlfn.MAXIFS( raw_stack!G:G, raw_stack!D:D, C91, raw_stack!F:F, "Iya" ), "" )</f>
        <v>46095</v>
      </c>
      <c r="E91" s="4">
        <f t="shared" si="4"/>
        <v>46279</v>
      </c>
      <c r="F91" s="7">
        <f>IFERROR(
 _xlfn.MAXIFS(
  raw_stack!H:H,
  raw_stack!D:D, C91,
  raw_stack!G:G, D91
 ),
 ""
)</f>
        <v>58780</v>
      </c>
      <c r="G91" s="7">
        <f>IFERROR(
 _xlfn.MAXIFS(
  raw_stack!E:E,
  raw_stack!D:D, C91,
  raw_stack!G:G, D91
 ),
 ""
)</f>
        <v>60920</v>
      </c>
      <c r="H91" s="10">
        <f t="shared" ca="1" si="5"/>
        <v>150</v>
      </c>
      <c r="I91" s="7">
        <f t="shared" si="6"/>
        <v>2140</v>
      </c>
      <c r="J91" s="3" t="str">
        <f t="shared" ca="1" si="7"/>
        <v>AMAN</v>
      </c>
    </row>
    <row r="92" spans="1:10">
      <c r="A92" s="11" t="str">
        <f>_xlfn.XLOOKUP(C92, data_master!G:G, data_master!B:B)</f>
        <v>38816</v>
      </c>
      <c r="B92" t="str">
        <f>_xlfn.XLOOKUP(C92, data_master!G:G, data_master!D:D)</f>
        <v>38816 MEULABOH BRANCH</v>
      </c>
      <c r="C92" s="12" t="str">
        <v>DD5905FD</v>
      </c>
      <c r="D92" s="4">
        <f>IFERROR( _xlfn.MAXIFS( raw_stack!G:G, raw_stack!D:D, C92, raw_stack!F:F, "Iya" ), "" )</f>
        <v>46091</v>
      </c>
      <c r="E92" s="4">
        <f t="shared" si="4"/>
        <v>46275</v>
      </c>
      <c r="F92" s="7">
        <f>IFERROR(
 _xlfn.MAXIFS(
  raw_stack!H:H,
  raw_stack!D:D, C92,
  raw_stack!G:G, D92
 ),
 ""
)</f>
        <v>52630</v>
      </c>
      <c r="G92" s="7">
        <f>IFERROR(
 _xlfn.MAXIFS(
  raw_stack!E:E,
  raw_stack!D:D, C92,
  raw_stack!G:G, D92
 ),
 ""
)</f>
        <v>55379</v>
      </c>
      <c r="H92" s="10">
        <f t="shared" ca="1" si="5"/>
        <v>154</v>
      </c>
      <c r="I92" s="7">
        <f t="shared" si="6"/>
        <v>2749</v>
      </c>
      <c r="J92" s="3" t="str">
        <f t="shared" ca="1" si="7"/>
        <v>AMAN</v>
      </c>
    </row>
    <row r="93" spans="1:10">
      <c r="A93" s="11" t="str">
        <f>_xlfn.XLOOKUP(C93, data_master!G:G, data_master!B:B)</f>
        <v>35309</v>
      </c>
      <c r="B93" t="str">
        <f>_xlfn.XLOOKUP(C93, data_master!G:G, data_master!D:D)</f>
        <v>35309 SERANG 2</v>
      </c>
      <c r="C93" s="12" t="str">
        <v>B3406ZUA</v>
      </c>
      <c r="D93" s="4">
        <f>IFERROR( _xlfn.MAXIFS( raw_stack!G:G, raw_stack!D:D, C93, raw_stack!F:F, "Iya" ), "" )</f>
        <v>46097</v>
      </c>
      <c r="E93" s="4">
        <f t="shared" si="4"/>
        <v>46281</v>
      </c>
      <c r="F93" s="7">
        <f>IFERROR(
 _xlfn.MAXIFS(
  raw_stack!H:H,
  raw_stack!D:D, C93,
  raw_stack!G:G, D93
 ),
 ""
)</f>
        <v>69785</v>
      </c>
      <c r="G93" s="7">
        <f>IFERROR(
 _xlfn.MAXIFS(
  raw_stack!E:E,
  raw_stack!D:D, C93,
  raw_stack!G:G, D93
 ),
 ""
)</f>
        <v>72375</v>
      </c>
      <c r="H93" s="10">
        <f t="shared" ca="1" si="5"/>
        <v>148</v>
      </c>
      <c r="I93" s="7">
        <f t="shared" si="6"/>
        <v>2590</v>
      </c>
      <c r="J93" s="3" t="str">
        <f t="shared" ca="1" si="7"/>
        <v>AMAN</v>
      </c>
    </row>
    <row r="94" spans="1:10">
      <c r="A94" s="11" t="str">
        <f>_xlfn.XLOOKUP(C94, data_master!G:G, data_master!B:B)</f>
        <v>23490</v>
      </c>
      <c r="B94" t="str">
        <f>_xlfn.XLOOKUP(C94, data_master!G:G, data_master!D:D)</f>
        <v>23490 INDRAMAYU BRANCH</v>
      </c>
      <c r="C94" s="12" t="str">
        <v>B7991PSS</v>
      </c>
      <c r="D94" s="4">
        <f>IFERROR( _xlfn.MAXIFS( raw_stack!G:G, raw_stack!D:D, C94, raw_stack!F:F, "Iya" ), "" )</f>
        <v>46118</v>
      </c>
      <c r="E94" s="4">
        <f t="shared" si="4"/>
        <v>46301</v>
      </c>
      <c r="F94" s="7">
        <f>IFERROR(
 _xlfn.MAXIFS(
  raw_stack!H:H,
  raw_stack!D:D, C94,
  raw_stack!G:G, D94
 ),
 ""
)</f>
        <v>93018</v>
      </c>
      <c r="G94" s="7">
        <f>IFERROR(
 _xlfn.MAXIFS(
  raw_stack!E:E,
  raw_stack!D:D, C94,
  raw_stack!G:G, D94
 ),
 ""
)</f>
        <v>94270</v>
      </c>
      <c r="H94" s="10">
        <f t="shared" ca="1" si="5"/>
        <v>127</v>
      </c>
      <c r="I94" s="7">
        <f t="shared" si="6"/>
        <v>1252</v>
      </c>
      <c r="J94" s="3" t="str">
        <f t="shared" ca="1" si="7"/>
        <v>AMAN</v>
      </c>
    </row>
    <row r="95" spans="1:10">
      <c r="A95" s="11" t="str">
        <f>_xlfn.XLOOKUP(C95, data_master!G:G, data_master!B:B)</f>
        <v>12292</v>
      </c>
      <c r="B95" t="str">
        <f>_xlfn.XLOOKUP(C95, data_master!G:G, data_master!D:D)</f>
        <v>12292 SIGLI UNIT</v>
      </c>
      <c r="C95" s="12" t="str">
        <v>DD9729YV</v>
      </c>
      <c r="D95" s="4">
        <f>IFERROR( _xlfn.MAXIFS( raw_stack!G:G, raw_stack!D:D, C95, raw_stack!F:F, "Iya" ), "" )</f>
        <v>46051</v>
      </c>
      <c r="E95" s="4">
        <f t="shared" si="4"/>
        <v>46232</v>
      </c>
      <c r="F95" s="7">
        <f>IFERROR(
 _xlfn.MAXIFS(
  raw_stack!H:H,
  raw_stack!D:D, C95,
  raw_stack!G:G, D95
 ),
 ""
)</f>
        <v>55044</v>
      </c>
      <c r="G95" s="7">
        <f>IFERROR(
 _xlfn.MAXIFS(
  raw_stack!E:E,
  raw_stack!D:D, C95,
  raw_stack!G:G, D95
 ),
 ""
)</f>
        <v>55044</v>
      </c>
      <c r="H95" s="10">
        <f t="shared" ca="1" si="5"/>
        <v>194</v>
      </c>
      <c r="I95" s="7">
        <f t="shared" si="6"/>
        <v>0</v>
      </c>
      <c r="J95" s="3" t="str">
        <f t="shared" ca="1" si="7"/>
        <v>OVERDUE</v>
      </c>
    </row>
    <row r="96" spans="1:10">
      <c r="A96" s="11" t="str">
        <f>_xlfn.XLOOKUP(C96, data_master!G:G, data_master!B:B)</f>
        <v>17741</v>
      </c>
      <c r="B96" t="str">
        <f>_xlfn.XLOOKUP(C96, data_master!G:G, data_master!D:D)</f>
        <v>17741 BONE</v>
      </c>
      <c r="C96" s="12" t="str">
        <v>B3553JC</v>
      </c>
      <c r="D96" s="4">
        <f>IFERROR( _xlfn.MAXIFS( raw_stack!G:G, raw_stack!D:D, C96, raw_stack!F:F, "Iya" ), "" )</f>
        <v>46066</v>
      </c>
      <c r="E96" s="4">
        <f t="shared" si="4"/>
        <v>46247</v>
      </c>
      <c r="F96" s="7">
        <f>IFERROR(
 _xlfn.MAXIFS(
  raw_stack!H:H,
  raw_stack!D:D, C96,
  raw_stack!G:G, D96
 ),
 ""
)</f>
        <v>31478</v>
      </c>
      <c r="G96" s="7">
        <f>IFERROR(
 _xlfn.MAXIFS(
  raw_stack!E:E,
  raw_stack!D:D, C96,
  raw_stack!G:G, D96
 ),
 ""
)</f>
        <v>31478</v>
      </c>
      <c r="H96" s="10">
        <f t="shared" ca="1" si="5"/>
        <v>179</v>
      </c>
      <c r="I96" s="7">
        <f t="shared" si="6"/>
        <v>0</v>
      </c>
      <c r="J96" s="3" t="str">
        <f t="shared" ca="1" si="7"/>
        <v>AMAN</v>
      </c>
    </row>
    <row r="97" spans="1:10">
      <c r="A97" s="11" t="str">
        <f>_xlfn.XLOOKUP(C97, data_master!G:G, data_master!B:B)</f>
        <v>90846</v>
      </c>
      <c r="B97" t="str">
        <f>_xlfn.XLOOKUP(C97, data_master!G:G, data_master!D:D)</f>
        <v>90846 TAPANULI UTARA 2</v>
      </c>
      <c r="C97" s="12" t="str">
        <v>B5879BX</v>
      </c>
      <c r="D97" s="4">
        <f>IFERROR( _xlfn.MAXIFS( raw_stack!G:G, raw_stack!D:D, C97, raw_stack!F:F, "Iya" ), "" )</f>
        <v>45954</v>
      </c>
      <c r="E97" s="4">
        <f t="shared" si="4"/>
        <v>46136</v>
      </c>
      <c r="F97" s="7">
        <f>IFERROR(
 _xlfn.MAXIFS(
  raw_stack!H:H,
  raw_stack!D:D, C97,
  raw_stack!G:G, D97
 ),
 ""
)</f>
        <v>74299</v>
      </c>
      <c r="G97" s="7">
        <f>IFERROR(
 _xlfn.MAXIFS(
  raw_stack!E:E,
  raw_stack!D:D, C97,
  raw_stack!G:G, D97
 ),
 ""
)</f>
        <v>74299</v>
      </c>
      <c r="H97" s="10">
        <f t="shared" ca="1" si="5"/>
        <v>291</v>
      </c>
      <c r="I97" s="7">
        <f t="shared" si="6"/>
        <v>0</v>
      </c>
      <c r="J97" s="3" t="str">
        <f t="shared" ca="1" si="7"/>
        <v>OVERDUE</v>
      </c>
    </row>
    <row r="98" spans="1:10">
      <c r="A98" s="11" t="str">
        <f>_xlfn.XLOOKUP(C98, data_master!G:G, data_master!B:B)</f>
        <v>72707</v>
      </c>
      <c r="B98" t="str">
        <f>_xlfn.XLOOKUP(C98, data_master!G:G, data_master!D:D)</f>
        <v>72707 PASURUAN BRANCH</v>
      </c>
      <c r="C98" s="12" t="str">
        <v>B5277IQ</v>
      </c>
      <c r="D98" s="4">
        <f>IFERROR( _xlfn.MAXIFS( raw_stack!G:G, raw_stack!D:D, C98, raw_stack!F:F, "Iya" ), "" )</f>
        <v>45964</v>
      </c>
      <c r="E98" s="4">
        <f t="shared" si="4"/>
        <v>46145</v>
      </c>
      <c r="F98" s="7">
        <f>IFERROR(
 _xlfn.MAXIFS(
  raw_stack!H:H,
  raw_stack!D:D, C98,
  raw_stack!G:G, D98
 ),
 ""
)</f>
        <v>52066</v>
      </c>
      <c r="G98" s="7">
        <f>IFERROR(
 _xlfn.MAXIFS(
  raw_stack!E:E,
  raw_stack!D:D, C98,
  raw_stack!G:G, D98
 ),
 ""
)</f>
        <v>52066</v>
      </c>
      <c r="H98" s="10">
        <f t="shared" ca="1" si="5"/>
        <v>281</v>
      </c>
      <c r="I98" s="7">
        <f t="shared" si="6"/>
        <v>0</v>
      </c>
      <c r="J98" s="3" t="str">
        <f t="shared" ca="1" si="7"/>
        <v>OVERDUE</v>
      </c>
    </row>
    <row r="99" spans="1:10">
      <c r="A99" s="11" t="str">
        <f>_xlfn.XLOOKUP(C99, data_master!G:G, data_master!B:B)</f>
        <v>91047</v>
      </c>
      <c r="B99" t="str">
        <f>_xlfn.XLOOKUP(C99, data_master!G:G, data_master!D:D)</f>
        <v>91047 SLEMAN</v>
      </c>
      <c r="C99" s="12" t="str">
        <v>KT4675WB</v>
      </c>
      <c r="D99" s="4">
        <f>IFERROR( _xlfn.MAXIFS( raw_stack!G:G, raw_stack!D:D, C99, raw_stack!F:F, "Iya" ), "" )</f>
        <v>45983</v>
      </c>
      <c r="E99" s="4">
        <f t="shared" si="4"/>
        <v>46164</v>
      </c>
      <c r="F99" s="7">
        <f>IFERROR(
 _xlfn.MAXIFS(
  raw_stack!H:H,
  raw_stack!D:D, C99,
  raw_stack!G:G, D99
 ),
 ""
)</f>
        <v>52471</v>
      </c>
      <c r="G99" s="7">
        <f>IFERROR(
 _xlfn.MAXIFS(
  raw_stack!E:E,
  raw_stack!D:D, C99,
  raw_stack!G:G, D99
 ),
 ""
)</f>
        <v>52471</v>
      </c>
      <c r="H99" s="10">
        <f t="shared" ca="1" si="5"/>
        <v>262</v>
      </c>
      <c r="I99" s="7">
        <f t="shared" si="6"/>
        <v>0</v>
      </c>
      <c r="J99" s="3" t="str">
        <f t="shared" ca="1" si="7"/>
        <v>OVERDUE</v>
      </c>
    </row>
    <row r="100" spans="1:10">
      <c r="A100" s="11" t="str">
        <f>_xlfn.XLOOKUP(C100, data_master!G:G, data_master!B:B)</f>
        <v>85927</v>
      </c>
      <c r="B100" t="str">
        <f>_xlfn.XLOOKUP(C100, data_master!G:G, data_master!D:D)</f>
        <v>85927 TENGGARONG BRANCH</v>
      </c>
      <c r="C100" s="12" t="str">
        <v>B4175FW</v>
      </c>
      <c r="D100" s="4">
        <f>IFERROR( _xlfn.MAXIFS( raw_stack!G:G, raw_stack!D:D, C100, raw_stack!F:F, "Iya" ), "" )</f>
        <v>45989</v>
      </c>
      <c r="E100" s="4">
        <f t="shared" si="4"/>
        <v>46170</v>
      </c>
      <c r="F100" s="7">
        <f>IFERROR(
 _xlfn.MAXIFS(
  raw_stack!H:H,
  raw_stack!D:D, C100,
  raw_stack!G:G, D100
 ),
 ""
)</f>
        <v>17825</v>
      </c>
      <c r="G100" s="7">
        <f>IFERROR(
 _xlfn.MAXIFS(
  raw_stack!E:E,
  raw_stack!D:D, C100,
  raw_stack!G:G, D100
 ),
 ""
)</f>
        <v>17825</v>
      </c>
      <c r="H100" s="10">
        <f t="shared" ca="1" si="5"/>
        <v>256</v>
      </c>
      <c r="I100" s="7">
        <f t="shared" si="6"/>
        <v>0</v>
      </c>
      <c r="J100" s="3" t="str">
        <f t="shared" ca="1" si="7"/>
        <v>OVERDUE</v>
      </c>
    </row>
    <row r="101" spans="1:10">
      <c r="A101" s="11" t="str">
        <f>_xlfn.XLOOKUP(C101, data_master!G:G, data_master!B:B)</f>
        <v>56251</v>
      </c>
      <c r="B101" t="str">
        <f>_xlfn.XLOOKUP(C101, data_master!G:G, data_master!D:D)</f>
        <v>56251 WONOSOBO</v>
      </c>
      <c r="C101" s="12" t="str">
        <v>B8803CF</v>
      </c>
      <c r="D101" s="4">
        <f>IFERROR( _xlfn.MAXIFS( raw_stack!G:G, raw_stack!D:D, C101, raw_stack!F:F, "Iya" ), "" )</f>
        <v>45952</v>
      </c>
      <c r="E101" s="4">
        <f t="shared" si="4"/>
        <v>46134</v>
      </c>
      <c r="F101" s="7">
        <f>IFERROR(
 _xlfn.MAXIFS(
  raw_stack!H:H,
  raw_stack!D:D, C101,
  raw_stack!G:G, D101
 ),
 ""
)</f>
        <v>4954</v>
      </c>
      <c r="G101" s="7">
        <f>IFERROR(
 _xlfn.MAXIFS(
  raw_stack!E:E,
  raw_stack!D:D, C101,
  raw_stack!G:G, D101
 ),
 ""
)</f>
        <v>4954</v>
      </c>
      <c r="H101" s="10">
        <f t="shared" ca="1" si="5"/>
        <v>293</v>
      </c>
      <c r="I101" s="7">
        <f t="shared" si="6"/>
        <v>0</v>
      </c>
      <c r="J101" s="3" t="str">
        <f t="shared" ca="1" si="7"/>
        <v>OVERDUE</v>
      </c>
    </row>
    <row r="102" spans="1:10">
      <c r="A102" s="11" t="str">
        <f>_xlfn.XLOOKUP(C102, data_master!G:G, data_master!B:B)</f>
        <v>10814</v>
      </c>
      <c r="B102" t="str">
        <f>_xlfn.XLOOKUP(C102, data_master!G:G, data_master!D:D)</f>
        <v>10814 MASOHI POS</v>
      </c>
      <c r="C102" s="12" t="str">
        <v>B2823MF</v>
      </c>
      <c r="D102" s="4">
        <f>IFERROR( _xlfn.MAXIFS( raw_stack!G:G, raw_stack!D:D, C102, raw_stack!F:F, "Iya" ), "" )</f>
        <v>45993</v>
      </c>
      <c r="E102" s="4">
        <f t="shared" si="4"/>
        <v>46175</v>
      </c>
      <c r="F102" s="7">
        <f>IFERROR(
 _xlfn.MAXIFS(
  raw_stack!H:H,
  raw_stack!D:D, C102,
  raw_stack!G:G, D102
 ),
 ""
)</f>
        <v>26536</v>
      </c>
      <c r="G102" s="7">
        <f>IFERROR(
 _xlfn.MAXIFS(
  raw_stack!E:E,
  raw_stack!D:D, C102,
  raw_stack!G:G, D102
 ),
 ""
)</f>
        <v>26536</v>
      </c>
      <c r="H102" s="10">
        <f t="shared" ca="1" si="5"/>
        <v>252</v>
      </c>
      <c r="I102" s="7">
        <f t="shared" si="6"/>
        <v>0</v>
      </c>
      <c r="J102" s="3" t="str">
        <f t="shared" ca="1" si="7"/>
        <v>OVERDUE</v>
      </c>
    </row>
    <row r="103" spans="1:10">
      <c r="A103" s="11" t="str">
        <f>_xlfn.XLOOKUP(C103, data_master!G:G, data_master!B:B)</f>
        <v>16903</v>
      </c>
      <c r="B103" t="str">
        <f>_xlfn.XLOOKUP(C103, data_master!G:G, data_master!D:D)</f>
        <v>16903 BONTANG</v>
      </c>
      <c r="C103" s="12" t="str">
        <v>B8704TJL</v>
      </c>
      <c r="D103" s="4">
        <f>IFERROR( _xlfn.MAXIFS( raw_stack!G:G, raw_stack!D:D, C103, raw_stack!F:F, "Iya" ), "" )</f>
        <v>46064</v>
      </c>
      <c r="E103" s="4">
        <f t="shared" si="4"/>
        <v>46245</v>
      </c>
      <c r="F103" s="7">
        <f>IFERROR(
 _xlfn.MAXIFS(
  raw_stack!H:H,
  raw_stack!D:D, C103,
  raw_stack!G:G, D103
 ),
 ""
)</f>
        <v>73575</v>
      </c>
      <c r="G103" s="7">
        <f>IFERROR(
 _xlfn.MAXIFS(
  raw_stack!E:E,
  raw_stack!D:D, C103,
  raw_stack!G:G, D103
 ),
 ""
)</f>
        <v>73575</v>
      </c>
      <c r="H103" s="10">
        <f t="shared" ca="1" si="5"/>
        <v>181</v>
      </c>
      <c r="I103" s="7">
        <f t="shared" si="6"/>
        <v>0</v>
      </c>
      <c r="J103" s="3" t="str">
        <f t="shared" ca="1" si="7"/>
        <v>OVERDUE</v>
      </c>
    </row>
    <row r="104" spans="1:10">
      <c r="A104" s="11" t="str">
        <f>_xlfn.XLOOKUP(C104, data_master!G:G, data_master!B:B)</f>
        <v>50324</v>
      </c>
      <c r="B104" t="str">
        <f>_xlfn.XLOOKUP(C104, data_master!G:G, data_master!D:D)</f>
        <v>50324 ROKAN HILIR POS</v>
      </c>
      <c r="C104" s="12" t="str">
        <v>B2503BE</v>
      </c>
      <c r="D104" s="4">
        <f>IFERROR( _xlfn.MAXIFS( raw_stack!G:G, raw_stack!D:D, C104, raw_stack!F:F, "Iya" ), "" )</f>
        <v>46053</v>
      </c>
      <c r="E104" s="4">
        <f t="shared" si="4"/>
        <v>46234</v>
      </c>
      <c r="F104" s="7">
        <f>IFERROR(
 _xlfn.MAXIFS(
  raw_stack!H:H,
  raw_stack!D:D, C104,
  raw_stack!G:G, D104
 ),
 ""
)</f>
        <v>68695</v>
      </c>
      <c r="G104" s="7">
        <f>IFERROR(
 _xlfn.MAXIFS(
  raw_stack!E:E,
  raw_stack!D:D, C104,
  raw_stack!G:G, D104
 ),
 ""
)</f>
        <v>68695</v>
      </c>
      <c r="H104" s="10">
        <f t="shared" ca="1" si="5"/>
        <v>192</v>
      </c>
      <c r="I104" s="7">
        <f t="shared" si="6"/>
        <v>0</v>
      </c>
      <c r="J104" s="3" t="str">
        <f t="shared" ca="1" si="7"/>
        <v>OVERDUE</v>
      </c>
    </row>
    <row r="105" spans="1:10">
      <c r="A105" s="11" t="str">
        <f>_xlfn.XLOOKUP(C105, data_master!G:G, data_master!B:B)</f>
        <v>46702</v>
      </c>
      <c r="B105" t="str">
        <f>_xlfn.XLOOKUP(C105, data_master!G:G, data_master!D:D)</f>
        <v>46702 GORONTALO</v>
      </c>
      <c r="C105" s="12" t="str">
        <v>B3507YER</v>
      </c>
      <c r="D105" s="4">
        <f>IFERROR( _xlfn.MAXIFS( raw_stack!G:G, raw_stack!D:D, C105, raw_stack!F:F, "Iya" ), "" )</f>
        <v>46132</v>
      </c>
      <c r="E105" s="4">
        <f t="shared" si="4"/>
        <v>46315</v>
      </c>
      <c r="F105" s="7">
        <f>IFERROR(
 _xlfn.MAXIFS(
  raw_stack!H:H,
  raw_stack!D:D, C105,
  raw_stack!G:G, D105
 ),
 ""
)</f>
        <v>46488</v>
      </c>
      <c r="G105" s="7">
        <f>IFERROR(
 _xlfn.MAXIFS(
  raw_stack!E:E,
  raw_stack!D:D, C105,
  raw_stack!G:G, D105
 ),
 ""
)</f>
        <v>46508</v>
      </c>
      <c r="H105" s="10">
        <f t="shared" ca="1" si="5"/>
        <v>113</v>
      </c>
      <c r="I105" s="7">
        <f t="shared" si="6"/>
        <v>20</v>
      </c>
      <c r="J105" s="3" t="str">
        <f t="shared" ca="1" si="7"/>
        <v>AMAN</v>
      </c>
    </row>
    <row r="106" spans="1:10">
      <c r="A106" s="11" t="str">
        <f>_xlfn.XLOOKUP(C106, data_master!G:G, data_master!B:B)</f>
        <v>18303</v>
      </c>
      <c r="B106" t="str">
        <f>_xlfn.XLOOKUP(C106, data_master!G:G, data_master!D:D)</f>
        <v>18303 TIDORE</v>
      </c>
      <c r="C106" s="12" t="str">
        <v>B2543AR</v>
      </c>
      <c r="D106" s="4">
        <f>IFERROR( _xlfn.MAXIFS( raw_stack!G:G, raw_stack!D:D, C106, raw_stack!F:F, "Iya" ), "" )</f>
        <v>45857</v>
      </c>
      <c r="E106" s="4">
        <f t="shared" si="4"/>
        <v>46041</v>
      </c>
      <c r="F106" s="7">
        <f>IFERROR(
 _xlfn.MAXIFS(
  raw_stack!H:H,
  raw_stack!D:D, C106,
  raw_stack!G:G, D106
 ),
 ""
)</f>
        <v>28689</v>
      </c>
      <c r="G106" s="7">
        <f>IFERROR(
 _xlfn.MAXIFS(
  raw_stack!E:E,
  raw_stack!D:D, C106,
  raw_stack!G:G, D106
 ),
 ""
)</f>
        <v>28689</v>
      </c>
      <c r="H106" s="10">
        <f t="shared" ca="1" si="5"/>
        <v>388</v>
      </c>
      <c r="I106" s="7">
        <f t="shared" si="6"/>
        <v>0</v>
      </c>
      <c r="J106" s="3" t="str">
        <f t="shared" ca="1" si="7"/>
        <v>OVERDUE</v>
      </c>
    </row>
    <row r="107" spans="1:10">
      <c r="A107" s="11" t="str">
        <f>_xlfn.XLOOKUP(C107, data_master!G:G, data_master!B:B)</f>
        <v>98608</v>
      </c>
      <c r="B107" t="str">
        <f>_xlfn.XLOOKUP(C107, data_master!G:G, data_master!D:D)</f>
        <v>98608 TUBAN BRANCH</v>
      </c>
      <c r="C107" s="12" t="str">
        <v>B8528UFK</v>
      </c>
      <c r="D107" s="4">
        <f>IFERROR( _xlfn.MAXIFS( raw_stack!G:G, raw_stack!D:D, C107, raw_stack!F:F, "Iya" ), "" )</f>
        <v>45982</v>
      </c>
      <c r="E107" s="4">
        <f t="shared" si="4"/>
        <v>46163</v>
      </c>
      <c r="F107" s="7">
        <f>IFERROR(
 _xlfn.MAXIFS(
  raw_stack!H:H,
  raw_stack!D:D, C107,
  raw_stack!G:G, D107
 ),
 ""
)</f>
        <v>30839</v>
      </c>
      <c r="G107" s="7">
        <f>IFERROR(
 _xlfn.MAXIFS(
  raw_stack!E:E,
  raw_stack!D:D, C107,
  raw_stack!G:G, D107
 ),
 ""
)</f>
        <v>30839</v>
      </c>
      <c r="H107" s="10">
        <f t="shared" ca="1" si="5"/>
        <v>263</v>
      </c>
      <c r="I107" s="7">
        <f t="shared" si="6"/>
        <v>0</v>
      </c>
      <c r="J107" s="3" t="str">
        <f t="shared" ca="1" si="7"/>
        <v>OVERDUE</v>
      </c>
    </row>
    <row r="108" spans="1:10">
      <c r="A108" s="11" t="str">
        <f>_xlfn.XLOOKUP(C108, data_master!G:G, data_master!B:B)</f>
        <v>14214</v>
      </c>
      <c r="B108" t="str">
        <f>_xlfn.XLOOKUP(C108, data_master!G:G, data_master!D:D)</f>
        <v>14214 DENPASAR BRANCH</v>
      </c>
      <c r="C108" s="12" t="str">
        <v>B2966HE</v>
      </c>
      <c r="D108" s="4">
        <f>IFERROR( _xlfn.MAXIFS( raw_stack!G:G, raw_stack!D:D, C108, raw_stack!F:F, "Iya" ), "" )</f>
        <v>45944</v>
      </c>
      <c r="E108" s="4">
        <f t="shared" si="4"/>
        <v>46126</v>
      </c>
      <c r="F108" s="7">
        <f>IFERROR(
 _xlfn.MAXIFS(
  raw_stack!H:H,
  raw_stack!D:D, C108,
  raw_stack!G:G, D108
 ),
 ""
)</f>
        <v>103206</v>
      </c>
      <c r="G108" s="7">
        <f>IFERROR(
 _xlfn.MAXIFS(
  raw_stack!E:E,
  raw_stack!D:D, C108,
  raw_stack!G:G, D108
 ),
 ""
)</f>
        <v>103206</v>
      </c>
      <c r="H108" s="10">
        <f t="shared" ca="1" si="5"/>
        <v>301</v>
      </c>
      <c r="I108" s="7">
        <f t="shared" si="6"/>
        <v>0</v>
      </c>
      <c r="J108" s="3" t="str">
        <f t="shared" ca="1" si="7"/>
        <v>OVERDUE</v>
      </c>
    </row>
    <row r="109" spans="1:10">
      <c r="A109" s="11" t="str">
        <f>_xlfn.XLOOKUP(C109, data_master!G:G, data_master!B:B)</f>
        <v>37568</v>
      </c>
      <c r="B109" t="str">
        <f>_xlfn.XLOOKUP(C109, data_master!G:G, data_master!D:D)</f>
        <v>37568 BANJAR</v>
      </c>
      <c r="C109" s="12" t="str">
        <v>B8137WEW</v>
      </c>
      <c r="D109" s="4">
        <f>IFERROR( _xlfn.MAXIFS( raw_stack!G:G, raw_stack!D:D, C109, raw_stack!F:F, "Iya" ), "" )</f>
        <v>46000</v>
      </c>
      <c r="E109" s="4">
        <f t="shared" si="4"/>
        <v>46182</v>
      </c>
      <c r="F109" s="7">
        <f>IFERROR(
 _xlfn.MAXIFS(
  raw_stack!H:H,
  raw_stack!D:D, C109,
  raw_stack!G:G, D109
 ),
 ""
)</f>
        <v>40287</v>
      </c>
      <c r="G109" s="7">
        <f>IFERROR(
 _xlfn.MAXIFS(
  raw_stack!E:E,
  raw_stack!D:D, C109,
  raw_stack!G:G, D109
 ),
 ""
)</f>
        <v>40287</v>
      </c>
      <c r="H109" s="10">
        <f t="shared" ca="1" si="5"/>
        <v>245</v>
      </c>
      <c r="I109" s="7">
        <f t="shared" si="6"/>
        <v>0</v>
      </c>
      <c r="J109" s="3" t="str">
        <f t="shared" ca="1" si="7"/>
        <v>OVERDUE</v>
      </c>
    </row>
    <row r="110" spans="1:10">
      <c r="A110" s="11" t="str">
        <f>_xlfn.XLOOKUP(C110, data_master!G:G, data_master!B:B)</f>
        <v>56251</v>
      </c>
      <c r="B110" t="str">
        <f>_xlfn.XLOOKUP(C110, data_master!G:G, data_master!D:D)</f>
        <v>56251 WONOSOBO</v>
      </c>
      <c r="C110" s="12" t="str">
        <v>B5062PCK</v>
      </c>
      <c r="D110" s="4">
        <f>IFERROR( _xlfn.MAXIFS( raw_stack!G:G, raw_stack!D:D, C110, raw_stack!F:F, "Iya" ), "" )</f>
        <v>46057</v>
      </c>
      <c r="E110" s="4">
        <f t="shared" si="4"/>
        <v>46238</v>
      </c>
      <c r="F110" s="7">
        <f>IFERROR(
 _xlfn.MAXIFS(
  raw_stack!H:H,
  raw_stack!D:D, C110,
  raw_stack!G:G, D110
 ),
 ""
)</f>
        <v>97556</v>
      </c>
      <c r="G110" s="7">
        <f>IFERROR(
 _xlfn.MAXIFS(
  raw_stack!E:E,
  raw_stack!D:D, C110,
  raw_stack!G:G, D110
 ),
 ""
)</f>
        <v>97556</v>
      </c>
      <c r="H110" s="10">
        <f t="shared" ca="1" si="5"/>
        <v>188</v>
      </c>
      <c r="I110" s="7">
        <f t="shared" si="6"/>
        <v>0</v>
      </c>
      <c r="J110" s="3" t="str">
        <f t="shared" ca="1" si="7"/>
        <v>OVERDUE</v>
      </c>
    </row>
    <row r="111" spans="1:10">
      <c r="A111" s="11" t="str">
        <f>_xlfn.XLOOKUP(C111, data_master!G:G, data_master!B:B)</f>
        <v>38580</v>
      </c>
      <c r="B111" t="str">
        <f>_xlfn.XLOOKUP(C111, data_master!G:G, data_master!D:D)</f>
        <v>38580 SIMALUNGUN BRANCH</v>
      </c>
      <c r="C111" s="12" t="str">
        <v>B2834CX</v>
      </c>
      <c r="D111" s="4">
        <f>IFERROR( _xlfn.MAXIFS( raw_stack!G:G, raw_stack!D:D, C111, raw_stack!F:F, "Iya" ), "" )</f>
        <v>45876</v>
      </c>
      <c r="E111" s="4">
        <f t="shared" si="4"/>
        <v>46060</v>
      </c>
      <c r="F111" s="7">
        <f>IFERROR(
 _xlfn.MAXIFS(
  raw_stack!H:H,
  raw_stack!D:D, C111,
  raw_stack!G:G, D111
 ),
 ""
)</f>
        <v>56318</v>
      </c>
      <c r="G111" s="7">
        <f>IFERROR(
 _xlfn.MAXIFS(
  raw_stack!E:E,
  raw_stack!D:D, C111,
  raw_stack!G:G, D111
 ),
 ""
)</f>
        <v>56318</v>
      </c>
      <c r="H111" s="10">
        <f t="shared" ca="1" si="5"/>
        <v>369</v>
      </c>
      <c r="I111" s="7">
        <f t="shared" si="6"/>
        <v>0</v>
      </c>
      <c r="J111" s="3" t="str">
        <f t="shared" ca="1" si="7"/>
        <v>OVERDUE</v>
      </c>
    </row>
    <row r="112" spans="1:10">
      <c r="A112" s="11" t="str">
        <f>_xlfn.XLOOKUP(C112, data_master!G:G, data_master!B:B)</f>
        <v>19704</v>
      </c>
      <c r="B112" t="str">
        <f>_xlfn.XLOOKUP(C112, data_master!G:G, data_master!D:D)</f>
        <v>19704 BARABAI BRANCH</v>
      </c>
      <c r="C112" s="12" t="str">
        <v>B6374AY</v>
      </c>
      <c r="D112" s="4">
        <f>IFERROR( _xlfn.MAXIFS( raw_stack!G:G, raw_stack!D:D, C112, raw_stack!F:F, "Iya" ), "" )</f>
        <v>46030</v>
      </c>
      <c r="E112" s="4">
        <f t="shared" si="4"/>
        <v>46211</v>
      </c>
      <c r="F112" s="7">
        <f>IFERROR(
 _xlfn.MAXIFS(
  raw_stack!H:H,
  raw_stack!D:D, C112,
  raw_stack!G:G, D112
 ),
 ""
)</f>
        <v>74558</v>
      </c>
      <c r="G112" s="7">
        <f>IFERROR(
 _xlfn.MAXIFS(
  raw_stack!E:E,
  raw_stack!D:D, C112,
  raw_stack!G:G, D112
 ),
 ""
)</f>
        <v>74558</v>
      </c>
      <c r="H112" s="10">
        <f t="shared" ca="1" si="5"/>
        <v>215</v>
      </c>
      <c r="I112" s="7">
        <f t="shared" si="6"/>
        <v>0</v>
      </c>
      <c r="J112" s="3" t="str">
        <f t="shared" ca="1" si="7"/>
        <v>OVERDUE</v>
      </c>
    </row>
    <row r="113" spans="1:10">
      <c r="A113" s="11" t="str">
        <f>_xlfn.XLOOKUP(C113, data_master!G:G, data_master!B:B)</f>
        <v>64842</v>
      </c>
      <c r="B113" t="str">
        <f>_xlfn.XLOOKUP(C113, data_master!G:G, data_master!D:D)</f>
        <v>64842 SUKOHARJO</v>
      </c>
      <c r="C113" s="12" t="str">
        <v>B2924KX</v>
      </c>
      <c r="D113" s="4">
        <f>IFERROR( _xlfn.MAXIFS( raw_stack!G:G, raw_stack!D:D, C113, raw_stack!F:F, "Iya" ), "" )</f>
        <v>46052</v>
      </c>
      <c r="E113" s="4">
        <f t="shared" si="4"/>
        <v>46233</v>
      </c>
      <c r="F113" s="7">
        <f>IFERROR(
 _xlfn.MAXIFS(
  raw_stack!H:H,
  raw_stack!D:D, C113,
  raw_stack!G:G, D113
 ),
 ""
)</f>
        <v>60787</v>
      </c>
      <c r="G113" s="7">
        <f>IFERROR(
 _xlfn.MAXIFS(
  raw_stack!E:E,
  raw_stack!D:D, C113,
  raw_stack!G:G, D113
 ),
 ""
)</f>
        <v>60787</v>
      </c>
      <c r="H113" s="10">
        <f t="shared" ca="1" si="5"/>
        <v>193</v>
      </c>
      <c r="I113" s="7">
        <f t="shared" si="6"/>
        <v>0</v>
      </c>
      <c r="J113" s="3" t="str">
        <f t="shared" ca="1" si="7"/>
        <v>OVERDUE</v>
      </c>
    </row>
    <row r="114" spans="1:10">
      <c r="A114" s="11" t="str">
        <f>_xlfn.XLOOKUP(C114, data_master!G:G, data_master!B:B)</f>
        <v>50579</v>
      </c>
      <c r="B114" t="str">
        <f>_xlfn.XLOOKUP(C114, data_master!G:G, data_master!D:D)</f>
        <v>50579 CIREBON 2</v>
      </c>
      <c r="C114" s="12" t="str">
        <v>B3412LI</v>
      </c>
      <c r="D114" s="4">
        <f>IFERROR( _xlfn.MAXIFS( raw_stack!G:G, raw_stack!D:D, C114, raw_stack!F:F, "Iya" ), "" )</f>
        <v>45955</v>
      </c>
      <c r="E114" s="4">
        <f t="shared" si="4"/>
        <v>46137</v>
      </c>
      <c r="F114" s="7">
        <f>IFERROR(
 _xlfn.MAXIFS(
  raw_stack!H:H,
  raw_stack!D:D, C114,
  raw_stack!G:G, D114
 ),
 ""
)</f>
        <v>61499</v>
      </c>
      <c r="G114" s="7">
        <f>IFERROR(
 _xlfn.MAXIFS(
  raw_stack!E:E,
  raw_stack!D:D, C114,
  raw_stack!G:G, D114
 ),
 ""
)</f>
        <v>61499</v>
      </c>
      <c r="H114" s="10">
        <f t="shared" ca="1" si="5"/>
        <v>290</v>
      </c>
      <c r="I114" s="7">
        <f t="shared" si="6"/>
        <v>0</v>
      </c>
      <c r="J114" s="3" t="str">
        <f t="shared" ca="1" si="7"/>
        <v>OVERDUE</v>
      </c>
    </row>
    <row r="115" spans="1:10">
      <c r="A115" s="11" t="str">
        <f>_xlfn.XLOOKUP(C115, data_master!G:G, data_master!B:B)</f>
        <v>85231</v>
      </c>
      <c r="B115" t="str">
        <f>_xlfn.XLOOKUP(C115, data_master!G:G, data_master!D:D)</f>
        <v>85231 PRINGSEWU</v>
      </c>
      <c r="C115" s="12" t="str">
        <v>B9735KKV</v>
      </c>
      <c r="D115" s="4">
        <f>IFERROR( _xlfn.MAXIFS( raw_stack!G:G, raw_stack!D:D, C115, raw_stack!F:F, "Iya" ), "" )</f>
        <v>45980</v>
      </c>
      <c r="E115" s="4">
        <f t="shared" si="4"/>
        <v>46161</v>
      </c>
      <c r="F115" s="7">
        <f>IFERROR(
 _xlfn.MAXIFS(
  raw_stack!H:H,
  raw_stack!D:D, C115,
  raw_stack!G:G, D115
 ),
 ""
)</f>
        <v>23779</v>
      </c>
      <c r="G115" s="7">
        <f>IFERROR(
 _xlfn.MAXIFS(
  raw_stack!E:E,
  raw_stack!D:D, C115,
  raw_stack!G:G, D115
 ),
 ""
)</f>
        <v>23779</v>
      </c>
      <c r="H115" s="10">
        <f t="shared" ca="1" si="5"/>
        <v>265</v>
      </c>
      <c r="I115" s="7">
        <f t="shared" si="6"/>
        <v>0</v>
      </c>
      <c r="J115" s="3" t="str">
        <f t="shared" ca="1" si="7"/>
        <v>OVERDUE</v>
      </c>
    </row>
    <row r="116" spans="1:10">
      <c r="A116" s="11" t="str">
        <f>_xlfn.XLOOKUP(C116, data_master!G:G, data_master!B:B)</f>
        <v>95009</v>
      </c>
      <c r="B116" t="str">
        <f>_xlfn.XLOOKUP(C116, data_master!G:G, data_master!D:D)</f>
        <v>95009 KOLAKA</v>
      </c>
      <c r="C116" s="12" t="str">
        <v>B4767TPQ</v>
      </c>
      <c r="D116" s="4">
        <f>IFERROR( _xlfn.MAXIFS( raw_stack!G:G, raw_stack!D:D, C116, raw_stack!F:F, "Iya" ), "" )</f>
        <v>45987</v>
      </c>
      <c r="E116" s="4">
        <f t="shared" si="4"/>
        <v>46168</v>
      </c>
      <c r="F116" s="7">
        <f>IFERROR(
 _xlfn.MAXIFS(
  raw_stack!H:H,
  raw_stack!D:D, C116,
  raw_stack!G:G, D116
 ),
 ""
)</f>
        <v>65643</v>
      </c>
      <c r="G116" s="7">
        <f>IFERROR(
 _xlfn.MAXIFS(
  raw_stack!E:E,
  raw_stack!D:D, C116,
  raw_stack!G:G, D116
 ),
 ""
)</f>
        <v>65643</v>
      </c>
      <c r="H116" s="10">
        <f t="shared" ca="1" si="5"/>
        <v>258</v>
      </c>
      <c r="I116" s="7">
        <f t="shared" si="6"/>
        <v>0</v>
      </c>
      <c r="J116" s="3" t="str">
        <f t="shared" ca="1" si="7"/>
        <v>OVERDUE</v>
      </c>
    </row>
    <row r="117" spans="1:10">
      <c r="A117" s="11" t="str">
        <f>_xlfn.XLOOKUP(C117, data_master!G:G, data_master!B:B)</f>
        <v>23031</v>
      </c>
      <c r="B117" t="str">
        <f>_xlfn.XLOOKUP(C117, data_master!G:G, data_master!D:D)</f>
        <v>23031 BANGKO</v>
      </c>
      <c r="C117" s="12" t="str">
        <v>B8763MP</v>
      </c>
      <c r="D117" s="4">
        <f>IFERROR( _xlfn.MAXIFS( raw_stack!G:G, raw_stack!D:D, C117, raw_stack!F:F, "Iya" ), "" )</f>
        <v>46029</v>
      </c>
      <c r="E117" s="4">
        <f t="shared" si="4"/>
        <v>46210</v>
      </c>
      <c r="F117" s="7">
        <f>IFERROR(
 _xlfn.MAXIFS(
  raw_stack!H:H,
  raw_stack!D:D, C117,
  raw_stack!G:G, D117
 ),
 ""
)</f>
        <v>112547</v>
      </c>
      <c r="G117" s="7">
        <f>IFERROR(
 _xlfn.MAXIFS(
  raw_stack!E:E,
  raw_stack!D:D, C117,
  raw_stack!G:G, D117
 ),
 ""
)</f>
        <v>112547</v>
      </c>
      <c r="H117" s="10">
        <f t="shared" ca="1" si="5"/>
        <v>216</v>
      </c>
      <c r="I117" s="7">
        <f t="shared" si="6"/>
        <v>0</v>
      </c>
      <c r="J117" s="3" t="str">
        <f t="shared" ca="1" si="7"/>
        <v>OVERDUE</v>
      </c>
    </row>
    <row r="118" spans="1:10">
      <c r="A118" s="11" t="str">
        <f>_xlfn.XLOOKUP(C118, data_master!G:G, data_master!B:B)</f>
        <v>10814</v>
      </c>
      <c r="B118" t="str">
        <f>_xlfn.XLOOKUP(C118, data_master!G:G, data_master!D:D)</f>
        <v>10814 MASOHI POS</v>
      </c>
      <c r="C118" s="12" t="str">
        <v>KT5059PV</v>
      </c>
      <c r="D118" s="4">
        <f>IFERROR( _xlfn.MAXIFS( raw_stack!G:G, raw_stack!D:D, C118, raw_stack!F:F, "Iya" ), "" )</f>
        <v>45993</v>
      </c>
      <c r="E118" s="4">
        <f t="shared" si="4"/>
        <v>46175</v>
      </c>
      <c r="F118" s="7">
        <f>IFERROR(
 _xlfn.MAXIFS(
  raw_stack!H:H,
  raw_stack!D:D, C118,
  raw_stack!G:G, D118
 ),
 ""
)</f>
        <v>8661</v>
      </c>
      <c r="G118" s="7">
        <f>IFERROR(
 _xlfn.MAXIFS(
  raw_stack!E:E,
  raw_stack!D:D, C118,
  raw_stack!G:G, D118
 ),
 ""
)</f>
        <v>8661</v>
      </c>
      <c r="H118" s="10">
        <f t="shared" ca="1" si="5"/>
        <v>252</v>
      </c>
      <c r="I118" s="7">
        <f t="shared" si="6"/>
        <v>0</v>
      </c>
      <c r="J118" s="3" t="str">
        <f t="shared" ca="1" si="7"/>
        <v>OVERDUE</v>
      </c>
    </row>
    <row r="119" spans="1:10">
      <c r="A119" s="11" t="str">
        <f>_xlfn.XLOOKUP(C119, data_master!G:G, data_master!B:B)</f>
        <v>66668</v>
      </c>
      <c r="B119" t="str">
        <f>_xlfn.XLOOKUP(C119, data_master!G:G, data_master!D:D)</f>
        <v>66668 WAMENA</v>
      </c>
      <c r="C119" s="12" t="str">
        <v>B8659RLN</v>
      </c>
      <c r="D119" s="4">
        <f>IFERROR( _xlfn.MAXIFS( raw_stack!G:G, raw_stack!D:D, C119, raw_stack!F:F, "Iya" ), "" )</f>
        <v>46001</v>
      </c>
      <c r="E119" s="4">
        <f t="shared" si="4"/>
        <v>46183</v>
      </c>
      <c r="F119" s="7">
        <f>IFERROR(
 _xlfn.MAXIFS(
  raw_stack!H:H,
  raw_stack!D:D, C119,
  raw_stack!G:G, D119
 ),
 ""
)</f>
        <v>67810</v>
      </c>
      <c r="G119" s="7">
        <f>IFERROR(
 _xlfn.MAXIFS(
  raw_stack!E:E,
  raw_stack!D:D, C119,
  raw_stack!G:G, D119
 ),
 ""
)</f>
        <v>67810</v>
      </c>
      <c r="H119" s="10">
        <f t="shared" ca="1" si="5"/>
        <v>244</v>
      </c>
      <c r="I119" s="7">
        <f t="shared" si="6"/>
        <v>0</v>
      </c>
      <c r="J119" s="3" t="str">
        <f t="shared" ca="1" si="7"/>
        <v>OVERDUE</v>
      </c>
    </row>
    <row r="120" spans="1:10">
      <c r="A120" s="11" t="str">
        <f>_xlfn.XLOOKUP(C120, data_master!G:G, data_master!B:B)</f>
        <v>99918</v>
      </c>
      <c r="B120" t="str">
        <f>_xlfn.XLOOKUP(C120, data_master!G:G, data_master!D:D)</f>
        <v>99918 KAYU AGUNG UNIT</v>
      </c>
      <c r="C120" s="12" t="str">
        <v>B8491EZ</v>
      </c>
      <c r="D120" s="4">
        <f>IFERROR( _xlfn.MAXIFS( raw_stack!G:G, raw_stack!D:D, C120, raw_stack!F:F, "Iya" ), "" )</f>
        <v>46027</v>
      </c>
      <c r="E120" s="4">
        <f t="shared" si="4"/>
        <v>46208</v>
      </c>
      <c r="F120" s="7">
        <f>IFERROR(
 _xlfn.MAXIFS(
  raw_stack!H:H,
  raw_stack!D:D, C120,
  raw_stack!G:G, D120
 ),
 ""
)</f>
        <v>16291</v>
      </c>
      <c r="G120" s="7">
        <f>IFERROR(
 _xlfn.MAXIFS(
  raw_stack!E:E,
  raw_stack!D:D, C120,
  raw_stack!G:G, D120
 ),
 ""
)</f>
        <v>16291</v>
      </c>
      <c r="H120" s="10">
        <f t="shared" ca="1" si="5"/>
        <v>218</v>
      </c>
      <c r="I120" s="7">
        <f t="shared" si="6"/>
        <v>0</v>
      </c>
      <c r="J120" s="3" t="str">
        <f t="shared" ca="1" si="7"/>
        <v>OVERDUE</v>
      </c>
    </row>
    <row r="121" spans="1:10">
      <c r="A121" s="11" t="str">
        <f>_xlfn.XLOOKUP(C121, data_master!G:G, data_master!B:B)</f>
        <v>39196</v>
      </c>
      <c r="B121" t="str">
        <f>_xlfn.XLOOKUP(C121, data_master!G:G, data_master!D:D)</f>
        <v>39196 LANGSA</v>
      </c>
      <c r="C121" s="12" t="str">
        <v>B9679AL</v>
      </c>
      <c r="D121" s="4">
        <f>IFERROR( _xlfn.MAXIFS( raw_stack!G:G, raw_stack!D:D, C121, raw_stack!F:F, "Iya" ), "" )</f>
        <v>45944</v>
      </c>
      <c r="E121" s="4">
        <f t="shared" si="4"/>
        <v>46126</v>
      </c>
      <c r="F121" s="7">
        <f>IFERROR(
 _xlfn.MAXIFS(
  raw_stack!H:H,
  raw_stack!D:D, C121,
  raw_stack!G:G, D121
 ),
 ""
)</f>
        <v>61431</v>
      </c>
      <c r="G121" s="7">
        <f>IFERROR(
 _xlfn.MAXIFS(
  raw_stack!E:E,
  raw_stack!D:D, C121,
  raw_stack!G:G, D121
 ),
 ""
)</f>
        <v>61431</v>
      </c>
      <c r="H121" s="10">
        <f t="shared" ca="1" si="5"/>
        <v>301</v>
      </c>
      <c r="I121" s="7">
        <f t="shared" si="6"/>
        <v>0</v>
      </c>
      <c r="J121" s="3" t="str">
        <f t="shared" ca="1" si="7"/>
        <v>OVERDUE</v>
      </c>
    </row>
    <row r="122" spans="1:10">
      <c r="A122" s="11" t="str">
        <f>_xlfn.XLOOKUP(C122, data_master!G:G, data_master!B:B)</f>
        <v>38998</v>
      </c>
      <c r="B122" t="str">
        <f>_xlfn.XLOOKUP(C122, data_master!G:G, data_master!D:D)</f>
        <v>38998 SIDOARJO 2</v>
      </c>
      <c r="C122" s="12" t="str">
        <v>B2047SQ</v>
      </c>
      <c r="D122" s="4">
        <f>IFERROR( _xlfn.MAXIFS( raw_stack!G:G, raw_stack!D:D, C122, raw_stack!F:F, "Iya" ), "" )</f>
        <v>45981</v>
      </c>
      <c r="E122" s="4">
        <f t="shared" si="4"/>
        <v>46162</v>
      </c>
      <c r="F122" s="7">
        <f>IFERROR(
 _xlfn.MAXIFS(
  raw_stack!H:H,
  raw_stack!D:D, C122,
  raw_stack!G:G, D122
 ),
 ""
)</f>
        <v>50936</v>
      </c>
      <c r="G122" s="7">
        <f>IFERROR(
 _xlfn.MAXIFS(
  raw_stack!E:E,
  raw_stack!D:D, C122,
  raw_stack!G:G, D122
 ),
 ""
)</f>
        <v>50936</v>
      </c>
      <c r="H122" s="10">
        <f t="shared" ca="1" si="5"/>
        <v>264</v>
      </c>
      <c r="I122" s="7">
        <f t="shared" si="6"/>
        <v>0</v>
      </c>
      <c r="J122" s="3" t="str">
        <f t="shared" ca="1" si="7"/>
        <v>OVERDUE</v>
      </c>
    </row>
    <row r="123" spans="1:10">
      <c r="A123" s="11" t="str">
        <f>_xlfn.XLOOKUP(C123, data_master!G:G, data_master!B:B)</f>
        <v>82123</v>
      </c>
      <c r="B123" t="str">
        <f>_xlfn.XLOOKUP(C123, data_master!G:G, data_master!D:D)</f>
        <v>82123 SINJAI</v>
      </c>
      <c r="C123" s="12" t="str">
        <v>D9393MC</v>
      </c>
      <c r="D123" s="4">
        <f>IFERROR( _xlfn.MAXIFS( raw_stack!G:G, raw_stack!D:D, C123, raw_stack!F:F, "Iya" ), "" )</f>
        <v>46066</v>
      </c>
      <c r="E123" s="4">
        <f t="shared" si="4"/>
        <v>46247</v>
      </c>
      <c r="F123" s="7">
        <f>IFERROR(
 _xlfn.MAXIFS(
  raw_stack!H:H,
  raw_stack!D:D, C123,
  raw_stack!G:G, D123
 ),
 ""
)</f>
        <v>67869</v>
      </c>
      <c r="G123" s="7">
        <f>IFERROR(
 _xlfn.MAXIFS(
  raw_stack!E:E,
  raw_stack!D:D, C123,
  raw_stack!G:G, D123
 ),
 ""
)</f>
        <v>67869</v>
      </c>
      <c r="H123" s="10">
        <f t="shared" ca="1" si="5"/>
        <v>179</v>
      </c>
      <c r="I123" s="7">
        <f t="shared" si="6"/>
        <v>0</v>
      </c>
      <c r="J123" s="3" t="str">
        <f t="shared" ca="1" si="7"/>
        <v>AMAN</v>
      </c>
    </row>
    <row r="124" spans="1:10">
      <c r="A124" s="11" t="str">
        <f>_xlfn.XLOOKUP(C124, data_master!G:G, data_master!B:B)</f>
        <v>23188</v>
      </c>
      <c r="B124" t="str">
        <f>_xlfn.XLOOKUP(C124, data_master!G:G, data_master!D:D)</f>
        <v>23188 PAREPARE POS</v>
      </c>
      <c r="C124" s="12" t="str">
        <v>B2184PF</v>
      </c>
      <c r="D124" s="4">
        <f>IFERROR( _xlfn.MAXIFS( raw_stack!G:G, raw_stack!D:D, C124, raw_stack!F:F, "Iya" ), "" )</f>
        <v>46001</v>
      </c>
      <c r="E124" s="4">
        <f t="shared" si="4"/>
        <v>46183</v>
      </c>
      <c r="F124" s="7">
        <f>IFERROR(
 _xlfn.MAXIFS(
  raw_stack!H:H,
  raw_stack!D:D, C124,
  raw_stack!G:G, D124
 ),
 ""
)</f>
        <v>15097</v>
      </c>
      <c r="G124" s="7">
        <f>IFERROR(
 _xlfn.MAXIFS(
  raw_stack!E:E,
  raw_stack!D:D, C124,
  raw_stack!G:G, D124
 ),
 ""
)</f>
        <v>15097</v>
      </c>
      <c r="H124" s="10">
        <f t="shared" ca="1" si="5"/>
        <v>244</v>
      </c>
      <c r="I124" s="7">
        <f t="shared" si="6"/>
        <v>0</v>
      </c>
      <c r="J124" s="3" t="str">
        <f t="shared" ca="1" si="7"/>
        <v>OVERDUE</v>
      </c>
    </row>
    <row r="125" spans="1:10">
      <c r="A125" s="11" t="str">
        <f>_xlfn.XLOOKUP(C125, data_master!G:G, data_master!B:B)</f>
        <v>75534</v>
      </c>
      <c r="B125" t="str">
        <f>_xlfn.XLOOKUP(C125, data_master!G:G, data_master!D:D)</f>
        <v>75534 SAMBAS BRANCH</v>
      </c>
      <c r="C125" s="12" t="str">
        <v>B6013WGR</v>
      </c>
      <c r="D125" s="4">
        <f>IFERROR( _xlfn.MAXIFS( raw_stack!G:G, raw_stack!D:D, C125, raw_stack!F:F, "Iya" ), "" )</f>
        <v>46068</v>
      </c>
      <c r="E125" s="4">
        <f t="shared" si="4"/>
        <v>46249</v>
      </c>
      <c r="F125" s="7">
        <f>IFERROR(
 _xlfn.MAXIFS(
  raw_stack!H:H,
  raw_stack!D:D, C125,
  raw_stack!G:G, D125
 ),
 ""
)</f>
        <v>41377</v>
      </c>
      <c r="G125" s="7">
        <f>IFERROR(
 _xlfn.MAXIFS(
  raw_stack!E:E,
  raw_stack!D:D, C125,
  raw_stack!G:G, D125
 ),
 ""
)</f>
        <v>41377</v>
      </c>
      <c r="H125" s="10">
        <f t="shared" ca="1" si="5"/>
        <v>177</v>
      </c>
      <c r="I125" s="7">
        <f t="shared" si="6"/>
        <v>0</v>
      </c>
      <c r="J125" s="3" t="str">
        <f t="shared" ca="1" si="7"/>
        <v>AMAN</v>
      </c>
    </row>
    <row r="126" spans="1:10">
      <c r="A126" s="11" t="str">
        <f>_xlfn.XLOOKUP(C126, data_master!G:G, data_master!B:B)</f>
        <v>24300</v>
      </c>
      <c r="B126" t="str">
        <f>_xlfn.XLOOKUP(C126, data_master!G:G, data_master!D:D)</f>
        <v>24300 PACITAN POS</v>
      </c>
      <c r="C126" s="12" t="str">
        <v>B1995JFG</v>
      </c>
      <c r="D126" s="4">
        <f>IFERROR( _xlfn.MAXIFS( raw_stack!G:G, raw_stack!D:D, C126, raw_stack!F:F, "Iya" ), "" )</f>
        <v>45923</v>
      </c>
      <c r="E126" s="4">
        <f t="shared" si="4"/>
        <v>46104</v>
      </c>
      <c r="F126" s="7">
        <f>IFERROR(
 _xlfn.MAXIFS(
  raw_stack!H:H,
  raw_stack!D:D, C126,
  raw_stack!G:G, D126
 ),
 ""
)</f>
        <v>34699</v>
      </c>
      <c r="G126" s="7">
        <f>IFERROR(
 _xlfn.MAXIFS(
  raw_stack!E:E,
  raw_stack!D:D, C126,
  raw_stack!G:G, D126
 ),
 ""
)</f>
        <v>34699</v>
      </c>
      <c r="H126" s="10">
        <f t="shared" ca="1" si="5"/>
        <v>322</v>
      </c>
      <c r="I126" s="7">
        <f t="shared" si="6"/>
        <v>0</v>
      </c>
      <c r="J126" s="3" t="str">
        <f t="shared" ca="1" si="7"/>
        <v>OVERDUE</v>
      </c>
    </row>
    <row r="127" spans="1:10">
      <c r="A127" s="11" t="str">
        <f>_xlfn.XLOOKUP(C127, data_master!G:G, data_master!B:B)</f>
        <v>42537</v>
      </c>
      <c r="B127" t="str">
        <f>_xlfn.XLOOKUP(C127, data_master!G:G, data_master!D:D)</f>
        <v>42537 BLITAR UNIT</v>
      </c>
      <c r="C127" s="12" t="str">
        <v>B1711ZJR</v>
      </c>
      <c r="D127" s="4">
        <f>IFERROR( _xlfn.MAXIFS( raw_stack!G:G, raw_stack!D:D, C127, raw_stack!F:F, "Iya" ), "" )</f>
        <v>46006</v>
      </c>
      <c r="E127" s="4">
        <f t="shared" si="4"/>
        <v>46188</v>
      </c>
      <c r="F127" s="7">
        <f>IFERROR(
 _xlfn.MAXIFS(
  raw_stack!H:H,
  raw_stack!D:D, C127,
  raw_stack!G:G, D127
 ),
 ""
)</f>
        <v>11201</v>
      </c>
      <c r="G127" s="7">
        <f>IFERROR(
 _xlfn.MAXIFS(
  raw_stack!E:E,
  raw_stack!D:D, C127,
  raw_stack!G:G, D127
 ),
 ""
)</f>
        <v>11201</v>
      </c>
      <c r="H127" s="10">
        <f t="shared" ca="1" si="5"/>
        <v>239</v>
      </c>
      <c r="I127" s="7">
        <f t="shared" si="6"/>
        <v>0</v>
      </c>
      <c r="J127" s="3" t="str">
        <f t="shared" ca="1" si="7"/>
        <v>OVERDUE</v>
      </c>
    </row>
    <row r="128" spans="1:10">
      <c r="A128" s="11" t="str">
        <f>_xlfn.XLOOKUP(C128, data_master!G:G, data_master!B:B)</f>
        <v>94865</v>
      </c>
      <c r="B128" t="str">
        <f>_xlfn.XLOOKUP(C128, data_master!G:G, data_master!D:D)</f>
        <v>94865 KARANGANYAR POS</v>
      </c>
      <c r="C128" s="12" t="str">
        <v>KB4153HK</v>
      </c>
      <c r="D128" s="4">
        <f>IFERROR( _xlfn.MAXIFS( raw_stack!G:G, raw_stack!D:D, C128, raw_stack!F:F, "Iya" ), "" )</f>
        <v>46080</v>
      </c>
      <c r="E128" s="4">
        <f t="shared" si="4"/>
        <v>46261</v>
      </c>
      <c r="F128" s="7">
        <f>IFERROR(
 _xlfn.MAXIFS(
  raw_stack!H:H,
  raw_stack!D:D, C128,
  raw_stack!G:G, D128
 ),
 ""
)</f>
        <v>48052</v>
      </c>
      <c r="G128" s="7">
        <f>IFERROR(
 _xlfn.MAXIFS(
  raw_stack!E:E,
  raw_stack!D:D, C128,
  raw_stack!G:G, D128
 ),
 ""
)</f>
        <v>48052</v>
      </c>
      <c r="H128" s="10">
        <f t="shared" ca="1" si="5"/>
        <v>165</v>
      </c>
      <c r="I128" s="7">
        <f t="shared" si="6"/>
        <v>0</v>
      </c>
      <c r="J128" s="3" t="str">
        <f t="shared" ca="1" si="7"/>
        <v>AMAN</v>
      </c>
    </row>
    <row r="129" spans="1:10">
      <c r="A129" s="11" t="str">
        <f>_xlfn.XLOOKUP(C129, data_master!G:G, data_master!B:B)</f>
        <v>13597</v>
      </c>
      <c r="B129" t="str">
        <f>_xlfn.XLOOKUP(C129, data_master!G:G, data_master!D:D)</f>
        <v>13597 GRESIK</v>
      </c>
      <c r="C129" s="12" t="str">
        <v>B1204ZZ</v>
      </c>
      <c r="D129" s="4">
        <f>IFERROR( _xlfn.MAXIFS( raw_stack!G:G, raw_stack!D:D, C129, raw_stack!F:F, "Iya" ), "" )</f>
        <v>46029</v>
      </c>
      <c r="E129" s="4">
        <f t="shared" si="4"/>
        <v>46210</v>
      </c>
      <c r="F129" s="7">
        <f>IFERROR(
 _xlfn.MAXIFS(
  raw_stack!H:H,
  raw_stack!D:D, C129,
  raw_stack!G:G, D129
 ),
 ""
)</f>
        <v>25476</v>
      </c>
      <c r="G129" s="7">
        <f>IFERROR(
 _xlfn.MAXIFS(
  raw_stack!E:E,
  raw_stack!D:D, C129,
  raw_stack!G:G, D129
 ),
 ""
)</f>
        <v>25476</v>
      </c>
      <c r="H129" s="10">
        <f t="shared" ca="1" si="5"/>
        <v>216</v>
      </c>
      <c r="I129" s="7">
        <f t="shared" si="6"/>
        <v>0</v>
      </c>
      <c r="J129" s="3" t="str">
        <f t="shared" ca="1" si="7"/>
        <v>OVERDUE</v>
      </c>
    </row>
    <row r="130" spans="1:10">
      <c r="A130" s="11" t="str">
        <f>_xlfn.XLOOKUP(C130, data_master!G:G, data_master!B:B)</f>
        <v>51407</v>
      </c>
      <c r="B130" t="str">
        <f>_xlfn.XLOOKUP(C130, data_master!G:G, data_master!D:D)</f>
        <v>51407 ARGA MAKMUR</v>
      </c>
      <c r="C130" s="12" t="str">
        <v>B2925QZ</v>
      </c>
      <c r="D130" s="4">
        <f>IFERROR( _xlfn.MAXIFS( raw_stack!G:G, raw_stack!D:D, C130, raw_stack!F:F, "Iya" ), "" )</f>
        <v>46080</v>
      </c>
      <c r="E130" s="4">
        <f t="shared" si="4"/>
        <v>46261</v>
      </c>
      <c r="F130" s="7">
        <f>IFERROR(
 _xlfn.MAXIFS(
  raw_stack!H:H,
  raw_stack!D:D, C130,
  raw_stack!G:G, D130
 ),
 ""
)</f>
        <v>34725</v>
      </c>
      <c r="G130" s="7">
        <f>IFERROR(
 _xlfn.MAXIFS(
  raw_stack!E:E,
  raw_stack!D:D, C130,
  raw_stack!G:G, D130
 ),
 ""
)</f>
        <v>34725</v>
      </c>
      <c r="H130" s="10">
        <f t="shared" ca="1" si="5"/>
        <v>165</v>
      </c>
      <c r="I130" s="7">
        <f t="shared" si="6"/>
        <v>0</v>
      </c>
      <c r="J130" s="3" t="str">
        <f t="shared" ca="1" si="7"/>
        <v>AMAN</v>
      </c>
    </row>
    <row r="131" spans="1:10">
      <c r="A131" s="11" t="str">
        <f>_xlfn.XLOOKUP(C131, data_master!G:G, data_master!B:B)</f>
        <v>16508</v>
      </c>
      <c r="B131" t="str">
        <f>_xlfn.XLOOKUP(C131, data_master!G:G, data_master!D:D)</f>
        <v>16508 SURAKARTA UNIT</v>
      </c>
      <c r="C131" s="12" t="str">
        <v>B4034IWU</v>
      </c>
      <c r="D131" s="4">
        <f>IFERROR( _xlfn.MAXIFS( raw_stack!G:G, raw_stack!D:D, C131, raw_stack!F:F, "Iya" ), "" )</f>
        <v>46094</v>
      </c>
      <c r="E131" s="4">
        <f t="shared" si="4"/>
        <v>46278</v>
      </c>
      <c r="F131" s="7">
        <f>IFERROR(
 _xlfn.MAXIFS(
  raw_stack!H:H,
  raw_stack!D:D, C131,
  raw_stack!G:G, D131
 ),
 ""
)</f>
        <v>37637</v>
      </c>
      <c r="G131" s="7">
        <f>IFERROR(
 _xlfn.MAXIFS(
  raw_stack!E:E,
  raw_stack!D:D, C131,
  raw_stack!G:G, D131
 ),
 ""
)</f>
        <v>37637</v>
      </c>
      <c r="H131" s="10">
        <f t="shared" ca="1" si="5"/>
        <v>151</v>
      </c>
      <c r="I131" s="7">
        <f t="shared" si="6"/>
        <v>0</v>
      </c>
      <c r="J131" s="3" t="str">
        <f t="shared" ca="1" si="7"/>
        <v>AMAN</v>
      </c>
    </row>
    <row r="132" spans="1:10">
      <c r="A132" s="11" t="str">
        <f>_xlfn.XLOOKUP(C132, data_master!G:G, data_master!B:B)</f>
        <v>42577</v>
      </c>
      <c r="B132" t="str">
        <f>_xlfn.XLOOKUP(C132, data_master!G:G, data_master!D:D)</f>
        <v>42577 BANGLI BRANCH</v>
      </c>
      <c r="C132" s="12" t="str">
        <v>B6876VS</v>
      </c>
      <c r="D132" s="4">
        <f>IFERROR( _xlfn.MAXIFS( raw_stack!G:G, raw_stack!D:D, C132, raw_stack!F:F, "Iya" ), "" )</f>
        <v>46088</v>
      </c>
      <c r="E132" s="4">
        <f t="shared" ref="E132:E195" si="8">EDATE(D132,6)</f>
        <v>46272</v>
      </c>
      <c r="F132" s="7">
        <f>IFERROR(
 _xlfn.MAXIFS(
  raw_stack!H:H,
  raw_stack!D:D, C132,
  raw_stack!G:G, D132
 ),
 ""
)</f>
        <v>30</v>
      </c>
      <c r="G132" s="7">
        <f>IFERROR(
 _xlfn.MAXIFS(
  raw_stack!E:E,
  raw_stack!D:D, C132,
  raw_stack!G:G, D132
 ),
 ""
)</f>
        <v>30</v>
      </c>
      <c r="H132" s="10">
        <f t="shared" ref="H132:H195" ca="1" si="9">IF(D132=0, "", TODAY()-D132)</f>
        <v>157</v>
      </c>
      <c r="I132" s="7">
        <f t="shared" ref="I132:I195" si="10">IF(E132=0, "", G132-F132)</f>
        <v>0</v>
      </c>
      <c r="J132" s="3" t="str">
        <f t="shared" ref="J132:J195" ca="1" si="11">IF(D132=0,
 "BELUM SERVIS",
 IF(OR(H132&gt;=180, I132&gt;=10000),
  "OVERDUE",
  "AMAN"
 )
)</f>
        <v>AMAN</v>
      </c>
    </row>
    <row r="133" spans="1:10">
      <c r="A133" s="11" t="str">
        <f>_xlfn.XLOOKUP(C133, data_master!G:G, data_master!B:B)</f>
        <v>34107</v>
      </c>
      <c r="B133" t="str">
        <f>_xlfn.XLOOKUP(C133, data_master!G:G, data_master!D:D)</f>
        <v>34107 PURWOREJO 2</v>
      </c>
      <c r="C133" s="12" t="str">
        <v>B7983KQ</v>
      </c>
      <c r="D133" s="4">
        <f>IFERROR( _xlfn.MAXIFS( raw_stack!G:G, raw_stack!D:D, C133, raw_stack!F:F, "Iya" ), "" )</f>
        <v>45888</v>
      </c>
      <c r="E133" s="4">
        <f t="shared" si="8"/>
        <v>46072</v>
      </c>
      <c r="F133" s="7">
        <f>IFERROR(
 _xlfn.MAXIFS(
  raw_stack!H:H,
  raw_stack!D:D, C133,
  raw_stack!G:G, D133
 ),
 ""
)</f>
        <v>39740</v>
      </c>
      <c r="G133" s="7">
        <f>IFERROR(
 _xlfn.MAXIFS(
  raw_stack!E:E,
  raw_stack!D:D, C133,
  raw_stack!G:G, D133
 ),
 ""
)</f>
        <v>39740</v>
      </c>
      <c r="H133" s="10">
        <f t="shared" ca="1" si="9"/>
        <v>357</v>
      </c>
      <c r="I133" s="7">
        <f t="shared" si="10"/>
        <v>0</v>
      </c>
      <c r="J133" s="3" t="str">
        <f t="shared" ca="1" si="11"/>
        <v>OVERDUE</v>
      </c>
    </row>
    <row r="134" spans="1:10">
      <c r="A134" s="11" t="str">
        <f>_xlfn.XLOOKUP(C134, data_master!G:G, data_master!B:B)</f>
        <v>50548</v>
      </c>
      <c r="B134" t="str">
        <f>_xlfn.XLOOKUP(C134, data_master!G:G, data_master!D:D)</f>
        <v>50548 TERNATE BRANCH</v>
      </c>
      <c r="C134" s="12" t="str">
        <v>B7135IN</v>
      </c>
      <c r="D134" s="4">
        <f>IFERROR( _xlfn.MAXIFS( raw_stack!G:G, raw_stack!D:D, C134, raw_stack!F:F, "Iya" ), "" )</f>
        <v>46092</v>
      </c>
      <c r="E134" s="4">
        <f t="shared" si="8"/>
        <v>46276</v>
      </c>
      <c r="F134" s="7">
        <f>IFERROR(
 _xlfn.MAXIFS(
  raw_stack!H:H,
  raw_stack!D:D, C134,
  raw_stack!G:G, D134
 ),
 ""
)</f>
        <v>24621</v>
      </c>
      <c r="G134" s="7">
        <f>IFERROR(
 _xlfn.MAXIFS(
  raw_stack!E:E,
  raw_stack!D:D, C134,
  raw_stack!G:G, D134
 ),
 ""
)</f>
        <v>24621</v>
      </c>
      <c r="H134" s="10">
        <f t="shared" ca="1" si="9"/>
        <v>153</v>
      </c>
      <c r="I134" s="7">
        <f t="shared" si="10"/>
        <v>0</v>
      </c>
      <c r="J134" s="3" t="str">
        <f t="shared" ca="1" si="11"/>
        <v>AMAN</v>
      </c>
    </row>
    <row r="135" spans="1:10">
      <c r="A135" s="11" t="str">
        <f>_xlfn.XLOOKUP(C135, data_master!G:G, data_master!B:B)</f>
        <v>76061</v>
      </c>
      <c r="B135" t="str">
        <f>_xlfn.XLOOKUP(C135, data_master!G:G, data_master!D:D)</f>
        <v>76061 PANGKEP</v>
      </c>
      <c r="C135" s="12" t="str">
        <v>B6193SD</v>
      </c>
      <c r="D135" s="4">
        <f>IFERROR( _xlfn.MAXIFS( raw_stack!G:G, raw_stack!D:D, C135, raw_stack!F:F, "Iya" ), "" )</f>
        <v>46066</v>
      </c>
      <c r="E135" s="4">
        <f t="shared" si="8"/>
        <v>46247</v>
      </c>
      <c r="F135" s="7">
        <f>IFERROR(
 _xlfn.MAXIFS(
  raw_stack!H:H,
  raw_stack!D:D, C135,
  raw_stack!G:G, D135
 ),
 ""
)</f>
        <v>17089</v>
      </c>
      <c r="G135" s="7">
        <f>IFERROR(
 _xlfn.MAXIFS(
  raw_stack!E:E,
  raw_stack!D:D, C135,
  raw_stack!G:G, D135
 ),
 ""
)</f>
        <v>17089</v>
      </c>
      <c r="H135" s="10">
        <f t="shared" ca="1" si="9"/>
        <v>179</v>
      </c>
      <c r="I135" s="7">
        <f t="shared" si="10"/>
        <v>0</v>
      </c>
      <c r="J135" s="3" t="str">
        <f t="shared" ca="1" si="11"/>
        <v>AMAN</v>
      </c>
    </row>
    <row r="136" spans="1:10">
      <c r="A136" s="11" t="str">
        <f>_xlfn.XLOOKUP(C136, data_master!G:G, data_master!B:B)</f>
        <v>49313</v>
      </c>
      <c r="B136" t="str">
        <f>_xlfn.XLOOKUP(C136, data_master!G:G, data_master!D:D)</f>
        <v>49313 SOLOK</v>
      </c>
      <c r="C136" s="12" t="str">
        <v>KT6033ET</v>
      </c>
      <c r="D136" s="4">
        <f>IFERROR( _xlfn.MAXIFS( raw_stack!G:G, raw_stack!D:D, C136, raw_stack!F:F, "Iya" ), "" )</f>
        <v>45960</v>
      </c>
      <c r="E136" s="4">
        <f t="shared" si="8"/>
        <v>46142</v>
      </c>
      <c r="F136" s="7">
        <f>IFERROR(
 _xlfn.MAXIFS(
  raw_stack!H:H,
  raw_stack!D:D, C136,
  raw_stack!G:G, D136
 ),
 ""
)</f>
        <v>51791</v>
      </c>
      <c r="G136" s="7">
        <f>IFERROR(
 _xlfn.MAXIFS(
  raw_stack!E:E,
  raw_stack!D:D, C136,
  raw_stack!G:G, D136
 ),
 ""
)</f>
        <v>51791</v>
      </c>
      <c r="H136" s="10">
        <f t="shared" ca="1" si="9"/>
        <v>285</v>
      </c>
      <c r="I136" s="7">
        <f t="shared" si="10"/>
        <v>0</v>
      </c>
      <c r="J136" s="3" t="str">
        <f t="shared" ca="1" si="11"/>
        <v>OVERDUE</v>
      </c>
    </row>
    <row r="137" spans="1:10">
      <c r="A137" s="11" t="str">
        <f>_xlfn.XLOOKUP(C137, data_master!G:G, data_master!B:B)</f>
        <v>51924</v>
      </c>
      <c r="B137" t="str">
        <f>_xlfn.XLOOKUP(C137, data_master!G:G, data_master!D:D)</f>
        <v>51924 BIAK</v>
      </c>
      <c r="C137" s="12" t="str">
        <v>B9529CGF</v>
      </c>
      <c r="D137" s="4">
        <f>IFERROR( _xlfn.MAXIFS( raw_stack!G:G, raw_stack!D:D, C137, raw_stack!F:F, "Iya" ), "" )</f>
        <v>45944</v>
      </c>
      <c r="E137" s="4">
        <f t="shared" si="8"/>
        <v>46126</v>
      </c>
      <c r="F137" s="7">
        <f>IFERROR(
 _xlfn.MAXIFS(
  raw_stack!H:H,
  raw_stack!D:D, C137,
  raw_stack!G:G, D137
 ),
 ""
)</f>
        <v>20637</v>
      </c>
      <c r="G137" s="7">
        <f>IFERROR(
 _xlfn.MAXIFS(
  raw_stack!E:E,
  raw_stack!D:D, C137,
  raw_stack!G:G, D137
 ),
 ""
)</f>
        <v>20637</v>
      </c>
      <c r="H137" s="10">
        <f t="shared" ca="1" si="9"/>
        <v>301</v>
      </c>
      <c r="I137" s="7">
        <f t="shared" si="10"/>
        <v>0</v>
      </c>
      <c r="J137" s="3" t="str">
        <f t="shared" ca="1" si="11"/>
        <v>OVERDUE</v>
      </c>
    </row>
    <row r="138" spans="1:10">
      <c r="A138" s="11" t="str">
        <f>_xlfn.XLOOKUP(C138, data_master!G:G, data_master!B:B)</f>
        <v>16903</v>
      </c>
      <c r="B138" t="str">
        <f>_xlfn.XLOOKUP(C138, data_master!G:G, data_master!D:D)</f>
        <v>16903 BONTANG</v>
      </c>
      <c r="C138" s="12" t="str">
        <v>B5612UFW</v>
      </c>
      <c r="D138" s="4">
        <f>IFERROR( _xlfn.MAXIFS( raw_stack!G:G, raw_stack!D:D, C138, raw_stack!F:F, "Iya" ), "" )</f>
        <v>45854</v>
      </c>
      <c r="E138" s="4">
        <f t="shared" si="8"/>
        <v>46038</v>
      </c>
      <c r="F138" s="7">
        <f>IFERROR(
 _xlfn.MAXIFS(
  raw_stack!H:H,
  raw_stack!D:D, C138,
  raw_stack!G:G, D138
 ),
 ""
)</f>
        <v>26375</v>
      </c>
      <c r="G138" s="7">
        <f>IFERROR(
 _xlfn.MAXIFS(
  raw_stack!E:E,
  raw_stack!D:D, C138,
  raw_stack!G:G, D138
 ),
 ""
)</f>
        <v>26375</v>
      </c>
      <c r="H138" s="10">
        <f t="shared" ca="1" si="9"/>
        <v>391</v>
      </c>
      <c r="I138" s="7">
        <f t="shared" si="10"/>
        <v>0</v>
      </c>
      <c r="J138" s="3" t="str">
        <f t="shared" ca="1" si="11"/>
        <v>OVERDUE</v>
      </c>
    </row>
    <row r="139" spans="1:10">
      <c r="A139" s="11" t="str">
        <f>_xlfn.XLOOKUP(C139, data_master!G:G, data_master!B:B)</f>
        <v>60924</v>
      </c>
      <c r="B139" t="str">
        <f>_xlfn.XLOOKUP(C139, data_master!G:G, data_master!D:D)</f>
        <v>60924 CILACAP</v>
      </c>
      <c r="C139" s="12" t="str">
        <v>B6680XJ</v>
      </c>
      <c r="D139" s="4">
        <f>IFERROR( _xlfn.MAXIFS( raw_stack!G:G, raw_stack!D:D, C139, raw_stack!F:F, "Iya" ), "" )</f>
        <v>45986</v>
      </c>
      <c r="E139" s="4">
        <f t="shared" si="8"/>
        <v>46167</v>
      </c>
      <c r="F139" s="7">
        <f>IFERROR(
 _xlfn.MAXIFS(
  raw_stack!H:H,
  raw_stack!D:D, C139,
  raw_stack!G:G, D139
 ),
 ""
)</f>
        <v>31917</v>
      </c>
      <c r="G139" s="7">
        <f>IFERROR(
 _xlfn.MAXIFS(
  raw_stack!E:E,
  raw_stack!D:D, C139,
  raw_stack!G:G, D139
 ),
 ""
)</f>
        <v>31917</v>
      </c>
      <c r="H139" s="10">
        <f t="shared" ca="1" si="9"/>
        <v>259</v>
      </c>
      <c r="I139" s="7">
        <f t="shared" si="10"/>
        <v>0</v>
      </c>
      <c r="J139" s="3" t="str">
        <f t="shared" ca="1" si="11"/>
        <v>OVERDUE</v>
      </c>
    </row>
    <row r="140" spans="1:10">
      <c r="A140" s="11" t="str">
        <f>_xlfn.XLOOKUP(C140, data_master!G:G, data_master!B:B)</f>
        <v>19573</v>
      </c>
      <c r="B140" t="str">
        <f>_xlfn.XLOOKUP(C140, data_master!G:G, data_master!D:D)</f>
        <v>19573 PARIAMAN POS</v>
      </c>
      <c r="C140" s="12" t="str">
        <v>B1923MMD</v>
      </c>
      <c r="D140" s="4">
        <f>IFERROR( _xlfn.MAXIFS( raw_stack!G:G, raw_stack!D:D, C140, raw_stack!F:F, "Iya" ), "" )</f>
        <v>46041</v>
      </c>
      <c r="E140" s="4">
        <f t="shared" si="8"/>
        <v>46222</v>
      </c>
      <c r="F140" s="7">
        <f>IFERROR(
 _xlfn.MAXIFS(
  raw_stack!H:H,
  raw_stack!D:D, C140,
  raw_stack!G:G, D140
 ),
 ""
)</f>
        <v>31537</v>
      </c>
      <c r="G140" s="7">
        <f>IFERROR(
 _xlfn.MAXIFS(
  raw_stack!E:E,
  raw_stack!D:D, C140,
  raw_stack!G:G, D140
 ),
 ""
)</f>
        <v>31537</v>
      </c>
      <c r="H140" s="10">
        <f t="shared" ca="1" si="9"/>
        <v>204</v>
      </c>
      <c r="I140" s="7">
        <f t="shared" si="10"/>
        <v>0</v>
      </c>
      <c r="J140" s="3" t="str">
        <f t="shared" ca="1" si="11"/>
        <v>OVERDUE</v>
      </c>
    </row>
    <row r="141" spans="1:10">
      <c r="A141" s="11" t="str">
        <f>_xlfn.XLOOKUP(C141, data_master!G:G, data_master!B:B)</f>
        <v>81258</v>
      </c>
      <c r="B141" t="str">
        <f>_xlfn.XLOOKUP(C141, data_master!G:G, data_master!D:D)</f>
        <v>81258 JAKARTA SELATAN</v>
      </c>
      <c r="C141" s="12" t="str">
        <v>KT2986WG</v>
      </c>
      <c r="D141" s="4">
        <f>IFERROR( _xlfn.MAXIFS( raw_stack!G:G, raw_stack!D:D, C141, raw_stack!F:F, "Iya" ), "" )</f>
        <v>45958</v>
      </c>
      <c r="E141" s="4">
        <f t="shared" si="8"/>
        <v>46140</v>
      </c>
      <c r="F141" s="7">
        <f>IFERROR(
 _xlfn.MAXIFS(
  raw_stack!H:H,
  raw_stack!D:D, C141,
  raw_stack!G:G, D141
 ),
 ""
)</f>
        <v>55976</v>
      </c>
      <c r="G141" s="7">
        <f>IFERROR(
 _xlfn.MAXIFS(
  raw_stack!E:E,
  raw_stack!D:D, C141,
  raw_stack!G:G, D141
 ),
 ""
)</f>
        <v>55976</v>
      </c>
      <c r="H141" s="10">
        <f t="shared" ca="1" si="9"/>
        <v>287</v>
      </c>
      <c r="I141" s="7">
        <f t="shared" si="10"/>
        <v>0</v>
      </c>
      <c r="J141" s="3" t="str">
        <f t="shared" ca="1" si="11"/>
        <v>OVERDUE</v>
      </c>
    </row>
    <row r="142" spans="1:10">
      <c r="A142" s="11" t="str">
        <f>_xlfn.XLOOKUP(C142, data_master!G:G, data_master!B:B)</f>
        <v>82706</v>
      </c>
      <c r="B142" t="str">
        <f>_xlfn.XLOOKUP(C142, data_master!G:G, data_master!D:D)</f>
        <v>82706 TARAKAN</v>
      </c>
      <c r="C142" s="12" t="str">
        <v>B4952MY</v>
      </c>
      <c r="D142" s="4">
        <f>IFERROR( _xlfn.MAXIFS( raw_stack!G:G, raw_stack!D:D, C142, raw_stack!F:F, "Iya" ), "" )</f>
        <v>46030</v>
      </c>
      <c r="E142" s="4">
        <f t="shared" si="8"/>
        <v>46211</v>
      </c>
      <c r="F142" s="7">
        <f>IFERROR(
 _xlfn.MAXIFS(
  raw_stack!H:H,
  raw_stack!D:D, C142,
  raw_stack!G:G, D142
 ),
 ""
)</f>
        <v>31228</v>
      </c>
      <c r="G142" s="7">
        <f>IFERROR(
 _xlfn.MAXIFS(
  raw_stack!E:E,
  raw_stack!D:D, C142,
  raw_stack!G:G, D142
 ),
 ""
)</f>
        <v>31228</v>
      </c>
      <c r="H142" s="10">
        <f t="shared" ca="1" si="9"/>
        <v>215</v>
      </c>
      <c r="I142" s="7">
        <f t="shared" si="10"/>
        <v>0</v>
      </c>
      <c r="J142" s="3" t="str">
        <f t="shared" ca="1" si="11"/>
        <v>OVERDUE</v>
      </c>
    </row>
    <row r="143" spans="1:10">
      <c r="A143" s="11" t="str">
        <f>_xlfn.XLOOKUP(C143, data_master!G:G, data_master!B:B)</f>
        <v>95679</v>
      </c>
      <c r="B143" t="str">
        <f>_xlfn.XLOOKUP(C143, data_master!G:G, data_master!D:D)</f>
        <v>95679 PADANG SIDEMPUAN</v>
      </c>
      <c r="C143" s="12" t="str">
        <v>B5038CSC</v>
      </c>
      <c r="D143" s="4">
        <f>IFERROR( _xlfn.MAXIFS( raw_stack!G:G, raw_stack!D:D, C143, raw_stack!F:F, "Iya" ), "" )</f>
        <v>46092</v>
      </c>
      <c r="E143" s="4">
        <f t="shared" si="8"/>
        <v>46276</v>
      </c>
      <c r="F143" s="7">
        <f>IFERROR(
 _xlfn.MAXIFS(
  raw_stack!H:H,
  raw_stack!D:D, C143,
  raw_stack!G:G, D143
 ),
 ""
)</f>
        <v>17656</v>
      </c>
      <c r="G143" s="7">
        <f>IFERROR(
 _xlfn.MAXIFS(
  raw_stack!E:E,
  raw_stack!D:D, C143,
  raw_stack!G:G, D143
 ),
 ""
)</f>
        <v>17656</v>
      </c>
      <c r="H143" s="10">
        <f t="shared" ca="1" si="9"/>
        <v>153</v>
      </c>
      <c r="I143" s="7">
        <f t="shared" si="10"/>
        <v>0</v>
      </c>
      <c r="J143" s="3" t="str">
        <f t="shared" ca="1" si="11"/>
        <v>AMAN</v>
      </c>
    </row>
    <row r="144" spans="1:10">
      <c r="A144" s="11" t="str">
        <f>_xlfn.XLOOKUP(C144, data_master!G:G, data_master!B:B)</f>
        <v>82654</v>
      </c>
      <c r="B144" t="str">
        <f>_xlfn.XLOOKUP(C144, data_master!G:G, data_master!D:D)</f>
        <v>82654 TEMBILAHAN BRANCH</v>
      </c>
      <c r="C144" s="12" t="str">
        <v>B6704WT</v>
      </c>
      <c r="D144" s="4">
        <f>IFERROR( _xlfn.MAXIFS( raw_stack!G:G, raw_stack!D:D, C144, raw_stack!F:F, "Iya" ), "" )</f>
        <v>45849</v>
      </c>
      <c r="E144" s="4">
        <f t="shared" si="8"/>
        <v>46033</v>
      </c>
      <c r="F144" s="7">
        <f>IFERROR(
 _xlfn.MAXIFS(
  raw_stack!H:H,
  raw_stack!D:D, C144,
  raw_stack!G:G, D144
 ),
 ""
)</f>
        <v>39246</v>
      </c>
      <c r="G144" s="7">
        <f>IFERROR(
 _xlfn.MAXIFS(
  raw_stack!E:E,
  raw_stack!D:D, C144,
  raw_stack!G:G, D144
 ),
 ""
)</f>
        <v>39246</v>
      </c>
      <c r="H144" s="10">
        <f t="shared" ca="1" si="9"/>
        <v>396</v>
      </c>
      <c r="I144" s="7">
        <f t="shared" si="10"/>
        <v>0</v>
      </c>
      <c r="J144" s="3" t="str">
        <f t="shared" ca="1" si="11"/>
        <v>OVERDUE</v>
      </c>
    </row>
    <row r="145" spans="1:10">
      <c r="A145" s="11" t="str">
        <f>_xlfn.XLOOKUP(C145, data_master!G:G, data_master!B:B)</f>
        <v>50468</v>
      </c>
      <c r="B145" t="str">
        <f>_xlfn.XLOOKUP(C145, data_master!G:G, data_master!D:D)</f>
        <v>50468 TANAH GROGOT BRANCH</v>
      </c>
      <c r="C145" s="12" t="str">
        <v>B7832GQD</v>
      </c>
      <c r="D145" s="4">
        <f>IFERROR( _xlfn.MAXIFS( raw_stack!G:G, raw_stack!D:D, C145, raw_stack!F:F, "Iya" ), "" )</f>
        <v>45917</v>
      </c>
      <c r="E145" s="4">
        <f t="shared" si="8"/>
        <v>46098</v>
      </c>
      <c r="F145" s="7">
        <f>IFERROR(
 _xlfn.MAXIFS(
  raw_stack!H:H,
  raw_stack!D:D, C145,
  raw_stack!G:G, D145
 ),
 ""
)</f>
        <v>32265</v>
      </c>
      <c r="G145" s="7">
        <f>IFERROR(
 _xlfn.MAXIFS(
  raw_stack!E:E,
  raw_stack!D:D, C145,
  raw_stack!G:G, D145
 ),
 ""
)</f>
        <v>32265</v>
      </c>
      <c r="H145" s="10">
        <f t="shared" ca="1" si="9"/>
        <v>328</v>
      </c>
      <c r="I145" s="7">
        <f t="shared" si="10"/>
        <v>0</v>
      </c>
      <c r="J145" s="3" t="str">
        <f t="shared" ca="1" si="11"/>
        <v>OVERDUE</v>
      </c>
    </row>
    <row r="146" spans="1:10">
      <c r="A146" s="11" t="str">
        <f>_xlfn.XLOOKUP(C146, data_master!G:G, data_master!B:B)</f>
        <v>59642</v>
      </c>
      <c r="B146" t="str">
        <f>_xlfn.XLOOKUP(C146, data_master!G:G, data_master!D:D)</f>
        <v>59642 BONDOWOSO 2</v>
      </c>
      <c r="C146" s="12" t="str">
        <v>B9946LF</v>
      </c>
      <c r="D146" s="4">
        <f>IFERROR( _xlfn.MAXIFS( raw_stack!G:G, raw_stack!D:D, C146, raw_stack!F:F, "Iya" ), "" )</f>
        <v>46058</v>
      </c>
      <c r="E146" s="4">
        <f t="shared" si="8"/>
        <v>46239</v>
      </c>
      <c r="F146" s="7">
        <f>IFERROR(
 _xlfn.MAXIFS(
  raw_stack!H:H,
  raw_stack!D:D, C146,
  raw_stack!G:G, D146
 ),
 ""
)</f>
        <v>37891</v>
      </c>
      <c r="G146" s="7">
        <f>IFERROR(
 _xlfn.MAXIFS(
  raw_stack!E:E,
  raw_stack!D:D, C146,
  raw_stack!G:G, D146
 ),
 ""
)</f>
        <v>37891</v>
      </c>
      <c r="H146" s="10">
        <f t="shared" ca="1" si="9"/>
        <v>187</v>
      </c>
      <c r="I146" s="7">
        <f t="shared" si="10"/>
        <v>0</v>
      </c>
      <c r="J146" s="3" t="str">
        <f t="shared" ca="1" si="11"/>
        <v>OVERDUE</v>
      </c>
    </row>
    <row r="147" spans="1:10">
      <c r="A147" s="11" t="str">
        <f>_xlfn.XLOOKUP(C147, data_master!G:G, data_master!B:B)</f>
        <v>30411</v>
      </c>
      <c r="B147" t="str">
        <f>_xlfn.XLOOKUP(C147, data_master!G:G, data_master!D:D)</f>
        <v>30411 LABUHAN BATU UNIT</v>
      </c>
      <c r="C147" s="12" t="str">
        <v>B8740PD</v>
      </c>
      <c r="D147" s="4">
        <f>IFERROR( _xlfn.MAXIFS( raw_stack!G:G, raw_stack!D:D, C147, raw_stack!F:F, "Iya" ), "" )</f>
        <v>46056</v>
      </c>
      <c r="E147" s="4">
        <f t="shared" si="8"/>
        <v>46237</v>
      </c>
      <c r="F147" s="7">
        <f>IFERROR(
 _xlfn.MAXIFS(
  raw_stack!H:H,
  raw_stack!D:D, C147,
  raw_stack!G:G, D147
 ),
 ""
)</f>
        <v>61302</v>
      </c>
      <c r="G147" s="7">
        <f>IFERROR(
 _xlfn.MAXIFS(
  raw_stack!E:E,
  raw_stack!D:D, C147,
  raw_stack!G:G, D147
 ),
 ""
)</f>
        <v>61302</v>
      </c>
      <c r="H147" s="10">
        <f t="shared" ca="1" si="9"/>
        <v>189</v>
      </c>
      <c r="I147" s="7">
        <f t="shared" si="10"/>
        <v>0</v>
      </c>
      <c r="J147" s="3" t="str">
        <f t="shared" ca="1" si="11"/>
        <v>OVERDUE</v>
      </c>
    </row>
    <row r="148" spans="1:10">
      <c r="A148" s="11" t="str">
        <f>_xlfn.XLOOKUP(C148, data_master!G:G, data_master!B:B)</f>
        <v>26079</v>
      </c>
      <c r="B148" t="str">
        <f>_xlfn.XLOOKUP(C148, data_master!G:G, data_master!D:D)</f>
        <v>26079 KLATEN</v>
      </c>
      <c r="C148" s="12" t="str">
        <v>B3306HX</v>
      </c>
      <c r="D148" s="4">
        <f>IFERROR( _xlfn.MAXIFS( raw_stack!G:G, raw_stack!D:D, C148, raw_stack!F:F, "Iya" ), "" )</f>
        <v>46055</v>
      </c>
      <c r="E148" s="4">
        <f t="shared" si="8"/>
        <v>46236</v>
      </c>
      <c r="F148" s="7">
        <f>IFERROR(
 _xlfn.MAXIFS(
  raw_stack!H:H,
  raw_stack!D:D, C148,
  raw_stack!G:G, D148
 ),
 ""
)</f>
        <v>18893</v>
      </c>
      <c r="G148" s="7">
        <f>IFERROR(
 _xlfn.MAXIFS(
  raw_stack!E:E,
  raw_stack!D:D, C148,
  raw_stack!G:G, D148
 ),
 ""
)</f>
        <v>18893</v>
      </c>
      <c r="H148" s="10">
        <f t="shared" ca="1" si="9"/>
        <v>190</v>
      </c>
      <c r="I148" s="7">
        <f t="shared" si="10"/>
        <v>0</v>
      </c>
      <c r="J148" s="3" t="str">
        <f t="shared" ca="1" si="11"/>
        <v>OVERDUE</v>
      </c>
    </row>
    <row r="149" spans="1:10">
      <c r="A149" s="11" t="str">
        <f>_xlfn.XLOOKUP(C149, data_master!G:G, data_master!B:B)</f>
        <v>31508</v>
      </c>
      <c r="B149" t="str">
        <f>_xlfn.XLOOKUP(C149, data_master!G:G, data_master!D:D)</f>
        <v>31508 SAROLANGUN</v>
      </c>
      <c r="C149" s="12" t="str">
        <v>B2306NS</v>
      </c>
      <c r="D149" s="4">
        <f>IFERROR( _xlfn.MAXIFS( raw_stack!G:G, raw_stack!D:D, C149, raw_stack!F:F, "Iya" ), "" )</f>
        <v>45985</v>
      </c>
      <c r="E149" s="4">
        <f t="shared" si="8"/>
        <v>46166</v>
      </c>
      <c r="F149" s="7">
        <f>IFERROR(
 _xlfn.MAXIFS(
  raw_stack!H:H,
  raw_stack!D:D, C149,
  raw_stack!G:G, D149
 ),
 ""
)</f>
        <v>38870</v>
      </c>
      <c r="G149" s="7">
        <f>IFERROR(
 _xlfn.MAXIFS(
  raw_stack!E:E,
  raw_stack!D:D, C149,
  raw_stack!G:G, D149
 ),
 ""
)</f>
        <v>38870</v>
      </c>
      <c r="H149" s="10">
        <f t="shared" ca="1" si="9"/>
        <v>260</v>
      </c>
      <c r="I149" s="7">
        <f t="shared" si="10"/>
        <v>0</v>
      </c>
      <c r="J149" s="3" t="str">
        <f t="shared" ca="1" si="11"/>
        <v>OVERDUE</v>
      </c>
    </row>
    <row r="150" spans="1:10">
      <c r="A150" s="11" t="str">
        <f>_xlfn.XLOOKUP(C150, data_master!G:G, data_master!B:B)</f>
        <v>91251</v>
      </c>
      <c r="B150" t="str">
        <f>_xlfn.XLOOKUP(C150, data_master!G:G, data_master!D:D)</f>
        <v>91251 JAKARTA PUSAT</v>
      </c>
      <c r="C150" s="12" t="str">
        <v>H8376YB</v>
      </c>
      <c r="D150" s="4">
        <f>IFERROR( _xlfn.MAXIFS( raw_stack!G:G, raw_stack!D:D, C150, raw_stack!F:F, "Iya" ), "" )</f>
        <v>46093</v>
      </c>
      <c r="E150" s="4">
        <f t="shared" si="8"/>
        <v>46277</v>
      </c>
      <c r="F150" s="7">
        <f>IFERROR(
 _xlfn.MAXIFS(
  raw_stack!H:H,
  raw_stack!D:D, C150,
  raw_stack!G:G, D150
 ),
 ""
)</f>
        <v>54275</v>
      </c>
      <c r="G150" s="7">
        <f>IFERROR(
 _xlfn.MAXIFS(
  raw_stack!E:E,
  raw_stack!D:D, C150,
  raw_stack!G:G, D150
 ),
 ""
)</f>
        <v>56985</v>
      </c>
      <c r="H150" s="10">
        <f t="shared" ca="1" si="9"/>
        <v>152</v>
      </c>
      <c r="I150" s="7">
        <f t="shared" si="10"/>
        <v>2710</v>
      </c>
      <c r="J150" s="3" t="str">
        <f t="shared" ca="1" si="11"/>
        <v>AMAN</v>
      </c>
    </row>
    <row r="151" spans="1:10">
      <c r="A151" s="11" t="str">
        <f>_xlfn.XLOOKUP(C151, data_master!G:G, data_master!B:B)</f>
        <v>30688</v>
      </c>
      <c r="B151" t="str">
        <f>_xlfn.XLOOKUP(C151, data_master!G:G, data_master!D:D)</f>
        <v>30688 TANJUNG SELOR BRANCH</v>
      </c>
      <c r="C151" s="12" t="str">
        <v>B4900WYS</v>
      </c>
      <c r="D151" s="4">
        <f>IFERROR( _xlfn.MAXIFS( raw_stack!G:G, raw_stack!D:D, C151, raw_stack!F:F, "Iya" ), "" )</f>
        <v>45954</v>
      </c>
      <c r="E151" s="4">
        <f t="shared" si="8"/>
        <v>46136</v>
      </c>
      <c r="F151" s="7">
        <f>IFERROR(
 _xlfn.MAXIFS(
  raw_stack!H:H,
  raw_stack!D:D, C151,
  raw_stack!G:G, D151
 ),
 ""
)</f>
        <v>39127</v>
      </c>
      <c r="G151" s="7">
        <f>IFERROR(
 _xlfn.MAXIFS(
  raw_stack!E:E,
  raw_stack!D:D, C151,
  raw_stack!G:G, D151
 ),
 ""
)</f>
        <v>39127</v>
      </c>
      <c r="H151" s="10">
        <f t="shared" ca="1" si="9"/>
        <v>291</v>
      </c>
      <c r="I151" s="7">
        <f t="shared" si="10"/>
        <v>0</v>
      </c>
      <c r="J151" s="3" t="str">
        <f t="shared" ca="1" si="11"/>
        <v>OVERDUE</v>
      </c>
    </row>
    <row r="152" spans="1:10">
      <c r="A152" s="11" t="str">
        <f>_xlfn.XLOOKUP(C152, data_master!G:G, data_master!B:B)</f>
        <v>55926</v>
      </c>
      <c r="B152" t="str">
        <f>_xlfn.XLOOKUP(C152, data_master!G:G, data_master!D:D)</f>
        <v>55926 KOTAMOBAGU</v>
      </c>
      <c r="C152" s="12" t="str">
        <v>B7949TY</v>
      </c>
      <c r="D152" s="4">
        <f>IFERROR( _xlfn.MAXIFS( raw_stack!G:G, raw_stack!D:D, C152, raw_stack!F:F, "Iya" ), "" )</f>
        <v>45982</v>
      </c>
      <c r="E152" s="4">
        <f t="shared" si="8"/>
        <v>46163</v>
      </c>
      <c r="F152" s="7">
        <f>IFERROR(
 _xlfn.MAXIFS(
  raw_stack!H:H,
  raw_stack!D:D, C152,
  raw_stack!G:G, D152
 ),
 ""
)</f>
        <v>35464</v>
      </c>
      <c r="G152" s="7">
        <f>IFERROR(
 _xlfn.MAXIFS(
  raw_stack!E:E,
  raw_stack!D:D, C152,
  raw_stack!G:G, D152
 ),
 ""
)</f>
        <v>35464</v>
      </c>
      <c r="H152" s="10">
        <f t="shared" ca="1" si="9"/>
        <v>263</v>
      </c>
      <c r="I152" s="7">
        <f t="shared" si="10"/>
        <v>0</v>
      </c>
      <c r="J152" s="3" t="str">
        <f t="shared" ca="1" si="11"/>
        <v>OVERDUE</v>
      </c>
    </row>
    <row r="153" spans="1:10">
      <c r="A153" s="11" t="str">
        <f>_xlfn.XLOOKUP(C153, data_master!G:G, data_master!B:B)</f>
        <v>95840</v>
      </c>
      <c r="B153" t="str">
        <f>_xlfn.XLOOKUP(C153, data_master!G:G, data_master!D:D)</f>
        <v>95840 SANGGAU</v>
      </c>
      <c r="C153" s="12" t="str">
        <v>B8160PCQ</v>
      </c>
      <c r="D153" s="4">
        <f>IFERROR( _xlfn.MAXIFS( raw_stack!G:G, raw_stack!D:D, C153, raw_stack!F:F, "Iya" ), "" )</f>
        <v>46034</v>
      </c>
      <c r="E153" s="4">
        <f t="shared" si="8"/>
        <v>46215</v>
      </c>
      <c r="F153" s="7">
        <f>IFERROR(
 _xlfn.MAXIFS(
  raw_stack!H:H,
  raw_stack!D:D, C153,
  raw_stack!G:G, D153
 ),
 ""
)</f>
        <v>36968</v>
      </c>
      <c r="G153" s="7">
        <f>IFERROR(
 _xlfn.MAXIFS(
  raw_stack!E:E,
  raw_stack!D:D, C153,
  raw_stack!G:G, D153
 ),
 ""
)</f>
        <v>36968</v>
      </c>
      <c r="H153" s="10">
        <f t="shared" ca="1" si="9"/>
        <v>211</v>
      </c>
      <c r="I153" s="7">
        <f t="shared" si="10"/>
        <v>0</v>
      </c>
      <c r="J153" s="3" t="str">
        <f t="shared" ca="1" si="11"/>
        <v>OVERDUE</v>
      </c>
    </row>
    <row r="154" spans="1:10">
      <c r="A154" s="11" t="str">
        <f>_xlfn.XLOOKUP(C154, data_master!G:G, data_master!B:B)</f>
        <v>86850</v>
      </c>
      <c r="B154" t="str">
        <f>_xlfn.XLOOKUP(C154, data_master!G:G, data_master!D:D)</f>
        <v>86850 BATANG</v>
      </c>
      <c r="C154" s="12" t="str">
        <v>B6999PZ</v>
      </c>
      <c r="D154" s="4">
        <f>IFERROR( _xlfn.MAXIFS( raw_stack!G:G, raw_stack!D:D, C154, raw_stack!F:F, "Iya" ), "" )</f>
        <v>46064</v>
      </c>
      <c r="E154" s="4">
        <f t="shared" si="8"/>
        <v>46245</v>
      </c>
      <c r="F154" s="7">
        <f>IFERROR(
 _xlfn.MAXIFS(
  raw_stack!H:H,
  raw_stack!D:D, C154,
  raw_stack!G:G, D154
 ),
 ""
)</f>
        <v>27042</v>
      </c>
      <c r="G154" s="7">
        <f>IFERROR(
 _xlfn.MAXIFS(
  raw_stack!E:E,
  raw_stack!D:D, C154,
  raw_stack!G:G, D154
 ),
 ""
)</f>
        <v>27042</v>
      </c>
      <c r="H154" s="10">
        <f t="shared" ca="1" si="9"/>
        <v>181</v>
      </c>
      <c r="I154" s="7">
        <f t="shared" si="10"/>
        <v>0</v>
      </c>
      <c r="J154" s="3" t="str">
        <f t="shared" ca="1" si="11"/>
        <v>OVERDUE</v>
      </c>
    </row>
    <row r="155" spans="1:10">
      <c r="A155" s="11" t="str">
        <f>_xlfn.XLOOKUP(C155, data_master!G:G, data_master!B:B)</f>
        <v>43676</v>
      </c>
      <c r="B155" t="str">
        <f>_xlfn.XLOOKUP(C155, data_master!G:G, data_master!D:D)</f>
        <v>43676 DEPOK BRANCH</v>
      </c>
      <c r="C155" s="12" t="str">
        <v>B9006FL</v>
      </c>
      <c r="D155" s="4">
        <f>IFERROR( _xlfn.MAXIFS( raw_stack!G:G, raw_stack!D:D, C155, raw_stack!F:F, "Iya" ), "" )</f>
        <v>46097</v>
      </c>
      <c r="E155" s="4">
        <f t="shared" si="8"/>
        <v>46281</v>
      </c>
      <c r="F155" s="7">
        <f>IFERROR(
 _xlfn.MAXIFS(
  raw_stack!H:H,
  raw_stack!D:D, C155,
  raw_stack!G:G, D155
 ),
 ""
)</f>
        <v>28623</v>
      </c>
      <c r="G155" s="7">
        <f>IFERROR(
 _xlfn.MAXIFS(
  raw_stack!E:E,
  raw_stack!D:D, C155,
  raw_stack!G:G, D155
 ),
 ""
)</f>
        <v>29868</v>
      </c>
      <c r="H155" s="10">
        <f t="shared" ca="1" si="9"/>
        <v>148</v>
      </c>
      <c r="I155" s="7">
        <f t="shared" si="10"/>
        <v>1245</v>
      </c>
      <c r="J155" s="3" t="str">
        <f t="shared" ca="1" si="11"/>
        <v>AMAN</v>
      </c>
    </row>
    <row r="156" spans="1:10">
      <c r="A156" s="11" t="str">
        <f>_xlfn.XLOOKUP(C156, data_master!G:G, data_master!B:B)</f>
        <v>52628</v>
      </c>
      <c r="B156" t="str">
        <f>_xlfn.XLOOKUP(C156, data_master!G:G, data_master!D:D)</f>
        <v>52628 LAMONGAN</v>
      </c>
      <c r="C156" s="12" t="str">
        <v>B3087ASI</v>
      </c>
      <c r="D156" s="4">
        <f>IFERROR( _xlfn.MAXIFS( raw_stack!G:G, raw_stack!D:D, C156, raw_stack!F:F, "Iya" ), "" )</f>
        <v>45822</v>
      </c>
      <c r="E156" s="4">
        <f t="shared" si="8"/>
        <v>46005</v>
      </c>
      <c r="F156" s="7">
        <f>IFERROR(
 _xlfn.MAXIFS(
  raw_stack!H:H,
  raw_stack!D:D, C156,
  raw_stack!G:G, D156
 ),
 ""
)</f>
        <v>26751</v>
      </c>
      <c r="G156" s="7">
        <f>IFERROR(
 _xlfn.MAXIFS(
  raw_stack!E:E,
  raw_stack!D:D, C156,
  raw_stack!G:G, D156
 ),
 ""
)</f>
        <v>26751</v>
      </c>
      <c r="H156" s="10">
        <f t="shared" ca="1" si="9"/>
        <v>423</v>
      </c>
      <c r="I156" s="7">
        <f t="shared" si="10"/>
        <v>0</v>
      </c>
      <c r="J156" s="3" t="str">
        <f t="shared" ca="1" si="11"/>
        <v>OVERDUE</v>
      </c>
    </row>
    <row r="157" spans="1:10">
      <c r="A157" s="11" t="str">
        <f>_xlfn.XLOOKUP(C157, data_master!G:G, data_master!B:B)</f>
        <v>92523</v>
      </c>
      <c r="B157" t="str">
        <f>_xlfn.XLOOKUP(C157, data_master!G:G, data_master!D:D)</f>
        <v>92523 LIMBOTO BRANCH</v>
      </c>
      <c r="C157" s="12" t="str">
        <v>B8474IXR</v>
      </c>
      <c r="D157" s="4">
        <f>IFERROR( _xlfn.MAXIFS( raw_stack!G:G, raw_stack!D:D, C157, raw_stack!F:F, "Iya" ), "" )</f>
        <v>46123</v>
      </c>
      <c r="E157" s="4">
        <f t="shared" si="8"/>
        <v>46306</v>
      </c>
      <c r="F157" s="7">
        <f>IFERROR(
 _xlfn.MAXIFS(
  raw_stack!H:H,
  raw_stack!D:D, C157,
  raw_stack!G:G, D157
 ),
 ""
)</f>
        <v>31121</v>
      </c>
      <c r="G157" s="7">
        <f>IFERROR(
 _xlfn.MAXIFS(
  raw_stack!E:E,
  raw_stack!D:D, C157,
  raw_stack!G:G, D157
 ),
 ""
)</f>
        <v>22322</v>
      </c>
      <c r="H157" s="10">
        <f t="shared" ca="1" si="9"/>
        <v>122</v>
      </c>
      <c r="I157" s="7">
        <f t="shared" si="10"/>
        <v>-8799</v>
      </c>
      <c r="J157" s="3" t="str">
        <f t="shared" ca="1" si="11"/>
        <v>AMAN</v>
      </c>
    </row>
    <row r="158" spans="1:10">
      <c r="A158" s="11" t="str">
        <f>_xlfn.XLOOKUP(C158, data_master!G:G, data_master!B:B)</f>
        <v>24740</v>
      </c>
      <c r="B158" t="str">
        <f>_xlfn.XLOOKUP(C158, data_master!G:G, data_master!D:D)</f>
        <v>24740 ASAHAN</v>
      </c>
      <c r="C158" s="12" t="str">
        <v>B3367HD</v>
      </c>
      <c r="D158" s="4">
        <f>IFERROR( _xlfn.MAXIFS( raw_stack!G:G, raw_stack!D:D, C158, raw_stack!F:F, "Iya" ), "" )</f>
        <v>45931</v>
      </c>
      <c r="E158" s="4">
        <f t="shared" si="8"/>
        <v>46113</v>
      </c>
      <c r="F158" s="7">
        <f>IFERROR(
 _xlfn.MAXIFS(
  raw_stack!H:H,
  raw_stack!D:D, C158,
  raw_stack!G:G, D158
 ),
 ""
)</f>
        <v>47537</v>
      </c>
      <c r="G158" s="7">
        <f>IFERROR(
 _xlfn.MAXIFS(
  raw_stack!E:E,
  raw_stack!D:D, C158,
  raw_stack!G:G, D158
 ),
 ""
)</f>
        <v>47537</v>
      </c>
      <c r="H158" s="10">
        <f t="shared" ca="1" si="9"/>
        <v>314</v>
      </c>
      <c r="I158" s="7">
        <f t="shared" si="10"/>
        <v>0</v>
      </c>
      <c r="J158" s="3" t="str">
        <f t="shared" ca="1" si="11"/>
        <v>OVERDUE</v>
      </c>
    </row>
    <row r="159" spans="1:10">
      <c r="A159" s="11" t="str">
        <f>_xlfn.XLOOKUP(C159, data_master!G:G, data_master!B:B)</f>
        <v>85297</v>
      </c>
      <c r="B159" t="str">
        <f>_xlfn.XLOOKUP(C159, data_master!G:G, data_master!D:D)</f>
        <v>85297 BANGKALAN POS</v>
      </c>
      <c r="C159" s="12" t="str">
        <v>B5205ZM</v>
      </c>
      <c r="D159" s="4">
        <f>IFERROR( _xlfn.MAXIFS( raw_stack!G:G, raw_stack!D:D, C159, raw_stack!F:F, "Iya" ), "" )</f>
        <v>45889</v>
      </c>
      <c r="E159" s="4">
        <f t="shared" si="8"/>
        <v>46073</v>
      </c>
      <c r="F159" s="7">
        <f>IFERROR(
 _xlfn.MAXIFS(
  raw_stack!H:H,
  raw_stack!D:D, C159,
  raw_stack!G:G, D159
 ),
 ""
)</f>
        <v>26477</v>
      </c>
      <c r="G159" s="7">
        <f>IFERROR(
 _xlfn.MAXIFS(
  raw_stack!E:E,
  raw_stack!D:D, C159,
  raw_stack!G:G, D159
 ),
 ""
)</f>
        <v>26477</v>
      </c>
      <c r="H159" s="10">
        <f t="shared" ca="1" si="9"/>
        <v>356</v>
      </c>
      <c r="I159" s="7">
        <f t="shared" si="10"/>
        <v>0</v>
      </c>
      <c r="J159" s="3" t="str">
        <f t="shared" ca="1" si="11"/>
        <v>OVERDUE</v>
      </c>
    </row>
    <row r="160" spans="1:10">
      <c r="A160" s="11" t="str">
        <f>_xlfn.XLOOKUP(C160, data_master!G:G, data_master!B:B)</f>
        <v>60059</v>
      </c>
      <c r="B160" t="str">
        <f>_xlfn.XLOOKUP(C160, data_master!G:G, data_master!D:D)</f>
        <v>60059 PALU BRANCH</v>
      </c>
      <c r="C160" s="12" t="str">
        <v>B2705EA</v>
      </c>
      <c r="D160" s="4">
        <f>IFERROR( _xlfn.MAXIFS( raw_stack!G:G, raw_stack!D:D, C160, raw_stack!F:F, "Iya" ), "" )</f>
        <v>45995</v>
      </c>
      <c r="E160" s="4">
        <f t="shared" si="8"/>
        <v>46177</v>
      </c>
      <c r="F160" s="7">
        <f>IFERROR(
 _xlfn.MAXIFS(
  raw_stack!H:H,
  raw_stack!D:D, C160,
  raw_stack!G:G, D160
 ),
 ""
)</f>
        <v>46523</v>
      </c>
      <c r="G160" s="7">
        <f>IFERROR(
 _xlfn.MAXIFS(
  raw_stack!E:E,
  raw_stack!D:D, C160,
  raw_stack!G:G, D160
 ),
 ""
)</f>
        <v>46523</v>
      </c>
      <c r="H160" s="10">
        <f t="shared" ca="1" si="9"/>
        <v>250</v>
      </c>
      <c r="I160" s="7">
        <f t="shared" si="10"/>
        <v>0</v>
      </c>
      <c r="J160" s="3" t="str">
        <f t="shared" ca="1" si="11"/>
        <v>OVERDUE</v>
      </c>
    </row>
    <row r="161" spans="1:10">
      <c r="A161" s="11" t="str">
        <f>_xlfn.XLOOKUP(C161, data_master!G:G, data_master!B:B)</f>
        <v>87789</v>
      </c>
      <c r="B161" t="str">
        <f>_xlfn.XLOOKUP(C161, data_master!G:G, data_master!D:D)</f>
        <v>87789 TANGERANG</v>
      </c>
      <c r="C161" s="12" t="str">
        <v>KT2370AGQ</v>
      </c>
      <c r="D161" s="4">
        <f>IFERROR( _xlfn.MAXIFS( raw_stack!G:G, raw_stack!D:D, C161, raw_stack!F:F, "Iya" ), "" )</f>
        <v>46060</v>
      </c>
      <c r="E161" s="4">
        <f t="shared" si="8"/>
        <v>46241</v>
      </c>
      <c r="F161" s="7">
        <f>IFERROR(
 _xlfn.MAXIFS(
  raw_stack!H:H,
  raw_stack!D:D, C161,
  raw_stack!G:G, D161
 ),
 ""
)</f>
        <v>30923</v>
      </c>
      <c r="G161" s="7">
        <f>IFERROR(
 _xlfn.MAXIFS(
  raw_stack!E:E,
  raw_stack!D:D, C161,
  raw_stack!G:G, D161
 ),
 ""
)</f>
        <v>30923</v>
      </c>
      <c r="H161" s="10">
        <f t="shared" ca="1" si="9"/>
        <v>185</v>
      </c>
      <c r="I161" s="7">
        <f t="shared" si="10"/>
        <v>0</v>
      </c>
      <c r="J161" s="3" t="str">
        <f t="shared" ca="1" si="11"/>
        <v>OVERDUE</v>
      </c>
    </row>
    <row r="162" spans="1:10">
      <c r="A162" s="11" t="str">
        <f>_xlfn.XLOOKUP(C162, data_master!G:G, data_master!B:B)</f>
        <v>99068</v>
      </c>
      <c r="B162" t="str">
        <f>_xlfn.XLOOKUP(C162, data_master!G:G, data_master!D:D)</f>
        <v>99068 ROKAN HULU</v>
      </c>
      <c r="C162" s="12" t="str">
        <v>B8054VY</v>
      </c>
      <c r="D162" s="4">
        <f>IFERROR( _xlfn.MAXIFS( raw_stack!G:G, raw_stack!D:D, C162, raw_stack!F:F, "Iya" ), "" )</f>
        <v>45923</v>
      </c>
      <c r="E162" s="4">
        <f t="shared" si="8"/>
        <v>46104</v>
      </c>
      <c r="F162" s="7">
        <f>IFERROR(
 _xlfn.MAXIFS(
  raw_stack!H:H,
  raw_stack!D:D, C162,
  raw_stack!G:G, D162
 ),
 ""
)</f>
        <v>24043</v>
      </c>
      <c r="G162" s="7">
        <f>IFERROR(
 _xlfn.MAXIFS(
  raw_stack!E:E,
  raw_stack!D:D, C162,
  raw_stack!G:G, D162
 ),
 ""
)</f>
        <v>24043</v>
      </c>
      <c r="H162" s="10">
        <f t="shared" ca="1" si="9"/>
        <v>322</v>
      </c>
      <c r="I162" s="7">
        <f t="shared" si="10"/>
        <v>0</v>
      </c>
      <c r="J162" s="3" t="str">
        <f t="shared" ca="1" si="11"/>
        <v>OVERDUE</v>
      </c>
    </row>
    <row r="163" spans="1:10">
      <c r="A163" s="11" t="str">
        <f>_xlfn.XLOOKUP(C163, data_master!G:G, data_master!B:B)</f>
        <v>44488</v>
      </c>
      <c r="B163" t="str">
        <f>_xlfn.XLOOKUP(C163, data_master!G:G, data_master!D:D)</f>
        <v>44488 ENDE BRANCH</v>
      </c>
      <c r="C163" s="12" t="str">
        <v>B2758UU</v>
      </c>
      <c r="D163" s="4">
        <f>IFERROR( _xlfn.MAXIFS( raw_stack!G:G, raw_stack!D:D, C163, raw_stack!F:F, "Iya" ), "" )</f>
        <v>46036</v>
      </c>
      <c r="E163" s="4">
        <f t="shared" si="8"/>
        <v>46217</v>
      </c>
      <c r="F163" s="7">
        <f>IFERROR(
 _xlfn.MAXIFS(
  raw_stack!H:H,
  raw_stack!D:D, C163,
  raw_stack!G:G, D163
 ),
 ""
)</f>
        <v>23264</v>
      </c>
      <c r="G163" s="7">
        <f>IFERROR(
 _xlfn.MAXIFS(
  raw_stack!E:E,
  raw_stack!D:D, C163,
  raw_stack!G:G, D163
 ),
 ""
)</f>
        <v>23264</v>
      </c>
      <c r="H163" s="10">
        <f t="shared" ca="1" si="9"/>
        <v>209</v>
      </c>
      <c r="I163" s="7">
        <f t="shared" si="10"/>
        <v>0</v>
      </c>
      <c r="J163" s="3" t="str">
        <f t="shared" ca="1" si="11"/>
        <v>OVERDUE</v>
      </c>
    </row>
    <row r="164" spans="1:10">
      <c r="A164" s="11" t="str">
        <f>_xlfn.XLOOKUP(C164, data_master!G:G, data_master!B:B)</f>
        <v>88733</v>
      </c>
      <c r="B164" t="str">
        <f>_xlfn.XLOOKUP(C164, data_master!G:G, data_master!D:D)</f>
        <v>88733 PANDEGLANG</v>
      </c>
      <c r="C164" s="12" t="str">
        <v>B3889CE</v>
      </c>
      <c r="D164" s="4">
        <f>IFERROR( _xlfn.MAXIFS( raw_stack!G:G, raw_stack!D:D, C164, raw_stack!F:F, "Iya" ), "" )</f>
        <v>45960</v>
      </c>
      <c r="E164" s="4">
        <f t="shared" si="8"/>
        <v>46142</v>
      </c>
      <c r="F164" s="7">
        <f>IFERROR(
 _xlfn.MAXIFS(
  raw_stack!H:H,
  raw_stack!D:D, C164,
  raw_stack!G:G, D164
 ),
 ""
)</f>
        <v>21914</v>
      </c>
      <c r="G164" s="7">
        <f>IFERROR(
 _xlfn.MAXIFS(
  raw_stack!E:E,
  raw_stack!D:D, C164,
  raw_stack!G:G, D164
 ),
 ""
)</f>
        <v>21914</v>
      </c>
      <c r="H164" s="10">
        <f t="shared" ca="1" si="9"/>
        <v>285</v>
      </c>
      <c r="I164" s="7">
        <f t="shared" si="10"/>
        <v>0</v>
      </c>
      <c r="J164" s="3" t="str">
        <f t="shared" ca="1" si="11"/>
        <v>OVERDUE</v>
      </c>
    </row>
    <row r="165" spans="1:10">
      <c r="A165" s="11" t="str">
        <f>_xlfn.XLOOKUP(C165, data_master!G:G, data_master!B:B)</f>
        <v>97493</v>
      </c>
      <c r="B165" t="str">
        <f>_xlfn.XLOOKUP(C165, data_master!G:G, data_master!D:D)</f>
        <v>97493 MANOKWARI</v>
      </c>
      <c r="C165" s="12" t="str">
        <v>DD2694FT</v>
      </c>
      <c r="D165" s="4">
        <f>IFERROR( _xlfn.MAXIFS( raw_stack!G:G, raw_stack!D:D, C165, raw_stack!F:F, "Iya" ), "" )</f>
        <v>46058</v>
      </c>
      <c r="E165" s="4">
        <f t="shared" si="8"/>
        <v>46239</v>
      </c>
      <c r="F165" s="7">
        <f>IFERROR(
 _xlfn.MAXIFS(
  raw_stack!H:H,
  raw_stack!D:D, C165,
  raw_stack!G:G, D165
 ),
 ""
)</f>
        <v>27880</v>
      </c>
      <c r="G165" s="7">
        <f>IFERROR(
 _xlfn.MAXIFS(
  raw_stack!E:E,
  raw_stack!D:D, C165,
  raw_stack!G:G, D165
 ),
 ""
)</f>
        <v>27880</v>
      </c>
      <c r="H165" s="10">
        <f t="shared" ca="1" si="9"/>
        <v>187</v>
      </c>
      <c r="I165" s="7">
        <f t="shared" si="10"/>
        <v>0</v>
      </c>
      <c r="J165" s="3" t="str">
        <f t="shared" ca="1" si="11"/>
        <v>OVERDUE</v>
      </c>
    </row>
    <row r="166" spans="1:10">
      <c r="A166" s="11" t="str">
        <f>_xlfn.XLOOKUP(C166, data_master!G:G, data_master!B:B)</f>
        <v>51924</v>
      </c>
      <c r="B166" t="str">
        <f>_xlfn.XLOOKUP(C166, data_master!G:G, data_master!D:D)</f>
        <v>51924 BIAK</v>
      </c>
      <c r="C166" s="12" t="str">
        <v>DA9877GL</v>
      </c>
      <c r="D166" s="4">
        <f>IFERROR( _xlfn.MAXIFS( raw_stack!G:G, raw_stack!D:D, C166, raw_stack!F:F, "Iya" ), "" )</f>
        <v>46002</v>
      </c>
      <c r="E166" s="4">
        <f t="shared" si="8"/>
        <v>46184</v>
      </c>
      <c r="F166" s="7">
        <f>IFERROR(
 _xlfn.MAXIFS(
  raw_stack!H:H,
  raw_stack!D:D, C166,
  raw_stack!G:G, D166
 ),
 ""
)</f>
        <v>41587</v>
      </c>
      <c r="G166" s="7">
        <f>IFERROR(
 _xlfn.MAXIFS(
  raw_stack!E:E,
  raw_stack!D:D, C166,
  raw_stack!G:G, D166
 ),
 ""
)</f>
        <v>41587</v>
      </c>
      <c r="H166" s="10">
        <f t="shared" ca="1" si="9"/>
        <v>243</v>
      </c>
      <c r="I166" s="7">
        <f t="shared" si="10"/>
        <v>0</v>
      </c>
      <c r="J166" s="3" t="str">
        <f t="shared" ca="1" si="11"/>
        <v>OVERDUE</v>
      </c>
    </row>
    <row r="167" spans="1:10">
      <c r="A167" s="11" t="str">
        <f>_xlfn.XLOOKUP(C167, data_master!G:G, data_master!B:B)</f>
        <v>42127</v>
      </c>
      <c r="B167" t="str">
        <f>_xlfn.XLOOKUP(C167, data_master!G:G, data_master!D:D)</f>
        <v>42127 INDRAGIRI HULU</v>
      </c>
      <c r="C167" s="12" t="str">
        <v>H6818GV</v>
      </c>
      <c r="D167" s="4">
        <f>IFERROR( _xlfn.MAXIFS( raw_stack!G:G, raw_stack!D:D, C167, raw_stack!F:F, "Iya" ), "" )</f>
        <v>46092</v>
      </c>
      <c r="E167" s="4">
        <f t="shared" si="8"/>
        <v>46276</v>
      </c>
      <c r="F167" s="7">
        <f>IFERROR(
 _xlfn.MAXIFS(
  raw_stack!H:H,
  raw_stack!D:D, C167,
  raw_stack!G:G, D167
 ),
 ""
)</f>
        <v>45251</v>
      </c>
      <c r="G167" s="7">
        <f>IFERROR(
 _xlfn.MAXIFS(
  raw_stack!E:E,
  raw_stack!D:D, C167,
  raw_stack!G:G, D167
 ),
 ""
)</f>
        <v>47909</v>
      </c>
      <c r="H167" s="10">
        <f t="shared" ca="1" si="9"/>
        <v>153</v>
      </c>
      <c r="I167" s="7">
        <f t="shared" si="10"/>
        <v>2658</v>
      </c>
      <c r="J167" s="3" t="str">
        <f t="shared" ca="1" si="11"/>
        <v>AMAN</v>
      </c>
    </row>
    <row r="168" spans="1:10">
      <c r="A168" s="11" t="str">
        <f>_xlfn.XLOOKUP(C168, data_master!G:G, data_master!B:B)</f>
        <v>58537</v>
      </c>
      <c r="B168" t="str">
        <f>_xlfn.XLOOKUP(C168, data_master!G:G, data_master!D:D)</f>
        <v>58537 REMBANG</v>
      </c>
      <c r="C168" s="12" t="str">
        <v>D8603EG</v>
      </c>
      <c r="D168" s="4">
        <f>IFERROR( _xlfn.MAXIFS( raw_stack!G:G, raw_stack!D:D, C168, raw_stack!F:F, "Iya" ), "" )</f>
        <v>45878</v>
      </c>
      <c r="E168" s="4">
        <f t="shared" si="8"/>
        <v>46062</v>
      </c>
      <c r="F168" s="7">
        <f>IFERROR(
 _xlfn.MAXIFS(
  raw_stack!H:H,
  raw_stack!D:D, C168,
  raw_stack!G:G, D168
 ),
 ""
)</f>
        <v>22460</v>
      </c>
      <c r="G168" s="7">
        <f>IFERROR(
 _xlfn.MAXIFS(
  raw_stack!E:E,
  raw_stack!D:D, C168,
  raw_stack!G:G, D168
 ),
 ""
)</f>
        <v>22460</v>
      </c>
      <c r="H168" s="10">
        <f t="shared" ca="1" si="9"/>
        <v>367</v>
      </c>
      <c r="I168" s="7">
        <f t="shared" si="10"/>
        <v>0</v>
      </c>
      <c r="J168" s="3" t="str">
        <f t="shared" ca="1" si="11"/>
        <v>OVERDUE</v>
      </c>
    </row>
    <row r="169" spans="1:10">
      <c r="A169" s="11" t="str">
        <f>_xlfn.XLOOKUP(C169, data_master!G:G, data_master!B:B)</f>
        <v>98751</v>
      </c>
      <c r="B169" t="str">
        <f>_xlfn.XLOOKUP(C169, data_master!G:G, data_master!D:D)</f>
        <v>98751 MARTAPURA 2</v>
      </c>
      <c r="C169" s="12" t="str">
        <v>H9434HIK</v>
      </c>
      <c r="D169" s="4">
        <f>IFERROR( _xlfn.MAXIFS( raw_stack!G:G, raw_stack!D:D, C169, raw_stack!F:F, "Iya" ), "" )</f>
        <v>46081</v>
      </c>
      <c r="E169" s="4">
        <f t="shared" si="8"/>
        <v>46262</v>
      </c>
      <c r="F169" s="7">
        <f>IFERROR(
 _xlfn.MAXIFS(
  raw_stack!H:H,
  raw_stack!D:D, C169,
  raw_stack!G:G, D169
 ),
 ""
)</f>
        <v>20022</v>
      </c>
      <c r="G169" s="7">
        <f>IFERROR(
 _xlfn.MAXIFS(
  raw_stack!E:E,
  raw_stack!D:D, C169,
  raw_stack!G:G, D169
 ),
 ""
)</f>
        <v>20022</v>
      </c>
      <c r="H169" s="10">
        <f t="shared" ca="1" si="9"/>
        <v>164</v>
      </c>
      <c r="I169" s="7">
        <f t="shared" si="10"/>
        <v>0</v>
      </c>
      <c r="J169" s="3" t="str">
        <f t="shared" ca="1" si="11"/>
        <v>AMAN</v>
      </c>
    </row>
    <row r="170" spans="1:10">
      <c r="A170" s="11" t="str">
        <f>_xlfn.XLOOKUP(C170, data_master!G:G, data_master!B:B)</f>
        <v>51266</v>
      </c>
      <c r="B170" t="str">
        <f>_xlfn.XLOOKUP(C170, data_master!G:G, data_master!D:D)</f>
        <v>51266 SAMARINDA</v>
      </c>
      <c r="C170" s="12" t="str">
        <v>B4786BT</v>
      </c>
      <c r="D170" s="4">
        <f>IFERROR( _xlfn.MAXIFS( raw_stack!G:G, raw_stack!D:D, C170, raw_stack!F:F, "Iya" ), "" )</f>
        <v>46044</v>
      </c>
      <c r="E170" s="4">
        <f t="shared" si="8"/>
        <v>46225</v>
      </c>
      <c r="F170" s="7">
        <f>IFERROR(
 _xlfn.MAXIFS(
  raw_stack!H:H,
  raw_stack!D:D, C170,
  raw_stack!G:G, D170
 ),
 ""
)</f>
        <v>33768</v>
      </c>
      <c r="G170" s="7">
        <f>IFERROR(
 _xlfn.MAXIFS(
  raw_stack!E:E,
  raw_stack!D:D, C170,
  raw_stack!G:G, D170
 ),
 ""
)</f>
        <v>33768</v>
      </c>
      <c r="H170" s="10">
        <f t="shared" ca="1" si="9"/>
        <v>201</v>
      </c>
      <c r="I170" s="7">
        <f t="shared" si="10"/>
        <v>0</v>
      </c>
      <c r="J170" s="3" t="str">
        <f t="shared" ca="1" si="11"/>
        <v>OVERDUE</v>
      </c>
    </row>
    <row r="171" spans="1:10">
      <c r="A171" s="11" t="str">
        <f>_xlfn.XLOOKUP(C171, data_master!G:G, data_master!B:B)</f>
        <v>83955</v>
      </c>
      <c r="B171" t="str">
        <f>_xlfn.XLOOKUP(C171, data_master!G:G, data_master!D:D)</f>
        <v>83955 KENDARI BRANCH</v>
      </c>
      <c r="C171" s="12" t="str">
        <v>B7069IU</v>
      </c>
      <c r="D171" s="4">
        <f>IFERROR( _xlfn.MAXIFS( raw_stack!G:G, raw_stack!D:D, C171, raw_stack!F:F, "Iya" ), "" )</f>
        <v>46025</v>
      </c>
      <c r="E171" s="4">
        <f t="shared" si="8"/>
        <v>46206</v>
      </c>
      <c r="F171" s="7">
        <f>IFERROR(
 _xlfn.MAXIFS(
  raw_stack!H:H,
  raw_stack!D:D, C171,
  raw_stack!G:G, D171
 ),
 ""
)</f>
        <v>11900</v>
      </c>
      <c r="G171" s="7">
        <f>IFERROR(
 _xlfn.MAXIFS(
  raw_stack!E:E,
  raw_stack!D:D, C171,
  raw_stack!G:G, D171
 ),
 ""
)</f>
        <v>11900</v>
      </c>
      <c r="H171" s="10">
        <f t="shared" ca="1" si="9"/>
        <v>220</v>
      </c>
      <c r="I171" s="7">
        <f t="shared" si="10"/>
        <v>0</v>
      </c>
      <c r="J171" s="3" t="str">
        <f t="shared" ca="1" si="11"/>
        <v>OVERDUE</v>
      </c>
    </row>
    <row r="172" spans="1:10">
      <c r="A172" s="11" t="str">
        <f>_xlfn.XLOOKUP(C172, data_master!G:G, data_master!B:B)</f>
        <v>32882</v>
      </c>
      <c r="B172" t="str">
        <f>_xlfn.XLOOKUP(C172, data_master!G:G, data_master!D:D)</f>
        <v>32882 ATAMBUA</v>
      </c>
      <c r="C172" s="12" t="str">
        <v>B3473LI</v>
      </c>
      <c r="D172" s="4">
        <f>IFERROR( _xlfn.MAXIFS( raw_stack!G:G, raw_stack!D:D, C172, raw_stack!F:F, "Iya" ), "" )</f>
        <v>45982</v>
      </c>
      <c r="E172" s="4">
        <f t="shared" si="8"/>
        <v>46163</v>
      </c>
      <c r="F172" s="7">
        <f>IFERROR(
 _xlfn.MAXIFS(
  raw_stack!H:H,
  raw_stack!D:D, C172,
  raw_stack!G:G, D172
 ),
 ""
)</f>
        <v>27819</v>
      </c>
      <c r="G172" s="7">
        <f>IFERROR(
 _xlfn.MAXIFS(
  raw_stack!E:E,
  raw_stack!D:D, C172,
  raw_stack!G:G, D172
 ),
 ""
)</f>
        <v>27819</v>
      </c>
      <c r="H172" s="10">
        <f t="shared" ca="1" si="9"/>
        <v>263</v>
      </c>
      <c r="I172" s="7">
        <f t="shared" si="10"/>
        <v>0</v>
      </c>
      <c r="J172" s="3" t="str">
        <f t="shared" ca="1" si="11"/>
        <v>OVERDUE</v>
      </c>
    </row>
    <row r="173" spans="1:10">
      <c r="A173" s="11" t="str">
        <f>_xlfn.XLOOKUP(C173, data_master!G:G, data_master!B:B)</f>
        <v>11037</v>
      </c>
      <c r="B173" t="str">
        <f>_xlfn.XLOOKUP(C173, data_master!G:G, data_master!D:D)</f>
        <v>11037 JEMBER POS</v>
      </c>
      <c r="C173" s="12" t="str">
        <v>B2342QW</v>
      </c>
      <c r="D173" s="4">
        <f>IFERROR( _xlfn.MAXIFS( raw_stack!G:G, raw_stack!D:D, C173, raw_stack!F:F, "Iya" ), "" )</f>
        <v>46029</v>
      </c>
      <c r="E173" s="4">
        <f t="shared" si="8"/>
        <v>46210</v>
      </c>
      <c r="F173" s="7">
        <f>IFERROR(
 _xlfn.MAXIFS(
  raw_stack!H:H,
  raw_stack!D:D, C173,
  raw_stack!G:G, D173
 ),
 ""
)</f>
        <v>12104</v>
      </c>
      <c r="G173" s="7">
        <f>IFERROR(
 _xlfn.MAXIFS(
  raw_stack!E:E,
  raw_stack!D:D, C173,
  raw_stack!G:G, D173
 ),
 ""
)</f>
        <v>12104</v>
      </c>
      <c r="H173" s="10">
        <f t="shared" ca="1" si="9"/>
        <v>216</v>
      </c>
      <c r="I173" s="7">
        <f t="shared" si="10"/>
        <v>0</v>
      </c>
      <c r="J173" s="3" t="str">
        <f t="shared" ca="1" si="11"/>
        <v>OVERDUE</v>
      </c>
    </row>
    <row r="174" spans="1:10">
      <c r="A174" s="11" t="e">
        <f>_xlfn.XLOOKUP(C174, data_master!G:G, data_master!B:B)</f>
        <v>#N/A</v>
      </c>
      <c r="B174" t="e">
        <f>_xlfn.XLOOKUP(C174, data_master!G:G, data_master!D:D)</f>
        <v>#N/A</v>
      </c>
      <c r="C174" s="12" t="str">
        <v>B5783FB</v>
      </c>
      <c r="D174" s="4">
        <f>IFERROR( _xlfn.MAXIFS( raw_stack!G:G, raw_stack!D:D, C174, raw_stack!F:F, "Iya" ), "" )</f>
        <v>45804</v>
      </c>
      <c r="E174" s="4">
        <f t="shared" si="8"/>
        <v>45988</v>
      </c>
      <c r="F174" s="7">
        <f>IFERROR(
 _xlfn.MAXIFS(
  raw_stack!H:H,
  raw_stack!D:D, C174,
  raw_stack!G:G, D174
 ),
 ""
)</f>
        <v>18852</v>
      </c>
      <c r="G174" s="7">
        <f>IFERROR(
 _xlfn.MAXIFS(
  raw_stack!E:E,
  raw_stack!D:D, C174,
  raw_stack!G:G, D174
 ),
 ""
)</f>
        <v>18852</v>
      </c>
      <c r="H174" s="10">
        <f t="shared" ca="1" si="9"/>
        <v>441</v>
      </c>
      <c r="I174" s="7">
        <f t="shared" si="10"/>
        <v>0</v>
      </c>
      <c r="J174" s="3" t="str">
        <f t="shared" ca="1" si="11"/>
        <v>OVERDUE</v>
      </c>
    </row>
    <row r="175" spans="1:10">
      <c r="A175" s="11" t="str">
        <f>_xlfn.XLOOKUP(C175, data_master!G:G, data_master!B:B)</f>
        <v>16805</v>
      </c>
      <c r="B175" t="str">
        <f>_xlfn.XLOOKUP(C175, data_master!G:G, data_master!D:D)</f>
        <v>16805 LUMAJANG UNIT</v>
      </c>
      <c r="C175" s="12" t="str">
        <v>B1229TQ</v>
      </c>
      <c r="D175" s="4">
        <f>IFERROR( _xlfn.MAXIFS( raw_stack!G:G, raw_stack!D:D, C175, raw_stack!F:F, "Iya" ), "" )</f>
        <v>45988</v>
      </c>
      <c r="E175" s="4">
        <f t="shared" si="8"/>
        <v>46169</v>
      </c>
      <c r="F175" s="7">
        <f>IFERROR(
 _xlfn.MAXIFS(
  raw_stack!H:H,
  raw_stack!D:D, C175,
  raw_stack!G:G, D175
 ),
 ""
)</f>
        <v>22330</v>
      </c>
      <c r="G175" s="7">
        <f>IFERROR(
 _xlfn.MAXIFS(
  raw_stack!E:E,
  raw_stack!D:D, C175,
  raw_stack!G:G, D175
 ),
 ""
)</f>
        <v>22330</v>
      </c>
      <c r="H175" s="10">
        <f t="shared" ca="1" si="9"/>
        <v>257</v>
      </c>
      <c r="I175" s="7">
        <f t="shared" si="10"/>
        <v>0</v>
      </c>
      <c r="J175" s="3" t="str">
        <f t="shared" ca="1" si="11"/>
        <v>OVERDUE</v>
      </c>
    </row>
    <row r="176" spans="1:10">
      <c r="A176" s="11" t="str">
        <f>_xlfn.XLOOKUP(C176, data_master!G:G, data_master!B:B)</f>
        <v>34570</v>
      </c>
      <c r="B176" t="str">
        <f>_xlfn.XLOOKUP(C176, data_master!G:G, data_master!D:D)</f>
        <v>34570 MAGETAN 2</v>
      </c>
      <c r="C176" s="12" t="str">
        <v>B1455JPZ</v>
      </c>
      <c r="D176" s="4">
        <f>IFERROR( _xlfn.MAXIFS( raw_stack!G:G, raw_stack!D:D, C176, raw_stack!F:F, "Iya" ), "" )</f>
        <v>46014</v>
      </c>
      <c r="E176" s="4">
        <f t="shared" si="8"/>
        <v>46196</v>
      </c>
      <c r="F176" s="7">
        <f>IFERROR(
 _xlfn.MAXIFS(
  raw_stack!H:H,
  raw_stack!D:D, C176,
  raw_stack!G:G, D176
 ),
 ""
)</f>
        <v>13613</v>
      </c>
      <c r="G176" s="7">
        <f>IFERROR(
 _xlfn.MAXIFS(
  raw_stack!E:E,
  raw_stack!D:D, C176,
  raw_stack!G:G, D176
 ),
 ""
)</f>
        <v>13613</v>
      </c>
      <c r="H176" s="10">
        <f t="shared" ca="1" si="9"/>
        <v>231</v>
      </c>
      <c r="I176" s="7">
        <f t="shared" si="10"/>
        <v>0</v>
      </c>
      <c r="J176" s="3" t="str">
        <f t="shared" ca="1" si="11"/>
        <v>OVERDUE</v>
      </c>
    </row>
    <row r="177" spans="1:10">
      <c r="A177" s="11" t="str">
        <f>_xlfn.XLOOKUP(C177, data_master!G:G, data_master!B:B)</f>
        <v>57858</v>
      </c>
      <c r="B177" t="str">
        <f>_xlfn.XLOOKUP(C177, data_master!G:G, data_master!D:D)</f>
        <v>57858 BANTUL UNIT</v>
      </c>
      <c r="C177" s="12" t="str">
        <v>AB8116PCJ</v>
      </c>
      <c r="D177" s="4">
        <f>IFERROR( _xlfn.MAXIFS( raw_stack!G:G, raw_stack!D:D, C177, raw_stack!F:F, "Iya" ), "" )</f>
        <v>46042</v>
      </c>
      <c r="E177" s="4">
        <f t="shared" si="8"/>
        <v>46223</v>
      </c>
      <c r="F177" s="7">
        <f>IFERROR(
 _xlfn.MAXIFS(
  raw_stack!H:H,
  raw_stack!D:D, C177,
  raw_stack!G:G, D177
 ),
 ""
)</f>
        <v>12577</v>
      </c>
      <c r="G177" s="7">
        <f>IFERROR(
 _xlfn.MAXIFS(
  raw_stack!E:E,
  raw_stack!D:D, C177,
  raw_stack!G:G, D177
 ),
 ""
)</f>
        <v>12577</v>
      </c>
      <c r="H177" s="10">
        <f t="shared" ca="1" si="9"/>
        <v>203</v>
      </c>
      <c r="I177" s="7">
        <f t="shared" si="10"/>
        <v>0</v>
      </c>
      <c r="J177" s="3" t="str">
        <f t="shared" ca="1" si="11"/>
        <v>OVERDUE</v>
      </c>
    </row>
    <row r="178" spans="1:10">
      <c r="A178" s="11" t="str">
        <f>_xlfn.XLOOKUP(C178, data_master!G:G, data_master!B:B)</f>
        <v>36674</v>
      </c>
      <c r="B178" t="str">
        <f>_xlfn.XLOOKUP(C178, data_master!G:G, data_master!D:D)</f>
        <v>36674 GROBOGAN</v>
      </c>
      <c r="C178" s="12" t="str">
        <v>B1827DA</v>
      </c>
      <c r="D178" s="4">
        <f>IFERROR( _xlfn.MAXIFS( raw_stack!G:G, raw_stack!D:D, C178, raw_stack!F:F, "Iya" ), "" )</f>
        <v>46122</v>
      </c>
      <c r="E178" s="4">
        <f t="shared" si="8"/>
        <v>46305</v>
      </c>
      <c r="F178" s="7">
        <f>IFERROR(
 _xlfn.MAXIFS(
  raw_stack!H:H,
  raw_stack!D:D, C178,
  raw_stack!G:G, D178
 ),
 ""
)</f>
        <v>33839</v>
      </c>
      <c r="G178" s="7">
        <f>IFERROR(
 _xlfn.MAXIFS(
  raw_stack!E:E,
  raw_stack!D:D, C178,
  raw_stack!G:G, D178
 ),
 ""
)</f>
        <v>34546</v>
      </c>
      <c r="H178" s="10">
        <f t="shared" ca="1" si="9"/>
        <v>123</v>
      </c>
      <c r="I178" s="7">
        <f t="shared" si="10"/>
        <v>707</v>
      </c>
      <c r="J178" s="3" t="str">
        <f t="shared" ca="1" si="11"/>
        <v>AMAN</v>
      </c>
    </row>
    <row r="179" spans="1:10">
      <c r="A179" s="11" t="str">
        <f>_xlfn.XLOOKUP(C179, data_master!G:G, data_master!B:B)</f>
        <v>98337</v>
      </c>
      <c r="B179" t="str">
        <f>_xlfn.XLOOKUP(C179, data_master!G:G, data_master!D:D)</f>
        <v>98337 BIMA POS</v>
      </c>
      <c r="C179" s="12" t="str">
        <v>B8385EAN</v>
      </c>
      <c r="D179" s="4">
        <f>IFERROR( _xlfn.MAXIFS( raw_stack!G:G, raw_stack!D:D, C179, raw_stack!F:F, "Iya" ), "" )</f>
        <v>45992</v>
      </c>
      <c r="E179" s="4">
        <f t="shared" si="8"/>
        <v>46174</v>
      </c>
      <c r="F179" s="7">
        <f>IFERROR(
 _xlfn.MAXIFS(
  raw_stack!H:H,
  raw_stack!D:D, C179,
  raw_stack!G:G, D179
 ),
 ""
)</f>
        <v>24363</v>
      </c>
      <c r="G179" s="7">
        <f>IFERROR(
 _xlfn.MAXIFS(
  raw_stack!E:E,
  raw_stack!D:D, C179,
  raw_stack!G:G, D179
 ),
 ""
)</f>
        <v>24363</v>
      </c>
      <c r="H179" s="10">
        <f t="shared" ca="1" si="9"/>
        <v>253</v>
      </c>
      <c r="I179" s="7">
        <f t="shared" si="10"/>
        <v>0</v>
      </c>
      <c r="J179" s="3" t="str">
        <f t="shared" ca="1" si="11"/>
        <v>OVERDUE</v>
      </c>
    </row>
    <row r="180" spans="1:10">
      <c r="A180" s="11" t="str">
        <f>_xlfn.XLOOKUP(C180, data_master!G:G, data_master!B:B)</f>
        <v>89191</v>
      </c>
      <c r="B180" t="str">
        <f>_xlfn.XLOOKUP(C180, data_master!G:G, data_master!D:D)</f>
        <v>89191 JOMBANG 2</v>
      </c>
      <c r="C180" s="12" t="str">
        <v>H6446RTB</v>
      </c>
      <c r="D180" s="4">
        <f>IFERROR( _xlfn.MAXIFS( raw_stack!G:G, raw_stack!D:D, C180, raw_stack!F:F, "Iya" ), "" )</f>
        <v>45962</v>
      </c>
      <c r="E180" s="4">
        <f t="shared" si="8"/>
        <v>46143</v>
      </c>
      <c r="F180" s="7">
        <f>IFERROR(
 _xlfn.MAXIFS(
  raw_stack!H:H,
  raw_stack!D:D, C180,
  raw_stack!G:G, D180
 ),
 ""
)</f>
        <v>20898</v>
      </c>
      <c r="G180" s="7">
        <f>IFERROR(
 _xlfn.MAXIFS(
  raw_stack!E:E,
  raw_stack!D:D, C180,
  raw_stack!G:G, D180
 ),
 ""
)</f>
        <v>20898</v>
      </c>
      <c r="H180" s="10">
        <f t="shared" ca="1" si="9"/>
        <v>283</v>
      </c>
      <c r="I180" s="7">
        <f t="shared" si="10"/>
        <v>0</v>
      </c>
      <c r="J180" s="3" t="str">
        <f t="shared" ca="1" si="11"/>
        <v>OVERDUE</v>
      </c>
    </row>
    <row r="181" spans="1:10">
      <c r="A181" s="11" t="str">
        <f>_xlfn.XLOOKUP(C181, data_master!G:G, data_master!B:B)</f>
        <v>98106</v>
      </c>
      <c r="B181" t="str">
        <f>_xlfn.XLOOKUP(C181, data_master!G:G, data_master!D:D)</f>
        <v>98106 GARUT BRANCH</v>
      </c>
      <c r="C181" s="12" t="str">
        <v>B9244VW</v>
      </c>
      <c r="D181" s="4">
        <f>IFERROR( _xlfn.MAXIFS( raw_stack!G:G, raw_stack!D:D, C181, raw_stack!F:F, "Iya" ), "" )</f>
        <v>46037</v>
      </c>
      <c r="E181" s="4">
        <f t="shared" si="8"/>
        <v>46218</v>
      </c>
      <c r="F181" s="7">
        <f>IFERROR(
 _xlfn.MAXIFS(
  raw_stack!H:H,
  raw_stack!D:D, C181,
  raw_stack!G:G, D181
 ),
 ""
)</f>
        <v>19836</v>
      </c>
      <c r="G181" s="7">
        <f>IFERROR(
 _xlfn.MAXIFS(
  raw_stack!E:E,
  raw_stack!D:D, C181,
  raw_stack!G:G, D181
 ),
 ""
)</f>
        <v>19836</v>
      </c>
      <c r="H181" s="10">
        <f t="shared" ca="1" si="9"/>
        <v>208</v>
      </c>
      <c r="I181" s="7">
        <f t="shared" si="10"/>
        <v>0</v>
      </c>
      <c r="J181" s="3" t="str">
        <f t="shared" ca="1" si="11"/>
        <v>OVERDUE</v>
      </c>
    </row>
    <row r="182" spans="1:10">
      <c r="A182" s="11" t="str">
        <f>_xlfn.XLOOKUP(C182, data_master!G:G, data_master!B:B)</f>
        <v>58537</v>
      </c>
      <c r="B182" t="str">
        <f>_xlfn.XLOOKUP(C182, data_master!G:G, data_master!D:D)</f>
        <v>58537 REMBANG</v>
      </c>
      <c r="C182" s="12" t="str">
        <v>B4121AL</v>
      </c>
      <c r="D182" s="4">
        <f>IFERROR( _xlfn.MAXIFS( raw_stack!G:G, raw_stack!D:D, C182, raw_stack!F:F, "Iya" ), "" )</f>
        <v>45974</v>
      </c>
      <c r="E182" s="4">
        <f t="shared" si="8"/>
        <v>46155</v>
      </c>
      <c r="F182" s="7">
        <f>IFERROR(
 _xlfn.MAXIFS(
  raw_stack!H:H,
  raw_stack!D:D, C182,
  raw_stack!G:G, D182
 ),
 ""
)</f>
        <v>18046</v>
      </c>
      <c r="G182" s="7">
        <f>IFERROR(
 _xlfn.MAXIFS(
  raw_stack!E:E,
  raw_stack!D:D, C182,
  raw_stack!G:G, D182
 ),
 ""
)</f>
        <v>18046</v>
      </c>
      <c r="H182" s="10">
        <f t="shared" ca="1" si="9"/>
        <v>271</v>
      </c>
      <c r="I182" s="7">
        <f t="shared" si="10"/>
        <v>0</v>
      </c>
      <c r="J182" s="3" t="str">
        <f t="shared" ca="1" si="11"/>
        <v>OVERDUE</v>
      </c>
    </row>
    <row r="183" spans="1:10">
      <c r="A183" s="11" t="str">
        <f>_xlfn.XLOOKUP(C183, data_master!G:G, data_master!B:B)</f>
        <v>90494</v>
      </c>
      <c r="B183" t="str">
        <f>_xlfn.XLOOKUP(C183, data_master!G:G, data_master!D:D)</f>
        <v>90494 DONGGALA UNIT</v>
      </c>
      <c r="C183" s="12" t="str">
        <v>B8721DW</v>
      </c>
      <c r="D183" s="4">
        <f>IFERROR( _xlfn.MAXIFS( raw_stack!G:G, raw_stack!D:D, C183, raw_stack!F:F, "Iya" ), "" )</f>
        <v>45845</v>
      </c>
      <c r="E183" s="4">
        <f t="shared" si="8"/>
        <v>46029</v>
      </c>
      <c r="F183" s="7">
        <f>IFERROR(
 _xlfn.MAXIFS(
  raw_stack!H:H,
  raw_stack!D:D, C183,
  raw_stack!G:G, D183
 ),
 ""
)</f>
        <v>31646</v>
      </c>
      <c r="G183" s="7">
        <f>IFERROR(
 _xlfn.MAXIFS(
  raw_stack!E:E,
  raw_stack!D:D, C183,
  raw_stack!G:G, D183
 ),
 ""
)</f>
        <v>31646</v>
      </c>
      <c r="H183" s="10">
        <f t="shared" ca="1" si="9"/>
        <v>400</v>
      </c>
      <c r="I183" s="7">
        <f t="shared" si="10"/>
        <v>0</v>
      </c>
      <c r="J183" s="3" t="str">
        <f t="shared" ca="1" si="11"/>
        <v>OVERDUE</v>
      </c>
    </row>
    <row r="184" spans="1:10">
      <c r="A184" s="11" t="str">
        <f>_xlfn.XLOOKUP(C184, data_master!G:G, data_master!B:B)</f>
        <v>17822</v>
      </c>
      <c r="B184" t="str">
        <f>_xlfn.XLOOKUP(C184, data_master!G:G, data_master!D:D)</f>
        <v>17822 BANDUNG</v>
      </c>
      <c r="C184" s="12" t="str">
        <v>B3590QLB</v>
      </c>
      <c r="D184" s="4">
        <f>IFERROR( _xlfn.MAXIFS( raw_stack!G:G, raw_stack!D:D, C184, raw_stack!F:F, "Iya" ), "" )</f>
        <v>45955</v>
      </c>
      <c r="E184" s="4">
        <f t="shared" si="8"/>
        <v>46137</v>
      </c>
      <c r="F184" s="7">
        <f>IFERROR(
 _xlfn.MAXIFS(
  raw_stack!H:H,
  raw_stack!D:D, C184,
  raw_stack!G:G, D184
 ),
 ""
)</f>
        <v>31259</v>
      </c>
      <c r="G184" s="7">
        <f>IFERROR(
 _xlfn.MAXIFS(
  raw_stack!E:E,
  raw_stack!D:D, C184,
  raw_stack!G:G, D184
 ),
 ""
)</f>
        <v>31259</v>
      </c>
      <c r="H184" s="10">
        <f t="shared" ca="1" si="9"/>
        <v>290</v>
      </c>
      <c r="I184" s="7">
        <f t="shared" si="10"/>
        <v>0</v>
      </c>
      <c r="J184" s="3" t="str">
        <f t="shared" ca="1" si="11"/>
        <v>OVERDUE</v>
      </c>
    </row>
    <row r="185" spans="1:10">
      <c r="A185" s="11" t="str">
        <f>_xlfn.XLOOKUP(C185, data_master!G:G, data_master!B:B)</f>
        <v>90846</v>
      </c>
      <c r="B185" t="str">
        <f>_xlfn.XLOOKUP(C185, data_master!G:G, data_master!D:D)</f>
        <v>90846 TAPANULI UTARA 2</v>
      </c>
      <c r="C185" s="12" t="str">
        <v>L1356IF</v>
      </c>
      <c r="D185" s="4">
        <f>IFERROR( _xlfn.MAXIFS( raw_stack!G:G, raw_stack!D:D, C185, raw_stack!F:F, "Iya" ), "" )</f>
        <v>45957</v>
      </c>
      <c r="E185" s="4">
        <f t="shared" si="8"/>
        <v>46139</v>
      </c>
      <c r="F185" s="7">
        <f>IFERROR(
 _xlfn.MAXIFS(
  raw_stack!H:H,
  raw_stack!D:D, C185,
  raw_stack!G:G, D185
 ),
 ""
)</f>
        <v>20581</v>
      </c>
      <c r="G185" s="7">
        <f>IFERROR(
 _xlfn.MAXIFS(
  raw_stack!E:E,
  raw_stack!D:D, C185,
  raw_stack!G:G, D185
 ),
 ""
)</f>
        <v>20581</v>
      </c>
      <c r="H185" s="10">
        <f t="shared" ca="1" si="9"/>
        <v>288</v>
      </c>
      <c r="I185" s="7">
        <f t="shared" si="10"/>
        <v>0</v>
      </c>
      <c r="J185" s="3" t="str">
        <f t="shared" ca="1" si="11"/>
        <v>OVERDUE</v>
      </c>
    </row>
    <row r="186" spans="1:10">
      <c r="A186" s="11" t="str">
        <f>_xlfn.XLOOKUP(C186, data_master!G:G, data_master!B:B)</f>
        <v>86545</v>
      </c>
      <c r="B186" t="str">
        <f>_xlfn.XLOOKUP(C186, data_master!G:G, data_master!D:D)</f>
        <v>86545 SUNGAILIAT</v>
      </c>
      <c r="C186" s="12" t="str">
        <v>DA3899XS</v>
      </c>
      <c r="D186" s="4">
        <f>IFERROR( _xlfn.MAXIFS( raw_stack!G:G, raw_stack!D:D, C186, raw_stack!F:F, "Iya" ), "" )</f>
        <v>46063</v>
      </c>
      <c r="E186" s="4">
        <f t="shared" si="8"/>
        <v>46244</v>
      </c>
      <c r="F186" s="7">
        <f>IFERROR(
 _xlfn.MAXIFS(
  raw_stack!H:H,
  raw_stack!D:D, C186,
  raw_stack!G:G, D186
 ),
 ""
)</f>
        <v>23249</v>
      </c>
      <c r="G186" s="7">
        <f>IFERROR(
 _xlfn.MAXIFS(
  raw_stack!E:E,
  raw_stack!D:D, C186,
  raw_stack!G:G, D186
 ),
 ""
)</f>
        <v>23249</v>
      </c>
      <c r="H186" s="10">
        <f t="shared" ca="1" si="9"/>
        <v>182</v>
      </c>
      <c r="I186" s="7">
        <f t="shared" si="10"/>
        <v>0</v>
      </c>
      <c r="J186" s="3" t="str">
        <f t="shared" ca="1" si="11"/>
        <v>OVERDUE</v>
      </c>
    </row>
    <row r="187" spans="1:10">
      <c r="A187" s="11" t="str">
        <f>_xlfn.XLOOKUP(C187, data_master!G:G, data_master!B:B)</f>
        <v>83880</v>
      </c>
      <c r="B187" t="str">
        <f>_xlfn.XLOOKUP(C187, data_master!G:G, data_master!D:D)</f>
        <v>83880 BITUNG BRANCH</v>
      </c>
      <c r="C187" s="12" t="str">
        <v>B2637VB</v>
      </c>
      <c r="D187" s="4">
        <f>IFERROR( _xlfn.MAXIFS( raw_stack!G:G, raw_stack!D:D, C187, raw_stack!F:F, "Iya" ), "" )</f>
        <v>45978</v>
      </c>
      <c r="E187" s="4">
        <f t="shared" si="8"/>
        <v>46159</v>
      </c>
      <c r="F187" s="7">
        <f>IFERROR(
 _xlfn.MAXIFS(
  raw_stack!H:H,
  raw_stack!D:D, C187,
  raw_stack!G:G, D187
 ),
 ""
)</f>
        <v>20333</v>
      </c>
      <c r="G187" s="7">
        <f>IFERROR(
 _xlfn.MAXIFS(
  raw_stack!E:E,
  raw_stack!D:D, C187,
  raw_stack!G:G, D187
 ),
 ""
)</f>
        <v>20333</v>
      </c>
      <c r="H187" s="10">
        <f t="shared" ca="1" si="9"/>
        <v>267</v>
      </c>
      <c r="I187" s="7">
        <f t="shared" si="10"/>
        <v>0</v>
      </c>
      <c r="J187" s="3" t="str">
        <f t="shared" ca="1" si="11"/>
        <v>OVERDUE</v>
      </c>
    </row>
    <row r="188" spans="1:10">
      <c r="A188" s="11" t="str">
        <f>_xlfn.XLOOKUP(C188, data_master!G:G, data_master!B:B)</f>
        <v>71141</v>
      </c>
      <c r="B188" t="str">
        <f>_xlfn.XLOOKUP(C188, data_master!G:G, data_master!D:D)</f>
        <v>71141 BANTAENG</v>
      </c>
      <c r="C188" s="12" t="str">
        <v>AB9418SNR</v>
      </c>
      <c r="D188" s="4">
        <f>IFERROR( _xlfn.MAXIFS( raw_stack!G:G, raw_stack!D:D, C188, raw_stack!F:F, "Iya" ), "" )</f>
        <v>45995</v>
      </c>
      <c r="E188" s="4">
        <f t="shared" si="8"/>
        <v>46177</v>
      </c>
      <c r="F188" s="7">
        <f>IFERROR(
 _xlfn.MAXIFS(
  raw_stack!H:H,
  raw_stack!D:D, C188,
  raw_stack!G:G, D188
 ),
 ""
)</f>
        <v>11936</v>
      </c>
      <c r="G188" s="7">
        <f>IFERROR(
 _xlfn.MAXIFS(
  raw_stack!E:E,
  raw_stack!D:D, C188,
  raw_stack!G:G, D188
 ),
 ""
)</f>
        <v>11936</v>
      </c>
      <c r="H188" s="10">
        <f t="shared" ca="1" si="9"/>
        <v>250</v>
      </c>
      <c r="I188" s="7">
        <f t="shared" si="10"/>
        <v>0</v>
      </c>
      <c r="J188" s="3" t="str">
        <f t="shared" ca="1" si="11"/>
        <v>OVERDUE</v>
      </c>
    </row>
    <row r="189" spans="1:10">
      <c r="A189" s="11" t="str">
        <f>_xlfn.XLOOKUP(C189, data_master!G:G, data_master!B:B)</f>
        <v>97904</v>
      </c>
      <c r="B189" t="str">
        <f>_xlfn.XLOOKUP(C189, data_master!G:G, data_master!D:D)</f>
        <v>97904 SENTANI</v>
      </c>
      <c r="C189" s="12" t="str">
        <v>AB6497MM</v>
      </c>
      <c r="D189" s="4">
        <f>IFERROR( _xlfn.MAXIFS( raw_stack!G:G, raw_stack!D:D, C189, raw_stack!F:F, "Iya" ), "" )</f>
        <v>45953</v>
      </c>
      <c r="E189" s="4">
        <f t="shared" si="8"/>
        <v>46135</v>
      </c>
      <c r="F189" s="7">
        <f>IFERROR(
 _xlfn.MAXIFS(
  raw_stack!H:H,
  raw_stack!D:D, C189,
  raw_stack!G:G, D189
 ),
 ""
)</f>
        <v>26113</v>
      </c>
      <c r="G189" s="7">
        <f>IFERROR(
 _xlfn.MAXIFS(
  raw_stack!E:E,
  raw_stack!D:D, C189,
  raw_stack!G:G, D189
 ),
 ""
)</f>
        <v>26113</v>
      </c>
      <c r="H189" s="10">
        <f t="shared" ca="1" si="9"/>
        <v>292</v>
      </c>
      <c r="I189" s="7">
        <f t="shared" si="10"/>
        <v>0</v>
      </c>
      <c r="J189" s="3" t="str">
        <f t="shared" ca="1" si="11"/>
        <v>OVERDUE</v>
      </c>
    </row>
    <row r="190" spans="1:10">
      <c r="A190" s="11" t="str">
        <f>_xlfn.XLOOKUP(C190, data_master!G:G, data_master!B:B)</f>
        <v>49939</v>
      </c>
      <c r="B190" t="str">
        <f>_xlfn.XLOOKUP(C190, data_master!G:G, data_master!D:D)</f>
        <v>49939 MUARA BULIAN 2</v>
      </c>
      <c r="C190" s="12" t="str">
        <v>B3431HDZ</v>
      </c>
      <c r="D190" s="4">
        <f>IFERROR( _xlfn.MAXIFS( raw_stack!G:G, raw_stack!D:D, C190, raw_stack!F:F, "Iya" ), "" )</f>
        <v>46127</v>
      </c>
      <c r="E190" s="4">
        <f t="shared" si="8"/>
        <v>46310</v>
      </c>
      <c r="F190" s="7">
        <f>IFERROR(
 _xlfn.MAXIFS(
  raw_stack!H:H,
  raw_stack!D:D, C190,
  raw_stack!G:G, D190
 ),
 ""
)</f>
        <v>42366</v>
      </c>
      <c r="G190" s="7">
        <f>IFERROR(
 _xlfn.MAXIFS(
  raw_stack!E:E,
  raw_stack!D:D, C190,
  raw_stack!G:G, D190
 ),
 ""
)</f>
        <v>42417</v>
      </c>
      <c r="H190" s="10">
        <f t="shared" ca="1" si="9"/>
        <v>118</v>
      </c>
      <c r="I190" s="7">
        <f t="shared" si="10"/>
        <v>51</v>
      </c>
      <c r="J190" s="3" t="str">
        <f t="shared" ca="1" si="11"/>
        <v>AMAN</v>
      </c>
    </row>
    <row r="191" spans="1:10">
      <c r="A191" s="11" t="str">
        <f>_xlfn.XLOOKUP(C191, data_master!G:G, data_master!B:B)</f>
        <v>92767</v>
      </c>
      <c r="B191" t="str">
        <f>_xlfn.XLOOKUP(C191, data_master!G:G, data_master!D:D)</f>
        <v>92767 KENDAL</v>
      </c>
      <c r="C191" s="12" t="str">
        <v>B8389IA</v>
      </c>
      <c r="D191" s="4">
        <f>IFERROR( _xlfn.MAXIFS( raw_stack!G:G, raw_stack!D:D, C191, raw_stack!F:F, "Iya" ), "" )</f>
        <v>46106</v>
      </c>
      <c r="E191" s="4">
        <f t="shared" si="8"/>
        <v>46290</v>
      </c>
      <c r="F191" s="7">
        <f>IFERROR(
 _xlfn.MAXIFS(
  raw_stack!H:H,
  raw_stack!D:D, C191,
  raw_stack!G:G, D191
 ),
 ""
)</f>
        <v>30144</v>
      </c>
      <c r="G191" s="7">
        <f>IFERROR(
 _xlfn.MAXIFS(
  raw_stack!E:E,
  raw_stack!D:D, C191,
  raw_stack!G:G, D191
 ),
 ""
)</f>
        <v>30144</v>
      </c>
      <c r="H191" s="10">
        <f t="shared" ca="1" si="9"/>
        <v>139</v>
      </c>
      <c r="I191" s="7">
        <f t="shared" si="10"/>
        <v>0</v>
      </c>
      <c r="J191" s="3" t="str">
        <f t="shared" ca="1" si="11"/>
        <v>AMAN</v>
      </c>
    </row>
    <row r="192" spans="1:10">
      <c r="A192" s="11" t="str">
        <f>_xlfn.XLOOKUP(C192, data_master!G:G, data_master!B:B)</f>
        <v>64805</v>
      </c>
      <c r="B192" t="str">
        <f>_xlfn.XLOOKUP(C192, data_master!G:G, data_master!D:D)</f>
        <v>64805 PAGAR ALAM</v>
      </c>
      <c r="C192" s="12" t="str">
        <v>B7326IW</v>
      </c>
      <c r="D192" s="4">
        <f>IFERROR( _xlfn.MAXIFS( raw_stack!G:G, raw_stack!D:D, C192, raw_stack!F:F, "Iya" ), "" )</f>
        <v>46079</v>
      </c>
      <c r="E192" s="4">
        <f t="shared" si="8"/>
        <v>46260</v>
      </c>
      <c r="F192" s="7">
        <f>IFERROR(
 _xlfn.MAXIFS(
  raw_stack!H:H,
  raw_stack!D:D, C192,
  raw_stack!G:G, D192
 ),
 ""
)</f>
        <v>31724</v>
      </c>
      <c r="G192" s="7">
        <f>IFERROR(
 _xlfn.MAXIFS(
  raw_stack!E:E,
  raw_stack!D:D, C192,
  raw_stack!G:G, D192
 ),
 ""
)</f>
        <v>31724</v>
      </c>
      <c r="H192" s="10">
        <f t="shared" ca="1" si="9"/>
        <v>166</v>
      </c>
      <c r="I192" s="7">
        <f t="shared" si="10"/>
        <v>0</v>
      </c>
      <c r="J192" s="3" t="str">
        <f t="shared" ca="1" si="11"/>
        <v>AMAN</v>
      </c>
    </row>
    <row r="193" spans="1:10">
      <c r="A193" s="11" t="str">
        <f>_xlfn.XLOOKUP(C193, data_master!G:G, data_master!B:B)</f>
        <v>97904</v>
      </c>
      <c r="B193" t="str">
        <f>_xlfn.XLOOKUP(C193, data_master!G:G, data_master!D:D)</f>
        <v>97904 SENTANI</v>
      </c>
      <c r="C193" s="12" t="str">
        <v>B7274AH</v>
      </c>
      <c r="D193" s="4">
        <f>IFERROR( _xlfn.MAXIFS( raw_stack!G:G, raw_stack!D:D, C193, raw_stack!F:F, "Iya" ), "" )</f>
        <v>45863</v>
      </c>
      <c r="E193" s="4">
        <f t="shared" si="8"/>
        <v>46047</v>
      </c>
      <c r="F193" s="7">
        <f>IFERROR(
 _xlfn.MAXIFS(
  raw_stack!H:H,
  raw_stack!D:D, C193,
  raw_stack!G:G, D193
 ),
 ""
)</f>
        <v>14483</v>
      </c>
      <c r="G193" s="7">
        <f>IFERROR(
 _xlfn.MAXIFS(
  raw_stack!E:E,
  raw_stack!D:D, C193,
  raw_stack!G:G, D193
 ),
 ""
)</f>
        <v>14483</v>
      </c>
      <c r="H193" s="10">
        <f t="shared" ca="1" si="9"/>
        <v>382</v>
      </c>
      <c r="I193" s="7">
        <f t="shared" si="10"/>
        <v>0</v>
      </c>
      <c r="J193" s="3" t="str">
        <f t="shared" ca="1" si="11"/>
        <v>OVERDUE</v>
      </c>
    </row>
    <row r="194" spans="1:10">
      <c r="A194" s="11" t="str">
        <f>_xlfn.XLOOKUP(C194, data_master!G:G, data_master!B:B)</f>
        <v>38695</v>
      </c>
      <c r="B194" t="str">
        <f>_xlfn.XLOOKUP(C194, data_master!G:G, data_master!D:D)</f>
        <v>38695 BANDAR LAMPUNG POS</v>
      </c>
      <c r="C194" s="12" t="str">
        <v>B3561NJ</v>
      </c>
      <c r="D194" s="4">
        <f>IFERROR( _xlfn.MAXIFS( raw_stack!G:G, raw_stack!D:D, C194, raw_stack!F:F, "Iya" ), "" )</f>
        <v>45955</v>
      </c>
      <c r="E194" s="4">
        <f t="shared" si="8"/>
        <v>46137</v>
      </c>
      <c r="F194" s="7">
        <f>IFERROR(
 _xlfn.MAXIFS(
  raw_stack!H:H,
  raw_stack!D:D, C194,
  raw_stack!G:G, D194
 ),
 ""
)</f>
        <v>27214</v>
      </c>
      <c r="G194" s="7">
        <f>IFERROR(
 _xlfn.MAXIFS(
  raw_stack!E:E,
  raw_stack!D:D, C194,
  raw_stack!G:G, D194
 ),
 ""
)</f>
        <v>27214</v>
      </c>
      <c r="H194" s="10">
        <f t="shared" ca="1" si="9"/>
        <v>290</v>
      </c>
      <c r="I194" s="7">
        <f t="shared" si="10"/>
        <v>0</v>
      </c>
      <c r="J194" s="3" t="str">
        <f t="shared" ca="1" si="11"/>
        <v>OVERDUE</v>
      </c>
    </row>
    <row r="195" spans="1:10">
      <c r="A195" s="11" t="str">
        <f>_xlfn.XLOOKUP(C195, data_master!G:G, data_master!B:B)</f>
        <v>15893</v>
      </c>
      <c r="B195" t="str">
        <f>_xlfn.XLOOKUP(C195, data_master!G:G, data_master!D:D)</f>
        <v>15893 MAJALENGKA</v>
      </c>
      <c r="C195" s="12" t="str">
        <v>B7692UCT</v>
      </c>
      <c r="D195" s="4">
        <f>IFERROR( _xlfn.MAXIFS( raw_stack!G:G, raw_stack!D:D, C195, raw_stack!F:F, "Iya" ), "" )</f>
        <v>46022</v>
      </c>
      <c r="E195" s="4">
        <f t="shared" si="8"/>
        <v>46203</v>
      </c>
      <c r="F195" s="7">
        <f>IFERROR(
 _xlfn.MAXIFS(
  raw_stack!H:H,
  raw_stack!D:D, C195,
  raw_stack!G:G, D195
 ),
 ""
)</f>
        <v>11693</v>
      </c>
      <c r="G195" s="7">
        <f>IFERROR(
 _xlfn.MAXIFS(
  raw_stack!E:E,
  raw_stack!D:D, C195,
  raw_stack!G:G, D195
 ),
 ""
)</f>
        <v>11693</v>
      </c>
      <c r="H195" s="10">
        <f t="shared" ca="1" si="9"/>
        <v>223</v>
      </c>
      <c r="I195" s="7">
        <f t="shared" si="10"/>
        <v>0</v>
      </c>
      <c r="J195" s="3" t="str">
        <f t="shared" ca="1" si="11"/>
        <v>OVERDUE</v>
      </c>
    </row>
    <row r="196" spans="1:10">
      <c r="A196" s="11" t="str">
        <f>_xlfn.XLOOKUP(C196, data_master!G:G, data_master!B:B)</f>
        <v>38577</v>
      </c>
      <c r="B196" t="str">
        <f>_xlfn.XLOOKUP(C196, data_master!G:G, data_master!D:D)</f>
        <v>38577 JAYAPURA BRANCH</v>
      </c>
      <c r="C196" s="12" t="str">
        <v>B2396IX</v>
      </c>
      <c r="D196" s="4">
        <f>IFERROR( _xlfn.MAXIFS( raw_stack!G:G, raw_stack!D:D, C196, raw_stack!F:F, "Iya" ), "" )</f>
        <v>45964</v>
      </c>
      <c r="E196" s="4">
        <f t="shared" ref="E196:E259" si="12">EDATE(D196,6)</f>
        <v>46145</v>
      </c>
      <c r="F196" s="7">
        <f>IFERROR(
 _xlfn.MAXIFS(
  raw_stack!H:H,
  raw_stack!D:D, C196,
  raw_stack!G:G, D196
 ),
 ""
)</f>
        <v>27710</v>
      </c>
      <c r="G196" s="7">
        <f>IFERROR(
 _xlfn.MAXIFS(
  raw_stack!E:E,
  raw_stack!D:D, C196,
  raw_stack!G:G, D196
 ),
 ""
)</f>
        <v>27710</v>
      </c>
      <c r="H196" s="10">
        <f t="shared" ref="H196:H259" ca="1" si="13">IF(D196=0, "", TODAY()-D196)</f>
        <v>281</v>
      </c>
      <c r="I196" s="7">
        <f t="shared" ref="I196:I259" si="14">IF(E196=0, "", G196-F196)</f>
        <v>0</v>
      </c>
      <c r="J196" s="3" t="str">
        <f t="shared" ref="J196:J259" ca="1" si="15">IF(D196=0,
 "BELUM SERVIS",
 IF(OR(H196&gt;=180, I196&gt;=10000),
  "OVERDUE",
  "AMAN"
 )
)</f>
        <v>OVERDUE</v>
      </c>
    </row>
    <row r="197" spans="1:10">
      <c r="A197" s="11" t="str">
        <f>_xlfn.XLOOKUP(C197, data_master!G:G, data_master!B:B)</f>
        <v>42537</v>
      </c>
      <c r="B197" t="str">
        <f>_xlfn.XLOOKUP(C197, data_master!G:G, data_master!D:D)</f>
        <v>42537 BLITAR UNIT</v>
      </c>
      <c r="C197" s="12" t="str">
        <v>B5628US</v>
      </c>
      <c r="D197" s="4">
        <f>IFERROR( _xlfn.MAXIFS( raw_stack!G:G, raw_stack!D:D, C197, raw_stack!F:F, "Iya" ), "" )</f>
        <v>46006</v>
      </c>
      <c r="E197" s="4">
        <f t="shared" si="12"/>
        <v>46188</v>
      </c>
      <c r="F197" s="7">
        <f>IFERROR(
 _xlfn.MAXIFS(
  raw_stack!H:H,
  raw_stack!D:D, C197,
  raw_stack!G:G, D197
 ),
 ""
)</f>
        <v>1839</v>
      </c>
      <c r="G197" s="7">
        <f>IFERROR(
 _xlfn.MAXIFS(
  raw_stack!E:E,
  raw_stack!D:D, C197,
  raw_stack!G:G, D197
 ),
 ""
)</f>
        <v>1839</v>
      </c>
      <c r="H197" s="10">
        <f t="shared" ca="1" si="13"/>
        <v>239</v>
      </c>
      <c r="I197" s="7">
        <f t="shared" si="14"/>
        <v>0</v>
      </c>
      <c r="J197" s="3" t="str">
        <f t="shared" ca="1" si="15"/>
        <v>OVERDUE</v>
      </c>
    </row>
    <row r="198" spans="1:10">
      <c r="A198" s="11" t="str">
        <f>_xlfn.XLOOKUP(C198, data_master!G:G, data_master!B:B)</f>
        <v>64842</v>
      </c>
      <c r="B198" t="str">
        <f>_xlfn.XLOOKUP(C198, data_master!G:G, data_master!D:D)</f>
        <v>64842 SUKOHARJO</v>
      </c>
      <c r="C198" s="12" t="str">
        <v>B2514HCV</v>
      </c>
      <c r="D198" s="4">
        <f>IFERROR( _xlfn.MAXIFS( raw_stack!G:G, raw_stack!D:D, C198, raw_stack!F:F, "Iya" ), "" )</f>
        <v>46051</v>
      </c>
      <c r="E198" s="4">
        <f t="shared" si="12"/>
        <v>46232</v>
      </c>
      <c r="F198" s="7">
        <f>IFERROR(
 _xlfn.MAXIFS(
  raw_stack!H:H,
  raw_stack!D:D, C198,
  raw_stack!G:G, D198
 ),
 ""
)</f>
        <v>12682</v>
      </c>
      <c r="G198" s="7">
        <f>IFERROR(
 _xlfn.MAXIFS(
  raw_stack!E:E,
  raw_stack!D:D, C198,
  raw_stack!G:G, D198
 ),
 ""
)</f>
        <v>12682</v>
      </c>
      <c r="H198" s="10">
        <f t="shared" ca="1" si="13"/>
        <v>194</v>
      </c>
      <c r="I198" s="7">
        <f t="shared" si="14"/>
        <v>0</v>
      </c>
      <c r="J198" s="3" t="str">
        <f t="shared" ca="1" si="15"/>
        <v>OVERDUE</v>
      </c>
    </row>
    <row r="199" spans="1:10">
      <c r="A199" s="11" t="str">
        <f>_xlfn.XLOOKUP(C199, data_master!G:G, data_master!B:B)</f>
        <v>91028</v>
      </c>
      <c r="B199" t="str">
        <f>_xlfn.XLOOKUP(C199, data_master!G:G, data_master!D:D)</f>
        <v>91028 PURWAKARTA</v>
      </c>
      <c r="C199" s="12" t="str">
        <v>DD8835VA</v>
      </c>
      <c r="D199" s="4">
        <f>IFERROR( _xlfn.MAXIFS( raw_stack!G:G, raw_stack!D:D, C199, raw_stack!F:F, "Iya" ), "" )</f>
        <v>45973</v>
      </c>
      <c r="E199" s="4">
        <f t="shared" si="12"/>
        <v>46154</v>
      </c>
      <c r="F199" s="7">
        <f>IFERROR(
 _xlfn.MAXIFS(
  raw_stack!H:H,
  raw_stack!D:D, C199,
  raw_stack!G:G, D199
 ),
 ""
)</f>
        <v>8587</v>
      </c>
      <c r="G199" s="7">
        <f>IFERROR(
 _xlfn.MAXIFS(
  raw_stack!E:E,
  raw_stack!D:D, C199,
  raw_stack!G:G, D199
 ),
 ""
)</f>
        <v>8587</v>
      </c>
      <c r="H199" s="10">
        <f t="shared" ca="1" si="13"/>
        <v>272</v>
      </c>
      <c r="I199" s="7">
        <f t="shared" si="14"/>
        <v>0</v>
      </c>
      <c r="J199" s="3" t="str">
        <f t="shared" ca="1" si="15"/>
        <v>OVERDUE</v>
      </c>
    </row>
    <row r="200" spans="1:10">
      <c r="A200" s="11" t="str">
        <f>_xlfn.XLOOKUP(C200, data_master!G:G, data_master!B:B)</f>
        <v>24204</v>
      </c>
      <c r="B200" t="str">
        <f>_xlfn.XLOOKUP(C200, data_master!G:G, data_master!D:D)</f>
        <v>24204 TIMIKA</v>
      </c>
      <c r="C200" s="12" t="str">
        <v>L6517DP</v>
      </c>
      <c r="D200" s="4">
        <f>IFERROR( _xlfn.MAXIFS( raw_stack!G:G, raw_stack!D:D, C200, raw_stack!F:F, "Iya" ), "" )</f>
        <v>45917</v>
      </c>
      <c r="E200" s="4">
        <f t="shared" si="12"/>
        <v>46098</v>
      </c>
      <c r="F200" s="7">
        <f>IFERROR(
 _xlfn.MAXIFS(
  raw_stack!H:H,
  raw_stack!D:D, C200,
  raw_stack!G:G, D200
 ),
 ""
)</f>
        <v>45464</v>
      </c>
      <c r="G200" s="7">
        <f>IFERROR(
 _xlfn.MAXIFS(
  raw_stack!E:E,
  raw_stack!D:D, C200,
  raw_stack!G:G, D200
 ),
 ""
)</f>
        <v>45464</v>
      </c>
      <c r="H200" s="10">
        <f t="shared" ca="1" si="13"/>
        <v>328</v>
      </c>
      <c r="I200" s="7">
        <f t="shared" si="14"/>
        <v>0</v>
      </c>
      <c r="J200" s="3" t="str">
        <f t="shared" ca="1" si="15"/>
        <v>OVERDUE</v>
      </c>
    </row>
    <row r="201" spans="1:10">
      <c r="A201" s="11" t="str">
        <f>_xlfn.XLOOKUP(C201, data_master!G:G, data_master!B:B)</f>
        <v>82746</v>
      </c>
      <c r="B201" t="str">
        <f>_xlfn.XLOOKUP(C201, data_master!G:G, data_master!D:D)</f>
        <v>82746 SURABAYA 2</v>
      </c>
      <c r="C201" s="12" t="str">
        <v>B1513KJ</v>
      </c>
      <c r="D201" s="4">
        <f>IFERROR( _xlfn.MAXIFS( raw_stack!G:G, raw_stack!D:D, C201, raw_stack!F:F, "Iya" ), "" )</f>
        <v>45936</v>
      </c>
      <c r="E201" s="4">
        <f t="shared" si="12"/>
        <v>46118</v>
      </c>
      <c r="F201" s="7">
        <f>IFERROR(
 _xlfn.MAXIFS(
  raw_stack!H:H,
  raw_stack!D:D, C201,
  raw_stack!G:G, D201
 ),
 ""
)</f>
        <v>10479</v>
      </c>
      <c r="G201" s="7">
        <f>IFERROR(
 _xlfn.MAXIFS(
  raw_stack!E:E,
  raw_stack!D:D, C201,
  raw_stack!G:G, D201
 ),
 ""
)</f>
        <v>10479</v>
      </c>
      <c r="H201" s="10">
        <f t="shared" ca="1" si="13"/>
        <v>309</v>
      </c>
      <c r="I201" s="7">
        <f t="shared" si="14"/>
        <v>0</v>
      </c>
      <c r="J201" s="3" t="str">
        <f t="shared" ca="1" si="15"/>
        <v>OVERDUE</v>
      </c>
    </row>
    <row r="202" spans="1:10">
      <c r="A202" s="11" t="str">
        <f>_xlfn.XLOOKUP(C202, data_master!G:G, data_master!B:B)</f>
        <v>85231</v>
      </c>
      <c r="B202" t="str">
        <f>_xlfn.XLOOKUP(C202, data_master!G:G, data_master!D:D)</f>
        <v>85231 PRINGSEWU</v>
      </c>
      <c r="C202" s="12" t="str">
        <v>B7723FZ</v>
      </c>
      <c r="D202" s="4">
        <f>IFERROR( _xlfn.MAXIFS( raw_stack!G:G, raw_stack!D:D, C202, raw_stack!F:F, "Iya" ), "" )</f>
        <v>45883</v>
      </c>
      <c r="E202" s="4">
        <f t="shared" si="12"/>
        <v>46067</v>
      </c>
      <c r="F202" s="7">
        <f>IFERROR(
 _xlfn.MAXIFS(
  raw_stack!H:H,
  raw_stack!D:D, C202,
  raw_stack!G:G, D202
 ),
 ""
)</f>
        <v>5225</v>
      </c>
      <c r="G202" s="7">
        <f>IFERROR(
 _xlfn.MAXIFS(
  raw_stack!E:E,
  raw_stack!D:D, C202,
  raw_stack!G:G, D202
 ),
 ""
)</f>
        <v>5225</v>
      </c>
      <c r="H202" s="10">
        <f t="shared" ca="1" si="13"/>
        <v>362</v>
      </c>
      <c r="I202" s="7">
        <f t="shared" si="14"/>
        <v>0</v>
      </c>
      <c r="J202" s="3" t="str">
        <f t="shared" ca="1" si="15"/>
        <v>OVERDUE</v>
      </c>
    </row>
    <row r="203" spans="1:10">
      <c r="A203" s="11" t="str">
        <f>_xlfn.XLOOKUP(C203, data_master!G:G, data_master!B:B)</f>
        <v>23842</v>
      </c>
      <c r="B203" t="str">
        <f>_xlfn.XLOOKUP(C203, data_master!G:G, data_master!D:D)</f>
        <v>23842 DHARMASRAYA</v>
      </c>
      <c r="C203" s="12" t="str">
        <v>B7170IN</v>
      </c>
      <c r="D203" s="4">
        <f>IFERROR( _xlfn.MAXIFS( raw_stack!G:G, raw_stack!D:D, C203, raw_stack!F:F, "Iya" ), "" )</f>
        <v>46125</v>
      </c>
      <c r="E203" s="4">
        <f t="shared" si="12"/>
        <v>46308</v>
      </c>
      <c r="F203" s="7">
        <f>IFERROR(
 _xlfn.MAXIFS(
  raw_stack!H:H,
  raw_stack!D:D, C203,
  raw_stack!G:G, D203
 ),
 ""
)</f>
        <v>9054</v>
      </c>
      <c r="G203" s="7">
        <f>IFERROR(
 _xlfn.MAXIFS(
  raw_stack!E:E,
  raw_stack!D:D, C203,
  raw_stack!G:G, D203
 ),
 ""
)</f>
        <v>9349</v>
      </c>
      <c r="H203" s="10">
        <f t="shared" ca="1" si="13"/>
        <v>120</v>
      </c>
      <c r="I203" s="7">
        <f t="shared" si="14"/>
        <v>295</v>
      </c>
      <c r="J203" s="3" t="str">
        <f t="shared" ca="1" si="15"/>
        <v>AMAN</v>
      </c>
    </row>
    <row r="204" spans="1:10">
      <c r="A204" s="11" t="str">
        <f>_xlfn.XLOOKUP(C204, data_master!G:G, data_master!B:B)</f>
        <v>88350</v>
      </c>
      <c r="B204" t="str">
        <f>_xlfn.XLOOKUP(C204, data_master!G:G, data_master!D:D)</f>
        <v>88350 SOFIFI</v>
      </c>
      <c r="C204" s="12" t="str">
        <v>KB9990JIF</v>
      </c>
      <c r="D204" s="4">
        <f>IFERROR( _xlfn.MAXIFS( raw_stack!G:G, raw_stack!D:D, C204, raw_stack!F:F, "Iya" ), "" )</f>
        <v>45989</v>
      </c>
      <c r="E204" s="4">
        <f t="shared" si="12"/>
        <v>46170</v>
      </c>
      <c r="F204" s="7">
        <f>IFERROR(
 _xlfn.MAXIFS(
  raw_stack!H:H,
  raw_stack!D:D, C204,
  raw_stack!G:G, D204
 ),
 ""
)</f>
        <v>10259</v>
      </c>
      <c r="G204" s="7">
        <f>IFERROR(
 _xlfn.MAXIFS(
  raw_stack!E:E,
  raw_stack!D:D, C204,
  raw_stack!G:G, D204
 ),
 ""
)</f>
        <v>10259</v>
      </c>
      <c r="H204" s="10">
        <f t="shared" ca="1" si="13"/>
        <v>256</v>
      </c>
      <c r="I204" s="7">
        <f t="shared" si="14"/>
        <v>0</v>
      </c>
      <c r="J204" s="3" t="str">
        <f t="shared" ca="1" si="15"/>
        <v>OVERDUE</v>
      </c>
    </row>
    <row r="205" spans="1:10">
      <c r="A205" s="11" t="str">
        <f>_xlfn.XLOOKUP(C205, data_master!G:G, data_master!B:B)</f>
        <v>23031</v>
      </c>
      <c r="B205" t="str">
        <f>_xlfn.XLOOKUP(C205, data_master!G:G, data_master!D:D)</f>
        <v>23031 BANGKO</v>
      </c>
      <c r="C205" s="12" t="str">
        <v>B6441NR</v>
      </c>
      <c r="D205" s="4">
        <f>IFERROR( _xlfn.MAXIFS( raw_stack!G:G, raw_stack!D:D, C205, raw_stack!F:F, "Iya" ), "" )</f>
        <v>45997</v>
      </c>
      <c r="E205" s="4">
        <f t="shared" si="12"/>
        <v>46179</v>
      </c>
      <c r="F205" s="7">
        <f>IFERROR(
 _xlfn.MAXIFS(
  raw_stack!H:H,
  raw_stack!D:D, C205,
  raw_stack!G:G, D205
 ),
 ""
)</f>
        <v>28710</v>
      </c>
      <c r="G205" s="7">
        <f>IFERROR(
 _xlfn.MAXIFS(
  raw_stack!E:E,
  raw_stack!D:D, C205,
  raw_stack!G:G, D205
 ),
 ""
)</f>
        <v>28710</v>
      </c>
      <c r="H205" s="10">
        <f t="shared" ca="1" si="13"/>
        <v>248</v>
      </c>
      <c r="I205" s="7">
        <f t="shared" si="14"/>
        <v>0</v>
      </c>
      <c r="J205" s="3" t="str">
        <f t="shared" ca="1" si="15"/>
        <v>OVERDUE</v>
      </c>
    </row>
    <row r="206" spans="1:10">
      <c r="A206" s="11" t="str">
        <f>_xlfn.XLOOKUP(C206, data_master!G:G, data_master!B:B)</f>
        <v>62353</v>
      </c>
      <c r="B206" t="str">
        <f>_xlfn.XLOOKUP(C206, data_master!G:G, data_master!D:D)</f>
        <v>62353 LUWUK</v>
      </c>
      <c r="C206" s="12" t="str">
        <v>B3545GSF</v>
      </c>
      <c r="D206" s="4">
        <f>IFERROR( _xlfn.MAXIFS( raw_stack!G:G, raw_stack!D:D, C206, raw_stack!F:F, "Iya" ), "" )</f>
        <v>46086</v>
      </c>
      <c r="E206" s="4">
        <f t="shared" si="12"/>
        <v>46270</v>
      </c>
      <c r="F206" s="7">
        <f>IFERROR(
 _xlfn.MAXIFS(
  raw_stack!H:H,
  raw_stack!D:D, C206,
  raw_stack!G:G, D206
 ),
 ""
)</f>
        <v>4819</v>
      </c>
      <c r="G206" s="7">
        <f>IFERROR(
 _xlfn.MAXIFS(
  raw_stack!E:E,
  raw_stack!D:D, C206,
  raw_stack!G:G, D206
 ),
 ""
)</f>
        <v>4819</v>
      </c>
      <c r="H206" s="10">
        <f t="shared" ca="1" si="13"/>
        <v>159</v>
      </c>
      <c r="I206" s="7">
        <f t="shared" si="14"/>
        <v>0</v>
      </c>
      <c r="J206" s="3" t="str">
        <f t="shared" ca="1" si="15"/>
        <v>AMAN</v>
      </c>
    </row>
    <row r="207" spans="1:10">
      <c r="A207" s="11" t="str">
        <f>_xlfn.XLOOKUP(C207, data_master!G:G, data_master!B:B)</f>
        <v>25264</v>
      </c>
      <c r="B207" t="str">
        <f>_xlfn.XLOOKUP(C207, data_master!G:G, data_master!D:D)</f>
        <v>25264 NGAWI POS</v>
      </c>
      <c r="C207" s="12" t="str">
        <v>B6592JN</v>
      </c>
      <c r="D207" s="4">
        <f>IFERROR( _xlfn.MAXIFS( raw_stack!G:G, raw_stack!D:D, C207, raw_stack!F:F, "Iya" ), "" )</f>
        <v>45825</v>
      </c>
      <c r="E207" s="4">
        <f t="shared" si="12"/>
        <v>46008</v>
      </c>
      <c r="F207" s="7">
        <f>IFERROR(
 _xlfn.MAXIFS(
  raw_stack!H:H,
  raw_stack!D:D, C207,
  raw_stack!G:G, D207
 ),
 ""
)</f>
        <v>19186</v>
      </c>
      <c r="G207" s="7">
        <f>IFERROR(
 _xlfn.MAXIFS(
  raw_stack!E:E,
  raw_stack!D:D, C207,
  raw_stack!G:G, D207
 ),
 ""
)</f>
        <v>19186</v>
      </c>
      <c r="H207" s="10">
        <f t="shared" ca="1" si="13"/>
        <v>420</v>
      </c>
      <c r="I207" s="7">
        <f t="shared" si="14"/>
        <v>0</v>
      </c>
      <c r="J207" s="3" t="str">
        <f t="shared" ca="1" si="15"/>
        <v>OVERDUE</v>
      </c>
    </row>
    <row r="208" spans="1:10">
      <c r="A208" s="11" t="e">
        <f>_xlfn.XLOOKUP(C208, data_master!G:G, data_master!B:B)</f>
        <v>#N/A</v>
      </c>
      <c r="B208" t="e">
        <f>_xlfn.XLOOKUP(C208, data_master!G:G, data_master!D:D)</f>
        <v>#N/A</v>
      </c>
      <c r="C208" s="12" t="str">
        <v>B7991VB</v>
      </c>
      <c r="D208" s="4">
        <f>IFERROR( _xlfn.MAXIFS( raw_stack!G:G, raw_stack!D:D, C208, raw_stack!F:F, "Iya" ), "" )</f>
        <v>45918</v>
      </c>
      <c r="E208" s="4">
        <f t="shared" si="12"/>
        <v>46099</v>
      </c>
      <c r="F208" s="7">
        <f>IFERROR(
 _xlfn.MAXIFS(
  raw_stack!H:H,
  raw_stack!D:D, C208,
  raw_stack!G:G, D208
 ),
 ""
)</f>
        <v>20879</v>
      </c>
      <c r="G208" s="7">
        <f>IFERROR(
 _xlfn.MAXIFS(
  raw_stack!E:E,
  raw_stack!D:D, C208,
  raw_stack!G:G, D208
 ),
 ""
)</f>
        <v>20879</v>
      </c>
      <c r="H208" s="10">
        <f t="shared" ca="1" si="13"/>
        <v>327</v>
      </c>
      <c r="I208" s="7">
        <f t="shared" si="14"/>
        <v>0</v>
      </c>
      <c r="J208" s="3" t="str">
        <f t="shared" ca="1" si="15"/>
        <v>OVERDUE</v>
      </c>
    </row>
    <row r="209" spans="1:10">
      <c r="A209" s="11" t="str">
        <f>_xlfn.XLOOKUP(C209, data_master!G:G, data_master!B:B)</f>
        <v>24740</v>
      </c>
      <c r="B209" t="str">
        <f>_xlfn.XLOOKUP(C209, data_master!G:G, data_master!D:D)</f>
        <v>24740 ASAHAN</v>
      </c>
      <c r="C209" s="12" t="str">
        <v>H3815DXD</v>
      </c>
      <c r="D209" s="4">
        <f>IFERROR( _xlfn.MAXIFS( raw_stack!G:G, raw_stack!D:D, C209, raw_stack!F:F, "Iya" ), "" )</f>
        <v>46129</v>
      </c>
      <c r="E209" s="4">
        <f t="shared" si="12"/>
        <v>46312</v>
      </c>
      <c r="F209" s="7">
        <f>IFERROR(
 _xlfn.MAXIFS(
  raw_stack!H:H,
  raw_stack!D:D, C209,
  raw_stack!G:G, D209
 ),
 ""
)</f>
        <v>18385</v>
      </c>
      <c r="G209" s="7">
        <f>IFERROR(
 _xlfn.MAXIFS(
  raw_stack!E:E,
  raw_stack!D:D, C209,
  raw_stack!G:G, D209
 ),
 ""
)</f>
        <v>18440</v>
      </c>
      <c r="H209" s="10">
        <f t="shared" ca="1" si="13"/>
        <v>116</v>
      </c>
      <c r="I209" s="7">
        <f t="shared" si="14"/>
        <v>55</v>
      </c>
      <c r="J209" s="3" t="str">
        <f t="shared" ca="1" si="15"/>
        <v>AMAN</v>
      </c>
    </row>
    <row r="210" spans="1:10">
      <c r="A210" s="11" t="str">
        <f>_xlfn.XLOOKUP(C210, data_master!G:G, data_master!B:B)</f>
        <v>56143</v>
      </c>
      <c r="B210" t="str">
        <f>_xlfn.XLOOKUP(C210, data_master!G:G, data_master!D:D)</f>
        <v>56143 TAKENGON POS</v>
      </c>
      <c r="C210" s="12" t="str">
        <v>B2886XC</v>
      </c>
      <c r="D210" s="4">
        <f>IFERROR( _xlfn.MAXIFS( raw_stack!G:G, raw_stack!D:D, C210, raw_stack!F:F, "Iya" ), "" )</f>
        <v>46087</v>
      </c>
      <c r="E210" s="4">
        <f t="shared" si="12"/>
        <v>46271</v>
      </c>
      <c r="F210" s="7">
        <f>IFERROR(
 _xlfn.MAXIFS(
  raw_stack!H:H,
  raw_stack!D:D, C210,
  raw_stack!G:G, D210
 ),
 ""
)</f>
        <v>21609</v>
      </c>
      <c r="G210" s="7">
        <f>IFERROR(
 _xlfn.MAXIFS(
  raw_stack!E:E,
  raw_stack!D:D, C210,
  raw_stack!G:G, D210
 ),
 ""
)</f>
        <v>21609</v>
      </c>
      <c r="H210" s="10">
        <f t="shared" ca="1" si="13"/>
        <v>158</v>
      </c>
      <c r="I210" s="7">
        <f t="shared" si="14"/>
        <v>0</v>
      </c>
      <c r="J210" s="3" t="str">
        <f t="shared" ca="1" si="15"/>
        <v>AMAN</v>
      </c>
    </row>
    <row r="211" spans="1:10">
      <c r="A211" s="11" t="str">
        <f>_xlfn.XLOOKUP(C211, data_master!G:G, data_master!B:B)</f>
        <v>19260</v>
      </c>
      <c r="B211" t="str">
        <f>_xlfn.XLOOKUP(C211, data_master!G:G, data_master!D:D)</f>
        <v>19260 JAMBI</v>
      </c>
      <c r="C211" s="12" t="str">
        <v>B1167YL</v>
      </c>
      <c r="D211" s="4">
        <f>IFERROR( _xlfn.MAXIFS( raw_stack!G:G, raw_stack!D:D, C211, raw_stack!F:F, "Iya" ), "" )</f>
        <v>46065</v>
      </c>
      <c r="E211" s="4">
        <f t="shared" si="12"/>
        <v>46246</v>
      </c>
      <c r="F211" s="7">
        <f>IFERROR(
 _xlfn.MAXIFS(
  raw_stack!H:H,
  raw_stack!D:D, C211,
  raw_stack!G:G, D211
 ),
 ""
)</f>
        <v>41775</v>
      </c>
      <c r="G211" s="7">
        <f>IFERROR(
 _xlfn.MAXIFS(
  raw_stack!E:E,
  raw_stack!D:D, C211,
  raw_stack!G:G, D211
 ),
 ""
)</f>
        <v>43442</v>
      </c>
      <c r="H211" s="10">
        <f t="shared" ca="1" si="13"/>
        <v>180</v>
      </c>
      <c r="I211" s="7">
        <f t="shared" si="14"/>
        <v>1667</v>
      </c>
      <c r="J211" s="3" t="str">
        <f t="shared" ca="1" si="15"/>
        <v>OVERDUE</v>
      </c>
    </row>
    <row r="212" spans="1:10">
      <c r="A212" s="11" t="str">
        <f>_xlfn.XLOOKUP(C212, data_master!G:G, data_master!B:B)</f>
        <v>66820</v>
      </c>
      <c r="B212" t="str">
        <f>_xlfn.XLOOKUP(C212, data_master!G:G, data_master!D:D)</f>
        <v>66820 MEMPAWAH UNIT</v>
      </c>
      <c r="C212" s="12" t="str">
        <v>B2772EK</v>
      </c>
      <c r="D212" s="4">
        <f>IFERROR( _xlfn.MAXIFS( raw_stack!G:G, raw_stack!D:D, C212, raw_stack!F:F, "Iya" ), "" )</f>
        <v>46048</v>
      </c>
      <c r="E212" s="4">
        <f t="shared" si="12"/>
        <v>46229</v>
      </c>
      <c r="F212" s="7">
        <f>IFERROR(
 _xlfn.MAXIFS(
  raw_stack!H:H,
  raw_stack!D:D, C212,
  raw_stack!G:G, D212
 ),
 ""
)</f>
        <v>24312</v>
      </c>
      <c r="G212" s="7">
        <f>IFERROR(
 _xlfn.MAXIFS(
  raw_stack!E:E,
  raw_stack!D:D, C212,
  raw_stack!G:G, D212
 ),
 ""
)</f>
        <v>24312</v>
      </c>
      <c r="H212" s="10">
        <f t="shared" ca="1" si="13"/>
        <v>197</v>
      </c>
      <c r="I212" s="7">
        <f t="shared" si="14"/>
        <v>0</v>
      </c>
      <c r="J212" s="3" t="str">
        <f t="shared" ca="1" si="15"/>
        <v>OVERDUE</v>
      </c>
    </row>
    <row r="213" spans="1:10">
      <c r="A213" s="11" t="str">
        <f>_xlfn.XLOOKUP(C213, data_master!G:G, data_master!B:B)</f>
        <v>44488</v>
      </c>
      <c r="B213" t="str">
        <f>_xlfn.XLOOKUP(C213, data_master!G:G, data_master!D:D)</f>
        <v>44488 ENDE BRANCH</v>
      </c>
      <c r="C213" s="12" t="str">
        <v>B3699EI</v>
      </c>
      <c r="D213" s="4">
        <f>IFERROR( _xlfn.MAXIFS( raw_stack!G:G, raw_stack!D:D, C213, raw_stack!F:F, "Iya" ), "" )</f>
        <v>45842</v>
      </c>
      <c r="E213" s="4">
        <f t="shared" si="12"/>
        <v>46026</v>
      </c>
      <c r="F213" s="7">
        <f>IFERROR(
 _xlfn.MAXIFS(
  raw_stack!H:H,
  raw_stack!D:D, C213,
  raw_stack!G:G, D213
 ),
 ""
)</f>
        <v>3792</v>
      </c>
      <c r="G213" s="7">
        <f>IFERROR(
 _xlfn.MAXIFS(
  raw_stack!E:E,
  raw_stack!D:D, C213,
  raw_stack!G:G, D213
 ),
 ""
)</f>
        <v>3792</v>
      </c>
      <c r="H213" s="10">
        <f t="shared" ca="1" si="13"/>
        <v>403</v>
      </c>
      <c r="I213" s="7">
        <f t="shared" si="14"/>
        <v>0</v>
      </c>
      <c r="J213" s="3" t="str">
        <f t="shared" ca="1" si="15"/>
        <v>OVERDUE</v>
      </c>
    </row>
    <row r="214" spans="1:10">
      <c r="A214" s="11" t="str">
        <f>_xlfn.XLOOKUP(C214, data_master!G:G, data_master!B:B)</f>
        <v>36596</v>
      </c>
      <c r="B214" t="str">
        <f>_xlfn.XLOOKUP(C214, data_master!G:G, data_master!D:D)</f>
        <v>36596 SUMEDANG UNIT</v>
      </c>
      <c r="C214" s="12" t="str">
        <v>B5798XLR</v>
      </c>
      <c r="D214" s="4">
        <f>IFERROR( _xlfn.MAXIFS( raw_stack!G:G, raw_stack!D:D, C214, raw_stack!F:F, "Iya" ), "" )</f>
        <v>45899</v>
      </c>
      <c r="E214" s="4">
        <f t="shared" si="12"/>
        <v>46081</v>
      </c>
      <c r="F214" s="7">
        <f>IFERROR(
 _xlfn.MAXIFS(
  raw_stack!H:H,
  raw_stack!D:D, C214,
  raw_stack!G:G, D214
 ),
 ""
)</f>
        <v>3086</v>
      </c>
      <c r="G214" s="7">
        <f>IFERROR(
 _xlfn.MAXIFS(
  raw_stack!E:E,
  raw_stack!D:D, C214,
  raw_stack!G:G, D214
 ),
 ""
)</f>
        <v>3086</v>
      </c>
      <c r="H214" s="10">
        <f t="shared" ca="1" si="13"/>
        <v>346</v>
      </c>
      <c r="I214" s="7">
        <f t="shared" si="14"/>
        <v>0</v>
      </c>
      <c r="J214" s="3" t="str">
        <f t="shared" ca="1" si="15"/>
        <v>OVERDUE</v>
      </c>
    </row>
    <row r="215" spans="1:10">
      <c r="A215" s="11" t="str">
        <f>_xlfn.XLOOKUP(C215, data_master!G:G, data_master!B:B)</f>
        <v>25566</v>
      </c>
      <c r="B215" t="str">
        <f>_xlfn.XLOOKUP(C215, data_master!G:G, data_master!D:D)</f>
        <v>25566 BOJONEGORO</v>
      </c>
      <c r="C215" s="12" t="str">
        <v>B9442AC</v>
      </c>
      <c r="D215" s="4">
        <f>IFERROR( _xlfn.MAXIFS( raw_stack!G:G, raw_stack!D:D, C215, raw_stack!F:F, "Iya" ), "" )</f>
        <v>46129</v>
      </c>
      <c r="E215" s="4">
        <f t="shared" si="12"/>
        <v>46312</v>
      </c>
      <c r="F215" s="7">
        <f>IFERROR(
 _xlfn.MAXIFS(
  raw_stack!H:H,
  raw_stack!D:D, C215,
  raw_stack!G:G, D215
 ),
 ""
)</f>
        <v>35090</v>
      </c>
      <c r="G215" s="7">
        <f>IFERROR(
 _xlfn.MAXIFS(
  raw_stack!E:E,
  raw_stack!D:D, C215,
  raw_stack!G:G, D215
 ),
 ""
)</f>
        <v>35090</v>
      </c>
      <c r="H215" s="10">
        <f t="shared" ca="1" si="13"/>
        <v>116</v>
      </c>
      <c r="I215" s="7">
        <f t="shared" si="14"/>
        <v>0</v>
      </c>
      <c r="J215" s="3" t="str">
        <f t="shared" ca="1" si="15"/>
        <v>AMAN</v>
      </c>
    </row>
    <row r="216" spans="1:10">
      <c r="A216" s="11" t="str">
        <f>_xlfn.XLOOKUP(C216, data_master!G:G, data_master!B:B)</f>
        <v>63604</v>
      </c>
      <c r="B216" t="str">
        <f>_xlfn.XLOOKUP(C216, data_master!G:G, data_master!D:D)</f>
        <v>63604 PRABUMULIH</v>
      </c>
      <c r="C216" s="12" t="str">
        <v>B8144GH</v>
      </c>
      <c r="D216" s="4">
        <f>IFERROR( _xlfn.MAXIFS( raw_stack!G:G, raw_stack!D:D, C216, raw_stack!F:F, "Iya" ), "" )</f>
        <v>46053</v>
      </c>
      <c r="E216" s="4">
        <f t="shared" si="12"/>
        <v>46234</v>
      </c>
      <c r="F216" s="7">
        <f>IFERROR(
 _xlfn.MAXIFS(
  raw_stack!H:H,
  raw_stack!D:D, C216,
  raw_stack!G:G, D216
 ),
 ""
)</f>
        <v>10832</v>
      </c>
      <c r="G216" s="7">
        <f>IFERROR(
 _xlfn.MAXIFS(
  raw_stack!E:E,
  raw_stack!D:D, C216,
  raw_stack!G:G, D216
 ),
 ""
)</f>
        <v>10832</v>
      </c>
      <c r="H216" s="10">
        <f t="shared" ca="1" si="13"/>
        <v>192</v>
      </c>
      <c r="I216" s="7">
        <f t="shared" si="14"/>
        <v>0</v>
      </c>
      <c r="J216" s="3" t="str">
        <f t="shared" ca="1" si="15"/>
        <v>OVERDUE</v>
      </c>
    </row>
    <row r="217" spans="1:10">
      <c r="A217" s="11" t="str">
        <f>_xlfn.XLOOKUP(C217, data_master!G:G, data_master!B:B)</f>
        <v>50697</v>
      </c>
      <c r="B217" t="str">
        <f>_xlfn.XLOOKUP(C217, data_master!G:G, data_master!D:D)</f>
        <v>50697 KUALA KAPUAS</v>
      </c>
      <c r="C217" s="12" t="str">
        <v>H9293ZLM</v>
      </c>
      <c r="D217" s="4">
        <f>IFERROR( _xlfn.MAXIFS( raw_stack!G:G, raw_stack!D:D, C217, raw_stack!F:F, "Iya" ), "" )</f>
        <v>46097</v>
      </c>
      <c r="E217" s="4">
        <f t="shared" si="12"/>
        <v>46281</v>
      </c>
      <c r="F217" s="7">
        <f>IFERROR(
 _xlfn.MAXIFS(
  raw_stack!H:H,
  raw_stack!D:D, C217,
  raw_stack!G:G, D217
 ),
 ""
)</f>
        <v>19731</v>
      </c>
      <c r="G217" s="7">
        <f>IFERROR(
 _xlfn.MAXIFS(
  raw_stack!E:E,
  raw_stack!D:D, C217,
  raw_stack!G:G, D217
 ),
 ""
)</f>
        <v>19731</v>
      </c>
      <c r="H217" s="10">
        <f t="shared" ca="1" si="13"/>
        <v>148</v>
      </c>
      <c r="I217" s="7">
        <f t="shared" si="14"/>
        <v>0</v>
      </c>
      <c r="J217" s="3" t="str">
        <f t="shared" ca="1" si="15"/>
        <v>AMAN</v>
      </c>
    </row>
    <row r="218" spans="1:10">
      <c r="A218" s="11" t="str">
        <f>_xlfn.XLOOKUP(C218, data_master!G:G, data_master!B:B)</f>
        <v>44914</v>
      </c>
      <c r="B218" t="str">
        <f>_xlfn.XLOOKUP(C218, data_master!G:G, data_master!D:D)</f>
        <v>44914 TAKALAR POS</v>
      </c>
      <c r="C218" s="12" t="str">
        <v>B1080SUL</v>
      </c>
      <c r="D218" s="4">
        <f>IFERROR( _xlfn.MAXIFS( raw_stack!G:G, raw_stack!D:D, C218, raw_stack!F:F, "Iya" ), "" )</f>
        <v>46074</v>
      </c>
      <c r="E218" s="4">
        <f t="shared" si="12"/>
        <v>46255</v>
      </c>
      <c r="F218" s="7">
        <f>IFERROR(
 _xlfn.MAXIFS(
  raw_stack!H:H,
  raw_stack!D:D, C218,
  raw_stack!G:G, D218
 ),
 ""
)</f>
        <v>17232</v>
      </c>
      <c r="G218" s="7">
        <f>IFERROR(
 _xlfn.MAXIFS(
  raw_stack!E:E,
  raw_stack!D:D, C218,
  raw_stack!G:G, D218
 ),
 ""
)</f>
        <v>17232</v>
      </c>
      <c r="H218" s="10">
        <f t="shared" ca="1" si="13"/>
        <v>171</v>
      </c>
      <c r="I218" s="7">
        <f t="shared" si="14"/>
        <v>0</v>
      </c>
      <c r="J218" s="3" t="str">
        <f t="shared" ca="1" si="15"/>
        <v>AMAN</v>
      </c>
    </row>
    <row r="219" spans="1:10">
      <c r="A219" s="11" t="str">
        <f>_xlfn.XLOOKUP(C219, data_master!G:G, data_master!B:B)</f>
        <v>24300</v>
      </c>
      <c r="B219" t="str">
        <f>_xlfn.XLOOKUP(C219, data_master!G:G, data_master!D:D)</f>
        <v>24300 PACITAN POS</v>
      </c>
      <c r="C219" s="12" t="str">
        <v>B3355VB</v>
      </c>
      <c r="D219" s="4">
        <f>IFERROR( _xlfn.MAXIFS( raw_stack!G:G, raw_stack!D:D, C219, raw_stack!F:F, "Iya" ), "" )</f>
        <v>45720</v>
      </c>
      <c r="E219" s="4">
        <f t="shared" si="12"/>
        <v>45904</v>
      </c>
      <c r="F219" s="7">
        <f>IFERROR(
 _xlfn.MAXIFS(
  raw_stack!H:H,
  raw_stack!D:D, C219,
  raw_stack!G:G, D219
 ),
 ""
)</f>
        <v>3241</v>
      </c>
      <c r="G219" s="7">
        <f>IFERROR(
 _xlfn.MAXIFS(
  raw_stack!E:E,
  raw_stack!D:D, C219,
  raw_stack!G:G, D219
 ),
 ""
)</f>
        <v>3241</v>
      </c>
      <c r="H219" s="10">
        <f t="shared" ca="1" si="13"/>
        <v>525</v>
      </c>
      <c r="I219" s="7">
        <f t="shared" si="14"/>
        <v>0</v>
      </c>
      <c r="J219" s="3" t="str">
        <f t="shared" ca="1" si="15"/>
        <v>OVERDUE</v>
      </c>
    </row>
    <row r="220" spans="1:10">
      <c r="A220" s="11" t="str">
        <f>_xlfn.XLOOKUP(C220, data_master!G:G, data_master!B:B)</f>
        <v>50324</v>
      </c>
      <c r="B220" t="str">
        <f>_xlfn.XLOOKUP(C220, data_master!G:G, data_master!D:D)</f>
        <v>50324 ROKAN HILIR POS</v>
      </c>
      <c r="C220" s="12" t="str">
        <v>B7659CZ</v>
      </c>
      <c r="D220" s="4">
        <f>IFERROR( _xlfn.MAXIFS( raw_stack!G:G, raw_stack!D:D, C220, raw_stack!F:F, "Iya" ), "" )</f>
        <v>45987</v>
      </c>
      <c r="E220" s="4">
        <f t="shared" si="12"/>
        <v>46168</v>
      </c>
      <c r="F220" s="7">
        <f>IFERROR(
 _xlfn.MAXIFS(
  raw_stack!H:H,
  raw_stack!D:D, C220,
  raw_stack!G:G, D220
 ),
 ""
)</f>
        <v>15848</v>
      </c>
      <c r="G220" s="7">
        <f>IFERROR(
 _xlfn.MAXIFS(
  raw_stack!E:E,
  raw_stack!D:D, C220,
  raw_stack!G:G, D220
 ),
 ""
)</f>
        <v>15848</v>
      </c>
      <c r="H220" s="10">
        <f t="shared" ca="1" si="13"/>
        <v>258</v>
      </c>
      <c r="I220" s="7">
        <f t="shared" si="14"/>
        <v>0</v>
      </c>
      <c r="J220" s="3" t="str">
        <f t="shared" ca="1" si="15"/>
        <v>OVERDUE</v>
      </c>
    </row>
    <row r="221" spans="1:10">
      <c r="A221" s="11" t="str">
        <f>_xlfn.XLOOKUP(C221, data_master!G:G, data_master!B:B)</f>
        <v>65003</v>
      </c>
      <c r="B221" t="str">
        <f>_xlfn.XLOOKUP(C221, data_master!G:G, data_master!D:D)</f>
        <v>65003 DAIRI</v>
      </c>
      <c r="C221" s="12" t="str">
        <v>B6871DFH</v>
      </c>
      <c r="D221" s="4">
        <f>IFERROR( _xlfn.MAXIFS( raw_stack!G:G, raw_stack!D:D, C221, raw_stack!F:F, "Iya" ), "" )</f>
        <v>46085</v>
      </c>
      <c r="E221" s="4">
        <f t="shared" si="12"/>
        <v>46269</v>
      </c>
      <c r="F221" s="7">
        <f>IFERROR(
 _xlfn.MAXIFS(
  raw_stack!H:H,
  raw_stack!D:D, C221,
  raw_stack!G:G, D221
 ),
 ""
)</f>
        <v>22293</v>
      </c>
      <c r="G221" s="7">
        <f>IFERROR(
 _xlfn.MAXIFS(
  raw_stack!E:E,
  raw_stack!D:D, C221,
  raw_stack!G:G, D221
 ),
 ""
)</f>
        <v>23154</v>
      </c>
      <c r="H221" s="10">
        <f t="shared" ca="1" si="13"/>
        <v>160</v>
      </c>
      <c r="I221" s="7">
        <f t="shared" si="14"/>
        <v>861</v>
      </c>
      <c r="J221" s="3" t="str">
        <f t="shared" ca="1" si="15"/>
        <v>AMAN</v>
      </c>
    </row>
    <row r="222" spans="1:10">
      <c r="A222" s="11" t="str">
        <f>_xlfn.XLOOKUP(C222, data_master!G:G, data_master!B:B)</f>
        <v>40571</v>
      </c>
      <c r="B222" t="str">
        <f>_xlfn.XLOOKUP(C222, data_master!G:G, data_master!D:D)</f>
        <v>40571 DOMPU BRANCH</v>
      </c>
      <c r="C222" s="12" t="str">
        <v>KT5836DY</v>
      </c>
      <c r="D222" s="4">
        <f>IFERROR( _xlfn.MAXIFS( raw_stack!G:G, raw_stack!D:D, C222, raw_stack!F:F, "Iya" ), "" )</f>
        <v>45923</v>
      </c>
      <c r="E222" s="4">
        <f t="shared" si="12"/>
        <v>46104</v>
      </c>
      <c r="F222" s="7">
        <f>IFERROR(
 _xlfn.MAXIFS(
  raw_stack!H:H,
  raw_stack!D:D, C222,
  raw_stack!G:G, D222
 ),
 ""
)</f>
        <v>20743</v>
      </c>
      <c r="G222" s="7">
        <f>IFERROR(
 _xlfn.MAXIFS(
  raw_stack!E:E,
  raw_stack!D:D, C222,
  raw_stack!G:G, D222
 ),
 ""
)</f>
        <v>20743</v>
      </c>
      <c r="H222" s="10">
        <f t="shared" ca="1" si="13"/>
        <v>322</v>
      </c>
      <c r="I222" s="7">
        <f t="shared" si="14"/>
        <v>0</v>
      </c>
      <c r="J222" s="3" t="str">
        <f t="shared" ca="1" si="15"/>
        <v>OVERDUE</v>
      </c>
    </row>
    <row r="223" spans="1:10">
      <c r="A223" s="11" t="str">
        <f>_xlfn.XLOOKUP(C223, data_master!G:G, data_master!B:B)</f>
        <v>24242</v>
      </c>
      <c r="B223" t="str">
        <f>_xlfn.XLOOKUP(C223, data_master!G:G, data_master!D:D)</f>
        <v>24242 TEBO</v>
      </c>
      <c r="C223" s="12" t="str">
        <v>B6806LA</v>
      </c>
      <c r="D223" s="4">
        <f>IFERROR( _xlfn.MAXIFS( raw_stack!G:G, raw_stack!D:D, C223, raw_stack!F:F, "Iya" ), "" )</f>
        <v>46064</v>
      </c>
      <c r="E223" s="4">
        <f t="shared" si="12"/>
        <v>46245</v>
      </c>
      <c r="F223" s="7">
        <f>IFERROR(
 _xlfn.MAXIFS(
  raw_stack!H:H,
  raw_stack!D:D, C223,
  raw_stack!G:G, D223
 ),
 ""
)</f>
        <v>17534</v>
      </c>
      <c r="G223" s="7">
        <f>IFERROR(
 _xlfn.MAXIFS(
  raw_stack!E:E,
  raw_stack!D:D, C223,
  raw_stack!G:G, D223
 ),
 ""
)</f>
        <v>17534</v>
      </c>
      <c r="H223" s="10">
        <f t="shared" ca="1" si="13"/>
        <v>181</v>
      </c>
      <c r="I223" s="7">
        <f t="shared" si="14"/>
        <v>0</v>
      </c>
      <c r="J223" s="3" t="str">
        <f t="shared" ca="1" si="15"/>
        <v>OVERDUE</v>
      </c>
    </row>
    <row r="224" spans="1:10">
      <c r="A224" s="11" t="str">
        <f>_xlfn.XLOOKUP(C224, data_master!G:G, data_master!B:B)</f>
        <v>71985</v>
      </c>
      <c r="B224" t="str">
        <f>_xlfn.XLOOKUP(C224, data_master!G:G, data_master!D:D)</f>
        <v>71985 LOMBOK TENGAH BRANCH</v>
      </c>
      <c r="C224" s="12" t="str">
        <v>KT8120IVX</v>
      </c>
      <c r="D224" s="4">
        <f>IFERROR( _xlfn.MAXIFS( raw_stack!G:G, raw_stack!D:D, C224, raw_stack!F:F, "Iya" ), "" )</f>
        <v>45972</v>
      </c>
      <c r="E224" s="4">
        <f t="shared" si="12"/>
        <v>46153</v>
      </c>
      <c r="F224" s="7">
        <f>IFERROR(
 _xlfn.MAXIFS(
  raw_stack!H:H,
  raw_stack!D:D, C224,
  raw_stack!G:G, D224
 ),
 ""
)</f>
        <v>12646</v>
      </c>
      <c r="G224" s="7">
        <f>IFERROR(
 _xlfn.MAXIFS(
  raw_stack!E:E,
  raw_stack!D:D, C224,
  raw_stack!G:G, D224
 ),
 ""
)</f>
        <v>12646</v>
      </c>
      <c r="H224" s="10">
        <f t="shared" ca="1" si="13"/>
        <v>273</v>
      </c>
      <c r="I224" s="7">
        <f t="shared" si="14"/>
        <v>0</v>
      </c>
      <c r="J224" s="3" t="str">
        <f t="shared" ca="1" si="15"/>
        <v>OVERDUE</v>
      </c>
    </row>
    <row r="225" spans="1:10">
      <c r="A225" s="11" t="str">
        <f>_xlfn.XLOOKUP(C225, data_master!G:G, data_master!B:B)</f>
        <v>40804</v>
      </c>
      <c r="B225" t="str">
        <f>_xlfn.XLOOKUP(C225, data_master!G:G, data_master!D:D)</f>
        <v>40804 BOGOR BRANCH</v>
      </c>
      <c r="C225" s="12" t="str">
        <v>B4755HT</v>
      </c>
      <c r="D225" s="4">
        <f>IFERROR( _xlfn.MAXIFS( raw_stack!G:G, raw_stack!D:D, C225, raw_stack!F:F, "Iya" ), "" )</f>
        <v>45723</v>
      </c>
      <c r="E225" s="4">
        <f t="shared" si="12"/>
        <v>45907</v>
      </c>
      <c r="F225" s="7">
        <f>IFERROR(
 _xlfn.MAXIFS(
  raw_stack!H:H,
  raw_stack!D:D, C225,
  raw_stack!G:G, D225
 ),
 ""
)</f>
        <v>8332</v>
      </c>
      <c r="G225" s="7">
        <f>IFERROR(
 _xlfn.MAXIFS(
  raw_stack!E:E,
  raw_stack!D:D, C225,
  raw_stack!G:G, D225
 ),
 ""
)</f>
        <v>8332</v>
      </c>
      <c r="H225" s="10">
        <f t="shared" ca="1" si="13"/>
        <v>522</v>
      </c>
      <c r="I225" s="7">
        <f t="shared" si="14"/>
        <v>0</v>
      </c>
      <c r="J225" s="3" t="str">
        <f t="shared" ca="1" si="15"/>
        <v>OVERDUE</v>
      </c>
    </row>
    <row r="226" spans="1:10">
      <c r="A226" s="11" t="str">
        <f>_xlfn.XLOOKUP(C226, data_master!G:G, data_master!B:B)</f>
        <v>26358</v>
      </c>
      <c r="B226" t="str">
        <f>_xlfn.XLOOKUP(C226, data_master!G:G, data_master!D:D)</f>
        <v>26358 CURUP</v>
      </c>
      <c r="C226" s="12" t="str">
        <v>KB6393GN</v>
      </c>
      <c r="D226" s="4">
        <f>IFERROR( _xlfn.MAXIFS( raw_stack!G:G, raw_stack!D:D, C226, raw_stack!F:F, "Iya" ), "" )</f>
        <v>46044</v>
      </c>
      <c r="E226" s="4">
        <f t="shared" si="12"/>
        <v>46225</v>
      </c>
      <c r="F226" s="7">
        <f>IFERROR(
 _xlfn.MAXIFS(
  raw_stack!H:H,
  raw_stack!D:D, C226,
  raw_stack!G:G, D226
 ),
 ""
)</f>
        <v>6315</v>
      </c>
      <c r="G226" s="7">
        <f>IFERROR(
 _xlfn.MAXIFS(
  raw_stack!E:E,
  raw_stack!D:D, C226,
  raw_stack!G:G, D226
 ),
 ""
)</f>
        <v>6315</v>
      </c>
      <c r="H226" s="10">
        <f t="shared" ca="1" si="13"/>
        <v>201</v>
      </c>
      <c r="I226" s="7">
        <f t="shared" si="14"/>
        <v>0</v>
      </c>
      <c r="J226" s="3" t="str">
        <f t="shared" ca="1" si="15"/>
        <v>OVERDUE</v>
      </c>
    </row>
    <row r="227" spans="1:10">
      <c r="A227" s="11" t="str">
        <f>_xlfn.XLOOKUP(C227, data_master!G:G, data_master!B:B)</f>
        <v>11749</v>
      </c>
      <c r="B227" t="str">
        <f>_xlfn.XLOOKUP(C227, data_master!G:G, data_master!D:D)</f>
        <v>11749 BREBES POS</v>
      </c>
      <c r="C227" s="12" t="str">
        <v>B2544NP</v>
      </c>
      <c r="D227" s="4">
        <f>IFERROR( _xlfn.MAXIFS( raw_stack!G:G, raw_stack!D:D, C227, raw_stack!F:F, "Iya" ), "" )</f>
        <v>45902</v>
      </c>
      <c r="E227" s="4">
        <f t="shared" si="12"/>
        <v>46083</v>
      </c>
      <c r="F227" s="7">
        <f>IFERROR(
 _xlfn.MAXIFS(
  raw_stack!H:H,
  raw_stack!D:D, C227,
  raw_stack!G:G, D227
 ),
 ""
)</f>
        <v>8171</v>
      </c>
      <c r="G227" s="7">
        <f>IFERROR(
 _xlfn.MAXIFS(
  raw_stack!E:E,
  raw_stack!D:D, C227,
  raw_stack!G:G, D227
 ),
 ""
)</f>
        <v>8171</v>
      </c>
      <c r="H227" s="10">
        <f t="shared" ca="1" si="13"/>
        <v>343</v>
      </c>
      <c r="I227" s="7">
        <f t="shared" si="14"/>
        <v>0</v>
      </c>
      <c r="J227" s="3" t="str">
        <f t="shared" ca="1" si="15"/>
        <v>OVERDUE</v>
      </c>
    </row>
    <row r="228" spans="1:10">
      <c r="A228" s="11" t="str">
        <f>_xlfn.XLOOKUP(C228, data_master!G:G, data_master!B:B)</f>
        <v>50579</v>
      </c>
      <c r="B228" t="str">
        <f>_xlfn.XLOOKUP(C228, data_master!G:G, data_master!D:D)</f>
        <v>50579 CIREBON 2</v>
      </c>
      <c r="C228" s="12" t="str">
        <v>B7187TX</v>
      </c>
      <c r="D228" s="4">
        <f>IFERROR( _xlfn.MAXIFS( raw_stack!G:G, raw_stack!D:D, C228, raw_stack!F:F, "Iya" ), "" )</f>
        <v>45870</v>
      </c>
      <c r="E228" s="4">
        <f t="shared" si="12"/>
        <v>46054</v>
      </c>
      <c r="F228" s="7">
        <f>IFERROR(
 _xlfn.MAXIFS(
  raw_stack!H:H,
  raw_stack!D:D, C228,
  raw_stack!G:G, D228
 ),
 ""
)</f>
        <v>4509</v>
      </c>
      <c r="G228" s="7">
        <f>IFERROR(
 _xlfn.MAXIFS(
  raw_stack!E:E,
  raw_stack!D:D, C228,
  raw_stack!G:G, D228
 ),
 ""
)</f>
        <v>4509</v>
      </c>
      <c r="H228" s="10">
        <f t="shared" ca="1" si="13"/>
        <v>375</v>
      </c>
      <c r="I228" s="7">
        <f t="shared" si="14"/>
        <v>0</v>
      </c>
      <c r="J228" s="3" t="str">
        <f t="shared" ca="1" si="15"/>
        <v>OVERDUE</v>
      </c>
    </row>
    <row r="229" spans="1:10">
      <c r="A229" s="11" t="str">
        <f>_xlfn.XLOOKUP(C229, data_master!G:G, data_master!B:B)</f>
        <v>85365</v>
      </c>
      <c r="B229" t="str">
        <f>_xlfn.XLOOKUP(C229, data_master!G:G, data_master!D:D)</f>
        <v>85365 JAKARTA BARAT</v>
      </c>
      <c r="C229" s="12" t="str">
        <v>B7162IV</v>
      </c>
      <c r="D229" s="4">
        <f>IFERROR( _xlfn.MAXIFS( raw_stack!G:G, raw_stack!D:D, C229, raw_stack!F:F, "Iya" ), "" )</f>
        <v>45916</v>
      </c>
      <c r="E229" s="4">
        <f t="shared" si="12"/>
        <v>46097</v>
      </c>
      <c r="F229" s="7">
        <f>IFERROR(
 _xlfn.MAXIFS(
  raw_stack!H:H,
  raw_stack!D:D, C229,
  raw_stack!G:G, D229
 ),
 ""
)</f>
        <v>17427</v>
      </c>
      <c r="G229" s="7">
        <f>IFERROR(
 _xlfn.MAXIFS(
  raw_stack!E:E,
  raw_stack!D:D, C229,
  raw_stack!G:G, D229
 ),
 ""
)</f>
        <v>17427</v>
      </c>
      <c r="H229" s="10">
        <f t="shared" ca="1" si="13"/>
        <v>329</v>
      </c>
      <c r="I229" s="7">
        <f t="shared" si="14"/>
        <v>0</v>
      </c>
      <c r="J229" s="3" t="str">
        <f t="shared" ca="1" si="15"/>
        <v>OVERDUE</v>
      </c>
    </row>
    <row r="230" spans="1:10">
      <c r="A230" s="11" t="str">
        <f>_xlfn.XLOOKUP(C230, data_master!G:G, data_master!B:B)</f>
        <v>46658</v>
      </c>
      <c r="B230" t="str">
        <f>_xlfn.XLOOKUP(C230, data_master!G:G, data_master!D:D)</f>
        <v>46658 PANGKALAN BUN 2</v>
      </c>
      <c r="C230" s="12" t="str">
        <v>B6936PI</v>
      </c>
      <c r="D230" s="4">
        <f>IFERROR( _xlfn.MAXIFS( raw_stack!G:G, raw_stack!D:D, C230, raw_stack!F:F, "Iya" ), "" )</f>
        <v>46113</v>
      </c>
      <c r="E230" s="4">
        <f t="shared" si="12"/>
        <v>46296</v>
      </c>
      <c r="F230" s="7">
        <f>IFERROR(
 _xlfn.MAXIFS(
  raw_stack!H:H,
  raw_stack!D:D, C230,
  raw_stack!G:G, D230
 ),
 ""
)</f>
        <v>7293</v>
      </c>
      <c r="G230" s="7">
        <f>IFERROR(
 _xlfn.MAXIFS(
  raw_stack!E:E,
  raw_stack!D:D, C230,
  raw_stack!G:G, D230
 ),
 ""
)</f>
        <v>7293</v>
      </c>
      <c r="H230" s="10">
        <f t="shared" ca="1" si="13"/>
        <v>132</v>
      </c>
      <c r="I230" s="7">
        <f t="shared" si="14"/>
        <v>0</v>
      </c>
      <c r="J230" s="3" t="str">
        <f t="shared" ca="1" si="15"/>
        <v>AMAN</v>
      </c>
    </row>
    <row r="231" spans="1:10">
      <c r="A231" s="11" t="str">
        <f>_xlfn.XLOOKUP(C231, data_master!G:G, data_master!B:B)</f>
        <v>94865</v>
      </c>
      <c r="B231" t="str">
        <f>_xlfn.XLOOKUP(C231, data_master!G:G, data_master!D:D)</f>
        <v>94865 KARANGANYAR POS</v>
      </c>
      <c r="C231" s="12" t="str">
        <v>B8457UZ</v>
      </c>
      <c r="D231" s="4">
        <f>IFERROR( _xlfn.MAXIFS( raw_stack!G:G, raw_stack!D:D, C231, raw_stack!F:F, "Iya" ), "" )</f>
        <v>46056</v>
      </c>
      <c r="E231" s="4">
        <f t="shared" si="12"/>
        <v>46237</v>
      </c>
      <c r="F231" s="7">
        <f>IFERROR(
 _xlfn.MAXIFS(
  raw_stack!H:H,
  raw_stack!D:D, C231,
  raw_stack!G:G, D231
 ),
 ""
)</f>
        <v>18313</v>
      </c>
      <c r="G231" s="7">
        <f>IFERROR(
 _xlfn.MAXIFS(
  raw_stack!E:E,
  raw_stack!D:D, C231,
  raw_stack!G:G, D231
 ),
 ""
)</f>
        <v>18313</v>
      </c>
      <c r="H231" s="10">
        <f t="shared" ca="1" si="13"/>
        <v>189</v>
      </c>
      <c r="I231" s="7">
        <f t="shared" si="14"/>
        <v>0</v>
      </c>
      <c r="J231" s="3" t="str">
        <f t="shared" ca="1" si="15"/>
        <v>OVERDUE</v>
      </c>
    </row>
    <row r="232" spans="1:10">
      <c r="A232" s="11" t="str">
        <f>_xlfn.XLOOKUP(C232, data_master!G:G, data_master!B:B)</f>
        <v>30352</v>
      </c>
      <c r="B232" t="str">
        <f>_xlfn.XLOOKUP(C232, data_master!G:G, data_master!D:D)</f>
        <v>30352 BANYUMAS</v>
      </c>
      <c r="C232" s="12" t="str">
        <v>B2639ZDE</v>
      </c>
      <c r="D232" s="4">
        <f>IFERROR( _xlfn.MAXIFS( raw_stack!G:G, raw_stack!D:D, C232, raw_stack!F:F, "Iya" ), "" )</f>
        <v>46090</v>
      </c>
      <c r="E232" s="4">
        <f t="shared" si="12"/>
        <v>46274</v>
      </c>
      <c r="F232" s="7">
        <f>IFERROR(
 _xlfn.MAXIFS(
  raw_stack!H:H,
  raw_stack!D:D, C232,
  raw_stack!G:G, D232
 ),
 ""
)</f>
        <v>16282</v>
      </c>
      <c r="G232" s="7">
        <f>IFERROR(
 _xlfn.MAXIFS(
  raw_stack!E:E,
  raw_stack!D:D, C232,
  raw_stack!G:G, D232
 ),
 ""
)</f>
        <v>16282</v>
      </c>
      <c r="H232" s="10">
        <f t="shared" ca="1" si="13"/>
        <v>155</v>
      </c>
      <c r="I232" s="7">
        <f t="shared" si="14"/>
        <v>0</v>
      </c>
      <c r="J232" s="3" t="str">
        <f t="shared" ca="1" si="15"/>
        <v>AMAN</v>
      </c>
    </row>
    <row r="233" spans="1:10">
      <c r="A233" s="11" t="str">
        <f>_xlfn.XLOOKUP(C233, data_master!G:G, data_master!B:B)</f>
        <v>29563</v>
      </c>
      <c r="B233" t="str">
        <f>_xlfn.XLOOKUP(C233, data_master!G:G, data_master!D:D)</f>
        <v>29563 DELI SERDANG</v>
      </c>
      <c r="C233" s="12" t="str">
        <v>B6224AT</v>
      </c>
      <c r="D233" s="4">
        <f>IFERROR( _xlfn.MAXIFS( raw_stack!G:G, raw_stack!D:D, C233, raw_stack!F:F, "Iya" ), "" )</f>
        <v>46008</v>
      </c>
      <c r="E233" s="4">
        <f t="shared" si="12"/>
        <v>46190</v>
      </c>
      <c r="F233" s="7">
        <f>IFERROR(
 _xlfn.MAXIFS(
  raw_stack!H:H,
  raw_stack!D:D, C233,
  raw_stack!G:G, D233
 ),
 ""
)</f>
        <v>24109</v>
      </c>
      <c r="G233" s="7">
        <f>IFERROR(
 _xlfn.MAXIFS(
  raw_stack!E:E,
  raw_stack!D:D, C233,
  raw_stack!G:G, D233
 ),
 ""
)</f>
        <v>24109</v>
      </c>
      <c r="H233" s="10">
        <f t="shared" ca="1" si="13"/>
        <v>237</v>
      </c>
      <c r="I233" s="7">
        <f t="shared" si="14"/>
        <v>0</v>
      </c>
      <c r="J233" s="3" t="str">
        <f t="shared" ca="1" si="15"/>
        <v>OVERDUE</v>
      </c>
    </row>
    <row r="234" spans="1:10">
      <c r="A234" s="11" t="str">
        <f>_xlfn.XLOOKUP(C234, data_master!G:G, data_master!B:B)</f>
        <v>64805</v>
      </c>
      <c r="B234" t="str">
        <f>_xlfn.XLOOKUP(C234, data_master!G:G, data_master!D:D)</f>
        <v>64805 PAGAR ALAM</v>
      </c>
      <c r="C234" s="12" t="str">
        <v>B5066SRV</v>
      </c>
      <c r="D234" s="4">
        <f>IFERROR( _xlfn.MAXIFS( raw_stack!G:G, raw_stack!D:D, C234, raw_stack!F:F, "Iya" ), "" )</f>
        <v>46035</v>
      </c>
      <c r="E234" s="4">
        <f t="shared" si="12"/>
        <v>46216</v>
      </c>
      <c r="F234" s="7">
        <f>IFERROR(
 _xlfn.MAXIFS(
  raw_stack!H:H,
  raw_stack!D:D, C234,
  raw_stack!G:G, D234
 ),
 ""
)</f>
        <v>21210</v>
      </c>
      <c r="G234" s="7">
        <f>IFERROR(
 _xlfn.MAXIFS(
  raw_stack!E:E,
  raw_stack!D:D, C234,
  raw_stack!G:G, D234
 ),
 ""
)</f>
        <v>21210</v>
      </c>
      <c r="H234" s="10">
        <f t="shared" ca="1" si="13"/>
        <v>210</v>
      </c>
      <c r="I234" s="7">
        <f t="shared" si="14"/>
        <v>0</v>
      </c>
      <c r="J234" s="3" t="str">
        <f t="shared" ca="1" si="15"/>
        <v>OVERDUE</v>
      </c>
    </row>
    <row r="235" spans="1:10">
      <c r="A235" s="11" t="str">
        <f>_xlfn.XLOOKUP(C235, data_master!G:G, data_master!B:B)</f>
        <v>59397</v>
      </c>
      <c r="B235" t="str">
        <f>_xlfn.XLOOKUP(C235, data_master!G:G, data_master!D:D)</f>
        <v>59397 KARIMUN BRANCH</v>
      </c>
      <c r="C235" s="12" t="str">
        <v>B3553ILD</v>
      </c>
      <c r="D235" s="4">
        <f>IFERROR( _xlfn.MAXIFS( raw_stack!G:G, raw_stack!D:D, C235, raw_stack!F:F, "Iya" ), "" )</f>
        <v>46056</v>
      </c>
      <c r="E235" s="4">
        <f t="shared" si="12"/>
        <v>46237</v>
      </c>
      <c r="F235" s="7">
        <f>IFERROR(
 _xlfn.MAXIFS(
  raw_stack!H:H,
  raw_stack!D:D, C235,
  raw_stack!G:G, D235
 ),
 ""
)</f>
        <v>12454</v>
      </c>
      <c r="G235" s="7">
        <f>IFERROR(
 _xlfn.MAXIFS(
  raw_stack!E:E,
  raw_stack!D:D, C235,
  raw_stack!G:G, D235
 ),
 ""
)</f>
        <v>12454</v>
      </c>
      <c r="H235" s="10">
        <f t="shared" ca="1" si="13"/>
        <v>189</v>
      </c>
      <c r="I235" s="7">
        <f t="shared" si="14"/>
        <v>0</v>
      </c>
      <c r="J235" s="3" t="str">
        <f t="shared" ca="1" si="15"/>
        <v>OVERDUE</v>
      </c>
    </row>
    <row r="236" spans="1:10">
      <c r="A236" s="11" t="str">
        <f>_xlfn.XLOOKUP(C236, data_master!G:G, data_master!B:B)</f>
        <v>16172</v>
      </c>
      <c r="B236" t="str">
        <f>_xlfn.XLOOKUP(C236, data_master!G:G, data_master!D:D)</f>
        <v>16172 KERINCI</v>
      </c>
      <c r="C236" s="12" t="str">
        <v>B9558JSZ</v>
      </c>
      <c r="D236" s="4">
        <f>IFERROR( _xlfn.MAXIFS( raw_stack!G:G, raw_stack!D:D, C236, raw_stack!F:F, "Iya" ), "" )</f>
        <v>46374</v>
      </c>
      <c r="E236" s="4">
        <f t="shared" si="12"/>
        <v>46556</v>
      </c>
      <c r="F236" s="7">
        <f>IFERROR(
 _xlfn.MAXIFS(
  raw_stack!H:H,
  raw_stack!D:D, C236,
  raw_stack!G:G, D236
 ),
 ""
)</f>
        <v>21574</v>
      </c>
      <c r="G236" s="7">
        <f>IFERROR(
 _xlfn.MAXIFS(
  raw_stack!E:E,
  raw_stack!D:D, C236,
  raw_stack!G:G, D236
 ),
 ""
)</f>
        <v>21574</v>
      </c>
      <c r="H236" s="10">
        <f t="shared" ca="1" si="13"/>
        <v>-129</v>
      </c>
      <c r="I236" s="7">
        <f t="shared" si="14"/>
        <v>0</v>
      </c>
      <c r="J236" s="3" t="str">
        <f t="shared" ca="1" si="15"/>
        <v>AMAN</v>
      </c>
    </row>
    <row r="237" spans="1:10">
      <c r="A237" s="11" t="str">
        <f>_xlfn.XLOOKUP(C237, data_master!G:G, data_master!B:B)</f>
        <v>44723</v>
      </c>
      <c r="B237" t="str">
        <f>_xlfn.XLOOKUP(C237, data_master!G:G, data_master!D:D)</f>
        <v>44723 KUDUS UNIT</v>
      </c>
      <c r="C237" s="12" t="str">
        <v>B6257GSZ</v>
      </c>
      <c r="D237" s="4">
        <f>IFERROR( _xlfn.MAXIFS( raw_stack!G:G, raw_stack!D:D, C237, raw_stack!F:F, "Iya" ), "" )</f>
        <v>46090</v>
      </c>
      <c r="E237" s="4">
        <f t="shared" si="12"/>
        <v>46274</v>
      </c>
      <c r="F237" s="7">
        <f>IFERROR(
 _xlfn.MAXIFS(
  raw_stack!H:H,
  raw_stack!D:D, C237,
  raw_stack!G:G, D237
 ),
 ""
)</f>
        <v>21020</v>
      </c>
      <c r="G237" s="7">
        <f>IFERROR(
 _xlfn.MAXIFS(
  raw_stack!E:E,
  raw_stack!D:D, C237,
  raw_stack!G:G, D237
 ),
 ""
)</f>
        <v>21020</v>
      </c>
      <c r="H237" s="10">
        <f t="shared" ca="1" si="13"/>
        <v>155</v>
      </c>
      <c r="I237" s="7">
        <f t="shared" si="14"/>
        <v>0</v>
      </c>
      <c r="J237" s="3" t="str">
        <f t="shared" ca="1" si="15"/>
        <v>AMAN</v>
      </c>
    </row>
    <row r="238" spans="1:10">
      <c r="A238" s="11" t="str">
        <f>_xlfn.XLOOKUP(C238, data_master!G:G, data_master!B:B)</f>
        <v>70300</v>
      </c>
      <c r="B238" t="str">
        <f>_xlfn.XLOOKUP(C238, data_master!G:G, data_master!D:D)</f>
        <v>70300 KUPANG POS</v>
      </c>
      <c r="C238" s="12" t="str">
        <v>B9877USW</v>
      </c>
      <c r="D238" s="4">
        <f>IFERROR( _xlfn.MAXIFS( raw_stack!G:G, raw_stack!D:D, C238, raw_stack!F:F, "Iya" ), "" )</f>
        <v>46034</v>
      </c>
      <c r="E238" s="4">
        <f t="shared" si="12"/>
        <v>46215</v>
      </c>
      <c r="F238" s="7">
        <f>IFERROR(
 _xlfn.MAXIFS(
  raw_stack!H:H,
  raw_stack!D:D, C238,
  raw_stack!G:G, D238
 ),
 ""
)</f>
        <v>11456</v>
      </c>
      <c r="G238" s="7">
        <f>IFERROR(
 _xlfn.MAXIFS(
  raw_stack!E:E,
  raw_stack!D:D, C238,
  raw_stack!G:G, D238
 ),
 ""
)</f>
        <v>11456</v>
      </c>
      <c r="H238" s="10">
        <f t="shared" ca="1" si="13"/>
        <v>211</v>
      </c>
      <c r="I238" s="7">
        <f t="shared" si="14"/>
        <v>0</v>
      </c>
      <c r="J238" s="3" t="str">
        <f t="shared" ca="1" si="15"/>
        <v>OVERDUE</v>
      </c>
    </row>
    <row r="239" spans="1:10">
      <c r="A239" s="11" t="str">
        <f>_xlfn.XLOOKUP(C239, data_master!G:G, data_master!B:B)</f>
        <v>44991</v>
      </c>
      <c r="B239" t="str">
        <f>_xlfn.XLOOKUP(C239, data_master!G:G, data_master!D:D)</f>
        <v>44991 TUAL</v>
      </c>
      <c r="C239" s="12" t="str">
        <v>B2965LW</v>
      </c>
      <c r="D239" s="4">
        <f>IFERROR( _xlfn.MAXIFS( raw_stack!G:G, raw_stack!D:D, C239, raw_stack!F:F, "Iya" ), "" )</f>
        <v>46030</v>
      </c>
      <c r="E239" s="4">
        <f t="shared" si="12"/>
        <v>46211</v>
      </c>
      <c r="F239" s="7">
        <f>IFERROR(
 _xlfn.MAXIFS(
  raw_stack!H:H,
  raw_stack!D:D, C239,
  raw_stack!G:G, D239
 ),
 ""
)</f>
        <v>17476</v>
      </c>
      <c r="G239" s="7">
        <f>IFERROR(
 _xlfn.MAXIFS(
  raw_stack!E:E,
  raw_stack!D:D, C239,
  raw_stack!G:G, D239
 ),
 ""
)</f>
        <v>17476</v>
      </c>
      <c r="H239" s="10">
        <f t="shared" ca="1" si="13"/>
        <v>215</v>
      </c>
      <c r="I239" s="7">
        <f t="shared" si="14"/>
        <v>0</v>
      </c>
      <c r="J239" s="3" t="str">
        <f t="shared" ca="1" si="15"/>
        <v>OVERDUE</v>
      </c>
    </row>
    <row r="240" spans="1:10">
      <c r="A240" s="11" t="str">
        <f>_xlfn.XLOOKUP(C240, data_master!G:G, data_master!B:B)</f>
        <v>70524</v>
      </c>
      <c r="B240" t="str">
        <f>_xlfn.XLOOKUP(C240, data_master!G:G, data_master!D:D)</f>
        <v>70524 PADANG 2</v>
      </c>
      <c r="C240" s="12" t="str">
        <v>D9851QY</v>
      </c>
      <c r="D240" s="4">
        <f>IFERROR( _xlfn.MAXIFS( raw_stack!G:G, raw_stack!D:D, C240, raw_stack!F:F, "Iya" ), "" )</f>
        <v>45999</v>
      </c>
      <c r="E240" s="4">
        <f t="shared" si="12"/>
        <v>46181</v>
      </c>
      <c r="F240" s="7">
        <f>IFERROR(
 _xlfn.MAXIFS(
  raw_stack!H:H,
  raw_stack!D:D, C240,
  raw_stack!G:G, D240
 ),
 ""
)</f>
        <v>11603</v>
      </c>
      <c r="G240" s="7">
        <f>IFERROR(
 _xlfn.MAXIFS(
  raw_stack!E:E,
  raw_stack!D:D, C240,
  raw_stack!G:G, D240
 ),
 ""
)</f>
        <v>11603</v>
      </c>
      <c r="H240" s="10">
        <f t="shared" ca="1" si="13"/>
        <v>246</v>
      </c>
      <c r="I240" s="7">
        <f t="shared" si="14"/>
        <v>0</v>
      </c>
      <c r="J240" s="3" t="str">
        <f t="shared" ca="1" si="15"/>
        <v>OVERDUE</v>
      </c>
    </row>
    <row r="241" spans="1:10">
      <c r="A241" s="11" t="str">
        <f>_xlfn.XLOOKUP(C241, data_master!G:G, data_master!B:B)</f>
        <v>25264</v>
      </c>
      <c r="B241" t="str">
        <f>_xlfn.XLOOKUP(C241, data_master!G:G, data_master!D:D)</f>
        <v>25264 NGAWI POS</v>
      </c>
      <c r="C241" s="12" t="str">
        <v>KB6883QY</v>
      </c>
      <c r="D241" s="4">
        <f>IFERROR( _xlfn.MAXIFS( raw_stack!G:G, raw_stack!D:D, C241, raw_stack!F:F, "Iya" ), "" )</f>
        <v>45904</v>
      </c>
      <c r="E241" s="4">
        <f t="shared" si="12"/>
        <v>46085</v>
      </c>
      <c r="F241" s="7">
        <f>IFERROR(
 _xlfn.MAXIFS(
  raw_stack!H:H,
  raw_stack!D:D, C241,
  raw_stack!G:G, D241
 ),
 ""
)</f>
        <v>19981</v>
      </c>
      <c r="G241" s="7">
        <f>IFERROR(
 _xlfn.MAXIFS(
  raw_stack!E:E,
  raw_stack!D:D, C241,
  raw_stack!G:G, D241
 ),
 ""
)</f>
        <v>19981</v>
      </c>
      <c r="H241" s="10">
        <f t="shared" ca="1" si="13"/>
        <v>341</v>
      </c>
      <c r="I241" s="7">
        <f t="shared" si="14"/>
        <v>0</v>
      </c>
      <c r="J241" s="3" t="str">
        <f t="shared" ca="1" si="15"/>
        <v>OVERDUE</v>
      </c>
    </row>
    <row r="242" spans="1:10">
      <c r="A242" s="11" t="str">
        <f>_xlfn.XLOOKUP(C242, data_master!G:G, data_master!B:B)</f>
        <v>83880</v>
      </c>
      <c r="B242" t="str">
        <f>_xlfn.XLOOKUP(C242, data_master!G:G, data_master!D:D)</f>
        <v>83880 BITUNG BRANCH</v>
      </c>
      <c r="C242" s="12" t="str">
        <v>B8599SQ</v>
      </c>
      <c r="D242" s="4">
        <f>IFERROR( _xlfn.MAXIFS( raw_stack!G:G, raw_stack!D:D, C242, raw_stack!F:F, "Iya" ), "" )</f>
        <v>45908</v>
      </c>
      <c r="E242" s="4">
        <f t="shared" si="12"/>
        <v>46089</v>
      </c>
      <c r="F242" s="7">
        <f>IFERROR(
 _xlfn.MAXIFS(
  raw_stack!H:H,
  raw_stack!D:D, C242,
  raw_stack!G:G, D242
 ),
 ""
)</f>
        <v>7370</v>
      </c>
      <c r="G242" s="7">
        <f>IFERROR(
 _xlfn.MAXIFS(
  raw_stack!E:E,
  raw_stack!D:D, C242,
  raw_stack!G:G, D242
 ),
 ""
)</f>
        <v>7370</v>
      </c>
      <c r="H242" s="10">
        <f t="shared" ca="1" si="13"/>
        <v>337</v>
      </c>
      <c r="I242" s="7">
        <f t="shared" si="14"/>
        <v>0</v>
      </c>
      <c r="J242" s="3" t="str">
        <f t="shared" ca="1" si="15"/>
        <v>OVERDUE</v>
      </c>
    </row>
    <row r="243" spans="1:10">
      <c r="A243" s="11" t="str">
        <f>_xlfn.XLOOKUP(C243, data_master!G:G, data_master!B:B)</f>
        <v>59355</v>
      </c>
      <c r="B243" t="str">
        <f>_xlfn.XLOOKUP(C243, data_master!G:G, data_master!D:D)</f>
        <v>59355 GOWA POS</v>
      </c>
      <c r="C243" s="12" t="str">
        <v>B3556KY</v>
      </c>
      <c r="D243" s="4">
        <f>IFERROR( _xlfn.MAXIFS( raw_stack!G:G, raw_stack!D:D, C243, raw_stack!F:F, "Iya" ), "" )</f>
        <v>46001</v>
      </c>
      <c r="E243" s="4">
        <f t="shared" si="12"/>
        <v>46183</v>
      </c>
      <c r="F243" s="7">
        <f>IFERROR(
 _xlfn.MAXIFS(
  raw_stack!H:H,
  raw_stack!D:D, C243,
  raw_stack!G:G, D243
 ),
 ""
)</f>
        <v>2699</v>
      </c>
      <c r="G243" s="7">
        <f>IFERROR(
 _xlfn.MAXIFS(
  raw_stack!E:E,
  raw_stack!D:D, C243,
  raw_stack!G:G, D243
 ),
 ""
)</f>
        <v>2699</v>
      </c>
      <c r="H243" s="10">
        <f t="shared" ca="1" si="13"/>
        <v>244</v>
      </c>
      <c r="I243" s="7">
        <f t="shared" si="14"/>
        <v>0</v>
      </c>
      <c r="J243" s="3" t="str">
        <f t="shared" ca="1" si="15"/>
        <v>OVERDUE</v>
      </c>
    </row>
    <row r="244" spans="1:10">
      <c r="A244" s="11" t="str">
        <f>_xlfn.XLOOKUP(C244, data_master!G:G, data_master!B:B)</f>
        <v>19725</v>
      </c>
      <c r="B244" t="str">
        <f>_xlfn.XLOOKUP(C244, data_master!G:G, data_master!D:D)</f>
        <v>19725 BULELENG POS</v>
      </c>
      <c r="C244" s="12" t="str">
        <v>B1901ZW</v>
      </c>
      <c r="D244" s="4">
        <f>IFERROR( _xlfn.MAXIFS( raw_stack!G:G, raw_stack!D:D, C244, raw_stack!F:F, "Iya" ), "" )</f>
        <v>46009</v>
      </c>
      <c r="E244" s="4">
        <f t="shared" si="12"/>
        <v>46191</v>
      </c>
      <c r="F244" s="7">
        <f>IFERROR(
 _xlfn.MAXIFS(
  raw_stack!H:H,
  raw_stack!D:D, C244,
  raw_stack!G:G, D244
 ),
 ""
)</f>
        <v>17664</v>
      </c>
      <c r="G244" s="7">
        <f>IFERROR(
 _xlfn.MAXIFS(
  raw_stack!E:E,
  raw_stack!D:D, C244,
  raw_stack!G:G, D244
 ),
 ""
)</f>
        <v>17664</v>
      </c>
      <c r="H244" s="10">
        <f t="shared" ca="1" si="13"/>
        <v>236</v>
      </c>
      <c r="I244" s="7">
        <f t="shared" si="14"/>
        <v>0</v>
      </c>
      <c r="J244" s="3" t="str">
        <f t="shared" ca="1" si="15"/>
        <v>OVERDUE</v>
      </c>
    </row>
    <row r="245" spans="1:10">
      <c r="A245" s="11" t="str">
        <f>_xlfn.XLOOKUP(C245, data_master!G:G, data_master!B:B)</f>
        <v>96613</v>
      </c>
      <c r="B245" t="str">
        <f>_xlfn.XLOOKUP(C245, data_master!G:G, data_master!D:D)</f>
        <v>96613 TOMOHON BRANCH</v>
      </c>
      <c r="C245" s="12" t="str">
        <v>KB9985GGA</v>
      </c>
      <c r="D245" s="4">
        <f>IFERROR( _xlfn.MAXIFS( raw_stack!G:G, raw_stack!D:D, C245, raw_stack!F:F, "Iya" ), "" )</f>
        <v>45937</v>
      </c>
      <c r="E245" s="4">
        <f t="shared" si="12"/>
        <v>46119</v>
      </c>
      <c r="F245" s="7">
        <f>IFERROR(
 _xlfn.MAXIFS(
  raw_stack!H:H,
  raw_stack!D:D, C245,
  raw_stack!G:G, D245
 ),
 ""
)</f>
        <v>17887</v>
      </c>
      <c r="G245" s="7">
        <f>IFERROR(
 _xlfn.MAXIFS(
  raw_stack!E:E,
  raw_stack!D:D, C245,
  raw_stack!G:G, D245
 ),
 ""
)</f>
        <v>17887</v>
      </c>
      <c r="H245" s="10">
        <f t="shared" ca="1" si="13"/>
        <v>308</v>
      </c>
      <c r="I245" s="7">
        <f t="shared" si="14"/>
        <v>0</v>
      </c>
      <c r="J245" s="3" t="str">
        <f t="shared" ca="1" si="15"/>
        <v>OVERDUE</v>
      </c>
    </row>
    <row r="246" spans="1:10">
      <c r="A246" s="11" t="str">
        <f>_xlfn.XLOOKUP(C246, data_master!G:G, data_master!B:B)</f>
        <v>40281</v>
      </c>
      <c r="B246" t="str">
        <f>_xlfn.XLOOKUP(C246, data_master!G:G, data_master!D:D)</f>
        <v>40281 MUARA TEWEH</v>
      </c>
      <c r="C246" s="12" t="str">
        <v>B4665UI</v>
      </c>
      <c r="D246" s="4">
        <f>IFERROR( _xlfn.MAXIFS( raw_stack!G:G, raw_stack!D:D, C246, raw_stack!F:F, "Iya" ), "" )</f>
        <v>45972</v>
      </c>
      <c r="E246" s="4">
        <f t="shared" si="12"/>
        <v>46153</v>
      </c>
      <c r="F246" s="7">
        <f>IFERROR(
 _xlfn.MAXIFS(
  raw_stack!H:H,
  raw_stack!D:D, C246,
  raw_stack!G:G, D246
 ),
 ""
)</f>
        <v>18629</v>
      </c>
      <c r="G246" s="7">
        <f>IFERROR(
 _xlfn.MAXIFS(
  raw_stack!E:E,
  raw_stack!D:D, C246,
  raw_stack!G:G, D246
 ),
 ""
)</f>
        <v>18629</v>
      </c>
      <c r="H246" s="10">
        <f t="shared" ca="1" si="13"/>
        <v>273</v>
      </c>
      <c r="I246" s="7">
        <f t="shared" si="14"/>
        <v>0</v>
      </c>
      <c r="J246" s="3" t="str">
        <f t="shared" ca="1" si="15"/>
        <v>OVERDUE</v>
      </c>
    </row>
    <row r="247" spans="1:10">
      <c r="A247" s="11" t="str">
        <f>_xlfn.XLOOKUP(C247, data_master!G:G, data_master!B:B)</f>
        <v>48634</v>
      </c>
      <c r="B247" t="str">
        <f>_xlfn.XLOOKUP(C247, data_master!G:G, data_master!D:D)</f>
        <v>48634 PAYAKUMBUH UNIT</v>
      </c>
      <c r="C247" s="12" t="str">
        <v>B9910CL</v>
      </c>
      <c r="D247" s="4">
        <f>IFERROR( _xlfn.MAXIFS( raw_stack!G:G, raw_stack!D:D, C247, raw_stack!F:F, "Iya" ), "" )</f>
        <v>45934</v>
      </c>
      <c r="E247" s="4">
        <f t="shared" si="12"/>
        <v>46116</v>
      </c>
      <c r="F247" s="7">
        <f>IFERROR(
 _xlfn.MAXIFS(
  raw_stack!H:H,
  raw_stack!D:D, C247,
  raw_stack!G:G, D247
 ),
 ""
)</f>
        <v>9053</v>
      </c>
      <c r="G247" s="7">
        <f>IFERROR(
 _xlfn.MAXIFS(
  raw_stack!E:E,
  raw_stack!D:D, C247,
  raw_stack!G:G, D247
 ),
 ""
)</f>
        <v>9053</v>
      </c>
      <c r="H247" s="10">
        <f t="shared" ca="1" si="13"/>
        <v>311</v>
      </c>
      <c r="I247" s="7">
        <f t="shared" si="14"/>
        <v>0</v>
      </c>
      <c r="J247" s="3" t="str">
        <f t="shared" ca="1" si="15"/>
        <v>OVERDUE</v>
      </c>
    </row>
    <row r="248" spans="1:10">
      <c r="A248" s="11" t="str">
        <f>_xlfn.XLOOKUP(C248, data_master!G:G, data_master!B:B)</f>
        <v>89357</v>
      </c>
      <c r="B248" t="str">
        <f>_xlfn.XLOOKUP(C248, data_master!G:G, data_master!D:D)</f>
        <v>89357 TEBING TINGGI</v>
      </c>
      <c r="C248" s="12" t="str">
        <v>B6076VM</v>
      </c>
      <c r="D248" s="4">
        <f>IFERROR( _xlfn.MAXIFS( raw_stack!G:G, raw_stack!D:D, C248, raw_stack!F:F, "Iya" ), "" )</f>
        <v>45937</v>
      </c>
      <c r="E248" s="4">
        <f t="shared" si="12"/>
        <v>46119</v>
      </c>
      <c r="F248" s="7">
        <f>IFERROR(
 _xlfn.MAXIFS(
  raw_stack!H:H,
  raw_stack!D:D, C248,
  raw_stack!G:G, D248
 ),
 ""
)</f>
        <v>3767</v>
      </c>
      <c r="G248" s="7">
        <f>IFERROR(
 _xlfn.MAXIFS(
  raw_stack!E:E,
  raw_stack!D:D, C248,
  raw_stack!G:G, D248
 ),
 ""
)</f>
        <v>3767</v>
      </c>
      <c r="H248" s="10">
        <f t="shared" ca="1" si="13"/>
        <v>308</v>
      </c>
      <c r="I248" s="7">
        <f t="shared" si="14"/>
        <v>0</v>
      </c>
      <c r="J248" s="3" t="str">
        <f t="shared" ca="1" si="15"/>
        <v>OVERDUE</v>
      </c>
    </row>
    <row r="249" spans="1:10">
      <c r="A249" s="11" t="str">
        <f>_xlfn.XLOOKUP(C249, data_master!G:G, data_master!B:B)</f>
        <v>98751</v>
      </c>
      <c r="B249" t="str">
        <f>_xlfn.XLOOKUP(C249, data_master!G:G, data_master!D:D)</f>
        <v>98751 MARTAPURA 2</v>
      </c>
      <c r="C249" s="12" t="str">
        <v>B6642GE</v>
      </c>
      <c r="D249" s="4">
        <f>IFERROR( _xlfn.MAXIFS( raw_stack!G:G, raw_stack!D:D, C249, raw_stack!F:F, "Iya" ), "" )</f>
        <v>46127</v>
      </c>
      <c r="E249" s="4">
        <f t="shared" si="12"/>
        <v>46310</v>
      </c>
      <c r="F249" s="7">
        <f>IFERROR(
 _xlfn.MAXIFS(
  raw_stack!H:H,
  raw_stack!D:D, C249,
  raw_stack!G:G, D249
 ),
 ""
)</f>
        <v>27505</v>
      </c>
      <c r="G249" s="7">
        <f>IFERROR(
 _xlfn.MAXIFS(
  raw_stack!E:E,
  raw_stack!D:D, C249,
  raw_stack!G:G, D249
 ),
 ""
)</f>
        <v>27505</v>
      </c>
      <c r="H249" s="10">
        <f t="shared" ca="1" si="13"/>
        <v>118</v>
      </c>
      <c r="I249" s="7">
        <f t="shared" si="14"/>
        <v>0</v>
      </c>
      <c r="J249" s="3" t="str">
        <f t="shared" ca="1" si="15"/>
        <v>AMAN</v>
      </c>
    </row>
    <row r="250" spans="1:10">
      <c r="A250" s="11" t="str">
        <f>_xlfn.XLOOKUP(C250, data_master!G:G, data_master!B:B)</f>
        <v>85067</v>
      </c>
      <c r="B250" t="str">
        <f>_xlfn.XLOOKUP(C250, data_master!G:G, data_master!D:D)</f>
        <v>85067 PROBOLINGGO</v>
      </c>
      <c r="C250" s="12" t="str">
        <v>B1181GU</v>
      </c>
      <c r="D250" s="4">
        <f>IFERROR( _xlfn.MAXIFS( raw_stack!G:G, raw_stack!D:D, C250, raw_stack!F:F, "Iya" ), "" )</f>
        <v>45941</v>
      </c>
      <c r="E250" s="4">
        <f t="shared" si="12"/>
        <v>46123</v>
      </c>
      <c r="F250" s="7">
        <f>IFERROR(
 _xlfn.MAXIFS(
  raw_stack!H:H,
  raw_stack!D:D, C250,
  raw_stack!G:G, D250
 ),
 ""
)</f>
        <v>15066</v>
      </c>
      <c r="G250" s="7">
        <f>IFERROR(
 _xlfn.MAXIFS(
  raw_stack!E:E,
  raw_stack!D:D, C250,
  raw_stack!G:G, D250
 ),
 ""
)</f>
        <v>15066</v>
      </c>
      <c r="H250" s="10">
        <f t="shared" ca="1" si="13"/>
        <v>304</v>
      </c>
      <c r="I250" s="7">
        <f t="shared" si="14"/>
        <v>0</v>
      </c>
      <c r="J250" s="3" t="str">
        <f t="shared" ca="1" si="15"/>
        <v>OVERDUE</v>
      </c>
    </row>
    <row r="251" spans="1:10">
      <c r="A251" s="11" t="str">
        <f>_xlfn.XLOOKUP(C251, data_master!G:G, data_master!B:B)</f>
        <v>48899</v>
      </c>
      <c r="B251" t="str">
        <f>_xlfn.XLOOKUP(C251, data_master!G:G, data_master!D:D)</f>
        <v>48899 PEKALONGAN</v>
      </c>
      <c r="C251" s="12" t="str">
        <v>B5948HU</v>
      </c>
      <c r="D251" s="4">
        <f>IFERROR( _xlfn.MAXIFS( raw_stack!G:G, raw_stack!D:D, C251, raw_stack!F:F, "Iya" ), "" )</f>
        <v>45915</v>
      </c>
      <c r="E251" s="4">
        <f t="shared" si="12"/>
        <v>46096</v>
      </c>
      <c r="F251" s="7">
        <f>IFERROR(
 _xlfn.MAXIFS(
  raw_stack!H:H,
  raw_stack!D:D, C251,
  raw_stack!G:G, D251
 ),
 ""
)</f>
        <v>9305</v>
      </c>
      <c r="G251" s="7">
        <f>IFERROR(
 _xlfn.MAXIFS(
  raw_stack!E:E,
  raw_stack!D:D, C251,
  raw_stack!G:G, D251
 ),
 ""
)</f>
        <v>9305</v>
      </c>
      <c r="H251" s="10">
        <f t="shared" ca="1" si="13"/>
        <v>330</v>
      </c>
      <c r="I251" s="7">
        <f t="shared" si="14"/>
        <v>0</v>
      </c>
      <c r="J251" s="3" t="str">
        <f t="shared" ca="1" si="15"/>
        <v>OVERDUE</v>
      </c>
    </row>
    <row r="252" spans="1:10">
      <c r="A252" s="11" t="str">
        <f>_xlfn.XLOOKUP(C252, data_master!G:G, data_master!B:B)</f>
        <v>92631</v>
      </c>
      <c r="B252" t="str">
        <f>_xlfn.XLOOKUP(C252, data_master!G:G, data_master!D:D)</f>
        <v>92631 SAWAHLUNTO UNIT</v>
      </c>
      <c r="C252" s="12" t="str">
        <v>B2092CXG</v>
      </c>
      <c r="D252" s="4">
        <f>IFERROR( _xlfn.MAXIFS( raw_stack!G:G, raw_stack!D:D, C252, raw_stack!F:F, "Iya" ), "" )</f>
        <v>45985</v>
      </c>
      <c r="E252" s="4">
        <f t="shared" si="12"/>
        <v>46166</v>
      </c>
      <c r="F252" s="7">
        <f>IFERROR(
 _xlfn.MAXIFS(
  raw_stack!H:H,
  raw_stack!D:D, C252,
  raw_stack!G:G, D252
 ),
 ""
)</f>
        <v>7057</v>
      </c>
      <c r="G252" s="7">
        <f>IFERROR(
 _xlfn.MAXIFS(
  raw_stack!E:E,
  raw_stack!D:D, C252,
  raw_stack!G:G, D252
 ),
 ""
)</f>
        <v>7057</v>
      </c>
      <c r="H252" s="10">
        <f t="shared" ca="1" si="13"/>
        <v>260</v>
      </c>
      <c r="I252" s="7">
        <f t="shared" si="14"/>
        <v>0</v>
      </c>
      <c r="J252" s="3" t="str">
        <f t="shared" ca="1" si="15"/>
        <v>OVERDUE</v>
      </c>
    </row>
    <row r="253" spans="1:10">
      <c r="A253" s="11" t="str">
        <f>_xlfn.XLOOKUP(C253, data_master!G:G, data_master!B:B)</f>
        <v>50468</v>
      </c>
      <c r="B253" t="str">
        <f>_xlfn.XLOOKUP(C253, data_master!G:G, data_master!D:D)</f>
        <v>50468 TANAH GROGOT BRANCH</v>
      </c>
      <c r="C253" s="12" t="str">
        <v>B6817ZM</v>
      </c>
      <c r="D253" s="4">
        <f>IFERROR( _xlfn.MAXIFS( raw_stack!G:G, raw_stack!D:D, C253, raw_stack!F:F, "Iya" ), "" )</f>
        <v>45972</v>
      </c>
      <c r="E253" s="4">
        <f t="shared" si="12"/>
        <v>46153</v>
      </c>
      <c r="F253" s="7">
        <f>IFERROR(
 _xlfn.MAXIFS(
  raw_stack!H:H,
  raw_stack!D:D, C253,
  raw_stack!G:G, D253
 ),
 ""
)</f>
        <v>16143</v>
      </c>
      <c r="G253" s="7">
        <f>IFERROR(
 _xlfn.MAXIFS(
  raw_stack!E:E,
  raw_stack!D:D, C253,
  raw_stack!G:G, D253
 ),
 ""
)</f>
        <v>16143</v>
      </c>
      <c r="H253" s="10">
        <f t="shared" ca="1" si="13"/>
        <v>273</v>
      </c>
      <c r="I253" s="7">
        <f t="shared" si="14"/>
        <v>0</v>
      </c>
      <c r="J253" s="3" t="str">
        <f t="shared" ca="1" si="15"/>
        <v>OVERDUE</v>
      </c>
    </row>
    <row r="254" spans="1:10">
      <c r="A254" s="11" t="str">
        <f>_xlfn.XLOOKUP(C254, data_master!G:G, data_master!B:B)</f>
        <v>36674</v>
      </c>
      <c r="B254" t="str">
        <f>_xlfn.XLOOKUP(C254, data_master!G:G, data_master!D:D)</f>
        <v>36674 GROBOGAN</v>
      </c>
      <c r="C254" s="12" t="str">
        <v>B3797RA</v>
      </c>
      <c r="D254" s="4">
        <f>IFERROR( _xlfn.MAXIFS( raw_stack!G:G, raw_stack!D:D, C254, raw_stack!F:F, "Iya" ), "" )</f>
        <v>46059</v>
      </c>
      <c r="E254" s="4">
        <f t="shared" si="12"/>
        <v>46240</v>
      </c>
      <c r="F254" s="7">
        <f>IFERROR(
 _xlfn.MAXIFS(
  raw_stack!H:H,
  raw_stack!D:D, C254,
  raw_stack!G:G, D254
 ),
 ""
)</f>
        <v>21361</v>
      </c>
      <c r="G254" s="7">
        <f>IFERROR(
 _xlfn.MAXIFS(
  raw_stack!E:E,
  raw_stack!D:D, C254,
  raw_stack!G:G, D254
 ),
 ""
)</f>
        <v>21361</v>
      </c>
      <c r="H254" s="10">
        <f t="shared" ca="1" si="13"/>
        <v>186</v>
      </c>
      <c r="I254" s="7">
        <f t="shared" si="14"/>
        <v>0</v>
      </c>
      <c r="J254" s="3" t="str">
        <f t="shared" ca="1" si="15"/>
        <v>OVERDUE</v>
      </c>
    </row>
    <row r="255" spans="1:10">
      <c r="A255" s="11" t="str">
        <f>_xlfn.XLOOKUP(C255, data_master!G:G, data_master!B:B)</f>
        <v>17822</v>
      </c>
      <c r="B255" t="str">
        <f>_xlfn.XLOOKUP(C255, data_master!G:G, data_master!D:D)</f>
        <v>17822 BANDUNG</v>
      </c>
      <c r="C255" s="12" t="str">
        <v>B4001FJ</v>
      </c>
      <c r="D255" s="4">
        <f>IFERROR( _xlfn.MAXIFS( raw_stack!G:G, raw_stack!D:D, C255, raw_stack!F:F, "Iya" ), "" )</f>
        <v>45953</v>
      </c>
      <c r="E255" s="4">
        <f t="shared" si="12"/>
        <v>46135</v>
      </c>
      <c r="F255" s="7">
        <f>IFERROR(
 _xlfn.MAXIFS(
  raw_stack!H:H,
  raw_stack!D:D, C255,
  raw_stack!G:G, D255
 ),
 ""
)</f>
        <v>16297</v>
      </c>
      <c r="G255" s="7">
        <f>IFERROR(
 _xlfn.MAXIFS(
  raw_stack!E:E,
  raw_stack!D:D, C255,
  raw_stack!G:G, D255
 ),
 ""
)</f>
        <v>16297</v>
      </c>
      <c r="H255" s="10">
        <f t="shared" ca="1" si="13"/>
        <v>292</v>
      </c>
      <c r="I255" s="7">
        <f t="shared" si="14"/>
        <v>0</v>
      </c>
      <c r="J255" s="3" t="str">
        <f t="shared" ca="1" si="15"/>
        <v>OVERDUE</v>
      </c>
    </row>
    <row r="256" spans="1:10">
      <c r="A256" s="11" t="str">
        <f>_xlfn.XLOOKUP(C256, data_master!G:G, data_master!B:B)</f>
        <v>13032</v>
      </c>
      <c r="B256" t="str">
        <f>_xlfn.XLOOKUP(C256, data_master!G:G, data_master!D:D)</f>
        <v>13032 TASIKMALAYA UNIT</v>
      </c>
      <c r="C256" s="12" t="str">
        <v>B9244CQQ</v>
      </c>
      <c r="D256" s="4">
        <f>IFERROR( _xlfn.MAXIFS( raw_stack!G:G, raw_stack!D:D, C256, raw_stack!F:F, "Iya" ), "" )</f>
        <v>45881</v>
      </c>
      <c r="E256" s="4">
        <f t="shared" si="12"/>
        <v>46065</v>
      </c>
      <c r="F256" s="7">
        <f>IFERROR(
 _xlfn.MAXIFS(
  raw_stack!H:H,
  raw_stack!D:D, C256,
  raw_stack!G:G, D256
 ),
 ""
)</f>
        <v>4161</v>
      </c>
      <c r="G256" s="7">
        <f>IFERROR(
 _xlfn.MAXIFS(
  raw_stack!E:E,
  raw_stack!D:D, C256,
  raw_stack!G:G, D256
 ),
 ""
)</f>
        <v>4161</v>
      </c>
      <c r="H256" s="10">
        <f t="shared" ca="1" si="13"/>
        <v>364</v>
      </c>
      <c r="I256" s="7">
        <f t="shared" si="14"/>
        <v>0</v>
      </c>
      <c r="J256" s="3" t="str">
        <f t="shared" ca="1" si="15"/>
        <v>OVERDUE</v>
      </c>
    </row>
    <row r="257" spans="1:10">
      <c r="A257" s="11" t="str">
        <f>_xlfn.XLOOKUP(C257, data_master!G:G, data_master!B:B)</f>
        <v>44362</v>
      </c>
      <c r="B257" t="str">
        <f>_xlfn.XLOOKUP(C257, data_master!G:G, data_master!D:D)</f>
        <v>44362 JEMBRANA</v>
      </c>
      <c r="C257" s="12" t="str">
        <v>B9587WL</v>
      </c>
      <c r="D257" s="4">
        <f>IFERROR( _xlfn.MAXIFS( raw_stack!G:G, raw_stack!D:D, C257, raw_stack!F:F, "Iya" ), "" )</f>
        <v>46110</v>
      </c>
      <c r="E257" s="4">
        <f t="shared" si="12"/>
        <v>46294</v>
      </c>
      <c r="F257" s="7">
        <f>IFERROR(
 _xlfn.MAXIFS(
  raw_stack!H:H,
  raw_stack!D:D, C257,
  raw_stack!G:G, D257
 ),
 ""
)</f>
        <v>6751</v>
      </c>
      <c r="G257" s="7">
        <f>IFERROR(
 _xlfn.MAXIFS(
  raw_stack!E:E,
  raw_stack!D:D, C257,
  raw_stack!G:G, D257
 ),
 ""
)</f>
        <v>6920</v>
      </c>
      <c r="H257" s="10">
        <f t="shared" ca="1" si="13"/>
        <v>135</v>
      </c>
      <c r="I257" s="7">
        <f t="shared" si="14"/>
        <v>169</v>
      </c>
      <c r="J257" s="3" t="str">
        <f t="shared" ca="1" si="15"/>
        <v>AMAN</v>
      </c>
    </row>
    <row r="258" spans="1:10">
      <c r="A258" s="11" t="str">
        <f>_xlfn.XLOOKUP(C258, data_master!G:G, data_master!B:B)</f>
        <v>95337</v>
      </c>
      <c r="B258" t="str">
        <f>_xlfn.XLOOKUP(C258, data_master!G:G, data_master!D:D)</f>
        <v>95337 BLORA POS</v>
      </c>
      <c r="C258" s="12" t="str">
        <v>B7690JA</v>
      </c>
      <c r="D258" s="4">
        <f>IFERROR( _xlfn.MAXIFS( raw_stack!G:G, raw_stack!D:D, C258, raw_stack!F:F, "Iya" ), "" )</f>
        <v>46021</v>
      </c>
      <c r="E258" s="4">
        <f t="shared" si="12"/>
        <v>46203</v>
      </c>
      <c r="F258" s="7">
        <f>IFERROR(
 _xlfn.MAXIFS(
  raw_stack!H:H,
  raw_stack!D:D, C258,
  raw_stack!G:G, D258
 ),
 ""
)</f>
        <v>20678</v>
      </c>
      <c r="G258" s="7">
        <f>IFERROR(
 _xlfn.MAXIFS(
  raw_stack!E:E,
  raw_stack!D:D, C258,
  raw_stack!G:G, D258
 ),
 ""
)</f>
        <v>20678</v>
      </c>
      <c r="H258" s="10">
        <f t="shared" ca="1" si="13"/>
        <v>224</v>
      </c>
      <c r="I258" s="7">
        <f t="shared" si="14"/>
        <v>0</v>
      </c>
      <c r="J258" s="3" t="str">
        <f t="shared" ca="1" si="15"/>
        <v>OVERDUE</v>
      </c>
    </row>
    <row r="259" spans="1:10">
      <c r="A259" s="11" t="e">
        <f>_xlfn.XLOOKUP(C259, data_master!G:G, data_master!B:B)</f>
        <v>#N/A</v>
      </c>
      <c r="B259" t="e">
        <f>_xlfn.XLOOKUP(C259, data_master!G:G, data_master!D:D)</f>
        <v>#N/A</v>
      </c>
      <c r="C259" s="12" t="str">
        <v>B2687VC</v>
      </c>
      <c r="D259" s="4">
        <f>IFERROR( _xlfn.MAXIFS( raw_stack!G:G, raw_stack!D:D, C259, raw_stack!F:F, "Iya" ), "" )</f>
        <v>45929</v>
      </c>
      <c r="E259" s="4">
        <f t="shared" si="12"/>
        <v>46110</v>
      </c>
      <c r="F259" s="7">
        <f>IFERROR(
 _xlfn.MAXIFS(
  raw_stack!H:H,
  raw_stack!D:D, C259,
  raw_stack!G:G, D259
 ),
 ""
)</f>
        <v>4574</v>
      </c>
      <c r="G259" s="7">
        <f>IFERROR(
 _xlfn.MAXIFS(
  raw_stack!E:E,
  raw_stack!D:D, C259,
  raw_stack!G:G, D259
 ),
 ""
)</f>
        <v>4574</v>
      </c>
      <c r="H259" s="10">
        <f t="shared" ca="1" si="13"/>
        <v>316</v>
      </c>
      <c r="I259" s="7">
        <f t="shared" si="14"/>
        <v>0</v>
      </c>
      <c r="J259" s="3" t="str">
        <f t="shared" ca="1" si="15"/>
        <v>OVERDUE</v>
      </c>
    </row>
    <row r="260" spans="1:10">
      <c r="A260" s="11" t="str">
        <f>_xlfn.XLOOKUP(C260, data_master!G:G, data_master!B:B)</f>
        <v>16172</v>
      </c>
      <c r="B260" t="str">
        <f>_xlfn.XLOOKUP(C260, data_master!G:G, data_master!D:D)</f>
        <v>16172 KERINCI</v>
      </c>
      <c r="C260" s="12" t="str">
        <v>B4036RJ</v>
      </c>
      <c r="D260" s="4">
        <f>IFERROR( _xlfn.MAXIFS( raw_stack!G:G, raw_stack!D:D, C260, raw_stack!F:F, "Iya" ), "" )</f>
        <v>46031</v>
      </c>
      <c r="E260" s="4">
        <f t="shared" ref="E260:E323" si="16">EDATE(D260,6)</f>
        <v>46212</v>
      </c>
      <c r="F260" s="7">
        <f>IFERROR(
 _xlfn.MAXIFS(
  raw_stack!H:H,
  raw_stack!D:D, C260,
  raw_stack!G:G, D260
 ),
 ""
)</f>
        <v>12790</v>
      </c>
      <c r="G260" s="7">
        <f>IFERROR(
 _xlfn.MAXIFS(
  raw_stack!E:E,
  raw_stack!D:D, C260,
  raw_stack!G:G, D260
 ),
 ""
)</f>
        <v>12790</v>
      </c>
      <c r="H260" s="10">
        <f t="shared" ref="H260:H323" ca="1" si="17">IF(D260=0, "", TODAY()-D260)</f>
        <v>214</v>
      </c>
      <c r="I260" s="7">
        <f t="shared" ref="I260:I323" si="18">IF(E260=0, "", G260-F260)</f>
        <v>0</v>
      </c>
      <c r="J260" s="3" t="str">
        <f t="shared" ref="J260:J323" ca="1" si="19">IF(D260=0,
 "BELUM SERVIS",
 IF(OR(H260&gt;=180, I260&gt;=10000),
  "OVERDUE",
  "AMAN"
 )
)</f>
        <v>OVERDUE</v>
      </c>
    </row>
    <row r="261" spans="1:10">
      <c r="A261" s="11" t="str">
        <f>_xlfn.XLOOKUP(C261, data_master!G:G, data_master!B:B)</f>
        <v>78751</v>
      </c>
      <c r="B261" t="str">
        <f>_xlfn.XLOOKUP(C261, data_master!G:G, data_master!D:D)</f>
        <v>78751 PALEMBANG BRANCH</v>
      </c>
      <c r="C261" s="12" t="str">
        <v>B1733TDE</v>
      </c>
      <c r="D261" s="4">
        <f>IFERROR( _xlfn.MAXIFS( raw_stack!G:G, raw_stack!D:D, C261, raw_stack!F:F, "Iya" ), "" )</f>
        <v>45995</v>
      </c>
      <c r="E261" s="4">
        <f t="shared" si="16"/>
        <v>46177</v>
      </c>
      <c r="F261" s="7">
        <f>IFERROR(
 _xlfn.MAXIFS(
  raw_stack!H:H,
  raw_stack!D:D, C261,
  raw_stack!G:G, D261
 ),
 ""
)</f>
        <v>8597</v>
      </c>
      <c r="G261" s="7">
        <f>IFERROR(
 _xlfn.MAXIFS(
  raw_stack!E:E,
  raw_stack!D:D, C261,
  raw_stack!G:G, D261
 ),
 ""
)</f>
        <v>8597</v>
      </c>
      <c r="H261" s="10">
        <f t="shared" ca="1" si="17"/>
        <v>250</v>
      </c>
      <c r="I261" s="7">
        <f t="shared" si="18"/>
        <v>0</v>
      </c>
      <c r="J261" s="3" t="str">
        <f t="shared" ca="1" si="19"/>
        <v>OVERDUE</v>
      </c>
    </row>
    <row r="262" spans="1:10">
      <c r="A262" s="11" t="str">
        <f>_xlfn.XLOOKUP(C262, data_master!G:G, data_master!B:B)</f>
        <v>91088</v>
      </c>
      <c r="B262" t="str">
        <f>_xlfn.XLOOKUP(C262, data_master!G:G, data_master!D:D)</f>
        <v>91088 CIANJUR</v>
      </c>
      <c r="C262" s="12" t="str">
        <v>B8895WT</v>
      </c>
      <c r="D262" s="4">
        <f>IFERROR( _xlfn.MAXIFS( raw_stack!G:G, raw_stack!D:D, C262, raw_stack!F:F, "Iya" ), "" )</f>
        <v>46059</v>
      </c>
      <c r="E262" s="4">
        <f t="shared" si="16"/>
        <v>46240</v>
      </c>
      <c r="F262" s="7">
        <f>IFERROR(
 _xlfn.MAXIFS(
  raw_stack!H:H,
  raw_stack!D:D, C262,
  raw_stack!G:G, D262
 ),
 ""
)</f>
        <v>9994</v>
      </c>
      <c r="G262" s="7">
        <f>IFERROR(
 _xlfn.MAXIFS(
  raw_stack!E:E,
  raw_stack!D:D, C262,
  raw_stack!G:G, D262
 ),
 ""
)</f>
        <v>9994</v>
      </c>
      <c r="H262" s="10">
        <f t="shared" ca="1" si="17"/>
        <v>186</v>
      </c>
      <c r="I262" s="7">
        <f t="shared" si="18"/>
        <v>0</v>
      </c>
      <c r="J262" s="3" t="str">
        <f t="shared" ca="1" si="19"/>
        <v>OVERDUE</v>
      </c>
    </row>
    <row r="263" spans="1:10">
      <c r="A263" s="11" t="str">
        <f>_xlfn.XLOOKUP(C263, data_master!G:G, data_master!B:B)</f>
        <v>49562</v>
      </c>
      <c r="B263" t="str">
        <f>_xlfn.XLOOKUP(C263, data_master!G:G, data_master!D:D)</f>
        <v>49562 TRENGGALEK BRANCH</v>
      </c>
      <c r="C263" s="12" t="str">
        <v>B2293BCX</v>
      </c>
      <c r="D263" s="4">
        <f>IFERROR( _xlfn.MAXIFS( raw_stack!G:G, raw_stack!D:D, C263, raw_stack!F:F, "Iya" ), "" )</f>
        <v>46090</v>
      </c>
      <c r="E263" s="4">
        <f t="shared" si="16"/>
        <v>46274</v>
      </c>
      <c r="F263" s="7">
        <f>IFERROR(
 _xlfn.MAXIFS(
  raw_stack!H:H,
  raw_stack!D:D, C263,
  raw_stack!G:G, D263
 ),
 ""
)</f>
        <v>15598</v>
      </c>
      <c r="G263" s="7">
        <f>IFERROR(
 _xlfn.MAXIFS(
  raw_stack!E:E,
  raw_stack!D:D, C263,
  raw_stack!G:G, D263
 ),
 ""
)</f>
        <v>17624</v>
      </c>
      <c r="H263" s="10">
        <f t="shared" ca="1" si="17"/>
        <v>155</v>
      </c>
      <c r="I263" s="7">
        <f t="shared" si="18"/>
        <v>2026</v>
      </c>
      <c r="J263" s="3" t="str">
        <f t="shared" ca="1" si="19"/>
        <v>AMAN</v>
      </c>
    </row>
    <row r="264" spans="1:10">
      <c r="A264" s="11" t="str">
        <f>_xlfn.XLOOKUP(C264, data_master!G:G, data_master!B:B)</f>
        <v>29309</v>
      </c>
      <c r="B264" t="str">
        <f>_xlfn.XLOOKUP(C264, data_master!G:G, data_master!D:D)</f>
        <v>29309 NGANJUK</v>
      </c>
      <c r="C264" s="12" t="str">
        <v>B8857PYD</v>
      </c>
      <c r="D264" s="4">
        <f>IFERROR( _xlfn.MAXIFS( raw_stack!G:G, raw_stack!D:D, C264, raw_stack!F:F, "Iya" ), "" )</f>
        <v>45994</v>
      </c>
      <c r="E264" s="4">
        <f t="shared" si="16"/>
        <v>46176</v>
      </c>
      <c r="F264" s="7">
        <f>IFERROR(
 _xlfn.MAXIFS(
  raw_stack!H:H,
  raw_stack!D:D, C264,
  raw_stack!G:G, D264
 ),
 ""
)</f>
        <v>15332</v>
      </c>
      <c r="G264" s="7">
        <f>IFERROR(
 _xlfn.MAXIFS(
  raw_stack!E:E,
  raw_stack!D:D, C264,
  raw_stack!G:G, D264
 ),
 ""
)</f>
        <v>15332</v>
      </c>
      <c r="H264" s="10">
        <f t="shared" ca="1" si="17"/>
        <v>251</v>
      </c>
      <c r="I264" s="7">
        <f t="shared" si="18"/>
        <v>0</v>
      </c>
      <c r="J264" s="3" t="str">
        <f t="shared" ca="1" si="19"/>
        <v>OVERDUE</v>
      </c>
    </row>
    <row r="265" spans="1:10">
      <c r="A265" s="11" t="str">
        <f>_xlfn.XLOOKUP(C265, data_master!G:G, data_master!B:B)</f>
        <v>40644</v>
      </c>
      <c r="B265" t="str">
        <f>_xlfn.XLOOKUP(C265, data_master!G:G, data_master!D:D)</f>
        <v>40644 BIREUEN POS</v>
      </c>
      <c r="C265" s="12" t="str">
        <v>D9140HC</v>
      </c>
      <c r="D265" s="4">
        <f>IFERROR( _xlfn.MAXIFS( raw_stack!G:G, raw_stack!D:D, C265, raw_stack!F:F, "Iya" ), "" )</f>
        <v>45843</v>
      </c>
      <c r="E265" s="4">
        <f t="shared" si="16"/>
        <v>46027</v>
      </c>
      <c r="F265" s="7">
        <f>IFERROR(
 _xlfn.MAXIFS(
  raw_stack!H:H,
  raw_stack!D:D, C265,
  raw_stack!G:G, D265
 ),
 ""
)</f>
        <v>925</v>
      </c>
      <c r="G265" s="7">
        <f>IFERROR(
 _xlfn.MAXIFS(
  raw_stack!E:E,
  raw_stack!D:D, C265,
  raw_stack!G:G, D265
 ),
 ""
)</f>
        <v>925</v>
      </c>
      <c r="H265" s="10">
        <f t="shared" ca="1" si="17"/>
        <v>402</v>
      </c>
      <c r="I265" s="7">
        <f t="shared" si="18"/>
        <v>0</v>
      </c>
      <c r="J265" s="3" t="str">
        <f t="shared" ca="1" si="19"/>
        <v>OVERDUE</v>
      </c>
    </row>
    <row r="266" spans="1:10">
      <c r="A266" s="11" t="str">
        <f>_xlfn.XLOOKUP(C266, data_master!G:G, data_master!B:B)</f>
        <v>10613</v>
      </c>
      <c r="B266" t="str">
        <f>_xlfn.XLOOKUP(C266, data_master!G:G, data_master!D:D)</f>
        <v>10613 BINTAN</v>
      </c>
      <c r="C266" s="12" t="str">
        <v>B4124TR</v>
      </c>
      <c r="D266" s="4">
        <f>IFERROR( _xlfn.MAXIFS( raw_stack!G:G, raw_stack!D:D, C266, raw_stack!F:F, "Iya" ), "" )</f>
        <v>45832</v>
      </c>
      <c r="E266" s="4">
        <f t="shared" si="16"/>
        <v>46015</v>
      </c>
      <c r="F266" s="7">
        <f>IFERROR(
 _xlfn.MAXIFS(
  raw_stack!H:H,
  raw_stack!D:D, C266,
  raw_stack!G:G, D266
 ),
 ""
)</f>
        <v>8907</v>
      </c>
      <c r="G266" s="7">
        <f>IFERROR(
 _xlfn.MAXIFS(
  raw_stack!E:E,
  raw_stack!D:D, C266,
  raw_stack!G:G, D266
 ),
 ""
)</f>
        <v>8907</v>
      </c>
      <c r="H266" s="10">
        <f t="shared" ca="1" si="17"/>
        <v>413</v>
      </c>
      <c r="I266" s="7">
        <f t="shared" si="18"/>
        <v>0</v>
      </c>
      <c r="J266" s="3" t="str">
        <f t="shared" ca="1" si="19"/>
        <v>OVERDUE</v>
      </c>
    </row>
    <row r="267" spans="1:10">
      <c r="A267" s="11" t="str">
        <f>_xlfn.XLOOKUP(C267, data_master!G:G, data_master!B:B)</f>
        <v>31508</v>
      </c>
      <c r="B267" t="str">
        <f>_xlfn.XLOOKUP(C267, data_master!G:G, data_master!D:D)</f>
        <v>31508 SAROLANGUN</v>
      </c>
      <c r="C267" s="12" t="str">
        <v>B6905PX</v>
      </c>
      <c r="D267" s="4">
        <f>IFERROR( _xlfn.MAXIFS( raw_stack!G:G, raw_stack!D:D, C267, raw_stack!F:F, "Iya" ), "" )</f>
        <v>46046</v>
      </c>
      <c r="E267" s="4">
        <f t="shared" si="16"/>
        <v>46227</v>
      </c>
      <c r="F267" s="7">
        <f>IFERROR(
 _xlfn.MAXIFS(
  raw_stack!H:H,
  raw_stack!D:D, C267,
  raw_stack!G:G, D267
 ),
 ""
)</f>
        <v>7490</v>
      </c>
      <c r="G267" s="7">
        <f>IFERROR(
 _xlfn.MAXIFS(
  raw_stack!E:E,
  raw_stack!D:D, C267,
  raw_stack!G:G, D267
 ),
 ""
)</f>
        <v>7490</v>
      </c>
      <c r="H267" s="10">
        <f t="shared" ca="1" si="17"/>
        <v>199</v>
      </c>
      <c r="I267" s="7">
        <f t="shared" si="18"/>
        <v>0</v>
      </c>
      <c r="J267" s="3" t="str">
        <f t="shared" ca="1" si="19"/>
        <v>OVERDUE</v>
      </c>
    </row>
    <row r="268" spans="1:10">
      <c r="A268" s="11" t="str">
        <f>_xlfn.XLOOKUP(C268, data_master!G:G, data_master!B:B)</f>
        <v>30396</v>
      </c>
      <c r="B268" t="str">
        <f>_xlfn.XLOOKUP(C268, data_master!G:G, data_master!D:D)</f>
        <v>30396 PUTUSSIBAU</v>
      </c>
      <c r="C268" s="12" t="str">
        <v>B8324WSJ</v>
      </c>
      <c r="D268" s="4">
        <f>IFERROR( _xlfn.MAXIFS( raw_stack!G:G, raw_stack!D:D, C268, raw_stack!F:F, "Iya" ), "" )</f>
        <v>46063</v>
      </c>
      <c r="E268" s="4">
        <f t="shared" si="16"/>
        <v>46244</v>
      </c>
      <c r="F268" s="7">
        <f>IFERROR(
 _xlfn.MAXIFS(
  raw_stack!H:H,
  raw_stack!D:D, C268,
  raw_stack!G:G, D268
 ),
 ""
)</f>
        <v>20057</v>
      </c>
      <c r="G268" s="7">
        <f>IFERROR(
 _xlfn.MAXIFS(
  raw_stack!E:E,
  raw_stack!D:D, C268,
  raw_stack!G:G, D268
 ),
 ""
)</f>
        <v>20057</v>
      </c>
      <c r="H268" s="10">
        <f t="shared" ca="1" si="17"/>
        <v>182</v>
      </c>
      <c r="I268" s="7">
        <f t="shared" si="18"/>
        <v>0</v>
      </c>
      <c r="J268" s="3" t="str">
        <f t="shared" ca="1" si="19"/>
        <v>OVERDUE</v>
      </c>
    </row>
    <row r="269" spans="1:10">
      <c r="A269" s="11" t="str">
        <f>_xlfn.XLOOKUP(C269, data_master!G:G, data_master!B:B)</f>
        <v>24879</v>
      </c>
      <c r="B269" t="str">
        <f>_xlfn.XLOOKUP(C269, data_master!G:G, data_master!D:D)</f>
        <v>24879 MUARA BUNGO</v>
      </c>
      <c r="C269" s="12" t="str">
        <v>B7752SX</v>
      </c>
      <c r="D269" s="4">
        <f>IFERROR( _xlfn.MAXIFS( raw_stack!G:G, raw_stack!D:D, C269, raw_stack!F:F, "Iya" ), "" )</f>
        <v>45919</v>
      </c>
      <c r="E269" s="4">
        <f t="shared" si="16"/>
        <v>46100</v>
      </c>
      <c r="F269" s="7">
        <f>IFERROR(
 _xlfn.MAXIFS(
  raw_stack!H:H,
  raw_stack!D:D, C269,
  raw_stack!G:G, D269
 ),
 ""
)</f>
        <v>10246</v>
      </c>
      <c r="G269" s="7">
        <f>IFERROR(
 _xlfn.MAXIFS(
  raw_stack!E:E,
  raw_stack!D:D, C269,
  raw_stack!G:G, D269
 ),
 ""
)</f>
        <v>10246</v>
      </c>
      <c r="H269" s="10">
        <f t="shared" ca="1" si="17"/>
        <v>326</v>
      </c>
      <c r="I269" s="7">
        <f t="shared" si="18"/>
        <v>0</v>
      </c>
      <c r="J269" s="3" t="str">
        <f t="shared" ca="1" si="19"/>
        <v>OVERDUE</v>
      </c>
    </row>
    <row r="270" spans="1:10">
      <c r="A270" s="11" t="str">
        <f>_xlfn.XLOOKUP(C270, data_master!G:G, data_master!B:B)</f>
        <v>54161</v>
      </c>
      <c r="B270" t="str">
        <f>_xlfn.XLOOKUP(C270, data_master!G:G, data_master!D:D)</f>
        <v>54161 BATU POS</v>
      </c>
      <c r="C270" s="12" t="str">
        <v>B8249PLF</v>
      </c>
      <c r="D270" s="4">
        <f>IFERROR( _xlfn.MAXIFS( raw_stack!G:G, raw_stack!D:D, C270, raw_stack!F:F, "Iya" ), "" )</f>
        <v>46106</v>
      </c>
      <c r="E270" s="4">
        <f t="shared" si="16"/>
        <v>46290</v>
      </c>
      <c r="F270" s="7">
        <f>IFERROR(
 _xlfn.MAXIFS(
  raw_stack!H:H,
  raw_stack!D:D, C270,
  raw_stack!G:G, D270
 ),
 ""
)</f>
        <v>20867</v>
      </c>
      <c r="G270" s="7">
        <f>IFERROR(
 _xlfn.MAXIFS(
  raw_stack!E:E,
  raw_stack!D:D, C270,
  raw_stack!G:G, D270
 ),
 ""
)</f>
        <v>20867</v>
      </c>
      <c r="H270" s="10">
        <f t="shared" ca="1" si="17"/>
        <v>139</v>
      </c>
      <c r="I270" s="7">
        <f t="shared" si="18"/>
        <v>0</v>
      </c>
      <c r="J270" s="3" t="str">
        <f t="shared" ca="1" si="19"/>
        <v>AMAN</v>
      </c>
    </row>
    <row r="271" spans="1:10">
      <c r="A271" s="11" t="str">
        <f>_xlfn.XLOOKUP(C271, data_master!G:G, data_master!B:B)</f>
        <v>25264</v>
      </c>
      <c r="B271" t="str">
        <f>_xlfn.XLOOKUP(C271, data_master!G:G, data_master!D:D)</f>
        <v>25264 NGAWI POS</v>
      </c>
      <c r="C271" s="12" t="str">
        <v>B6049PM</v>
      </c>
      <c r="D271" s="4">
        <f>IFERROR( _xlfn.MAXIFS( raw_stack!G:G, raw_stack!D:D, C271, raw_stack!F:F, "Iya" ), "" )</f>
        <v>45968</v>
      </c>
      <c r="E271" s="4">
        <f t="shared" si="16"/>
        <v>46149</v>
      </c>
      <c r="F271" s="7">
        <f>IFERROR(
 _xlfn.MAXIFS(
  raw_stack!H:H,
  raw_stack!D:D, C271,
  raw_stack!G:G, D271
 ),
 ""
)</f>
        <v>11389</v>
      </c>
      <c r="G271" s="7">
        <f>IFERROR(
 _xlfn.MAXIFS(
  raw_stack!E:E,
  raw_stack!D:D, C271,
  raw_stack!G:G, D271
 ),
 ""
)</f>
        <v>11389</v>
      </c>
      <c r="H271" s="10">
        <f t="shared" ca="1" si="17"/>
        <v>277</v>
      </c>
      <c r="I271" s="7">
        <f t="shared" si="18"/>
        <v>0</v>
      </c>
      <c r="J271" s="3" t="str">
        <f t="shared" ca="1" si="19"/>
        <v>OVERDUE</v>
      </c>
    </row>
    <row r="272" spans="1:10">
      <c r="A272" s="11" t="str">
        <f>_xlfn.XLOOKUP(C272, data_master!G:G, data_master!B:B)</f>
        <v>77414</v>
      </c>
      <c r="B272" t="str">
        <f>_xlfn.XLOOKUP(C272, data_master!G:G, data_master!D:D)</f>
        <v>77414 CIAMIS</v>
      </c>
      <c r="C272" s="12" t="str">
        <v>B8827JSD</v>
      </c>
      <c r="D272" s="4">
        <f>IFERROR( _xlfn.MAXIFS( raw_stack!G:G, raw_stack!D:D, C272, raw_stack!F:F, "Iya" ), "" )</f>
        <v>46009</v>
      </c>
      <c r="E272" s="4">
        <f t="shared" si="16"/>
        <v>46191</v>
      </c>
      <c r="F272" s="7">
        <f>IFERROR(
 _xlfn.MAXIFS(
  raw_stack!H:H,
  raw_stack!D:D, C272,
  raw_stack!G:G, D272
 ),
 ""
)</f>
        <v>6997</v>
      </c>
      <c r="G272" s="7">
        <f>IFERROR(
 _xlfn.MAXIFS(
  raw_stack!E:E,
  raw_stack!D:D, C272,
  raw_stack!G:G, D272
 ),
 ""
)</f>
        <v>6997</v>
      </c>
      <c r="H272" s="10">
        <f t="shared" ca="1" si="17"/>
        <v>236</v>
      </c>
      <c r="I272" s="7">
        <f t="shared" si="18"/>
        <v>0</v>
      </c>
      <c r="J272" s="3" t="str">
        <f t="shared" ca="1" si="19"/>
        <v>OVERDUE</v>
      </c>
    </row>
    <row r="273" spans="1:10">
      <c r="A273" s="11" t="str">
        <f>_xlfn.XLOOKUP(C273, data_master!G:G, data_master!B:B)</f>
        <v>19625</v>
      </c>
      <c r="B273" t="str">
        <f>_xlfn.XLOOKUP(C273, data_master!G:G, data_master!D:D)</f>
        <v>19625 SENGKANG</v>
      </c>
      <c r="C273" s="12" t="str">
        <v>B3178QV</v>
      </c>
      <c r="D273" s="4">
        <f>IFERROR( _xlfn.MAXIFS( raw_stack!G:G, raw_stack!D:D, C273, raw_stack!F:F, "Iya" ), "" )</f>
        <v>45871</v>
      </c>
      <c r="E273" s="4">
        <f t="shared" si="16"/>
        <v>46055</v>
      </c>
      <c r="F273" s="7">
        <f>IFERROR(
 _xlfn.MAXIFS(
  raw_stack!H:H,
  raw_stack!D:D, C273,
  raw_stack!G:G, D273
 ),
 ""
)</f>
        <v>670</v>
      </c>
      <c r="G273" s="7">
        <f>IFERROR(
 _xlfn.MAXIFS(
  raw_stack!E:E,
  raw_stack!D:D, C273,
  raw_stack!G:G, D273
 ),
 ""
)</f>
        <v>670</v>
      </c>
      <c r="H273" s="10">
        <f t="shared" ca="1" si="17"/>
        <v>374</v>
      </c>
      <c r="I273" s="7">
        <f t="shared" si="18"/>
        <v>0</v>
      </c>
      <c r="J273" s="3" t="str">
        <f t="shared" ca="1" si="19"/>
        <v>OVERDUE</v>
      </c>
    </row>
    <row r="274" spans="1:10">
      <c r="A274" s="11" t="str">
        <f>_xlfn.XLOOKUP(C274, data_master!G:G, data_master!B:B)</f>
        <v>78696</v>
      </c>
      <c r="B274" t="str">
        <f>_xlfn.XLOOKUP(C274, data_master!G:G, data_master!D:D)</f>
        <v>78696 KANDANGAN 2</v>
      </c>
      <c r="C274" s="12" t="str">
        <v>B1292DPE</v>
      </c>
      <c r="D274" s="4">
        <f>IFERROR( _xlfn.MAXIFS( raw_stack!G:G, raw_stack!D:D, C274, raw_stack!F:F, "Iya" ), "" )</f>
        <v>46125</v>
      </c>
      <c r="E274" s="4">
        <f t="shared" si="16"/>
        <v>46308</v>
      </c>
      <c r="F274" s="7">
        <f>IFERROR(
 _xlfn.MAXIFS(
  raw_stack!H:H,
  raw_stack!D:D, C274,
  raw_stack!G:G, D274
 ),
 ""
)</f>
        <v>17632</v>
      </c>
      <c r="G274" s="7">
        <f>IFERROR(
 _xlfn.MAXIFS(
  raw_stack!E:E,
  raw_stack!D:D, C274,
  raw_stack!G:G, D274
 ),
 ""
)</f>
        <v>18408</v>
      </c>
      <c r="H274" s="10">
        <f t="shared" ca="1" si="17"/>
        <v>120</v>
      </c>
      <c r="I274" s="7">
        <f t="shared" si="18"/>
        <v>776</v>
      </c>
      <c r="J274" s="3" t="str">
        <f t="shared" ca="1" si="19"/>
        <v>AMAN</v>
      </c>
    </row>
    <row r="275" spans="1:10">
      <c r="A275" s="11" t="str">
        <f>_xlfn.XLOOKUP(C275, data_master!G:G, data_master!B:B)</f>
        <v>91028</v>
      </c>
      <c r="B275" t="str">
        <f>_xlfn.XLOOKUP(C275, data_master!G:G, data_master!D:D)</f>
        <v>91028 PURWAKARTA</v>
      </c>
      <c r="C275" s="12" t="str">
        <v>KB8049QJT</v>
      </c>
      <c r="D275" s="4">
        <f>IFERROR( _xlfn.MAXIFS( raw_stack!G:G, raw_stack!D:D, C275, raw_stack!F:F, "Iya" ), "" )</f>
        <v>46051</v>
      </c>
      <c r="E275" s="4">
        <f t="shared" si="16"/>
        <v>46232</v>
      </c>
      <c r="F275" s="7">
        <f>IFERROR(
 _xlfn.MAXIFS(
  raw_stack!H:H,
  raw_stack!D:D, C275,
  raw_stack!G:G, D275
 ),
 ""
)</f>
        <v>8020</v>
      </c>
      <c r="G275" s="7">
        <f>IFERROR(
 _xlfn.MAXIFS(
  raw_stack!E:E,
  raw_stack!D:D, C275,
  raw_stack!G:G, D275
 ),
 ""
)</f>
        <v>8020</v>
      </c>
      <c r="H275" s="10">
        <f t="shared" ca="1" si="17"/>
        <v>194</v>
      </c>
      <c r="I275" s="7">
        <f t="shared" si="18"/>
        <v>0</v>
      </c>
      <c r="J275" s="3" t="str">
        <f t="shared" ca="1" si="19"/>
        <v>OVERDUE</v>
      </c>
    </row>
    <row r="276" spans="1:10">
      <c r="A276" s="11" t="str">
        <f>_xlfn.XLOOKUP(C276, data_master!G:G, data_master!B:B)</f>
        <v>16491</v>
      </c>
      <c r="B276" t="str">
        <f>_xlfn.XLOOKUP(C276, data_master!G:G, data_master!D:D)</f>
        <v>16491 JAKARTA TIMUR</v>
      </c>
      <c r="C276" s="12" t="str">
        <v>B6337MTM</v>
      </c>
      <c r="D276" s="4">
        <f>IFERROR( _xlfn.MAXIFS( raw_stack!G:G, raw_stack!D:D, C276, raw_stack!F:F, "Iya" ), "" )</f>
        <v>46067</v>
      </c>
      <c r="E276" s="4">
        <f t="shared" si="16"/>
        <v>46248</v>
      </c>
      <c r="F276" s="7">
        <f>IFERROR(
 _xlfn.MAXIFS(
  raw_stack!H:H,
  raw_stack!D:D, C276,
  raw_stack!G:G, D276
 ),
 ""
)</f>
        <v>3041</v>
      </c>
      <c r="G276" s="7">
        <f>IFERROR(
 _xlfn.MAXIFS(
  raw_stack!E:E,
  raw_stack!D:D, C276,
  raw_stack!G:G, D276
 ),
 ""
)</f>
        <v>3041</v>
      </c>
      <c r="H276" s="10">
        <f t="shared" ca="1" si="17"/>
        <v>178</v>
      </c>
      <c r="I276" s="7">
        <f t="shared" si="18"/>
        <v>0</v>
      </c>
      <c r="J276" s="3" t="str">
        <f t="shared" ca="1" si="19"/>
        <v>AMAN</v>
      </c>
    </row>
    <row r="277" spans="1:10">
      <c r="A277" s="11" t="str">
        <f>_xlfn.XLOOKUP(C277, data_master!G:G, data_master!B:B)</f>
        <v>30408</v>
      </c>
      <c r="B277" t="str">
        <f>_xlfn.XLOOKUP(C277, data_master!G:G, data_master!D:D)</f>
        <v>30408 BANJARBARU UNIT</v>
      </c>
      <c r="C277" s="12" t="str">
        <v>B7759RV</v>
      </c>
      <c r="D277" s="4">
        <f>IFERROR( _xlfn.MAXIFS( raw_stack!G:G, raw_stack!D:D, C277, raw_stack!F:F, "Iya" ), "" )</f>
        <v>46002</v>
      </c>
      <c r="E277" s="4">
        <f t="shared" si="16"/>
        <v>46184</v>
      </c>
      <c r="F277" s="7">
        <f>IFERROR(
 _xlfn.MAXIFS(
  raw_stack!H:H,
  raw_stack!D:D, C277,
  raw_stack!G:G, D277
 ),
 ""
)</f>
        <v>8620</v>
      </c>
      <c r="G277" s="7">
        <f>IFERROR(
 _xlfn.MAXIFS(
  raw_stack!E:E,
  raw_stack!D:D, C277,
  raw_stack!G:G, D277
 ),
 ""
)</f>
        <v>8620</v>
      </c>
      <c r="H277" s="10">
        <f t="shared" ca="1" si="17"/>
        <v>243</v>
      </c>
      <c r="I277" s="7">
        <f t="shared" si="18"/>
        <v>0</v>
      </c>
      <c r="J277" s="3" t="str">
        <f t="shared" ca="1" si="19"/>
        <v>OVERDUE</v>
      </c>
    </row>
    <row r="278" spans="1:10">
      <c r="A278" s="11" t="str">
        <f>_xlfn.XLOOKUP(C278, data_master!G:G, data_master!B:B)</f>
        <v>71532</v>
      </c>
      <c r="B278" t="str">
        <f>_xlfn.XLOOKUP(C278, data_master!G:G, data_master!D:D)</f>
        <v>71532 BUKITTINGGI UNIT</v>
      </c>
      <c r="C278" s="12" t="str">
        <v>H3059ZKJ</v>
      </c>
      <c r="D278" s="4">
        <f>IFERROR( _xlfn.MAXIFS( raw_stack!G:G, raw_stack!D:D, C278, raw_stack!F:F, "Iya" ), "" )</f>
        <v>46062</v>
      </c>
      <c r="E278" s="4">
        <f t="shared" si="16"/>
        <v>46243</v>
      </c>
      <c r="F278" s="7">
        <f>IFERROR(
 _xlfn.MAXIFS(
  raw_stack!H:H,
  raw_stack!D:D, C278,
  raw_stack!G:G, D278
 ),
 ""
)</f>
        <v>13137</v>
      </c>
      <c r="G278" s="7">
        <f>IFERROR(
 _xlfn.MAXIFS(
  raw_stack!E:E,
  raw_stack!D:D, C278,
  raw_stack!G:G, D278
 ),
 ""
)</f>
        <v>13137</v>
      </c>
      <c r="H278" s="10">
        <f t="shared" ca="1" si="17"/>
        <v>183</v>
      </c>
      <c r="I278" s="7">
        <f t="shared" si="18"/>
        <v>0</v>
      </c>
      <c r="J278" s="3" t="str">
        <f t="shared" ca="1" si="19"/>
        <v>OVERDUE</v>
      </c>
    </row>
    <row r="279" spans="1:10">
      <c r="A279" s="11" t="str">
        <f>_xlfn.XLOOKUP(C279, data_master!G:G, data_master!B:B)</f>
        <v>44723</v>
      </c>
      <c r="B279" t="str">
        <f>_xlfn.XLOOKUP(C279, data_master!G:G, data_master!D:D)</f>
        <v>44723 KUDUS UNIT</v>
      </c>
      <c r="C279" s="12" t="str">
        <v>B1265LKJ</v>
      </c>
      <c r="D279" s="4">
        <f>IFERROR( _xlfn.MAXIFS( raw_stack!G:G, raw_stack!D:D, C279, raw_stack!F:F, "Iya" ), "" )</f>
        <v>46031</v>
      </c>
      <c r="E279" s="4">
        <f t="shared" si="16"/>
        <v>46212</v>
      </c>
      <c r="F279" s="7">
        <f>IFERROR(
 _xlfn.MAXIFS(
  raw_stack!H:H,
  raw_stack!D:D, C279,
  raw_stack!G:G, D279
 ),
 ""
)</f>
        <v>87002</v>
      </c>
      <c r="G279" s="7">
        <f>IFERROR(
 _xlfn.MAXIFS(
  raw_stack!E:E,
  raw_stack!D:D, C279,
  raw_stack!G:G, D279
 ),
 ""
)</f>
        <v>87002</v>
      </c>
      <c r="H279" s="10">
        <f t="shared" ca="1" si="17"/>
        <v>214</v>
      </c>
      <c r="I279" s="7">
        <f t="shared" si="18"/>
        <v>0</v>
      </c>
      <c r="J279" s="3" t="str">
        <f t="shared" ca="1" si="19"/>
        <v>OVERDUE</v>
      </c>
    </row>
    <row r="280" spans="1:10">
      <c r="A280" s="11" t="str">
        <f>_xlfn.XLOOKUP(C280, data_master!G:G, data_master!B:B)</f>
        <v>97088</v>
      </c>
      <c r="B280" t="str">
        <f>_xlfn.XLOOKUP(C280, data_master!G:G, data_master!D:D)</f>
        <v>97088 BAU BAU</v>
      </c>
      <c r="C280" s="12" t="str">
        <v>B6912CV</v>
      </c>
      <c r="D280" s="4">
        <f>IFERROR( _xlfn.MAXIFS( raw_stack!G:G, raw_stack!D:D, C280, raw_stack!F:F, "Iya" ), "" )</f>
        <v>46037</v>
      </c>
      <c r="E280" s="4">
        <f t="shared" si="16"/>
        <v>46218</v>
      </c>
      <c r="F280" s="7">
        <f>IFERROR(
 _xlfn.MAXIFS(
  raw_stack!H:H,
  raw_stack!D:D, C280,
  raw_stack!G:G, D280
 ),
 ""
)</f>
        <v>12615</v>
      </c>
      <c r="G280" s="7">
        <f>IFERROR(
 _xlfn.MAXIFS(
  raw_stack!E:E,
  raw_stack!D:D, C280,
  raw_stack!G:G, D280
 ),
 ""
)</f>
        <v>12615</v>
      </c>
      <c r="H280" s="10">
        <f t="shared" ca="1" si="17"/>
        <v>208</v>
      </c>
      <c r="I280" s="7">
        <f t="shared" si="18"/>
        <v>0</v>
      </c>
      <c r="J280" s="3" t="str">
        <f t="shared" ca="1" si="19"/>
        <v>OVERDUE</v>
      </c>
    </row>
    <row r="281" spans="1:10">
      <c r="A281" s="11" t="str">
        <f>_xlfn.XLOOKUP(C281, data_master!G:G, data_master!B:B)</f>
        <v>38989</v>
      </c>
      <c r="B281" t="str">
        <f>_xlfn.XLOOKUP(C281, data_master!G:G, data_master!D:D)</f>
        <v>38989 PATI</v>
      </c>
      <c r="C281" s="12" t="str">
        <v>B6483WV</v>
      </c>
      <c r="D281" s="4">
        <f>IFERROR( _xlfn.MAXIFS( raw_stack!G:G, raw_stack!D:D, C281, raw_stack!F:F, "Iya" ), "" )</f>
        <v>46028</v>
      </c>
      <c r="E281" s="4">
        <f t="shared" si="16"/>
        <v>46209</v>
      </c>
      <c r="F281" s="7">
        <f>IFERROR(
 _xlfn.MAXIFS(
  raw_stack!H:H,
  raw_stack!D:D, C281,
  raw_stack!G:G, D281
 ),
 ""
)</f>
        <v>16045</v>
      </c>
      <c r="G281" s="7">
        <f>IFERROR(
 _xlfn.MAXIFS(
  raw_stack!E:E,
  raw_stack!D:D, C281,
  raw_stack!G:G, D281
 ),
 ""
)</f>
        <v>16045</v>
      </c>
      <c r="H281" s="10">
        <f t="shared" ca="1" si="17"/>
        <v>217</v>
      </c>
      <c r="I281" s="7">
        <f t="shared" si="18"/>
        <v>0</v>
      </c>
      <c r="J281" s="3" t="str">
        <f t="shared" ca="1" si="19"/>
        <v>OVERDUE</v>
      </c>
    </row>
    <row r="282" spans="1:10">
      <c r="A282" s="11" t="str">
        <f>_xlfn.XLOOKUP(C282, data_master!G:G, data_master!B:B)</f>
        <v>95425</v>
      </c>
      <c r="B282" t="str">
        <f>_xlfn.XLOOKUP(C282, data_master!G:G, data_master!D:D)</f>
        <v>95425 MOJOKERTO 2</v>
      </c>
      <c r="C282" s="12" t="str">
        <v>B9072QEG</v>
      </c>
      <c r="D282" s="4">
        <f>IFERROR( _xlfn.MAXIFS( raw_stack!G:G, raw_stack!D:D, C282, raw_stack!F:F, "Iya" ), "" )</f>
        <v>46090</v>
      </c>
      <c r="E282" s="4">
        <f t="shared" si="16"/>
        <v>46274</v>
      </c>
      <c r="F282" s="7">
        <f>IFERROR(
 _xlfn.MAXIFS(
  raw_stack!H:H,
  raw_stack!D:D, C282,
  raw_stack!G:G, D282
 ),
 ""
)</f>
        <v>10126</v>
      </c>
      <c r="G282" s="7">
        <f>IFERROR(
 _xlfn.MAXIFS(
  raw_stack!E:E,
  raw_stack!D:D, C282,
  raw_stack!G:G, D282
 ),
 ""
)</f>
        <v>10126</v>
      </c>
      <c r="H282" s="10">
        <f t="shared" ca="1" si="17"/>
        <v>155</v>
      </c>
      <c r="I282" s="7">
        <f t="shared" si="18"/>
        <v>0</v>
      </c>
      <c r="J282" s="3" t="str">
        <f t="shared" ca="1" si="19"/>
        <v>AMAN</v>
      </c>
    </row>
    <row r="283" spans="1:10">
      <c r="A283" s="11" t="str">
        <f>_xlfn.XLOOKUP(C283, data_master!G:G, data_master!B:B)</f>
        <v>86431</v>
      </c>
      <c r="B283" t="str">
        <f>_xlfn.XLOOKUP(C283, data_master!G:G, data_master!D:D)</f>
        <v>86431 KLUNGKUNG</v>
      </c>
      <c r="C283" s="12" t="str">
        <v>B1578YGJ</v>
      </c>
      <c r="D283" s="4">
        <f>IFERROR( _xlfn.MAXIFS( raw_stack!G:G, raw_stack!D:D, C283, raw_stack!F:F, "Iya" ), "" )</f>
        <v>45912</v>
      </c>
      <c r="E283" s="4">
        <f t="shared" si="16"/>
        <v>46093</v>
      </c>
      <c r="F283" s="7">
        <f>IFERROR(
 _xlfn.MAXIFS(
  raw_stack!H:H,
  raw_stack!D:D, C283,
  raw_stack!G:G, D283
 ),
 ""
)</f>
        <v>1049</v>
      </c>
      <c r="G283" s="7">
        <f>IFERROR(
 _xlfn.MAXIFS(
  raw_stack!E:E,
  raw_stack!D:D, C283,
  raw_stack!G:G, D283
 ),
 ""
)</f>
        <v>1049</v>
      </c>
      <c r="H283" s="10">
        <f t="shared" ca="1" si="17"/>
        <v>333</v>
      </c>
      <c r="I283" s="7">
        <f t="shared" si="18"/>
        <v>0</v>
      </c>
      <c r="J283" s="3" t="str">
        <f t="shared" ca="1" si="19"/>
        <v>OVERDUE</v>
      </c>
    </row>
    <row r="284" spans="1:10">
      <c r="A284" s="11" t="str">
        <f>_xlfn.XLOOKUP(C284, data_master!G:G, data_master!B:B)</f>
        <v>12328</v>
      </c>
      <c r="B284" t="str">
        <f>_xlfn.XLOOKUP(C284, data_master!G:G, data_master!D:D)</f>
        <v>12328 BEKASI BRANCH</v>
      </c>
      <c r="C284" s="12" t="str">
        <v>KT4620NQ</v>
      </c>
      <c r="D284" s="4">
        <f>IFERROR( _xlfn.MAXIFS( raw_stack!G:G, raw_stack!D:D, C284, raw_stack!F:F, "Iya" ), "" )</f>
        <v>46093</v>
      </c>
      <c r="E284" s="4">
        <f t="shared" si="16"/>
        <v>46277</v>
      </c>
      <c r="F284" s="7">
        <f>IFERROR(
 _xlfn.MAXIFS(
  raw_stack!H:H,
  raw_stack!D:D, C284,
  raw_stack!G:G, D284
 ),
 ""
)</f>
        <v>27680</v>
      </c>
      <c r="G284" s="7">
        <f>IFERROR(
 _xlfn.MAXIFS(
  raw_stack!E:E,
  raw_stack!D:D, C284,
  raw_stack!G:G, D284
 ),
 ""
)</f>
        <v>18603</v>
      </c>
      <c r="H284" s="10">
        <f t="shared" ca="1" si="17"/>
        <v>152</v>
      </c>
      <c r="I284" s="7">
        <f t="shared" si="18"/>
        <v>-9077</v>
      </c>
      <c r="J284" s="3" t="str">
        <f t="shared" ca="1" si="19"/>
        <v>AMAN</v>
      </c>
    </row>
    <row r="285" spans="1:10">
      <c r="A285" s="11" t="str">
        <f>_xlfn.XLOOKUP(C285, data_master!G:G, data_master!B:B)</f>
        <v>27693</v>
      </c>
      <c r="B285" t="str">
        <f>_xlfn.XLOOKUP(C285, data_master!G:G, data_master!D:D)</f>
        <v>27693 BADUNG POS</v>
      </c>
      <c r="C285" s="12" t="str">
        <v>B5623MA</v>
      </c>
      <c r="D285" s="4">
        <f>IFERROR( _xlfn.MAXIFS( raw_stack!G:G, raw_stack!D:D, C285, raw_stack!F:F, "Iya" ), "" )</f>
        <v>46091</v>
      </c>
      <c r="E285" s="4">
        <f t="shared" si="16"/>
        <v>46275</v>
      </c>
      <c r="F285" s="7">
        <f>IFERROR(
 _xlfn.MAXIFS(
  raw_stack!H:H,
  raw_stack!D:D, C285,
  raw_stack!G:G, D285
 ),
 ""
)</f>
        <v>5678</v>
      </c>
      <c r="G285" s="7">
        <f>IFERROR(
 _xlfn.MAXIFS(
  raw_stack!E:E,
  raw_stack!D:D, C285,
  raw_stack!G:G, D285
 ),
 ""
)</f>
        <v>5678</v>
      </c>
      <c r="H285" s="10">
        <f t="shared" ca="1" si="17"/>
        <v>154</v>
      </c>
      <c r="I285" s="7">
        <f t="shared" si="18"/>
        <v>0</v>
      </c>
      <c r="J285" s="3" t="str">
        <f t="shared" ca="1" si="19"/>
        <v>AMAN</v>
      </c>
    </row>
    <row r="286" spans="1:10">
      <c r="A286" s="11" t="str">
        <f>_xlfn.XLOOKUP(C286, data_master!G:G, data_master!B:B)</f>
        <v>92523</v>
      </c>
      <c r="B286" t="str">
        <f>_xlfn.XLOOKUP(C286, data_master!G:G, data_master!D:D)</f>
        <v>92523 LIMBOTO BRANCH</v>
      </c>
      <c r="C286" s="12" t="str">
        <v>B6851IH</v>
      </c>
      <c r="D286" s="4">
        <f>IFERROR( _xlfn.MAXIFS( raw_stack!G:G, raw_stack!D:D, C286, raw_stack!F:F, "Iya" ), "" )</f>
        <v>46044</v>
      </c>
      <c r="E286" s="4">
        <f t="shared" si="16"/>
        <v>46225</v>
      </c>
      <c r="F286" s="7">
        <f>IFERROR(
 _xlfn.MAXIFS(
  raw_stack!H:H,
  raw_stack!D:D, C286,
  raw_stack!G:G, D286
 ),
 ""
)</f>
        <v>14457</v>
      </c>
      <c r="G286" s="7">
        <f>IFERROR(
 _xlfn.MAXIFS(
  raw_stack!E:E,
  raw_stack!D:D, C286,
  raw_stack!G:G, D286
 ),
 ""
)</f>
        <v>14457</v>
      </c>
      <c r="H286" s="10">
        <f t="shared" ca="1" si="17"/>
        <v>201</v>
      </c>
      <c r="I286" s="7">
        <f t="shared" si="18"/>
        <v>0</v>
      </c>
      <c r="J286" s="3" t="str">
        <f t="shared" ca="1" si="19"/>
        <v>OVERDUE</v>
      </c>
    </row>
    <row r="287" spans="1:10">
      <c r="A287" s="11" t="str">
        <f>_xlfn.XLOOKUP(C287, data_master!G:G, data_master!B:B)</f>
        <v>59355</v>
      </c>
      <c r="B287" t="str">
        <f>_xlfn.XLOOKUP(C287, data_master!G:G, data_master!D:D)</f>
        <v>59355 GOWA POS</v>
      </c>
      <c r="C287" s="12" t="str">
        <v>B5945BC</v>
      </c>
      <c r="D287" s="4">
        <f>IFERROR( _xlfn.MAXIFS( raw_stack!G:G, raw_stack!D:D, C287, raw_stack!F:F, "Iya" ), "" )</f>
        <v>46056</v>
      </c>
      <c r="E287" s="4">
        <f t="shared" si="16"/>
        <v>46237</v>
      </c>
      <c r="F287" s="7">
        <f>IFERROR(
 _xlfn.MAXIFS(
  raw_stack!H:H,
  raw_stack!D:D, C287,
  raw_stack!G:G, D287
 ),
 ""
)</f>
        <v>16399</v>
      </c>
      <c r="G287" s="7">
        <f>IFERROR(
 _xlfn.MAXIFS(
  raw_stack!E:E,
  raw_stack!D:D, C287,
  raw_stack!G:G, D287
 ),
 ""
)</f>
        <v>16399</v>
      </c>
      <c r="H287" s="10">
        <f t="shared" ca="1" si="17"/>
        <v>189</v>
      </c>
      <c r="I287" s="7">
        <f t="shared" si="18"/>
        <v>0</v>
      </c>
      <c r="J287" s="3" t="str">
        <f t="shared" ca="1" si="19"/>
        <v>OVERDUE</v>
      </c>
    </row>
    <row r="288" spans="1:10">
      <c r="A288" s="11" t="str">
        <f>_xlfn.XLOOKUP(C288, data_master!G:G, data_master!B:B)</f>
        <v>28292</v>
      </c>
      <c r="B288" t="str">
        <f>_xlfn.XLOOKUP(C288, data_master!G:G, data_master!D:D)</f>
        <v>28292 WONOGIRI POS</v>
      </c>
      <c r="C288" s="12" t="str">
        <v>B3007PX</v>
      </c>
      <c r="D288" s="4">
        <f>IFERROR( _xlfn.MAXIFS( raw_stack!G:G, raw_stack!D:D, C288, raw_stack!F:F, "Iya" ), "" )</f>
        <v>46092</v>
      </c>
      <c r="E288" s="4">
        <f t="shared" si="16"/>
        <v>46276</v>
      </c>
      <c r="F288" s="7">
        <f>IFERROR(
 _xlfn.MAXIFS(
  raw_stack!H:H,
  raw_stack!D:D, C288,
  raw_stack!G:G, D288
 ),
 ""
)</f>
        <v>4194</v>
      </c>
      <c r="G288" s="7">
        <f>IFERROR(
 _xlfn.MAXIFS(
  raw_stack!E:E,
  raw_stack!D:D, C288,
  raw_stack!G:G, D288
 ),
 ""
)</f>
        <v>4667</v>
      </c>
      <c r="H288" s="10">
        <f t="shared" ca="1" si="17"/>
        <v>153</v>
      </c>
      <c r="I288" s="7">
        <f t="shared" si="18"/>
        <v>473</v>
      </c>
      <c r="J288" s="3" t="str">
        <f t="shared" ca="1" si="19"/>
        <v>AMAN</v>
      </c>
    </row>
    <row r="289" spans="1:10">
      <c r="A289" s="11" t="str">
        <f>_xlfn.XLOOKUP(C289, data_master!G:G, data_master!B:B)</f>
        <v>27732</v>
      </c>
      <c r="B289" t="str">
        <f>_xlfn.XLOOKUP(C289, data_master!G:G, data_master!D:D)</f>
        <v>27732 KETAPANG</v>
      </c>
      <c r="C289" s="12" t="str">
        <v>B9525TPH</v>
      </c>
      <c r="D289" s="4">
        <f>IFERROR( _xlfn.MAXIFS( raw_stack!G:G, raw_stack!D:D, C289, raw_stack!F:F, "Iya" ), "" )</f>
        <v>46073</v>
      </c>
      <c r="E289" s="4">
        <f t="shared" si="16"/>
        <v>46254</v>
      </c>
      <c r="F289" s="7">
        <f>IFERROR(
 _xlfn.MAXIFS(
  raw_stack!H:H,
  raw_stack!D:D, C289,
  raw_stack!G:G, D289
 ),
 ""
)</f>
        <v>11984</v>
      </c>
      <c r="G289" s="7">
        <f>IFERROR(
 _xlfn.MAXIFS(
  raw_stack!E:E,
  raw_stack!D:D, C289,
  raw_stack!G:G, D289
 ),
 ""
)</f>
        <v>11984</v>
      </c>
      <c r="H289" s="10">
        <f t="shared" ca="1" si="17"/>
        <v>172</v>
      </c>
      <c r="I289" s="7">
        <f t="shared" si="18"/>
        <v>0</v>
      </c>
      <c r="J289" s="3" t="str">
        <f t="shared" ca="1" si="19"/>
        <v>AMAN</v>
      </c>
    </row>
    <row r="290" spans="1:10">
      <c r="A290" s="11" t="str">
        <f>_xlfn.XLOOKUP(C290, data_master!G:G, data_master!B:B)</f>
        <v>19704</v>
      </c>
      <c r="B290" t="str">
        <f>_xlfn.XLOOKUP(C290, data_master!G:G, data_master!D:D)</f>
        <v>19704 BARABAI BRANCH</v>
      </c>
      <c r="C290" s="12" t="str">
        <v>DM5212DL</v>
      </c>
      <c r="D290" s="4">
        <f>IFERROR( _xlfn.MAXIFS( raw_stack!G:G, raw_stack!D:D, C290, raw_stack!F:F, "Iya" ), "" )</f>
        <v>46044</v>
      </c>
      <c r="E290" s="4">
        <f t="shared" si="16"/>
        <v>46225</v>
      </c>
      <c r="F290" s="7">
        <f>IFERROR(
 _xlfn.MAXIFS(
  raw_stack!H:H,
  raw_stack!D:D, C290,
  raw_stack!G:G, D290
 ),
 ""
)</f>
        <v>14389</v>
      </c>
      <c r="G290" s="7">
        <f>IFERROR(
 _xlfn.MAXIFS(
  raw_stack!E:E,
  raw_stack!D:D, C290,
  raw_stack!G:G, D290
 ),
 ""
)</f>
        <v>14389</v>
      </c>
      <c r="H290" s="10">
        <f t="shared" ca="1" si="17"/>
        <v>201</v>
      </c>
      <c r="I290" s="7">
        <f t="shared" si="18"/>
        <v>0</v>
      </c>
      <c r="J290" s="3" t="str">
        <f t="shared" ca="1" si="19"/>
        <v>OVERDUE</v>
      </c>
    </row>
    <row r="291" spans="1:10">
      <c r="A291" s="11" t="str">
        <f>_xlfn.XLOOKUP(C291, data_master!G:G, data_master!B:B)</f>
        <v>21310</v>
      </c>
      <c r="B291" t="str">
        <f>_xlfn.XLOOKUP(C291, data_master!G:G, data_master!D:D)</f>
        <v>21310 KOTABUMI BRANCH</v>
      </c>
      <c r="C291" s="12" t="str">
        <v>B1799MW</v>
      </c>
      <c r="D291" s="4">
        <f>IFERROR( _xlfn.MAXIFS( raw_stack!G:G, raw_stack!D:D, C291, raw_stack!F:F, "Iya" ), "" )</f>
        <v>45974</v>
      </c>
      <c r="E291" s="4">
        <f t="shared" si="16"/>
        <v>46155</v>
      </c>
      <c r="F291" s="7">
        <f>IFERROR(
 _xlfn.MAXIFS(
  raw_stack!H:H,
  raw_stack!D:D, C291,
  raw_stack!G:G, D291
 ),
 ""
)</f>
        <v>2142</v>
      </c>
      <c r="G291" s="7">
        <f>IFERROR(
 _xlfn.MAXIFS(
  raw_stack!E:E,
  raw_stack!D:D, C291,
  raw_stack!G:G, D291
 ),
 ""
)</f>
        <v>2142</v>
      </c>
      <c r="H291" s="10">
        <f t="shared" ca="1" si="17"/>
        <v>271</v>
      </c>
      <c r="I291" s="7">
        <f t="shared" si="18"/>
        <v>0</v>
      </c>
      <c r="J291" s="3" t="str">
        <f t="shared" ca="1" si="19"/>
        <v>OVERDUE</v>
      </c>
    </row>
    <row r="292" spans="1:10">
      <c r="A292" s="11" t="str">
        <f>_xlfn.XLOOKUP(C292, data_master!G:G, data_master!B:B)</f>
        <v>77247</v>
      </c>
      <c r="B292" t="str">
        <f>_xlfn.XLOOKUP(C292, data_master!G:G, data_master!D:D)</f>
        <v>77247 JENEPONTO 2</v>
      </c>
      <c r="C292" s="12" t="str">
        <v>B4162QMK</v>
      </c>
      <c r="D292" s="4">
        <f>IFERROR( _xlfn.MAXIFS( raw_stack!G:G, raw_stack!D:D, C292, raw_stack!F:F, "Iya" ), "" )</f>
        <v>46126</v>
      </c>
      <c r="E292" s="4">
        <f t="shared" si="16"/>
        <v>46309</v>
      </c>
      <c r="F292" s="7">
        <f>IFERROR(
 _xlfn.MAXIFS(
  raw_stack!H:H,
  raw_stack!D:D, C292,
  raw_stack!G:G, D292
 ),
 ""
)</f>
        <v>15643</v>
      </c>
      <c r="G292" s="7">
        <f>IFERROR(
 _xlfn.MAXIFS(
  raw_stack!E:E,
  raw_stack!D:D, C292,
  raw_stack!G:G, D292
 ),
 ""
)</f>
        <v>15976</v>
      </c>
      <c r="H292" s="10">
        <f t="shared" ca="1" si="17"/>
        <v>119</v>
      </c>
      <c r="I292" s="7">
        <f t="shared" si="18"/>
        <v>333</v>
      </c>
      <c r="J292" s="3" t="str">
        <f t="shared" ca="1" si="19"/>
        <v>AMAN</v>
      </c>
    </row>
    <row r="293" spans="1:10">
      <c r="A293" s="11" t="str">
        <f>_xlfn.XLOOKUP(C293, data_master!G:G, data_master!B:B)</f>
        <v>15721</v>
      </c>
      <c r="B293" t="str">
        <f>_xlfn.XLOOKUP(C293, data_master!G:G, data_master!D:D)</f>
        <v>15721 GUNUNG KIDUL</v>
      </c>
      <c r="C293" s="12" t="str">
        <v>L9051XTF</v>
      </c>
      <c r="D293" s="4">
        <f>IFERROR( _xlfn.MAXIFS( raw_stack!G:G, raw_stack!D:D, C293, raw_stack!F:F, "Iya" ), "" )</f>
        <v>45946</v>
      </c>
      <c r="E293" s="4">
        <f t="shared" si="16"/>
        <v>46128</v>
      </c>
      <c r="F293" s="7">
        <f>IFERROR(
 _xlfn.MAXIFS(
  raw_stack!H:H,
  raw_stack!D:D, C293,
  raw_stack!G:G, D293
 ),
 ""
)</f>
        <v>5490</v>
      </c>
      <c r="G293" s="7">
        <f>IFERROR(
 _xlfn.MAXIFS(
  raw_stack!E:E,
  raw_stack!D:D, C293,
  raw_stack!G:G, D293
 ),
 ""
)</f>
        <v>5490</v>
      </c>
      <c r="H293" s="10">
        <f t="shared" ca="1" si="17"/>
        <v>299</v>
      </c>
      <c r="I293" s="7">
        <f t="shared" si="18"/>
        <v>0</v>
      </c>
      <c r="J293" s="3" t="str">
        <f t="shared" ca="1" si="19"/>
        <v>OVERDUE</v>
      </c>
    </row>
    <row r="294" spans="1:10">
      <c r="A294" s="11" t="str">
        <f>_xlfn.XLOOKUP(C294, data_master!G:G, data_master!B:B)</f>
        <v>66668</v>
      </c>
      <c r="B294" t="str">
        <f>_xlfn.XLOOKUP(C294, data_master!G:G, data_master!D:D)</f>
        <v>66668 WAMENA</v>
      </c>
      <c r="C294" s="12" t="str">
        <v>B1827XS</v>
      </c>
      <c r="D294" s="4">
        <f>IFERROR( _xlfn.MAXIFS( raw_stack!G:G, raw_stack!D:D, C294, raw_stack!F:F, "Iya" ), "" )</f>
        <v>45948</v>
      </c>
      <c r="E294" s="4">
        <f t="shared" si="16"/>
        <v>46130</v>
      </c>
      <c r="F294" s="7">
        <f>IFERROR(
 _xlfn.MAXIFS(
  raw_stack!H:H,
  raw_stack!D:D, C294,
  raw_stack!G:G, D294
 ),
 ""
)</f>
        <v>269</v>
      </c>
      <c r="G294" s="7">
        <f>IFERROR(
 _xlfn.MAXIFS(
  raw_stack!E:E,
  raw_stack!D:D, C294,
  raw_stack!G:G, D294
 ),
 ""
)</f>
        <v>269</v>
      </c>
      <c r="H294" s="10">
        <f t="shared" ca="1" si="17"/>
        <v>297</v>
      </c>
      <c r="I294" s="7">
        <f t="shared" si="18"/>
        <v>0</v>
      </c>
      <c r="J294" s="3" t="str">
        <f t="shared" ca="1" si="19"/>
        <v>OVERDUE</v>
      </c>
    </row>
    <row r="295" spans="1:10">
      <c r="A295" s="11" t="str">
        <f>_xlfn.XLOOKUP(C295, data_master!G:G, data_master!B:B)</f>
        <v>84546</v>
      </c>
      <c r="B295" t="str">
        <f>_xlfn.XLOOKUP(C295, data_master!G:G, data_master!D:D)</f>
        <v>84546 LUBUK LINGGAU 2</v>
      </c>
      <c r="C295" s="12" t="str">
        <v>B9580AP</v>
      </c>
      <c r="D295" s="4">
        <f>IFERROR( _xlfn.MAXIFS( raw_stack!G:G, raw_stack!D:D, C295, raw_stack!F:F, "Iya" ), "" )</f>
        <v>45994</v>
      </c>
      <c r="E295" s="4">
        <f t="shared" si="16"/>
        <v>46176</v>
      </c>
      <c r="F295" s="7">
        <f>IFERROR(
 _xlfn.MAXIFS(
  raw_stack!H:H,
  raw_stack!D:D, C295,
  raw_stack!G:G, D295
 ),
 ""
)</f>
        <v>414</v>
      </c>
      <c r="G295" s="7">
        <f>IFERROR(
 _xlfn.MAXIFS(
  raw_stack!E:E,
  raw_stack!D:D, C295,
  raw_stack!G:G, D295
 ),
 ""
)</f>
        <v>414</v>
      </c>
      <c r="H295" s="10">
        <f t="shared" ca="1" si="17"/>
        <v>251</v>
      </c>
      <c r="I295" s="7">
        <f t="shared" si="18"/>
        <v>0</v>
      </c>
      <c r="J295" s="3" t="str">
        <f t="shared" ca="1" si="19"/>
        <v>OVERDUE</v>
      </c>
    </row>
    <row r="296" spans="1:10">
      <c r="A296" s="11" t="str">
        <f>_xlfn.XLOOKUP(C296, data_master!G:G, data_master!B:B)</f>
        <v>95009</v>
      </c>
      <c r="B296" t="str">
        <f>_xlfn.XLOOKUP(C296, data_master!G:G, data_master!D:D)</f>
        <v>95009 KOLAKA</v>
      </c>
      <c r="C296" s="12" t="str">
        <v>B4658KI</v>
      </c>
      <c r="D296" s="4">
        <f>IFERROR( _xlfn.MAXIFS( raw_stack!G:G, raw_stack!D:D, C296, raw_stack!F:F, "Iya" ), "" )</f>
        <v>45947</v>
      </c>
      <c r="E296" s="4">
        <f t="shared" si="16"/>
        <v>46129</v>
      </c>
      <c r="F296" s="7">
        <f>IFERROR(
 _xlfn.MAXIFS(
  raw_stack!H:H,
  raw_stack!D:D, C296,
  raw_stack!G:G, D296
 ),
 ""
)</f>
        <v>3652</v>
      </c>
      <c r="G296" s="7">
        <f>IFERROR(
 _xlfn.MAXIFS(
  raw_stack!E:E,
  raw_stack!D:D, C296,
  raw_stack!G:G, D296
 ),
 ""
)</f>
        <v>3652</v>
      </c>
      <c r="H296" s="10">
        <f t="shared" ca="1" si="17"/>
        <v>298</v>
      </c>
      <c r="I296" s="7">
        <f t="shared" si="18"/>
        <v>0</v>
      </c>
      <c r="J296" s="3" t="str">
        <f t="shared" ca="1" si="19"/>
        <v>OVERDUE</v>
      </c>
    </row>
    <row r="297" spans="1:10">
      <c r="A297" s="11" t="str">
        <f>_xlfn.XLOOKUP(C297, data_master!G:G, data_master!B:B)</f>
        <v>19849</v>
      </c>
      <c r="B297" t="str">
        <f>_xlfn.XLOOKUP(C297, data_master!G:G, data_master!D:D)</f>
        <v>19849 BANYUWANGI POS</v>
      </c>
      <c r="C297" s="12" t="str">
        <v>B6449IA</v>
      </c>
      <c r="D297" s="4">
        <f>IFERROR( _xlfn.MAXIFS( raw_stack!G:G, raw_stack!D:D, C297, raw_stack!F:F, "Iya" ), "" )</f>
        <v>46074</v>
      </c>
      <c r="E297" s="4">
        <f t="shared" si="16"/>
        <v>46255</v>
      </c>
      <c r="F297" s="7">
        <f>IFERROR(
 _xlfn.MAXIFS(
  raw_stack!H:H,
  raw_stack!D:D, C297,
  raw_stack!G:G, D297
 ),
 ""
)</f>
        <v>10997</v>
      </c>
      <c r="G297" s="7">
        <f>IFERROR(
 _xlfn.MAXIFS(
  raw_stack!E:E,
  raw_stack!D:D, C297,
  raw_stack!G:G, D297
 ),
 ""
)</f>
        <v>10997</v>
      </c>
      <c r="H297" s="10">
        <f t="shared" ca="1" si="17"/>
        <v>171</v>
      </c>
      <c r="I297" s="7">
        <f t="shared" si="18"/>
        <v>0</v>
      </c>
      <c r="J297" s="3" t="str">
        <f t="shared" ca="1" si="19"/>
        <v>AMAN</v>
      </c>
    </row>
    <row r="298" spans="1:10">
      <c r="A298" s="11" t="str">
        <f>_xlfn.XLOOKUP(C298, data_master!G:G, data_master!B:B)</f>
        <v>82123</v>
      </c>
      <c r="B298" t="str">
        <f>_xlfn.XLOOKUP(C298, data_master!G:G, data_master!D:D)</f>
        <v>82123 SINJAI</v>
      </c>
      <c r="C298" s="12" t="str">
        <v>B6964WP</v>
      </c>
      <c r="D298" s="4">
        <f>IFERROR( _xlfn.MAXIFS( raw_stack!G:G, raw_stack!D:D, C298, raw_stack!F:F, "Iya" ), "" )</f>
        <v>45961</v>
      </c>
      <c r="E298" s="4">
        <f t="shared" si="16"/>
        <v>46142</v>
      </c>
      <c r="F298" s="7">
        <f>IFERROR(
 _xlfn.MAXIFS(
  raw_stack!H:H,
  raw_stack!D:D, C298,
  raw_stack!G:G, D298
 ),
 ""
)</f>
        <v>2166</v>
      </c>
      <c r="G298" s="7">
        <f>IFERROR(
 _xlfn.MAXIFS(
  raw_stack!E:E,
  raw_stack!D:D, C298,
  raw_stack!G:G, D298
 ),
 ""
)</f>
        <v>2166</v>
      </c>
      <c r="H298" s="10">
        <f t="shared" ca="1" si="17"/>
        <v>284</v>
      </c>
      <c r="I298" s="7">
        <f t="shared" si="18"/>
        <v>0</v>
      </c>
      <c r="J298" s="3" t="str">
        <f t="shared" ca="1" si="19"/>
        <v>OVERDUE</v>
      </c>
    </row>
    <row r="299" spans="1:10">
      <c r="A299" s="11" t="str">
        <f>_xlfn.XLOOKUP(C299, data_master!G:G, data_master!B:B)</f>
        <v>87716</v>
      </c>
      <c r="B299" t="str">
        <f>_xlfn.XLOOKUP(C299, data_master!G:G, data_master!D:D)</f>
        <v>87716 RANTAU PRAPAT</v>
      </c>
      <c r="C299" s="12" t="str">
        <v>B8467CLJ</v>
      </c>
      <c r="D299" s="4">
        <f>IFERROR( _xlfn.MAXIFS( raw_stack!G:G, raw_stack!D:D, C299, raw_stack!F:F, "Iya" ), "" )</f>
        <v>45957</v>
      </c>
      <c r="E299" s="4">
        <f t="shared" si="16"/>
        <v>46139</v>
      </c>
      <c r="F299" s="7">
        <f>IFERROR(
 _xlfn.MAXIFS(
  raw_stack!H:H,
  raw_stack!D:D, C299,
  raw_stack!G:G, D299
 ),
 ""
)</f>
        <v>2524</v>
      </c>
      <c r="G299" s="7">
        <f>IFERROR(
 _xlfn.MAXIFS(
  raw_stack!E:E,
  raw_stack!D:D, C299,
  raw_stack!G:G, D299
 ),
 ""
)</f>
        <v>2524</v>
      </c>
      <c r="H299" s="10">
        <f t="shared" ca="1" si="17"/>
        <v>288</v>
      </c>
      <c r="I299" s="7">
        <f t="shared" si="18"/>
        <v>0</v>
      </c>
      <c r="J299" s="3" t="str">
        <f t="shared" ca="1" si="19"/>
        <v>OVERDUE</v>
      </c>
    </row>
    <row r="300" spans="1:10">
      <c r="A300" s="11" t="str">
        <f>_xlfn.XLOOKUP(C300, data_master!G:G, data_master!B:B)</f>
        <v>63557</v>
      </c>
      <c r="B300" t="str">
        <f>_xlfn.XLOOKUP(C300, data_master!G:G, data_master!D:D)</f>
        <v>63557 PONTIANAK</v>
      </c>
      <c r="C300" s="12" t="str">
        <v>B8878HRL</v>
      </c>
      <c r="D300" s="4">
        <f>IFERROR( _xlfn.MAXIFS( raw_stack!G:G, raw_stack!D:D, C300, raw_stack!F:F, "Iya" ), "" )</f>
        <v>45957</v>
      </c>
      <c r="E300" s="4">
        <f t="shared" si="16"/>
        <v>46139</v>
      </c>
      <c r="F300" s="7">
        <f>IFERROR(
 _xlfn.MAXIFS(
  raw_stack!H:H,
  raw_stack!D:D, C300,
  raw_stack!G:G, D300
 ),
 ""
)</f>
        <v>3069</v>
      </c>
      <c r="G300" s="7">
        <f>IFERROR(
 _xlfn.MAXIFS(
  raw_stack!E:E,
  raw_stack!D:D, C300,
  raw_stack!G:G, D300
 ),
 ""
)</f>
        <v>3069</v>
      </c>
      <c r="H300" s="10">
        <f t="shared" ca="1" si="17"/>
        <v>288</v>
      </c>
      <c r="I300" s="7">
        <f t="shared" si="18"/>
        <v>0</v>
      </c>
      <c r="J300" s="3" t="str">
        <f t="shared" ca="1" si="19"/>
        <v>OVERDUE</v>
      </c>
    </row>
    <row r="301" spans="1:10">
      <c r="A301" s="11" t="str">
        <f>_xlfn.XLOOKUP(C301, data_master!G:G, data_master!B:B)</f>
        <v>79735</v>
      </c>
      <c r="B301" t="str">
        <f>_xlfn.XLOOKUP(C301, data_master!G:G, data_master!D:D)</f>
        <v>79735 BANDAR JAYA BRANCH</v>
      </c>
      <c r="C301" s="12" t="str">
        <v>B7165PWG</v>
      </c>
      <c r="D301" s="4">
        <f>IFERROR( _xlfn.MAXIFS( raw_stack!G:G, raw_stack!D:D, C301, raw_stack!F:F, "Iya" ), "" )</f>
        <v>45953</v>
      </c>
      <c r="E301" s="4">
        <f t="shared" si="16"/>
        <v>46135</v>
      </c>
      <c r="F301" s="7">
        <f>IFERROR(
 _xlfn.MAXIFS(
  raw_stack!H:H,
  raw_stack!D:D, C301,
  raw_stack!G:G, D301
 ),
 ""
)</f>
        <v>5774</v>
      </c>
      <c r="G301" s="7">
        <f>IFERROR(
 _xlfn.MAXIFS(
  raw_stack!E:E,
  raw_stack!D:D, C301,
  raw_stack!G:G, D301
 ),
 ""
)</f>
        <v>5774</v>
      </c>
      <c r="H301" s="10">
        <f t="shared" ca="1" si="17"/>
        <v>292</v>
      </c>
      <c r="I301" s="7">
        <f t="shared" si="18"/>
        <v>0</v>
      </c>
      <c r="J301" s="3" t="str">
        <f t="shared" ca="1" si="19"/>
        <v>OVERDUE</v>
      </c>
    </row>
    <row r="302" spans="1:10">
      <c r="A302" s="11" t="str">
        <f>_xlfn.XLOOKUP(C302, data_master!G:G, data_master!B:B)</f>
        <v>19573</v>
      </c>
      <c r="B302" t="str">
        <f>_xlfn.XLOOKUP(C302, data_master!G:G, data_master!D:D)</f>
        <v>19573 PARIAMAN POS</v>
      </c>
      <c r="C302" s="12" t="str">
        <v>KT1997VYG</v>
      </c>
      <c r="D302" s="4">
        <f>IFERROR( _xlfn.MAXIFS( raw_stack!G:G, raw_stack!D:D, C302, raw_stack!F:F, "Iya" ), "" )</f>
        <v>46091</v>
      </c>
      <c r="E302" s="4">
        <f t="shared" si="16"/>
        <v>46275</v>
      </c>
      <c r="F302" s="7">
        <f>IFERROR(
 _xlfn.MAXIFS(
  raw_stack!H:H,
  raw_stack!D:D, C302,
  raw_stack!G:G, D302
 ),
 ""
)</f>
        <v>5071</v>
      </c>
      <c r="G302" s="7">
        <f>IFERROR(
 _xlfn.MAXIFS(
  raw_stack!E:E,
  raw_stack!D:D, C302,
  raw_stack!G:G, D302
 ),
 ""
)</f>
        <v>5071</v>
      </c>
      <c r="H302" s="10">
        <f t="shared" ca="1" si="17"/>
        <v>154</v>
      </c>
      <c r="I302" s="7">
        <f t="shared" si="18"/>
        <v>0</v>
      </c>
      <c r="J302" s="3" t="str">
        <f t="shared" ca="1" si="19"/>
        <v>AMAN</v>
      </c>
    </row>
    <row r="303" spans="1:10">
      <c r="A303" s="11" t="str">
        <f>_xlfn.XLOOKUP(C303, data_master!G:G, data_master!B:B)</f>
        <v>91588</v>
      </c>
      <c r="B303" t="str">
        <f>_xlfn.XLOOKUP(C303, data_master!G:G, data_master!D:D)</f>
        <v>91588 SUKABUMI 2</v>
      </c>
      <c r="C303" s="12" t="str">
        <v>B5151RYU</v>
      </c>
      <c r="D303" s="4">
        <f>IFERROR( _xlfn.MAXIFS( raw_stack!G:G, raw_stack!D:D, C303, raw_stack!F:F, "Iya" ), "" )</f>
        <v>0</v>
      </c>
      <c r="E303" s="4">
        <f t="shared" si="16"/>
        <v>182</v>
      </c>
      <c r="F303" s="7">
        <f>IFERROR(
 _xlfn.MAXIFS(
  raw_stack!H:H,
  raw_stack!D:D, C303,
  raw_stack!G:G, D303
 ),
 ""
)</f>
        <v>0</v>
      </c>
      <c r="G303" s="7">
        <f>IFERROR(
 _xlfn.MAXIFS(
  raw_stack!E:E,
  raw_stack!D:D, C303,
  raw_stack!G:G, D303
 ),
 ""
)</f>
        <v>7007</v>
      </c>
      <c r="H303" s="10" t="str">
        <f t="shared" ca="1" si="17"/>
        <v/>
      </c>
      <c r="I303" s="7">
        <f t="shared" si="18"/>
        <v>7007</v>
      </c>
      <c r="J303" s="3" t="str">
        <f t="shared" si="19"/>
        <v>BELUM SERVIS</v>
      </c>
    </row>
    <row r="304" spans="1:10">
      <c r="A304" s="11" t="str">
        <f>_xlfn.XLOOKUP(C304, data_master!G:G, data_master!B:B)</f>
        <v>67728</v>
      </c>
      <c r="B304" t="str">
        <f>_xlfn.XLOOKUP(C304, data_master!G:G, data_master!D:D)</f>
        <v>67728 SORONG</v>
      </c>
      <c r="C304" s="12" t="str">
        <v>B4884HS</v>
      </c>
      <c r="D304" s="4">
        <f>IFERROR( _xlfn.MAXIFS( raw_stack!G:G, raw_stack!D:D, C304, raw_stack!F:F, "Iya" ), "" )</f>
        <v>45992</v>
      </c>
      <c r="E304" s="4">
        <f t="shared" si="16"/>
        <v>46174</v>
      </c>
      <c r="F304" s="7">
        <f>IFERROR(
 _xlfn.MAXIFS(
  raw_stack!H:H,
  raw_stack!D:D, C304,
  raw_stack!G:G, D304
 ),
 ""
)</f>
        <v>753</v>
      </c>
      <c r="G304" s="7">
        <f>IFERROR(
 _xlfn.MAXIFS(
  raw_stack!E:E,
  raw_stack!D:D, C304,
  raw_stack!G:G, D304
 ),
 ""
)</f>
        <v>753</v>
      </c>
      <c r="H304" s="10">
        <f t="shared" ca="1" si="17"/>
        <v>253</v>
      </c>
      <c r="I304" s="7">
        <f t="shared" si="18"/>
        <v>0</v>
      </c>
      <c r="J304" s="3" t="str">
        <f t="shared" ca="1" si="19"/>
        <v>OVERDUE</v>
      </c>
    </row>
    <row r="305" spans="1:10">
      <c r="A305" s="11" t="str">
        <f>_xlfn.XLOOKUP(C305, data_master!G:G, data_master!B:B)</f>
        <v>86431</v>
      </c>
      <c r="B305" t="str">
        <f>_xlfn.XLOOKUP(C305, data_master!G:G, data_master!D:D)</f>
        <v>86431 KLUNGKUNG</v>
      </c>
      <c r="C305" s="12" t="str">
        <v>B2341ZVF</v>
      </c>
      <c r="D305" s="4">
        <f>IFERROR( _xlfn.MAXIFS( raw_stack!G:G, raw_stack!D:D, C305, raw_stack!F:F, "Iya" ), "" )</f>
        <v>45966</v>
      </c>
      <c r="E305" s="4">
        <f t="shared" si="16"/>
        <v>46147</v>
      </c>
      <c r="F305" s="7">
        <f>IFERROR(
 _xlfn.MAXIFS(
  raw_stack!H:H,
  raw_stack!D:D, C305,
  raw_stack!G:G, D305
 ),
 ""
)</f>
        <v>6033</v>
      </c>
      <c r="G305" s="7">
        <f>IFERROR(
 _xlfn.MAXIFS(
  raw_stack!E:E,
  raw_stack!D:D, C305,
  raw_stack!G:G, D305
 ),
 ""
)</f>
        <v>6033</v>
      </c>
      <c r="H305" s="10">
        <f t="shared" ca="1" si="17"/>
        <v>279</v>
      </c>
      <c r="I305" s="7">
        <f t="shared" si="18"/>
        <v>0</v>
      </c>
      <c r="J305" s="3" t="str">
        <f t="shared" ca="1" si="19"/>
        <v>OVERDUE</v>
      </c>
    </row>
    <row r="306" spans="1:10">
      <c r="A306" s="11" t="str">
        <f>_xlfn.XLOOKUP(C306, data_master!G:G, data_master!B:B)</f>
        <v>34328</v>
      </c>
      <c r="B306" t="str">
        <f>_xlfn.XLOOKUP(C306, data_master!G:G, data_master!D:D)</f>
        <v>34328 KAMPAR</v>
      </c>
      <c r="C306" s="12" t="str">
        <v>D5342SJ</v>
      </c>
      <c r="D306" s="4">
        <f>IFERROR( _xlfn.MAXIFS( raw_stack!G:G, raw_stack!D:D, C306, raw_stack!F:F, "Iya" ), "" )</f>
        <v>0</v>
      </c>
      <c r="E306" s="4">
        <f t="shared" si="16"/>
        <v>182</v>
      </c>
      <c r="F306" s="7">
        <f>IFERROR(
 _xlfn.MAXIFS(
  raw_stack!H:H,
  raw_stack!D:D, C306,
  raw_stack!G:G, D306
 ),
 ""
)</f>
        <v>0</v>
      </c>
      <c r="G306" s="7">
        <f>IFERROR(
 _xlfn.MAXIFS(
  raw_stack!E:E,
  raw_stack!D:D, C306,
  raw_stack!G:G, D306
 ),
 ""
)</f>
        <v>4433</v>
      </c>
      <c r="H306" s="10" t="str">
        <f t="shared" ca="1" si="17"/>
        <v/>
      </c>
      <c r="I306" s="7">
        <f t="shared" si="18"/>
        <v>4433</v>
      </c>
      <c r="J306" s="3" t="str">
        <f t="shared" si="19"/>
        <v>BELUM SERVIS</v>
      </c>
    </row>
    <row r="307" spans="1:10">
      <c r="A307" s="11" t="str">
        <f>_xlfn.XLOOKUP(C307, data_master!G:G, data_master!B:B)</f>
        <v>84165</v>
      </c>
      <c r="B307" t="str">
        <f>_xlfn.XLOOKUP(C307, data_master!G:G, data_master!D:D)</f>
        <v>84165 MUARA ENIM BRANCH</v>
      </c>
      <c r="C307" s="12" t="str">
        <v>B3401BGT</v>
      </c>
      <c r="D307" s="4">
        <f>IFERROR( _xlfn.MAXIFS( raw_stack!G:G, raw_stack!D:D, C307, raw_stack!F:F, "Iya" ), "" )</f>
        <v>45974</v>
      </c>
      <c r="E307" s="4">
        <f t="shared" si="16"/>
        <v>46155</v>
      </c>
      <c r="F307" s="7">
        <f>IFERROR(
 _xlfn.MAXIFS(
  raw_stack!H:H,
  raw_stack!D:D, C307,
  raw_stack!G:G, D307
 ),
 ""
)</f>
        <v>3173</v>
      </c>
      <c r="G307" s="7">
        <f>IFERROR(
 _xlfn.MAXIFS(
  raw_stack!E:E,
  raw_stack!D:D, C307,
  raw_stack!G:G, D307
 ),
 ""
)</f>
        <v>3173</v>
      </c>
      <c r="H307" s="10">
        <f t="shared" ca="1" si="17"/>
        <v>271</v>
      </c>
      <c r="I307" s="7">
        <f t="shared" si="18"/>
        <v>0</v>
      </c>
      <c r="J307" s="3" t="str">
        <f t="shared" ca="1" si="19"/>
        <v>OVERDUE</v>
      </c>
    </row>
    <row r="308" spans="1:10">
      <c r="A308" s="11" t="str">
        <f>_xlfn.XLOOKUP(C308, data_master!G:G, data_master!B:B)</f>
        <v>71786</v>
      </c>
      <c r="B308" t="str">
        <f>_xlfn.XLOOKUP(C308, data_master!G:G, data_master!D:D)</f>
        <v>71786 TANJUNG PINANG BRANCH</v>
      </c>
      <c r="C308" s="12" t="str">
        <v>B9488RA</v>
      </c>
      <c r="D308" s="4">
        <f>IFERROR( _xlfn.MAXIFS( raw_stack!G:G, raw_stack!D:D, C308, raw_stack!F:F, "Iya" ), "" )</f>
        <v>45974</v>
      </c>
      <c r="E308" s="4">
        <f t="shared" si="16"/>
        <v>46155</v>
      </c>
      <c r="F308" s="7">
        <f>IFERROR(
 _xlfn.MAXIFS(
  raw_stack!H:H,
  raw_stack!D:D, C308,
  raw_stack!G:G, D308
 ),
 ""
)</f>
        <v>2092</v>
      </c>
      <c r="G308" s="7">
        <f>IFERROR(
 _xlfn.MAXIFS(
  raw_stack!E:E,
  raw_stack!D:D, C308,
  raw_stack!G:G, D308
 ),
 ""
)</f>
        <v>2092</v>
      </c>
      <c r="H308" s="10">
        <f t="shared" ca="1" si="17"/>
        <v>271</v>
      </c>
      <c r="I308" s="7">
        <f t="shared" si="18"/>
        <v>0</v>
      </c>
      <c r="J308" s="3" t="str">
        <f t="shared" ca="1" si="19"/>
        <v>OVERDUE</v>
      </c>
    </row>
    <row r="309" spans="1:10">
      <c r="A309" s="11" t="str">
        <f>_xlfn.XLOOKUP(C309, data_master!G:G, data_master!B:B)</f>
        <v>69055</v>
      </c>
      <c r="B309" t="str">
        <f>_xlfn.XLOOKUP(C309, data_master!G:G, data_master!D:D)</f>
        <v>69055 KARAWANG UNIT</v>
      </c>
      <c r="C309" s="12" t="str">
        <v>B5518KS</v>
      </c>
      <c r="D309" s="4">
        <f>IFERROR( _xlfn.MAXIFS( raw_stack!G:G, raw_stack!D:D, C309, raw_stack!F:F, "Iya" ), "" )</f>
        <v>45967</v>
      </c>
      <c r="E309" s="4">
        <f t="shared" si="16"/>
        <v>46148</v>
      </c>
      <c r="F309" s="7">
        <f>IFERROR(
 _xlfn.MAXIFS(
  raw_stack!H:H,
  raw_stack!D:D, C309,
  raw_stack!G:G, D309
 ),
 ""
)</f>
        <v>2765</v>
      </c>
      <c r="G309" s="7">
        <f>IFERROR(
 _xlfn.MAXIFS(
  raw_stack!E:E,
  raw_stack!D:D, C309,
  raw_stack!G:G, D309
 ),
 ""
)</f>
        <v>2765</v>
      </c>
      <c r="H309" s="10">
        <f t="shared" ca="1" si="17"/>
        <v>278</v>
      </c>
      <c r="I309" s="7">
        <f t="shared" si="18"/>
        <v>0</v>
      </c>
      <c r="J309" s="3" t="str">
        <f t="shared" ca="1" si="19"/>
        <v>OVERDUE</v>
      </c>
    </row>
    <row r="310" spans="1:10">
      <c r="A310" s="11" t="str">
        <f>_xlfn.XLOOKUP(C310, data_master!G:G, data_master!B:B)</f>
        <v>29110</v>
      </c>
      <c r="B310" t="str">
        <f>_xlfn.XLOOKUP(C310, data_master!G:G, data_master!D:D)</f>
        <v>29110 INDRAGIRI HILIR</v>
      </c>
      <c r="C310" s="12" t="str">
        <v>B7655IV</v>
      </c>
      <c r="D310" s="4">
        <f>IFERROR( _xlfn.MAXIFS( raw_stack!G:G, raw_stack!D:D, C310, raw_stack!F:F, "Iya" ), "" )</f>
        <v>46013</v>
      </c>
      <c r="E310" s="4">
        <f t="shared" si="16"/>
        <v>46195</v>
      </c>
      <c r="F310" s="7">
        <f>IFERROR(
 _xlfn.MAXIFS(
  raw_stack!H:H,
  raw_stack!D:D, C310,
  raw_stack!G:G, D310
 ),
 ""
)</f>
        <v>2247</v>
      </c>
      <c r="G310" s="7">
        <f>IFERROR(
 _xlfn.MAXIFS(
  raw_stack!E:E,
  raw_stack!D:D, C310,
  raw_stack!G:G, D310
 ),
 ""
)</f>
        <v>2247</v>
      </c>
      <c r="H310" s="10">
        <f t="shared" ca="1" si="17"/>
        <v>232</v>
      </c>
      <c r="I310" s="7">
        <f t="shared" si="18"/>
        <v>0</v>
      </c>
      <c r="J310" s="3" t="str">
        <f t="shared" ca="1" si="19"/>
        <v>OVERDUE</v>
      </c>
    </row>
    <row r="311" spans="1:10">
      <c r="A311" s="11" t="str">
        <f>_xlfn.XLOOKUP(C311, data_master!G:G, data_master!B:B)</f>
        <v>88546</v>
      </c>
      <c r="B311" t="str">
        <f>_xlfn.XLOOKUP(C311, data_master!G:G, data_master!D:D)</f>
        <v>88546 MANADO BRANCH</v>
      </c>
      <c r="C311" s="12" t="str">
        <v>B2020TJ</v>
      </c>
      <c r="D311" s="4">
        <f>IFERROR( _xlfn.MAXIFS( raw_stack!G:G, raw_stack!D:D, C311, raw_stack!F:F, "Iya" ), "" )</f>
        <v>45967</v>
      </c>
      <c r="E311" s="4">
        <f t="shared" si="16"/>
        <v>46148</v>
      </c>
      <c r="F311" s="7">
        <f>IFERROR(
 _xlfn.MAXIFS(
  raw_stack!H:H,
  raw_stack!D:D, C311,
  raw_stack!G:G, D311
 ),
 ""
)</f>
        <v>2839</v>
      </c>
      <c r="G311" s="7">
        <f>IFERROR(
 _xlfn.MAXIFS(
  raw_stack!E:E,
  raw_stack!D:D, C311,
  raw_stack!G:G, D311
 ),
 ""
)</f>
        <v>2839</v>
      </c>
      <c r="H311" s="10">
        <f t="shared" ca="1" si="17"/>
        <v>278</v>
      </c>
      <c r="I311" s="7">
        <f t="shared" si="18"/>
        <v>0</v>
      </c>
      <c r="J311" s="3" t="str">
        <f t="shared" ca="1" si="19"/>
        <v>OVERDUE</v>
      </c>
    </row>
    <row r="312" spans="1:10">
      <c r="A312" s="11" t="str">
        <f>_xlfn.XLOOKUP(C312, data_master!G:G, data_master!B:B)</f>
        <v>84165</v>
      </c>
      <c r="B312" t="str">
        <f>_xlfn.XLOOKUP(C312, data_master!G:G, data_master!D:D)</f>
        <v>84165 MUARA ENIM BRANCH</v>
      </c>
      <c r="C312" s="12" t="str">
        <v>B9052XK</v>
      </c>
      <c r="D312" s="4">
        <f>IFERROR( _xlfn.MAXIFS( raw_stack!G:G, raw_stack!D:D, C312, raw_stack!F:F, "Iya" ), "" )</f>
        <v>45992</v>
      </c>
      <c r="E312" s="4">
        <f t="shared" si="16"/>
        <v>46174</v>
      </c>
      <c r="F312" s="7">
        <f>IFERROR(
 _xlfn.MAXIFS(
  raw_stack!H:H,
  raw_stack!D:D, C312,
  raw_stack!G:G, D312
 ),
 ""
)</f>
        <v>2243</v>
      </c>
      <c r="G312" s="7">
        <f>IFERROR(
 _xlfn.MAXIFS(
  raw_stack!E:E,
  raw_stack!D:D, C312,
  raw_stack!G:G, D312
 ),
 ""
)</f>
        <v>2243</v>
      </c>
      <c r="H312" s="10">
        <f t="shared" ca="1" si="17"/>
        <v>253</v>
      </c>
      <c r="I312" s="7">
        <f t="shared" si="18"/>
        <v>0</v>
      </c>
      <c r="J312" s="3" t="str">
        <f t="shared" ca="1" si="19"/>
        <v>OVERDUE</v>
      </c>
    </row>
    <row r="313" spans="1:10">
      <c r="A313" s="11" t="str">
        <f>_xlfn.XLOOKUP(C313, data_master!G:G, data_master!B:B)</f>
        <v>75394</v>
      </c>
      <c r="B313" t="str">
        <f>_xlfn.XLOOKUP(C313, data_master!G:G, data_master!D:D)</f>
        <v>75394 KUNINGAN</v>
      </c>
      <c r="C313" s="12" t="str">
        <v>B6407IG</v>
      </c>
      <c r="D313" s="4">
        <f>IFERROR( _xlfn.MAXIFS( raw_stack!G:G, raw_stack!D:D, C313, raw_stack!F:F, "Iya" ), "" )</f>
        <v>46351</v>
      </c>
      <c r="E313" s="4">
        <f t="shared" si="16"/>
        <v>46532</v>
      </c>
      <c r="F313" s="7">
        <f>IFERROR(
 _xlfn.MAXIFS(
  raw_stack!H:H,
  raw_stack!D:D, C313,
  raw_stack!G:G, D313
 ),
 ""
)</f>
        <v>2108</v>
      </c>
      <c r="G313" s="7">
        <f>IFERROR(
 _xlfn.MAXIFS(
  raw_stack!E:E,
  raw_stack!D:D, C313,
  raw_stack!G:G, D313
 ),
 ""
)</f>
        <v>2108</v>
      </c>
      <c r="H313" s="10">
        <f t="shared" ca="1" si="17"/>
        <v>-106</v>
      </c>
      <c r="I313" s="7">
        <f t="shared" si="18"/>
        <v>0</v>
      </c>
      <c r="J313" s="3" t="str">
        <f t="shared" ca="1" si="19"/>
        <v>AMAN</v>
      </c>
    </row>
    <row r="314" spans="1:10">
      <c r="A314" s="11" t="str">
        <f>_xlfn.XLOOKUP(C314, data_master!G:G, data_master!B:B)</f>
        <v>37568</v>
      </c>
      <c r="B314" t="str">
        <f>_xlfn.XLOOKUP(C314, data_master!G:G, data_master!D:D)</f>
        <v>37568 BANJAR</v>
      </c>
      <c r="C314" s="12" t="str">
        <v>B3294INW</v>
      </c>
      <c r="D314" s="4">
        <f>IFERROR( _xlfn.MAXIFS( raw_stack!G:G, raw_stack!D:D, C314, raw_stack!F:F, "Iya" ), "" )</f>
        <v>45986</v>
      </c>
      <c r="E314" s="4">
        <f t="shared" si="16"/>
        <v>46167</v>
      </c>
      <c r="F314" s="7">
        <f>IFERROR(
 _xlfn.MAXIFS(
  raw_stack!H:H,
  raw_stack!D:D, C314,
  raw_stack!G:G, D314
 ),
 ""
)</f>
        <v>1308</v>
      </c>
      <c r="G314" s="7">
        <f>IFERROR(
 _xlfn.MAXIFS(
  raw_stack!E:E,
  raw_stack!D:D, C314,
  raw_stack!G:G, D314
 ),
 ""
)</f>
        <v>1308</v>
      </c>
      <c r="H314" s="10">
        <f t="shared" ca="1" si="17"/>
        <v>259</v>
      </c>
      <c r="I314" s="7">
        <f t="shared" si="18"/>
        <v>0</v>
      </c>
      <c r="J314" s="3" t="str">
        <f t="shared" ca="1" si="19"/>
        <v>OVERDUE</v>
      </c>
    </row>
    <row r="315" spans="1:10">
      <c r="A315" s="11" t="str">
        <f>_xlfn.XLOOKUP(C315, data_master!G:G, data_master!B:B)</f>
        <v>51793</v>
      </c>
      <c r="B315" t="str">
        <f>_xlfn.XLOOKUP(C315, data_master!G:G, data_master!D:D)</f>
        <v>51793 LOMBOK BARAT UNIT</v>
      </c>
      <c r="C315" s="12" t="str">
        <v>B6095UP</v>
      </c>
      <c r="D315" s="4">
        <f>IFERROR( _xlfn.MAXIFS( raw_stack!G:G, raw_stack!D:D, C315, raw_stack!F:F, "Iya" ), "" )</f>
        <v>0</v>
      </c>
      <c r="E315" s="4">
        <f t="shared" si="16"/>
        <v>182</v>
      </c>
      <c r="F315" s="7">
        <f>IFERROR(
 _xlfn.MAXIFS(
  raw_stack!H:H,
  raw_stack!D:D, C315,
  raw_stack!G:G, D315
 ),
 ""
)</f>
        <v>0</v>
      </c>
      <c r="G315" s="7">
        <f>IFERROR(
 _xlfn.MAXIFS(
  raw_stack!E:E,
  raw_stack!D:D, C315,
  raw_stack!G:G, D315
 ),
 ""
)</f>
        <v>4858</v>
      </c>
      <c r="H315" s="10" t="str">
        <f t="shared" ca="1" si="17"/>
        <v/>
      </c>
      <c r="I315" s="7">
        <f t="shared" si="18"/>
        <v>4858</v>
      </c>
      <c r="J315" s="3" t="str">
        <f t="shared" si="19"/>
        <v>BELUM SERVIS</v>
      </c>
    </row>
    <row r="316" spans="1:10">
      <c r="A316" s="11" t="str">
        <f>_xlfn.XLOOKUP(C316, data_master!G:G, data_master!B:B)</f>
        <v>47339</v>
      </c>
      <c r="B316" t="str">
        <f>_xlfn.XLOOKUP(C316, data_master!G:G, data_master!D:D)</f>
        <v>47339 BENGKULU</v>
      </c>
      <c r="C316" s="12" t="str">
        <v>D8044XW</v>
      </c>
      <c r="D316" s="4">
        <f>IFERROR( _xlfn.MAXIFS( raw_stack!G:G, raw_stack!D:D, C316, raw_stack!F:F, "Iya" ), "" )</f>
        <v>45987</v>
      </c>
      <c r="E316" s="4">
        <f t="shared" si="16"/>
        <v>46168</v>
      </c>
      <c r="F316" s="7">
        <f>IFERROR(
 _xlfn.MAXIFS(
  raw_stack!H:H,
  raw_stack!D:D, C316,
  raw_stack!G:G, D316
 ),
 ""
)</f>
        <v>239</v>
      </c>
      <c r="G316" s="7">
        <f>IFERROR(
 _xlfn.MAXIFS(
  raw_stack!E:E,
  raw_stack!D:D, C316,
  raw_stack!G:G, D316
 ),
 ""
)</f>
        <v>239</v>
      </c>
      <c r="H316" s="10">
        <f t="shared" ca="1" si="17"/>
        <v>258</v>
      </c>
      <c r="I316" s="7">
        <f t="shared" si="18"/>
        <v>0</v>
      </c>
      <c r="J316" s="3" t="str">
        <f t="shared" ca="1" si="19"/>
        <v>OVERDUE</v>
      </c>
    </row>
    <row r="317" spans="1:10">
      <c r="A317" s="11" t="str">
        <f>_xlfn.XLOOKUP(C317, data_master!G:G, data_master!B:B)</f>
        <v>32542</v>
      </c>
      <c r="B317" t="str">
        <f>_xlfn.XLOOKUP(C317, data_master!G:G, data_master!D:D)</f>
        <v>32542 GIANYAR</v>
      </c>
      <c r="C317" s="12" t="str">
        <v>B5566BY</v>
      </c>
      <c r="D317" s="4">
        <f>IFERROR( _xlfn.MAXIFS( raw_stack!G:G, raw_stack!D:D, C317, raw_stack!F:F, "Iya" ), "" )</f>
        <v>45990</v>
      </c>
      <c r="E317" s="4">
        <f t="shared" si="16"/>
        <v>46171</v>
      </c>
      <c r="F317" s="7">
        <f>IFERROR(
 _xlfn.MAXIFS(
  raw_stack!H:H,
  raw_stack!D:D, C317,
  raw_stack!G:G, D317
 ),
 ""
)</f>
        <v>323</v>
      </c>
      <c r="G317" s="7">
        <f>IFERROR(
 _xlfn.MAXIFS(
  raw_stack!E:E,
  raw_stack!D:D, C317,
  raw_stack!G:G, D317
 ),
 ""
)</f>
        <v>323</v>
      </c>
      <c r="H317" s="10">
        <f t="shared" ca="1" si="17"/>
        <v>255</v>
      </c>
      <c r="I317" s="7">
        <f t="shared" si="18"/>
        <v>0</v>
      </c>
      <c r="J317" s="3" t="str">
        <f t="shared" ca="1" si="19"/>
        <v>OVERDUE</v>
      </c>
    </row>
    <row r="318" spans="1:10">
      <c r="A318" s="11" t="str">
        <f>_xlfn.XLOOKUP(C318, data_master!G:G, data_master!B:B)</f>
        <v>24770</v>
      </c>
      <c r="B318" t="str">
        <f>_xlfn.XLOOKUP(C318, data_master!G:G, data_master!D:D)</f>
        <v>24770 AMBON</v>
      </c>
      <c r="C318" s="12" t="str">
        <v>B7129LP</v>
      </c>
      <c r="D318" s="4">
        <f>IFERROR( _xlfn.MAXIFS( raw_stack!G:G, raw_stack!D:D, C318, raw_stack!F:F, "Iya" ), "" )</f>
        <v>46107</v>
      </c>
      <c r="E318" s="4">
        <f t="shared" si="16"/>
        <v>46291</v>
      </c>
      <c r="F318" s="7">
        <f>IFERROR(
 _xlfn.MAXIFS(
  raw_stack!H:H,
  raw_stack!D:D, C318,
  raw_stack!G:G, D318
 ),
 ""
)</f>
        <v>2864</v>
      </c>
      <c r="G318" s="7">
        <f>IFERROR(
 _xlfn.MAXIFS(
  raw_stack!E:E,
  raw_stack!D:D, C318,
  raw_stack!G:G, D318
 ),
 ""
)</f>
        <v>2864</v>
      </c>
      <c r="H318" s="10">
        <f t="shared" ca="1" si="17"/>
        <v>138</v>
      </c>
      <c r="I318" s="7">
        <f t="shared" si="18"/>
        <v>0</v>
      </c>
      <c r="J318" s="3" t="str">
        <f t="shared" ca="1" si="19"/>
        <v>AMAN</v>
      </c>
    </row>
    <row r="319" spans="1:10">
      <c r="A319" s="11" t="str">
        <f>_xlfn.XLOOKUP(C319, data_master!G:G, data_master!B:B)</f>
        <v>72992</v>
      </c>
      <c r="B319" t="str">
        <f>_xlfn.XLOOKUP(C319, data_master!G:G, data_master!D:D)</f>
        <v>72992 PALOPO BRANCH</v>
      </c>
      <c r="C319" s="12" t="str">
        <v>B1073IH</v>
      </c>
      <c r="D319" s="4">
        <f>IFERROR( _xlfn.MAXIFS( raw_stack!G:G, raw_stack!D:D, C319, raw_stack!F:F, "Iya" ), "" )</f>
        <v>45967</v>
      </c>
      <c r="E319" s="4">
        <f t="shared" si="16"/>
        <v>46148</v>
      </c>
      <c r="F319" s="7">
        <f>IFERROR(
 _xlfn.MAXIFS(
  raw_stack!H:H,
  raw_stack!D:D, C319,
  raw_stack!G:G, D319
 ),
 ""
)</f>
        <v>5806</v>
      </c>
      <c r="G319" s="7">
        <f>IFERROR(
 _xlfn.MAXIFS(
  raw_stack!E:E,
  raw_stack!D:D, C319,
  raw_stack!G:G, D319
 ),
 ""
)</f>
        <v>5806</v>
      </c>
      <c r="H319" s="10">
        <f t="shared" ca="1" si="17"/>
        <v>278</v>
      </c>
      <c r="I319" s="7">
        <f t="shared" si="18"/>
        <v>0</v>
      </c>
      <c r="J319" s="3" t="str">
        <f t="shared" ca="1" si="19"/>
        <v>OVERDUE</v>
      </c>
    </row>
    <row r="320" spans="1:10">
      <c r="A320" s="11" t="str">
        <f>_xlfn.XLOOKUP(C320, data_master!G:G, data_master!B:B)</f>
        <v>88035</v>
      </c>
      <c r="B320" t="str">
        <f>_xlfn.XLOOKUP(C320, data_master!G:G, data_master!D:D)</f>
        <v>88035 BULUKUMBA</v>
      </c>
      <c r="C320" s="12" t="str">
        <v>B1444ZS</v>
      </c>
      <c r="D320" s="4">
        <f>IFERROR( _xlfn.MAXIFS( raw_stack!G:G, raw_stack!D:D, C320, raw_stack!F:F, "Iya" ), "" )</f>
        <v>45999</v>
      </c>
      <c r="E320" s="4">
        <f t="shared" si="16"/>
        <v>46181</v>
      </c>
      <c r="F320" s="7">
        <f>IFERROR(
 _xlfn.MAXIFS(
  raw_stack!H:H,
  raw_stack!D:D, C320,
  raw_stack!G:G, D320
 ),
 ""
)</f>
        <v>6524</v>
      </c>
      <c r="G320" s="7">
        <f>IFERROR(
 _xlfn.MAXIFS(
  raw_stack!E:E,
  raw_stack!D:D, C320,
  raw_stack!G:G, D320
 ),
 ""
)</f>
        <v>6524</v>
      </c>
      <c r="H320" s="10">
        <f t="shared" ca="1" si="17"/>
        <v>246</v>
      </c>
      <c r="I320" s="7">
        <f t="shared" si="18"/>
        <v>0</v>
      </c>
      <c r="J320" s="3" t="str">
        <f t="shared" ca="1" si="19"/>
        <v>OVERDUE</v>
      </c>
    </row>
    <row r="321" spans="1:10">
      <c r="A321" s="11" t="str">
        <f>_xlfn.XLOOKUP(C321, data_master!G:G, data_master!B:B)</f>
        <v>88035</v>
      </c>
      <c r="B321" t="str">
        <f>_xlfn.XLOOKUP(C321, data_master!G:G, data_master!D:D)</f>
        <v>88035 BULUKUMBA</v>
      </c>
      <c r="C321" s="12" t="str">
        <v>B4950DFS</v>
      </c>
      <c r="D321" s="4">
        <f>IFERROR( _xlfn.MAXIFS( raw_stack!G:G, raw_stack!D:D, C321, raw_stack!F:F, "Iya" ), "" )</f>
        <v>45999</v>
      </c>
      <c r="E321" s="4">
        <f t="shared" si="16"/>
        <v>46181</v>
      </c>
      <c r="F321" s="7">
        <f>IFERROR(
 _xlfn.MAXIFS(
  raw_stack!H:H,
  raw_stack!D:D, C321,
  raw_stack!G:G, D321
 ),
 ""
)</f>
        <v>2015</v>
      </c>
      <c r="G321" s="7">
        <f>IFERROR(
 _xlfn.MAXIFS(
  raw_stack!E:E,
  raw_stack!D:D, C321,
  raw_stack!G:G, D321
 ),
 ""
)</f>
        <v>2015</v>
      </c>
      <c r="H321" s="10">
        <f t="shared" ca="1" si="17"/>
        <v>246</v>
      </c>
      <c r="I321" s="7">
        <f t="shared" si="18"/>
        <v>0</v>
      </c>
      <c r="J321" s="3" t="str">
        <f t="shared" ca="1" si="19"/>
        <v>OVERDUE</v>
      </c>
    </row>
    <row r="322" spans="1:10">
      <c r="A322" s="11" t="str">
        <f>_xlfn.XLOOKUP(C322, data_master!G:G, data_master!B:B)</f>
        <v>79200</v>
      </c>
      <c r="B322" t="str">
        <f>_xlfn.XLOOKUP(C322, data_master!G:G, data_master!D:D)</f>
        <v>79200 CILEGON 2</v>
      </c>
      <c r="C322" s="12" t="str">
        <v>B8311EZ</v>
      </c>
      <c r="D322" s="4">
        <f>IFERROR( _xlfn.MAXIFS( raw_stack!G:G, raw_stack!D:D, C322, raw_stack!F:F, "Iya" ), "" )</f>
        <v>45992</v>
      </c>
      <c r="E322" s="4">
        <f t="shared" si="16"/>
        <v>46174</v>
      </c>
      <c r="F322" s="7">
        <f>IFERROR(
 _xlfn.MAXIFS(
  raw_stack!H:H,
  raw_stack!D:D, C322,
  raw_stack!G:G, D322
 ),
 ""
)</f>
        <v>975</v>
      </c>
      <c r="G322" s="7">
        <f>IFERROR(
 _xlfn.MAXIFS(
  raw_stack!E:E,
  raw_stack!D:D, C322,
  raw_stack!G:G, D322
 ),
 ""
)</f>
        <v>975</v>
      </c>
      <c r="H322" s="10">
        <f t="shared" ca="1" si="17"/>
        <v>253</v>
      </c>
      <c r="I322" s="7">
        <f t="shared" si="18"/>
        <v>0</v>
      </c>
      <c r="J322" s="3" t="str">
        <f t="shared" ca="1" si="19"/>
        <v>OVERDUE</v>
      </c>
    </row>
    <row r="323" spans="1:10">
      <c r="A323" s="11" t="str">
        <f>_xlfn.XLOOKUP(C323, data_master!G:G, data_master!B:B)</f>
        <v>49313</v>
      </c>
      <c r="B323" t="str">
        <f>_xlfn.XLOOKUP(C323, data_master!G:G, data_master!D:D)</f>
        <v>49313 SOLOK</v>
      </c>
      <c r="C323" s="12" t="str">
        <v>B5032XGL</v>
      </c>
      <c r="D323" s="4">
        <f>IFERROR( _xlfn.MAXIFS( raw_stack!G:G, raw_stack!D:D, C323, raw_stack!F:F, "Iya" ), "" )</f>
        <v>46010</v>
      </c>
      <c r="E323" s="4">
        <f t="shared" si="16"/>
        <v>46192</v>
      </c>
      <c r="F323" s="7">
        <f>IFERROR(
 _xlfn.MAXIFS(
  raw_stack!H:H,
  raw_stack!D:D, C323,
  raw_stack!G:G, D323
 ),
 ""
)</f>
        <v>125</v>
      </c>
      <c r="G323" s="7">
        <f>IFERROR(
 _xlfn.MAXIFS(
  raw_stack!E:E,
  raw_stack!D:D, C323,
  raw_stack!G:G, D323
 ),
 ""
)</f>
        <v>125</v>
      </c>
      <c r="H323" s="10">
        <f t="shared" ca="1" si="17"/>
        <v>235</v>
      </c>
      <c r="I323" s="7">
        <f t="shared" si="18"/>
        <v>0</v>
      </c>
      <c r="J323" s="3" t="str">
        <f t="shared" ca="1" si="19"/>
        <v>OVERDUE</v>
      </c>
    </row>
    <row r="324" spans="1:10">
      <c r="A324" s="11" t="str">
        <f>_xlfn.XLOOKUP(C324, data_master!G:G, data_master!B:B)</f>
        <v>38580</v>
      </c>
      <c r="B324" t="str">
        <f>_xlfn.XLOOKUP(C324, data_master!G:G, data_master!D:D)</f>
        <v>38580 SIMALUNGUN BRANCH</v>
      </c>
      <c r="C324" s="12" t="str">
        <v>KT5909WFN</v>
      </c>
      <c r="D324" s="4">
        <f>IFERROR( _xlfn.MAXIFS( raw_stack!G:G, raw_stack!D:D, C324, raw_stack!F:F, "Iya" ), "" )</f>
        <v>45980</v>
      </c>
      <c r="E324" s="4">
        <f t="shared" ref="E324:E369" si="20">EDATE(D324,6)</f>
        <v>46161</v>
      </c>
      <c r="F324" s="7">
        <f>IFERROR(
 _xlfn.MAXIFS(
  raw_stack!H:H,
  raw_stack!D:D, C324,
  raw_stack!G:G, D324
 ),
 ""
)</f>
        <v>888</v>
      </c>
      <c r="G324" s="7">
        <f>IFERROR(
 _xlfn.MAXIFS(
  raw_stack!E:E,
  raw_stack!D:D, C324,
  raw_stack!G:G, D324
 ),
 ""
)</f>
        <v>888</v>
      </c>
      <c r="H324" s="10">
        <f t="shared" ref="H324:H369" ca="1" si="21">IF(D324=0, "", TODAY()-D324)</f>
        <v>265</v>
      </c>
      <c r="I324" s="7">
        <f t="shared" ref="I324:I369" si="22">IF(E324=0, "", G324-F324)</f>
        <v>0</v>
      </c>
      <c r="J324" s="3" t="str">
        <f t="shared" ref="J324:J369" ca="1" si="23">IF(D324=0,
 "BELUM SERVIS",
 IF(OR(H324&gt;=180, I324&gt;=10000),
  "OVERDUE",
  "AMAN"
 )
)</f>
        <v>OVERDUE</v>
      </c>
    </row>
    <row r="325" spans="1:10">
      <c r="A325" s="11" t="str">
        <f>_xlfn.XLOOKUP(C325, data_master!G:G, data_master!B:B)</f>
        <v>21546</v>
      </c>
      <c r="B325" t="str">
        <f>_xlfn.XLOOKUP(C325, data_master!G:G, data_master!D:D)</f>
        <v>21546 SEKAYU UNIT</v>
      </c>
      <c r="C325" s="12" t="str">
        <v>B2755MF</v>
      </c>
      <c r="D325" s="4">
        <f>IFERROR( _xlfn.MAXIFS( raw_stack!G:G, raw_stack!D:D, C325, raw_stack!F:F, "Iya" ), "" )</f>
        <v>46010</v>
      </c>
      <c r="E325" s="4">
        <f t="shared" si="20"/>
        <v>46192</v>
      </c>
      <c r="F325" s="7">
        <f>IFERROR(
 _xlfn.MAXIFS(
  raw_stack!H:H,
  raw_stack!D:D, C325,
  raw_stack!G:G, D325
 ),
 ""
)</f>
        <v>1753</v>
      </c>
      <c r="G325" s="7">
        <f>IFERROR(
 _xlfn.MAXIFS(
  raw_stack!E:E,
  raw_stack!D:D, C325,
  raw_stack!G:G, D325
 ),
 ""
)</f>
        <v>1753</v>
      </c>
      <c r="H325" s="10">
        <f t="shared" ca="1" si="21"/>
        <v>235</v>
      </c>
      <c r="I325" s="7">
        <f t="shared" si="22"/>
        <v>0</v>
      </c>
      <c r="J325" s="3" t="str">
        <f t="shared" ca="1" si="23"/>
        <v>OVERDUE</v>
      </c>
    </row>
    <row r="326" spans="1:10">
      <c r="A326" s="11" t="str">
        <f>_xlfn.XLOOKUP(C326, data_master!G:G, data_master!B:B)</f>
        <v>30396</v>
      </c>
      <c r="B326" t="str">
        <f>_xlfn.XLOOKUP(C326, data_master!G:G, data_master!D:D)</f>
        <v>30396 PUTUSSIBAU</v>
      </c>
      <c r="C326" s="12" t="str">
        <v>B8955IB</v>
      </c>
      <c r="D326" s="4">
        <f>IFERROR( _xlfn.MAXIFS( raw_stack!G:G, raw_stack!D:D, C326, raw_stack!F:F, "Iya" ), "" )</f>
        <v>46010</v>
      </c>
      <c r="E326" s="4">
        <f t="shared" si="20"/>
        <v>46192</v>
      </c>
      <c r="F326" s="7">
        <f>IFERROR(
 _xlfn.MAXIFS(
  raw_stack!H:H,
  raw_stack!D:D, C326,
  raw_stack!G:G, D326
 ),
 ""
)</f>
        <v>923</v>
      </c>
      <c r="G326" s="7">
        <f>IFERROR(
 _xlfn.MAXIFS(
  raw_stack!E:E,
  raw_stack!D:D, C326,
  raw_stack!G:G, D326
 ),
 ""
)</f>
        <v>923</v>
      </c>
      <c r="H326" s="10">
        <f t="shared" ca="1" si="21"/>
        <v>235</v>
      </c>
      <c r="I326" s="7">
        <f t="shared" si="22"/>
        <v>0</v>
      </c>
      <c r="J326" s="3" t="str">
        <f t="shared" ca="1" si="23"/>
        <v>OVERDUE</v>
      </c>
    </row>
    <row r="327" spans="1:10">
      <c r="A327" s="11" t="str">
        <f>_xlfn.XLOOKUP(C327, data_master!G:G, data_master!B:B)</f>
        <v>41662</v>
      </c>
      <c r="B327" t="str">
        <f>_xlfn.XLOOKUP(C327, data_master!G:G, data_master!D:D)</f>
        <v>41662 YOGYAKARTA 2</v>
      </c>
      <c r="C327" s="12" t="str">
        <v>B8393NG</v>
      </c>
      <c r="D327" s="4">
        <f>IFERROR( _xlfn.MAXIFS( raw_stack!G:G, raw_stack!D:D, C327, raw_stack!F:F, "Iya" ), "" )</f>
        <v>46010</v>
      </c>
      <c r="E327" s="4">
        <f t="shared" si="20"/>
        <v>46192</v>
      </c>
      <c r="F327" s="7">
        <f>IFERROR(
 _xlfn.MAXIFS(
  raw_stack!H:H,
  raw_stack!D:D, C327,
  raw_stack!G:G, D327
 ),
 ""
)</f>
        <v>2211</v>
      </c>
      <c r="G327" s="7">
        <f>IFERROR(
 _xlfn.MAXIFS(
  raw_stack!E:E,
  raw_stack!D:D, C327,
  raw_stack!G:G, D327
 ),
 ""
)</f>
        <v>2211</v>
      </c>
      <c r="H327" s="10">
        <f t="shared" ca="1" si="21"/>
        <v>235</v>
      </c>
      <c r="I327" s="7">
        <f t="shared" si="22"/>
        <v>0</v>
      </c>
      <c r="J327" s="3" t="str">
        <f t="shared" ca="1" si="23"/>
        <v>OVERDUE</v>
      </c>
    </row>
    <row r="328" spans="1:10">
      <c r="A328" s="11" t="str">
        <f>_xlfn.XLOOKUP(C328, data_master!G:G, data_master!B:B)</f>
        <v>62353</v>
      </c>
      <c r="B328" t="str">
        <f>_xlfn.XLOOKUP(C328, data_master!G:G, data_master!D:D)</f>
        <v>62353 LUWUK</v>
      </c>
      <c r="C328" s="12" t="str">
        <v>B8430ECN</v>
      </c>
      <c r="D328" s="4">
        <f>IFERROR( _xlfn.MAXIFS( raw_stack!G:G, raw_stack!D:D, C328, raw_stack!F:F, "Iya" ), "" )</f>
        <v>46122</v>
      </c>
      <c r="E328" s="4">
        <f t="shared" si="20"/>
        <v>46305</v>
      </c>
      <c r="F328" s="7">
        <f>IFERROR(
 _xlfn.MAXIFS(
  raw_stack!H:H,
  raw_stack!D:D, C328,
  raw_stack!G:G, D328
 ),
 ""
)</f>
        <v>2487</v>
      </c>
      <c r="G328" s="7">
        <f>IFERROR(
 _xlfn.MAXIFS(
  raw_stack!E:E,
  raw_stack!D:D, C328,
  raw_stack!G:G, D328
 ),
 ""
)</f>
        <v>2487</v>
      </c>
      <c r="H328" s="10">
        <f t="shared" ca="1" si="21"/>
        <v>123</v>
      </c>
      <c r="I328" s="7">
        <f t="shared" si="22"/>
        <v>0</v>
      </c>
      <c r="J328" s="3" t="str">
        <f t="shared" ca="1" si="23"/>
        <v>AMAN</v>
      </c>
    </row>
    <row r="329" spans="1:10">
      <c r="A329" s="11" t="str">
        <f>_xlfn.XLOOKUP(C329, data_master!G:G, data_master!B:B)</f>
        <v>58804</v>
      </c>
      <c r="B329" t="str">
        <f>_xlfn.XLOOKUP(C329, data_master!G:G, data_master!D:D)</f>
        <v>58804 BOYOLALI</v>
      </c>
      <c r="C329" s="12" t="str">
        <v>B1809LPG</v>
      </c>
      <c r="D329" s="4">
        <f>IFERROR( _xlfn.MAXIFS( raw_stack!G:G, raw_stack!D:D, C329, raw_stack!F:F, "Iya" ), "" )</f>
        <v>46023</v>
      </c>
      <c r="E329" s="4">
        <f t="shared" si="20"/>
        <v>46204</v>
      </c>
      <c r="F329" s="7">
        <f>IFERROR(
 _xlfn.MAXIFS(
  raw_stack!H:H,
  raw_stack!D:D, C329,
  raw_stack!G:G, D329
 ),
 ""
)</f>
        <v>6409</v>
      </c>
      <c r="G329" s="7">
        <f>IFERROR(
 _xlfn.MAXIFS(
  raw_stack!E:E,
  raw_stack!D:D, C329,
  raw_stack!G:G, D329
 ),
 ""
)</f>
        <v>6409</v>
      </c>
      <c r="H329" s="10">
        <f t="shared" ca="1" si="21"/>
        <v>222</v>
      </c>
      <c r="I329" s="7">
        <f t="shared" si="22"/>
        <v>0</v>
      </c>
      <c r="J329" s="3" t="str">
        <f t="shared" ca="1" si="23"/>
        <v>OVERDUE</v>
      </c>
    </row>
    <row r="330" spans="1:10">
      <c r="A330" s="11" t="str">
        <f>_xlfn.XLOOKUP(C330, data_master!G:G, data_master!B:B)</f>
        <v>89414</v>
      </c>
      <c r="B330" t="str">
        <f>_xlfn.XLOOKUP(C330, data_master!G:G, data_master!D:D)</f>
        <v>89414 PANGKAL PINANG POS</v>
      </c>
      <c r="C330" s="12" t="str">
        <v>B7187UV</v>
      </c>
      <c r="D330" s="4">
        <f>IFERROR( _xlfn.MAXIFS( raw_stack!G:G, raw_stack!D:D, C330, raw_stack!F:F, "Iya" ), "" )</f>
        <v>46053</v>
      </c>
      <c r="E330" s="4">
        <f t="shared" si="20"/>
        <v>46234</v>
      </c>
      <c r="F330" s="7">
        <f>IFERROR(
 _xlfn.MAXIFS(
  raw_stack!H:H,
  raw_stack!D:D, C330,
  raw_stack!G:G, D330
 ),
 ""
)</f>
        <v>4401</v>
      </c>
      <c r="G330" s="7">
        <f>IFERROR(
 _xlfn.MAXIFS(
  raw_stack!E:E,
  raw_stack!D:D, C330,
  raw_stack!G:G, D330
 ),
 ""
)</f>
        <v>4401</v>
      </c>
      <c r="H330" s="10">
        <f t="shared" ca="1" si="21"/>
        <v>192</v>
      </c>
      <c r="I330" s="7">
        <f t="shared" si="22"/>
        <v>0</v>
      </c>
      <c r="J330" s="3" t="str">
        <f t="shared" ca="1" si="23"/>
        <v>OVERDUE</v>
      </c>
    </row>
    <row r="331" spans="1:10">
      <c r="A331" s="11" t="str">
        <f>_xlfn.XLOOKUP(C331, data_master!G:G, data_master!B:B)</f>
        <v>10942</v>
      </c>
      <c r="B331" t="str">
        <f>_xlfn.XLOOKUP(C331, data_master!G:G, data_master!D:D)</f>
        <v>10942 PEMALANG BRANCH</v>
      </c>
      <c r="C331" s="12" t="str">
        <v>B1144MW</v>
      </c>
      <c r="D331" s="4">
        <f>IFERROR( _xlfn.MAXIFS( raw_stack!G:G, raw_stack!D:D, C331, raw_stack!F:F, "Iya" ), "" )</f>
        <v>46029</v>
      </c>
      <c r="E331" s="4">
        <f t="shared" si="20"/>
        <v>46210</v>
      </c>
      <c r="F331" s="7">
        <f>IFERROR(
 _xlfn.MAXIFS(
  raw_stack!H:H,
  raw_stack!D:D, C331,
  raw_stack!G:G, D331
 ),
 ""
)</f>
        <v>3817</v>
      </c>
      <c r="G331" s="7">
        <f>IFERROR(
 _xlfn.MAXIFS(
  raw_stack!E:E,
  raw_stack!D:D, C331,
  raw_stack!G:G, D331
 ),
 ""
)</f>
        <v>3817</v>
      </c>
      <c r="H331" s="10">
        <f t="shared" ca="1" si="21"/>
        <v>216</v>
      </c>
      <c r="I331" s="7">
        <f t="shared" si="22"/>
        <v>0</v>
      </c>
      <c r="J331" s="3" t="str">
        <f t="shared" ca="1" si="23"/>
        <v>OVERDUE</v>
      </c>
    </row>
    <row r="332" spans="1:10">
      <c r="A332" s="11" t="str">
        <f>_xlfn.XLOOKUP(C332, data_master!G:G, data_master!B:B)</f>
        <v>23223</v>
      </c>
      <c r="B332" t="str">
        <f>_xlfn.XLOOKUP(C332, data_master!G:G, data_master!D:D)</f>
        <v>23223 PONOROGO</v>
      </c>
      <c r="C332" s="12" t="str">
        <v>DA1719BR</v>
      </c>
      <c r="D332" s="4">
        <f>IFERROR( _xlfn.MAXIFS( raw_stack!G:G, raw_stack!D:D, C332, raw_stack!F:F, "Iya" ), "" )</f>
        <v>46031</v>
      </c>
      <c r="E332" s="4">
        <f t="shared" si="20"/>
        <v>46212</v>
      </c>
      <c r="F332" s="7">
        <f>IFERROR(
 _xlfn.MAXIFS(
  raw_stack!H:H,
  raw_stack!D:D, C332,
  raw_stack!G:G, D332
 ),
 ""
)</f>
        <v>1165</v>
      </c>
      <c r="G332" s="7">
        <f>IFERROR(
 _xlfn.MAXIFS(
  raw_stack!E:E,
  raw_stack!D:D, C332,
  raw_stack!G:G, D332
 ),
 ""
)</f>
        <v>1165</v>
      </c>
      <c r="H332" s="10">
        <f t="shared" ca="1" si="21"/>
        <v>214</v>
      </c>
      <c r="I332" s="7">
        <f t="shared" si="22"/>
        <v>0</v>
      </c>
      <c r="J332" s="3" t="str">
        <f t="shared" ca="1" si="23"/>
        <v>OVERDUE</v>
      </c>
    </row>
    <row r="333" spans="1:10">
      <c r="A333" s="11" t="str">
        <f>_xlfn.XLOOKUP(C333, data_master!G:G, data_master!B:B)</f>
        <v>14924</v>
      </c>
      <c r="B333" t="str">
        <f>_xlfn.XLOOKUP(C333, data_master!G:G, data_master!D:D)</f>
        <v>14924 PASAMAN BRANCH</v>
      </c>
      <c r="C333" s="12" t="str">
        <v>B7465WU</v>
      </c>
      <c r="D333" s="4">
        <f>IFERROR( _xlfn.MAXIFS( raw_stack!G:G, raw_stack!D:D, C333, raw_stack!F:F, "Iya" ), "" )</f>
        <v>46029</v>
      </c>
      <c r="E333" s="4">
        <f t="shared" si="20"/>
        <v>46210</v>
      </c>
      <c r="F333" s="7">
        <f>IFERROR(
 _xlfn.MAXIFS(
  raw_stack!H:H,
  raw_stack!D:D, C333,
  raw_stack!G:G, D333
 ),
 ""
)</f>
        <v>2573</v>
      </c>
      <c r="G333" s="7">
        <f>IFERROR(
 _xlfn.MAXIFS(
  raw_stack!E:E,
  raw_stack!D:D, C333,
  raw_stack!G:G, D333
 ),
 ""
)</f>
        <v>2573</v>
      </c>
      <c r="H333" s="10">
        <f t="shared" ca="1" si="21"/>
        <v>216</v>
      </c>
      <c r="I333" s="7">
        <f t="shared" si="22"/>
        <v>0</v>
      </c>
      <c r="J333" s="3" t="str">
        <f t="shared" ca="1" si="23"/>
        <v>OVERDUE</v>
      </c>
    </row>
    <row r="334" spans="1:10">
      <c r="A334" s="11" t="str">
        <f>_xlfn.XLOOKUP(C334, data_master!G:G, data_master!B:B)</f>
        <v>51407</v>
      </c>
      <c r="B334" t="str">
        <f>_xlfn.XLOOKUP(C334, data_master!G:G, data_master!D:D)</f>
        <v>51407 ARGA MAKMUR</v>
      </c>
      <c r="C334" s="12" t="str">
        <v>L6237GJR</v>
      </c>
      <c r="D334" s="4">
        <f>IFERROR( _xlfn.MAXIFS( raw_stack!G:G, raw_stack!D:D, C334, raw_stack!F:F, "Iya" ), "" )</f>
        <v>0</v>
      </c>
      <c r="E334" s="4">
        <f t="shared" si="20"/>
        <v>182</v>
      </c>
      <c r="F334" s="7">
        <f>IFERROR(
 _xlfn.MAXIFS(
  raw_stack!H:H,
  raw_stack!D:D, C334,
  raw_stack!G:G, D334
 ),
 ""
)</f>
        <v>0</v>
      </c>
      <c r="G334" s="7">
        <f>IFERROR(
 _xlfn.MAXIFS(
  raw_stack!E:E,
  raw_stack!D:D, C334,
  raw_stack!G:G, D334
 ),
 ""
)</f>
        <v>2783</v>
      </c>
      <c r="H334" s="10" t="str">
        <f t="shared" ca="1" si="21"/>
        <v/>
      </c>
      <c r="I334" s="7">
        <f t="shared" si="22"/>
        <v>2783</v>
      </c>
      <c r="J334" s="3" t="str">
        <f t="shared" si="23"/>
        <v>BELUM SERVIS</v>
      </c>
    </row>
    <row r="335" spans="1:10">
      <c r="A335" s="11" t="str">
        <f>_xlfn.XLOOKUP(C335, data_master!G:G, data_master!B:B)</f>
        <v>98372</v>
      </c>
      <c r="B335" t="str">
        <f>_xlfn.XLOOKUP(C335, data_master!G:G, data_master!D:D)</f>
        <v>98372 TABANAN 2</v>
      </c>
      <c r="C335" s="12" t="str">
        <v>B9738SL</v>
      </c>
      <c r="D335" s="4">
        <f>IFERROR( _xlfn.MAXIFS( raw_stack!G:G, raw_stack!D:D, C335, raw_stack!F:F, "Iya" ), "" )</f>
        <v>46037</v>
      </c>
      <c r="E335" s="4">
        <f t="shared" si="20"/>
        <v>46218</v>
      </c>
      <c r="F335" s="7">
        <f>IFERROR(
 _xlfn.MAXIFS(
  raw_stack!H:H,
  raw_stack!D:D, C335,
  raw_stack!G:G, D335
 ),
 ""
)</f>
        <v>1671</v>
      </c>
      <c r="G335" s="7">
        <f>IFERROR(
 _xlfn.MAXIFS(
  raw_stack!E:E,
  raw_stack!D:D, C335,
  raw_stack!G:G, D335
 ),
 ""
)</f>
        <v>1671</v>
      </c>
      <c r="H335" s="10">
        <f t="shared" ca="1" si="21"/>
        <v>208</v>
      </c>
      <c r="I335" s="7">
        <f t="shared" si="22"/>
        <v>0</v>
      </c>
      <c r="J335" s="3" t="str">
        <f t="shared" ca="1" si="23"/>
        <v>OVERDUE</v>
      </c>
    </row>
    <row r="336" spans="1:10">
      <c r="A336" s="11" t="str">
        <f>_xlfn.XLOOKUP(C336, data_master!G:G, data_master!B:B)</f>
        <v>54229</v>
      </c>
      <c r="B336" t="str">
        <f>_xlfn.XLOOKUP(C336, data_master!G:G, data_master!D:D)</f>
        <v>54229 SRAGEN BRANCH</v>
      </c>
      <c r="C336" s="12" t="str">
        <v>B3294MFT</v>
      </c>
      <c r="D336" s="4">
        <f>IFERROR( _xlfn.MAXIFS( raw_stack!G:G, raw_stack!D:D, C336, raw_stack!F:F, "Iya" ), "" )</f>
        <v>46093</v>
      </c>
      <c r="E336" s="4">
        <f t="shared" si="20"/>
        <v>46277</v>
      </c>
      <c r="F336" s="7">
        <f>IFERROR(
 _xlfn.MAXIFS(
  raw_stack!H:H,
  raw_stack!D:D, C336,
  raw_stack!G:G, D336
 ),
 ""
)</f>
        <v>8688</v>
      </c>
      <c r="G336" s="7">
        <f>IFERROR(
 _xlfn.MAXIFS(
  raw_stack!E:E,
  raw_stack!D:D, C336,
  raw_stack!G:G, D336
 ),
 ""
)</f>
        <v>10836</v>
      </c>
      <c r="H336" s="10">
        <f t="shared" ca="1" si="21"/>
        <v>152</v>
      </c>
      <c r="I336" s="7">
        <f t="shared" si="22"/>
        <v>2148</v>
      </c>
      <c r="J336" s="3" t="str">
        <f t="shared" ca="1" si="23"/>
        <v>AMAN</v>
      </c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</sheetData>
  <autoFilter ref="A2:J369" xr:uid="{5E9D5079-BA96-554A-AEC0-FDE8459DEF5B}"/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6BCC-A469-E44E-B8C6-1E9547D6C30B}">
  <sheetPr>
    <tabColor theme="4"/>
  </sheetPr>
  <dimension ref="A1:Q128"/>
  <sheetViews>
    <sheetView zoomScale="91" workbookViewId="0">
      <selection activeCell="J6" sqref="J6"/>
    </sheetView>
  </sheetViews>
  <sheetFormatPr baseColWidth="10" defaultRowHeight="16"/>
  <cols>
    <col min="1" max="1" width="20.6640625" style="21" customWidth="1"/>
    <col min="2" max="2" width="16" style="25" customWidth="1"/>
    <col min="3" max="3" width="10.1640625" style="25" customWidth="1"/>
    <col min="4" max="4" width="20" style="26" bestFit="1" customWidth="1"/>
    <col min="5" max="5" width="21.5" style="26" bestFit="1" customWidth="1"/>
    <col min="6" max="6" width="20" style="27" bestFit="1" customWidth="1"/>
    <col min="7" max="7" width="21.5" style="27" bestFit="1" customWidth="1"/>
    <col min="8" max="8" width="17.33203125" style="21" bestFit="1" customWidth="1"/>
    <col min="9" max="9" width="11" style="21" bestFit="1" customWidth="1"/>
    <col min="10" max="10" width="18.6640625" style="28" customWidth="1"/>
    <col min="11" max="11" width="9.6640625" style="21" bestFit="1" customWidth="1"/>
    <col min="12" max="12" width="9.1640625" style="21" bestFit="1" customWidth="1"/>
    <col min="13" max="13" width="13" style="21" customWidth="1"/>
    <col min="14" max="14" width="21" style="21" customWidth="1"/>
    <col min="15" max="16384" width="10.83203125" style="21"/>
  </cols>
  <sheetData>
    <row r="1" spans="1:17" ht="52">
      <c r="A1" s="46" t="s">
        <v>109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>
      <c r="B2" s="21"/>
      <c r="C2" s="21"/>
      <c r="D2" s="21"/>
      <c r="E2" s="22"/>
      <c r="F2" s="22"/>
      <c r="G2" s="22"/>
      <c r="J2" s="21"/>
    </row>
    <row r="3" spans="1:17">
      <c r="B3" s="21"/>
      <c r="C3" s="21"/>
      <c r="D3" s="21"/>
      <c r="E3" s="22"/>
      <c r="F3" s="22"/>
      <c r="G3" s="22"/>
      <c r="J3" s="21"/>
    </row>
    <row r="4" spans="1:17">
      <c r="B4" s="21"/>
      <c r="C4" s="21"/>
      <c r="D4" s="21"/>
      <c r="E4" s="22"/>
      <c r="F4" s="22"/>
      <c r="G4" s="22"/>
      <c r="J4" s="21"/>
    </row>
    <row r="5" spans="1:17">
      <c r="B5" s="21"/>
      <c r="C5" s="21"/>
      <c r="D5" s="21"/>
      <c r="E5" s="22"/>
      <c r="F5" s="22"/>
      <c r="G5" s="22"/>
      <c r="J5" s="21"/>
    </row>
    <row r="6" spans="1:17">
      <c r="B6" s="21"/>
      <c r="C6" s="21"/>
      <c r="D6" s="21"/>
      <c r="E6" s="22"/>
      <c r="F6" s="22"/>
      <c r="G6" s="22"/>
      <c r="J6" s="21"/>
    </row>
    <row r="7" spans="1:17">
      <c r="B7" s="21"/>
      <c r="C7" s="21"/>
      <c r="D7" s="21"/>
      <c r="E7" s="22"/>
      <c r="F7" s="22"/>
      <c r="G7" s="22"/>
      <c r="J7" s="21"/>
      <c r="L7" s="22"/>
    </row>
    <row r="8" spans="1:17">
      <c r="B8" s="21"/>
      <c r="C8" s="21"/>
      <c r="D8" s="21"/>
      <c r="E8" s="22"/>
      <c r="F8" s="22"/>
      <c r="G8" s="22"/>
      <c r="J8" s="21"/>
      <c r="L8" s="22"/>
    </row>
    <row r="9" spans="1:17">
      <c r="B9" s="21"/>
      <c r="C9" s="21"/>
      <c r="D9" s="21"/>
      <c r="E9" s="22"/>
      <c r="F9" s="22"/>
      <c r="G9" s="22"/>
      <c r="J9" s="21"/>
      <c r="L9" s="22"/>
    </row>
    <row r="10" spans="1:17">
      <c r="B10" s="21"/>
      <c r="C10" s="21"/>
      <c r="D10" s="21"/>
      <c r="E10" s="22"/>
      <c r="F10" s="22"/>
      <c r="G10" s="22"/>
      <c r="J10" s="21"/>
      <c r="L10" s="22"/>
    </row>
    <row r="11" spans="1:17">
      <c r="B11" s="21"/>
      <c r="C11" s="21"/>
      <c r="D11" s="21"/>
      <c r="E11" s="22"/>
      <c r="F11" s="22"/>
      <c r="G11" s="22"/>
      <c r="J11" s="21"/>
      <c r="L11" s="22"/>
    </row>
    <row r="12" spans="1:17">
      <c r="B12" s="21"/>
      <c r="C12" s="21"/>
      <c r="D12" s="21"/>
      <c r="E12" s="22"/>
      <c r="F12" s="22"/>
      <c r="G12" s="21"/>
    </row>
    <row r="13" spans="1:17" ht="24">
      <c r="B13" s="21"/>
      <c r="C13" s="21"/>
      <c r="D13" s="21"/>
      <c r="E13" s="22"/>
      <c r="F13" s="22"/>
      <c r="G13" s="23"/>
      <c r="H13" s="24"/>
      <c r="J13" s="21"/>
    </row>
    <row r="14" spans="1:17">
      <c r="B14" s="21"/>
      <c r="C14" s="21"/>
      <c r="D14" s="21"/>
      <c r="E14" s="22"/>
      <c r="F14" s="22"/>
      <c r="G14" s="21"/>
      <c r="J14" s="21"/>
    </row>
    <row r="15" spans="1:17">
      <c r="B15" s="21"/>
      <c r="C15" s="21"/>
      <c r="D15" s="21"/>
      <c r="E15" s="22"/>
      <c r="F15" s="22"/>
      <c r="G15" s="22"/>
      <c r="J15" s="21"/>
    </row>
    <row r="16" spans="1:17" ht="24" customHeight="1">
      <c r="B16" s="21"/>
      <c r="C16" s="21"/>
      <c r="D16" s="21"/>
      <c r="E16" s="22"/>
      <c r="F16" s="22"/>
      <c r="G16" s="22"/>
      <c r="J16" s="21"/>
      <c r="L16" s="22"/>
    </row>
    <row r="17" spans="1:17">
      <c r="B17" s="21"/>
      <c r="C17" s="21"/>
      <c r="D17" s="21"/>
      <c r="E17" s="22"/>
      <c r="F17" s="22"/>
      <c r="G17" s="22"/>
      <c r="L17" s="22"/>
    </row>
    <row r="18" spans="1:17" ht="24" customHeight="1">
      <c r="B18" s="21"/>
      <c r="C18" s="21"/>
      <c r="D18" s="21"/>
      <c r="E18" s="22"/>
      <c r="F18" s="22"/>
      <c r="G18" s="22"/>
      <c r="J18" s="21"/>
      <c r="L18" s="22"/>
    </row>
    <row r="19" spans="1:17">
      <c r="B19" s="21"/>
      <c r="C19" s="21"/>
      <c r="D19" s="21"/>
      <c r="E19" s="22"/>
      <c r="F19" s="22"/>
      <c r="G19" s="22"/>
      <c r="J19" s="21"/>
      <c r="L19" s="22"/>
    </row>
    <row r="20" spans="1:17">
      <c r="B20" s="21"/>
      <c r="C20" s="21"/>
      <c r="D20" s="21"/>
      <c r="E20" s="22"/>
      <c r="F20" s="22"/>
      <c r="G20" s="22"/>
      <c r="J20" s="21"/>
      <c r="L20" s="22"/>
    </row>
    <row r="21" spans="1:17">
      <c r="B21" s="21"/>
      <c r="C21" s="21"/>
      <c r="D21" s="21"/>
      <c r="E21" s="22"/>
      <c r="F21" s="22"/>
      <c r="G21" s="22"/>
      <c r="J21" s="21"/>
      <c r="L21" s="22"/>
    </row>
    <row r="22" spans="1:17">
      <c r="B22" s="21"/>
      <c r="C22" s="21"/>
      <c r="D22" s="21"/>
      <c r="E22" s="22"/>
      <c r="F22" s="22"/>
      <c r="G22" s="22"/>
      <c r="J22" s="21"/>
      <c r="L22" s="22"/>
    </row>
    <row r="23" spans="1:17">
      <c r="B23" s="21"/>
      <c r="C23" s="21"/>
      <c r="D23" s="21"/>
      <c r="E23" s="22"/>
      <c r="F23" s="22"/>
      <c r="G23" s="22"/>
      <c r="J23" s="21"/>
      <c r="L23" s="22"/>
    </row>
    <row r="24" spans="1:17" ht="16" customHeight="1">
      <c r="A24" s="35"/>
      <c r="B24" s="47" t="s">
        <v>114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35"/>
      <c r="P24" s="35"/>
      <c r="Q24" s="35"/>
    </row>
    <row r="25" spans="1:17" ht="16" customHeight="1">
      <c r="A25" s="35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35"/>
      <c r="P25" s="35"/>
      <c r="Q25" s="35"/>
    </row>
    <row r="26" spans="1:17">
      <c r="B26" s="21"/>
      <c r="C26" s="21"/>
      <c r="D26" s="21"/>
      <c r="E26" s="22"/>
      <c r="F26" s="22"/>
      <c r="G26" s="22"/>
      <c r="J26" s="21"/>
      <c r="L26" s="22"/>
    </row>
    <row r="27" spans="1:17">
      <c r="B27" s="21"/>
      <c r="C27" s="21"/>
      <c r="D27" s="21"/>
      <c r="E27" s="22"/>
      <c r="F27" s="22"/>
      <c r="G27" s="22"/>
      <c r="J27" s="21"/>
      <c r="L27" s="22"/>
    </row>
    <row r="28" spans="1:17">
      <c r="C28" s="34" t="s">
        <v>0</v>
      </c>
      <c r="D28" s="34" t="s">
        <v>29</v>
      </c>
      <c r="E28" s="34" t="s">
        <v>60</v>
      </c>
      <c r="F28" s="34" t="s">
        <v>30</v>
      </c>
      <c r="G28" s="34" t="s">
        <v>34</v>
      </c>
      <c r="H28" s="34" t="s">
        <v>31</v>
      </c>
      <c r="I28" s="34" t="s">
        <v>32</v>
      </c>
      <c r="J28" s="34" t="s">
        <v>33</v>
      </c>
      <c r="L28" s="22"/>
    </row>
    <row r="29" spans="1:17">
      <c r="C29" s="29" t="str" cm="1">
        <f t="array" aca="1" ref="C29:J69" ca="1">_xlfn._xlws.FILTER( MONITORING!C3:J1001, (MONTH(MONITORING!E3:E1001)=MATCH(N29,{"Januari";"Februari";"Maret";"April";"Mei";"Juni";"Juli";"Agustus";"September";"Oktober";"November";"Desember"},0))* (YEAR(MONITORING!E3:E1001)=N31) )</f>
        <v>B5572LYP</v>
      </c>
      <c r="D29" s="30">
        <f ca="1"/>
        <v>45941</v>
      </c>
      <c r="E29" s="30">
        <f ca="1"/>
        <v>46123</v>
      </c>
      <c r="F29" s="31">
        <f ca="1"/>
        <v>22555</v>
      </c>
      <c r="G29" s="31">
        <f ca="1"/>
        <v>22555</v>
      </c>
      <c r="H29" s="32">
        <f ca="1"/>
        <v>304</v>
      </c>
      <c r="I29" s="32">
        <f ca="1"/>
        <v>0</v>
      </c>
      <c r="J29" s="33" t="str">
        <f ca="1"/>
        <v>OVERDUE</v>
      </c>
      <c r="L29" s="22"/>
      <c r="M29" s="43" t="s">
        <v>104</v>
      </c>
      <c r="N29" s="43" t="s">
        <v>95</v>
      </c>
    </row>
    <row r="30" spans="1:17">
      <c r="C30" s="29" t="str">
        <f ca="1"/>
        <v>B8182EB</v>
      </c>
      <c r="D30" s="30">
        <f ca="1"/>
        <v>45950</v>
      </c>
      <c r="E30" s="30">
        <f ca="1"/>
        <v>46132</v>
      </c>
      <c r="F30" s="31">
        <f ca="1"/>
        <v>86315</v>
      </c>
      <c r="G30" s="31">
        <f ca="1"/>
        <v>86315</v>
      </c>
      <c r="H30" s="32">
        <f ca="1"/>
        <v>295</v>
      </c>
      <c r="I30" s="32">
        <f ca="1"/>
        <v>0</v>
      </c>
      <c r="J30" s="33" t="str">
        <f ca="1"/>
        <v>OVERDUE</v>
      </c>
      <c r="L30" s="22"/>
      <c r="M30" s="44"/>
      <c r="N30" s="44"/>
    </row>
    <row r="31" spans="1:17">
      <c r="C31" s="29" t="str">
        <f ca="1"/>
        <v>B4547RRN</v>
      </c>
      <c r="D31" s="30">
        <f ca="1"/>
        <v>45939</v>
      </c>
      <c r="E31" s="30">
        <f ca="1"/>
        <v>46121</v>
      </c>
      <c r="F31" s="31">
        <f ca="1"/>
        <v>69285</v>
      </c>
      <c r="G31" s="31">
        <f ca="1"/>
        <v>69285</v>
      </c>
      <c r="H31" s="32">
        <f ca="1"/>
        <v>306</v>
      </c>
      <c r="I31" s="32">
        <f ca="1"/>
        <v>0</v>
      </c>
      <c r="J31" s="33" t="str">
        <f ca="1"/>
        <v>OVERDUE</v>
      </c>
      <c r="L31" s="22"/>
      <c r="M31" s="45" t="s">
        <v>105</v>
      </c>
      <c r="N31" s="45">
        <v>2026</v>
      </c>
    </row>
    <row r="32" spans="1:17">
      <c r="C32" s="29" t="str">
        <f ca="1"/>
        <v>B2784YG</v>
      </c>
      <c r="D32" s="30">
        <f ca="1"/>
        <v>45952</v>
      </c>
      <c r="E32" s="30">
        <f ca="1"/>
        <v>46134</v>
      </c>
      <c r="F32" s="31">
        <f ca="1"/>
        <v>89343</v>
      </c>
      <c r="G32" s="31">
        <f ca="1"/>
        <v>89343</v>
      </c>
      <c r="H32" s="32">
        <f ca="1"/>
        <v>293</v>
      </c>
      <c r="I32" s="32">
        <f ca="1"/>
        <v>0</v>
      </c>
      <c r="J32" s="33" t="str">
        <f ca="1"/>
        <v>OVERDUE</v>
      </c>
      <c r="L32" s="22"/>
      <c r="M32" s="45"/>
      <c r="N32" s="45"/>
    </row>
    <row r="33" spans="3:12">
      <c r="C33" s="29" t="str">
        <f ca="1"/>
        <v>B5843ME</v>
      </c>
      <c r="D33" s="30">
        <f ca="1"/>
        <v>45943</v>
      </c>
      <c r="E33" s="30">
        <f ca="1"/>
        <v>46125</v>
      </c>
      <c r="F33" s="31">
        <f ca="1"/>
        <v>104110</v>
      </c>
      <c r="G33" s="31">
        <f ca="1"/>
        <v>104110</v>
      </c>
      <c r="H33" s="32">
        <f ca="1"/>
        <v>302</v>
      </c>
      <c r="I33" s="32">
        <f ca="1"/>
        <v>0</v>
      </c>
      <c r="J33" s="33" t="str">
        <f ca="1"/>
        <v>OVERDUE</v>
      </c>
      <c r="L33" s="22"/>
    </row>
    <row r="34" spans="3:12">
      <c r="C34" s="29" t="str">
        <f ca="1"/>
        <v>B3271BYK</v>
      </c>
      <c r="D34" s="30">
        <f ca="1"/>
        <v>45936</v>
      </c>
      <c r="E34" s="30">
        <f ca="1"/>
        <v>46118</v>
      </c>
      <c r="F34" s="31">
        <f ca="1"/>
        <v>37071</v>
      </c>
      <c r="G34" s="31">
        <f ca="1"/>
        <v>37071</v>
      </c>
      <c r="H34" s="32">
        <f ca="1"/>
        <v>309</v>
      </c>
      <c r="I34" s="32">
        <f ca="1"/>
        <v>0</v>
      </c>
      <c r="J34" s="33" t="str">
        <f ca="1"/>
        <v>OVERDUE</v>
      </c>
      <c r="L34" s="22"/>
    </row>
    <row r="35" spans="3:12">
      <c r="C35" s="29" t="str">
        <f ca="1"/>
        <v>B8342NSJ</v>
      </c>
      <c r="D35" s="30">
        <f ca="1"/>
        <v>45956</v>
      </c>
      <c r="E35" s="30">
        <f ca="1"/>
        <v>46138</v>
      </c>
      <c r="F35" s="31">
        <f ca="1"/>
        <v>50335</v>
      </c>
      <c r="G35" s="31">
        <f ca="1"/>
        <v>50335</v>
      </c>
      <c r="H35" s="32">
        <f ca="1"/>
        <v>289</v>
      </c>
      <c r="I35" s="32">
        <f ca="1"/>
        <v>0</v>
      </c>
      <c r="J35" s="33" t="str">
        <f ca="1"/>
        <v>OVERDUE</v>
      </c>
      <c r="L35" s="22"/>
    </row>
    <row r="36" spans="3:12">
      <c r="C36" s="29" t="str">
        <f ca="1"/>
        <v>B5790CM</v>
      </c>
      <c r="D36" s="30">
        <f ca="1"/>
        <v>45960</v>
      </c>
      <c r="E36" s="30">
        <f ca="1"/>
        <v>46142</v>
      </c>
      <c r="F36" s="31">
        <f ca="1"/>
        <v>18629</v>
      </c>
      <c r="G36" s="31">
        <f ca="1"/>
        <v>18629</v>
      </c>
      <c r="H36" s="32">
        <f ca="1"/>
        <v>285</v>
      </c>
      <c r="I36" s="32">
        <f ca="1"/>
        <v>0</v>
      </c>
      <c r="J36" s="33" t="str">
        <f ca="1"/>
        <v>OVERDUE</v>
      </c>
      <c r="L36" s="22"/>
    </row>
    <row r="37" spans="3:12">
      <c r="C37" s="29" t="str">
        <f ca="1"/>
        <v>B8589XJW</v>
      </c>
      <c r="D37" s="30">
        <f ca="1"/>
        <v>45953</v>
      </c>
      <c r="E37" s="30">
        <f ca="1"/>
        <v>46135</v>
      </c>
      <c r="F37" s="31">
        <f ca="1"/>
        <v>29882</v>
      </c>
      <c r="G37" s="31">
        <f ca="1"/>
        <v>29882</v>
      </c>
      <c r="H37" s="32">
        <f ca="1"/>
        <v>292</v>
      </c>
      <c r="I37" s="32">
        <f ca="1"/>
        <v>0</v>
      </c>
      <c r="J37" s="33" t="str">
        <f ca="1"/>
        <v>OVERDUE</v>
      </c>
      <c r="L37" s="22"/>
    </row>
    <row r="38" spans="3:12">
      <c r="C38" s="29" t="str">
        <f ca="1"/>
        <v>B9897TAZ</v>
      </c>
      <c r="D38" s="30">
        <f ca="1"/>
        <v>45953</v>
      </c>
      <c r="E38" s="30">
        <f ca="1"/>
        <v>46135</v>
      </c>
      <c r="F38" s="31">
        <f ca="1"/>
        <v>34814</v>
      </c>
      <c r="G38" s="31">
        <f ca="1"/>
        <v>34814</v>
      </c>
      <c r="H38" s="32">
        <f ca="1"/>
        <v>292</v>
      </c>
      <c r="I38" s="32">
        <f ca="1"/>
        <v>0</v>
      </c>
      <c r="J38" s="33" t="str">
        <f ca="1"/>
        <v>OVERDUE</v>
      </c>
      <c r="L38" s="22"/>
    </row>
    <row r="39" spans="3:12">
      <c r="C39" s="29" t="str">
        <f ca="1"/>
        <v>B5009UN</v>
      </c>
      <c r="D39" s="30">
        <f ca="1"/>
        <v>45957</v>
      </c>
      <c r="E39" s="30">
        <f ca="1"/>
        <v>46139</v>
      </c>
      <c r="F39" s="31">
        <f ca="1"/>
        <v>71917</v>
      </c>
      <c r="G39" s="31">
        <f ca="1"/>
        <v>71917</v>
      </c>
      <c r="H39" s="32">
        <f ca="1"/>
        <v>288</v>
      </c>
      <c r="I39" s="32">
        <f ca="1"/>
        <v>0</v>
      </c>
      <c r="J39" s="33" t="str">
        <f ca="1"/>
        <v>OVERDUE</v>
      </c>
      <c r="L39" s="22"/>
    </row>
    <row r="40" spans="3:12">
      <c r="C40" s="29" t="str">
        <f ca="1"/>
        <v>KB7221ZEE</v>
      </c>
      <c r="D40" s="30">
        <f ca="1"/>
        <v>45960</v>
      </c>
      <c r="E40" s="30">
        <f ca="1"/>
        <v>46142</v>
      </c>
      <c r="F40" s="31">
        <f ca="1"/>
        <v>63907</v>
      </c>
      <c r="G40" s="31">
        <f ca="1"/>
        <v>63907</v>
      </c>
      <c r="H40" s="32">
        <f ca="1"/>
        <v>285</v>
      </c>
      <c r="I40" s="32">
        <f ca="1"/>
        <v>0</v>
      </c>
      <c r="J40" s="33" t="str">
        <f ca="1"/>
        <v>OVERDUE</v>
      </c>
      <c r="L40" s="22"/>
    </row>
    <row r="41" spans="3:12">
      <c r="C41" s="29" t="str">
        <f ca="1"/>
        <v>B8613WYE</v>
      </c>
      <c r="D41" s="30">
        <f ca="1"/>
        <v>45934</v>
      </c>
      <c r="E41" s="30">
        <f ca="1"/>
        <v>46116</v>
      </c>
      <c r="F41" s="31">
        <f ca="1"/>
        <v>60356</v>
      </c>
      <c r="G41" s="31">
        <f ca="1"/>
        <v>60356</v>
      </c>
      <c r="H41" s="32">
        <f ca="1"/>
        <v>311</v>
      </c>
      <c r="I41" s="32">
        <f ca="1"/>
        <v>0</v>
      </c>
      <c r="J41" s="33" t="str">
        <f ca="1"/>
        <v>OVERDUE</v>
      </c>
      <c r="L41" s="22"/>
    </row>
    <row r="42" spans="3:12">
      <c r="C42" s="29" t="str">
        <f ca="1"/>
        <v>B5879BX</v>
      </c>
      <c r="D42" s="30">
        <f ca="1"/>
        <v>45954</v>
      </c>
      <c r="E42" s="30">
        <f ca="1"/>
        <v>46136</v>
      </c>
      <c r="F42" s="31">
        <f ca="1"/>
        <v>74299</v>
      </c>
      <c r="G42" s="31">
        <f ca="1"/>
        <v>74299</v>
      </c>
      <c r="H42" s="32">
        <f ca="1"/>
        <v>291</v>
      </c>
      <c r="I42" s="32">
        <f ca="1"/>
        <v>0</v>
      </c>
      <c r="J42" s="33" t="str">
        <f ca="1"/>
        <v>OVERDUE</v>
      </c>
      <c r="L42" s="22"/>
    </row>
    <row r="43" spans="3:12">
      <c r="C43" s="29" t="str">
        <f ca="1"/>
        <v>B8803CF</v>
      </c>
      <c r="D43" s="30">
        <f ca="1"/>
        <v>45952</v>
      </c>
      <c r="E43" s="30">
        <f ca="1"/>
        <v>46134</v>
      </c>
      <c r="F43" s="31">
        <f ca="1"/>
        <v>4954</v>
      </c>
      <c r="G43" s="31">
        <f ca="1"/>
        <v>4954</v>
      </c>
      <c r="H43" s="32">
        <f ca="1"/>
        <v>293</v>
      </c>
      <c r="I43" s="32">
        <f ca="1"/>
        <v>0</v>
      </c>
      <c r="J43" s="33" t="str">
        <f ca="1"/>
        <v>OVERDUE</v>
      </c>
      <c r="L43" s="22"/>
    </row>
    <row r="44" spans="3:12">
      <c r="C44" s="29" t="str">
        <f ca="1"/>
        <v>B2966HE</v>
      </c>
      <c r="D44" s="30">
        <f ca="1"/>
        <v>45944</v>
      </c>
      <c r="E44" s="30">
        <f ca="1"/>
        <v>46126</v>
      </c>
      <c r="F44" s="31">
        <f ca="1"/>
        <v>103206</v>
      </c>
      <c r="G44" s="31">
        <f ca="1"/>
        <v>103206</v>
      </c>
      <c r="H44" s="32">
        <f ca="1"/>
        <v>301</v>
      </c>
      <c r="I44" s="32">
        <f ca="1"/>
        <v>0</v>
      </c>
      <c r="J44" s="33" t="str">
        <f ca="1"/>
        <v>OVERDUE</v>
      </c>
      <c r="L44" s="22"/>
    </row>
    <row r="45" spans="3:12">
      <c r="C45" s="29" t="str">
        <f ca="1"/>
        <v>B3412LI</v>
      </c>
      <c r="D45" s="30">
        <f ca="1"/>
        <v>45955</v>
      </c>
      <c r="E45" s="30">
        <f ca="1"/>
        <v>46137</v>
      </c>
      <c r="F45" s="31">
        <f ca="1"/>
        <v>61499</v>
      </c>
      <c r="G45" s="31">
        <f ca="1"/>
        <v>61499</v>
      </c>
      <c r="H45" s="32">
        <f ca="1"/>
        <v>290</v>
      </c>
      <c r="I45" s="32">
        <f ca="1"/>
        <v>0</v>
      </c>
      <c r="J45" s="33" t="str">
        <f ca="1"/>
        <v>OVERDUE</v>
      </c>
      <c r="L45" s="22"/>
    </row>
    <row r="46" spans="3:12">
      <c r="C46" s="29" t="str">
        <f ca="1"/>
        <v>B9679AL</v>
      </c>
      <c r="D46" s="30">
        <f ca="1"/>
        <v>45944</v>
      </c>
      <c r="E46" s="30">
        <f ca="1"/>
        <v>46126</v>
      </c>
      <c r="F46" s="31">
        <f ca="1"/>
        <v>61431</v>
      </c>
      <c r="G46" s="31">
        <f ca="1"/>
        <v>61431</v>
      </c>
      <c r="H46" s="32">
        <f ca="1"/>
        <v>301</v>
      </c>
      <c r="I46" s="32">
        <f ca="1"/>
        <v>0</v>
      </c>
      <c r="J46" s="33" t="str">
        <f ca="1"/>
        <v>OVERDUE</v>
      </c>
      <c r="L46" s="22"/>
    </row>
    <row r="47" spans="3:12">
      <c r="C47" s="29" t="str">
        <f ca="1"/>
        <v>KT6033ET</v>
      </c>
      <c r="D47" s="30">
        <f ca="1"/>
        <v>45960</v>
      </c>
      <c r="E47" s="30">
        <f ca="1"/>
        <v>46142</v>
      </c>
      <c r="F47" s="31">
        <f ca="1"/>
        <v>51791</v>
      </c>
      <c r="G47" s="31">
        <f ca="1"/>
        <v>51791</v>
      </c>
      <c r="H47" s="32">
        <f ca="1"/>
        <v>285</v>
      </c>
      <c r="I47" s="32">
        <f ca="1"/>
        <v>0</v>
      </c>
      <c r="J47" s="33" t="str">
        <f ca="1"/>
        <v>OVERDUE</v>
      </c>
      <c r="L47" s="22"/>
    </row>
    <row r="48" spans="3:12">
      <c r="C48" s="29" t="str">
        <f ca="1"/>
        <v>B9529CGF</v>
      </c>
      <c r="D48" s="30">
        <f ca="1"/>
        <v>45944</v>
      </c>
      <c r="E48" s="30">
        <f ca="1"/>
        <v>46126</v>
      </c>
      <c r="F48" s="31">
        <f ca="1"/>
        <v>20637</v>
      </c>
      <c r="G48" s="31">
        <f ca="1"/>
        <v>20637</v>
      </c>
      <c r="H48" s="32">
        <f ca="1"/>
        <v>301</v>
      </c>
      <c r="I48" s="32">
        <f ca="1"/>
        <v>0</v>
      </c>
      <c r="J48" s="33" t="str">
        <f ca="1"/>
        <v>OVERDUE</v>
      </c>
      <c r="L48" s="22"/>
    </row>
    <row r="49" spans="3:12">
      <c r="C49" s="29" t="str">
        <f ca="1"/>
        <v>KT2986WG</v>
      </c>
      <c r="D49" s="30">
        <f ca="1"/>
        <v>45958</v>
      </c>
      <c r="E49" s="30">
        <f ca="1"/>
        <v>46140</v>
      </c>
      <c r="F49" s="31">
        <f ca="1"/>
        <v>55976</v>
      </c>
      <c r="G49" s="31">
        <f ca="1"/>
        <v>55976</v>
      </c>
      <c r="H49" s="32">
        <f ca="1"/>
        <v>287</v>
      </c>
      <c r="I49" s="32">
        <f ca="1"/>
        <v>0</v>
      </c>
      <c r="J49" s="33" t="str">
        <f ca="1"/>
        <v>OVERDUE</v>
      </c>
      <c r="L49" s="22"/>
    </row>
    <row r="50" spans="3:12">
      <c r="C50" s="29" t="str">
        <f ca="1"/>
        <v>B4900WYS</v>
      </c>
      <c r="D50" s="30">
        <f ca="1"/>
        <v>45954</v>
      </c>
      <c r="E50" s="30">
        <f ca="1"/>
        <v>46136</v>
      </c>
      <c r="F50" s="31">
        <f ca="1"/>
        <v>39127</v>
      </c>
      <c r="G50" s="31">
        <f ca="1"/>
        <v>39127</v>
      </c>
      <c r="H50" s="32">
        <f ca="1"/>
        <v>291</v>
      </c>
      <c r="I50" s="32">
        <f ca="1"/>
        <v>0</v>
      </c>
      <c r="J50" s="33" t="str">
        <f ca="1"/>
        <v>OVERDUE</v>
      </c>
      <c r="L50" s="22"/>
    </row>
    <row r="51" spans="3:12">
      <c r="C51" s="29" t="str">
        <f ca="1"/>
        <v>B3367HD</v>
      </c>
      <c r="D51" s="30">
        <f ca="1"/>
        <v>45931</v>
      </c>
      <c r="E51" s="30">
        <f ca="1"/>
        <v>46113</v>
      </c>
      <c r="F51" s="31">
        <f ca="1"/>
        <v>47537</v>
      </c>
      <c r="G51" s="31">
        <f ca="1"/>
        <v>47537</v>
      </c>
      <c r="H51" s="32">
        <f ca="1"/>
        <v>314</v>
      </c>
      <c r="I51" s="32">
        <f ca="1"/>
        <v>0</v>
      </c>
      <c r="J51" s="33" t="str">
        <f ca="1"/>
        <v>OVERDUE</v>
      </c>
      <c r="L51" s="22"/>
    </row>
    <row r="52" spans="3:12">
      <c r="C52" s="29" t="str">
        <f ca="1"/>
        <v>B3889CE</v>
      </c>
      <c r="D52" s="30">
        <f ca="1"/>
        <v>45960</v>
      </c>
      <c r="E52" s="30">
        <f ca="1"/>
        <v>46142</v>
      </c>
      <c r="F52" s="31">
        <f ca="1"/>
        <v>21914</v>
      </c>
      <c r="G52" s="31">
        <f ca="1"/>
        <v>21914</v>
      </c>
      <c r="H52" s="32">
        <f ca="1"/>
        <v>285</v>
      </c>
      <c r="I52" s="32">
        <f ca="1"/>
        <v>0</v>
      </c>
      <c r="J52" s="33" t="str">
        <f ca="1"/>
        <v>OVERDUE</v>
      </c>
      <c r="L52" s="22"/>
    </row>
    <row r="53" spans="3:12">
      <c r="C53" s="29" t="str">
        <f ca="1"/>
        <v>B3590QLB</v>
      </c>
      <c r="D53" s="30">
        <f ca="1"/>
        <v>45955</v>
      </c>
      <c r="E53" s="30">
        <f ca="1"/>
        <v>46137</v>
      </c>
      <c r="F53" s="31">
        <f ca="1"/>
        <v>31259</v>
      </c>
      <c r="G53" s="31">
        <f ca="1"/>
        <v>31259</v>
      </c>
      <c r="H53" s="32">
        <f ca="1"/>
        <v>290</v>
      </c>
      <c r="I53" s="32">
        <f ca="1"/>
        <v>0</v>
      </c>
      <c r="J53" s="33" t="str">
        <f ca="1"/>
        <v>OVERDUE</v>
      </c>
      <c r="L53" s="22"/>
    </row>
    <row r="54" spans="3:12">
      <c r="C54" s="29" t="str">
        <f ca="1"/>
        <v>L1356IF</v>
      </c>
      <c r="D54" s="30">
        <f ca="1"/>
        <v>45957</v>
      </c>
      <c r="E54" s="30">
        <f ca="1"/>
        <v>46139</v>
      </c>
      <c r="F54" s="31">
        <f ca="1"/>
        <v>20581</v>
      </c>
      <c r="G54" s="31">
        <f ca="1"/>
        <v>20581</v>
      </c>
      <c r="H54" s="32">
        <f ca="1"/>
        <v>288</v>
      </c>
      <c r="I54" s="32">
        <f ca="1"/>
        <v>0</v>
      </c>
      <c r="J54" s="33" t="str">
        <f ca="1"/>
        <v>OVERDUE</v>
      </c>
      <c r="L54" s="22"/>
    </row>
    <row r="55" spans="3:12">
      <c r="C55" s="29" t="str">
        <f ca="1"/>
        <v>AB6497MM</v>
      </c>
      <c r="D55" s="30">
        <f ca="1"/>
        <v>45953</v>
      </c>
      <c r="E55" s="30">
        <f ca="1"/>
        <v>46135</v>
      </c>
      <c r="F55" s="31">
        <f ca="1"/>
        <v>26113</v>
      </c>
      <c r="G55" s="31">
        <f ca="1"/>
        <v>26113</v>
      </c>
      <c r="H55" s="32">
        <f ca="1"/>
        <v>292</v>
      </c>
      <c r="I55" s="32">
        <f ca="1"/>
        <v>0</v>
      </c>
      <c r="J55" s="33" t="str">
        <f ca="1"/>
        <v>OVERDUE</v>
      </c>
      <c r="L55" s="22"/>
    </row>
    <row r="56" spans="3:12">
      <c r="C56" s="29" t="str">
        <f ca="1"/>
        <v>B3561NJ</v>
      </c>
      <c r="D56" s="30">
        <f ca="1"/>
        <v>45955</v>
      </c>
      <c r="E56" s="30">
        <f ca="1"/>
        <v>46137</v>
      </c>
      <c r="F56" s="31">
        <f ca="1"/>
        <v>27214</v>
      </c>
      <c r="G56" s="31">
        <f ca="1"/>
        <v>27214</v>
      </c>
      <c r="H56" s="32">
        <f ca="1"/>
        <v>290</v>
      </c>
      <c r="I56" s="32">
        <f ca="1"/>
        <v>0</v>
      </c>
      <c r="J56" s="33" t="str">
        <f ca="1"/>
        <v>OVERDUE</v>
      </c>
      <c r="L56" s="22"/>
    </row>
    <row r="57" spans="3:12">
      <c r="C57" s="29" t="str">
        <f ca="1"/>
        <v>B1513KJ</v>
      </c>
      <c r="D57" s="30">
        <f ca="1"/>
        <v>45936</v>
      </c>
      <c r="E57" s="30">
        <f ca="1"/>
        <v>46118</v>
      </c>
      <c r="F57" s="31">
        <f ca="1"/>
        <v>10479</v>
      </c>
      <c r="G57" s="31">
        <f ca="1"/>
        <v>10479</v>
      </c>
      <c r="H57" s="32">
        <f ca="1"/>
        <v>309</v>
      </c>
      <c r="I57" s="32">
        <f ca="1"/>
        <v>0</v>
      </c>
      <c r="J57" s="33" t="str">
        <f ca="1"/>
        <v>OVERDUE</v>
      </c>
      <c r="L57" s="22"/>
    </row>
    <row r="58" spans="3:12">
      <c r="C58" s="29" t="str">
        <f ca="1"/>
        <v>KB9985GGA</v>
      </c>
      <c r="D58" s="30">
        <f ca="1"/>
        <v>45937</v>
      </c>
      <c r="E58" s="30">
        <f ca="1"/>
        <v>46119</v>
      </c>
      <c r="F58" s="31">
        <f ca="1"/>
        <v>17887</v>
      </c>
      <c r="G58" s="31">
        <f ca="1"/>
        <v>17887</v>
      </c>
      <c r="H58" s="32">
        <f ca="1"/>
        <v>308</v>
      </c>
      <c r="I58" s="32">
        <f ca="1"/>
        <v>0</v>
      </c>
      <c r="J58" s="33" t="str">
        <f ca="1"/>
        <v>OVERDUE</v>
      </c>
      <c r="L58" s="22"/>
    </row>
    <row r="59" spans="3:12">
      <c r="C59" s="29" t="str">
        <f ca="1"/>
        <v>B9910CL</v>
      </c>
      <c r="D59" s="30">
        <f ca="1"/>
        <v>45934</v>
      </c>
      <c r="E59" s="30">
        <f ca="1"/>
        <v>46116</v>
      </c>
      <c r="F59" s="31">
        <f ca="1"/>
        <v>9053</v>
      </c>
      <c r="G59" s="31">
        <f ca="1"/>
        <v>9053</v>
      </c>
      <c r="H59" s="32">
        <f ca="1"/>
        <v>311</v>
      </c>
      <c r="I59" s="32">
        <f ca="1"/>
        <v>0</v>
      </c>
      <c r="J59" s="33" t="str">
        <f ca="1"/>
        <v>OVERDUE</v>
      </c>
      <c r="L59" s="22"/>
    </row>
    <row r="60" spans="3:12">
      <c r="C60" s="29" t="str">
        <f ca="1"/>
        <v>B6076VM</v>
      </c>
      <c r="D60" s="30">
        <f ca="1"/>
        <v>45937</v>
      </c>
      <c r="E60" s="30">
        <f ca="1"/>
        <v>46119</v>
      </c>
      <c r="F60" s="31">
        <f ca="1"/>
        <v>3767</v>
      </c>
      <c r="G60" s="31">
        <f ca="1"/>
        <v>3767</v>
      </c>
      <c r="H60" s="32">
        <f ca="1"/>
        <v>308</v>
      </c>
      <c r="I60" s="32">
        <f ca="1"/>
        <v>0</v>
      </c>
      <c r="J60" s="33" t="str">
        <f ca="1"/>
        <v>OVERDUE</v>
      </c>
      <c r="L60" s="22"/>
    </row>
    <row r="61" spans="3:12">
      <c r="C61" s="29" t="str">
        <f ca="1"/>
        <v>B1181GU</v>
      </c>
      <c r="D61" s="30">
        <f ca="1"/>
        <v>45941</v>
      </c>
      <c r="E61" s="30">
        <f ca="1"/>
        <v>46123</v>
      </c>
      <c r="F61" s="31">
        <f ca="1"/>
        <v>15066</v>
      </c>
      <c r="G61" s="31">
        <f ca="1"/>
        <v>15066</v>
      </c>
      <c r="H61" s="32">
        <f ca="1"/>
        <v>304</v>
      </c>
      <c r="I61" s="32">
        <f ca="1"/>
        <v>0</v>
      </c>
      <c r="J61" s="33" t="str">
        <f ca="1"/>
        <v>OVERDUE</v>
      </c>
      <c r="L61" s="22"/>
    </row>
    <row r="62" spans="3:12">
      <c r="C62" s="29" t="str">
        <f ca="1"/>
        <v>B4001FJ</v>
      </c>
      <c r="D62" s="30">
        <f ca="1"/>
        <v>45953</v>
      </c>
      <c r="E62" s="30">
        <f ca="1"/>
        <v>46135</v>
      </c>
      <c r="F62" s="31">
        <f ca="1"/>
        <v>16297</v>
      </c>
      <c r="G62" s="31">
        <f ca="1"/>
        <v>16297</v>
      </c>
      <c r="H62" s="32">
        <f ca="1"/>
        <v>292</v>
      </c>
      <c r="I62" s="32">
        <f ca="1"/>
        <v>0</v>
      </c>
      <c r="J62" s="33" t="str">
        <f ca="1"/>
        <v>OVERDUE</v>
      </c>
      <c r="L62" s="22"/>
    </row>
    <row r="63" spans="3:12">
      <c r="C63" s="29" t="str">
        <f ca="1"/>
        <v>L9051XTF</v>
      </c>
      <c r="D63" s="30">
        <f ca="1"/>
        <v>45946</v>
      </c>
      <c r="E63" s="30">
        <f ca="1"/>
        <v>46128</v>
      </c>
      <c r="F63" s="31">
        <f ca="1"/>
        <v>5490</v>
      </c>
      <c r="G63" s="31">
        <f ca="1"/>
        <v>5490</v>
      </c>
      <c r="H63" s="32">
        <f ca="1"/>
        <v>299</v>
      </c>
      <c r="I63" s="32">
        <f ca="1"/>
        <v>0</v>
      </c>
      <c r="J63" s="33" t="str">
        <f ca="1"/>
        <v>OVERDUE</v>
      </c>
      <c r="L63" s="22"/>
    </row>
    <row r="64" spans="3:12">
      <c r="C64" s="29" t="str">
        <f ca="1"/>
        <v>B1827XS</v>
      </c>
      <c r="D64" s="30">
        <f ca="1"/>
        <v>45948</v>
      </c>
      <c r="E64" s="30">
        <f ca="1"/>
        <v>46130</v>
      </c>
      <c r="F64" s="31">
        <f ca="1"/>
        <v>269</v>
      </c>
      <c r="G64" s="31">
        <f ca="1"/>
        <v>269</v>
      </c>
      <c r="H64" s="32">
        <f ca="1"/>
        <v>297</v>
      </c>
      <c r="I64" s="32">
        <f ca="1"/>
        <v>0</v>
      </c>
      <c r="J64" s="33" t="str">
        <f ca="1"/>
        <v>OVERDUE</v>
      </c>
      <c r="L64" s="22"/>
    </row>
    <row r="65" spans="3:12">
      <c r="C65" s="29" t="str">
        <f ca="1"/>
        <v>B4658KI</v>
      </c>
      <c r="D65" s="30">
        <f ca="1"/>
        <v>45947</v>
      </c>
      <c r="E65" s="30">
        <f ca="1"/>
        <v>46129</v>
      </c>
      <c r="F65" s="31">
        <f ca="1"/>
        <v>3652</v>
      </c>
      <c r="G65" s="31">
        <f ca="1"/>
        <v>3652</v>
      </c>
      <c r="H65" s="32">
        <f ca="1"/>
        <v>298</v>
      </c>
      <c r="I65" s="32">
        <f ca="1"/>
        <v>0</v>
      </c>
      <c r="J65" s="33" t="str">
        <f ca="1"/>
        <v>OVERDUE</v>
      </c>
      <c r="L65" s="22"/>
    </row>
    <row r="66" spans="3:12">
      <c r="C66" s="29" t="str">
        <f ca="1"/>
        <v>B6964WP</v>
      </c>
      <c r="D66" s="30">
        <f ca="1"/>
        <v>45961</v>
      </c>
      <c r="E66" s="30">
        <f ca="1"/>
        <v>46142</v>
      </c>
      <c r="F66" s="31">
        <f ca="1"/>
        <v>2166</v>
      </c>
      <c r="G66" s="31">
        <f ca="1"/>
        <v>2166</v>
      </c>
      <c r="H66" s="32">
        <f ca="1"/>
        <v>284</v>
      </c>
      <c r="I66" s="32">
        <f ca="1"/>
        <v>0</v>
      </c>
      <c r="J66" s="33" t="str">
        <f ca="1"/>
        <v>OVERDUE</v>
      </c>
      <c r="L66" s="22"/>
    </row>
    <row r="67" spans="3:12">
      <c r="C67" s="29" t="str">
        <f ca="1"/>
        <v>B8467CLJ</v>
      </c>
      <c r="D67" s="30">
        <f ca="1"/>
        <v>45957</v>
      </c>
      <c r="E67" s="30">
        <f ca="1"/>
        <v>46139</v>
      </c>
      <c r="F67" s="31">
        <f ca="1"/>
        <v>2524</v>
      </c>
      <c r="G67" s="31">
        <f ca="1"/>
        <v>2524</v>
      </c>
      <c r="H67" s="32">
        <f ca="1"/>
        <v>288</v>
      </c>
      <c r="I67" s="32">
        <f ca="1"/>
        <v>0</v>
      </c>
      <c r="J67" s="33" t="str">
        <f ca="1"/>
        <v>OVERDUE</v>
      </c>
      <c r="L67" s="22"/>
    </row>
    <row r="68" spans="3:12">
      <c r="C68" s="29" t="str">
        <f ca="1"/>
        <v>B8878HRL</v>
      </c>
      <c r="D68" s="30">
        <f ca="1"/>
        <v>45957</v>
      </c>
      <c r="E68" s="30">
        <f ca="1"/>
        <v>46139</v>
      </c>
      <c r="F68" s="31">
        <f ca="1"/>
        <v>3069</v>
      </c>
      <c r="G68" s="31">
        <f ca="1"/>
        <v>3069</v>
      </c>
      <c r="H68" s="32">
        <f ca="1"/>
        <v>288</v>
      </c>
      <c r="I68" s="32">
        <f ca="1"/>
        <v>0</v>
      </c>
      <c r="J68" s="33" t="str">
        <f ca="1"/>
        <v>OVERDUE</v>
      </c>
      <c r="L68" s="22"/>
    </row>
    <row r="69" spans="3:12">
      <c r="C69" s="29" t="str">
        <f ca="1"/>
        <v>B7165PWG</v>
      </c>
      <c r="D69" s="30">
        <f ca="1"/>
        <v>45953</v>
      </c>
      <c r="E69" s="30">
        <f ca="1"/>
        <v>46135</v>
      </c>
      <c r="F69" s="31">
        <f ca="1"/>
        <v>5774</v>
      </c>
      <c r="G69" s="31">
        <f ca="1"/>
        <v>5774</v>
      </c>
      <c r="H69" s="32">
        <f ca="1"/>
        <v>292</v>
      </c>
      <c r="I69" s="32">
        <f ca="1"/>
        <v>0</v>
      </c>
      <c r="J69" s="33" t="str">
        <f ca="1"/>
        <v>OVERDUE</v>
      </c>
      <c r="L69" s="22"/>
    </row>
    <row r="70" spans="3:12">
      <c r="C70" s="29"/>
      <c r="D70" s="30"/>
      <c r="E70" s="30"/>
      <c r="F70" s="31"/>
      <c r="G70" s="31"/>
      <c r="H70" s="32"/>
      <c r="I70" s="32"/>
      <c r="J70" s="33"/>
      <c r="L70" s="22"/>
    </row>
    <row r="71" spans="3:12">
      <c r="C71" s="29"/>
      <c r="D71" s="30"/>
      <c r="E71" s="30"/>
      <c r="F71" s="31"/>
      <c r="G71" s="31"/>
      <c r="H71" s="32"/>
      <c r="I71" s="32"/>
      <c r="J71" s="33"/>
      <c r="L71" s="22"/>
    </row>
    <row r="72" spans="3:12">
      <c r="C72" s="29"/>
      <c r="D72" s="30"/>
      <c r="E72" s="30"/>
      <c r="F72" s="31"/>
      <c r="G72" s="31"/>
      <c r="H72" s="32"/>
      <c r="I72" s="32"/>
      <c r="J72" s="33"/>
      <c r="L72" s="22"/>
    </row>
    <row r="73" spans="3:12">
      <c r="C73" s="29"/>
      <c r="D73" s="30"/>
      <c r="E73" s="30"/>
      <c r="F73" s="31"/>
      <c r="G73" s="31"/>
      <c r="H73" s="32"/>
      <c r="I73" s="32"/>
      <c r="J73" s="33"/>
      <c r="L73" s="22"/>
    </row>
    <row r="74" spans="3:12">
      <c r="C74" s="29"/>
      <c r="D74" s="30"/>
      <c r="E74" s="30"/>
      <c r="F74" s="31"/>
      <c r="G74" s="31"/>
      <c r="H74" s="32"/>
      <c r="I74" s="32"/>
      <c r="J74" s="33"/>
      <c r="L74" s="22"/>
    </row>
    <row r="75" spans="3:12">
      <c r="C75" s="29"/>
      <c r="D75" s="30"/>
      <c r="E75" s="30"/>
      <c r="F75" s="31"/>
      <c r="G75" s="31"/>
      <c r="H75" s="32"/>
      <c r="I75" s="32"/>
      <c r="J75" s="33"/>
      <c r="L75" s="22"/>
    </row>
    <row r="76" spans="3:12">
      <c r="C76" s="29"/>
      <c r="D76" s="30"/>
      <c r="E76" s="30"/>
      <c r="F76" s="31"/>
      <c r="G76" s="31"/>
      <c r="H76" s="32"/>
      <c r="I76" s="32"/>
      <c r="J76" s="33"/>
      <c r="L76" s="22"/>
    </row>
    <row r="77" spans="3:12">
      <c r="C77" s="29"/>
      <c r="D77" s="30"/>
      <c r="E77" s="30"/>
      <c r="F77" s="31"/>
      <c r="G77" s="31"/>
      <c r="H77" s="32"/>
      <c r="I77" s="32"/>
      <c r="J77" s="33"/>
      <c r="L77" s="22"/>
    </row>
    <row r="78" spans="3:12">
      <c r="C78" s="29"/>
      <c r="D78" s="30"/>
      <c r="E78" s="30"/>
      <c r="F78" s="31"/>
      <c r="G78" s="31"/>
      <c r="H78" s="32"/>
      <c r="I78" s="32"/>
      <c r="J78" s="33"/>
      <c r="L78" s="22"/>
    </row>
    <row r="79" spans="3:12">
      <c r="C79" s="29"/>
      <c r="D79" s="30"/>
      <c r="E79" s="30"/>
      <c r="F79" s="31"/>
      <c r="G79" s="31"/>
      <c r="H79" s="32"/>
      <c r="I79" s="32"/>
      <c r="J79" s="33"/>
      <c r="L79" s="22"/>
    </row>
    <row r="80" spans="3:12">
      <c r="C80" s="29"/>
      <c r="D80" s="30"/>
      <c r="E80" s="30"/>
      <c r="F80" s="31"/>
      <c r="G80" s="31"/>
      <c r="H80" s="32"/>
      <c r="I80" s="32"/>
      <c r="J80" s="33"/>
      <c r="L80" s="22"/>
    </row>
    <row r="81" spans="3:12">
      <c r="C81" s="29"/>
      <c r="D81" s="30"/>
      <c r="E81" s="30"/>
      <c r="F81" s="31"/>
      <c r="G81" s="31"/>
      <c r="H81" s="32"/>
      <c r="I81" s="32"/>
      <c r="J81" s="33"/>
      <c r="L81" s="22"/>
    </row>
    <row r="82" spans="3:12">
      <c r="C82" s="29"/>
      <c r="D82" s="30"/>
      <c r="E82" s="30"/>
      <c r="F82" s="31"/>
      <c r="G82" s="31"/>
      <c r="H82" s="32"/>
      <c r="I82" s="32"/>
      <c r="J82" s="33"/>
      <c r="L82" s="22"/>
    </row>
    <row r="83" spans="3:12">
      <c r="C83" s="29"/>
      <c r="D83" s="30"/>
      <c r="E83" s="30"/>
      <c r="F83" s="31"/>
      <c r="G83" s="31"/>
      <c r="H83" s="32"/>
      <c r="I83" s="32"/>
      <c r="J83" s="33"/>
      <c r="L83" s="22"/>
    </row>
    <row r="84" spans="3:12">
      <c r="C84" s="29"/>
      <c r="D84" s="30"/>
      <c r="E84" s="30"/>
      <c r="F84" s="31"/>
      <c r="G84" s="31"/>
      <c r="H84" s="32"/>
      <c r="I84" s="32"/>
      <c r="J84" s="33"/>
      <c r="L84" s="22"/>
    </row>
    <row r="85" spans="3:12">
      <c r="C85" s="29"/>
      <c r="D85" s="30"/>
      <c r="E85" s="30"/>
      <c r="F85" s="31"/>
      <c r="G85" s="31"/>
      <c r="H85" s="32"/>
      <c r="I85" s="32"/>
      <c r="J85" s="33"/>
      <c r="L85" s="22"/>
    </row>
    <row r="86" spans="3:12">
      <c r="C86" s="29"/>
      <c r="D86" s="30"/>
      <c r="E86" s="30"/>
      <c r="F86" s="31"/>
      <c r="G86" s="31"/>
      <c r="H86" s="32"/>
      <c r="I86" s="32"/>
      <c r="J86" s="33"/>
      <c r="L86" s="22"/>
    </row>
    <row r="87" spans="3:12">
      <c r="C87" s="29"/>
      <c r="D87" s="30"/>
      <c r="E87" s="30"/>
      <c r="F87" s="31"/>
      <c r="G87" s="31"/>
      <c r="H87" s="32"/>
      <c r="I87" s="32"/>
      <c r="J87" s="33"/>
      <c r="L87" s="22"/>
    </row>
    <row r="88" spans="3:12">
      <c r="C88" s="29"/>
      <c r="D88" s="30"/>
      <c r="E88" s="30"/>
      <c r="F88" s="31"/>
      <c r="G88" s="31"/>
      <c r="H88" s="32"/>
      <c r="I88" s="32"/>
      <c r="J88" s="33"/>
      <c r="L88" s="22"/>
    </row>
    <row r="89" spans="3:12">
      <c r="C89" s="29"/>
      <c r="D89" s="30"/>
      <c r="E89" s="30"/>
      <c r="F89" s="31"/>
      <c r="G89" s="31"/>
      <c r="H89" s="32"/>
      <c r="I89" s="32"/>
      <c r="J89" s="33"/>
      <c r="L89" s="22"/>
    </row>
    <row r="90" spans="3:12">
      <c r="C90" s="29"/>
      <c r="D90" s="30"/>
      <c r="E90" s="30"/>
      <c r="F90" s="31"/>
      <c r="G90" s="31"/>
      <c r="H90" s="32"/>
      <c r="I90" s="32"/>
      <c r="J90" s="33"/>
      <c r="L90" s="22"/>
    </row>
    <row r="91" spans="3:12">
      <c r="C91" s="29"/>
      <c r="D91" s="30"/>
      <c r="E91" s="30"/>
      <c r="F91" s="31"/>
      <c r="G91" s="31"/>
      <c r="H91" s="32"/>
      <c r="I91" s="32"/>
      <c r="J91" s="33"/>
      <c r="L91" s="22"/>
    </row>
    <row r="92" spans="3:12">
      <c r="C92" s="29"/>
      <c r="D92" s="30"/>
      <c r="E92" s="30"/>
      <c r="F92" s="31"/>
      <c r="G92" s="31"/>
      <c r="H92" s="32"/>
      <c r="I92" s="32"/>
      <c r="J92" s="33"/>
      <c r="L92" s="22"/>
    </row>
    <row r="93" spans="3:12">
      <c r="C93" s="29"/>
      <c r="D93" s="30"/>
      <c r="E93" s="30"/>
      <c r="F93" s="31"/>
      <c r="G93" s="31"/>
      <c r="H93" s="32"/>
      <c r="I93" s="32"/>
      <c r="J93" s="33"/>
      <c r="L93" s="22"/>
    </row>
    <row r="94" spans="3:12">
      <c r="C94" s="29"/>
      <c r="D94" s="30"/>
      <c r="E94" s="30"/>
      <c r="F94" s="31"/>
      <c r="G94" s="31"/>
      <c r="H94" s="32"/>
      <c r="I94" s="32"/>
      <c r="J94" s="33"/>
      <c r="L94" s="22"/>
    </row>
    <row r="95" spans="3:12">
      <c r="C95" s="29"/>
      <c r="D95" s="30"/>
      <c r="E95" s="30"/>
      <c r="F95" s="31"/>
      <c r="G95" s="31"/>
      <c r="H95" s="32"/>
      <c r="I95" s="32"/>
      <c r="J95" s="33"/>
      <c r="L95" s="22"/>
    </row>
    <row r="96" spans="3:12">
      <c r="C96" s="29"/>
      <c r="D96" s="30"/>
      <c r="E96" s="30"/>
      <c r="F96" s="31"/>
      <c r="G96" s="31"/>
      <c r="H96" s="32"/>
      <c r="I96" s="32"/>
      <c r="J96" s="33"/>
      <c r="L96" s="22"/>
    </row>
    <row r="97" spans="3:12">
      <c r="C97" s="29"/>
      <c r="D97" s="30"/>
      <c r="E97" s="30"/>
      <c r="F97" s="31"/>
      <c r="G97" s="31"/>
      <c r="H97" s="32"/>
      <c r="I97" s="32"/>
      <c r="J97" s="33"/>
      <c r="L97" s="22"/>
    </row>
    <row r="98" spans="3:12">
      <c r="C98" s="29"/>
      <c r="D98" s="30"/>
      <c r="E98" s="30"/>
      <c r="F98" s="31"/>
      <c r="G98" s="31"/>
      <c r="H98" s="32"/>
      <c r="I98" s="32"/>
      <c r="J98" s="33"/>
      <c r="L98" s="22"/>
    </row>
    <row r="99" spans="3:12">
      <c r="C99" s="29"/>
      <c r="D99" s="30"/>
      <c r="E99" s="30"/>
      <c r="F99" s="31"/>
      <c r="G99" s="31"/>
      <c r="H99" s="32"/>
      <c r="I99" s="32"/>
      <c r="J99" s="33"/>
      <c r="L99" s="22"/>
    </row>
    <row r="100" spans="3:12">
      <c r="C100" s="29"/>
      <c r="D100" s="30"/>
      <c r="E100" s="30"/>
      <c r="F100" s="31"/>
      <c r="G100" s="31"/>
      <c r="H100" s="32"/>
      <c r="I100" s="32"/>
      <c r="J100" s="33"/>
      <c r="L100" s="22"/>
    </row>
    <row r="101" spans="3:12">
      <c r="C101" s="29"/>
      <c r="D101" s="30"/>
      <c r="E101" s="30"/>
      <c r="F101" s="31"/>
      <c r="G101" s="31"/>
      <c r="H101" s="32"/>
      <c r="I101" s="32"/>
      <c r="J101" s="33"/>
      <c r="L101" s="22"/>
    </row>
    <row r="102" spans="3:12">
      <c r="C102" s="29"/>
      <c r="D102" s="30"/>
      <c r="E102" s="30"/>
      <c r="F102" s="31"/>
      <c r="G102" s="31"/>
      <c r="H102" s="32"/>
      <c r="I102" s="32"/>
      <c r="J102" s="33"/>
      <c r="L102" s="22"/>
    </row>
    <row r="103" spans="3:12">
      <c r="C103" s="29"/>
      <c r="D103" s="30"/>
      <c r="E103" s="30"/>
      <c r="F103" s="31"/>
      <c r="G103" s="31"/>
      <c r="H103" s="32"/>
      <c r="I103" s="32"/>
      <c r="J103" s="33"/>
      <c r="L103" s="22"/>
    </row>
    <row r="104" spans="3:12">
      <c r="C104" s="29"/>
      <c r="D104" s="30"/>
      <c r="E104" s="30"/>
      <c r="F104" s="31"/>
      <c r="G104" s="31"/>
      <c r="H104" s="32"/>
      <c r="I104" s="32"/>
      <c r="J104" s="33"/>
      <c r="L104" s="22"/>
    </row>
    <row r="105" spans="3:12">
      <c r="C105" s="29"/>
      <c r="D105" s="30"/>
      <c r="E105" s="30"/>
      <c r="F105" s="31"/>
      <c r="G105" s="31"/>
      <c r="H105" s="32"/>
      <c r="I105" s="32"/>
      <c r="J105" s="33"/>
      <c r="L105" s="22"/>
    </row>
    <row r="106" spans="3:12">
      <c r="C106" s="29"/>
      <c r="D106" s="30"/>
      <c r="E106" s="30"/>
      <c r="F106" s="31"/>
      <c r="G106" s="31"/>
      <c r="H106" s="32"/>
      <c r="I106" s="32"/>
      <c r="J106" s="33"/>
      <c r="L106" s="22"/>
    </row>
    <row r="107" spans="3:12">
      <c r="C107" s="29"/>
      <c r="D107" s="30"/>
      <c r="E107" s="30"/>
      <c r="F107" s="31"/>
      <c r="G107" s="31"/>
      <c r="H107" s="32"/>
      <c r="I107" s="32"/>
      <c r="J107" s="33"/>
      <c r="L107" s="22"/>
    </row>
    <row r="108" spans="3:12">
      <c r="C108" s="29"/>
      <c r="D108" s="30"/>
      <c r="E108" s="30"/>
      <c r="F108" s="31"/>
      <c r="G108" s="31"/>
      <c r="H108" s="32"/>
      <c r="I108" s="32"/>
      <c r="J108" s="33"/>
      <c r="L108" s="22"/>
    </row>
    <row r="109" spans="3:12">
      <c r="C109" s="29"/>
      <c r="D109" s="30"/>
      <c r="E109" s="30"/>
      <c r="F109" s="31"/>
      <c r="G109" s="31"/>
      <c r="H109" s="32"/>
      <c r="I109" s="32"/>
      <c r="J109" s="33"/>
    </row>
    <row r="110" spans="3:12">
      <c r="C110" s="29"/>
      <c r="D110" s="30"/>
      <c r="E110" s="30"/>
      <c r="F110" s="31"/>
      <c r="G110" s="31"/>
      <c r="H110" s="32"/>
      <c r="I110" s="32"/>
      <c r="J110" s="33"/>
    </row>
    <row r="111" spans="3:12">
      <c r="C111" s="29"/>
      <c r="D111" s="30"/>
      <c r="E111" s="30"/>
      <c r="F111" s="31"/>
      <c r="G111" s="31"/>
      <c r="H111" s="32"/>
      <c r="I111" s="32"/>
      <c r="J111" s="33"/>
    </row>
    <row r="112" spans="3:12">
      <c r="C112" s="29"/>
      <c r="D112" s="30"/>
      <c r="E112" s="30"/>
      <c r="F112" s="31"/>
      <c r="G112" s="31"/>
      <c r="H112" s="32"/>
      <c r="I112" s="32"/>
      <c r="J112" s="33"/>
    </row>
    <row r="113" spans="3:10">
      <c r="C113" s="29"/>
      <c r="D113" s="30"/>
      <c r="E113" s="30"/>
      <c r="F113" s="31"/>
      <c r="G113" s="31"/>
      <c r="H113" s="32"/>
      <c r="I113" s="32"/>
      <c r="J113" s="33"/>
    </row>
    <row r="114" spans="3:10">
      <c r="C114" s="29"/>
      <c r="D114" s="30"/>
      <c r="E114" s="30"/>
      <c r="F114" s="31"/>
      <c r="G114" s="31"/>
      <c r="H114" s="32"/>
      <c r="I114" s="32"/>
      <c r="J114" s="33"/>
    </row>
    <row r="115" spans="3:10">
      <c r="C115" s="29"/>
      <c r="D115" s="30"/>
      <c r="E115" s="30"/>
      <c r="F115" s="31"/>
      <c r="G115" s="31"/>
      <c r="H115" s="32"/>
      <c r="I115" s="32"/>
      <c r="J115" s="33"/>
    </row>
    <row r="116" spans="3:10">
      <c r="C116" s="29"/>
      <c r="D116" s="30"/>
      <c r="E116" s="30"/>
      <c r="F116" s="31"/>
      <c r="G116" s="31"/>
      <c r="H116" s="32"/>
      <c r="I116" s="32"/>
      <c r="J116" s="33"/>
    </row>
    <row r="117" spans="3:10">
      <c r="C117" s="29"/>
      <c r="D117" s="30"/>
      <c r="E117" s="30"/>
      <c r="F117" s="31"/>
      <c r="G117" s="31"/>
      <c r="H117" s="32"/>
      <c r="I117" s="32"/>
      <c r="J117" s="33"/>
    </row>
    <row r="118" spans="3:10">
      <c r="C118" s="29"/>
      <c r="D118" s="30"/>
      <c r="E118" s="30"/>
      <c r="F118" s="31"/>
      <c r="G118" s="31"/>
      <c r="H118" s="32"/>
      <c r="I118" s="32"/>
      <c r="J118" s="33"/>
    </row>
    <row r="119" spans="3:10">
      <c r="C119" s="29"/>
      <c r="D119" s="30"/>
      <c r="E119" s="30"/>
      <c r="F119" s="31"/>
      <c r="G119" s="31"/>
      <c r="H119" s="32"/>
      <c r="I119" s="32"/>
      <c r="J119" s="33"/>
    </row>
    <row r="120" spans="3:10">
      <c r="C120" s="29"/>
      <c r="D120" s="30"/>
      <c r="E120" s="30"/>
      <c r="F120" s="31"/>
      <c r="G120" s="31"/>
      <c r="H120" s="32"/>
      <c r="I120" s="32"/>
      <c r="J120" s="33"/>
    </row>
    <row r="121" spans="3:10">
      <c r="C121" s="29"/>
      <c r="D121" s="30"/>
      <c r="E121" s="30"/>
      <c r="F121" s="31"/>
      <c r="G121" s="31"/>
      <c r="H121" s="32"/>
      <c r="I121" s="32"/>
      <c r="J121" s="33"/>
    </row>
    <row r="122" spans="3:10">
      <c r="C122" s="29"/>
      <c r="D122" s="30"/>
      <c r="E122" s="30"/>
      <c r="F122" s="31"/>
      <c r="G122" s="31"/>
      <c r="H122" s="32"/>
      <c r="I122" s="32"/>
      <c r="J122" s="33"/>
    </row>
    <row r="123" spans="3:10">
      <c r="C123" s="29"/>
      <c r="D123" s="30"/>
      <c r="E123" s="30"/>
      <c r="F123" s="31"/>
      <c r="G123" s="31"/>
      <c r="H123" s="32"/>
      <c r="I123" s="32"/>
      <c r="J123" s="33"/>
    </row>
    <row r="124" spans="3:10">
      <c r="C124" s="29"/>
      <c r="D124" s="30"/>
      <c r="E124" s="30"/>
      <c r="F124" s="31"/>
      <c r="G124" s="31"/>
      <c r="H124" s="32"/>
      <c r="I124" s="32"/>
      <c r="J124" s="33"/>
    </row>
    <row r="125" spans="3:10">
      <c r="C125" s="29"/>
      <c r="D125" s="30"/>
      <c r="E125" s="30"/>
      <c r="F125" s="31"/>
      <c r="G125" s="31"/>
      <c r="H125" s="32"/>
      <c r="I125" s="32"/>
      <c r="J125" s="33"/>
    </row>
    <row r="126" spans="3:10">
      <c r="C126" s="29"/>
      <c r="D126" s="30"/>
      <c r="E126" s="30"/>
      <c r="F126" s="31"/>
      <c r="G126" s="31"/>
      <c r="H126" s="32"/>
      <c r="I126" s="32"/>
      <c r="J126" s="33"/>
    </row>
    <row r="127" spans="3:10">
      <c r="C127" s="29"/>
      <c r="D127" s="30"/>
      <c r="E127" s="30"/>
      <c r="F127" s="31"/>
      <c r="G127" s="31"/>
      <c r="H127" s="32"/>
      <c r="I127" s="32"/>
      <c r="J127" s="33"/>
    </row>
    <row r="128" spans="3:10">
      <c r="C128" s="29"/>
      <c r="D128" s="30"/>
      <c r="E128" s="30"/>
      <c r="F128" s="31"/>
      <c r="G128" s="31"/>
      <c r="H128" s="32"/>
      <c r="I128" s="32"/>
      <c r="J128" s="33"/>
    </row>
  </sheetData>
  <mergeCells count="6">
    <mergeCell ref="M29:M30"/>
    <mergeCell ref="N29:N30"/>
    <mergeCell ref="M31:M32"/>
    <mergeCell ref="N31:N32"/>
    <mergeCell ref="A1:Q1"/>
    <mergeCell ref="B24:N2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EA8549-1C2F-E043-B4B4-0F343D7C5268}">
          <x14:formula1>
            <xm:f>Helper!$A$1:$A$12</xm:f>
          </x14:formula1>
          <xm:sqref>N29</xm:sqref>
        </x14:dataValidation>
        <x14:dataValidation type="list" allowBlank="1" showInputMessage="1" showErrorMessage="1" xr:uid="{7A9496F1-ECC9-BC4F-B5C7-19EDF85DEC3C}">
          <x14:formula1>
            <xm:f>Helper!$B$1:$B$7</xm:f>
          </x14:formula1>
          <xm:sqref>H13 N31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4F93-2C0D-D94B-81C0-80775E83A71A}">
  <dimension ref="A1:F12"/>
  <sheetViews>
    <sheetView workbookViewId="0">
      <selection activeCell="F4" sqref="F4"/>
    </sheetView>
  </sheetViews>
  <sheetFormatPr baseColWidth="10" defaultRowHeight="16"/>
  <cols>
    <col min="5" max="5" width="17.1640625" bestFit="1" customWidth="1"/>
  </cols>
  <sheetData>
    <row r="1" spans="1:6">
      <c r="A1" t="s">
        <v>92</v>
      </c>
      <c r="B1">
        <v>2024</v>
      </c>
      <c r="E1" t="s">
        <v>58</v>
      </c>
      <c r="F1">
        <f>COUNTA(MONITORING!C3:C1001)</f>
        <v>334</v>
      </c>
    </row>
    <row r="2" spans="1:6">
      <c r="A2" t="s">
        <v>93</v>
      </c>
      <c r="B2">
        <v>2025</v>
      </c>
      <c r="E2" t="s">
        <v>113</v>
      </c>
      <c r="F2">
        <f ca="1">COUNTIF(MONITORING!J3:J1001,"AMAN")</f>
        <v>72</v>
      </c>
    </row>
    <row r="3" spans="1:6">
      <c r="A3" t="s">
        <v>94</v>
      </c>
      <c r="B3">
        <v>2026</v>
      </c>
      <c r="E3" t="s">
        <v>91</v>
      </c>
      <c r="F3">
        <f ca="1">COUNTIF(MONITORING!J3:J1001,"BELUM SERVIS")</f>
        <v>4</v>
      </c>
    </row>
    <row r="4" spans="1:6">
      <c r="A4" t="s">
        <v>95</v>
      </c>
      <c r="B4">
        <v>2027</v>
      </c>
      <c r="E4" t="s">
        <v>59</v>
      </c>
      <c r="F4">
        <f ca="1">COUNTIF(MONITORING!J3:J1001,"OVERDUE")</f>
        <v>258</v>
      </c>
    </row>
    <row r="5" spans="1:6">
      <c r="A5" t="s">
        <v>96</v>
      </c>
      <c r="B5">
        <v>2028</v>
      </c>
    </row>
    <row r="6" spans="1:6">
      <c r="A6" t="s">
        <v>97</v>
      </c>
      <c r="B6">
        <v>2029</v>
      </c>
    </row>
    <row r="7" spans="1:6">
      <c r="A7" t="s">
        <v>98</v>
      </c>
      <c r="B7">
        <v>2030</v>
      </c>
    </row>
    <row r="8" spans="1:6">
      <c r="A8" t="s">
        <v>99</v>
      </c>
    </row>
    <row r="9" spans="1:6">
      <c r="A9" t="s">
        <v>100</v>
      </c>
    </row>
    <row r="10" spans="1:6">
      <c r="A10" t="s">
        <v>101</v>
      </c>
    </row>
    <row r="11" spans="1:6">
      <c r="A11" t="s">
        <v>102</v>
      </c>
    </row>
    <row r="12" spans="1:6">
      <c r="A1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</vt:lpstr>
      <vt:lpstr>raw_stack</vt:lpstr>
      <vt:lpstr>filter_per_bulan</vt:lpstr>
      <vt:lpstr>data_anomali</vt:lpstr>
      <vt:lpstr>data_master</vt:lpstr>
      <vt:lpstr>MONITORING</vt:lpstr>
      <vt:lpstr>DASHBOARD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Yustian Faza</dc:creator>
  <cp:lastModifiedBy>Yustian Faza</cp:lastModifiedBy>
  <dcterms:created xsi:type="dcterms:W3CDTF">2026-04-09T12:14:06Z</dcterms:created>
  <dcterms:modified xsi:type="dcterms:W3CDTF">2026-08-11T12:15:01Z</dcterms:modified>
</cp:coreProperties>
</file>